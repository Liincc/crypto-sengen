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BFCFC857-F274-4C56-8A73-B98920B5EFF5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22" i="5" s="1"/>
  <c r="C133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3"/>
  <c r="C133" i="3" s="1"/>
  <c r="C136" i="3" s="1"/>
  <c r="C116" i="5"/>
  <c r="C118" i="5"/>
  <c r="C122" i="4"/>
  <c r="C133" i="4" s="1"/>
  <c r="C136" i="4" s="1"/>
  <c r="C116" i="4"/>
  <c r="R765" i="1"/>
  <c r="S765" i="1" s="1"/>
  <c r="T765" i="1" s="1"/>
  <c r="D136" i="5"/>
  <c r="C136" i="5"/>
  <c r="C118" i="3"/>
  <c r="C116" i="3"/>
  <c r="D136" i="3" l="1"/>
  <c r="C138" i="3" s="1"/>
  <c r="R764" i="1"/>
  <c r="C138" i="5"/>
  <c r="D136" i="4"/>
  <c r="C138" i="4" s="1"/>
  <c r="R763" i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S196" i="1" l="1"/>
  <c r="T196" i="1" s="1"/>
  <c r="R195" i="1"/>
  <c r="S195" i="1" l="1"/>
  <c r="T195" i="1" s="1"/>
  <c r="R194" i="1"/>
  <c r="R193" i="1" l="1"/>
  <c r="S194" i="1"/>
  <c r="T194" i="1" s="1"/>
  <c r="R192" i="1" l="1"/>
  <c r="S193" i="1"/>
  <c r="T193" i="1" s="1"/>
  <c r="R191" i="1" l="1"/>
  <c r="S192" i="1"/>
  <c r="T192" i="1" s="1"/>
  <c r="S191" i="1" l="1"/>
  <c r="T191" i="1" s="1"/>
  <c r="R190" i="1"/>
  <c r="R189" i="1" l="1"/>
  <c r="S190" i="1"/>
  <c r="T190" i="1" s="1"/>
  <c r="R188" i="1" l="1"/>
  <c r="S189" i="1"/>
  <c r="T189" i="1" s="1"/>
  <c r="R187" i="1" l="1"/>
  <c r="S188" i="1"/>
  <c r="T188" i="1" s="1"/>
  <c r="S187" i="1" l="1"/>
  <c r="T187" i="1" s="1"/>
  <c r="R186" i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S172" i="1" l="1"/>
  <c r="T172" i="1" s="1"/>
  <c r="R171" i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S159" i="1" l="1"/>
  <c r="T159" i="1" s="1"/>
  <c r="R158" i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S148" i="1" l="1"/>
  <c r="T148" i="1" s="1"/>
  <c r="R147" i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S135" i="1" l="1"/>
  <c r="T135" i="1" s="1"/>
  <c r="R134" i="1"/>
  <c r="R133" i="1" l="1"/>
  <c r="S134" i="1"/>
  <c r="T134" i="1" s="1"/>
  <c r="R132" i="1" l="1"/>
  <c r="S133" i="1"/>
  <c r="T133" i="1" s="1"/>
  <c r="S132" i="1" l="1"/>
  <c r="T132" i="1" s="1"/>
  <c r="R131" i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R119" i="1" l="1"/>
  <c r="S120" i="1"/>
  <c r="T120" i="1" s="1"/>
  <c r="S119" i="1" l="1"/>
  <c r="T119" i="1" s="1"/>
  <c r="R118" i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S111" i="1" l="1"/>
  <c r="T111" i="1" s="1"/>
  <c r="R110" i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S89" i="1" l="1"/>
  <c r="T89" i="1" s="1"/>
  <c r="R88" i="1"/>
  <c r="S88" i="1" l="1"/>
  <c r="T88" i="1" s="1"/>
  <c r="R87" i="1"/>
  <c r="S87" i="1" l="1"/>
  <c r="T87" i="1" s="1"/>
  <c r="R86" i="1"/>
  <c r="S86" i="1" l="1"/>
  <c r="T86" i="1" s="1"/>
  <c r="R85" i="1"/>
  <c r="S85" i="1" l="1"/>
  <c r="T85" i="1" s="1"/>
  <c r="R84" i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S77" i="1" l="1"/>
  <c r="T77" i="1" s="1"/>
  <c r="R76" i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R67" i="1" l="1"/>
  <c r="S68" i="1"/>
  <c r="T68" i="1" s="1"/>
  <c r="R66" i="1" l="1"/>
  <c r="S67" i="1"/>
  <c r="T67" i="1" s="1"/>
  <c r="R65" i="1" l="1"/>
  <c r="S66" i="1"/>
  <c r="T66" i="1" s="1"/>
  <c r="S65" i="1" l="1"/>
  <c r="T65" i="1" s="1"/>
  <c r="R64" i="1"/>
  <c r="S64" i="1" l="1"/>
  <c r="T64" i="1" s="1"/>
  <c r="R63" i="1"/>
  <c r="S63" i="1" l="1"/>
  <c r="T63" i="1" s="1"/>
  <c r="R62" i="1"/>
  <c r="S62" i="1" l="1"/>
  <c r="T62" i="1" s="1"/>
  <c r="R61" i="1"/>
  <c r="S61" i="1" l="1"/>
  <c r="T61" i="1" s="1"/>
  <c r="R60" i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S53" i="1" l="1"/>
  <c r="T53" i="1" s="1"/>
  <c r="R52" i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R43" i="1" l="1"/>
  <c r="S44" i="1"/>
  <c r="T44" i="1" s="1"/>
  <c r="R42" i="1" l="1"/>
  <c r="S43" i="1"/>
  <c r="T43" i="1" s="1"/>
  <c r="S42" i="1" l="1"/>
  <c r="T42" i="1" s="1"/>
  <c r="R41" i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S30" i="1" l="1"/>
  <c r="T30" i="1" s="1"/>
  <c r="R29" i="1"/>
  <c r="R28" i="1" l="1"/>
  <c r="S29" i="1"/>
  <c r="T29" i="1" s="1"/>
  <c r="R27" i="1" l="1"/>
  <c r="S28" i="1"/>
  <c r="T28" i="1" s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<sst xmlns="http://schemas.openxmlformats.org/spreadsheetml/2006/main" count="9360" uniqueCount="34">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</sst>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862">
                  <c:v>43726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3.367</c:v>
                </c:pt>
                <c:pt idx="1">
                  <c:v>3.4420000000000002</c:v>
                </c:pt>
                <c:pt idx="2">
                  <c:v>3.5009999999999999</c:v>
                </c:pt>
                <c:pt idx="3">
                  <c:v>3.3540000000000001</c:v>
                </c:pt>
                <c:pt idx="4">
                  <c:v>3.5819999999999999</c:v>
                </c:pt>
                <c:pt idx="5">
                  <c:v>3.4929999999999999</c:v>
                </c:pt>
                <c:pt idx="6">
                  <c:v>3.96</c:v>
                </c:pt>
                <c:pt idx="7">
                  <c:v>4.6719999999999997</c:v>
                </c:pt>
                <c:pt idx="8">
                  <c:v>4.9039999999999999</c:v>
                </c:pt>
                <c:pt idx="9">
                  <c:v>5.056</c:v>
                </c:pt>
                <c:pt idx="10">
                  <c:v>5.2990000000000004</c:v>
                </c:pt>
                <c:pt idx="11">
                  <c:v>5.68</c:v>
                </c:pt>
                <c:pt idx="12">
                  <c:v>5.6929999999999996</c:v>
                </c:pt>
                <c:pt idx="13">
                  <c:v>5.7039999999999997</c:v>
                </c:pt>
                <c:pt idx="14">
                  <c:v>5.8550000000000004</c:v>
                </c:pt>
                <c:pt idx="15">
                  <c:v>5.633</c:v>
                </c:pt>
                <c:pt idx="16">
                  <c:v>5.14</c:v>
                </c:pt>
                <c:pt idx="17">
                  <c:v>5.032</c:v>
                </c:pt>
                <c:pt idx="18">
                  <c:v>5.3150000000000004</c:v>
                </c:pt>
                <c:pt idx="19">
                  <c:v>4.931</c:v>
                </c:pt>
                <c:pt idx="20">
                  <c:v>5.274</c:v>
                </c:pt>
                <c:pt idx="21">
                  <c:v>5.8360000000000003</c:v>
                </c:pt>
                <c:pt idx="22">
                  <c:v>6.2430000000000003</c:v>
                </c:pt>
                <c:pt idx="23">
                  <c:v>5.6589999999999998</c:v>
                </c:pt>
                <c:pt idx="24">
                  <c:v>5.5540000000000003</c:v>
                </c:pt>
                <c:pt idx="25">
                  <c:v>5.28</c:v>
                </c:pt>
                <c:pt idx="26">
                  <c:v>5.1829999999999998</c:v>
                </c:pt>
                <c:pt idx="27">
                  <c:v>5.0110000000000001</c:v>
                </c:pt>
                <c:pt idx="28">
                  <c:v>5.1340000000000003</c:v>
                </c:pt>
                <c:pt idx="29">
                  <c:v>5.0860000000000003</c:v>
                </c:pt>
                <c:pt idx="30">
                  <c:v>5.36</c:v>
                </c:pt>
                <c:pt idx="31">
                  <c:v>5.8710000000000004</c:v>
                </c:pt>
                <c:pt idx="32">
                  <c:v>5.8449999999999998</c:v>
                </c:pt>
                <c:pt idx="33">
                  <c:v>5.74</c:v>
                </c:pt>
                <c:pt idx="34">
                  <c:v>5.63</c:v>
                </c:pt>
                <c:pt idx="35">
                  <c:v>5.7240000000000002</c:v>
                </c:pt>
                <c:pt idx="36">
                  <c:v>5.3579999999999997</c:v>
                </c:pt>
                <c:pt idx="37">
                  <c:v>5.3170000000000002</c:v>
                </c:pt>
                <c:pt idx="38">
                  <c:v>5.0570000000000004</c:v>
                </c:pt>
                <c:pt idx="39">
                  <c:v>5.1280000000000001</c:v>
                </c:pt>
                <c:pt idx="40">
                  <c:v>5.1790000000000003</c:v>
                </c:pt>
                <c:pt idx="41">
                  <c:v>5.0019999999999998</c:v>
                </c:pt>
                <c:pt idx="42">
                  <c:v>4.9939999999999998</c:v>
                </c:pt>
                <c:pt idx="43">
                  <c:v>5.0880000000000001</c:v>
                </c:pt>
                <c:pt idx="44">
                  <c:v>5.0650000000000004</c:v>
                </c:pt>
                <c:pt idx="45">
                  <c:v>4.7009999999999996</c:v>
                </c:pt>
                <c:pt idx="46">
                  <c:v>5.3869999999999996</c:v>
                </c:pt>
                <c:pt idx="47">
                  <c:v>5.125</c:v>
                </c:pt>
                <c:pt idx="48">
                  <c:v>5.0369999999999999</c:v>
                </c:pt>
                <c:pt idx="49">
                  <c:v>5.4569999999999999</c:v>
                </c:pt>
                <c:pt idx="50">
                  <c:v>6.1319999999999997</c:v>
                </c:pt>
                <c:pt idx="51">
                  <c:v>5.8730000000000002</c:v>
                </c:pt>
                <c:pt idx="52">
                  <c:v>5.9770000000000003</c:v>
                </c:pt>
                <c:pt idx="53">
                  <c:v>5.657</c:v>
                </c:pt>
                <c:pt idx="54">
                  <c:v>6.1959999999999997</c:v>
                </c:pt>
                <c:pt idx="55">
                  <c:v>7.5369999999999999</c:v>
                </c:pt>
                <c:pt idx="56">
                  <c:v>8.2539999999999996</c:v>
                </c:pt>
                <c:pt idx="57">
                  <c:v>7.74</c:v>
                </c:pt>
                <c:pt idx="58">
                  <c:v>7.7080000000000002</c:v>
                </c:pt>
                <c:pt idx="59">
                  <c:v>7.8710000000000004</c:v>
                </c:pt>
                <c:pt idx="60">
                  <c:v>8.0660000000000007</c:v>
                </c:pt>
                <c:pt idx="61">
                  <c:v>8.4960000000000004</c:v>
                </c:pt>
                <c:pt idx="62">
                  <c:v>7.3650000000000002</c:v>
                </c:pt>
                <c:pt idx="63">
                  <c:v>7.6139999999999999</c:v>
                </c:pt>
                <c:pt idx="64">
                  <c:v>7.2549999999999999</c:v>
                </c:pt>
                <c:pt idx="65">
                  <c:v>7.5149999999999997</c:v>
                </c:pt>
                <c:pt idx="66">
                  <c:v>7.1719999999999997</c:v>
                </c:pt>
                <c:pt idx="67">
                  <c:v>7.6050000000000004</c:v>
                </c:pt>
                <c:pt idx="68">
                  <c:v>7.9809999999999999</c:v>
                </c:pt>
                <c:pt idx="69">
                  <c:v>7.6779999999999999</c:v>
                </c:pt>
                <c:pt idx="70">
                  <c:v>7.2</c:v>
                </c:pt>
                <c:pt idx="71">
                  <c:v>7.8230000000000004</c:v>
                </c:pt>
                <c:pt idx="72">
                  <c:v>7.7939999999999996</c:v>
                </c:pt>
                <c:pt idx="73">
                  <c:v>8.6560000000000006</c:v>
                </c:pt>
                <c:pt idx="74">
                  <c:v>8.7710000000000008</c:v>
                </c:pt>
                <c:pt idx="75">
                  <c:v>8.907</c:v>
                </c:pt>
                <c:pt idx="76">
                  <c:v>8.5559999999999992</c:v>
                </c:pt>
                <c:pt idx="77">
                  <c:v>8.798</c:v>
                </c:pt>
                <c:pt idx="78">
                  <c:v>8.6259999999999994</c:v>
                </c:pt>
                <c:pt idx="79">
                  <c:v>9.2140000000000004</c:v>
                </c:pt>
                <c:pt idx="80">
                  <c:v>9.7910000000000004</c:v>
                </c:pt>
                <c:pt idx="81">
                  <c:v>9.282</c:v>
                </c:pt>
                <c:pt idx="82">
                  <c:v>9.3079999999999998</c:v>
                </c:pt>
                <c:pt idx="83">
                  <c:v>9.5359999999999996</c:v>
                </c:pt>
                <c:pt idx="84">
                  <c:v>9.82</c:v>
                </c:pt>
                <c:pt idx="85">
                  <c:v>10.321</c:v>
                </c:pt>
                <c:pt idx="86">
                  <c:v>9.5519999999999996</c:v>
                </c:pt>
                <c:pt idx="87">
                  <c:v>9.6440000000000001</c:v>
                </c:pt>
                <c:pt idx="88">
                  <c:v>9.84</c:v>
                </c:pt>
                <c:pt idx="89">
                  <c:v>8.6259999999999994</c:v>
                </c:pt>
                <c:pt idx="90">
                  <c:v>8.516</c:v>
                </c:pt>
                <c:pt idx="91">
                  <c:v>8.2260000000000009</c:v>
                </c:pt>
                <c:pt idx="92">
                  <c:v>8.4580000000000002</c:v>
                </c:pt>
                <c:pt idx="93">
                  <c:v>9.5890000000000004</c:v>
                </c:pt>
                <c:pt idx="94">
                  <c:v>9.0020000000000007</c:v>
                </c:pt>
                <c:pt idx="95">
                  <c:v>8.6809999999999992</c:v>
                </c:pt>
                <c:pt idx="96">
                  <c:v>9.08</c:v>
                </c:pt>
                <c:pt idx="97">
                  <c:v>8.8000000000000007</c:v>
                </c:pt>
                <c:pt idx="98">
                  <c:v>8.6620000000000008</c:v>
                </c:pt>
                <c:pt idx="99">
                  <c:v>8.8130000000000006</c:v>
                </c:pt>
                <c:pt idx="100">
                  <c:v>8.4039999999999999</c:v>
                </c:pt>
                <c:pt idx="101">
                  <c:v>8.4060000000000006</c:v>
                </c:pt>
                <c:pt idx="102">
                  <c:v>8.3840000000000003</c:v>
                </c:pt>
                <c:pt idx="103">
                  <c:v>8.6300000000000008</c:v>
                </c:pt>
                <c:pt idx="104">
                  <c:v>8.391</c:v>
                </c:pt>
                <c:pt idx="105">
                  <c:v>8.1080000000000005</c:v>
                </c:pt>
                <c:pt idx="106">
                  <c:v>7.7069999999999999</c:v>
                </c:pt>
                <c:pt idx="107">
                  <c:v>7.5389999999999997</c:v>
                </c:pt>
                <c:pt idx="108">
                  <c:v>7.6719999999999997</c:v>
                </c:pt>
                <c:pt idx="109">
                  <c:v>7.7519999999999998</c:v>
                </c:pt>
                <c:pt idx="110">
                  <c:v>8.35</c:v>
                </c:pt>
                <c:pt idx="111">
                  <c:v>8.2620000000000005</c:v>
                </c:pt>
                <c:pt idx="112">
                  <c:v>8.4130000000000003</c:v>
                </c:pt>
                <c:pt idx="113">
                  <c:v>8.3439999999999994</c:v>
                </c:pt>
                <c:pt idx="114">
                  <c:v>8.4529999999999994</c:v>
                </c:pt>
                <c:pt idx="115">
                  <c:v>8.2200000000000006</c:v>
                </c:pt>
                <c:pt idx="116">
                  <c:v>8.4179999999999993</c:v>
                </c:pt>
                <c:pt idx="117">
                  <c:v>8.2089999999999996</c:v>
                </c:pt>
                <c:pt idx="118">
                  <c:v>8.0619999999999994</c:v>
                </c:pt>
                <c:pt idx="119">
                  <c:v>7.1680000000000001</c:v>
                </c:pt>
                <c:pt idx="120">
                  <c:v>6.9429999999999996</c:v>
                </c:pt>
                <c:pt idx="121">
                  <c:v>6.7709999999999999</c:v>
                </c:pt>
                <c:pt idx="122">
                  <c:v>7.0540000000000003</c:v>
                </c:pt>
                <c:pt idx="123">
                  <c:v>7.4009999999999998</c:v>
                </c:pt>
                <c:pt idx="124">
                  <c:v>7.4850000000000003</c:v>
                </c:pt>
                <c:pt idx="125">
                  <c:v>7.39</c:v>
                </c:pt>
                <c:pt idx="126">
                  <c:v>8.0340000000000007</c:v>
                </c:pt>
                <c:pt idx="127">
                  <c:v>7.8040000000000003</c:v>
                </c:pt>
                <c:pt idx="128">
                  <c:v>6.9740000000000002</c:v>
                </c:pt>
                <c:pt idx="129">
                  <c:v>8.14</c:v>
                </c:pt>
                <c:pt idx="130">
                  <c:v>8.9169999999999998</c:v>
                </c:pt>
                <c:pt idx="131">
                  <c:v>9.2840000000000007</c:v>
                </c:pt>
                <c:pt idx="132">
                  <c:v>9.1050000000000004</c:v>
                </c:pt>
                <c:pt idx="133">
                  <c:v>9.7669999999999995</c:v>
                </c:pt>
                <c:pt idx="134">
                  <c:v>9.7070000000000007</c:v>
                </c:pt>
                <c:pt idx="135">
                  <c:v>9.2870000000000008</c:v>
                </c:pt>
                <c:pt idx="136">
                  <c:v>8.84</c:v>
                </c:pt>
                <c:pt idx="137">
                  <c:v>9.3049999999999997</c:v>
                </c:pt>
                <c:pt idx="138">
                  <c:v>8.5440000000000005</c:v>
                </c:pt>
                <c:pt idx="139">
                  <c:v>8.4359999999999999</c:v>
                </c:pt>
                <c:pt idx="140">
                  <c:v>8.9909999999999997</c:v>
                </c:pt>
                <c:pt idx="141">
                  <c:v>8.2959999999999994</c:v>
                </c:pt>
                <c:pt idx="142">
                  <c:v>8.4390000000000001</c:v>
                </c:pt>
                <c:pt idx="143">
                  <c:v>10.835000000000001</c:v>
                </c:pt>
                <c:pt idx="144">
                  <c:v>10.651999999999999</c:v>
                </c:pt>
                <c:pt idx="145">
                  <c:v>10.536</c:v>
                </c:pt>
                <c:pt idx="146">
                  <c:v>10.462</c:v>
                </c:pt>
                <c:pt idx="147">
                  <c:v>9.7110000000000003</c:v>
                </c:pt>
                <c:pt idx="148">
                  <c:v>9.8580000000000005</c:v>
                </c:pt>
                <c:pt idx="149">
                  <c:v>9.2379999999999995</c:v>
                </c:pt>
                <c:pt idx="150">
                  <c:v>8.718</c:v>
                </c:pt>
                <c:pt idx="151">
                  <c:v>9.1609999999999996</c:v>
                </c:pt>
                <c:pt idx="152">
                  <c:v>8.9390000000000001</c:v>
                </c:pt>
                <c:pt idx="153">
                  <c:v>8.9339999999999993</c:v>
                </c:pt>
                <c:pt idx="154">
                  <c:v>8.44</c:v>
                </c:pt>
                <c:pt idx="155">
                  <c:v>9.3989999999999991</c:v>
                </c:pt>
                <c:pt idx="156">
                  <c:v>8.9550000000000001</c:v>
                </c:pt>
                <c:pt idx="157">
                  <c:v>9.9939999999999998</c:v>
                </c:pt>
                <c:pt idx="158">
                  <c:v>9.2680000000000007</c:v>
                </c:pt>
                <c:pt idx="159">
                  <c:v>8.875</c:v>
                </c:pt>
                <c:pt idx="160">
                  <c:v>8.5229999999999997</c:v>
                </c:pt>
                <c:pt idx="161">
                  <c:v>8.1430000000000007</c:v>
                </c:pt>
                <c:pt idx="162">
                  <c:v>7.6529999999999996</c:v>
                </c:pt>
                <c:pt idx="163">
                  <c:v>7.8029999999999999</c:v>
                </c:pt>
                <c:pt idx="164">
                  <c:v>8.42</c:v>
                </c:pt>
                <c:pt idx="165">
                  <c:v>8.2240000000000002</c:v>
                </c:pt>
                <c:pt idx="166">
                  <c:v>8.2769999999999992</c:v>
                </c:pt>
                <c:pt idx="167">
                  <c:v>8.3339999999999996</c:v>
                </c:pt>
                <c:pt idx="168">
                  <c:v>7.8339999999999996</c:v>
                </c:pt>
                <c:pt idx="169">
                  <c:v>8.0549999999999997</c:v>
                </c:pt>
                <c:pt idx="170">
                  <c:v>8.1940000000000008</c:v>
                </c:pt>
                <c:pt idx="171">
                  <c:v>7.3339999999999996</c:v>
                </c:pt>
                <c:pt idx="172">
                  <c:v>6.9260000000000002</c:v>
                </c:pt>
                <c:pt idx="173">
                  <c:v>7.407</c:v>
                </c:pt>
                <c:pt idx="174">
                  <c:v>7.2889999999999997</c:v>
                </c:pt>
                <c:pt idx="175">
                  <c:v>7.0839999999999996</c:v>
                </c:pt>
                <c:pt idx="176">
                  <c:v>6.4820000000000002</c:v>
                </c:pt>
                <c:pt idx="177">
                  <c:v>6.375</c:v>
                </c:pt>
                <c:pt idx="178">
                  <c:v>6.2009999999999996</c:v>
                </c:pt>
                <c:pt idx="179">
                  <c:v>6.1749999999999998</c:v>
                </c:pt>
                <c:pt idx="180">
                  <c:v>6.476</c:v>
                </c:pt>
                <c:pt idx="181">
                  <c:v>6.3070000000000004</c:v>
                </c:pt>
                <c:pt idx="182">
                  <c:v>6.3339999999999996</c:v>
                </c:pt>
                <c:pt idx="183">
                  <c:v>5.6639999999999997</c:v>
                </c:pt>
                <c:pt idx="184">
                  <c:v>5.7759999999999998</c:v>
                </c:pt>
                <c:pt idx="185">
                  <c:v>5.42</c:v>
                </c:pt>
                <c:pt idx="186">
                  <c:v>5.4119999999999999</c:v>
                </c:pt>
                <c:pt idx="187">
                  <c:v>5.4189999999999996</c:v>
                </c:pt>
                <c:pt idx="188">
                  <c:v>5.2939999999999996</c:v>
                </c:pt>
                <c:pt idx="189">
                  <c:v>5.0629999999999997</c:v>
                </c:pt>
                <c:pt idx="190">
                  <c:v>5.0999999999999996</c:v>
                </c:pt>
                <c:pt idx="191">
                  <c:v>4.3879999999999999</c:v>
                </c:pt>
                <c:pt idx="192">
                  <c:v>4.75</c:v>
                </c:pt>
                <c:pt idx="193">
                  <c:v>4.9649999999999999</c:v>
                </c:pt>
                <c:pt idx="194">
                  <c:v>5.0960000000000001</c:v>
                </c:pt>
                <c:pt idx="195">
                  <c:v>5.07</c:v>
                </c:pt>
                <c:pt idx="196">
                  <c:v>5.5469999999999997</c:v>
                </c:pt>
                <c:pt idx="197">
                  <c:v>5.99</c:v>
                </c:pt>
                <c:pt idx="198">
                  <c:v>6.3550000000000004</c:v>
                </c:pt>
                <c:pt idx="199">
                  <c:v>6.3849999999999998</c:v>
                </c:pt>
                <c:pt idx="200">
                  <c:v>6.6980000000000004</c:v>
                </c:pt>
                <c:pt idx="201">
                  <c:v>6.2960000000000003</c:v>
                </c:pt>
                <c:pt idx="202">
                  <c:v>6.5880000000000001</c:v>
                </c:pt>
                <c:pt idx="203">
                  <c:v>6.1059999999999999</c:v>
                </c:pt>
                <c:pt idx="204">
                  <c:v>6.6980000000000004</c:v>
                </c:pt>
                <c:pt idx="205">
                  <c:v>6.3879999999999999</c:v>
                </c:pt>
                <c:pt idx="206">
                  <c:v>5.9950000000000001</c:v>
                </c:pt>
                <c:pt idx="207">
                  <c:v>6.2380000000000004</c:v>
                </c:pt>
                <c:pt idx="208">
                  <c:v>5.7720000000000002</c:v>
                </c:pt>
                <c:pt idx="209">
                  <c:v>5.5650000000000004</c:v>
                </c:pt>
                <c:pt idx="210">
                  <c:v>5.5110000000000001</c:v>
                </c:pt>
                <c:pt idx="211">
                  <c:v>5.9569999999999999</c:v>
                </c:pt>
                <c:pt idx="212">
                  <c:v>6.056</c:v>
                </c:pt>
                <c:pt idx="213">
                  <c:v>5.2619999999999996</c:v>
                </c:pt>
                <c:pt idx="214">
                  <c:v>5.1680000000000001</c:v>
                </c:pt>
                <c:pt idx="215">
                  <c:v>4.8949999999999996</c:v>
                </c:pt>
                <c:pt idx="216">
                  <c:v>5.0620000000000003</c:v>
                </c:pt>
                <c:pt idx="217">
                  <c:v>5.6440000000000001</c:v>
                </c:pt>
                <c:pt idx="218">
                  <c:v>5.4530000000000003</c:v>
                </c:pt>
                <c:pt idx="219">
                  <c:v>4.7389999999999999</c:v>
                </c:pt>
                <c:pt idx="220">
                  <c:v>4.8609999999999998</c:v>
                </c:pt>
                <c:pt idx="221">
                  <c:v>6.1769999999999996</c:v>
                </c:pt>
                <c:pt idx="222">
                  <c:v>6.0709999999999997</c:v>
                </c:pt>
                <c:pt idx="223">
                  <c:v>6.375</c:v>
                </c:pt>
                <c:pt idx="224">
                  <c:v>6.9779999999999998</c:v>
                </c:pt>
                <c:pt idx="225">
                  <c:v>6.859</c:v>
                </c:pt>
                <c:pt idx="226">
                  <c:v>7.29</c:v>
                </c:pt>
                <c:pt idx="227">
                  <c:v>7.2930000000000001</c:v>
                </c:pt>
                <c:pt idx="228">
                  <c:v>6.9550000000000001</c:v>
                </c:pt>
                <c:pt idx="229">
                  <c:v>6.5170000000000003</c:v>
                </c:pt>
                <c:pt idx="230">
                  <c:v>6.5629999999999997</c:v>
                </c:pt>
                <c:pt idx="231">
                  <c:v>7.1150000000000002</c:v>
                </c:pt>
                <c:pt idx="232">
                  <c:v>7.7539999999999996</c:v>
                </c:pt>
                <c:pt idx="233">
                  <c:v>7.0650000000000004</c:v>
                </c:pt>
                <c:pt idx="234">
                  <c:v>7.2729999999999997</c:v>
                </c:pt>
                <c:pt idx="235">
                  <c:v>8.0920000000000005</c:v>
                </c:pt>
                <c:pt idx="236">
                  <c:v>7.9379999999999997</c:v>
                </c:pt>
                <c:pt idx="237">
                  <c:v>8.2140000000000004</c:v>
                </c:pt>
                <c:pt idx="238">
                  <c:v>9.1359999999999992</c:v>
                </c:pt>
                <c:pt idx="239">
                  <c:v>8.59</c:v>
                </c:pt>
                <c:pt idx="240">
                  <c:v>8.56</c:v>
                </c:pt>
                <c:pt idx="241">
                  <c:v>8.9649999999999999</c:v>
                </c:pt>
                <c:pt idx="242">
                  <c:v>7.391</c:v>
                </c:pt>
                <c:pt idx="243">
                  <c:v>6.798</c:v>
                </c:pt>
                <c:pt idx="244">
                  <c:v>7.5110000000000001</c:v>
                </c:pt>
                <c:pt idx="245">
                  <c:v>8.6679999999999993</c:v>
                </c:pt>
                <c:pt idx="246">
                  <c:v>9.1780000000000008</c:v>
                </c:pt>
                <c:pt idx="247">
                  <c:v>8.08</c:v>
                </c:pt>
                <c:pt idx="248">
                  <c:v>8.1999999999999993</c:v>
                </c:pt>
                <c:pt idx="249">
                  <c:v>6.8259999999999996</c:v>
                </c:pt>
                <c:pt idx="250">
                  <c:v>7.9980000000000002</c:v>
                </c:pt>
                <c:pt idx="251">
                  <c:v>8.4480000000000004</c:v>
                </c:pt>
                <c:pt idx="252">
                  <c:v>10.263999999999999</c:v>
                </c:pt>
                <c:pt idx="253">
                  <c:v>8.9309999999999992</c:v>
                </c:pt>
                <c:pt idx="254">
                  <c:v>13.757999999999999</c:v>
                </c:pt>
                <c:pt idx="255">
                  <c:v>12.497</c:v>
                </c:pt>
                <c:pt idx="256">
                  <c:v>14.065</c:v>
                </c:pt>
                <c:pt idx="257">
                  <c:v>13.837999999999999</c:v>
                </c:pt>
                <c:pt idx="258">
                  <c:v>15.233000000000001</c:v>
                </c:pt>
                <c:pt idx="259">
                  <c:v>14.619</c:v>
                </c:pt>
                <c:pt idx="260">
                  <c:v>14.349</c:v>
                </c:pt>
                <c:pt idx="261">
                  <c:v>16.826000000000001</c:v>
                </c:pt>
                <c:pt idx="262">
                  <c:v>16.119</c:v>
                </c:pt>
                <c:pt idx="263">
                  <c:v>17.713000000000001</c:v>
                </c:pt>
                <c:pt idx="264">
                  <c:v>17.721</c:v>
                </c:pt>
                <c:pt idx="265">
                  <c:v>17.872</c:v>
                </c:pt>
                <c:pt idx="266">
                  <c:v>18.317</c:v>
                </c:pt>
                <c:pt idx="267">
                  <c:v>19.337</c:v>
                </c:pt>
                <c:pt idx="268">
                  <c:v>18.295999999999999</c:v>
                </c:pt>
                <c:pt idx="269">
                  <c:v>18.309000000000001</c:v>
                </c:pt>
                <c:pt idx="270">
                  <c:v>17.614000000000001</c:v>
                </c:pt>
                <c:pt idx="271">
                  <c:v>18.516999999999999</c:v>
                </c:pt>
                <c:pt idx="272">
                  <c:v>17.25</c:v>
                </c:pt>
                <c:pt idx="273">
                  <c:v>16.486999999999998</c:v>
                </c:pt>
                <c:pt idx="274">
                  <c:v>17.466999999999999</c:v>
                </c:pt>
                <c:pt idx="275">
                  <c:v>16.776</c:v>
                </c:pt>
                <c:pt idx="276">
                  <c:v>15.109</c:v>
                </c:pt>
                <c:pt idx="277">
                  <c:v>13.465999999999999</c:v>
                </c:pt>
                <c:pt idx="278">
                  <c:v>13.735799999999999</c:v>
                </c:pt>
                <c:pt idx="279">
                  <c:v>15.2536</c:v>
                </c:pt>
                <c:pt idx="280">
                  <c:v>15.9001</c:v>
                </c:pt>
                <c:pt idx="281">
                  <c:v>15.9223</c:v>
                </c:pt>
                <c:pt idx="282">
                  <c:v>16.2455</c:v>
                </c:pt>
                <c:pt idx="283">
                  <c:v>15.282999999999999</c:v>
                </c:pt>
                <c:pt idx="284">
                  <c:v>17.134</c:v>
                </c:pt>
                <c:pt idx="285">
                  <c:v>19.803899999999999</c:v>
                </c:pt>
                <c:pt idx="286">
                  <c:v>20.964700000000001</c:v>
                </c:pt>
                <c:pt idx="287">
                  <c:v>20.870899999999999</c:v>
                </c:pt>
                <c:pt idx="288">
                  <c:v>17.575700000000001</c:v>
                </c:pt>
                <c:pt idx="289">
                  <c:v>16.997299999999999</c:v>
                </c:pt>
                <c:pt idx="290">
                  <c:v>16.839099999999998</c:v>
                </c:pt>
                <c:pt idx="291">
                  <c:v>17.945599999999999</c:v>
                </c:pt>
                <c:pt idx="292">
                  <c:v>17.023</c:v>
                </c:pt>
                <c:pt idx="293">
                  <c:v>17.406500000000001</c:v>
                </c:pt>
                <c:pt idx="294">
                  <c:v>17.160900000000002</c:v>
                </c:pt>
                <c:pt idx="295">
                  <c:v>16.055700000000002</c:v>
                </c:pt>
                <c:pt idx="296">
                  <c:v>18.251200000000001</c:v>
                </c:pt>
                <c:pt idx="297">
                  <c:v>17.690000000000001</c:v>
                </c:pt>
                <c:pt idx="298">
                  <c:v>17.2209</c:v>
                </c:pt>
                <c:pt idx="299">
                  <c:v>15.7437</c:v>
                </c:pt>
                <c:pt idx="300">
                  <c:v>16.134499999999999</c:v>
                </c:pt>
                <c:pt idx="301">
                  <c:v>16.408200000000001</c:v>
                </c:pt>
                <c:pt idx="302">
                  <c:v>16.749400000000001</c:v>
                </c:pt>
                <c:pt idx="303">
                  <c:v>14.1576</c:v>
                </c:pt>
                <c:pt idx="304">
                  <c:v>14.626099999999999</c:v>
                </c:pt>
                <c:pt idx="305">
                  <c:v>14.0436</c:v>
                </c:pt>
                <c:pt idx="306">
                  <c:v>13.7254</c:v>
                </c:pt>
                <c:pt idx="307">
                  <c:v>12.719799999999999</c:v>
                </c:pt>
                <c:pt idx="308">
                  <c:v>11.6904</c:v>
                </c:pt>
                <c:pt idx="309">
                  <c:v>11.8607</c:v>
                </c:pt>
                <c:pt idx="310">
                  <c:v>13.0375</c:v>
                </c:pt>
                <c:pt idx="311">
                  <c:v>13.049899999999999</c:v>
                </c:pt>
                <c:pt idx="312">
                  <c:v>13.878500000000001</c:v>
                </c:pt>
                <c:pt idx="313">
                  <c:v>14.728999999999999</c:v>
                </c:pt>
                <c:pt idx="314">
                  <c:v>14.186999999999999</c:v>
                </c:pt>
                <c:pt idx="315">
                  <c:v>13.9819</c:v>
                </c:pt>
                <c:pt idx="316">
                  <c:v>14.217700000000001</c:v>
                </c:pt>
                <c:pt idx="317">
                  <c:v>13.5063</c:v>
                </c:pt>
                <c:pt idx="318">
                  <c:v>12.625999999999999</c:v>
                </c:pt>
                <c:pt idx="319">
                  <c:v>13.3475</c:v>
                </c:pt>
                <c:pt idx="320">
                  <c:v>14.3102</c:v>
                </c:pt>
                <c:pt idx="321">
                  <c:v>13.367100000000001</c:v>
                </c:pt>
                <c:pt idx="322">
                  <c:v>14.009</c:v>
                </c:pt>
                <c:pt idx="323">
                  <c:v>13.855399999999999</c:v>
                </c:pt>
                <c:pt idx="324">
                  <c:v>14.935499999999999</c:v>
                </c:pt>
                <c:pt idx="325">
                  <c:v>14.608700000000001</c:v>
                </c:pt>
                <c:pt idx="326">
                  <c:v>13.4581</c:v>
                </c:pt>
                <c:pt idx="327">
                  <c:v>12.6472</c:v>
                </c:pt>
                <c:pt idx="328">
                  <c:v>12.438499999999999</c:v>
                </c:pt>
                <c:pt idx="329">
                  <c:v>12.946199999999999</c:v>
                </c:pt>
                <c:pt idx="330">
                  <c:v>13.3301</c:v>
                </c:pt>
                <c:pt idx="331">
                  <c:v>12.988200000000001</c:v>
                </c:pt>
                <c:pt idx="332">
                  <c:v>13.4214</c:v>
                </c:pt>
                <c:pt idx="333">
                  <c:v>11.832800000000001</c:v>
                </c:pt>
                <c:pt idx="334">
                  <c:v>12.495900000000001</c:v>
                </c:pt>
                <c:pt idx="335">
                  <c:v>11.8058</c:v>
                </c:pt>
                <c:pt idx="336">
                  <c:v>12.0502</c:v>
                </c:pt>
                <c:pt idx="337">
                  <c:v>13.23</c:v>
                </c:pt>
                <c:pt idx="338">
                  <c:v>13.23</c:v>
                </c:pt>
                <c:pt idx="339">
                  <c:v>16.9252</c:v>
                </c:pt>
                <c:pt idx="340">
                  <c:v>17.011099999999999</c:v>
                </c:pt>
                <c:pt idx="341">
                  <c:v>17.183</c:v>
                </c:pt>
                <c:pt idx="342">
                  <c:v>18.217400000000001</c:v>
                </c:pt>
                <c:pt idx="343">
                  <c:v>17.7</c:v>
                </c:pt>
                <c:pt idx="344">
                  <c:v>16.223400000000002</c:v>
                </c:pt>
                <c:pt idx="345">
                  <c:v>16.557200000000002</c:v>
                </c:pt>
                <c:pt idx="346">
                  <c:v>16.339099999999998</c:v>
                </c:pt>
                <c:pt idx="347">
                  <c:v>16.8552</c:v>
                </c:pt>
                <c:pt idx="348">
                  <c:v>18.292300000000001</c:v>
                </c:pt>
                <c:pt idx="349">
                  <c:v>18.676300000000001</c:v>
                </c:pt>
                <c:pt idx="350">
                  <c:v>15.9937</c:v>
                </c:pt>
                <c:pt idx="351">
                  <c:v>13.0687</c:v>
                </c:pt>
                <c:pt idx="352">
                  <c:v>13.324</c:v>
                </c:pt>
                <c:pt idx="353">
                  <c:v>11.629</c:v>
                </c:pt>
                <c:pt idx="354">
                  <c:v>11.2248</c:v>
                </c:pt>
                <c:pt idx="355">
                  <c:v>11.5663</c:v>
                </c:pt>
                <c:pt idx="356">
                  <c:v>12.4359</c:v>
                </c:pt>
                <c:pt idx="357">
                  <c:v>11.607100000000001</c:v>
                </c:pt>
                <c:pt idx="358">
                  <c:v>11.8512</c:v>
                </c:pt>
                <c:pt idx="359">
                  <c:v>11.308299999999999</c:v>
                </c:pt>
                <c:pt idx="360">
                  <c:v>11.18</c:v>
                </c:pt>
                <c:pt idx="361">
                  <c:v>9.0076999999999998</c:v>
                </c:pt>
                <c:pt idx="362">
                  <c:v>9.4969999999999999</c:v>
                </c:pt>
                <c:pt idx="363">
                  <c:v>8.6332000000000004</c:v>
                </c:pt>
                <c:pt idx="364">
                  <c:v>8.8472000000000008</c:v>
                </c:pt>
                <c:pt idx="365">
                  <c:v>8.2302</c:v>
                </c:pt>
                <c:pt idx="366">
                  <c:v>9.3335000000000008</c:v>
                </c:pt>
                <c:pt idx="367">
                  <c:v>8.9499999999999993</c:v>
                </c:pt>
                <c:pt idx="368">
                  <c:v>9.3940000000000001</c:v>
                </c:pt>
                <c:pt idx="369">
                  <c:v>9.6263000000000005</c:v>
                </c:pt>
                <c:pt idx="370">
                  <c:v>8.5650999999999993</c:v>
                </c:pt>
                <c:pt idx="371">
                  <c:v>7.7512999999999996</c:v>
                </c:pt>
                <c:pt idx="372">
                  <c:v>9.4641000000000002</c:v>
                </c:pt>
                <c:pt idx="373">
                  <c:v>9.4388000000000005</c:v>
                </c:pt>
                <c:pt idx="374">
                  <c:v>9.9473000000000003</c:v>
                </c:pt>
                <c:pt idx="375">
                  <c:v>10.325699999999999</c:v>
                </c:pt>
                <c:pt idx="376">
                  <c:v>10.180300000000001</c:v>
                </c:pt>
                <c:pt idx="377">
                  <c:v>10.482900000000001</c:v>
                </c:pt>
                <c:pt idx="378">
                  <c:v>8.8788999999999998</c:v>
                </c:pt>
                <c:pt idx="379">
                  <c:v>8.93</c:v>
                </c:pt>
                <c:pt idx="380">
                  <c:v>7.8578999999999999</c:v>
                </c:pt>
                <c:pt idx="381">
                  <c:v>7.9733000000000001</c:v>
                </c:pt>
                <c:pt idx="382">
                  <c:v>9.1387</c:v>
                </c:pt>
                <c:pt idx="383">
                  <c:v>9.8529999999999998</c:v>
                </c:pt>
                <c:pt idx="384">
                  <c:v>10.3497</c:v>
                </c:pt>
                <c:pt idx="385">
                  <c:v>8.4757999999999996</c:v>
                </c:pt>
                <c:pt idx="386">
                  <c:v>8.8655000000000008</c:v>
                </c:pt>
                <c:pt idx="387">
                  <c:v>7.4267000000000003</c:v>
                </c:pt>
                <c:pt idx="388">
                  <c:v>6.7446000000000002</c:v>
                </c:pt>
                <c:pt idx="389">
                  <c:v>6.7702999999999998</c:v>
                </c:pt>
                <c:pt idx="390">
                  <c:v>6.0575000000000001</c:v>
                </c:pt>
                <c:pt idx="391">
                  <c:v>5.5</c:v>
                </c:pt>
                <c:pt idx="392">
                  <c:v>5.3491999999999997</c:v>
                </c:pt>
                <c:pt idx="393">
                  <c:v>5.3754</c:v>
                </c:pt>
                <c:pt idx="394">
                  <c:v>5.6534000000000004</c:v>
                </c:pt>
                <c:pt idx="395">
                  <c:v>6.0956000000000001</c:v>
                </c:pt>
                <c:pt idx="396">
                  <c:v>5.4093999999999998</c:v>
                </c:pt>
                <c:pt idx="397">
                  <c:v>5.2595999999999998</c:v>
                </c:pt>
                <c:pt idx="398">
                  <c:v>5.6154000000000002</c:v>
                </c:pt>
                <c:pt idx="399">
                  <c:v>5.5585000000000004</c:v>
                </c:pt>
                <c:pt idx="400">
                  <c:v>5.1660000000000004</c:v>
                </c:pt>
                <c:pt idx="401">
                  <c:v>6.1878000000000002</c:v>
                </c:pt>
                <c:pt idx="402">
                  <c:v>6.1733000000000002</c:v>
                </c:pt>
                <c:pt idx="403">
                  <c:v>6.5067000000000004</c:v>
                </c:pt>
                <c:pt idx="404">
                  <c:v>6.6703000000000001</c:v>
                </c:pt>
                <c:pt idx="405">
                  <c:v>6.7099000000000002</c:v>
                </c:pt>
                <c:pt idx="406">
                  <c:v>6.6700999999999997</c:v>
                </c:pt>
                <c:pt idx="407">
                  <c:v>6.7554999999999996</c:v>
                </c:pt>
                <c:pt idx="408">
                  <c:v>6.4927999999999999</c:v>
                </c:pt>
                <c:pt idx="409">
                  <c:v>6.83</c:v>
                </c:pt>
                <c:pt idx="410">
                  <c:v>6.4598000000000004</c:v>
                </c:pt>
                <c:pt idx="411">
                  <c:v>6.2278000000000002</c:v>
                </c:pt>
                <c:pt idx="412">
                  <c:v>6.0491000000000001</c:v>
                </c:pt>
                <c:pt idx="413">
                  <c:v>6.3933999999999997</c:v>
                </c:pt>
                <c:pt idx="414">
                  <c:v>6.9135</c:v>
                </c:pt>
                <c:pt idx="415">
                  <c:v>6.6893000000000002</c:v>
                </c:pt>
                <c:pt idx="416">
                  <c:v>7.44</c:v>
                </c:pt>
                <c:pt idx="417">
                  <c:v>6.6849999999999996</c:v>
                </c:pt>
                <c:pt idx="418">
                  <c:v>6.9348000000000001</c:v>
                </c:pt>
                <c:pt idx="419">
                  <c:v>6.4215</c:v>
                </c:pt>
                <c:pt idx="420">
                  <c:v>7.2824</c:v>
                </c:pt>
                <c:pt idx="421">
                  <c:v>6.5263999999999998</c:v>
                </c:pt>
                <c:pt idx="422">
                  <c:v>5.9278000000000004</c:v>
                </c:pt>
                <c:pt idx="423">
                  <c:v>6.2369000000000003</c:v>
                </c:pt>
                <c:pt idx="424">
                  <c:v>6.1090999999999998</c:v>
                </c:pt>
                <c:pt idx="425">
                  <c:v>5.9150999999999998</c:v>
                </c:pt>
                <c:pt idx="426">
                  <c:v>5.7779999999999996</c:v>
                </c:pt>
                <c:pt idx="427">
                  <c:v>5.9757999999999996</c:v>
                </c:pt>
                <c:pt idx="428">
                  <c:v>6.7952000000000004</c:v>
                </c:pt>
                <c:pt idx="429">
                  <c:v>7.2163000000000004</c:v>
                </c:pt>
                <c:pt idx="430">
                  <c:v>7.2872000000000003</c:v>
                </c:pt>
                <c:pt idx="431">
                  <c:v>6.7977999999999996</c:v>
                </c:pt>
                <c:pt idx="432">
                  <c:v>7.2705000000000002</c:v>
                </c:pt>
                <c:pt idx="433">
                  <c:v>6.1708999999999996</c:v>
                </c:pt>
                <c:pt idx="434">
                  <c:v>5.8364000000000003</c:v>
                </c:pt>
                <c:pt idx="435">
                  <c:v>5.9486999999999997</c:v>
                </c:pt>
                <c:pt idx="436">
                  <c:v>6.0056000000000003</c:v>
                </c:pt>
                <c:pt idx="437">
                  <c:v>5.6932999999999998</c:v>
                </c:pt>
                <c:pt idx="438">
                  <c:v>5.5183999999999997</c:v>
                </c:pt>
                <c:pt idx="439">
                  <c:v>5.6980000000000004</c:v>
                </c:pt>
                <c:pt idx="440">
                  <c:v>5.9240000000000004</c:v>
                </c:pt>
                <c:pt idx="441">
                  <c:v>5.5355999999999996</c:v>
                </c:pt>
                <c:pt idx="442">
                  <c:v>5.9314</c:v>
                </c:pt>
                <c:pt idx="443">
                  <c:v>6.2842000000000002</c:v>
                </c:pt>
                <c:pt idx="444">
                  <c:v>5.99</c:v>
                </c:pt>
                <c:pt idx="445">
                  <c:v>5.6597999999999997</c:v>
                </c:pt>
                <c:pt idx="446">
                  <c:v>5.2106000000000003</c:v>
                </c:pt>
                <c:pt idx="447">
                  <c:v>5.6452</c:v>
                </c:pt>
                <c:pt idx="448">
                  <c:v>4.2000999999999999</c:v>
                </c:pt>
                <c:pt idx="449">
                  <c:v>4.0674000000000001</c:v>
                </c:pt>
                <c:pt idx="450">
                  <c:v>4.1992000000000003</c:v>
                </c:pt>
                <c:pt idx="451">
                  <c:v>4.2190000000000003</c:v>
                </c:pt>
                <c:pt idx="452">
                  <c:v>4.5030000000000001</c:v>
                </c:pt>
                <c:pt idx="453">
                  <c:v>4.3460000000000001</c:v>
                </c:pt>
                <c:pt idx="454">
                  <c:v>4.4065000000000003</c:v>
                </c:pt>
                <c:pt idx="455">
                  <c:v>4.6249000000000002</c:v>
                </c:pt>
                <c:pt idx="456">
                  <c:v>4.8944999999999999</c:v>
                </c:pt>
                <c:pt idx="457">
                  <c:v>5.4476000000000004</c:v>
                </c:pt>
                <c:pt idx="458">
                  <c:v>5.4576000000000002</c:v>
                </c:pt>
                <c:pt idx="459">
                  <c:v>5.73</c:v>
                </c:pt>
                <c:pt idx="460">
                  <c:v>6.0256999999999996</c:v>
                </c:pt>
                <c:pt idx="461">
                  <c:v>5.9767000000000001</c:v>
                </c:pt>
                <c:pt idx="462">
                  <c:v>6.2580999999999998</c:v>
                </c:pt>
                <c:pt idx="463">
                  <c:v>5.7882999999999996</c:v>
                </c:pt>
                <c:pt idx="464">
                  <c:v>5.6132</c:v>
                </c:pt>
                <c:pt idx="465">
                  <c:v>6.1212999999999997</c:v>
                </c:pt>
                <c:pt idx="466">
                  <c:v>6.4961000000000002</c:v>
                </c:pt>
                <c:pt idx="467">
                  <c:v>6.1448</c:v>
                </c:pt>
                <c:pt idx="468">
                  <c:v>6.0076999999999998</c:v>
                </c:pt>
                <c:pt idx="469">
                  <c:v>6.1757999999999997</c:v>
                </c:pt>
                <c:pt idx="470">
                  <c:v>6.4175000000000004</c:v>
                </c:pt>
                <c:pt idx="471">
                  <c:v>6.7039</c:v>
                </c:pt>
                <c:pt idx="472">
                  <c:v>7.0445000000000002</c:v>
                </c:pt>
                <c:pt idx="473">
                  <c:v>6.9372999999999996</c:v>
                </c:pt>
                <c:pt idx="474">
                  <c:v>6.415</c:v>
                </c:pt>
                <c:pt idx="475">
                  <c:v>6.4002999999999997</c:v>
                </c:pt>
                <c:pt idx="476">
                  <c:v>5.6931000000000003</c:v>
                </c:pt>
                <c:pt idx="477">
                  <c:v>5.4611000000000001</c:v>
                </c:pt>
                <c:pt idx="478">
                  <c:v>5.8616000000000001</c:v>
                </c:pt>
                <c:pt idx="479">
                  <c:v>5.8677999999999999</c:v>
                </c:pt>
                <c:pt idx="480">
                  <c:v>5.9965999999999999</c:v>
                </c:pt>
                <c:pt idx="481">
                  <c:v>5.9802999999999997</c:v>
                </c:pt>
                <c:pt idx="482">
                  <c:v>6.0471000000000004</c:v>
                </c:pt>
                <c:pt idx="483">
                  <c:v>6.4226000000000001</c:v>
                </c:pt>
                <c:pt idx="484">
                  <c:v>6.49</c:v>
                </c:pt>
                <c:pt idx="485">
                  <c:v>6.6874000000000002</c:v>
                </c:pt>
                <c:pt idx="486">
                  <c:v>6.5162000000000004</c:v>
                </c:pt>
                <c:pt idx="487">
                  <c:v>6.4901</c:v>
                </c:pt>
                <c:pt idx="488">
                  <c:v>6.9509999999999996</c:v>
                </c:pt>
                <c:pt idx="489">
                  <c:v>7.0080999999999998</c:v>
                </c:pt>
                <c:pt idx="490">
                  <c:v>6.6060999999999996</c:v>
                </c:pt>
                <c:pt idx="491">
                  <c:v>5.7319000000000004</c:v>
                </c:pt>
                <c:pt idx="492">
                  <c:v>6.1931000000000003</c:v>
                </c:pt>
                <c:pt idx="493">
                  <c:v>5.9082999999999997</c:v>
                </c:pt>
                <c:pt idx="494">
                  <c:v>6.5869</c:v>
                </c:pt>
                <c:pt idx="495">
                  <c:v>7.0871000000000004</c:v>
                </c:pt>
                <c:pt idx="496">
                  <c:v>6.0683999999999996</c:v>
                </c:pt>
                <c:pt idx="497">
                  <c:v>6.6071999999999997</c:v>
                </c:pt>
                <c:pt idx="498">
                  <c:v>7.0640000000000001</c:v>
                </c:pt>
                <c:pt idx="499">
                  <c:v>7.431</c:v>
                </c:pt>
                <c:pt idx="500">
                  <c:v>8.2002000000000006</c:v>
                </c:pt>
                <c:pt idx="501">
                  <c:v>8.6079000000000008</c:v>
                </c:pt>
                <c:pt idx="502">
                  <c:v>8.9999000000000002</c:v>
                </c:pt>
                <c:pt idx="503">
                  <c:v>8.8206000000000007</c:v>
                </c:pt>
                <c:pt idx="504">
                  <c:v>8.8284000000000002</c:v>
                </c:pt>
                <c:pt idx="505">
                  <c:v>8.7705000000000002</c:v>
                </c:pt>
                <c:pt idx="506">
                  <c:v>8.5153999999999996</c:v>
                </c:pt>
                <c:pt idx="507">
                  <c:v>9.3196999999999992</c:v>
                </c:pt>
                <c:pt idx="508">
                  <c:v>9.6425999999999998</c:v>
                </c:pt>
                <c:pt idx="509">
                  <c:v>8.1624999999999996</c:v>
                </c:pt>
                <c:pt idx="510">
                  <c:v>10.920500000000001</c:v>
                </c:pt>
                <c:pt idx="511">
                  <c:v>11.0663</c:v>
                </c:pt>
                <c:pt idx="512">
                  <c:v>14.4114</c:v>
                </c:pt>
                <c:pt idx="513">
                  <c:v>15.516</c:v>
                </c:pt>
                <c:pt idx="514">
                  <c:v>13.0663</c:v>
                </c:pt>
                <c:pt idx="515">
                  <c:v>13.7355</c:v>
                </c:pt>
                <c:pt idx="516">
                  <c:v>12.716100000000001</c:v>
                </c:pt>
                <c:pt idx="517">
                  <c:v>12.783899999999999</c:v>
                </c:pt>
                <c:pt idx="518">
                  <c:v>12.1349</c:v>
                </c:pt>
                <c:pt idx="519">
                  <c:v>13.0297</c:v>
                </c:pt>
                <c:pt idx="520">
                  <c:v>11.092499999999999</c:v>
                </c:pt>
                <c:pt idx="521">
                  <c:v>11.7235</c:v>
                </c:pt>
                <c:pt idx="522">
                  <c:v>11.7272</c:v>
                </c:pt>
                <c:pt idx="523">
                  <c:v>12.24</c:v>
                </c:pt>
                <c:pt idx="524">
                  <c:v>10.3254</c:v>
                </c:pt>
                <c:pt idx="525">
                  <c:v>12.286199999999999</c:v>
                </c:pt>
                <c:pt idx="526">
                  <c:v>11.9884</c:v>
                </c:pt>
                <c:pt idx="527">
                  <c:v>12.7277</c:v>
                </c:pt>
                <c:pt idx="528">
                  <c:v>13.636100000000001</c:v>
                </c:pt>
                <c:pt idx="529">
                  <c:v>14.4978</c:v>
                </c:pt>
                <c:pt idx="530">
                  <c:v>14.7</c:v>
                </c:pt>
                <c:pt idx="531">
                  <c:v>13.75</c:v>
                </c:pt>
                <c:pt idx="532">
                  <c:v>14.1816</c:v>
                </c:pt>
                <c:pt idx="533">
                  <c:v>14.753500000000001</c:v>
                </c:pt>
                <c:pt idx="534">
                  <c:v>12.5967</c:v>
                </c:pt>
                <c:pt idx="535">
                  <c:v>14.295400000000001</c:v>
                </c:pt>
                <c:pt idx="536">
                  <c:v>14.901899999999999</c:v>
                </c:pt>
                <c:pt idx="537">
                  <c:v>10.8226</c:v>
                </c:pt>
                <c:pt idx="538">
                  <c:v>8.5418000000000003</c:v>
                </c:pt>
                <c:pt idx="539">
                  <c:v>8.0299999999999994</c:v>
                </c:pt>
                <c:pt idx="540">
                  <c:v>7.1783000000000001</c:v>
                </c:pt>
                <c:pt idx="541">
                  <c:v>4.9935999999999998</c:v>
                </c:pt>
                <c:pt idx="542">
                  <c:v>4.2222999999999997</c:v>
                </c:pt>
                <c:pt idx="543">
                  <c:v>4.0536000000000003</c:v>
                </c:pt>
                <c:pt idx="544">
                  <c:v>3.9975000000000001</c:v>
                </c:pt>
                <c:pt idx="545">
                  <c:v>4.2225000000000001</c:v>
                </c:pt>
                <c:pt idx="546">
                  <c:v>3.9811000000000001</c:v>
                </c:pt>
                <c:pt idx="547">
                  <c:v>3.8997000000000002</c:v>
                </c:pt>
                <c:pt idx="548">
                  <c:v>3.8851</c:v>
                </c:pt>
                <c:pt idx="549">
                  <c:v>3.2919</c:v>
                </c:pt>
                <c:pt idx="550">
                  <c:v>3.8199000000000001</c:v>
                </c:pt>
                <c:pt idx="551">
                  <c:v>4.0701999999999998</c:v>
                </c:pt>
                <c:pt idx="552">
                  <c:v>4.2023000000000001</c:v>
                </c:pt>
                <c:pt idx="553">
                  <c:v>4.4337999999999997</c:v>
                </c:pt>
                <c:pt idx="554">
                  <c:v>4.5500999999999996</c:v>
                </c:pt>
                <c:pt idx="555">
                  <c:v>4.4907000000000004</c:v>
                </c:pt>
                <c:pt idx="556">
                  <c:v>3.9691000000000001</c:v>
                </c:pt>
                <c:pt idx="557">
                  <c:v>4.1801000000000004</c:v>
                </c:pt>
                <c:pt idx="558">
                  <c:v>3.1669999999999998</c:v>
                </c:pt>
                <c:pt idx="559">
                  <c:v>2.5539999999999998</c:v>
                </c:pt>
                <c:pt idx="560">
                  <c:v>2.3944999999999999</c:v>
                </c:pt>
                <c:pt idx="561">
                  <c:v>2.5931999999999999</c:v>
                </c:pt>
                <c:pt idx="562">
                  <c:v>2.4398</c:v>
                </c:pt>
                <c:pt idx="563">
                  <c:v>2.1164999999999998</c:v>
                </c:pt>
                <c:pt idx="564">
                  <c:v>2.0236999999999998</c:v>
                </c:pt>
                <c:pt idx="565">
                  <c:v>1.8796999999999999</c:v>
                </c:pt>
                <c:pt idx="566">
                  <c:v>1.6594</c:v>
                </c:pt>
                <c:pt idx="567">
                  <c:v>1.6952</c:v>
                </c:pt>
                <c:pt idx="568">
                  <c:v>1.6907000000000001</c:v>
                </c:pt>
                <c:pt idx="569">
                  <c:v>1.3567</c:v>
                </c:pt>
                <c:pt idx="570">
                  <c:v>1.212</c:v>
                </c:pt>
                <c:pt idx="571">
                  <c:v>1.0931999999999999</c:v>
                </c:pt>
                <c:pt idx="572">
                  <c:v>1.1073</c:v>
                </c:pt>
                <c:pt idx="573">
                  <c:v>1.0794999999999999</c:v>
                </c:pt>
                <c:pt idx="574">
                  <c:v>1.1006</c:v>
                </c:pt>
                <c:pt idx="575">
                  <c:v>1.0861000000000001</c:v>
                </c:pt>
                <c:pt idx="576">
                  <c:v>1.0959000000000001</c:v>
                </c:pt>
                <c:pt idx="577">
                  <c:v>1.1506000000000001</c:v>
                </c:pt>
                <c:pt idx="578">
                  <c:v>1.1071</c:v>
                </c:pt>
                <c:pt idx="579">
                  <c:v>1.0448999999999999</c:v>
                </c:pt>
                <c:pt idx="580">
                  <c:v>1.1649</c:v>
                </c:pt>
                <c:pt idx="581">
                  <c:v>1.2290000000000001</c:v>
                </c:pt>
                <c:pt idx="582">
                  <c:v>1.2733000000000001</c:v>
                </c:pt>
                <c:pt idx="583">
                  <c:v>1.2994000000000001</c:v>
                </c:pt>
                <c:pt idx="584">
                  <c:v>1.3105</c:v>
                </c:pt>
                <c:pt idx="585">
                  <c:v>1.2439</c:v>
                </c:pt>
                <c:pt idx="586">
                  <c:v>1.2857000000000001</c:v>
                </c:pt>
                <c:pt idx="587">
                  <c:v>1.264</c:v>
                </c:pt>
                <c:pt idx="588">
                  <c:v>1.3203</c:v>
                </c:pt>
                <c:pt idx="589">
                  <c:v>1.2395</c:v>
                </c:pt>
                <c:pt idx="590">
                  <c:v>1.2673000000000001</c:v>
                </c:pt>
                <c:pt idx="591">
                  <c:v>1.3143</c:v>
                </c:pt>
                <c:pt idx="592">
                  <c:v>1.343</c:v>
                </c:pt>
                <c:pt idx="593">
                  <c:v>1.3959999999999999</c:v>
                </c:pt>
                <c:pt idx="594">
                  <c:v>1.296</c:v>
                </c:pt>
                <c:pt idx="595">
                  <c:v>1.18</c:v>
                </c:pt>
                <c:pt idx="596">
                  <c:v>1.4442999999999999</c:v>
                </c:pt>
                <c:pt idx="597">
                  <c:v>1.5439000000000001</c:v>
                </c:pt>
                <c:pt idx="598">
                  <c:v>1.6677999999999999</c:v>
                </c:pt>
                <c:pt idx="599">
                  <c:v>1.5797000000000001</c:v>
                </c:pt>
                <c:pt idx="600">
                  <c:v>1.6457999999999999</c:v>
                </c:pt>
                <c:pt idx="601">
                  <c:v>1.7294</c:v>
                </c:pt>
                <c:pt idx="602">
                  <c:v>1.8402000000000001</c:v>
                </c:pt>
                <c:pt idx="603">
                  <c:v>1.8140000000000001</c:v>
                </c:pt>
                <c:pt idx="604">
                  <c:v>1.6870000000000001</c:v>
                </c:pt>
                <c:pt idx="605">
                  <c:v>1.631</c:v>
                </c:pt>
                <c:pt idx="606">
                  <c:v>1.5111000000000001</c:v>
                </c:pt>
                <c:pt idx="607">
                  <c:v>1.6003000000000001</c:v>
                </c:pt>
                <c:pt idx="608">
                  <c:v>1.3952</c:v>
                </c:pt>
                <c:pt idx="609">
                  <c:v>1.3398000000000001</c:v>
                </c:pt>
                <c:pt idx="610">
                  <c:v>1.593</c:v>
                </c:pt>
                <c:pt idx="611">
                  <c:v>1.1435999999999999</c:v>
                </c:pt>
                <c:pt idx="612">
                  <c:v>1.1638999999999999</c:v>
                </c:pt>
                <c:pt idx="613">
                  <c:v>1.0783</c:v>
                </c:pt>
                <c:pt idx="614">
                  <c:v>1.2444</c:v>
                </c:pt>
                <c:pt idx="615">
                  <c:v>1.3052999999999999</c:v>
                </c:pt>
                <c:pt idx="616">
                  <c:v>1.1568000000000001</c:v>
                </c:pt>
                <c:pt idx="617">
                  <c:v>1.1841999999999999</c:v>
                </c:pt>
                <c:pt idx="618">
                  <c:v>1.0730999999999999</c:v>
                </c:pt>
                <c:pt idx="619">
                  <c:v>1.0299</c:v>
                </c:pt>
                <c:pt idx="620">
                  <c:v>1.0112000000000001</c:v>
                </c:pt>
                <c:pt idx="621">
                  <c:v>1.0447</c:v>
                </c:pt>
                <c:pt idx="622">
                  <c:v>1.0054000000000001</c:v>
                </c:pt>
                <c:pt idx="623">
                  <c:v>1.0289999999999999</c:v>
                </c:pt>
                <c:pt idx="624">
                  <c:v>1.0669</c:v>
                </c:pt>
                <c:pt idx="625">
                  <c:v>1.0376000000000001</c:v>
                </c:pt>
                <c:pt idx="626">
                  <c:v>0.80120000000000002</c:v>
                </c:pt>
                <c:pt idx="627">
                  <c:v>0.88959999999999995</c:v>
                </c:pt>
                <c:pt idx="628">
                  <c:v>1.0188999999999999</c:v>
                </c:pt>
                <c:pt idx="629">
                  <c:v>1.07</c:v>
                </c:pt>
                <c:pt idx="630">
                  <c:v>1.0135000000000001</c:v>
                </c:pt>
                <c:pt idx="631">
                  <c:v>1.0765</c:v>
                </c:pt>
                <c:pt idx="632">
                  <c:v>1.0174000000000001</c:v>
                </c:pt>
                <c:pt idx="633">
                  <c:v>1.0643</c:v>
                </c:pt>
                <c:pt idx="634">
                  <c:v>1.0921000000000001</c:v>
                </c:pt>
                <c:pt idx="635">
                  <c:v>1.1342000000000001</c:v>
                </c:pt>
                <c:pt idx="636">
                  <c:v>1.2591000000000001</c:v>
                </c:pt>
                <c:pt idx="637">
                  <c:v>1.0316000000000001</c:v>
                </c:pt>
                <c:pt idx="638">
                  <c:v>0.86880000000000002</c:v>
                </c:pt>
                <c:pt idx="639">
                  <c:v>0.88349999999999995</c:v>
                </c:pt>
                <c:pt idx="640">
                  <c:v>0.86899999999999999</c:v>
                </c:pt>
                <c:pt idx="641">
                  <c:v>0.85270000000000001</c:v>
                </c:pt>
                <c:pt idx="642">
                  <c:v>0.95479999999999998</c:v>
                </c:pt>
                <c:pt idx="643">
                  <c:v>0.71389999999999998</c:v>
                </c:pt>
                <c:pt idx="644">
                  <c:v>0.62009999999999998</c:v>
                </c:pt>
                <c:pt idx="645">
                  <c:v>0.64670000000000005</c:v>
                </c:pt>
                <c:pt idx="646">
                  <c:v>0.629</c:v>
                </c:pt>
                <c:pt idx="647">
                  <c:v>0.5423</c:v>
                </c:pt>
                <c:pt idx="648">
                  <c:v>0.49990000000000001</c:v>
                </c:pt>
                <c:pt idx="649">
                  <c:v>0.51429999999999998</c:v>
                </c:pt>
                <c:pt idx="650">
                  <c:v>0.50349999999999995</c:v>
                </c:pt>
                <c:pt idx="651">
                  <c:v>0.52039999999999997</c:v>
                </c:pt>
                <c:pt idx="652">
                  <c:v>0.48509999999999998</c:v>
                </c:pt>
                <c:pt idx="653">
                  <c:v>0.53500000000000003</c:v>
                </c:pt>
                <c:pt idx="654">
                  <c:v>0.47310000000000002</c:v>
                </c:pt>
                <c:pt idx="655">
                  <c:v>0.48499999999999999</c:v>
                </c:pt>
                <c:pt idx="656">
                  <c:v>0.44</c:v>
                </c:pt>
                <c:pt idx="657">
                  <c:v>0.35820000000000002</c:v>
                </c:pt>
                <c:pt idx="658">
                  <c:v>0.37930000000000003</c:v>
                </c:pt>
                <c:pt idx="659">
                  <c:v>0.34470000000000001</c:v>
                </c:pt>
                <c:pt idx="660">
                  <c:v>0.32669999999999999</c:v>
                </c:pt>
                <c:pt idx="661">
                  <c:v>0.33289999999999997</c:v>
                </c:pt>
                <c:pt idx="662">
                  <c:v>0.30309999999999998</c:v>
                </c:pt>
                <c:pt idx="663">
                  <c:v>0.31409999999999999</c:v>
                </c:pt>
                <c:pt idx="664">
                  <c:v>0.32840000000000003</c:v>
                </c:pt>
                <c:pt idx="665">
                  <c:v>0.30780000000000002</c:v>
                </c:pt>
                <c:pt idx="666">
                  <c:v>0.28789999999999999</c:v>
                </c:pt>
                <c:pt idx="667">
                  <c:v>0.28970000000000001</c:v>
                </c:pt>
                <c:pt idx="668">
                  <c:v>0.28920000000000001</c:v>
                </c:pt>
                <c:pt idx="669">
                  <c:v>0.26429999999999998</c:v>
                </c:pt>
                <c:pt idx="670">
                  <c:v>0.29239999999999999</c:v>
                </c:pt>
                <c:pt idx="671">
                  <c:v>0.28220000000000001</c:v>
                </c:pt>
                <c:pt idx="672">
                  <c:v>0.2999</c:v>
                </c:pt>
                <c:pt idx="673">
                  <c:v>0.31869999999999998</c:v>
                </c:pt>
                <c:pt idx="674">
                  <c:v>0.34689999999999999</c:v>
                </c:pt>
                <c:pt idx="675">
                  <c:v>0.34499999999999997</c:v>
                </c:pt>
                <c:pt idx="676">
                  <c:v>0.3029</c:v>
                </c:pt>
                <c:pt idx="677">
                  <c:v>0.31140000000000001</c:v>
                </c:pt>
                <c:pt idx="678">
                  <c:v>0.32090000000000002</c:v>
                </c:pt>
                <c:pt idx="679">
                  <c:v>0.33989999999999998</c:v>
                </c:pt>
                <c:pt idx="680">
                  <c:v>0.2772</c:v>
                </c:pt>
                <c:pt idx="681">
                  <c:v>0.26719999999999999</c:v>
                </c:pt>
                <c:pt idx="682">
                  <c:v>0.24429999999999999</c:v>
                </c:pt>
                <c:pt idx="683">
                  <c:v>0.30620000000000003</c:v>
                </c:pt>
                <c:pt idx="684">
                  <c:v>0.32779999999999998</c:v>
                </c:pt>
                <c:pt idx="685">
                  <c:v>0.37269999999999998</c:v>
                </c:pt>
                <c:pt idx="686">
                  <c:v>0.33700000000000002</c:v>
                </c:pt>
                <c:pt idx="687">
                  <c:v>0.61499999999999999</c:v>
                </c:pt>
                <c:pt idx="688">
                  <c:v>0.65249999999999997</c:v>
                </c:pt>
                <c:pt idx="689">
                  <c:v>0.36909999999999998</c:v>
                </c:pt>
                <c:pt idx="690">
                  <c:v>0.38650000000000001</c:v>
                </c:pt>
                <c:pt idx="691">
                  <c:v>0.49059999999999998</c:v>
                </c:pt>
                <c:pt idx="692">
                  <c:v>0.52370000000000005</c:v>
                </c:pt>
                <c:pt idx="693">
                  <c:v>0.44719999999999999</c:v>
                </c:pt>
                <c:pt idx="694">
                  <c:v>0.4743</c:v>
                </c:pt>
                <c:pt idx="695">
                  <c:v>0.41899999999999998</c:v>
                </c:pt>
                <c:pt idx="696">
                  <c:v>0.36230000000000001</c:v>
                </c:pt>
                <c:pt idx="697">
                  <c:v>0.378</c:v>
                </c:pt>
                <c:pt idx="698">
                  <c:v>0.32150000000000001</c:v>
                </c:pt>
                <c:pt idx="699">
                  <c:v>0.33660000000000001</c:v>
                </c:pt>
                <c:pt idx="700">
                  <c:v>0.30130000000000001</c:v>
                </c:pt>
                <c:pt idx="701">
                  <c:v>0.28310000000000002</c:v>
                </c:pt>
                <c:pt idx="702">
                  <c:v>0.31669999999999998</c:v>
                </c:pt>
                <c:pt idx="703">
                  <c:v>0.34889999999999999</c:v>
                </c:pt>
                <c:pt idx="704">
                  <c:v>0.38540000000000002</c:v>
                </c:pt>
                <c:pt idx="705">
                  <c:v>0.36880000000000002</c:v>
                </c:pt>
                <c:pt idx="706">
                  <c:v>0.40260000000000001</c:v>
                </c:pt>
                <c:pt idx="707">
                  <c:v>0.36520000000000002</c:v>
                </c:pt>
                <c:pt idx="708">
                  <c:v>0.3523</c:v>
                </c:pt>
                <c:pt idx="709">
                  <c:v>0.34</c:v>
                </c:pt>
                <c:pt idx="710">
                  <c:v>0.29830000000000001</c:v>
                </c:pt>
                <c:pt idx="711">
                  <c:v>0.31</c:v>
                </c:pt>
                <c:pt idx="712">
                  <c:v>0.32079999999999997</c:v>
                </c:pt>
                <c:pt idx="713">
                  <c:v>0.35759999999999997</c:v>
                </c:pt>
                <c:pt idx="714">
                  <c:v>0.36849999999999999</c:v>
                </c:pt>
                <c:pt idx="715">
                  <c:v>0.3775</c:v>
                </c:pt>
                <c:pt idx="716">
                  <c:v>0.36109999999999998</c:v>
                </c:pt>
                <c:pt idx="717">
                  <c:v>0.35239999999999999</c:v>
                </c:pt>
                <c:pt idx="718">
                  <c:v>0.35830000000000001</c:v>
                </c:pt>
                <c:pt idx="719">
                  <c:v>0.3</c:v>
                </c:pt>
                <c:pt idx="720">
                  <c:v>0.31940000000000002</c:v>
                </c:pt>
                <c:pt idx="721">
                  <c:v>0.28599999999999998</c:v>
                </c:pt>
                <c:pt idx="722">
                  <c:v>0.2626</c:v>
                </c:pt>
                <c:pt idx="723">
                  <c:v>0.26939999999999997</c:v>
                </c:pt>
                <c:pt idx="724">
                  <c:v>0.25679999999999997</c:v>
                </c:pt>
                <c:pt idx="725">
                  <c:v>0.2525</c:v>
                </c:pt>
                <c:pt idx="726">
                  <c:v>0.24979999999999999</c:v>
                </c:pt>
                <c:pt idx="727">
                  <c:v>0.25619999999999998</c:v>
                </c:pt>
                <c:pt idx="728">
                  <c:v>0.23</c:v>
                </c:pt>
                <c:pt idx="729">
                  <c:v>0.23269999999999999</c:v>
                </c:pt>
                <c:pt idx="730">
                  <c:v>0.24529999999999999</c:v>
                </c:pt>
                <c:pt idx="731">
                  <c:v>0.24779999999999999</c:v>
                </c:pt>
                <c:pt idx="732">
                  <c:v>0.25</c:v>
                </c:pt>
                <c:pt idx="733">
                  <c:v>0.24940000000000001</c:v>
                </c:pt>
                <c:pt idx="734">
                  <c:v>0.2339</c:v>
                </c:pt>
                <c:pt idx="735">
                  <c:v>0.23649999999999999</c:v>
                </c:pt>
                <c:pt idx="736">
                  <c:v>0.24759999999999999</c:v>
                </c:pt>
                <c:pt idx="737">
                  <c:v>0.2399</c:v>
                </c:pt>
                <c:pt idx="738">
                  <c:v>0.23519999999999999</c:v>
                </c:pt>
                <c:pt idx="739">
                  <c:v>0.2379</c:v>
                </c:pt>
                <c:pt idx="740">
                  <c:v>0.2414</c:v>
                </c:pt>
                <c:pt idx="741">
                  <c:v>0.2417</c:v>
                </c:pt>
                <c:pt idx="742">
                  <c:v>0.24329999999999999</c:v>
                </c:pt>
                <c:pt idx="743">
                  <c:v>0.24049999999999999</c:v>
                </c:pt>
                <c:pt idx="744">
                  <c:v>0.25130000000000002</c:v>
                </c:pt>
                <c:pt idx="745">
                  <c:v>0.2349</c:v>
                </c:pt>
                <c:pt idx="746">
                  <c:v>0.2432</c:v>
                </c:pt>
                <c:pt idx="747">
                  <c:v>0.23300000000000001</c:v>
                </c:pt>
                <c:pt idx="748">
                  <c:v>0.2329</c:v>
                </c:pt>
                <c:pt idx="749">
                  <c:v>0.23200000000000001</c:v>
                </c:pt>
                <c:pt idx="750">
                  <c:v>0.22700000000000001</c:v>
                </c:pt>
                <c:pt idx="751">
                  <c:v>0.2298</c:v>
                </c:pt>
                <c:pt idx="752">
                  <c:v>0.23980000000000001</c:v>
                </c:pt>
                <c:pt idx="753">
                  <c:v>0.2321</c:v>
                </c:pt>
                <c:pt idx="754">
                  <c:v>0.23080000000000001</c:v>
                </c:pt>
                <c:pt idx="755">
                  <c:v>0.23180000000000001</c:v>
                </c:pt>
                <c:pt idx="756">
                  <c:v>0.21890000000000001</c:v>
                </c:pt>
                <c:pt idx="757">
                  <c:v>0.23699999999999999</c:v>
                </c:pt>
                <c:pt idx="862">
                  <c:v>0.63829999999999998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E6-4B32-8FBB-196380952D6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862">
                  <c:v>43726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0.22266804829212775</c:v>
                </c:pt>
                <c:pt idx="1">
                  <c:v>0.22407321035095126</c:v>
                </c:pt>
                <c:pt idx="2">
                  <c:v>0.23745636512168294</c:v>
                </c:pt>
                <c:pt idx="3">
                  <c:v>0.24288479941119342</c:v>
                </c:pt>
                <c:pt idx="4">
                  <c:v>0.23915989169496607</c:v>
                </c:pt>
                <c:pt idx="5">
                  <c:v>0.23821554048651539</c:v>
                </c:pt>
                <c:pt idx="6">
                  <c:v>0.2433262028365154</c:v>
                </c:pt>
                <c:pt idx="7">
                  <c:v>0.25662806714566028</c:v>
                </c:pt>
                <c:pt idx="8">
                  <c:v>0.26521593897810231</c:v>
                </c:pt>
                <c:pt idx="9">
                  <c:v>0.26763659889476898</c:v>
                </c:pt>
                <c:pt idx="10">
                  <c:v>0.27109000587378995</c:v>
                </c:pt>
                <c:pt idx="11">
                  <c:v>0.2752319469958372</c:v>
                </c:pt>
                <c:pt idx="12">
                  <c:v>0.27867456891364545</c:v>
                </c:pt>
                <c:pt idx="13">
                  <c:v>0.27707458774192828</c:v>
                </c:pt>
                <c:pt idx="14">
                  <c:v>0.28003327824192831</c:v>
                </c:pt>
                <c:pt idx="15">
                  <c:v>0.27810763113779902</c:v>
                </c:pt>
                <c:pt idx="16">
                  <c:v>0.27173460667102928</c:v>
                </c:pt>
                <c:pt idx="17">
                  <c:v>0.26677247219001665</c:v>
                </c:pt>
                <c:pt idx="18">
                  <c:v>0.26888799550127496</c:v>
                </c:pt>
                <c:pt idx="19">
                  <c:v>0.26328082520715729</c:v>
                </c:pt>
                <c:pt idx="20">
                  <c:v>0.27109208697638804</c:v>
                </c:pt>
                <c:pt idx="21">
                  <c:v>0.28353843580354854</c:v>
                </c:pt>
                <c:pt idx="22">
                  <c:v>0.29940305975568304</c:v>
                </c:pt>
                <c:pt idx="23">
                  <c:v>0.30535020144982622</c:v>
                </c:pt>
                <c:pt idx="24">
                  <c:v>0.3119339473904203</c:v>
                </c:pt>
                <c:pt idx="25">
                  <c:v>0.30340952232996687</c:v>
                </c:pt>
                <c:pt idx="26">
                  <c:v>0.30148083642430645</c:v>
                </c:pt>
                <c:pt idx="27">
                  <c:v>0.29824414159801538</c:v>
                </c:pt>
                <c:pt idx="28">
                  <c:v>0.30141344282838189</c:v>
                </c:pt>
                <c:pt idx="29">
                  <c:v>0.29979818676797926</c:v>
                </c:pt>
                <c:pt idx="30">
                  <c:v>0.30311955353575171</c:v>
                </c:pt>
                <c:pt idx="31">
                  <c:v>0.30998224315308021</c:v>
                </c:pt>
                <c:pt idx="32">
                  <c:v>0.31705039991097494</c:v>
                </c:pt>
                <c:pt idx="33">
                  <c:v>0.31214493599773291</c:v>
                </c:pt>
                <c:pt idx="34">
                  <c:v>0.31060514153619451</c:v>
                </c:pt>
                <c:pt idx="35">
                  <c:v>0.31303339898325327</c:v>
                </c:pt>
                <c:pt idx="36">
                  <c:v>0.30355422413646577</c:v>
                </c:pt>
                <c:pt idx="37">
                  <c:v>0.30505195721754691</c:v>
                </c:pt>
                <c:pt idx="38">
                  <c:v>0.30279436224154688</c:v>
                </c:pt>
                <c:pt idx="39">
                  <c:v>0.30326617649154691</c:v>
                </c:pt>
                <c:pt idx="40">
                  <c:v>0.30746002545450984</c:v>
                </c:pt>
                <c:pt idx="41">
                  <c:v>0.30664531418098684</c:v>
                </c:pt>
                <c:pt idx="42">
                  <c:v>0.31048742578003219</c:v>
                </c:pt>
                <c:pt idx="43">
                  <c:v>0.31628062110611921</c:v>
                </c:pt>
                <c:pt idx="44">
                  <c:v>0.31105382115823649</c:v>
                </c:pt>
                <c:pt idx="45">
                  <c:v>0.30620003029903065</c:v>
                </c:pt>
                <c:pt idx="46">
                  <c:v>0.3128318479160519</c:v>
                </c:pt>
                <c:pt idx="47">
                  <c:v>0.31060444923073727</c:v>
                </c:pt>
                <c:pt idx="48">
                  <c:v>0.31020882692005769</c:v>
                </c:pt>
                <c:pt idx="49">
                  <c:v>0.31709122760633213</c:v>
                </c:pt>
                <c:pt idx="50">
                  <c:v>0.32338371565647145</c:v>
                </c:pt>
                <c:pt idx="51">
                  <c:v>0.31552152333970129</c:v>
                </c:pt>
                <c:pt idx="52">
                  <c:v>0.31869764497730346</c:v>
                </c:pt>
                <c:pt idx="53">
                  <c:v>0.31249942668181357</c:v>
                </c:pt>
                <c:pt idx="54">
                  <c:v>0.31860226259191349</c:v>
                </c:pt>
                <c:pt idx="55">
                  <c:v>0.31640219864727359</c:v>
                </c:pt>
                <c:pt idx="56">
                  <c:v>0.32332282850640887</c:v>
                </c:pt>
                <c:pt idx="57">
                  <c:v>0.31072885280595502</c:v>
                </c:pt>
                <c:pt idx="58">
                  <c:v>0.31479164770303908</c:v>
                </c:pt>
                <c:pt idx="59">
                  <c:v>0.32220828172841975</c:v>
                </c:pt>
                <c:pt idx="60">
                  <c:v>0.33571757177373057</c:v>
                </c:pt>
                <c:pt idx="61">
                  <c:v>0.33754053107580362</c:v>
                </c:pt>
                <c:pt idx="62">
                  <c:v>0.33205784399873589</c:v>
                </c:pt>
                <c:pt idx="63">
                  <c:v>0.32968481739985955</c:v>
                </c:pt>
                <c:pt idx="64">
                  <c:v>0.32021471134183244</c:v>
                </c:pt>
                <c:pt idx="65">
                  <c:v>0.32214175409010032</c:v>
                </c:pt>
                <c:pt idx="66">
                  <c:v>0.3178581347081908</c:v>
                </c:pt>
                <c:pt idx="67">
                  <c:v>0.32199348354238766</c:v>
                </c:pt>
                <c:pt idx="68">
                  <c:v>0.32736113856035171</c:v>
                </c:pt>
                <c:pt idx="69">
                  <c:v>0.32507572179907085</c:v>
                </c:pt>
                <c:pt idx="70">
                  <c:v>0.31990830353619104</c:v>
                </c:pt>
                <c:pt idx="71">
                  <c:v>0.32390528298609278</c:v>
                </c:pt>
                <c:pt idx="72">
                  <c:v>0.31956183424415735</c:v>
                </c:pt>
                <c:pt idx="73">
                  <c:v>0.323000684770616</c:v>
                </c:pt>
                <c:pt idx="74">
                  <c:v>0.33232381386370474</c:v>
                </c:pt>
                <c:pt idx="75">
                  <c:v>0.33404635539311645</c:v>
                </c:pt>
                <c:pt idx="76">
                  <c:v>0.32878194929906657</c:v>
                </c:pt>
                <c:pt idx="77">
                  <c:v>0.3310268832047738</c:v>
                </c:pt>
                <c:pt idx="78">
                  <c:v>0.33089505353705234</c:v>
                </c:pt>
                <c:pt idx="79">
                  <c:v>0.33789621859040597</c:v>
                </c:pt>
                <c:pt idx="80">
                  <c:v>0.35057145434692766</c:v>
                </c:pt>
                <c:pt idx="81">
                  <c:v>0.3449252082427286</c:v>
                </c:pt>
                <c:pt idx="82">
                  <c:v>0.34582659061427012</c:v>
                </c:pt>
                <c:pt idx="83">
                  <c:v>0.34555518465654655</c:v>
                </c:pt>
                <c:pt idx="84">
                  <c:v>0.35244674746879145</c:v>
                </c:pt>
                <c:pt idx="85">
                  <c:v>0.35646344090756704</c:v>
                </c:pt>
                <c:pt idx="86">
                  <c:v>0.34592387822427517</c:v>
                </c:pt>
                <c:pt idx="87">
                  <c:v>0.35457907677436967</c:v>
                </c:pt>
                <c:pt idx="88">
                  <c:v>0.3551797721564835</c:v>
                </c:pt>
                <c:pt idx="89">
                  <c:v>0.33670916985340771</c:v>
                </c:pt>
                <c:pt idx="90">
                  <c:v>0.33169903579557641</c:v>
                </c:pt>
                <c:pt idx="91">
                  <c:v>0.32526402662334447</c:v>
                </c:pt>
                <c:pt idx="92">
                  <c:v>0.33484727844313761</c:v>
                </c:pt>
                <c:pt idx="93">
                  <c:v>0.34607562246927331</c:v>
                </c:pt>
                <c:pt idx="94">
                  <c:v>0.34281184905831436</c:v>
                </c:pt>
                <c:pt idx="95">
                  <c:v>0.33932161377010472</c:v>
                </c:pt>
                <c:pt idx="96">
                  <c:v>0.34256887329766378</c:v>
                </c:pt>
                <c:pt idx="97">
                  <c:v>0.33897513156974007</c:v>
                </c:pt>
                <c:pt idx="98">
                  <c:v>0.34258677362149298</c:v>
                </c:pt>
                <c:pt idx="99">
                  <c:v>0.34619514319164219</c:v>
                </c:pt>
                <c:pt idx="100">
                  <c:v>0.34399281807992554</c:v>
                </c:pt>
                <c:pt idx="101">
                  <c:v>0.34494100790637178</c:v>
                </c:pt>
                <c:pt idx="102">
                  <c:v>0.34596913054810402</c:v>
                </c:pt>
                <c:pt idx="103">
                  <c:v>0.34664751866256943</c:v>
                </c:pt>
                <c:pt idx="104">
                  <c:v>0.34738056256380401</c:v>
                </c:pt>
                <c:pt idx="105">
                  <c:v>0.34157284166725227</c:v>
                </c:pt>
                <c:pt idx="106">
                  <c:v>0.33868501006016688</c:v>
                </c:pt>
                <c:pt idx="107">
                  <c:v>0.33520361925160269</c:v>
                </c:pt>
                <c:pt idx="108">
                  <c:v>0.33165229623850939</c:v>
                </c:pt>
                <c:pt idx="109">
                  <c:v>0.33273341917968591</c:v>
                </c:pt>
                <c:pt idx="110">
                  <c:v>0.3377407268024929</c:v>
                </c:pt>
                <c:pt idx="111">
                  <c:v>0.3364529853024929</c:v>
                </c:pt>
                <c:pt idx="112">
                  <c:v>0.34565373234632218</c:v>
                </c:pt>
                <c:pt idx="113">
                  <c:v>0.34370869623590222</c:v>
                </c:pt>
                <c:pt idx="114">
                  <c:v>0.33957408547221346</c:v>
                </c:pt>
                <c:pt idx="115">
                  <c:v>0.33867488568010429</c:v>
                </c:pt>
                <c:pt idx="116">
                  <c:v>0.33708969618172235</c:v>
                </c:pt>
                <c:pt idx="117">
                  <c:v>0.33624095186354053</c:v>
                </c:pt>
                <c:pt idx="118">
                  <c:v>0.33722939834319177</c:v>
                </c:pt>
                <c:pt idx="119">
                  <c:v>0.32785821483280597</c:v>
                </c:pt>
                <c:pt idx="120">
                  <c:v>0.32633378436165211</c:v>
                </c:pt>
                <c:pt idx="121">
                  <c:v>0.32760781066220873</c:v>
                </c:pt>
                <c:pt idx="122">
                  <c:v>0.33117851111675417</c:v>
                </c:pt>
                <c:pt idx="123">
                  <c:v>0.33792271483904879</c:v>
                </c:pt>
                <c:pt idx="124">
                  <c:v>0.33404942341504884</c:v>
                </c:pt>
                <c:pt idx="125">
                  <c:v>0.33028722112067654</c:v>
                </c:pt>
                <c:pt idx="126">
                  <c:v>0.33535249236778081</c:v>
                </c:pt>
                <c:pt idx="127">
                  <c:v>0.3263496943201617</c:v>
                </c:pt>
                <c:pt idx="128">
                  <c:v>0.31542986255718419</c:v>
                </c:pt>
                <c:pt idx="129">
                  <c:v>0.32101373585055976</c:v>
                </c:pt>
                <c:pt idx="130">
                  <c:v>0.32571004827263766</c:v>
                </c:pt>
                <c:pt idx="131">
                  <c:v>0.32876564688730225</c:v>
                </c:pt>
                <c:pt idx="132">
                  <c:v>0.32779911126804295</c:v>
                </c:pt>
                <c:pt idx="133">
                  <c:v>0.33403794222276734</c:v>
                </c:pt>
                <c:pt idx="134">
                  <c:v>0.33491355251762311</c:v>
                </c:pt>
                <c:pt idx="135">
                  <c:v>0.3348522576643807</c:v>
                </c:pt>
                <c:pt idx="136">
                  <c:v>0.32671777502438065</c:v>
                </c:pt>
                <c:pt idx="137">
                  <c:v>0.32339990860387546</c:v>
                </c:pt>
                <c:pt idx="138">
                  <c:v>0.31382081023395325</c:v>
                </c:pt>
                <c:pt idx="139">
                  <c:v>0.31753254561577143</c:v>
                </c:pt>
                <c:pt idx="140">
                  <c:v>0.32849755833005712</c:v>
                </c:pt>
                <c:pt idx="141">
                  <c:v>0.32381570396551101</c:v>
                </c:pt>
                <c:pt idx="142">
                  <c:v>0.31908051478385635</c:v>
                </c:pt>
                <c:pt idx="143">
                  <c:v>0.33123073582055573</c:v>
                </c:pt>
                <c:pt idx="144">
                  <c:v>0.32294491875460707</c:v>
                </c:pt>
                <c:pt idx="145">
                  <c:v>0.3188375470601626</c:v>
                </c:pt>
                <c:pt idx="146">
                  <c:v>0.32239132918401803</c:v>
                </c:pt>
                <c:pt idx="147">
                  <c:v>0.3109737006008742</c:v>
                </c:pt>
                <c:pt idx="148">
                  <c:v>0.32176048680498448</c:v>
                </c:pt>
                <c:pt idx="149">
                  <c:v>0.31225986806153755</c:v>
                </c:pt>
                <c:pt idx="150">
                  <c:v>0.30936391541622499</c:v>
                </c:pt>
                <c:pt idx="151">
                  <c:v>0.32007519473342244</c:v>
                </c:pt>
                <c:pt idx="152">
                  <c:v>0.31805654092000757</c:v>
                </c:pt>
                <c:pt idx="153">
                  <c:v>0.32204908019033013</c:v>
                </c:pt>
                <c:pt idx="154">
                  <c:v>0.31363950414800768</c:v>
                </c:pt>
                <c:pt idx="155">
                  <c:v>0.32450548066053519</c:v>
                </c:pt>
                <c:pt idx="156">
                  <c:v>0.31184495437354093</c:v>
                </c:pt>
                <c:pt idx="157">
                  <c:v>0.32708063818262573</c:v>
                </c:pt>
                <c:pt idx="158">
                  <c:v>0.32008177369246027</c:v>
                </c:pt>
                <c:pt idx="159">
                  <c:v>0.31827525705019238</c:v>
                </c:pt>
                <c:pt idx="160">
                  <c:v>0.31767030319170636</c:v>
                </c:pt>
                <c:pt idx="161">
                  <c:v>0.3108565297191091</c:v>
                </c:pt>
                <c:pt idx="162">
                  <c:v>0.2994202321877511</c:v>
                </c:pt>
                <c:pt idx="163">
                  <c:v>0.30288053822952848</c:v>
                </c:pt>
                <c:pt idx="164">
                  <c:v>0.32246872054313092</c:v>
                </c:pt>
                <c:pt idx="165">
                  <c:v>0.32839296800764706</c:v>
                </c:pt>
                <c:pt idx="166">
                  <c:v>0.32356484872764701</c:v>
                </c:pt>
                <c:pt idx="167">
                  <c:v>0.32072250071015579</c:v>
                </c:pt>
                <c:pt idx="168">
                  <c:v>0.31348829383479737</c:v>
                </c:pt>
                <c:pt idx="169">
                  <c:v>0.31603866619793497</c:v>
                </c:pt>
                <c:pt idx="170">
                  <c:v>0.32647836182986373</c:v>
                </c:pt>
                <c:pt idx="171">
                  <c:v>0.31864037941828344</c:v>
                </c:pt>
                <c:pt idx="172">
                  <c:v>0.30933054595560128</c:v>
                </c:pt>
                <c:pt idx="173">
                  <c:v>0.31947655386809781</c:v>
                </c:pt>
                <c:pt idx="174">
                  <c:v>0.31957526268029907</c:v>
                </c:pt>
                <c:pt idx="175">
                  <c:v>0.31648154013786334</c:v>
                </c:pt>
                <c:pt idx="176">
                  <c:v>0.30349579581662289</c:v>
                </c:pt>
                <c:pt idx="177">
                  <c:v>0.30021359748762078</c:v>
                </c:pt>
                <c:pt idx="178">
                  <c:v>0.29731225586929966</c:v>
                </c:pt>
                <c:pt idx="179">
                  <c:v>0.29951473743135443</c:v>
                </c:pt>
                <c:pt idx="180">
                  <c:v>0.3085053893330687</c:v>
                </c:pt>
                <c:pt idx="181">
                  <c:v>0.30437519612104336</c:v>
                </c:pt>
                <c:pt idx="182">
                  <c:v>0.29505717095959205</c:v>
                </c:pt>
                <c:pt idx="183">
                  <c:v>0.28286655255806192</c:v>
                </c:pt>
                <c:pt idx="184">
                  <c:v>0.28459505198715285</c:v>
                </c:pt>
                <c:pt idx="185">
                  <c:v>0.27752575112145794</c:v>
                </c:pt>
                <c:pt idx="186">
                  <c:v>0.29174664747556273</c:v>
                </c:pt>
                <c:pt idx="187">
                  <c:v>0.28717256894886894</c:v>
                </c:pt>
                <c:pt idx="188">
                  <c:v>0.28744100659549493</c:v>
                </c:pt>
                <c:pt idx="189">
                  <c:v>0.27937685650419858</c:v>
                </c:pt>
                <c:pt idx="190">
                  <c:v>0.27868988317476723</c:v>
                </c:pt>
                <c:pt idx="191">
                  <c:v>0.27213449437416182</c:v>
                </c:pt>
                <c:pt idx="192">
                  <c:v>0.27632666569674502</c:v>
                </c:pt>
                <c:pt idx="193">
                  <c:v>0.28107550452999991</c:v>
                </c:pt>
                <c:pt idx="194">
                  <c:v>0.28701855333261772</c:v>
                </c:pt>
                <c:pt idx="195">
                  <c:v>0.28555267387958866</c:v>
                </c:pt>
                <c:pt idx="196">
                  <c:v>0.29501436655761998</c:v>
                </c:pt>
                <c:pt idx="197">
                  <c:v>0.30256607196744034</c:v>
                </c:pt>
                <c:pt idx="198">
                  <c:v>0.30499716939698579</c:v>
                </c:pt>
                <c:pt idx="199">
                  <c:v>0.31577245540275212</c:v>
                </c:pt>
                <c:pt idx="200">
                  <c:v>0.3174437835746623</c:v>
                </c:pt>
                <c:pt idx="201">
                  <c:v>0.31310037308417221</c:v>
                </c:pt>
                <c:pt idx="202">
                  <c:v>0.31883542433864509</c:v>
                </c:pt>
                <c:pt idx="203">
                  <c:v>0.31174688317743693</c:v>
                </c:pt>
                <c:pt idx="204">
                  <c:v>0.32213487648647049</c:v>
                </c:pt>
                <c:pt idx="205">
                  <c:v>0.32241542734248801</c:v>
                </c:pt>
                <c:pt idx="206">
                  <c:v>0.3218630623229925</c:v>
                </c:pt>
                <c:pt idx="207">
                  <c:v>0.32471909306356694</c:v>
                </c:pt>
                <c:pt idx="208">
                  <c:v>0.31882037066193852</c:v>
                </c:pt>
                <c:pt idx="209">
                  <c:v>0.31409494091722001</c:v>
                </c:pt>
                <c:pt idx="210">
                  <c:v>0.30903219984130376</c:v>
                </c:pt>
                <c:pt idx="211">
                  <c:v>0.31449399744570178</c:v>
                </c:pt>
                <c:pt idx="212">
                  <c:v>0.30753489667085748</c:v>
                </c:pt>
                <c:pt idx="213">
                  <c:v>0.28921310357633795</c:v>
                </c:pt>
                <c:pt idx="214">
                  <c:v>0.29018433811251837</c:v>
                </c:pt>
                <c:pt idx="215">
                  <c:v>0.28151385442767379</c:v>
                </c:pt>
                <c:pt idx="216">
                  <c:v>0.28130781409957145</c:v>
                </c:pt>
                <c:pt idx="217">
                  <c:v>0.29630768740739977</c:v>
                </c:pt>
                <c:pt idx="218">
                  <c:v>0.28554686183174627</c:v>
                </c:pt>
                <c:pt idx="219">
                  <c:v>0.26620621571350339</c:v>
                </c:pt>
                <c:pt idx="220">
                  <c:v>0.26265117944641481</c:v>
                </c:pt>
                <c:pt idx="221">
                  <c:v>0.27870954936272235</c:v>
                </c:pt>
                <c:pt idx="222">
                  <c:v>0.2734856998533734</c:v>
                </c:pt>
                <c:pt idx="223">
                  <c:v>0.28156950954229787</c:v>
                </c:pt>
                <c:pt idx="224">
                  <c:v>0.28702674353764157</c:v>
                </c:pt>
                <c:pt idx="225">
                  <c:v>0.28623676440184492</c:v>
                </c:pt>
                <c:pt idx="226">
                  <c:v>0.29552510249665093</c:v>
                </c:pt>
                <c:pt idx="227">
                  <c:v>0.31090922635100443</c:v>
                </c:pt>
                <c:pt idx="228">
                  <c:v>0.29877460547219087</c:v>
                </c:pt>
                <c:pt idx="229">
                  <c:v>0.28823128003083492</c:v>
                </c:pt>
                <c:pt idx="230">
                  <c:v>0.28495652539035871</c:v>
                </c:pt>
                <c:pt idx="231">
                  <c:v>0.29230670893032323</c:v>
                </c:pt>
                <c:pt idx="232">
                  <c:v>0.29973841945823831</c:v>
                </c:pt>
                <c:pt idx="233">
                  <c:v>0.28682294041150908</c:v>
                </c:pt>
                <c:pt idx="234">
                  <c:v>0.28149359450657785</c:v>
                </c:pt>
                <c:pt idx="235">
                  <c:v>0.29162555755349967</c:v>
                </c:pt>
                <c:pt idx="236">
                  <c:v>0.28671912176090708</c:v>
                </c:pt>
                <c:pt idx="237">
                  <c:v>0.29279218179026067</c:v>
                </c:pt>
                <c:pt idx="238">
                  <c:v>0.29982774380633809</c:v>
                </c:pt>
                <c:pt idx="239">
                  <c:v>0.29270427396162929</c:v>
                </c:pt>
                <c:pt idx="240">
                  <c:v>0.2935838974418582</c:v>
                </c:pt>
                <c:pt idx="241">
                  <c:v>0.30184217732683677</c:v>
                </c:pt>
                <c:pt idx="242">
                  <c:v>0.26540890303448345</c:v>
                </c:pt>
                <c:pt idx="243">
                  <c:v>0.25826753802718133</c:v>
                </c:pt>
                <c:pt idx="244">
                  <c:v>0.26469809452991988</c:v>
                </c:pt>
                <c:pt idx="245">
                  <c:v>0.27491767680636325</c:v>
                </c:pt>
                <c:pt idx="246">
                  <c:v>0.27940213249460316</c:v>
                </c:pt>
                <c:pt idx="247">
                  <c:v>0.26711807596888887</c:v>
                </c:pt>
                <c:pt idx="248">
                  <c:v>0.26307832614874505</c:v>
                </c:pt>
                <c:pt idx="249">
                  <c:v>0.24301534357604659</c:v>
                </c:pt>
                <c:pt idx="250">
                  <c:v>0.24141891544379215</c:v>
                </c:pt>
                <c:pt idx="251">
                  <c:v>0.24119078700163499</c:v>
                </c:pt>
                <c:pt idx="252">
                  <c:v>0.25032582060826902</c:v>
                </c:pt>
                <c:pt idx="253">
                  <c:v>0.23014529198569347</c:v>
                </c:pt>
                <c:pt idx="254">
                  <c:v>0.24336107207636912</c:v>
                </c:pt>
                <c:pt idx="255">
                  <c:v>0.23616565714363197</c:v>
                </c:pt>
                <c:pt idx="256">
                  <c:v>0.24665803297414041</c:v>
                </c:pt>
                <c:pt idx="257">
                  <c:v>0.24777995945521639</c:v>
                </c:pt>
                <c:pt idx="258">
                  <c:v>0.25961165196374664</c:v>
                </c:pt>
                <c:pt idx="259">
                  <c:v>0.25854818780805494</c:v>
                </c:pt>
                <c:pt idx="260">
                  <c:v>0.25818630040833096</c:v>
                </c:pt>
                <c:pt idx="261">
                  <c:v>0.28274770487459794</c:v>
                </c:pt>
                <c:pt idx="262">
                  <c:v>0.27146176025211433</c:v>
                </c:pt>
                <c:pt idx="263">
                  <c:v>0.28156434778849437</c:v>
                </c:pt>
                <c:pt idx="264">
                  <c:v>0.27040092291042206</c:v>
                </c:pt>
                <c:pt idx="265">
                  <c:v>0.27266416636360424</c:v>
                </c:pt>
                <c:pt idx="266">
                  <c:v>0.2839543143584915</c:v>
                </c:pt>
                <c:pt idx="267">
                  <c:v>0.29475186170573919</c:v>
                </c:pt>
                <c:pt idx="268">
                  <c:v>0.29268956015070707</c:v>
                </c:pt>
                <c:pt idx="269">
                  <c:v>0.27723633335419023</c:v>
                </c:pt>
                <c:pt idx="270">
                  <c:v>0.27661039264513826</c:v>
                </c:pt>
                <c:pt idx="271">
                  <c:v>0.28017201484062215</c:v>
                </c:pt>
                <c:pt idx="272">
                  <c:v>0.26441838369701465</c:v>
                </c:pt>
                <c:pt idx="273">
                  <c:v>0.2535488915286388</c:v>
                </c:pt>
                <c:pt idx="274">
                  <c:v>0.25884994861900112</c:v>
                </c:pt>
                <c:pt idx="275">
                  <c:v>0.23966899444896822</c:v>
                </c:pt>
                <c:pt idx="276">
                  <c:v>0.22193675483217504</c:v>
                </c:pt>
                <c:pt idx="277">
                  <c:v>0.20930698536191225</c:v>
                </c:pt>
                <c:pt idx="278">
                  <c:v>0.21168910994966153</c:v>
                </c:pt>
                <c:pt idx="279">
                  <c:v>0.22325366498581112</c:v>
                </c:pt>
                <c:pt idx="280">
                  <c:v>0.21879804942489325</c:v>
                </c:pt>
                <c:pt idx="281">
                  <c:v>0.25751998401973997</c:v>
                </c:pt>
                <c:pt idx="282">
                  <c:v>0.26783405221108797</c:v>
                </c:pt>
                <c:pt idx="283">
                  <c:v>0.25313548845158595</c:v>
                </c:pt>
                <c:pt idx="284">
                  <c:v>0.2733790161518897</c:v>
                </c:pt>
                <c:pt idx="285">
                  <c:v>0.25488840687715075</c:v>
                </c:pt>
                <c:pt idx="286">
                  <c:v>0.26806234259596873</c:v>
                </c:pt>
                <c:pt idx="287">
                  <c:v>0.25854697656466719</c:v>
                </c:pt>
                <c:pt idx="288">
                  <c:v>0.24333344337403995</c:v>
                </c:pt>
                <c:pt idx="289">
                  <c:v>0.2271613355364536</c:v>
                </c:pt>
                <c:pt idx="290">
                  <c:v>0.21727493646479859</c:v>
                </c:pt>
                <c:pt idx="291">
                  <c:v>0.22502525449536054</c:v>
                </c:pt>
                <c:pt idx="292">
                  <c:v>0.21654466952445164</c:v>
                </c:pt>
                <c:pt idx="293">
                  <c:v>0.22058545225372175</c:v>
                </c:pt>
                <c:pt idx="294">
                  <c:v>0.21231002023981799</c:v>
                </c:pt>
                <c:pt idx="295">
                  <c:v>0.20413759717413549</c:v>
                </c:pt>
                <c:pt idx="296">
                  <c:v>0.2149989034712893</c:v>
                </c:pt>
                <c:pt idx="297">
                  <c:v>0.20264317238968016</c:v>
                </c:pt>
                <c:pt idx="298">
                  <c:v>0.20091116698278896</c:v>
                </c:pt>
                <c:pt idx="299">
                  <c:v>0.18702933864635579</c:v>
                </c:pt>
                <c:pt idx="300">
                  <c:v>0.2142301562472137</c:v>
                </c:pt>
                <c:pt idx="301">
                  <c:v>0.21849760826386827</c:v>
                </c:pt>
                <c:pt idx="302">
                  <c:v>0.22902074935252686</c:v>
                </c:pt>
                <c:pt idx="303">
                  <c:v>0.19373914521123931</c:v>
                </c:pt>
                <c:pt idx="304">
                  <c:v>0.20527228161302166</c:v>
                </c:pt>
                <c:pt idx="305">
                  <c:v>0.19517938754777892</c:v>
                </c:pt>
                <c:pt idx="306">
                  <c:v>0.19926329168618809</c:v>
                </c:pt>
                <c:pt idx="307">
                  <c:v>0.19284504619984752</c:v>
                </c:pt>
                <c:pt idx="308">
                  <c:v>0.18695678900211551</c:v>
                </c:pt>
                <c:pt idx="309">
                  <c:v>0.18871958895158333</c:v>
                </c:pt>
                <c:pt idx="310">
                  <c:v>0.19789381295360992</c:v>
                </c:pt>
                <c:pt idx="311">
                  <c:v>0.20492196021912712</c:v>
                </c:pt>
                <c:pt idx="312">
                  <c:v>0.21907344132228032</c:v>
                </c:pt>
                <c:pt idx="313">
                  <c:v>0.22313778125909023</c:v>
                </c:pt>
                <c:pt idx="314">
                  <c:v>0.22351776158798844</c:v>
                </c:pt>
                <c:pt idx="315">
                  <c:v>0.2225102905067072</c:v>
                </c:pt>
                <c:pt idx="316">
                  <c:v>0.23353695153752194</c:v>
                </c:pt>
                <c:pt idx="317">
                  <c:v>0.22278721443353824</c:v>
                </c:pt>
                <c:pt idx="318">
                  <c:v>0.21132219474620656</c:v>
                </c:pt>
                <c:pt idx="319">
                  <c:v>0.2179934631035074</c:v>
                </c:pt>
                <c:pt idx="320">
                  <c:v>0.22889955241536697</c:v>
                </c:pt>
                <c:pt idx="321">
                  <c:v>0.21455593372130183</c:v>
                </c:pt>
                <c:pt idx="322">
                  <c:v>0.21795048420260879</c:v>
                </c:pt>
                <c:pt idx="323">
                  <c:v>0.22064083498684806</c:v>
                </c:pt>
                <c:pt idx="324">
                  <c:v>0.22973912385254158</c:v>
                </c:pt>
                <c:pt idx="325">
                  <c:v>0.22598975993759426</c:v>
                </c:pt>
                <c:pt idx="326">
                  <c:v>0.20628775578128208</c:v>
                </c:pt>
                <c:pt idx="327">
                  <c:v>0.19174014952176946</c:v>
                </c:pt>
                <c:pt idx="328">
                  <c:v>0.18556967470401248</c:v>
                </c:pt>
                <c:pt idx="329">
                  <c:v>0.18806538154379249</c:v>
                </c:pt>
                <c:pt idx="330">
                  <c:v>0.18928575682809168</c:v>
                </c:pt>
                <c:pt idx="331">
                  <c:v>0.19659154081302088</c:v>
                </c:pt>
                <c:pt idx="332">
                  <c:v>0.19365293192954555</c:v>
                </c:pt>
                <c:pt idx="333">
                  <c:v>0.17982157552244532</c:v>
                </c:pt>
                <c:pt idx="334">
                  <c:v>0.17793033081164814</c:v>
                </c:pt>
                <c:pt idx="335">
                  <c:v>0.18223902438360018</c:v>
                </c:pt>
                <c:pt idx="336">
                  <c:v>0.18841711349430523</c:v>
                </c:pt>
                <c:pt idx="337">
                  <c:v>0.20622835154575869</c:v>
                </c:pt>
                <c:pt idx="338">
                  <c:v>0.21489056898928588</c:v>
                </c:pt>
                <c:pt idx="339">
                  <c:v>0.23061502010454371</c:v>
                </c:pt>
                <c:pt idx="340">
                  <c:v>0.18688395365013608</c:v>
                </c:pt>
                <c:pt idx="341">
                  <c:v>0.18963303825795366</c:v>
                </c:pt>
                <c:pt idx="342">
                  <c:v>0.20049163544944662</c:v>
                </c:pt>
                <c:pt idx="343">
                  <c:v>0.19294710810750729</c:v>
                </c:pt>
                <c:pt idx="344">
                  <c:v>0.19212926113926232</c:v>
                </c:pt>
                <c:pt idx="345">
                  <c:v>0.19035976878192318</c:v>
                </c:pt>
                <c:pt idx="346">
                  <c:v>0.19740190340862657</c:v>
                </c:pt>
                <c:pt idx="347">
                  <c:v>0.19430693055112716</c:v>
                </c:pt>
                <c:pt idx="348">
                  <c:v>0.19714093160195489</c:v>
                </c:pt>
                <c:pt idx="349">
                  <c:v>0.20229814064358853</c:v>
                </c:pt>
                <c:pt idx="350">
                  <c:v>0.17461886142719651</c:v>
                </c:pt>
                <c:pt idx="351">
                  <c:v>0.1510848926532726</c:v>
                </c:pt>
                <c:pt idx="352">
                  <c:v>0.14512564952465018</c:v>
                </c:pt>
                <c:pt idx="353">
                  <c:v>0.13270272378511891</c:v>
                </c:pt>
                <c:pt idx="354">
                  <c:v>0.13375021672792098</c:v>
                </c:pt>
                <c:pt idx="355">
                  <c:v>0.12877222493024854</c:v>
                </c:pt>
                <c:pt idx="356">
                  <c:v>0.13643586388114878</c:v>
                </c:pt>
                <c:pt idx="357">
                  <c:v>0.13381880559332779</c:v>
                </c:pt>
                <c:pt idx="358">
                  <c:v>0.13129724876774065</c:v>
                </c:pt>
                <c:pt idx="359">
                  <c:v>0.13443149858109138</c:v>
                </c:pt>
                <c:pt idx="360">
                  <c:v>0.1618462711860707</c:v>
                </c:pt>
                <c:pt idx="361">
                  <c:v>0.12534747236373506</c:v>
                </c:pt>
                <c:pt idx="362">
                  <c:v>0.14874711582380898</c:v>
                </c:pt>
                <c:pt idx="363">
                  <c:v>0.13624994838005403</c:v>
                </c:pt>
                <c:pt idx="364">
                  <c:v>0.13933832891828035</c:v>
                </c:pt>
                <c:pt idx="365">
                  <c:v>0.13208346072462721</c:v>
                </c:pt>
                <c:pt idx="366">
                  <c:v>0.14588905445219458</c:v>
                </c:pt>
                <c:pt idx="367">
                  <c:v>0.13003876027259559</c:v>
                </c:pt>
                <c:pt idx="368">
                  <c:v>0.16037047353768355</c:v>
                </c:pt>
                <c:pt idx="369">
                  <c:v>0.16014653748569035</c:v>
                </c:pt>
                <c:pt idx="370">
                  <c:v>0.14839029051392438</c:v>
                </c:pt>
                <c:pt idx="371">
                  <c:v>0.1358985001150978</c:v>
                </c:pt>
                <c:pt idx="372">
                  <c:v>0.15588342089757293</c:v>
                </c:pt>
                <c:pt idx="373">
                  <c:v>0.13995878532407413</c:v>
                </c:pt>
                <c:pt idx="374">
                  <c:v>0.16602386642444375</c:v>
                </c:pt>
                <c:pt idx="375">
                  <c:v>0.17204768027735276</c:v>
                </c:pt>
                <c:pt idx="376">
                  <c:v>0.15204048623088748</c:v>
                </c:pt>
                <c:pt idx="377">
                  <c:v>0.17801762496971296</c:v>
                </c:pt>
                <c:pt idx="378">
                  <c:v>0.13179003658995514</c:v>
                </c:pt>
                <c:pt idx="379">
                  <c:v>0.12722991115957408</c:v>
                </c:pt>
                <c:pt idx="380">
                  <c:v>0.11119664360771923</c:v>
                </c:pt>
                <c:pt idx="381">
                  <c:v>0.11952763715796967</c:v>
                </c:pt>
                <c:pt idx="382">
                  <c:v>0.12198213352857587</c:v>
                </c:pt>
                <c:pt idx="383">
                  <c:v>0.13185398550668045</c:v>
                </c:pt>
                <c:pt idx="384">
                  <c:v>0.16330464695910496</c:v>
                </c:pt>
                <c:pt idx="385">
                  <c:v>0.12749052063281585</c:v>
                </c:pt>
                <c:pt idx="386">
                  <c:v>0.13711746197386382</c:v>
                </c:pt>
                <c:pt idx="387">
                  <c:v>0.11364686554844142</c:v>
                </c:pt>
                <c:pt idx="388">
                  <c:v>9.8565623247196782E-2</c:v>
                </c:pt>
                <c:pt idx="389">
                  <c:v>0.10032605124197205</c:v>
                </c:pt>
                <c:pt idx="390">
                  <c:v>7.6243074819194664E-2</c:v>
                </c:pt>
                <c:pt idx="391">
                  <c:v>6.1400332719194664E-2</c:v>
                </c:pt>
                <c:pt idx="392">
                  <c:v>6.2909040955035078E-2</c:v>
                </c:pt>
                <c:pt idx="393">
                  <c:v>6.5598064547996771E-2</c:v>
                </c:pt>
                <c:pt idx="394">
                  <c:v>6.942823924134052E-2</c:v>
                </c:pt>
                <c:pt idx="395">
                  <c:v>7.2073536500197641E-2</c:v>
                </c:pt>
                <c:pt idx="396">
                  <c:v>5.9620856287693057E-2</c:v>
                </c:pt>
                <c:pt idx="397">
                  <c:v>6.0500511037210637E-2</c:v>
                </c:pt>
                <c:pt idx="398">
                  <c:v>6.6265150786130267E-2</c:v>
                </c:pt>
                <c:pt idx="399">
                  <c:v>6.5403832455314184E-2</c:v>
                </c:pt>
                <c:pt idx="400">
                  <c:v>5.4643794102871325E-2</c:v>
                </c:pt>
                <c:pt idx="401">
                  <c:v>5.8584028738465965E-2</c:v>
                </c:pt>
                <c:pt idx="402">
                  <c:v>5.5505003706021717E-2</c:v>
                </c:pt>
                <c:pt idx="403">
                  <c:v>6.1282627073059225E-2</c:v>
                </c:pt>
                <c:pt idx="404">
                  <c:v>6.9345583915223885E-2</c:v>
                </c:pt>
                <c:pt idx="405">
                  <c:v>8.2554716815874118E-2</c:v>
                </c:pt>
                <c:pt idx="406">
                  <c:v>7.7921380713683402E-2</c:v>
                </c:pt>
                <c:pt idx="407">
                  <c:v>9.7392881251274349E-2</c:v>
                </c:pt>
                <c:pt idx="408">
                  <c:v>8.9245712965164065E-2</c:v>
                </c:pt>
                <c:pt idx="409">
                  <c:v>9.8535687774145189E-2</c:v>
                </c:pt>
                <c:pt idx="410">
                  <c:v>9.0243737120239156E-2</c:v>
                </c:pt>
                <c:pt idx="411">
                  <c:v>8.8690751354904909E-2</c:v>
                </c:pt>
                <c:pt idx="412">
                  <c:v>8.7600383783310684E-2</c:v>
                </c:pt>
                <c:pt idx="413">
                  <c:v>9.1504973986787724E-2</c:v>
                </c:pt>
                <c:pt idx="414">
                  <c:v>9.8016468312454141E-2</c:v>
                </c:pt>
                <c:pt idx="415">
                  <c:v>8.2758907269793569E-2</c:v>
                </c:pt>
                <c:pt idx="416">
                  <c:v>0.10582935946127668</c:v>
                </c:pt>
                <c:pt idx="417">
                  <c:v>9.0030832069125155E-2</c:v>
                </c:pt>
                <c:pt idx="418">
                  <c:v>9.1569768910535629E-2</c:v>
                </c:pt>
                <c:pt idx="419">
                  <c:v>8.5596657380974273E-2</c:v>
                </c:pt>
                <c:pt idx="420">
                  <c:v>9.8219449721365135E-2</c:v>
                </c:pt>
                <c:pt idx="421">
                  <c:v>8.2585200531500799E-2</c:v>
                </c:pt>
                <c:pt idx="422">
                  <c:v>7.0935724523487287E-2</c:v>
                </c:pt>
                <c:pt idx="423">
                  <c:v>7.9410485230250752E-2</c:v>
                </c:pt>
                <c:pt idx="424">
                  <c:v>7.462515286670246E-2</c:v>
                </c:pt>
                <c:pt idx="425">
                  <c:v>7.0962471774452737E-2</c:v>
                </c:pt>
                <c:pt idx="426">
                  <c:v>6.7079769131551351E-2</c:v>
                </c:pt>
                <c:pt idx="427">
                  <c:v>6.950474081202547E-2</c:v>
                </c:pt>
                <c:pt idx="428">
                  <c:v>7.6139995774392788E-2</c:v>
                </c:pt>
                <c:pt idx="429">
                  <c:v>8.451813708367481E-2</c:v>
                </c:pt>
                <c:pt idx="430">
                  <c:v>9.8904569024667724E-2</c:v>
                </c:pt>
                <c:pt idx="431">
                  <c:v>8.1774842368374082E-2</c:v>
                </c:pt>
                <c:pt idx="432">
                  <c:v>8.4837927548508149E-2</c:v>
                </c:pt>
                <c:pt idx="433">
                  <c:v>5.850676561234442E-2</c:v>
                </c:pt>
                <c:pt idx="434">
                  <c:v>5.4099857068375959E-2</c:v>
                </c:pt>
                <c:pt idx="435">
                  <c:v>5.8744356922674573E-2</c:v>
                </c:pt>
                <c:pt idx="436">
                  <c:v>7.8563147633142677E-2</c:v>
                </c:pt>
                <c:pt idx="437">
                  <c:v>6.7197831000693667E-2</c:v>
                </c:pt>
                <c:pt idx="438">
                  <c:v>6.6227492764407814E-2</c:v>
                </c:pt>
                <c:pt idx="439">
                  <c:v>7.0369182486233028E-2</c:v>
                </c:pt>
                <c:pt idx="440">
                  <c:v>7.2312840149345858E-2</c:v>
                </c:pt>
                <c:pt idx="441">
                  <c:v>6.9343620330342026E-2</c:v>
                </c:pt>
                <c:pt idx="442">
                  <c:v>7.3604116827231086E-2</c:v>
                </c:pt>
                <c:pt idx="443">
                  <c:v>8.434878575386183E-2</c:v>
                </c:pt>
                <c:pt idx="444">
                  <c:v>7.3557416475803786E-2</c:v>
                </c:pt>
                <c:pt idx="445">
                  <c:v>6.2042800462503558E-2</c:v>
                </c:pt>
                <c:pt idx="446">
                  <c:v>5.3133933916104707E-2</c:v>
                </c:pt>
                <c:pt idx="447">
                  <c:v>7.2410353517129128E-2</c:v>
                </c:pt>
                <c:pt idx="448">
                  <c:v>4.2594365161837844E-2</c:v>
                </c:pt>
                <c:pt idx="449">
                  <c:v>4.185965291570401E-2</c:v>
                </c:pt>
                <c:pt idx="450">
                  <c:v>4.1452988532280646E-2</c:v>
                </c:pt>
                <c:pt idx="451">
                  <c:v>3.4458332479665267E-2</c:v>
                </c:pt>
                <c:pt idx="452">
                  <c:v>4.1223598424740444E-2</c:v>
                </c:pt>
                <c:pt idx="453">
                  <c:v>3.8270855839789945E-2</c:v>
                </c:pt>
                <c:pt idx="454">
                  <c:v>4.2790738122335956E-2</c:v>
                </c:pt>
                <c:pt idx="455">
                  <c:v>4.0041616173374921E-2</c:v>
                </c:pt>
                <c:pt idx="456">
                  <c:v>5.0351013638779751E-2</c:v>
                </c:pt>
                <c:pt idx="457">
                  <c:v>5.9728941622542844E-2</c:v>
                </c:pt>
                <c:pt idx="458">
                  <c:v>6.4312760333211816E-2</c:v>
                </c:pt>
                <c:pt idx="459">
                  <c:v>6.8120998434455252E-2</c:v>
                </c:pt>
                <c:pt idx="460">
                  <c:v>7.329522099913309E-2</c:v>
                </c:pt>
                <c:pt idx="461">
                  <c:v>6.9008648581528484E-2</c:v>
                </c:pt>
                <c:pt idx="462">
                  <c:v>5.5134982664493681E-2</c:v>
                </c:pt>
                <c:pt idx="463">
                  <c:v>5.1681780037571144E-2</c:v>
                </c:pt>
                <c:pt idx="464">
                  <c:v>5.4010454298207417E-2</c:v>
                </c:pt>
                <c:pt idx="465">
                  <c:v>5.8486477392317618E-2</c:v>
                </c:pt>
                <c:pt idx="466">
                  <c:v>6.3464030067117455E-2</c:v>
                </c:pt>
                <c:pt idx="467">
                  <c:v>5.9329391752492786E-2</c:v>
                </c:pt>
                <c:pt idx="468">
                  <c:v>5.6620252992604987E-2</c:v>
                </c:pt>
                <c:pt idx="469">
                  <c:v>5.7704095229066228E-2</c:v>
                </c:pt>
                <c:pt idx="470">
                  <c:v>5.7251892961881101E-2</c:v>
                </c:pt>
                <c:pt idx="471">
                  <c:v>6.242717570666835E-2</c:v>
                </c:pt>
                <c:pt idx="472">
                  <c:v>7.2965221215773854E-2</c:v>
                </c:pt>
                <c:pt idx="473">
                  <c:v>7.5731948572550389E-2</c:v>
                </c:pt>
                <c:pt idx="474">
                  <c:v>6.2718900002791719E-2</c:v>
                </c:pt>
                <c:pt idx="475">
                  <c:v>7.1993512504513552E-2</c:v>
                </c:pt>
                <c:pt idx="476">
                  <c:v>5.8746058518636915E-2</c:v>
                </c:pt>
                <c:pt idx="477">
                  <c:v>4.7662879454639817E-2</c:v>
                </c:pt>
                <c:pt idx="478">
                  <c:v>4.7322423743065584E-2</c:v>
                </c:pt>
                <c:pt idx="479">
                  <c:v>6.5028897451294934E-2</c:v>
                </c:pt>
                <c:pt idx="480">
                  <c:v>6.6333010891470562E-2</c:v>
                </c:pt>
                <c:pt idx="481">
                  <c:v>6.1322587203058013E-2</c:v>
                </c:pt>
                <c:pt idx="482">
                  <c:v>6.4870286263244648E-2</c:v>
                </c:pt>
                <c:pt idx="483">
                  <c:v>6.9990485528820243E-2</c:v>
                </c:pt>
                <c:pt idx="484">
                  <c:v>7.7393546656461296E-2</c:v>
                </c:pt>
                <c:pt idx="485">
                  <c:v>7.8046253786377126E-2</c:v>
                </c:pt>
                <c:pt idx="486">
                  <c:v>7.3598502307235983E-2</c:v>
                </c:pt>
                <c:pt idx="487">
                  <c:v>8.5183316193844671E-2</c:v>
                </c:pt>
                <c:pt idx="488">
                  <c:v>9.4132875768148522E-2</c:v>
                </c:pt>
                <c:pt idx="489">
                  <c:v>0.10017596093014931</c:v>
                </c:pt>
                <c:pt idx="490">
                  <c:v>9.3134875056455041E-2</c:v>
                </c:pt>
                <c:pt idx="491">
                  <c:v>8.4886448115429836E-2</c:v>
                </c:pt>
                <c:pt idx="492">
                  <c:v>9.5435721917179805E-2</c:v>
                </c:pt>
                <c:pt idx="493">
                  <c:v>8.8004040828122382E-2</c:v>
                </c:pt>
                <c:pt idx="494">
                  <c:v>9.9033024703363295E-2</c:v>
                </c:pt>
                <c:pt idx="495">
                  <c:v>0.12001632435396237</c:v>
                </c:pt>
                <c:pt idx="496">
                  <c:v>9.2359118006820756E-2</c:v>
                </c:pt>
                <c:pt idx="497">
                  <c:v>0.10617054470093841</c:v>
                </c:pt>
                <c:pt idx="498">
                  <c:v>0.11855277518104124</c:v>
                </c:pt>
                <c:pt idx="499">
                  <c:v>0.12503101426186267</c:v>
                </c:pt>
                <c:pt idx="500">
                  <c:v>0.13856053203997443</c:v>
                </c:pt>
                <c:pt idx="501">
                  <c:v>0.14320106507644731</c:v>
                </c:pt>
                <c:pt idx="502">
                  <c:v>0.14970352536422765</c:v>
                </c:pt>
                <c:pt idx="503">
                  <c:v>0.14911345741153356</c:v>
                </c:pt>
                <c:pt idx="504">
                  <c:v>0.1445760758842069</c:v>
                </c:pt>
                <c:pt idx="505">
                  <c:v>0.15217250607751748</c:v>
                </c:pt>
                <c:pt idx="506">
                  <c:v>0.1461728210973636</c:v>
                </c:pt>
                <c:pt idx="507">
                  <c:v>0.15347631652430563</c:v>
                </c:pt>
                <c:pt idx="508">
                  <c:v>0.14181080378266772</c:v>
                </c:pt>
                <c:pt idx="509">
                  <c:v>0.10047410028395649</c:v>
                </c:pt>
                <c:pt idx="510">
                  <c:v>0.13314665233302378</c:v>
                </c:pt>
                <c:pt idx="511">
                  <c:v>0.11928972994211465</c:v>
                </c:pt>
                <c:pt idx="512">
                  <c:v>0.15100530531233075</c:v>
                </c:pt>
                <c:pt idx="513">
                  <c:v>0.17882726053288864</c:v>
                </c:pt>
                <c:pt idx="514">
                  <c:v>0.15155656557800201</c:v>
                </c:pt>
                <c:pt idx="515">
                  <c:v>0.16267021519089025</c:v>
                </c:pt>
                <c:pt idx="516">
                  <c:v>0.15458881715917419</c:v>
                </c:pt>
                <c:pt idx="517">
                  <c:v>0.17009953271004014</c:v>
                </c:pt>
                <c:pt idx="518">
                  <c:v>0.1573521033666592</c:v>
                </c:pt>
                <c:pt idx="519">
                  <c:v>0.17457641672122917</c:v>
                </c:pt>
                <c:pt idx="520">
                  <c:v>0.15353057981177995</c:v>
                </c:pt>
                <c:pt idx="521">
                  <c:v>0.15170911430301545</c:v>
                </c:pt>
                <c:pt idx="522">
                  <c:v>0.15287592047971599</c:v>
                </c:pt>
                <c:pt idx="523">
                  <c:v>0.16293681692760709</c:v>
                </c:pt>
                <c:pt idx="524">
                  <c:v>0.14608748925234319</c:v>
                </c:pt>
                <c:pt idx="525">
                  <c:v>0.16782224583836264</c:v>
                </c:pt>
                <c:pt idx="526">
                  <c:v>0.17214995612444198</c:v>
                </c:pt>
                <c:pt idx="527">
                  <c:v>0.18421319096109776</c:v>
                </c:pt>
                <c:pt idx="528">
                  <c:v>0.19033955162447103</c:v>
                </c:pt>
                <c:pt idx="529">
                  <c:v>0.21711760078964196</c:v>
                </c:pt>
                <c:pt idx="530">
                  <c:v>0.22952484733619655</c:v>
                </c:pt>
                <c:pt idx="531">
                  <c:v>0.22000465921632834</c:v>
                </c:pt>
                <c:pt idx="532">
                  <c:v>0.23291865931816955</c:v>
                </c:pt>
                <c:pt idx="533">
                  <c:v>0.23428287430062741</c:v>
                </c:pt>
                <c:pt idx="534">
                  <c:v>0.19056334423496385</c:v>
                </c:pt>
                <c:pt idx="535">
                  <c:v>0.21701387637889166</c:v>
                </c:pt>
                <c:pt idx="536">
                  <c:v>0.24573066269998078</c:v>
                </c:pt>
                <c:pt idx="537">
                  <c:v>0.17506150085525637</c:v>
                </c:pt>
                <c:pt idx="538">
                  <c:v>0.1627809828850961</c:v>
                </c:pt>
                <c:pt idx="539">
                  <c:v>0.14319140389819845</c:v>
                </c:pt>
                <c:pt idx="540">
                  <c:v>0.12868533166939619</c:v>
                </c:pt>
                <c:pt idx="541">
                  <c:v>0.1014906621860702</c:v>
                </c:pt>
                <c:pt idx="542">
                  <c:v>7.8735061987372651E-2</c:v>
                </c:pt>
                <c:pt idx="543">
                  <c:v>6.9342377443618125E-2</c:v>
                </c:pt>
                <c:pt idx="544">
                  <c:v>5.4206095311981881E-2</c:v>
                </c:pt>
                <c:pt idx="545">
                  <c:v>6.1911621630888869E-2</c:v>
                </c:pt>
                <c:pt idx="546">
                  <c:v>5.6331329513363573E-2</c:v>
                </c:pt>
                <c:pt idx="547">
                  <c:v>5.8940373113842051E-2</c:v>
                </c:pt>
                <c:pt idx="548">
                  <c:v>6.1873418703480475E-2</c:v>
                </c:pt>
                <c:pt idx="549">
                  <c:v>5.3505242407076443E-2</c:v>
                </c:pt>
                <c:pt idx="550">
                  <c:v>5.9752145970325958E-2</c:v>
                </c:pt>
                <c:pt idx="551">
                  <c:v>6.6235372162078518E-2</c:v>
                </c:pt>
                <c:pt idx="552">
                  <c:v>7.7007107124361152E-2</c:v>
                </c:pt>
                <c:pt idx="553">
                  <c:v>8.0803576940284574E-2</c:v>
                </c:pt>
                <c:pt idx="554">
                  <c:v>8.3861140879057203E-2</c:v>
                </c:pt>
                <c:pt idx="555">
                  <c:v>9.1591634404044553E-2</c:v>
                </c:pt>
                <c:pt idx="556">
                  <c:v>7.8039897618059267E-2</c:v>
                </c:pt>
                <c:pt idx="557">
                  <c:v>0.11780406363949349</c:v>
                </c:pt>
                <c:pt idx="558">
                  <c:v>8.0552151058174967E-2</c:v>
                </c:pt>
                <c:pt idx="559">
                  <c:v>5.8005110821583508E-2</c:v>
                </c:pt>
                <c:pt idx="560">
                  <c:v>5.2947730150615775E-2</c:v>
                </c:pt>
                <c:pt idx="561">
                  <c:v>5.8022441610251205E-2</c:v>
                </c:pt>
                <c:pt idx="562">
                  <c:v>4.5779817369963435E-2</c:v>
                </c:pt>
                <c:pt idx="563">
                  <c:v>2.5570161604890257E-2</c:v>
                </c:pt>
                <c:pt idx="564">
                  <c:v>4.5625239590538082E-2</c:v>
                </c:pt>
                <c:pt idx="565">
                  <c:v>3.3777356551924924E-2</c:v>
                </c:pt>
                <c:pt idx="566">
                  <c:v>2.8271752582293697E-2</c:v>
                </c:pt>
                <c:pt idx="567">
                  <c:v>2.4660740354723921E-2</c:v>
                </c:pt>
                <c:pt idx="568">
                  <c:v>1.1602425469696649E-2</c:v>
                </c:pt>
                <c:pt idx="569">
                  <c:v>-1.5946545974703033E-2</c:v>
                </c:pt>
                <c:pt idx="570">
                  <c:v>-3.5794221312933867E-2</c:v>
                </c:pt>
                <c:pt idx="571">
                  <c:v>-4.8137210851604141E-2</c:v>
                </c:pt>
                <c:pt idx="572">
                  <c:v>-4.5952837907552682E-2</c:v>
                </c:pt>
                <c:pt idx="573">
                  <c:v>-4.5797616090113971E-2</c:v>
                </c:pt>
                <c:pt idx="574">
                  <c:v>-4.4830680855947262E-2</c:v>
                </c:pt>
                <c:pt idx="575">
                  <c:v>-3.5542178583124966E-2</c:v>
                </c:pt>
                <c:pt idx="576">
                  <c:v>-3.1727923741987116E-2</c:v>
                </c:pt>
                <c:pt idx="577">
                  <c:v>-2.7126616114628636E-2</c:v>
                </c:pt>
                <c:pt idx="578">
                  <c:v>-3.0697219928211783E-2</c:v>
                </c:pt>
                <c:pt idx="579">
                  <c:v>-3.2942954042552493E-2</c:v>
                </c:pt>
                <c:pt idx="580">
                  <c:v>-2.9492111893864446E-2</c:v>
                </c:pt>
                <c:pt idx="581">
                  <c:v>-2.6198319567001093E-2</c:v>
                </c:pt>
                <c:pt idx="582">
                  <c:v>-2.406632489646408E-2</c:v>
                </c:pt>
                <c:pt idx="583">
                  <c:v>-2.2624258090482987E-2</c:v>
                </c:pt>
                <c:pt idx="584">
                  <c:v>-1.9202189134050762E-2</c:v>
                </c:pt>
                <c:pt idx="585">
                  <c:v>-2.4983731390973821E-2</c:v>
                </c:pt>
                <c:pt idx="586">
                  <c:v>-2.0944494615154807E-2</c:v>
                </c:pt>
                <c:pt idx="587">
                  <c:v>-1.8654649005154813E-2</c:v>
                </c:pt>
                <c:pt idx="588">
                  <c:v>-1.1041932209133944E-2</c:v>
                </c:pt>
                <c:pt idx="589">
                  <c:v>-1.7522388094745472E-2</c:v>
                </c:pt>
                <c:pt idx="590">
                  <c:v>-1.5070630869309577E-2</c:v>
                </c:pt>
                <c:pt idx="591">
                  <c:v>-9.8125149760202642E-3</c:v>
                </c:pt>
                <c:pt idx="592">
                  <c:v>-2.3855483741809732E-2</c:v>
                </c:pt>
                <c:pt idx="593">
                  <c:v>-1.428480745289715E-2</c:v>
                </c:pt>
                <c:pt idx="594">
                  <c:v>-2.1478893647540947E-2</c:v>
                </c:pt>
                <c:pt idx="595">
                  <c:v>-3.2014666022725978E-2</c:v>
                </c:pt>
                <c:pt idx="596">
                  <c:v>-9.1996278106684006E-3</c:v>
                </c:pt>
                <c:pt idx="597">
                  <c:v>3.2451898203661104E-3</c:v>
                </c:pt>
                <c:pt idx="598">
                  <c:v>1.7419052828158307E-2</c:v>
                </c:pt>
                <c:pt idx="599">
                  <c:v>1.2806517316884139E-2</c:v>
                </c:pt>
                <c:pt idx="600">
                  <c:v>1.6454968180355897E-2</c:v>
                </c:pt>
                <c:pt idx="601">
                  <c:v>2.579796208453173E-2</c:v>
                </c:pt>
                <c:pt idx="602">
                  <c:v>3.4458897862620762E-2</c:v>
                </c:pt>
                <c:pt idx="603">
                  <c:v>4.2981610923211885E-2</c:v>
                </c:pt>
                <c:pt idx="604">
                  <c:v>3.595144743419082E-2</c:v>
                </c:pt>
                <c:pt idx="605">
                  <c:v>3.1453846517653844E-2</c:v>
                </c:pt>
                <c:pt idx="606">
                  <c:v>2.3332353774384605E-2</c:v>
                </c:pt>
                <c:pt idx="607">
                  <c:v>3.7958366031230657E-2</c:v>
                </c:pt>
                <c:pt idx="608">
                  <c:v>2.7878572479049041E-2</c:v>
                </c:pt>
                <c:pt idx="609">
                  <c:v>3.0676114099996678E-2</c:v>
                </c:pt>
                <c:pt idx="610">
                  <c:v>5.4675101969663235E-2</c:v>
                </c:pt>
                <c:pt idx="611">
                  <c:v>3.9357939936443827E-2</c:v>
                </c:pt>
                <c:pt idx="612">
                  <c:v>4.3007530527250169E-2</c:v>
                </c:pt>
                <c:pt idx="613">
                  <c:v>3.4729384199726251E-2</c:v>
                </c:pt>
                <c:pt idx="614">
                  <c:v>4.7279723380054109E-2</c:v>
                </c:pt>
                <c:pt idx="615">
                  <c:v>4.8387785196041047E-2</c:v>
                </c:pt>
                <c:pt idx="616">
                  <c:v>3.9513910157012444E-2</c:v>
                </c:pt>
                <c:pt idx="617">
                  <c:v>4.335021576050449E-2</c:v>
                </c:pt>
                <c:pt idx="618">
                  <c:v>3.6703601118193575E-2</c:v>
                </c:pt>
                <c:pt idx="619">
                  <c:v>2.1856242753569639E-2</c:v>
                </c:pt>
                <c:pt idx="620">
                  <c:v>2.0354389885858019E-2</c:v>
                </c:pt>
                <c:pt idx="621">
                  <c:v>3.0164545643089735E-2</c:v>
                </c:pt>
                <c:pt idx="622">
                  <c:v>2.3840547291565029E-2</c:v>
                </c:pt>
                <c:pt idx="623">
                  <c:v>3.3573507257449869E-2</c:v>
                </c:pt>
                <c:pt idx="624">
                  <c:v>4.3286169551499803E-2</c:v>
                </c:pt>
                <c:pt idx="625">
                  <c:v>3.4517853909996198E-2</c:v>
                </c:pt>
                <c:pt idx="626">
                  <c:v>5.6929401568636155E-3</c:v>
                </c:pt>
                <c:pt idx="627">
                  <c:v>1.5280526401396417E-2</c:v>
                </c:pt>
                <c:pt idx="628">
                  <c:v>2.6732823216341937E-2</c:v>
                </c:pt>
                <c:pt idx="629">
                  <c:v>4.002630060009197E-2</c:v>
                </c:pt>
                <c:pt idx="630">
                  <c:v>4.0764353888210793E-2</c:v>
                </c:pt>
                <c:pt idx="631">
                  <c:v>5.0400134587083999E-2</c:v>
                </c:pt>
                <c:pt idx="632">
                  <c:v>5.6743200008876886E-2</c:v>
                </c:pt>
                <c:pt idx="633">
                  <c:v>6.8300178613078549E-2</c:v>
                </c:pt>
                <c:pt idx="634">
                  <c:v>5.057317453414753E-2</c:v>
                </c:pt>
                <c:pt idx="635">
                  <c:v>6.5229900813821101E-2</c:v>
                </c:pt>
                <c:pt idx="636">
                  <c:v>8.881359825105184E-2</c:v>
                </c:pt>
                <c:pt idx="637">
                  <c:v>3.9878603418227895E-2</c:v>
                </c:pt>
                <c:pt idx="638">
                  <c:v>2.7829181180716436E-2</c:v>
                </c:pt>
                <c:pt idx="639">
                  <c:v>3.3845166296548088E-2</c:v>
                </c:pt>
                <c:pt idx="640">
                  <c:v>3.4946553635009633E-2</c:v>
                </c:pt>
                <c:pt idx="641">
                  <c:v>2.036007240098904E-2</c:v>
                </c:pt>
                <c:pt idx="642">
                  <c:v>4.4428648112834139E-2</c:v>
                </c:pt>
                <c:pt idx="643">
                  <c:v>1.6958434943238146E-3</c:v>
                </c:pt>
                <c:pt idx="644">
                  <c:v>-8.7805496821467648E-3</c:v>
                </c:pt>
                <c:pt idx="645">
                  <c:v>-2.6381592427621452E-3</c:v>
                </c:pt>
                <c:pt idx="646">
                  <c:v>-7.2072831228117366E-3</c:v>
                </c:pt>
                <c:pt idx="647">
                  <c:v>-2.5625854178025532E-2</c:v>
                </c:pt>
                <c:pt idx="648">
                  <c:v>-2.5930127730624291E-2</c:v>
                </c:pt>
                <c:pt idx="649">
                  <c:v>-2.4853989085513884E-2</c:v>
                </c:pt>
                <c:pt idx="650">
                  <c:v>-3.5148459486529122E-2</c:v>
                </c:pt>
                <c:pt idx="651">
                  <c:v>-2.8102786167298308E-2</c:v>
                </c:pt>
                <c:pt idx="652">
                  <c:v>-4.6815861210833934E-2</c:v>
                </c:pt>
                <c:pt idx="653">
                  <c:v>-1.3715105057196437E-2</c:v>
                </c:pt>
                <c:pt idx="654">
                  <c:v>-2.5607673047784697E-2</c:v>
                </c:pt>
                <c:pt idx="655">
                  <c:v>-5.4888198312512688E-2</c:v>
                </c:pt>
                <c:pt idx="656">
                  <c:v>-7.0152901814473437E-2</c:v>
                </c:pt>
                <c:pt idx="657">
                  <c:v>-0.11734454303667147</c:v>
                </c:pt>
                <c:pt idx="658">
                  <c:v>-0.12083116896240248</c:v>
                </c:pt>
                <c:pt idx="659">
                  <c:v>-0.13039535792217263</c:v>
                </c:pt>
                <c:pt idx="660">
                  <c:v>-0.1369382842037111</c:v>
                </c:pt>
                <c:pt idx="661">
                  <c:v>-0.13058267791804559</c:v>
                </c:pt>
                <c:pt idx="662">
                  <c:v>-0.1424069049151637</c:v>
                </c:pt>
                <c:pt idx="663">
                  <c:v>-0.1399091599589993</c:v>
                </c:pt>
                <c:pt idx="664">
                  <c:v>-0.13631476169763568</c:v>
                </c:pt>
                <c:pt idx="665">
                  <c:v>-0.1393525266589854</c:v>
                </c:pt>
                <c:pt idx="666">
                  <c:v>-0.14633866567703049</c:v>
                </c:pt>
                <c:pt idx="667">
                  <c:v>-0.15272794951493004</c:v>
                </c:pt>
                <c:pt idx="668">
                  <c:v>-0.15737308747493003</c:v>
                </c:pt>
                <c:pt idx="669">
                  <c:v>-0.16253797362863376</c:v>
                </c:pt>
                <c:pt idx="670">
                  <c:v>-0.15066792752863375</c:v>
                </c:pt>
                <c:pt idx="671">
                  <c:v>-0.16045156942297339</c:v>
                </c:pt>
                <c:pt idx="672">
                  <c:v>-0.13961279185856659</c:v>
                </c:pt>
                <c:pt idx="673">
                  <c:v>-0.13001385067956975</c:v>
                </c:pt>
                <c:pt idx="674">
                  <c:v>-0.12560983526607999</c:v>
                </c:pt>
                <c:pt idx="675">
                  <c:v>-0.12575947601080575</c:v>
                </c:pt>
                <c:pt idx="676">
                  <c:v>-0.13271947683660237</c:v>
                </c:pt>
                <c:pt idx="677">
                  <c:v>-0.11832434000924814</c:v>
                </c:pt>
                <c:pt idx="678">
                  <c:v>-0.11995392593677623</c:v>
                </c:pt>
                <c:pt idx="679">
                  <c:v>-0.11754018127446689</c:v>
                </c:pt>
                <c:pt idx="680">
                  <c:v>-0.13346733086250812</c:v>
                </c:pt>
                <c:pt idx="681">
                  <c:v>-0.13530223894376878</c:v>
                </c:pt>
                <c:pt idx="682">
                  <c:v>-0.12882659218487827</c:v>
                </c:pt>
                <c:pt idx="683">
                  <c:v>-0.12347518984928836</c:v>
                </c:pt>
                <c:pt idx="684">
                  <c:v>-0.10816265461936712</c:v>
                </c:pt>
                <c:pt idx="685">
                  <c:v>-8.77667184861462E-2</c:v>
                </c:pt>
                <c:pt idx="686">
                  <c:v>-0.10921040306875487</c:v>
                </c:pt>
                <c:pt idx="687">
                  <c:v>-5.6206610969042517E-2</c:v>
                </c:pt>
                <c:pt idx="688">
                  <c:v>-2.8283892548682708E-2</c:v>
                </c:pt>
                <c:pt idx="689">
                  <c:v>-9.1194003335409959E-2</c:v>
                </c:pt>
                <c:pt idx="690">
                  <c:v>-8.6606849500489302E-2</c:v>
                </c:pt>
                <c:pt idx="691">
                  <c:v>-6.5228881265806699E-2</c:v>
                </c:pt>
                <c:pt idx="692">
                  <c:v>-5.2318932347093228E-2</c:v>
                </c:pt>
                <c:pt idx="693">
                  <c:v>-5.7693622521750768E-2</c:v>
                </c:pt>
                <c:pt idx="694">
                  <c:v>-4.8676588494100996E-2</c:v>
                </c:pt>
                <c:pt idx="695">
                  <c:v>-6.048192774114533E-2</c:v>
                </c:pt>
                <c:pt idx="696">
                  <c:v>-6.4741283624866253E-2</c:v>
                </c:pt>
                <c:pt idx="697">
                  <c:v>-5.2223020359505441E-2</c:v>
                </c:pt>
                <c:pt idx="698">
                  <c:v>-5.7247039078342651E-2</c:v>
                </c:pt>
                <c:pt idx="699">
                  <c:v>-5.5395143302976083E-2</c:v>
                </c:pt>
                <c:pt idx="700">
                  <c:v>-5.6354356867976088E-2</c:v>
                </c:pt>
                <c:pt idx="701">
                  <c:v>-5.8877607618732397E-2</c:v>
                </c:pt>
                <c:pt idx="702">
                  <c:v>-5.8502598592300684E-2</c:v>
                </c:pt>
                <c:pt idx="703">
                  <c:v>-5.3270237713313337E-2</c:v>
                </c:pt>
                <c:pt idx="704">
                  <c:v>-4.6942050340875167E-2</c:v>
                </c:pt>
                <c:pt idx="705">
                  <c:v>-4.8396569838672535E-2</c:v>
                </c:pt>
                <c:pt idx="706">
                  <c:v>-4.5104767946199421E-2</c:v>
                </c:pt>
                <c:pt idx="707">
                  <c:v>-4.5766222040466938E-2</c:v>
                </c:pt>
                <c:pt idx="708">
                  <c:v>-4.1484163938072846E-2</c:v>
                </c:pt>
                <c:pt idx="709">
                  <c:v>-2.8944232774989254E-2</c:v>
                </c:pt>
                <c:pt idx="710">
                  <c:v>-3.5588551211451359E-2</c:v>
                </c:pt>
                <c:pt idx="711">
                  <c:v>-3.7114458395632148E-2</c:v>
                </c:pt>
                <c:pt idx="712">
                  <c:v>-3.797894697160388E-2</c:v>
                </c:pt>
                <c:pt idx="713">
                  <c:v>-3.7199753783911563E-2</c:v>
                </c:pt>
                <c:pt idx="714">
                  <c:v>-3.3491107772283632E-2</c:v>
                </c:pt>
                <c:pt idx="715">
                  <c:v>-3.3907048346259537E-2</c:v>
                </c:pt>
                <c:pt idx="716">
                  <c:v>-2.505065435539415E-2</c:v>
                </c:pt>
                <c:pt idx="717">
                  <c:v>-3.1430704365859263E-2</c:v>
                </c:pt>
                <c:pt idx="718">
                  <c:v>-3.3288629445591571E-2</c:v>
                </c:pt>
                <c:pt idx="719">
                  <c:v>-4.0049948240879547E-2</c:v>
                </c:pt>
                <c:pt idx="720">
                  <c:v>-3.2469888084313871E-2</c:v>
                </c:pt>
                <c:pt idx="721">
                  <c:v>-4.0551367653805397E-2</c:v>
                </c:pt>
                <c:pt idx="722">
                  <c:v>-3.5014956061968638E-2</c:v>
                </c:pt>
                <c:pt idx="723">
                  <c:v>-3.6533121529468623E-2</c:v>
                </c:pt>
                <c:pt idx="724">
                  <c:v>-3.8692112026548889E-2</c:v>
                </c:pt>
                <c:pt idx="725">
                  <c:v>-4.1636402984148883E-2</c:v>
                </c:pt>
                <c:pt idx="726">
                  <c:v>-4.0797731669111277E-2</c:v>
                </c:pt>
                <c:pt idx="727">
                  <c:v>-4.0453019519111261E-2</c:v>
                </c:pt>
                <c:pt idx="728">
                  <c:v>-5.4281017845060599E-2</c:v>
                </c:pt>
                <c:pt idx="729">
                  <c:v>-4.9269472021983673E-2</c:v>
                </c:pt>
                <c:pt idx="730">
                  <c:v>-4.3144712821983677E-2</c:v>
                </c:pt>
                <c:pt idx="731">
                  <c:v>-4.2464369221983655E-2</c:v>
                </c:pt>
                <c:pt idx="732">
                  <c:v>-3.8682217003801825E-2</c:v>
                </c:pt>
                <c:pt idx="733">
                  <c:v>-3.6815778056095406E-2</c:v>
                </c:pt>
                <c:pt idx="734">
                  <c:v>-3.7895478981432335E-2</c:v>
                </c:pt>
                <c:pt idx="735">
                  <c:v>-3.9892862618765665E-2</c:v>
                </c:pt>
                <c:pt idx="736">
                  <c:v>-3.3749021863210098E-2</c:v>
                </c:pt>
                <c:pt idx="737">
                  <c:v>-3.4877409163210082E-2</c:v>
                </c:pt>
                <c:pt idx="738">
                  <c:v>-3.624200229617712E-2</c:v>
                </c:pt>
                <c:pt idx="739">
                  <c:v>-3.6726515095027688E-2</c:v>
                </c:pt>
                <c:pt idx="740">
                  <c:v>-3.5942242544692117E-2</c:v>
                </c:pt>
                <c:pt idx="741">
                  <c:v>-3.3531581233477173E-2</c:v>
                </c:pt>
                <c:pt idx="742">
                  <c:v>-3.4612207675996848E-2</c:v>
                </c:pt>
                <c:pt idx="743">
                  <c:v>-3.7318590348622525E-2</c:v>
                </c:pt>
                <c:pt idx="744">
                  <c:v>1.0821476548813387E-2</c:v>
                </c:pt>
                <c:pt idx="745">
                  <c:v>5.0741021399855143E-4</c:v>
                </c:pt>
                <c:pt idx="746">
                  <c:v>6.1031059985730239E-3</c:v>
                </c:pt>
                <c:pt idx="747">
                  <c:v>4.8379174155664872E-3</c:v>
                </c:pt>
                <c:pt idx="748">
                  <c:v>4.5794456331489028E-3</c:v>
                </c:pt>
                <c:pt idx="749">
                  <c:v>-8.9407584446303632E-4</c:v>
                </c:pt>
                <c:pt idx="750">
                  <c:v>-1.7006061473898778E-3</c:v>
                </c:pt>
                <c:pt idx="751">
                  <c:v>-1.7845904004511086E-3</c:v>
                </c:pt>
                <c:pt idx="752">
                  <c:v>8.8013666738105494E-4</c:v>
                </c:pt>
                <c:pt idx="753">
                  <c:v>4.9806731375785578E-4</c:v>
                </c:pt>
                <c:pt idx="754">
                  <c:v>1.1264107789752426E-3</c:v>
                </c:pt>
                <c:pt idx="755">
                  <c:v>3.2990532442978931E-4</c:v>
                </c:pt>
                <c:pt idx="756">
                  <c:v>-1.074738195307055E-3</c:v>
                </c:pt>
                <c:pt idx="757">
                  <c:v>2.0397972545454493E-3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E6-4B32-8FBB-196380952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2694335"/>
        <c:axId val="1515750975"/>
      </c:lineChart>
      <c:dateAx>
        <c:axId val="195269433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750975"/>
        <c:crosses val="autoZero"/>
        <c:auto val="1"/>
        <c:lblOffset val="100"/>
        <c:baseTimeUnit val="days"/>
      </c:dateAx>
      <c:valAx>
        <c:axId val="1515750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694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BBCCFF0-BE32-4183-B353-B3A67EDA5D89}">
  <sheetPr codeName="Chart1"/>
  <sheetViews>
    <sheetView zoomScale="11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3297" cy="60762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3E48861-FAF0-41B7-9D15-08D1D6BAA0C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23.304600000000001</v>
      </c>
      <c r="D2" s="4">
        <f>MIN(D3:D1912)</f>
        <v>0.1923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3.4409999999999998</v>
      </c>
      <c r="C5">
        <v>3.4820000000000002</v>
      </c>
      <c r="D5">
        <v>3.363</v>
      </c>
      <c r="E5">
        <v>3.367</v>
      </c>
      <c r="F5">
        <v>150643.5</v>
      </c>
      <c r="G5">
        <v>3.367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-0.9327731092436975</v>
      </c>
      <c r="Q5">
        <f t="shared" ref="Q5" si="1">F5*P5</f>
        <v>-140516.20588235295</v>
      </c>
      <c r="R5">
        <f t="shared" ref="R5" si="2">R6+Q5</f>
        <v>22266804.829212774</v>
      </c>
      <c r="S5">
        <f t="shared" ref="S5" si="3">R5/100000</f>
        <v>222.66804829212774</v>
      </c>
      <c r="T5">
        <f t="shared" ref="T5" si="4">S5/1000</f>
        <v>0.22266804829212775</v>
      </c>
    </row>
    <row r="6" spans="1:20" x14ac:dyDescent="0.25">
      <c r="A6" s="5">
        <v>44587</v>
      </c>
      <c r="B6">
        <v>3.5059999999999998</v>
      </c>
      <c r="C6">
        <v>3.7650000000000001</v>
      </c>
      <c r="D6">
        <v>3.355</v>
      </c>
      <c r="E6">
        <v>3.4420000000000002</v>
      </c>
      <c r="F6">
        <v>2325039.6</v>
      </c>
      <c r="G6">
        <v>3.4420000000000002</v>
      </c>
      <c r="L6" t="s">
        <v>7</v>
      </c>
      <c r="M6" t="s">
        <v>7</v>
      </c>
      <c r="N6" t="s">
        <v>7</v>
      </c>
      <c r="P6">
        <f t="shared" ref="P6" si="5">IF(C6=D6,0,((E6-D6)-(C6-E6))/(C6-D6))</f>
        <v>-0.57560975609756015</v>
      </c>
      <c r="Q6">
        <f t="shared" ref="Q6" si="6">F6*P6</f>
        <v>-1338315.4770731688</v>
      </c>
      <c r="R6">
        <f t="shared" ref="R6" si="7">R7+Q6</f>
        <v>22407321.035095125</v>
      </c>
      <c r="S6">
        <f t="shared" ref="S6" si="8">R6/100000</f>
        <v>224.07321035095126</v>
      </c>
      <c r="T6">
        <f t="shared" ref="T6" si="9">S6/1000</f>
        <v>0.22407321035095126</v>
      </c>
    </row>
    <row r="7" spans="1:20" x14ac:dyDescent="0.25">
      <c r="A7" s="5">
        <v>44586</v>
      </c>
      <c r="B7">
        <v>3.36</v>
      </c>
      <c r="C7">
        <v>3.9649999999999999</v>
      </c>
      <c r="D7">
        <v>3.25</v>
      </c>
      <c r="E7">
        <v>3.5009999999999999</v>
      </c>
      <c r="F7">
        <v>1822220.9</v>
      </c>
      <c r="G7">
        <v>3.5009999999999999</v>
      </c>
      <c r="L7" t="s">
        <v>8</v>
      </c>
      <c r="M7" t="s">
        <v>8</v>
      </c>
      <c r="N7" t="s">
        <v>7</v>
      </c>
      <c r="P7">
        <f t="shared" ref="P7" si="10">IF(C7=D7,0,((E7-D7)-(C7-E7))/(C7-D7))</f>
        <v>-0.2979020979020981</v>
      </c>
      <c r="Q7">
        <f t="shared" ref="Q7" si="11">F7*P7</f>
        <v>-542843.42895104922</v>
      </c>
      <c r="R7">
        <f t="shared" ref="R7" si="12">R8+Q7</f>
        <v>23745636.512168296</v>
      </c>
      <c r="S7">
        <f t="shared" ref="S7" si="13">R7/100000</f>
        <v>237.45636512168295</v>
      </c>
      <c r="T7">
        <f t="shared" ref="T7" si="14">S7/1000</f>
        <v>0.23745636512168294</v>
      </c>
    </row>
    <row r="8" spans="1:20" x14ac:dyDescent="0.25">
      <c r="A8" s="5">
        <v>44585</v>
      </c>
      <c r="B8">
        <v>3.58</v>
      </c>
      <c r="C8">
        <v>3.58</v>
      </c>
      <c r="D8">
        <v>2.9729999999999999</v>
      </c>
      <c r="E8">
        <v>3.3540000000000001</v>
      </c>
      <c r="F8">
        <v>1458721.925</v>
      </c>
      <c r="G8">
        <v>3.3540000000000001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0.25535420098846817</v>
      </c>
      <c r="Q8">
        <f t="shared" ref="Q8" si="16">F8*P8</f>
        <v>372490.77162273519</v>
      </c>
      <c r="R8">
        <f t="shared" ref="R8" si="17">R9+Q8</f>
        <v>24288479.941119343</v>
      </c>
      <c r="S8">
        <f t="shared" ref="S8" si="18">R8/100000</f>
        <v>242.88479941119343</v>
      </c>
      <c r="T8">
        <f t="shared" ref="T8" si="19">S8/1000</f>
        <v>0.24288479941119342</v>
      </c>
    </row>
    <row r="9" spans="1:20" x14ac:dyDescent="0.25">
      <c r="A9" s="5">
        <v>44584</v>
      </c>
      <c r="B9">
        <v>3.4929999999999999</v>
      </c>
      <c r="C9">
        <v>3.7410000000000001</v>
      </c>
      <c r="D9">
        <v>3.3860000000000001</v>
      </c>
      <c r="E9">
        <v>3.5819999999999999</v>
      </c>
      <c r="F9">
        <v>906066.7</v>
      </c>
      <c r="G9">
        <v>3.5819999999999999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0.10422535211267459</v>
      </c>
      <c r="Q9">
        <f t="shared" ref="Q9" si="21">F9*P9</f>
        <v>94435.12084506909</v>
      </c>
      <c r="R9">
        <f t="shared" ref="R9" si="22">R10+Q9</f>
        <v>23915989.169496607</v>
      </c>
      <c r="S9">
        <f t="shared" ref="S9" si="23">R9/100000</f>
        <v>239.15989169496606</v>
      </c>
      <c r="T9">
        <f t="shared" ref="T9" si="24">S9/1000</f>
        <v>0.23915989169496607</v>
      </c>
    </row>
    <row r="10" spans="1:20" x14ac:dyDescent="0.25">
      <c r="A10" s="5">
        <v>44583</v>
      </c>
      <c r="B10">
        <v>3.9540000000000002</v>
      </c>
      <c r="C10">
        <v>4.1139999999999999</v>
      </c>
      <c r="D10">
        <v>3.177</v>
      </c>
      <c r="E10">
        <v>3.4929999999999999</v>
      </c>
      <c r="F10">
        <v>1570062.4990000001</v>
      </c>
      <c r="G10">
        <v>3.4929999999999999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-0.32550693703308453</v>
      </c>
      <c r="Q10">
        <f t="shared" ref="Q10" si="26">F10*P10</f>
        <v>-511066.23500000039</v>
      </c>
      <c r="R10">
        <f t="shared" ref="R10" si="27">R11+Q10</f>
        <v>23821554.048651539</v>
      </c>
      <c r="S10">
        <f t="shared" ref="S10" si="28">R10/100000</f>
        <v>238.21554048651538</v>
      </c>
      <c r="T10">
        <f t="shared" ref="T10" si="29">S10/1000</f>
        <v>0.23821554048651539</v>
      </c>
    </row>
    <row r="11" spans="1:20" x14ac:dyDescent="0.25">
      <c r="A11" s="5">
        <v>44582</v>
      </c>
      <c r="B11">
        <v>4.6740000000000004</v>
      </c>
      <c r="C11">
        <v>4.68</v>
      </c>
      <c r="D11">
        <v>3.8380000000000001</v>
      </c>
      <c r="E11">
        <v>3.96</v>
      </c>
      <c r="F11">
        <v>1872938.085</v>
      </c>
      <c r="G11">
        <v>3.96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-0.71021377672209041</v>
      </c>
      <c r="Q11">
        <f t="shared" ref="Q11" si="31">F11*P11</f>
        <v>-1330186.4309144896</v>
      </c>
      <c r="R11">
        <f t="shared" ref="R11" si="32">R12+Q11</f>
        <v>24332620.283651538</v>
      </c>
      <c r="S11">
        <f t="shared" ref="S11" si="33">R11/100000</f>
        <v>243.32620283651539</v>
      </c>
      <c r="T11">
        <f t="shared" ref="T11" si="34">S11/1000</f>
        <v>0.2433262028365154</v>
      </c>
    </row>
    <row r="12" spans="1:20" x14ac:dyDescent="0.25">
      <c r="A12" s="5">
        <v>44581</v>
      </c>
      <c r="B12">
        <v>4.9020000000000001</v>
      </c>
      <c r="C12">
        <v>5.202</v>
      </c>
      <c r="D12">
        <v>4.641</v>
      </c>
      <c r="E12">
        <v>4.6719999999999997</v>
      </c>
      <c r="F12">
        <v>965490.2</v>
      </c>
      <c r="G12">
        <v>4.6719999999999997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-0.88948306595365523</v>
      </c>
      <c r="Q12">
        <f t="shared" ref="Q12" si="36">F12*P12</f>
        <v>-858787.18324420776</v>
      </c>
      <c r="R12">
        <f t="shared" ref="R12" si="37">R13+Q12</f>
        <v>25662806.714566026</v>
      </c>
      <c r="S12">
        <f t="shared" ref="S12" si="38">R12/100000</f>
        <v>256.62806714566028</v>
      </c>
      <c r="T12">
        <f t="shared" ref="T12" si="39">S12/1000</f>
        <v>0.25662806714566028</v>
      </c>
    </row>
    <row r="13" spans="1:20" x14ac:dyDescent="0.25">
      <c r="A13" s="5">
        <v>44580</v>
      </c>
      <c r="B13">
        <v>5.056</v>
      </c>
      <c r="C13">
        <v>5.07</v>
      </c>
      <c r="D13">
        <v>4.83</v>
      </c>
      <c r="E13">
        <v>4.9039999999999999</v>
      </c>
      <c r="F13">
        <v>631476.5</v>
      </c>
      <c r="G13">
        <v>4.9039999999999999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-0.38333333333333519</v>
      </c>
      <c r="Q13">
        <f t="shared" ref="Q13" si="41">F13*P13</f>
        <v>-242065.99166666783</v>
      </c>
      <c r="R13">
        <f t="shared" ref="R13" si="42">R14+Q13</f>
        <v>26521593.897810232</v>
      </c>
      <c r="S13">
        <f t="shared" ref="S13" si="43">R13/100000</f>
        <v>265.21593897810232</v>
      </c>
      <c r="T13">
        <f t="shared" ref="T13" si="44">S13/1000</f>
        <v>0.26521593897810231</v>
      </c>
    </row>
    <row r="14" spans="1:20" x14ac:dyDescent="0.25">
      <c r="A14" s="5">
        <v>44579</v>
      </c>
      <c r="B14">
        <v>5.2930000000000001</v>
      </c>
      <c r="C14">
        <v>5.359</v>
      </c>
      <c r="D14">
        <v>4.93</v>
      </c>
      <c r="E14">
        <v>5.056</v>
      </c>
      <c r="F14">
        <v>837012.2</v>
      </c>
      <c r="G14">
        <v>5.056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-0.41258741258741138</v>
      </c>
      <c r="Q14">
        <f t="shared" ref="Q14" si="46">F14*P14</f>
        <v>-345340.6979020969</v>
      </c>
      <c r="R14">
        <f t="shared" ref="R14" si="47">R15+Q14</f>
        <v>26763659.889476899</v>
      </c>
      <c r="S14">
        <f t="shared" ref="S14" si="48">R14/100000</f>
        <v>267.63659889476901</v>
      </c>
      <c r="T14">
        <f t="shared" ref="T14" si="49">S14/1000</f>
        <v>0.26763659889476898</v>
      </c>
    </row>
    <row r="15" spans="1:20" x14ac:dyDescent="0.25">
      <c r="A15" s="5">
        <v>44578</v>
      </c>
      <c r="B15">
        <v>5.681</v>
      </c>
      <c r="C15">
        <v>5.7080000000000002</v>
      </c>
      <c r="D15">
        <v>5.2</v>
      </c>
      <c r="E15">
        <v>5.2990000000000004</v>
      </c>
      <c r="F15">
        <v>678743.9</v>
      </c>
      <c r="G15">
        <v>5.2990000000000004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-0.61023622047244019</v>
      </c>
      <c r="Q15">
        <f t="shared" ref="Q15" si="51">F15*P15</f>
        <v>-414194.11220472393</v>
      </c>
      <c r="R15">
        <f t="shared" ref="R15" si="52">R16+Q15</f>
        <v>27109000.587378997</v>
      </c>
      <c r="S15">
        <f t="shared" ref="S15" si="53">R15/100000</f>
        <v>271.09000587378995</v>
      </c>
      <c r="T15">
        <f t="shared" ref="T15" si="54">S15/1000</f>
        <v>0.27109000587378995</v>
      </c>
    </row>
    <row r="16" spans="1:20" x14ac:dyDescent="0.25">
      <c r="A16" s="5">
        <v>44577</v>
      </c>
      <c r="B16">
        <v>5.6970000000000001</v>
      </c>
      <c r="C16">
        <v>5.9</v>
      </c>
      <c r="D16">
        <v>5.6079999999999997</v>
      </c>
      <c r="E16">
        <v>5.68</v>
      </c>
      <c r="F16">
        <v>679220</v>
      </c>
      <c r="G16">
        <v>5.68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-0.50684931506849396</v>
      </c>
      <c r="Q16">
        <f t="shared" ref="Q16" si="56">F16*P16</f>
        <v>-344262.19178082247</v>
      </c>
      <c r="R16">
        <f t="shared" ref="R16" si="57">R17+Q16</f>
        <v>27523194.69958372</v>
      </c>
      <c r="S16">
        <f t="shared" ref="S16" si="58">R16/100000</f>
        <v>275.23194699583718</v>
      </c>
      <c r="T16">
        <f t="shared" ref="T16" si="59">S16/1000</f>
        <v>0.2752319469958372</v>
      </c>
    </row>
    <row r="17" spans="1:20" x14ac:dyDescent="0.25">
      <c r="A17" s="5">
        <v>44576</v>
      </c>
      <c r="B17">
        <v>5.6980000000000004</v>
      </c>
      <c r="C17">
        <v>5.766</v>
      </c>
      <c r="D17">
        <v>5.5679999999999996</v>
      </c>
      <c r="E17">
        <v>5.6929999999999996</v>
      </c>
      <c r="F17">
        <v>609223.6</v>
      </c>
      <c r="G17">
        <v>5.6929999999999996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0.2626262626262601</v>
      </c>
      <c r="Q17">
        <f t="shared" ref="Q17" si="61">F17*P17</f>
        <v>159998.11717171562</v>
      </c>
      <c r="R17">
        <f t="shared" ref="R17" si="62">R18+Q17</f>
        <v>27867456.891364545</v>
      </c>
      <c r="S17">
        <f t="shared" ref="S17" si="63">R17/100000</f>
        <v>278.67456891364543</v>
      </c>
      <c r="T17">
        <f t="shared" ref="T17" si="64">S17/1000</f>
        <v>0.27867456891364545</v>
      </c>
    </row>
    <row r="18" spans="1:20" x14ac:dyDescent="0.25">
      <c r="A18" s="5">
        <v>44575</v>
      </c>
      <c r="B18">
        <v>5.8550000000000004</v>
      </c>
      <c r="C18">
        <v>6.0140000000000002</v>
      </c>
      <c r="D18">
        <v>5.5179999999999998</v>
      </c>
      <c r="E18">
        <v>5.7039999999999997</v>
      </c>
      <c r="F18">
        <v>1183476.2</v>
      </c>
      <c r="G18">
        <v>5.7039999999999997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-0.25000000000000089</v>
      </c>
      <c r="Q18">
        <f t="shared" ref="Q18" si="66">F18*P18</f>
        <v>-295869.05000000104</v>
      </c>
      <c r="R18">
        <f t="shared" ref="R18" si="67">R19+Q18</f>
        <v>27707458.774192829</v>
      </c>
      <c r="S18">
        <f t="shared" ref="S18" si="68">R18/100000</f>
        <v>277.07458774192827</v>
      </c>
      <c r="T18">
        <f t="shared" ref="T18" si="69">S18/1000</f>
        <v>0.27707458774192828</v>
      </c>
    </row>
    <row r="19" spans="1:20" x14ac:dyDescent="0.25">
      <c r="A19" s="5">
        <v>44574</v>
      </c>
      <c r="B19">
        <v>5.63</v>
      </c>
      <c r="C19">
        <v>6.1079999999999997</v>
      </c>
      <c r="D19">
        <v>5.5510000000000002</v>
      </c>
      <c r="E19">
        <v>5.8550000000000004</v>
      </c>
      <c r="F19">
        <v>2103108.7000000002</v>
      </c>
      <c r="G19">
        <v>5.8550000000000004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9.1561938958709316E-2</v>
      </c>
      <c r="Q19">
        <f t="shared" ref="Q19" si="71">F19*P19</f>
        <v>192564.71041293052</v>
      </c>
      <c r="R19">
        <f t="shared" ref="R19" si="72">R20+Q19</f>
        <v>28003327.824192829</v>
      </c>
      <c r="S19">
        <f t="shared" ref="S19" si="73">R19/100000</f>
        <v>280.03327824192831</v>
      </c>
      <c r="T19">
        <f t="shared" ref="T19" si="74">S19/1000</f>
        <v>0.28003327824192831</v>
      </c>
    </row>
    <row r="20" spans="1:20" x14ac:dyDescent="0.25">
      <c r="A20" s="5">
        <v>44573</v>
      </c>
      <c r="B20">
        <v>5.1429999999999998</v>
      </c>
      <c r="C20">
        <v>5.7889999999999997</v>
      </c>
      <c r="D20">
        <v>5.1420000000000003</v>
      </c>
      <c r="E20">
        <v>5.633</v>
      </c>
      <c r="F20">
        <v>1230849.8</v>
      </c>
      <c r="G20">
        <v>5.633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0.51777434312210247</v>
      </c>
      <c r="Q20">
        <f t="shared" ref="Q20" si="76">F20*P20</f>
        <v>637302.44667697127</v>
      </c>
      <c r="R20">
        <f t="shared" ref="R20" si="77">R21+Q20</f>
        <v>27810763.113779899</v>
      </c>
      <c r="S20">
        <f t="shared" ref="S20" si="78">R20/100000</f>
        <v>278.10763113779899</v>
      </c>
      <c r="T20">
        <f t="shared" ref="T20" si="79">S20/1000</f>
        <v>0.27810763113779902</v>
      </c>
    </row>
    <row r="21" spans="1:20" x14ac:dyDescent="0.25">
      <c r="A21" s="5">
        <v>44572</v>
      </c>
      <c r="B21">
        <v>5.0350000000000001</v>
      </c>
      <c r="C21">
        <v>5.2</v>
      </c>
      <c r="D21">
        <v>4.8840000000000003</v>
      </c>
      <c r="E21">
        <v>5.14</v>
      </c>
      <c r="F21">
        <v>800017.6</v>
      </c>
      <c r="G21">
        <v>5.14</v>
      </c>
      <c r="L21" t="s">
        <v>8</v>
      </c>
      <c r="M21" t="s">
        <v>8</v>
      </c>
      <c r="N21" t="s">
        <v>7</v>
      </c>
      <c r="P21">
        <f t="shared" ref="P21" si="80">IF(C21=D21,0,((E21-D21)-(C21-E21))/(C21-D21))</f>
        <v>0.62025316455695867</v>
      </c>
      <c r="Q21">
        <f t="shared" ref="Q21" si="81">F21*P21</f>
        <v>496213.44810126314</v>
      </c>
      <c r="R21">
        <f t="shared" ref="R21" si="82">R22+Q21</f>
        <v>27173460.667102929</v>
      </c>
      <c r="S21">
        <f t="shared" ref="S21" si="83">R21/100000</f>
        <v>271.73460667102927</v>
      </c>
      <c r="T21">
        <f t="shared" ref="T21" si="84">S21/1000</f>
        <v>0.27173460667102928</v>
      </c>
    </row>
    <row r="22" spans="1:20" x14ac:dyDescent="0.25">
      <c r="A22" s="5">
        <v>44571</v>
      </c>
      <c r="B22">
        <v>5.3120000000000003</v>
      </c>
      <c r="C22">
        <v>5.3970000000000002</v>
      </c>
      <c r="D22">
        <v>4.7930000000000001</v>
      </c>
      <c r="E22">
        <v>5.032</v>
      </c>
      <c r="F22">
        <v>1014108</v>
      </c>
      <c r="G22">
        <v>5.032</v>
      </c>
      <c r="L22" t="s">
        <v>7</v>
      </c>
      <c r="M22" t="s">
        <v>8</v>
      </c>
      <c r="N22" t="s">
        <v>7</v>
      </c>
      <c r="P22">
        <f t="shared" ref="P22" si="85">IF(C22=D22,0,((E22-D22)-(C22-E22))/(C22-D22))</f>
        <v>-0.20860927152317932</v>
      </c>
      <c r="Q22">
        <f t="shared" ref="Q22" si="86">F22*P22</f>
        <v>-211552.33112582832</v>
      </c>
      <c r="R22">
        <f t="shared" ref="R22" si="87">R23+Q22</f>
        <v>26677247.219001666</v>
      </c>
      <c r="S22">
        <f t="shared" ref="S22" si="88">R22/100000</f>
        <v>266.77247219001663</v>
      </c>
      <c r="T22">
        <f t="shared" ref="T22" si="89">S22/1000</f>
        <v>0.26677247219001665</v>
      </c>
    </row>
    <row r="23" spans="1:20" x14ac:dyDescent="0.25">
      <c r="A23" s="5">
        <v>44570</v>
      </c>
      <c r="B23">
        <v>4.9320000000000004</v>
      </c>
      <c r="C23">
        <v>5.5549999999999997</v>
      </c>
      <c r="D23">
        <v>4.875</v>
      </c>
      <c r="E23">
        <v>5.3150000000000004</v>
      </c>
      <c r="F23">
        <v>1906437.9</v>
      </c>
      <c r="G23">
        <v>5.3150000000000004</v>
      </c>
      <c r="L23" t="s">
        <v>8</v>
      </c>
      <c r="M23" t="s">
        <v>8</v>
      </c>
      <c r="N23" t="s">
        <v>7</v>
      </c>
      <c r="P23">
        <f t="shared" ref="P23" si="90">IF(C23=D23,0,((E23-D23)-(C23-E23))/(C23-D23))</f>
        <v>0.2941176470588252</v>
      </c>
      <c r="Q23">
        <f t="shared" ref="Q23" si="91">F23*P23</f>
        <v>560717.02941176784</v>
      </c>
      <c r="R23">
        <f t="shared" ref="R23" si="92">R24+Q23</f>
        <v>26888799.550127495</v>
      </c>
      <c r="S23">
        <f t="shared" ref="S23" si="93">R23/100000</f>
        <v>268.88799550127493</v>
      </c>
      <c r="T23">
        <f t="shared" ref="T23" si="94">S23/1000</f>
        <v>0.26888799550127496</v>
      </c>
    </row>
    <row r="24" spans="1:20" x14ac:dyDescent="0.25">
      <c r="A24" s="5">
        <v>44569</v>
      </c>
      <c r="B24">
        <v>5.28</v>
      </c>
      <c r="C24">
        <v>5.5309999999999997</v>
      </c>
      <c r="D24">
        <v>4.7510000000000003</v>
      </c>
      <c r="E24">
        <v>4.931</v>
      </c>
      <c r="F24">
        <v>1450662.9</v>
      </c>
      <c r="G24">
        <v>4.931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-0.53846153846153877</v>
      </c>
      <c r="Q24">
        <f t="shared" ref="Q24" si="96">F24*P24</f>
        <v>-781126.17692307732</v>
      </c>
      <c r="R24">
        <f t="shared" ref="R24" si="97">R25+Q24</f>
        <v>26328082.520715728</v>
      </c>
      <c r="S24">
        <f t="shared" ref="S24" si="98">R24/100000</f>
        <v>263.28082520715731</v>
      </c>
      <c r="T24">
        <f t="shared" ref="T24" si="99">S24/1000</f>
        <v>0.26328082520715729</v>
      </c>
    </row>
    <row r="25" spans="1:20" x14ac:dyDescent="0.25">
      <c r="A25" s="5">
        <v>44568</v>
      </c>
      <c r="B25">
        <v>5.835</v>
      </c>
      <c r="C25">
        <v>5.8540000000000001</v>
      </c>
      <c r="D25">
        <v>5.125</v>
      </c>
      <c r="E25">
        <v>5.274</v>
      </c>
      <c r="F25">
        <v>2105194.5</v>
      </c>
      <c r="G25">
        <v>5.274</v>
      </c>
      <c r="L25" t="s">
        <v>7</v>
      </c>
      <c r="M25" t="s">
        <v>7</v>
      </c>
      <c r="N25" t="s">
        <v>8</v>
      </c>
      <c r="P25">
        <f t="shared" ref="P25" si="100">IF(C25=D25,0,((E25-D25)-(C25-E25))/(C25-D25))</f>
        <v>-0.59122085048010975</v>
      </c>
      <c r="Q25">
        <f t="shared" ref="Q25" si="101">F25*P25</f>
        <v>-1244634.8827160494</v>
      </c>
      <c r="R25">
        <f t="shared" ref="R25" si="102">R26+Q25</f>
        <v>27109208.697638806</v>
      </c>
      <c r="S25">
        <f t="shared" ref="S25" si="103">R25/100000</f>
        <v>271.09208697638803</v>
      </c>
      <c r="T25">
        <f t="shared" ref="T25" si="104">S25/1000</f>
        <v>0.27109208697638804</v>
      </c>
    </row>
    <row r="26" spans="1:20" x14ac:dyDescent="0.25">
      <c r="A26" s="5">
        <v>44567</v>
      </c>
      <c r="B26">
        <v>6.2439999999999998</v>
      </c>
      <c r="C26">
        <v>6.4050000000000002</v>
      </c>
      <c r="D26">
        <v>5.6319999999999997</v>
      </c>
      <c r="E26">
        <v>5.8360000000000003</v>
      </c>
      <c r="F26">
        <v>3359823.1</v>
      </c>
      <c r="G26">
        <v>5.8360000000000003</v>
      </c>
      <c r="L26" t="s">
        <v>7</v>
      </c>
      <c r="M26" t="s">
        <v>7</v>
      </c>
      <c r="N26" t="s">
        <v>8</v>
      </c>
      <c r="P26">
        <f t="shared" ref="P26" si="105">IF(C26=D26,0,((E26-D26)-(C26-E26))/(C26-D26))</f>
        <v>-0.47218628719275429</v>
      </c>
      <c r="Q26">
        <f t="shared" ref="Q26" si="106">F26*P26</f>
        <v>-1586462.3952134501</v>
      </c>
      <c r="R26">
        <f t="shared" ref="R26" si="107">R27+Q26</f>
        <v>28353843.580354854</v>
      </c>
      <c r="S26">
        <f t="shared" ref="S26" si="108">R26/100000</f>
        <v>283.53843580354857</v>
      </c>
      <c r="T26">
        <f t="shared" ref="T26" si="109">S26/1000</f>
        <v>0.28353843580354854</v>
      </c>
    </row>
    <row r="27" spans="1:20" x14ac:dyDescent="0.25">
      <c r="A27" s="5">
        <v>44566</v>
      </c>
      <c r="B27">
        <v>5.66</v>
      </c>
      <c r="C27">
        <v>7</v>
      </c>
      <c r="D27">
        <v>5.617</v>
      </c>
      <c r="E27">
        <v>6.2430000000000003</v>
      </c>
      <c r="F27">
        <v>6278547.2999999998</v>
      </c>
      <c r="G27">
        <v>6.2430000000000003</v>
      </c>
      <c r="L27" t="s">
        <v>8</v>
      </c>
      <c r="M27" t="s">
        <v>8</v>
      </c>
      <c r="N27" t="s">
        <v>8</v>
      </c>
      <c r="P27">
        <f t="shared" ref="P27" si="110">IF(C27=D27,0,((E27-D27)-(C27-E27))/(C27-D27))</f>
        <v>-9.4721619667389248E-2</v>
      </c>
      <c r="Q27">
        <f t="shared" ref="Q27" si="111">F27*P27</f>
        <v>-594714.16941431363</v>
      </c>
      <c r="R27">
        <f t="shared" ref="R27" si="112">R28+Q27</f>
        <v>29940305.975568306</v>
      </c>
      <c r="S27">
        <f t="shared" ref="S27" si="113">R27/100000</f>
        <v>299.40305975568305</v>
      </c>
      <c r="T27">
        <f t="shared" ref="T27" si="114">S27/1000</f>
        <v>0.29940305975568304</v>
      </c>
    </row>
    <row r="28" spans="1:20" x14ac:dyDescent="0.25">
      <c r="A28" s="5">
        <v>44565</v>
      </c>
      <c r="B28">
        <v>5.5590000000000002</v>
      </c>
      <c r="C28">
        <v>6.07</v>
      </c>
      <c r="D28">
        <v>5.4640000000000004</v>
      </c>
      <c r="E28">
        <v>5.6589999999999998</v>
      </c>
      <c r="F28">
        <v>1847106.5</v>
      </c>
      <c r="G28">
        <v>5.6589999999999998</v>
      </c>
      <c r="L28" t="s">
        <v>8</v>
      </c>
      <c r="M28" t="s">
        <v>8</v>
      </c>
      <c r="N28" t="s">
        <v>7</v>
      </c>
      <c r="P28">
        <f t="shared" ref="P28" si="115">IF(C28=D28,0,((E28-D28)-(C28-E28))/(C28-D28))</f>
        <v>-0.35643564356435831</v>
      </c>
      <c r="Q28">
        <f t="shared" ref="Q28" si="116">F28*P28</f>
        <v>-658374.59405940934</v>
      </c>
      <c r="R28">
        <f t="shared" ref="R28" si="117">R29+Q28</f>
        <v>30535020.144982621</v>
      </c>
      <c r="S28">
        <f t="shared" ref="S28" si="118">R28/100000</f>
        <v>305.35020144982622</v>
      </c>
      <c r="T28">
        <f t="shared" ref="T28" si="119">S28/1000</f>
        <v>0.30535020144982622</v>
      </c>
    </row>
    <row r="29" spans="1:20" x14ac:dyDescent="0.25">
      <c r="A29" s="5">
        <v>44564</v>
      </c>
      <c r="B29">
        <v>5.2709999999999999</v>
      </c>
      <c r="C29">
        <v>5.5860000000000003</v>
      </c>
      <c r="D29">
        <v>5.1890000000000001</v>
      </c>
      <c r="E29">
        <v>5.5540000000000003</v>
      </c>
      <c r="F29">
        <v>1016275.3</v>
      </c>
      <c r="G29">
        <v>5.5540000000000003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0.83879093198992438</v>
      </c>
      <c r="Q29">
        <f t="shared" ref="Q29" si="121">F29*P29</f>
        <v>852442.50604534009</v>
      </c>
      <c r="R29">
        <f t="shared" ref="R29" si="122">R30+Q29</f>
        <v>31193394.739042029</v>
      </c>
      <c r="S29">
        <f t="shared" ref="S29" si="123">R29/100000</f>
        <v>311.93394739042031</v>
      </c>
      <c r="T29">
        <f t="shared" ref="T29" si="124">S29/1000</f>
        <v>0.3119339473904203</v>
      </c>
    </row>
    <row r="30" spans="1:20" x14ac:dyDescent="0.25">
      <c r="A30" s="5">
        <v>44563</v>
      </c>
      <c r="B30">
        <v>5.1870000000000003</v>
      </c>
      <c r="C30">
        <v>5.3319999999999999</v>
      </c>
      <c r="D30">
        <v>5.12</v>
      </c>
      <c r="E30">
        <v>5.28</v>
      </c>
      <c r="F30">
        <v>378593.9</v>
      </c>
      <c r="G30">
        <v>5.28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0.50943396226415405</v>
      </c>
      <c r="Q30">
        <f t="shared" ref="Q30" si="126">F30*P30</f>
        <v>192868.59056603891</v>
      </c>
      <c r="R30">
        <f t="shared" ref="R30" si="127">R31+Q30</f>
        <v>30340952.232996687</v>
      </c>
      <c r="S30">
        <f t="shared" ref="S30" si="128">R30/100000</f>
        <v>303.40952232996688</v>
      </c>
      <c r="T30">
        <f t="shared" ref="T30" si="129">S30/1000</f>
        <v>0.30340952232996687</v>
      </c>
    </row>
    <row r="31" spans="1:20" x14ac:dyDescent="0.25">
      <c r="A31" s="5">
        <v>44562</v>
      </c>
      <c r="B31">
        <v>5.0140000000000002</v>
      </c>
      <c r="C31">
        <v>5.19</v>
      </c>
      <c r="D31">
        <v>4.9770000000000003</v>
      </c>
      <c r="E31">
        <v>5.1829999999999998</v>
      </c>
      <c r="F31">
        <v>346440.2</v>
      </c>
      <c r="G31">
        <v>5.1829999999999998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0.93427230046947829</v>
      </c>
      <c r="Q31">
        <f t="shared" ref="Q31" si="131">F31*P31</f>
        <v>323669.48262910615</v>
      </c>
      <c r="R31">
        <f t="shared" ref="R31" si="132">R32+Q31</f>
        <v>30148083.642430648</v>
      </c>
      <c r="S31">
        <f t="shared" ref="S31" si="133">R31/100000</f>
        <v>301.48083642430646</v>
      </c>
      <c r="T31">
        <f t="shared" ref="T31" si="134">S31/1000</f>
        <v>0.30148083642430645</v>
      </c>
    </row>
    <row r="32" spans="1:20" x14ac:dyDescent="0.25">
      <c r="A32" s="5">
        <v>44561</v>
      </c>
      <c r="B32">
        <v>5.1310000000000002</v>
      </c>
      <c r="C32">
        <v>5.4370000000000003</v>
      </c>
      <c r="D32">
        <v>4.8639999999999999</v>
      </c>
      <c r="E32">
        <v>5.0110000000000001</v>
      </c>
      <c r="F32">
        <v>650899.5</v>
      </c>
      <c r="G32">
        <v>5.0110000000000001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-0.48691099476439742</v>
      </c>
      <c r="Q32">
        <f t="shared" ref="Q32" si="136">F32*P32</f>
        <v>-316930.1230366489</v>
      </c>
      <c r="R32">
        <f t="shared" ref="R32" si="137">R33+Q32</f>
        <v>29824414.159801543</v>
      </c>
      <c r="S32">
        <f t="shared" ref="S32" si="138">R32/100000</f>
        <v>298.2441415980154</v>
      </c>
      <c r="T32">
        <f t="shared" ref="T32" si="139">S32/1000</f>
        <v>0.29824414159801538</v>
      </c>
    </row>
    <row r="33" spans="1:20" x14ac:dyDescent="0.25">
      <c r="A33" s="5">
        <v>44560</v>
      </c>
      <c r="B33">
        <v>5.0919999999999996</v>
      </c>
      <c r="C33">
        <v>5.234</v>
      </c>
      <c r="D33">
        <v>4.9359999999999999</v>
      </c>
      <c r="E33">
        <v>5.1340000000000003</v>
      </c>
      <c r="F33">
        <v>491169.7</v>
      </c>
      <c r="G33">
        <v>5.1340000000000003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0.32885906040268703</v>
      </c>
      <c r="Q33">
        <f t="shared" ref="Q33" si="141">F33*P33</f>
        <v>161525.60604026966</v>
      </c>
      <c r="R33">
        <f t="shared" ref="R33" si="142">R34+Q33</f>
        <v>30141344.282838192</v>
      </c>
      <c r="S33">
        <f t="shared" ref="S33" si="143">R33/100000</f>
        <v>301.4134428283819</v>
      </c>
      <c r="T33">
        <f t="shared" ref="T33" si="144">S33/1000</f>
        <v>0.30141344282838189</v>
      </c>
    </row>
    <row r="34" spans="1:20" x14ac:dyDescent="0.25">
      <c r="A34" s="5">
        <v>44559</v>
      </c>
      <c r="B34">
        <v>5.3620000000000001</v>
      </c>
      <c r="C34">
        <v>5.444</v>
      </c>
      <c r="D34">
        <v>5.0220000000000002</v>
      </c>
      <c r="E34">
        <v>5.0860000000000003</v>
      </c>
      <c r="F34">
        <v>476740.4</v>
      </c>
      <c r="G34">
        <v>5.0860000000000003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-0.69668246445497584</v>
      </c>
      <c r="Q34">
        <f t="shared" ref="Q34" si="146">F34*P34</f>
        <v>-332136.67677725101</v>
      </c>
      <c r="R34">
        <f t="shared" ref="R34" si="147">R35+Q34</f>
        <v>29979818.676797923</v>
      </c>
      <c r="S34">
        <f t="shared" ref="S34" si="148">R34/100000</f>
        <v>299.79818676797925</v>
      </c>
      <c r="T34">
        <f t="shared" ref="T34" si="149">S34/1000</f>
        <v>0.29979818676797926</v>
      </c>
    </row>
    <row r="35" spans="1:20" x14ac:dyDescent="0.25">
      <c r="A35" s="5">
        <v>44558</v>
      </c>
      <c r="B35">
        <v>5.875</v>
      </c>
      <c r="C35">
        <v>5.875</v>
      </c>
      <c r="D35">
        <v>5.3209999999999997</v>
      </c>
      <c r="E35">
        <v>5.36</v>
      </c>
      <c r="F35">
        <v>798724.8</v>
      </c>
      <c r="G35">
        <v>5.36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-0.85920577617328309</v>
      </c>
      <c r="Q35">
        <f t="shared" ref="Q35" si="151">F35*P35</f>
        <v>-686268.96173285029</v>
      </c>
      <c r="R35">
        <f t="shared" ref="R35" si="152">R36+Q35</f>
        <v>30311955.353575174</v>
      </c>
      <c r="S35">
        <f t="shared" ref="S35" si="153">R35/100000</f>
        <v>303.11955353575172</v>
      </c>
      <c r="T35">
        <f t="shared" ref="T35" si="154">S35/1000</f>
        <v>0.30311955353575171</v>
      </c>
    </row>
    <row r="36" spans="1:20" x14ac:dyDescent="0.25">
      <c r="A36" s="5">
        <v>44557</v>
      </c>
      <c r="B36">
        <v>5.8529999999999998</v>
      </c>
      <c r="C36">
        <v>6.1929999999999996</v>
      </c>
      <c r="D36">
        <v>5.8129999999999997</v>
      </c>
      <c r="E36">
        <v>5.8710000000000004</v>
      </c>
      <c r="F36">
        <v>1017386.2</v>
      </c>
      <c r="G36">
        <v>5.8710000000000004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-0.69473684210525932</v>
      </c>
      <c r="Q36">
        <f t="shared" ref="Q36" si="156">F36*P36</f>
        <v>-706815.67578946974</v>
      </c>
      <c r="R36">
        <f t="shared" ref="R36" si="157">R37+Q36</f>
        <v>30998224.315308023</v>
      </c>
      <c r="S36">
        <f t="shared" ref="S36" si="158">R36/100000</f>
        <v>309.98224315308022</v>
      </c>
      <c r="T36">
        <f t="shared" ref="T36" si="159">S36/1000</f>
        <v>0.30998224315308021</v>
      </c>
    </row>
    <row r="37" spans="1:20" x14ac:dyDescent="0.25">
      <c r="A37" s="5">
        <v>44556</v>
      </c>
      <c r="B37">
        <v>5.7430000000000003</v>
      </c>
      <c r="C37">
        <v>5.9130000000000003</v>
      </c>
      <c r="D37">
        <v>5.4749999999999996</v>
      </c>
      <c r="E37">
        <v>5.8449999999999998</v>
      </c>
      <c r="F37">
        <v>711454.7</v>
      </c>
      <c r="G37">
        <v>5.8449999999999998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0.6894977168949753</v>
      </c>
      <c r="Q37">
        <f t="shared" ref="Q37" si="161">F37*P37</f>
        <v>490546.39132419956</v>
      </c>
      <c r="R37">
        <f t="shared" ref="R37" si="162">R38+Q37</f>
        <v>31705039.991097491</v>
      </c>
      <c r="S37">
        <f t="shared" ref="S37" si="163">R37/100000</f>
        <v>317.05039991097493</v>
      </c>
      <c r="T37">
        <f t="shared" ref="T37" si="164">S37/1000</f>
        <v>0.31705039991097494</v>
      </c>
    </row>
    <row r="38" spans="1:20" x14ac:dyDescent="0.25">
      <c r="A38" s="5">
        <v>44555</v>
      </c>
      <c r="B38">
        <v>5.63</v>
      </c>
      <c r="C38">
        <v>5.83</v>
      </c>
      <c r="D38">
        <v>5.57</v>
      </c>
      <c r="E38">
        <v>5.74</v>
      </c>
      <c r="F38">
        <v>500433.2</v>
      </c>
      <c r="G38">
        <v>5.74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0.30769230769230821</v>
      </c>
      <c r="Q38">
        <f t="shared" ref="Q38" si="166">F38*P38</f>
        <v>153979.44615384642</v>
      </c>
      <c r="R38">
        <f t="shared" ref="R38" si="167">R39+Q38</f>
        <v>31214493.599773291</v>
      </c>
      <c r="S38">
        <f t="shared" ref="S38" si="168">R38/100000</f>
        <v>312.14493599773289</v>
      </c>
      <c r="T38">
        <f t="shared" ref="T38" si="169">S38/1000</f>
        <v>0.31214493599773291</v>
      </c>
    </row>
    <row r="39" spans="1:20" x14ac:dyDescent="0.25">
      <c r="A39" s="5">
        <v>44554</v>
      </c>
      <c r="B39">
        <v>5.7249999999999996</v>
      </c>
      <c r="C39">
        <v>5.859</v>
      </c>
      <c r="D39">
        <v>5.5190000000000001</v>
      </c>
      <c r="E39">
        <v>5.63</v>
      </c>
      <c r="F39">
        <v>699667.4</v>
      </c>
      <c r="G39">
        <v>5.63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-0.34705882352941286</v>
      </c>
      <c r="Q39">
        <f t="shared" ref="Q39" si="171">F39*P39</f>
        <v>-242825.74470588312</v>
      </c>
      <c r="R39">
        <f t="shared" ref="R39" si="172">R40+Q39</f>
        <v>31060514.153619446</v>
      </c>
      <c r="S39">
        <f t="shared" ref="S39" si="173">R39/100000</f>
        <v>310.60514153619448</v>
      </c>
      <c r="T39">
        <f t="shared" ref="T39" si="174">S39/1000</f>
        <v>0.31060514153619451</v>
      </c>
    </row>
    <row r="40" spans="1:20" x14ac:dyDescent="0.25">
      <c r="A40" s="5">
        <v>44553</v>
      </c>
      <c r="B40">
        <v>5.36</v>
      </c>
      <c r="C40">
        <v>5.7370000000000001</v>
      </c>
      <c r="D40">
        <v>5.13</v>
      </c>
      <c r="E40">
        <v>5.7240000000000002</v>
      </c>
      <c r="F40">
        <v>990337.2</v>
      </c>
      <c r="G40">
        <v>5.7240000000000002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0.95716639209225729</v>
      </c>
      <c r="Q40">
        <f t="shared" ref="Q40" si="176">F40*P40</f>
        <v>947917.48467874818</v>
      </c>
      <c r="R40">
        <f t="shared" ref="R40" si="177">R41+Q40</f>
        <v>31303339.898325328</v>
      </c>
      <c r="S40">
        <f t="shared" ref="S40" si="178">R40/100000</f>
        <v>313.03339898325328</v>
      </c>
      <c r="T40">
        <f t="shared" ref="T40" si="179">S40/1000</f>
        <v>0.31303339898325327</v>
      </c>
    </row>
    <row r="41" spans="1:20" x14ac:dyDescent="0.25">
      <c r="A41" s="5">
        <v>44552</v>
      </c>
      <c r="B41">
        <v>5.3129999999999997</v>
      </c>
      <c r="C41">
        <v>5.54</v>
      </c>
      <c r="D41">
        <v>5.2439999999999998</v>
      </c>
      <c r="E41">
        <v>5.3579999999999997</v>
      </c>
      <c r="F41">
        <v>651954.4</v>
      </c>
      <c r="G41">
        <v>5.3579999999999997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-0.22972972972973124</v>
      </c>
      <c r="Q41">
        <f t="shared" ref="Q41" si="181">F41*P41</f>
        <v>-149773.30810810911</v>
      </c>
      <c r="R41">
        <f t="shared" ref="R41" si="182">R42+Q41</f>
        <v>30355422.413646579</v>
      </c>
      <c r="S41">
        <f t="shared" ref="S41" si="183">R41/100000</f>
        <v>303.55422413646579</v>
      </c>
      <c r="T41">
        <f t="shared" ref="T41" si="184">S41/1000</f>
        <v>0.30355422413646577</v>
      </c>
    </row>
    <row r="42" spans="1:20" x14ac:dyDescent="0.25">
      <c r="A42" s="5">
        <v>44551</v>
      </c>
      <c r="B42">
        <v>5.0620000000000003</v>
      </c>
      <c r="C42">
        <v>5.476</v>
      </c>
      <c r="D42">
        <v>4.976</v>
      </c>
      <c r="E42">
        <v>5.3170000000000002</v>
      </c>
      <c r="F42">
        <v>620218.4</v>
      </c>
      <c r="G42">
        <v>5.3170000000000002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0.36400000000000077</v>
      </c>
      <c r="Q42">
        <f t="shared" ref="Q42" si="186">F42*P42</f>
        <v>225759.4976000005</v>
      </c>
      <c r="R42">
        <f t="shared" ref="R42" si="187">R43+Q42</f>
        <v>30505195.721754689</v>
      </c>
      <c r="S42">
        <f t="shared" ref="S42" si="188">R42/100000</f>
        <v>305.05195721754689</v>
      </c>
      <c r="T42">
        <f t="shared" ref="T42" si="189">S42/1000</f>
        <v>0.30505195721754691</v>
      </c>
    </row>
    <row r="43" spans="1:20" x14ac:dyDescent="0.25">
      <c r="A43" s="5">
        <v>44550</v>
      </c>
      <c r="B43">
        <v>5.1269999999999998</v>
      </c>
      <c r="C43">
        <v>5.3689999999999998</v>
      </c>
      <c r="D43">
        <v>4.7930000000000001</v>
      </c>
      <c r="E43">
        <v>5.0570000000000004</v>
      </c>
      <c r="F43">
        <v>566177.1</v>
      </c>
      <c r="G43">
        <v>5.0570000000000004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-8.3333333333331913E-2</v>
      </c>
      <c r="Q43">
        <f t="shared" ref="Q43" si="191">F43*P43</f>
        <v>-47181.424999999195</v>
      </c>
      <c r="R43">
        <f t="shared" ref="R43" si="192">R44+Q43</f>
        <v>30279436.224154688</v>
      </c>
      <c r="S43">
        <f t="shared" ref="S43" si="193">R43/100000</f>
        <v>302.79436224154688</v>
      </c>
      <c r="T43">
        <f t="shared" ref="T43" si="194">S43/1000</f>
        <v>0.30279436224154688</v>
      </c>
    </row>
    <row r="44" spans="1:20" x14ac:dyDescent="0.25">
      <c r="A44" s="5">
        <v>44549</v>
      </c>
      <c r="B44">
        <v>5.1760000000000002</v>
      </c>
      <c r="C44">
        <v>5.3780000000000001</v>
      </c>
      <c r="D44">
        <v>5.1079999999999997</v>
      </c>
      <c r="E44">
        <v>5.1280000000000001</v>
      </c>
      <c r="F44">
        <v>492321.4</v>
      </c>
      <c r="G44">
        <v>5.1280000000000001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-0.85185185185184864</v>
      </c>
      <c r="Q44">
        <f t="shared" ref="Q44" si="196">F44*P44</f>
        <v>-419384.89629629476</v>
      </c>
      <c r="R44">
        <f t="shared" ref="R44" si="197">R45+Q44</f>
        <v>30326617.649154689</v>
      </c>
      <c r="S44">
        <f t="shared" ref="S44" si="198">R44/100000</f>
        <v>303.2661764915469</v>
      </c>
      <c r="T44">
        <f t="shared" ref="T44" si="199">S44/1000</f>
        <v>0.30326617649154691</v>
      </c>
    </row>
    <row r="45" spans="1:20" x14ac:dyDescent="0.25">
      <c r="A45" s="5">
        <v>44548</v>
      </c>
      <c r="B45">
        <v>4.9989999999999997</v>
      </c>
      <c r="C45">
        <v>5.3819999999999997</v>
      </c>
      <c r="D45">
        <v>4.9249999999999998</v>
      </c>
      <c r="E45">
        <v>5.1790000000000003</v>
      </c>
      <c r="F45">
        <v>730045.2</v>
      </c>
      <c r="G45">
        <v>5.1790000000000003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0.1115973741794334</v>
      </c>
      <c r="Q45">
        <f t="shared" ref="Q45" si="201">F45*P45</f>
        <v>81471.127352299285</v>
      </c>
      <c r="R45">
        <f t="shared" ref="R45" si="202">R46+Q45</f>
        <v>30746002.545450985</v>
      </c>
      <c r="S45">
        <f t="shared" ref="S45" si="203">R45/100000</f>
        <v>307.46002545450983</v>
      </c>
      <c r="T45">
        <f t="shared" ref="T45" si="204">S45/1000</f>
        <v>0.30746002545450984</v>
      </c>
    </row>
    <row r="46" spans="1:20" x14ac:dyDescent="0.25">
      <c r="A46" s="5">
        <v>44547</v>
      </c>
      <c r="B46">
        <v>4.99</v>
      </c>
      <c r="C46">
        <v>5.2789999999999999</v>
      </c>
      <c r="D46">
        <v>4.8600000000000003</v>
      </c>
      <c r="E46">
        <v>5.0019999999999998</v>
      </c>
      <c r="F46">
        <v>1192477.6000000001</v>
      </c>
      <c r="G46">
        <v>5.0019999999999998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-0.32219570405728115</v>
      </c>
      <c r="Q46">
        <f t="shared" ref="Q46" si="206">F46*P46</f>
        <v>-384211.15990453691</v>
      </c>
      <c r="R46">
        <f t="shared" ref="R46" si="207">R47+Q46</f>
        <v>30664531.418098684</v>
      </c>
      <c r="S46">
        <f t="shared" ref="S46" si="208">R46/100000</f>
        <v>306.64531418098682</v>
      </c>
      <c r="T46">
        <f t="shared" ref="T46" si="209">S46/1000</f>
        <v>0.30664531418098684</v>
      </c>
    </row>
    <row r="47" spans="1:20" x14ac:dyDescent="0.25">
      <c r="A47" s="5">
        <v>44546</v>
      </c>
      <c r="B47">
        <v>5.0919999999999996</v>
      </c>
      <c r="C47">
        <v>5.3479999999999999</v>
      </c>
      <c r="D47">
        <v>4.9800000000000004</v>
      </c>
      <c r="E47">
        <v>4.9939999999999998</v>
      </c>
      <c r="F47">
        <v>627028.19999999995</v>
      </c>
      <c r="G47">
        <v>4.9939999999999998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-0.92391304347826431</v>
      </c>
      <c r="Q47">
        <f t="shared" ref="Q47" si="211">F47*P47</f>
        <v>-579319.53260869777</v>
      </c>
      <c r="R47">
        <f t="shared" ref="R47" si="212">R48+Q47</f>
        <v>31048742.57800322</v>
      </c>
      <c r="S47">
        <f t="shared" ref="S47" si="213">R47/100000</f>
        <v>310.4874257800322</v>
      </c>
      <c r="T47">
        <f t="shared" ref="T47" si="214">S47/1000</f>
        <v>0.31048742578003219</v>
      </c>
    </row>
    <row r="48" spans="1:20" x14ac:dyDescent="0.25">
      <c r="A48" s="5">
        <v>44545</v>
      </c>
      <c r="B48">
        <v>5.0620000000000003</v>
      </c>
      <c r="C48">
        <v>5.2670000000000003</v>
      </c>
      <c r="D48">
        <v>4.6529999999999996</v>
      </c>
      <c r="E48">
        <v>5.0880000000000001</v>
      </c>
      <c r="F48">
        <v>1253615.3</v>
      </c>
      <c r="G48">
        <v>5.0880000000000001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0.41693811074918552</v>
      </c>
      <c r="Q48">
        <f t="shared" ref="Q48" si="216">F48*P48</f>
        <v>522679.99478827347</v>
      </c>
      <c r="R48">
        <f t="shared" ref="R48" si="217">R49+Q48</f>
        <v>31628062.110611919</v>
      </c>
      <c r="S48">
        <f t="shared" ref="S48" si="218">R48/100000</f>
        <v>316.28062110611921</v>
      </c>
      <c r="T48">
        <f t="shared" ref="T48" si="219">S48/1000</f>
        <v>0.31628062110611921</v>
      </c>
    </row>
    <row r="49" spans="1:20" x14ac:dyDescent="0.25">
      <c r="A49" s="5">
        <v>44544</v>
      </c>
      <c r="B49">
        <v>4.7039999999999997</v>
      </c>
      <c r="C49">
        <v>5.1760000000000002</v>
      </c>
      <c r="D49">
        <v>4.6219999999999999</v>
      </c>
      <c r="E49">
        <v>5.0650000000000004</v>
      </c>
      <c r="F49">
        <v>809939.8</v>
      </c>
      <c r="G49">
        <v>5.0650000000000004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0.59927797833935126</v>
      </c>
      <c r="Q49">
        <f t="shared" ref="Q49" si="221">F49*P49</f>
        <v>485379.08592057851</v>
      </c>
      <c r="R49">
        <f t="shared" ref="R49" si="222">R50+Q49</f>
        <v>31105382.115823645</v>
      </c>
      <c r="S49">
        <f t="shared" ref="S49" si="223">R49/100000</f>
        <v>311.05382115823647</v>
      </c>
      <c r="T49">
        <f t="shared" ref="T49" si="224">S49/1000</f>
        <v>0.31105382115823649</v>
      </c>
    </row>
    <row r="50" spans="1:20" x14ac:dyDescent="0.25">
      <c r="A50" s="5">
        <v>44543</v>
      </c>
      <c r="B50">
        <v>5.3780000000000001</v>
      </c>
      <c r="C50">
        <v>5.4290000000000003</v>
      </c>
      <c r="D50">
        <v>4.6769999999999996</v>
      </c>
      <c r="E50">
        <v>4.7009999999999996</v>
      </c>
      <c r="F50">
        <v>708398.7</v>
      </c>
      <c r="G50">
        <v>4.7009999999999996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-0.93617021276595747</v>
      </c>
      <c r="Q50">
        <f t="shared" ref="Q50" si="226">F50*P50</f>
        <v>-663181.76170212764</v>
      </c>
      <c r="R50">
        <f t="shared" ref="R50" si="227">R51+Q50</f>
        <v>30620003.029903065</v>
      </c>
      <c r="S50">
        <f t="shared" ref="S50" si="228">R50/100000</f>
        <v>306.20003029903063</v>
      </c>
      <c r="T50">
        <f t="shared" ref="T50" si="229">S50/1000</f>
        <v>0.30620003029903065</v>
      </c>
    </row>
    <row r="51" spans="1:20" x14ac:dyDescent="0.25">
      <c r="A51" s="5">
        <v>44542</v>
      </c>
      <c r="B51">
        <v>5.3159999999999998</v>
      </c>
      <c r="C51">
        <v>5.4480000000000004</v>
      </c>
      <c r="D51">
        <v>5.1619999999999999</v>
      </c>
      <c r="E51">
        <v>5.3869999999999996</v>
      </c>
      <c r="F51">
        <v>388436.6</v>
      </c>
      <c r="G51">
        <v>5.3869999999999996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0.57342657342656833</v>
      </c>
      <c r="Q51">
        <f t="shared" ref="Q51" si="231">F51*P51</f>
        <v>222739.86853146655</v>
      </c>
      <c r="R51">
        <f t="shared" ref="R51" si="232">R52+Q51</f>
        <v>31283184.791605193</v>
      </c>
      <c r="S51">
        <f t="shared" ref="S51" si="233">R51/100000</f>
        <v>312.83184791605191</v>
      </c>
      <c r="T51">
        <f t="shared" ref="T51" si="234">S51/1000</f>
        <v>0.3128318479160519</v>
      </c>
    </row>
    <row r="52" spans="1:20" x14ac:dyDescent="0.25">
      <c r="A52" s="5">
        <v>44541</v>
      </c>
      <c r="B52">
        <v>5.03</v>
      </c>
      <c r="C52">
        <v>5.1669999999999998</v>
      </c>
      <c r="D52">
        <v>4.9610000000000003</v>
      </c>
      <c r="E52">
        <v>5.125</v>
      </c>
      <c r="F52">
        <v>66801.8</v>
      </c>
      <c r="G52">
        <v>5.125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0.59223300970873871</v>
      </c>
      <c r="Q52">
        <f t="shared" ref="Q52" si="236">F52*P52</f>
        <v>39562.23106796122</v>
      </c>
      <c r="R52">
        <f t="shared" ref="R52" si="237">R53+Q52</f>
        <v>31060444.923073728</v>
      </c>
      <c r="S52">
        <f t="shared" ref="S52" si="238">R52/100000</f>
        <v>310.60444923073726</v>
      </c>
      <c r="T52">
        <f t="shared" ref="T52" si="239">S52/1000</f>
        <v>0.31060444923073727</v>
      </c>
    </row>
    <row r="53" spans="1:20" x14ac:dyDescent="0.25">
      <c r="A53" s="5">
        <v>44540</v>
      </c>
      <c r="B53">
        <v>5.4530000000000003</v>
      </c>
      <c r="C53">
        <v>5.6589999999999998</v>
      </c>
      <c r="D53">
        <v>4.9960000000000004</v>
      </c>
      <c r="E53">
        <v>5.0369999999999999</v>
      </c>
      <c r="F53">
        <v>785375.5</v>
      </c>
      <c r="G53">
        <v>5.0369999999999999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-0.87631975867270129</v>
      </c>
      <c r="Q53">
        <f t="shared" ref="Q53" si="241">F53*P53</f>
        <v>-688240.06862745213</v>
      </c>
      <c r="R53">
        <f t="shared" ref="R53" si="242">R54+Q53</f>
        <v>31020882.692005765</v>
      </c>
      <c r="S53">
        <f t="shared" ref="S53" si="243">R53/100000</f>
        <v>310.20882692005767</v>
      </c>
      <c r="T53">
        <f t="shared" ref="T53" si="244">S53/1000</f>
        <v>0.31020882692005769</v>
      </c>
    </row>
    <row r="54" spans="1:20" x14ac:dyDescent="0.25">
      <c r="A54" s="5">
        <v>44539</v>
      </c>
      <c r="B54">
        <v>6.1360000000000001</v>
      </c>
      <c r="C54">
        <v>6.17</v>
      </c>
      <c r="D54">
        <v>5.452</v>
      </c>
      <c r="E54">
        <v>5.4569999999999999</v>
      </c>
      <c r="F54">
        <v>638136.5</v>
      </c>
      <c r="G54">
        <v>5.4569999999999999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-0.98607242339832901</v>
      </c>
      <c r="Q54">
        <f t="shared" ref="Q54" si="246">F54*P54</f>
        <v>-629248.80501392775</v>
      </c>
      <c r="R54">
        <f t="shared" ref="R54" si="247">R55+Q54</f>
        <v>31709122.760633215</v>
      </c>
      <c r="S54">
        <f t="shared" ref="S54" si="248">R54/100000</f>
        <v>317.09122760633215</v>
      </c>
      <c r="T54">
        <f t="shared" ref="T54" si="249">S54/1000</f>
        <v>0.31709122760633213</v>
      </c>
    </row>
    <row r="55" spans="1:20" x14ac:dyDescent="0.25">
      <c r="A55" s="5">
        <v>44538</v>
      </c>
      <c r="B55">
        <v>5.8769999999999998</v>
      </c>
      <c r="C55">
        <v>6.2629999999999999</v>
      </c>
      <c r="D55">
        <v>5.6189999999999998</v>
      </c>
      <c r="E55">
        <v>6.1319999999999997</v>
      </c>
      <c r="F55">
        <v>1325458.6000000001</v>
      </c>
      <c r="G55">
        <v>6.1319999999999997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0.59316770186335344</v>
      </c>
      <c r="Q55">
        <f t="shared" ref="Q55" si="251">F55*P55</f>
        <v>786219.23167701787</v>
      </c>
      <c r="R55">
        <f t="shared" ref="R55" si="252">R56+Q55</f>
        <v>32338371.565647144</v>
      </c>
      <c r="S55">
        <f t="shared" ref="S55" si="253">R55/100000</f>
        <v>323.38371565647145</v>
      </c>
      <c r="T55">
        <f t="shared" ref="T55" si="254">S55/1000</f>
        <v>0.32338371565647145</v>
      </c>
    </row>
    <row r="56" spans="1:20" x14ac:dyDescent="0.25">
      <c r="A56" s="5">
        <v>44537</v>
      </c>
      <c r="B56">
        <v>5.9580000000000002</v>
      </c>
      <c r="C56">
        <v>6.1120000000000001</v>
      </c>
      <c r="D56">
        <v>5.7450000000000001</v>
      </c>
      <c r="E56">
        <v>5.8730000000000002</v>
      </c>
      <c r="F56">
        <v>1050123.1000000001</v>
      </c>
      <c r="G56">
        <v>5.8730000000000002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-0.30245231607629364</v>
      </c>
      <c r="Q56">
        <f t="shared" ref="Q56" si="256">F56*P56</f>
        <v>-317612.16376021731</v>
      </c>
      <c r="R56">
        <f t="shared" ref="R56" si="257">R57+Q56</f>
        <v>31552152.333970126</v>
      </c>
      <c r="S56">
        <f t="shared" ref="S56" si="258">R56/100000</f>
        <v>315.52152333970128</v>
      </c>
      <c r="T56">
        <f t="shared" ref="T56" si="259">S56/1000</f>
        <v>0.31552152333970129</v>
      </c>
    </row>
    <row r="57" spans="1:20" x14ac:dyDescent="0.25">
      <c r="A57" s="5">
        <v>44536</v>
      </c>
      <c r="B57">
        <v>5.66</v>
      </c>
      <c r="C57">
        <v>6.3920000000000003</v>
      </c>
      <c r="D57">
        <v>5.1059999999999999</v>
      </c>
      <c r="E57">
        <v>5.9770000000000003</v>
      </c>
      <c r="F57">
        <v>1748006.3</v>
      </c>
      <c r="G57">
        <v>5.9770000000000003</v>
      </c>
      <c r="L57" t="s">
        <v>7</v>
      </c>
      <c r="M57" t="s">
        <v>8</v>
      </c>
      <c r="N57" t="s">
        <v>7</v>
      </c>
      <c r="P57">
        <f t="shared" ref="P57" si="260">IF(C57=D57,0,((E57-D57)-(C57-E57))/(C57-D57))</f>
        <v>0.35458786936236408</v>
      </c>
      <c r="Q57">
        <f t="shared" ref="Q57" si="261">F57*P57</f>
        <v>619821.82954898942</v>
      </c>
      <c r="R57">
        <f t="shared" ref="R57" si="262">R58+Q57</f>
        <v>31869764.497730345</v>
      </c>
      <c r="S57">
        <f t="shared" ref="S57" si="263">R57/100000</f>
        <v>318.69764497730347</v>
      </c>
      <c r="T57">
        <f t="shared" ref="T57" si="264">S57/1000</f>
        <v>0.31869764497730346</v>
      </c>
    </row>
    <row r="58" spans="1:20" x14ac:dyDescent="0.25">
      <c r="A58" s="5">
        <v>44535</v>
      </c>
      <c r="B58">
        <v>6.202</v>
      </c>
      <c r="C58">
        <v>6.3140000000000001</v>
      </c>
      <c r="D58">
        <v>5.4130000000000003</v>
      </c>
      <c r="E58">
        <v>5.657</v>
      </c>
      <c r="F58">
        <v>1331393.5</v>
      </c>
      <c r="G58">
        <v>5.657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-0.4583795782463933</v>
      </c>
      <c r="Q58">
        <f t="shared" ref="Q58" si="266">F58*P58</f>
        <v>-610283.5910099895</v>
      </c>
      <c r="R58">
        <f t="shared" ref="R58" si="267">R59+Q58</f>
        <v>31249942.668181356</v>
      </c>
      <c r="S58">
        <f t="shared" ref="S58" si="268">R58/100000</f>
        <v>312.49942668181359</v>
      </c>
      <c r="T58">
        <f t="shared" ref="T58" si="269">S58/1000</f>
        <v>0.31249942668181357</v>
      </c>
    </row>
    <row r="59" spans="1:20" x14ac:dyDescent="0.25">
      <c r="A59" s="5">
        <v>44534</v>
      </c>
      <c r="B59">
        <v>7.5330000000000004</v>
      </c>
      <c r="C59">
        <v>7.5330000000000004</v>
      </c>
      <c r="D59">
        <v>4.6449999999999996</v>
      </c>
      <c r="E59">
        <v>6.1959999999999997</v>
      </c>
      <c r="F59">
        <v>2969058.2579999999</v>
      </c>
      <c r="G59">
        <v>6.1959999999999997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7.4099722991689571E-2</v>
      </c>
      <c r="Q59">
        <f t="shared" ref="Q59" si="271">F59*P59</f>
        <v>220006.39446398837</v>
      </c>
      <c r="R59">
        <f t="shared" ref="R59" si="272">R60+Q59</f>
        <v>31860226.259191345</v>
      </c>
      <c r="S59">
        <f t="shared" ref="S59" si="273">R59/100000</f>
        <v>318.60226259191347</v>
      </c>
      <c r="T59">
        <f t="shared" ref="T59" si="274">S59/1000</f>
        <v>0.31860226259191349</v>
      </c>
    </row>
    <row r="60" spans="1:20" x14ac:dyDescent="0.25">
      <c r="A60" s="5">
        <v>44533</v>
      </c>
      <c r="B60">
        <v>8.2479999999999993</v>
      </c>
      <c r="C60">
        <v>8.5350000000000001</v>
      </c>
      <c r="D60">
        <v>7.101</v>
      </c>
      <c r="E60">
        <v>7.5369999999999999</v>
      </c>
      <c r="F60">
        <v>1765868.9</v>
      </c>
      <c r="G60">
        <v>7.5369999999999999</v>
      </c>
      <c r="L60" t="s">
        <v>7</v>
      </c>
      <c r="M60" t="s">
        <v>7</v>
      </c>
      <c r="N60" t="s">
        <v>8</v>
      </c>
      <c r="P60">
        <f t="shared" ref="P60" si="275">IF(C60=D60,0,((E60-D60)-(C60-E60))/(C60-D60))</f>
        <v>-0.39191073919107405</v>
      </c>
      <c r="Q60">
        <f t="shared" ref="Q60" si="276">F60*P60</f>
        <v>-692062.98591352883</v>
      </c>
      <c r="R60">
        <f t="shared" ref="R60" si="277">R61+Q60</f>
        <v>31640219.864727356</v>
      </c>
      <c r="S60">
        <f t="shared" ref="S60" si="278">R60/100000</f>
        <v>316.40219864727356</v>
      </c>
      <c r="T60">
        <f t="shared" ref="T60" si="279">S60/1000</f>
        <v>0.31640219864727359</v>
      </c>
    </row>
    <row r="61" spans="1:20" x14ac:dyDescent="0.25">
      <c r="A61" s="5">
        <v>44532</v>
      </c>
      <c r="B61">
        <v>7.7439999999999998</v>
      </c>
      <c r="C61">
        <v>8.657</v>
      </c>
      <c r="D61">
        <v>7.335</v>
      </c>
      <c r="E61">
        <v>8.2539999999999996</v>
      </c>
      <c r="F61">
        <v>3226596.1</v>
      </c>
      <c r="G61">
        <v>8.2539999999999996</v>
      </c>
      <c r="L61" t="s">
        <v>8</v>
      </c>
      <c r="M61" t="s">
        <v>7</v>
      </c>
      <c r="N61" t="s">
        <v>8</v>
      </c>
      <c r="P61">
        <f t="shared" ref="P61" si="280">IF(C61=D61,0,((E61-D61)-(C61-E61))/(C61-D61))</f>
        <v>0.39031770045385711</v>
      </c>
      <c r="Q61">
        <f t="shared" ref="Q61" si="281">F61*P61</f>
        <v>1259397.5700453836</v>
      </c>
      <c r="R61">
        <f t="shared" ref="R61" si="282">R62+Q61</f>
        <v>32332282.850640886</v>
      </c>
      <c r="S61">
        <f t="shared" ref="S61" si="283">R61/100000</f>
        <v>323.32282850640888</v>
      </c>
      <c r="T61">
        <f t="shared" ref="T61" si="284">S61/1000</f>
        <v>0.32332282850640887</v>
      </c>
    </row>
    <row r="62" spans="1:20" x14ac:dyDescent="0.25">
      <c r="A62" s="5">
        <v>44531</v>
      </c>
      <c r="B62">
        <v>7.7130000000000001</v>
      </c>
      <c r="C62">
        <v>8.1259999999999994</v>
      </c>
      <c r="D62">
        <v>7.5430000000000001</v>
      </c>
      <c r="E62">
        <v>7.74</v>
      </c>
      <c r="F62">
        <v>1253232.5</v>
      </c>
      <c r="G62">
        <v>7.74</v>
      </c>
      <c r="L62" t="s">
        <v>8</v>
      </c>
      <c r="M62" t="s">
        <v>7</v>
      </c>
      <c r="N62" t="s">
        <v>8</v>
      </c>
      <c r="P62">
        <f t="shared" ref="P62" si="285">IF(C62=D62,0,((E62-D62)-(C62-E62))/(C62-D62))</f>
        <v>-0.32418524871354959</v>
      </c>
      <c r="Q62">
        <f t="shared" ref="Q62" si="286">F62*P62</f>
        <v>-406279.48970840353</v>
      </c>
      <c r="R62">
        <f t="shared" ref="R62" si="287">R63+Q62</f>
        <v>31072885.2805955</v>
      </c>
      <c r="S62">
        <f t="shared" ref="S62" si="288">R62/100000</f>
        <v>310.728852805955</v>
      </c>
      <c r="T62">
        <f t="shared" ref="T62" si="289">S62/1000</f>
        <v>0.31072885280595502</v>
      </c>
    </row>
    <row r="63" spans="1:20" x14ac:dyDescent="0.25">
      <c r="A63" s="5">
        <v>44530</v>
      </c>
      <c r="B63">
        <v>7.8639999999999999</v>
      </c>
      <c r="C63">
        <v>8.2449999999999992</v>
      </c>
      <c r="D63">
        <v>7.4569999999999999</v>
      </c>
      <c r="E63">
        <v>7.7080000000000002</v>
      </c>
      <c r="F63">
        <v>2043464.2</v>
      </c>
      <c r="G63">
        <v>7.7080000000000002</v>
      </c>
      <c r="L63" t="s">
        <v>7</v>
      </c>
      <c r="M63" t="s">
        <v>7</v>
      </c>
      <c r="N63" t="s">
        <v>8</v>
      </c>
      <c r="P63">
        <f t="shared" ref="P63" si="290">IF(C63=D63,0,((E63-D63)-(C63-E63))/(C63-D63))</f>
        <v>-0.36294416243654687</v>
      </c>
      <c r="Q63">
        <f t="shared" ref="Q63" si="291">F63*P63</f>
        <v>-741663.40253806824</v>
      </c>
      <c r="R63">
        <f t="shared" ref="R63" si="292">R64+Q63</f>
        <v>31479164.770303905</v>
      </c>
      <c r="S63">
        <f t="shared" ref="S63" si="293">R63/100000</f>
        <v>314.79164770303908</v>
      </c>
      <c r="T63">
        <f t="shared" ref="T63" si="294">S63/1000</f>
        <v>0.31479164770303908</v>
      </c>
    </row>
    <row r="64" spans="1:20" x14ac:dyDescent="0.25">
      <c r="A64" s="5">
        <v>44529</v>
      </c>
      <c r="B64">
        <v>8.0670000000000002</v>
      </c>
      <c r="C64">
        <v>8.7070000000000007</v>
      </c>
      <c r="D64">
        <v>7.758</v>
      </c>
      <c r="E64">
        <v>7.8710000000000004</v>
      </c>
      <c r="F64">
        <v>1773211.1</v>
      </c>
      <c r="G64">
        <v>7.8710000000000004</v>
      </c>
      <c r="L64" t="s">
        <v>8</v>
      </c>
      <c r="M64" t="s">
        <v>7</v>
      </c>
      <c r="N64" t="s">
        <v>8</v>
      </c>
      <c r="P64">
        <f t="shared" ref="P64" si="295">IF(C64=D64,0,((E64-D64)-(C64-E64))/(C64-D64))</f>
        <v>-0.76185458377239124</v>
      </c>
      <c r="Q64">
        <f t="shared" ref="Q64" si="296">F64*P64</f>
        <v>-1350929.0045310841</v>
      </c>
      <c r="R64">
        <f t="shared" ref="R64" si="297">R65+Q64</f>
        <v>32220828.172841974</v>
      </c>
      <c r="S64">
        <f t="shared" ref="S64" si="298">R64/100000</f>
        <v>322.20828172841976</v>
      </c>
      <c r="T64">
        <f t="shared" ref="T64" si="299">S64/1000</f>
        <v>0.32220828172841975</v>
      </c>
    </row>
    <row r="65" spans="1:20" x14ac:dyDescent="0.25">
      <c r="A65" s="5">
        <v>44528</v>
      </c>
      <c r="B65">
        <v>8.4890000000000008</v>
      </c>
      <c r="C65">
        <v>8.6210000000000004</v>
      </c>
      <c r="D65">
        <v>7.6079999999999997</v>
      </c>
      <c r="E65">
        <v>8.0660000000000007</v>
      </c>
      <c r="F65">
        <v>1903770.9</v>
      </c>
      <c r="G65">
        <v>8.0660000000000007</v>
      </c>
      <c r="L65" t="s">
        <v>7</v>
      </c>
      <c r="M65" t="s">
        <v>7</v>
      </c>
      <c r="N65" t="s">
        <v>8</v>
      </c>
      <c r="P65">
        <f t="shared" ref="P65" si="300">IF(C65=D65,0,((E65-D65)-(C65-E65))/(C65-D65))</f>
        <v>-9.5755182625862356E-2</v>
      </c>
      <c r="Q65">
        <f t="shared" ref="Q65" si="301">F65*P65</f>
        <v>-182295.93020730233</v>
      </c>
      <c r="R65">
        <f t="shared" ref="R65" si="302">R66+Q65</f>
        <v>33571757.177373059</v>
      </c>
      <c r="S65">
        <f t="shared" ref="S65" si="303">R65/100000</f>
        <v>335.71757177373058</v>
      </c>
      <c r="T65">
        <f t="shared" ref="T65" si="304">S65/1000</f>
        <v>0.33571757177373057</v>
      </c>
    </row>
    <row r="66" spans="1:20" x14ac:dyDescent="0.25">
      <c r="A66" s="5">
        <v>44527</v>
      </c>
      <c r="B66">
        <v>7.3479999999999999</v>
      </c>
      <c r="C66">
        <v>9.4700000000000006</v>
      </c>
      <c r="D66">
        <v>7.3419999999999996</v>
      </c>
      <c r="E66">
        <v>8.4960000000000004</v>
      </c>
      <c r="F66">
        <v>6481754.5</v>
      </c>
      <c r="G66">
        <v>8.4960000000000004</v>
      </c>
      <c r="L66" t="s">
        <v>8</v>
      </c>
      <c r="M66" t="s">
        <v>8</v>
      </c>
      <c r="N66" t="s">
        <v>8</v>
      </c>
      <c r="P66">
        <f t="shared" ref="P66" si="305">IF(C66=D66,0,((E66-D66)-(C66-E66))/(C66-D66))</f>
        <v>8.4586466165413779E-2</v>
      </c>
      <c r="Q66">
        <f t="shared" ref="Q66" si="306">F66*P66</f>
        <v>548268.70770676853</v>
      </c>
      <c r="R66">
        <f t="shared" ref="R66" si="307">R67+Q66</f>
        <v>33754053.107580364</v>
      </c>
      <c r="S66">
        <f t="shared" ref="S66" si="308">R66/100000</f>
        <v>337.54053107580364</v>
      </c>
      <c r="T66">
        <f t="shared" ref="T66" si="309">S66/1000</f>
        <v>0.33754053107580362</v>
      </c>
    </row>
    <row r="67" spans="1:20" x14ac:dyDescent="0.25">
      <c r="A67" s="5">
        <v>44526</v>
      </c>
      <c r="B67">
        <v>7.6130000000000004</v>
      </c>
      <c r="C67">
        <v>8.0169999999999995</v>
      </c>
      <c r="D67">
        <v>6.593</v>
      </c>
      <c r="E67">
        <v>7.3650000000000002</v>
      </c>
      <c r="F67">
        <v>2815991.5639999998</v>
      </c>
      <c r="G67">
        <v>7.3650000000000002</v>
      </c>
      <c r="L67" t="s">
        <v>8</v>
      </c>
      <c r="M67" t="s">
        <v>7</v>
      </c>
      <c r="N67" t="s">
        <v>7</v>
      </c>
      <c r="P67">
        <f t="shared" ref="P67" si="310">IF(C67=D67,0,((E67-D67)-(C67-E67))/(C67-D67))</f>
        <v>8.4269662921349048E-2</v>
      </c>
      <c r="Q67">
        <f t="shared" ref="Q67" si="311">F67*P67</f>
        <v>237302.65988764248</v>
      </c>
      <c r="R67">
        <f t="shared" ref="R67" si="312">R68+Q67</f>
        <v>33205784.399873592</v>
      </c>
      <c r="S67">
        <f t="shared" ref="S67" si="313">R67/100000</f>
        <v>332.0578439987359</v>
      </c>
      <c r="T67">
        <f t="shared" ref="T67" si="314">S67/1000</f>
        <v>0.33205784399873589</v>
      </c>
    </row>
    <row r="68" spans="1:20" x14ac:dyDescent="0.25">
      <c r="A68" s="5">
        <v>44525</v>
      </c>
      <c r="B68">
        <v>7.1779999999999999</v>
      </c>
      <c r="C68">
        <v>7.6379999999999999</v>
      </c>
      <c r="D68">
        <v>7.1210000000000004</v>
      </c>
      <c r="E68">
        <v>7.6139999999999999</v>
      </c>
      <c r="F68">
        <v>1043932.8</v>
      </c>
      <c r="G68">
        <v>7.6139999999999999</v>
      </c>
      <c r="L68" t="s">
        <v>8</v>
      </c>
      <c r="M68" t="s">
        <v>8</v>
      </c>
      <c r="N68" t="s">
        <v>7</v>
      </c>
      <c r="P68">
        <f t="shared" ref="P68" si="315">IF(C68=D68,0,((E68-D68)-(C68-E68))/(C68-D68))</f>
        <v>0.90715667311411974</v>
      </c>
      <c r="Q68">
        <f t="shared" ref="Q68" si="316">F68*P68</f>
        <v>947010.60580270772</v>
      </c>
      <c r="R68">
        <f t="shared" ref="R68" si="317">R69+Q68</f>
        <v>32968481.73998595</v>
      </c>
      <c r="S68">
        <f t="shared" ref="S68" si="318">R68/100000</f>
        <v>329.68481739985953</v>
      </c>
      <c r="T68">
        <f t="shared" ref="T68" si="319">S68/1000</f>
        <v>0.32968481739985955</v>
      </c>
    </row>
    <row r="69" spans="1:20" x14ac:dyDescent="0.25">
      <c r="A69" s="5">
        <v>44524</v>
      </c>
      <c r="B69">
        <v>7.5170000000000003</v>
      </c>
      <c r="C69">
        <v>7.5759999999999996</v>
      </c>
      <c r="D69">
        <v>7.1429999999999998</v>
      </c>
      <c r="E69">
        <v>7.2549999999999999</v>
      </c>
      <c r="F69">
        <v>399239</v>
      </c>
      <c r="G69">
        <v>7.2549999999999999</v>
      </c>
      <c r="L69" t="s">
        <v>8</v>
      </c>
      <c r="M69" t="s">
        <v>8</v>
      </c>
      <c r="N69" t="s">
        <v>7</v>
      </c>
      <c r="P69">
        <f t="shared" ref="P69" si="320">IF(C69=D69,0,((E69-D69)-(C69-E69))/(C69-D69))</f>
        <v>-0.4826789838337176</v>
      </c>
      <c r="Q69">
        <f t="shared" ref="Q69" si="321">F69*P69</f>
        <v>-192704.27482678959</v>
      </c>
      <c r="R69">
        <f t="shared" ref="R69" si="322">R70+Q69</f>
        <v>32021471.134183243</v>
      </c>
      <c r="S69">
        <f t="shared" ref="S69" si="323">R69/100000</f>
        <v>320.21471134183241</v>
      </c>
      <c r="T69">
        <f t="shared" ref="T69" si="324">S69/1000</f>
        <v>0.32021471134183244</v>
      </c>
    </row>
    <row r="70" spans="1:20" x14ac:dyDescent="0.25">
      <c r="A70" s="5">
        <v>44523</v>
      </c>
      <c r="B70">
        <v>7.173</v>
      </c>
      <c r="C70">
        <v>7.6589999999999998</v>
      </c>
      <c r="D70">
        <v>7.0620000000000003</v>
      </c>
      <c r="E70">
        <v>7.5149999999999997</v>
      </c>
      <c r="F70">
        <v>827611.9</v>
      </c>
      <c r="G70">
        <v>7.5149999999999997</v>
      </c>
      <c r="L70" t="s">
        <v>8</v>
      </c>
      <c r="M70" t="s">
        <v>8</v>
      </c>
      <c r="N70" t="s">
        <v>7</v>
      </c>
      <c r="P70">
        <f t="shared" ref="P70" si="325">IF(C70=D70,0,((E70-D70)-(C70-E70))/(C70-D70))</f>
        <v>0.51758793969849171</v>
      </c>
      <c r="Q70">
        <f t="shared" ref="Q70" si="326">F70*P70</f>
        <v>428361.93819095416</v>
      </c>
      <c r="R70">
        <f t="shared" ref="R70" si="327">R71+Q70</f>
        <v>32214175.409010034</v>
      </c>
      <c r="S70">
        <f t="shared" ref="S70" si="328">R70/100000</f>
        <v>322.14175409010033</v>
      </c>
      <c r="T70">
        <f t="shared" ref="T70" si="329">S70/1000</f>
        <v>0.32214175409010032</v>
      </c>
    </row>
    <row r="71" spans="1:20" x14ac:dyDescent="0.25">
      <c r="A71" s="5">
        <v>44522</v>
      </c>
      <c r="B71">
        <v>7.6059999999999999</v>
      </c>
      <c r="C71">
        <v>7.6189999999999998</v>
      </c>
      <c r="D71">
        <v>7.04</v>
      </c>
      <c r="E71">
        <v>7.1719999999999997</v>
      </c>
      <c r="F71">
        <v>760116.5</v>
      </c>
      <c r="G71">
        <v>7.1719999999999997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-0.54404145077720301</v>
      </c>
      <c r="Q71">
        <f t="shared" ref="Q71" si="331">F71*P71</f>
        <v>-413534.88341968984</v>
      </c>
      <c r="R71">
        <f t="shared" ref="R71" si="332">R72+Q71</f>
        <v>31785813.470819078</v>
      </c>
      <c r="S71">
        <f t="shared" ref="S71" si="333">R71/100000</f>
        <v>317.85813470819079</v>
      </c>
      <c r="T71">
        <f t="shared" ref="T71" si="334">S71/1000</f>
        <v>0.3178581347081908</v>
      </c>
    </row>
    <row r="72" spans="1:20" x14ac:dyDescent="0.25">
      <c r="A72" s="5">
        <v>44521</v>
      </c>
      <c r="B72">
        <v>7.9820000000000002</v>
      </c>
      <c r="C72">
        <v>7.9889999999999999</v>
      </c>
      <c r="D72">
        <v>7.4880000000000004</v>
      </c>
      <c r="E72">
        <v>7.6050000000000004</v>
      </c>
      <c r="F72">
        <v>1007189.2</v>
      </c>
      <c r="G72">
        <v>7.6050000000000004</v>
      </c>
      <c r="L72" t="s">
        <v>7</v>
      </c>
      <c r="M72" t="s">
        <v>8</v>
      </c>
      <c r="N72" t="s">
        <v>7</v>
      </c>
      <c r="P72">
        <f t="shared" ref="P72" si="335">IF(C72=D72,0,((E72-D72)-(C72-E72))/(C72-D72))</f>
        <v>-0.53293413173652648</v>
      </c>
      <c r="Q72">
        <f t="shared" ref="Q72" si="336">F72*P72</f>
        <v>-536765.50179640669</v>
      </c>
      <c r="R72">
        <f t="shared" ref="R72" si="337">R73+Q72</f>
        <v>32199348.354238767</v>
      </c>
      <c r="S72">
        <f t="shared" ref="S72" si="338">R72/100000</f>
        <v>321.99348354238765</v>
      </c>
      <c r="T72">
        <f t="shared" ref="T72" si="339">S72/1000</f>
        <v>0.32199348354238766</v>
      </c>
    </row>
    <row r="73" spans="1:20" x14ac:dyDescent="0.25">
      <c r="A73" s="5">
        <v>44520</v>
      </c>
      <c r="B73">
        <v>7.6689999999999996</v>
      </c>
      <c r="C73">
        <v>8.2520000000000007</v>
      </c>
      <c r="D73">
        <v>7.5650000000000004</v>
      </c>
      <c r="E73">
        <v>7.9809999999999999</v>
      </c>
      <c r="F73">
        <v>1082814.7</v>
      </c>
      <c r="G73">
        <v>7.9809999999999999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0.21106259097525273</v>
      </c>
      <c r="Q73">
        <f t="shared" ref="Q73" si="341">F73*P73</f>
        <v>228541.676128091</v>
      </c>
      <c r="R73">
        <f t="shared" ref="R73" si="342">R74+Q73</f>
        <v>32736113.856035173</v>
      </c>
      <c r="S73">
        <f t="shared" ref="S73" si="343">R73/100000</f>
        <v>327.36113856035172</v>
      </c>
      <c r="T73">
        <f t="shared" ref="T73" si="344">S73/1000</f>
        <v>0.32736113856035171</v>
      </c>
    </row>
    <row r="74" spans="1:20" x14ac:dyDescent="0.25">
      <c r="A74" s="5">
        <v>44519</v>
      </c>
      <c r="B74">
        <v>7.19</v>
      </c>
      <c r="C74">
        <v>7.7439999999999998</v>
      </c>
      <c r="D74">
        <v>6.9870000000000001</v>
      </c>
      <c r="E74">
        <v>7.6779999999999999</v>
      </c>
      <c r="F74">
        <v>625877.69999999995</v>
      </c>
      <c r="G74">
        <v>7.6779999999999999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0.82562747688243099</v>
      </c>
      <c r="Q74">
        <f t="shared" ref="Q74" si="346">F74*P74</f>
        <v>516741.82628797903</v>
      </c>
      <c r="R74">
        <f t="shared" ref="R74" si="347">R75+Q74</f>
        <v>32507572.179907084</v>
      </c>
      <c r="S74">
        <f t="shared" ref="S74" si="348">R74/100000</f>
        <v>325.07572179907083</v>
      </c>
      <c r="T74">
        <f t="shared" ref="T74" si="349">S74/1000</f>
        <v>0.32507572179907085</v>
      </c>
    </row>
    <row r="75" spans="1:20" x14ac:dyDescent="0.25">
      <c r="A75" s="5">
        <v>44518</v>
      </c>
      <c r="B75">
        <v>7.819</v>
      </c>
      <c r="C75">
        <v>7.9290000000000003</v>
      </c>
      <c r="D75">
        <v>6.9109999999999996</v>
      </c>
      <c r="E75">
        <v>7.2</v>
      </c>
      <c r="F75">
        <v>924755.7</v>
      </c>
      <c r="G75">
        <v>7.2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-0.43222003929273006</v>
      </c>
      <c r="Q75">
        <f t="shared" ref="Q75" si="351">F75*P75</f>
        <v>-399697.94499017607</v>
      </c>
      <c r="R75">
        <f t="shared" ref="R75" si="352">R76+Q75</f>
        <v>31990830.353619106</v>
      </c>
      <c r="S75">
        <f t="shared" ref="S75" si="353">R75/100000</f>
        <v>319.90830353619106</v>
      </c>
      <c r="T75">
        <f t="shared" ref="T75" si="354">S75/1000</f>
        <v>0.31990830353619104</v>
      </c>
    </row>
    <row r="76" spans="1:20" x14ac:dyDescent="0.25">
      <c r="A76" s="5">
        <v>44517</v>
      </c>
      <c r="B76">
        <v>7.782</v>
      </c>
      <c r="C76">
        <v>7.9119999999999999</v>
      </c>
      <c r="D76">
        <v>7.4470000000000001</v>
      </c>
      <c r="E76">
        <v>7.8230000000000004</v>
      </c>
      <c r="F76">
        <v>703729.5</v>
      </c>
      <c r="G76">
        <v>7.8230000000000004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0.6172043010752708</v>
      </c>
      <c r="Q76">
        <f t="shared" ref="Q76" si="356">F76*P76</f>
        <v>434344.8741935498</v>
      </c>
      <c r="R76">
        <f t="shared" ref="R76" si="357">R77+Q76</f>
        <v>32390528.298609283</v>
      </c>
      <c r="S76">
        <f t="shared" ref="S76" si="358">R76/100000</f>
        <v>323.9052829860928</v>
      </c>
      <c r="T76">
        <f t="shared" ref="T76" si="359">S76/1000</f>
        <v>0.32390528298609278</v>
      </c>
    </row>
    <row r="77" spans="1:20" x14ac:dyDescent="0.25">
      <c r="A77" s="5">
        <v>44516</v>
      </c>
      <c r="B77">
        <v>8.6560000000000006</v>
      </c>
      <c r="C77">
        <v>8.6639999999999997</v>
      </c>
      <c r="D77">
        <v>7.19</v>
      </c>
      <c r="E77">
        <v>7.7939999999999996</v>
      </c>
      <c r="F77">
        <v>1905588.6</v>
      </c>
      <c r="G77">
        <v>7.7939999999999996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-0.18046132971506176</v>
      </c>
      <c r="Q77">
        <f t="shared" ref="Q77" si="361">F77*P77</f>
        <v>-343885.05264586298</v>
      </c>
      <c r="R77">
        <f t="shared" ref="R77" si="362">R78+Q77</f>
        <v>31956183.424415734</v>
      </c>
      <c r="S77">
        <f t="shared" ref="S77" si="363">R77/100000</f>
        <v>319.56183424415735</v>
      </c>
      <c r="T77">
        <f t="shared" ref="T77" si="364">S77/1000</f>
        <v>0.31956183424415735</v>
      </c>
    </row>
    <row r="78" spans="1:20" x14ac:dyDescent="0.25">
      <c r="A78" s="5">
        <v>44515</v>
      </c>
      <c r="B78">
        <v>8.7769999999999992</v>
      </c>
      <c r="C78">
        <v>9.2349999999999994</v>
      </c>
      <c r="D78">
        <v>8.5259999999999998</v>
      </c>
      <c r="E78">
        <v>8.6560000000000006</v>
      </c>
      <c r="F78">
        <v>1472182.3</v>
      </c>
      <c r="G78">
        <v>8.6560000000000006</v>
      </c>
      <c r="L78" t="s">
        <v>8</v>
      </c>
      <c r="M78" t="s">
        <v>7</v>
      </c>
      <c r="N78" t="s">
        <v>8</v>
      </c>
      <c r="P78">
        <f t="shared" ref="P78" si="365">IF(C78=D78,0,((E78-D78)-(C78-E78))/(C78-D78))</f>
        <v>-0.63328631875881281</v>
      </c>
      <c r="Q78">
        <f t="shared" ref="Q78" si="366">F78*P78</f>
        <v>-932312.9093088822</v>
      </c>
      <c r="R78">
        <f t="shared" ref="R78" si="367">R79+Q78</f>
        <v>32300068.477061596</v>
      </c>
      <c r="S78">
        <f t="shared" ref="S78" si="368">R78/100000</f>
        <v>323.00068477061598</v>
      </c>
      <c r="T78">
        <f t="shared" ref="T78" si="369">S78/1000</f>
        <v>0.323000684770616</v>
      </c>
    </row>
    <row r="79" spans="1:20" x14ac:dyDescent="0.25">
      <c r="A79" s="5">
        <v>44514</v>
      </c>
      <c r="B79">
        <v>8.9009999999999998</v>
      </c>
      <c r="C79">
        <v>9.1069999999999993</v>
      </c>
      <c r="D79">
        <v>8.5459999999999994</v>
      </c>
      <c r="E79">
        <v>8.7710000000000008</v>
      </c>
      <c r="F79">
        <v>870581.8</v>
      </c>
      <c r="G79">
        <v>8.7710000000000008</v>
      </c>
      <c r="L79" t="s">
        <v>8</v>
      </c>
      <c r="M79" t="s">
        <v>7</v>
      </c>
      <c r="N79" t="s">
        <v>8</v>
      </c>
      <c r="P79">
        <f t="shared" ref="P79" si="370">IF(C79=D79,0,((E79-D79)-(C79-E79))/(C79-D79))</f>
        <v>-0.19786096256683977</v>
      </c>
      <c r="Q79">
        <f t="shared" ref="Q79" si="371">F79*P79</f>
        <v>-172254.15294117201</v>
      </c>
      <c r="R79">
        <f t="shared" ref="R79" si="372">R80+Q79</f>
        <v>33232381.386370476</v>
      </c>
      <c r="S79">
        <f t="shared" ref="S79" si="373">R79/100000</f>
        <v>332.32381386370474</v>
      </c>
      <c r="T79">
        <f t="shared" ref="T79" si="374">S79/1000</f>
        <v>0.33232381386370474</v>
      </c>
    </row>
    <row r="80" spans="1:20" x14ac:dyDescent="0.25">
      <c r="A80" s="5">
        <v>44513</v>
      </c>
      <c r="B80">
        <v>8.5530000000000008</v>
      </c>
      <c r="C80">
        <v>8.9700000000000006</v>
      </c>
      <c r="D80">
        <v>8.4489999999999998</v>
      </c>
      <c r="E80">
        <v>8.907</v>
      </c>
      <c r="F80">
        <v>694368.5</v>
      </c>
      <c r="G80">
        <v>8.907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0.75815738963531476</v>
      </c>
      <c r="Q80">
        <f t="shared" ref="Q80" si="376">F80*P80</f>
        <v>526440.60940498905</v>
      </c>
      <c r="R80">
        <f t="shared" ref="R80" si="377">R81+Q80</f>
        <v>33404635.539311647</v>
      </c>
      <c r="S80">
        <f t="shared" ref="S80" si="378">R80/100000</f>
        <v>334.04635539311647</v>
      </c>
      <c r="T80">
        <f t="shared" ref="T80" si="379">S80/1000</f>
        <v>0.33404635539311645</v>
      </c>
    </row>
    <row r="81" spans="1:20" x14ac:dyDescent="0.25">
      <c r="A81" s="5">
        <v>44512</v>
      </c>
      <c r="B81">
        <v>8.7940000000000005</v>
      </c>
      <c r="C81">
        <v>9.0570000000000004</v>
      </c>
      <c r="D81">
        <v>8.2509999999999994</v>
      </c>
      <c r="E81">
        <v>8.5559999999999992</v>
      </c>
      <c r="F81">
        <v>923171.8</v>
      </c>
      <c r="G81">
        <v>8.5559999999999992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-0.2431761786600512</v>
      </c>
      <c r="Q81">
        <f t="shared" ref="Q81" si="381">F81*P81</f>
        <v>-224493.39057072107</v>
      </c>
      <c r="R81">
        <f t="shared" ref="R81" si="382">R82+Q81</f>
        <v>32878194.929906659</v>
      </c>
      <c r="S81">
        <f t="shared" ref="S81" si="383">R81/100000</f>
        <v>328.78194929906658</v>
      </c>
      <c r="T81">
        <f t="shared" ref="T81" si="384">S81/1000</f>
        <v>0.32878194929906657</v>
      </c>
    </row>
    <row r="82" spans="1:20" x14ac:dyDescent="0.25">
      <c r="A82" s="5">
        <v>44511</v>
      </c>
      <c r="B82">
        <v>8.6170000000000009</v>
      </c>
      <c r="C82">
        <v>9.109</v>
      </c>
      <c r="D82">
        <v>8.4770000000000003</v>
      </c>
      <c r="E82">
        <v>8.798</v>
      </c>
      <c r="F82">
        <v>833163.5</v>
      </c>
      <c r="G82">
        <v>8.798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1.5822784810126254E-2</v>
      </c>
      <c r="Q82">
        <f t="shared" ref="Q82" si="386">F82*P82</f>
        <v>13182.966772151625</v>
      </c>
      <c r="R82">
        <f t="shared" ref="R82" si="387">R83+Q82</f>
        <v>33102688.320477381</v>
      </c>
      <c r="S82">
        <f t="shared" ref="S82" si="388">R82/100000</f>
        <v>331.02688320477381</v>
      </c>
      <c r="T82">
        <f t="shared" ref="T82" si="389">S82/1000</f>
        <v>0.3310268832047738</v>
      </c>
    </row>
    <row r="83" spans="1:20" x14ac:dyDescent="0.25">
      <c r="A83" s="5">
        <v>44510</v>
      </c>
      <c r="B83">
        <v>9.2219999999999995</v>
      </c>
      <c r="C83">
        <v>9.5570000000000004</v>
      </c>
      <c r="D83">
        <v>8.2449999999999992</v>
      </c>
      <c r="E83">
        <v>8.6259999999999994</v>
      </c>
      <c r="F83">
        <v>1670096.1</v>
      </c>
      <c r="G83">
        <v>8.6259999999999994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-0.41920731707317088</v>
      </c>
      <c r="Q83">
        <f t="shared" ref="Q83" si="391">F83*P83</f>
        <v>-700116.50533536612</v>
      </c>
      <c r="R83">
        <f t="shared" ref="R83" si="392">R84+Q83</f>
        <v>33089505.353705231</v>
      </c>
      <c r="S83">
        <f t="shared" ref="S83" si="393">R83/100000</f>
        <v>330.89505353705232</v>
      </c>
      <c r="T83">
        <f t="shared" ref="T83" si="394">S83/1000</f>
        <v>0.33089505353705234</v>
      </c>
    </row>
    <row r="84" spans="1:20" x14ac:dyDescent="0.25">
      <c r="A84" s="5">
        <v>44509</v>
      </c>
      <c r="B84">
        <v>9.7889999999999997</v>
      </c>
      <c r="C84">
        <v>10.087</v>
      </c>
      <c r="D84">
        <v>9.1669999999999998</v>
      </c>
      <c r="E84">
        <v>9.2140000000000004</v>
      </c>
      <c r="F84">
        <v>1411769.6</v>
      </c>
      <c r="G84">
        <v>9.2140000000000004</v>
      </c>
      <c r="L84" t="s">
        <v>8</v>
      </c>
      <c r="M84" t="s">
        <v>7</v>
      </c>
      <c r="N84" t="s">
        <v>8</v>
      </c>
      <c r="P84">
        <f t="shared" ref="P84" si="395">IF(C84=D84,0,((E84-D84)-(C84-E84))/(C84-D84))</f>
        <v>-0.89782608695652044</v>
      </c>
      <c r="Q84">
        <f t="shared" ref="Q84" si="396">F84*P84</f>
        <v>-1267523.5756521721</v>
      </c>
      <c r="R84">
        <f t="shared" ref="R84" si="397">R85+Q84</f>
        <v>33789621.859040596</v>
      </c>
      <c r="S84">
        <f t="shared" ref="S84" si="398">R84/100000</f>
        <v>337.89621859040597</v>
      </c>
      <c r="T84">
        <f t="shared" ref="T84" si="399">S84/1000</f>
        <v>0.33789621859040597</v>
      </c>
    </row>
    <row r="85" spans="1:20" x14ac:dyDescent="0.25">
      <c r="A85" s="5">
        <v>44508</v>
      </c>
      <c r="B85">
        <v>9.2829999999999995</v>
      </c>
      <c r="C85">
        <v>9.8369999999999997</v>
      </c>
      <c r="D85">
        <v>9.1940000000000008</v>
      </c>
      <c r="E85">
        <v>9.7910000000000004</v>
      </c>
      <c r="F85">
        <v>658899.5</v>
      </c>
      <c r="G85">
        <v>9.7910000000000004</v>
      </c>
      <c r="L85" t="s">
        <v>8</v>
      </c>
      <c r="M85" t="s">
        <v>7</v>
      </c>
      <c r="N85" t="s">
        <v>8</v>
      </c>
      <c r="P85">
        <f t="shared" ref="P85" si="400">IF(C85=D85,0,((E85-D85)-(C85-E85))/(C85-D85))</f>
        <v>0.85692068429238122</v>
      </c>
      <c r="Q85">
        <f t="shared" ref="Q85" si="401">F85*P85</f>
        <v>564624.61041990784</v>
      </c>
      <c r="R85">
        <f t="shared" ref="R85" si="402">R86+Q85</f>
        <v>35057145.43469277</v>
      </c>
      <c r="S85">
        <f t="shared" ref="S85" si="403">R85/100000</f>
        <v>350.57145434692768</v>
      </c>
      <c r="T85">
        <f t="shared" ref="T85" si="404">S85/1000</f>
        <v>0.35057145434692766</v>
      </c>
    </row>
    <row r="86" spans="1:20" x14ac:dyDescent="0.25">
      <c r="A86" s="5">
        <v>44507</v>
      </c>
      <c r="B86">
        <v>9.3040000000000003</v>
      </c>
      <c r="C86">
        <v>9.4309999999999992</v>
      </c>
      <c r="D86">
        <v>9.1780000000000008</v>
      </c>
      <c r="E86">
        <v>9.282</v>
      </c>
      <c r="F86">
        <v>506777.2</v>
      </c>
      <c r="G86">
        <v>9.282</v>
      </c>
      <c r="L86" t="s">
        <v>7</v>
      </c>
      <c r="M86" t="s">
        <v>7</v>
      </c>
      <c r="N86" t="s">
        <v>8</v>
      </c>
      <c r="P86">
        <f t="shared" ref="P86" si="405">IF(C86=D86,0,((E86-D86)-(C86-E86))/(C86-D86))</f>
        <v>-0.17786561264822223</v>
      </c>
      <c r="Q86">
        <f t="shared" ref="Q86" si="406">F86*P86</f>
        <v>-90138.237154150644</v>
      </c>
      <c r="R86">
        <f t="shared" ref="R86" si="407">R87+Q86</f>
        <v>34492520.824272864</v>
      </c>
      <c r="S86">
        <f t="shared" ref="S86" si="408">R86/100000</f>
        <v>344.92520824272862</v>
      </c>
      <c r="T86">
        <f t="shared" ref="T86" si="409">S86/1000</f>
        <v>0.3449252082427286</v>
      </c>
    </row>
    <row r="87" spans="1:20" x14ac:dyDescent="0.25">
      <c r="A87" s="5">
        <v>44506</v>
      </c>
      <c r="B87">
        <v>9.5350000000000001</v>
      </c>
      <c r="C87">
        <v>9.6</v>
      </c>
      <c r="D87">
        <v>8.9849999999999994</v>
      </c>
      <c r="E87">
        <v>9.3079999999999998</v>
      </c>
      <c r="F87">
        <v>538434.4</v>
      </c>
      <c r="G87">
        <v>9.3079999999999998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5.0406504065041581E-2</v>
      </c>
      <c r="Q87">
        <f t="shared" ref="Q87" si="411">F87*P87</f>
        <v>27140.595772358225</v>
      </c>
      <c r="R87">
        <f t="shared" ref="R87" si="412">R88+Q87</f>
        <v>34582659.061427012</v>
      </c>
      <c r="S87">
        <f t="shared" ref="S87" si="413">R87/100000</f>
        <v>345.82659061427012</v>
      </c>
      <c r="T87">
        <f t="shared" ref="T87" si="414">S87/1000</f>
        <v>0.34582659061427012</v>
      </c>
    </row>
    <row r="88" spans="1:20" x14ac:dyDescent="0.25">
      <c r="A88" s="5">
        <v>44505</v>
      </c>
      <c r="B88">
        <v>9.8160000000000007</v>
      </c>
      <c r="C88">
        <v>10.199999999999999</v>
      </c>
      <c r="D88">
        <v>9.4649999999999999</v>
      </c>
      <c r="E88">
        <v>9.5359999999999996</v>
      </c>
      <c r="F88">
        <v>854181.9</v>
      </c>
      <c r="G88">
        <v>9.5359999999999996</v>
      </c>
      <c r="L88" t="s">
        <v>7</v>
      </c>
      <c r="M88" t="s">
        <v>8</v>
      </c>
      <c r="N88" t="s">
        <v>8</v>
      </c>
      <c r="P88">
        <f t="shared" ref="P88" si="415">IF(C88=D88,0,((E88-D88)-(C88-E88))/(C88-D88))</f>
        <v>-0.80680272108843598</v>
      </c>
      <c r="Q88">
        <f t="shared" ref="Q88" si="416">F88*P88</f>
        <v>-689156.28122449038</v>
      </c>
      <c r="R88">
        <f t="shared" ref="R88" si="417">R89+Q88</f>
        <v>34555518.465654656</v>
      </c>
      <c r="S88">
        <f t="shared" ref="S88" si="418">R88/100000</f>
        <v>345.55518465654654</v>
      </c>
      <c r="T88">
        <f t="shared" ref="T88" si="419">S88/1000</f>
        <v>0.34555518465654655</v>
      </c>
    </row>
    <row r="89" spans="1:20" x14ac:dyDescent="0.25">
      <c r="A89" s="5">
        <v>44504</v>
      </c>
      <c r="B89">
        <v>10.321999999999999</v>
      </c>
      <c r="C89">
        <v>10.515000000000001</v>
      </c>
      <c r="D89">
        <v>9.5350000000000001</v>
      </c>
      <c r="E89">
        <v>9.82</v>
      </c>
      <c r="F89">
        <v>960087.7</v>
      </c>
      <c r="G89">
        <v>9.82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-0.41836734693877548</v>
      </c>
      <c r="Q89">
        <f t="shared" ref="Q89" si="421">F89*P89</f>
        <v>-401669.34387755097</v>
      </c>
      <c r="R89">
        <f t="shared" ref="R89" si="422">R90+Q89</f>
        <v>35244674.746879146</v>
      </c>
      <c r="S89">
        <f t="shared" ref="S89" si="423">R89/100000</f>
        <v>352.44674746879144</v>
      </c>
      <c r="T89">
        <f t="shared" ref="T89" si="424">S89/1000</f>
        <v>0.35244674746879145</v>
      </c>
    </row>
    <row r="90" spans="1:20" x14ac:dyDescent="0.25">
      <c r="A90" s="5">
        <v>44503</v>
      </c>
      <c r="B90">
        <v>9.5649999999999995</v>
      </c>
      <c r="C90">
        <v>10.552</v>
      </c>
      <c r="D90">
        <v>9.3490000000000002</v>
      </c>
      <c r="E90">
        <v>10.321</v>
      </c>
      <c r="F90">
        <v>1711078.8</v>
      </c>
      <c r="G90">
        <v>10.321</v>
      </c>
      <c r="L90" t="s">
        <v>7</v>
      </c>
      <c r="M90" t="s">
        <v>8</v>
      </c>
      <c r="N90" t="s">
        <v>8</v>
      </c>
      <c r="P90">
        <f t="shared" ref="P90" si="425">IF(C90=D90,0,((E90-D90)-(C90-E90))/(C90-D90))</f>
        <v>0.61596009975062349</v>
      </c>
      <c r="Q90">
        <f t="shared" ref="Q90" si="426">F90*P90</f>
        <v>1053956.2683291773</v>
      </c>
      <c r="R90">
        <f t="shared" ref="R90" si="427">R91+Q90</f>
        <v>35646344.090756699</v>
      </c>
      <c r="S90">
        <f t="shared" ref="S90" si="428">R90/100000</f>
        <v>356.46344090756702</v>
      </c>
      <c r="T90">
        <f t="shared" ref="T90" si="429">S90/1000</f>
        <v>0.35646344090756704</v>
      </c>
    </row>
    <row r="91" spans="1:20" x14ac:dyDescent="0.25">
      <c r="A91" s="5">
        <v>44502</v>
      </c>
      <c r="B91">
        <v>9.6389999999999993</v>
      </c>
      <c r="C91">
        <v>10.037000000000001</v>
      </c>
      <c r="D91">
        <v>9.5079999999999991</v>
      </c>
      <c r="E91">
        <v>9.5519999999999996</v>
      </c>
      <c r="F91">
        <v>1038231.3</v>
      </c>
      <c r="G91">
        <v>9.5519999999999996</v>
      </c>
      <c r="L91" t="s">
        <v>7</v>
      </c>
      <c r="M91" t="s">
        <v>8</v>
      </c>
      <c r="N91" t="s">
        <v>8</v>
      </c>
      <c r="P91">
        <f t="shared" ref="P91" si="430">IF(C91=D91,0,((E91-D91)-(C91-E91))/(C91-D91))</f>
        <v>-0.83364839319470574</v>
      </c>
      <c r="Q91">
        <f t="shared" ref="Q91" si="431">F91*P91</f>
        <v>-865519.85500945058</v>
      </c>
      <c r="R91">
        <f t="shared" ref="R91" si="432">R92+Q91</f>
        <v>34592387.822427519</v>
      </c>
      <c r="S91">
        <f t="shared" ref="S91" si="433">R91/100000</f>
        <v>345.9238782242752</v>
      </c>
      <c r="T91">
        <f t="shared" ref="T91" si="434">S91/1000</f>
        <v>0.34592387822427517</v>
      </c>
    </row>
    <row r="92" spans="1:20" x14ac:dyDescent="0.25">
      <c r="A92" s="5">
        <v>44501</v>
      </c>
      <c r="B92">
        <v>9.8330000000000002</v>
      </c>
      <c r="C92">
        <v>10.345000000000001</v>
      </c>
      <c r="D92">
        <v>8.9920000000000009</v>
      </c>
      <c r="E92">
        <v>9.6440000000000001</v>
      </c>
      <c r="F92">
        <v>1658654.8</v>
      </c>
      <c r="G92">
        <v>9.6440000000000001</v>
      </c>
      <c r="L92" t="s">
        <v>8</v>
      </c>
      <c r="M92" t="s">
        <v>8</v>
      </c>
      <c r="N92" t="s">
        <v>8</v>
      </c>
      <c r="P92">
        <f t="shared" ref="P92" si="435">IF(C92=D92,0,((E92-D92)-(C92-E92))/(C92-D92))</f>
        <v>-3.6215816703622526E-2</v>
      </c>
      <c r="Q92">
        <f t="shared" ref="Q92" si="436">F92*P92</f>
        <v>-60069.538211383682</v>
      </c>
      <c r="R92">
        <f t="shared" ref="R92" si="437">R93+Q92</f>
        <v>35457907.67743697</v>
      </c>
      <c r="S92">
        <f t="shared" ref="S92" si="438">R92/100000</f>
        <v>354.5790767743697</v>
      </c>
      <c r="T92">
        <f t="shared" ref="T92" si="439">S92/1000</f>
        <v>0.35457907677436967</v>
      </c>
    </row>
    <row r="93" spans="1:20" x14ac:dyDescent="0.25">
      <c r="A93" s="5">
        <v>44500</v>
      </c>
      <c r="B93">
        <v>8.625</v>
      </c>
      <c r="C93">
        <v>9.9290000000000003</v>
      </c>
      <c r="D93">
        <v>8.5960000000000001</v>
      </c>
      <c r="E93">
        <v>9.84</v>
      </c>
      <c r="F93">
        <v>2131715.4</v>
      </c>
      <c r="G93">
        <v>9.84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0.86646661665416291</v>
      </c>
      <c r="Q93">
        <f t="shared" ref="Q93" si="441">F93*P93</f>
        <v>1847060.2303075755</v>
      </c>
      <c r="R93">
        <f t="shared" ref="R93" si="442">R94+Q93</f>
        <v>35517977.215648353</v>
      </c>
      <c r="S93">
        <f t="shared" ref="S93" si="443">R93/100000</f>
        <v>355.17977215648352</v>
      </c>
      <c r="T93">
        <f t="shared" ref="T93" si="444">S93/1000</f>
        <v>0.3551797721564835</v>
      </c>
    </row>
    <row r="94" spans="1:20" x14ac:dyDescent="0.25">
      <c r="A94" s="5">
        <v>44499</v>
      </c>
      <c r="B94">
        <v>8.5210000000000008</v>
      </c>
      <c r="C94">
        <v>8.6739999999999995</v>
      </c>
      <c r="D94">
        <v>8.2590000000000003</v>
      </c>
      <c r="E94">
        <v>8.6259999999999994</v>
      </c>
      <c r="F94">
        <v>651788.6</v>
      </c>
      <c r="G94">
        <v>8.6259999999999994</v>
      </c>
      <c r="L94" t="s">
        <v>8</v>
      </c>
      <c r="M94" t="s">
        <v>7</v>
      </c>
      <c r="N94" t="s">
        <v>8</v>
      </c>
      <c r="P94">
        <f t="shared" ref="P94" si="445">IF(C94=D94,0,((E94-D94)-(C94-E94))/(C94-D94))</f>
        <v>0.76867469879518002</v>
      </c>
      <c r="Q94">
        <f t="shared" ref="Q94" si="446">F94*P94</f>
        <v>501013.40578313207</v>
      </c>
      <c r="R94">
        <f t="shared" ref="R94" si="447">R95+Q94</f>
        <v>33670916.985340774</v>
      </c>
      <c r="S94">
        <f t="shared" ref="S94" si="448">R94/100000</f>
        <v>336.70916985340773</v>
      </c>
      <c r="T94">
        <f t="shared" ref="T94" si="449">S94/1000</f>
        <v>0.33670916985340771</v>
      </c>
    </row>
    <row r="95" spans="1:20" x14ac:dyDescent="0.25">
      <c r="A95" s="5">
        <v>44498</v>
      </c>
      <c r="B95">
        <v>8.2260000000000009</v>
      </c>
      <c r="C95">
        <v>8.65</v>
      </c>
      <c r="D95">
        <v>8.0809999999999995</v>
      </c>
      <c r="E95">
        <v>8.516</v>
      </c>
      <c r="F95">
        <v>1216451.8999999999</v>
      </c>
      <c r="G95">
        <v>8.516</v>
      </c>
      <c r="L95" t="s">
        <v>7</v>
      </c>
      <c r="M95" t="s">
        <v>7</v>
      </c>
      <c r="N95" t="s">
        <v>8</v>
      </c>
      <c r="P95">
        <f t="shared" ref="P95" si="450">IF(C95=D95,0,((E95-D95)-(C95-E95))/(C95-D95))</f>
        <v>0.52899824253075522</v>
      </c>
      <c r="Q95">
        <f t="shared" ref="Q95" si="451">F95*P95</f>
        <v>643500.91722319799</v>
      </c>
      <c r="R95">
        <f t="shared" ref="R95" si="452">R96+Q95</f>
        <v>33169903.579557642</v>
      </c>
      <c r="S95">
        <f t="shared" ref="S95" si="453">R95/100000</f>
        <v>331.69903579557644</v>
      </c>
      <c r="T95">
        <f t="shared" ref="T95" si="454">S95/1000</f>
        <v>0.33169903579557641</v>
      </c>
    </row>
    <row r="96" spans="1:20" x14ac:dyDescent="0.25">
      <c r="A96" s="5">
        <v>44497</v>
      </c>
      <c r="B96">
        <v>8.4499999999999993</v>
      </c>
      <c r="C96">
        <v>8.875</v>
      </c>
      <c r="D96">
        <v>8.1980000000000004</v>
      </c>
      <c r="E96">
        <v>8.2260000000000009</v>
      </c>
      <c r="F96">
        <v>1044744.2</v>
      </c>
      <c r="G96">
        <v>8.2260000000000009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-0.91728212703101775</v>
      </c>
      <c r="Q96">
        <f t="shared" ref="Q96" si="456">F96*P96</f>
        <v>-958325.18197931896</v>
      </c>
      <c r="R96">
        <f t="shared" ref="R96" si="457">R97+Q96</f>
        <v>32526402.662334446</v>
      </c>
      <c r="S96">
        <f t="shared" ref="S96" si="458">R96/100000</f>
        <v>325.26402662334448</v>
      </c>
      <c r="T96">
        <f t="shared" ref="T96" si="459">S96/1000</f>
        <v>0.32526402662334447</v>
      </c>
    </row>
    <row r="97" spans="1:20" x14ac:dyDescent="0.25">
      <c r="A97" s="5">
        <v>44496</v>
      </c>
      <c r="B97">
        <v>9.5820000000000007</v>
      </c>
      <c r="C97">
        <v>9.9250000000000007</v>
      </c>
      <c r="D97">
        <v>8.3179999999999996</v>
      </c>
      <c r="E97">
        <v>8.4580000000000002</v>
      </c>
      <c r="F97">
        <v>1359755</v>
      </c>
      <c r="G97">
        <v>8.4580000000000002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-0.82576228998133105</v>
      </c>
      <c r="Q97">
        <f t="shared" ref="Q97" si="461">F97*P97</f>
        <v>-1122834.4026135649</v>
      </c>
      <c r="R97">
        <f t="shared" ref="R97" si="462">R98+Q97</f>
        <v>33484727.844313763</v>
      </c>
      <c r="S97">
        <f t="shared" ref="S97" si="463">R97/100000</f>
        <v>334.84727844313761</v>
      </c>
      <c r="T97">
        <f t="shared" ref="T97" si="464">S97/1000</f>
        <v>0.33484727844313761</v>
      </c>
    </row>
    <row r="98" spans="1:20" x14ac:dyDescent="0.25">
      <c r="A98" s="5">
        <v>44495</v>
      </c>
      <c r="B98">
        <v>9.0120000000000005</v>
      </c>
      <c r="C98">
        <v>9.9809999999999999</v>
      </c>
      <c r="D98">
        <v>8.9589999999999996</v>
      </c>
      <c r="E98">
        <v>9.5890000000000004</v>
      </c>
      <c r="F98">
        <v>1401502.7</v>
      </c>
      <c r="G98">
        <v>9.5890000000000004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0.23287671232876836</v>
      </c>
      <c r="Q98">
        <f t="shared" ref="Q98" si="466">F98*P98</f>
        <v>326377.34109589213</v>
      </c>
      <c r="R98">
        <f t="shared" ref="R98" si="467">R99+Q98</f>
        <v>34607562.246927328</v>
      </c>
      <c r="S98">
        <f t="shared" ref="S98" si="468">R98/100000</f>
        <v>346.0756224692733</v>
      </c>
      <c r="T98">
        <f t="shared" ref="T98" si="469">S98/1000</f>
        <v>0.34607562246927331</v>
      </c>
    </row>
    <row r="99" spans="1:20" x14ac:dyDescent="0.25">
      <c r="A99" s="5">
        <v>44494</v>
      </c>
      <c r="B99">
        <v>8.6839999999999993</v>
      </c>
      <c r="C99">
        <v>9.1</v>
      </c>
      <c r="D99">
        <v>8.6419999999999995</v>
      </c>
      <c r="E99">
        <v>9.0020000000000007</v>
      </c>
      <c r="F99">
        <v>610125.1</v>
      </c>
      <c r="G99">
        <v>9.0020000000000007</v>
      </c>
      <c r="L99" t="s">
        <v>7</v>
      </c>
      <c r="M99" t="s">
        <v>8</v>
      </c>
      <c r="N99" t="s">
        <v>8</v>
      </c>
      <c r="P99">
        <f t="shared" ref="P99" si="470">IF(C99=D99,0,((E99-D99)-(C99-E99))/(C99-D99))</f>
        <v>0.57205240174672956</v>
      </c>
      <c r="Q99">
        <f t="shared" ref="Q99" si="471">F99*P99</f>
        <v>349023.52882096352</v>
      </c>
      <c r="R99">
        <f t="shared" ref="R99" si="472">R100+Q99</f>
        <v>34281184.905831434</v>
      </c>
      <c r="S99">
        <f t="shared" ref="S99" si="473">R99/100000</f>
        <v>342.81184905831435</v>
      </c>
      <c r="T99">
        <f t="shared" ref="T99" si="474">S99/1000</f>
        <v>0.34281184905831436</v>
      </c>
    </row>
    <row r="100" spans="1:20" x14ac:dyDescent="0.25">
      <c r="A100" s="5">
        <v>44493</v>
      </c>
      <c r="B100">
        <v>9.0779999999999994</v>
      </c>
      <c r="C100">
        <v>9.2690000000000001</v>
      </c>
      <c r="D100">
        <v>8.5069999999999997</v>
      </c>
      <c r="E100">
        <v>8.6809999999999992</v>
      </c>
      <c r="F100">
        <v>597684</v>
      </c>
      <c r="G100">
        <v>8.6809999999999992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-0.54330708661417482</v>
      </c>
      <c r="Q100">
        <f t="shared" ref="Q100" si="476">F100*P100</f>
        <v>-324725.95275590644</v>
      </c>
      <c r="R100">
        <f t="shared" ref="R100" si="477">R101+Q100</f>
        <v>33932161.377010472</v>
      </c>
      <c r="S100">
        <f t="shared" ref="S100" si="478">R100/100000</f>
        <v>339.3216137701047</v>
      </c>
      <c r="T100">
        <f t="shared" ref="T100" si="479">S100/1000</f>
        <v>0.33932161377010472</v>
      </c>
    </row>
    <row r="101" spans="1:20" x14ac:dyDescent="0.25">
      <c r="A101" s="5">
        <v>44492</v>
      </c>
      <c r="B101">
        <v>8.7989999999999995</v>
      </c>
      <c r="C101">
        <v>9.1389999999999993</v>
      </c>
      <c r="D101">
        <v>8.7200000000000006</v>
      </c>
      <c r="E101">
        <v>9.08</v>
      </c>
      <c r="F101">
        <v>500258.4</v>
      </c>
      <c r="G101">
        <v>9.08</v>
      </c>
      <c r="L101" t="s">
        <v>8</v>
      </c>
      <c r="M101" t="s">
        <v>8</v>
      </c>
      <c r="N101" t="s">
        <v>8</v>
      </c>
      <c r="P101">
        <f t="shared" ref="P101" si="480">IF(C101=D101,0,((E101-D101)-(C101-E101))/(C101-D101))</f>
        <v>0.71837708830549185</v>
      </c>
      <c r="Q101">
        <f t="shared" ref="Q101" si="481">F101*P101</f>
        <v>359374.17279236409</v>
      </c>
      <c r="R101">
        <f t="shared" ref="R101" si="482">R102+Q101</f>
        <v>34256887.329766378</v>
      </c>
      <c r="S101">
        <f t="shared" ref="S101" si="483">R101/100000</f>
        <v>342.5688732976638</v>
      </c>
      <c r="T101">
        <f t="shared" ref="T101" si="484">S101/1000</f>
        <v>0.34256887329766378</v>
      </c>
    </row>
    <row r="102" spans="1:20" x14ac:dyDescent="0.25">
      <c r="A102" s="5">
        <v>44491</v>
      </c>
      <c r="B102">
        <v>8.6630000000000003</v>
      </c>
      <c r="C102">
        <v>9.234</v>
      </c>
      <c r="D102">
        <v>8.6349999999999998</v>
      </c>
      <c r="E102">
        <v>8.8000000000000007</v>
      </c>
      <c r="F102">
        <v>804228.1</v>
      </c>
      <c r="G102">
        <v>8.8000000000000007</v>
      </c>
      <c r="L102" t="s">
        <v>8</v>
      </c>
      <c r="M102" t="s">
        <v>8</v>
      </c>
      <c r="N102" t="s">
        <v>8</v>
      </c>
      <c r="P102">
        <f t="shared" ref="P102" si="485">IF(C102=D102,0,((E102-D102)-(C102-E102))/(C102-D102))</f>
        <v>-0.44908180300500544</v>
      </c>
      <c r="Q102">
        <f t="shared" ref="Q102" si="486">F102*P102</f>
        <v>-361164.20517528983</v>
      </c>
      <c r="R102">
        <f t="shared" ref="R102" si="487">R103+Q102</f>
        <v>33897513.15697401</v>
      </c>
      <c r="S102">
        <f t="shared" ref="S102" si="488">R102/100000</f>
        <v>338.97513156974009</v>
      </c>
      <c r="T102">
        <f t="shared" ref="T102" si="489">S102/1000</f>
        <v>0.33897513156974007</v>
      </c>
    </row>
    <row r="103" spans="1:20" x14ac:dyDescent="0.25">
      <c r="A103" s="5">
        <v>44490</v>
      </c>
      <c r="B103">
        <v>8.8140000000000001</v>
      </c>
      <c r="C103">
        <v>9.1229999999999993</v>
      </c>
      <c r="D103">
        <v>8.4529999999999994</v>
      </c>
      <c r="E103">
        <v>8.6620000000000008</v>
      </c>
      <c r="F103">
        <v>959368.1</v>
      </c>
      <c r="G103">
        <v>8.6620000000000008</v>
      </c>
      <c r="L103" t="s">
        <v>7</v>
      </c>
      <c r="M103" t="s">
        <v>8</v>
      </c>
      <c r="N103" t="s">
        <v>8</v>
      </c>
      <c r="P103">
        <f t="shared" ref="P103" si="490">IF(C103=D103,0,((E103-D103)-(C103-E103))/(C103-D103))</f>
        <v>-0.37611940298507035</v>
      </c>
      <c r="Q103">
        <f t="shared" ref="Q103" si="491">F103*P103</f>
        <v>-360836.95701492124</v>
      </c>
      <c r="R103">
        <f t="shared" ref="R103" si="492">R104+Q103</f>
        <v>34258677.362149298</v>
      </c>
      <c r="S103">
        <f t="shared" ref="S103" si="493">R103/100000</f>
        <v>342.58677362149297</v>
      </c>
      <c r="T103">
        <f t="shared" ref="T103" si="494">S103/1000</f>
        <v>0.34258677362149298</v>
      </c>
    </row>
    <row r="104" spans="1:20" x14ac:dyDescent="0.25">
      <c r="A104" s="5">
        <v>44489</v>
      </c>
      <c r="B104">
        <v>8.4019999999999992</v>
      </c>
      <c r="C104">
        <v>9.0990000000000002</v>
      </c>
      <c r="D104">
        <v>8.3650000000000002</v>
      </c>
      <c r="E104">
        <v>8.8130000000000006</v>
      </c>
      <c r="F104">
        <v>997843.6</v>
      </c>
      <c r="G104">
        <v>8.8130000000000006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0.22070844686648611</v>
      </c>
      <c r="Q104">
        <f t="shared" ref="Q104" si="496">F104*P104</f>
        <v>220232.51117166321</v>
      </c>
      <c r="R104">
        <f t="shared" ref="R104" si="497">R105+Q104</f>
        <v>34619514.319164217</v>
      </c>
      <c r="S104">
        <f t="shared" ref="S104" si="498">R104/100000</f>
        <v>346.19514319164216</v>
      </c>
      <c r="T104">
        <f t="shared" ref="T104" si="499">S104/1000</f>
        <v>0.34619514319164219</v>
      </c>
    </row>
    <row r="105" spans="1:20" x14ac:dyDescent="0.25">
      <c r="A105" s="5">
        <v>44488</v>
      </c>
      <c r="B105">
        <v>8.4019999999999992</v>
      </c>
      <c r="C105">
        <v>8.6199999999999992</v>
      </c>
      <c r="D105">
        <v>8.2569999999999997</v>
      </c>
      <c r="E105">
        <v>8.4039999999999999</v>
      </c>
      <c r="F105">
        <v>498830.3</v>
      </c>
      <c r="G105">
        <v>8.4039999999999999</v>
      </c>
      <c r="L105" t="s">
        <v>8</v>
      </c>
      <c r="M105" t="s">
        <v>8</v>
      </c>
      <c r="N105" t="s">
        <v>8</v>
      </c>
      <c r="P105">
        <f t="shared" ref="P105" si="500">IF(C105=D105,0,((E105-D105)-(C105-E105))/(C105-D105))</f>
        <v>-0.19008264462809682</v>
      </c>
      <c r="Q105">
        <f t="shared" ref="Q105" si="501">F105*P105</f>
        <v>-94818.982644626929</v>
      </c>
      <c r="R105">
        <f t="shared" ref="R105" si="502">R106+Q105</f>
        <v>34399281.807992555</v>
      </c>
      <c r="S105">
        <f t="shared" ref="S105" si="503">R105/100000</f>
        <v>343.99281807992554</v>
      </c>
      <c r="T105">
        <f t="shared" ref="T105" si="504">S105/1000</f>
        <v>0.34399281807992554</v>
      </c>
    </row>
    <row r="106" spans="1:20" x14ac:dyDescent="0.25">
      <c r="A106" s="5">
        <v>44487</v>
      </c>
      <c r="B106">
        <v>8.3840000000000003</v>
      </c>
      <c r="C106">
        <v>8.6969999999999992</v>
      </c>
      <c r="D106">
        <v>8.1890000000000001</v>
      </c>
      <c r="E106">
        <v>8.4060000000000006</v>
      </c>
      <c r="F106">
        <v>705792.3</v>
      </c>
      <c r="G106">
        <v>8.4060000000000006</v>
      </c>
      <c r="L106" t="s">
        <v>8</v>
      </c>
      <c r="M106" t="s">
        <v>8</v>
      </c>
      <c r="N106" t="s">
        <v>8</v>
      </c>
      <c r="P106">
        <f t="shared" ref="P106" si="505">IF(C106=D106,0,((E106-D106)-(C106-E106))/(C106-D106))</f>
        <v>-0.14566929133857912</v>
      </c>
      <c r="Q106">
        <f t="shared" ref="Q106" si="506">F106*P106</f>
        <v>-102812.26417322583</v>
      </c>
      <c r="R106">
        <f t="shared" ref="R106" si="507">R107+Q106</f>
        <v>34494100.79063718</v>
      </c>
      <c r="S106">
        <f t="shared" ref="S106" si="508">R106/100000</f>
        <v>344.94100790637179</v>
      </c>
      <c r="T106">
        <f t="shared" ref="T106" si="509">S106/1000</f>
        <v>0.34494100790637178</v>
      </c>
    </row>
    <row r="107" spans="1:20" x14ac:dyDescent="0.25">
      <c r="A107" s="5">
        <v>44486</v>
      </c>
      <c r="B107">
        <v>8.6319999999999997</v>
      </c>
      <c r="C107">
        <v>8.8260000000000005</v>
      </c>
      <c r="D107">
        <v>8.0310000000000006</v>
      </c>
      <c r="E107">
        <v>8.3840000000000003</v>
      </c>
      <c r="F107">
        <v>605975.9</v>
      </c>
      <c r="G107">
        <v>8.3840000000000003</v>
      </c>
      <c r="L107" t="s">
        <v>7</v>
      </c>
      <c r="M107" t="s">
        <v>8</v>
      </c>
      <c r="N107" t="s">
        <v>8</v>
      </c>
      <c r="P107">
        <f t="shared" ref="P107" si="510">IF(C107=D107,0,((E107-D107)-(C107-E107))/(C107-D107))</f>
        <v>-0.11194968553459173</v>
      </c>
      <c r="Q107">
        <f t="shared" ref="Q107" si="511">F107*P107</f>
        <v>-67838.811446541207</v>
      </c>
      <c r="R107">
        <f t="shared" ref="R107" si="512">R108+Q107</f>
        <v>34596913.054810405</v>
      </c>
      <c r="S107">
        <f t="shared" ref="S107" si="513">R107/100000</f>
        <v>345.96913054810403</v>
      </c>
      <c r="T107">
        <f t="shared" ref="T107" si="514">S107/1000</f>
        <v>0.34596913054810402</v>
      </c>
    </row>
    <row r="108" spans="1:20" x14ac:dyDescent="0.25">
      <c r="A108" s="5">
        <v>44485</v>
      </c>
      <c r="B108">
        <v>8.3879999999999999</v>
      </c>
      <c r="C108">
        <v>9.14</v>
      </c>
      <c r="D108">
        <v>8.1679999999999993</v>
      </c>
      <c r="E108">
        <v>8.6300000000000008</v>
      </c>
      <c r="F108">
        <v>1484413.9</v>
      </c>
      <c r="G108">
        <v>8.6300000000000008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-4.9382716049380868E-2</v>
      </c>
      <c r="Q108">
        <f t="shared" ref="Q108" si="516">F108*P108</f>
        <v>-73304.390123454039</v>
      </c>
      <c r="R108">
        <f t="shared" ref="R108" si="517">R109+Q108</f>
        <v>34664751.866256945</v>
      </c>
      <c r="S108">
        <f t="shared" ref="S108" si="518">R108/100000</f>
        <v>346.64751866256944</v>
      </c>
      <c r="T108">
        <f t="shared" ref="T108" si="519">S108/1000</f>
        <v>0.34664751866256943</v>
      </c>
    </row>
    <row r="109" spans="1:20" x14ac:dyDescent="0.25">
      <c r="A109" s="5">
        <v>44484</v>
      </c>
      <c r="B109">
        <v>8.1159999999999997</v>
      </c>
      <c r="C109">
        <v>8.6159999999999997</v>
      </c>
      <c r="D109">
        <v>7.7460000000000004</v>
      </c>
      <c r="E109">
        <v>8.391</v>
      </c>
      <c r="F109">
        <v>1203027.8999999999</v>
      </c>
      <c r="G109">
        <v>8.391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0.48275862068965553</v>
      </c>
      <c r="Q109">
        <f t="shared" ref="Q109" si="521">F109*P109</f>
        <v>580772.08965517278</v>
      </c>
      <c r="R109">
        <f t="shared" ref="R109" si="522">R110+Q109</f>
        <v>34738056.256380402</v>
      </c>
      <c r="S109">
        <f t="shared" ref="S109" si="523">R109/100000</f>
        <v>347.38056256380401</v>
      </c>
      <c r="T109">
        <f t="shared" ref="T109" si="524">S109/1000</f>
        <v>0.34738056256380401</v>
      </c>
    </row>
    <row r="110" spans="1:20" x14ac:dyDescent="0.25">
      <c r="A110" s="5">
        <v>44483</v>
      </c>
      <c r="B110">
        <v>7.7039999999999997</v>
      </c>
      <c r="C110">
        <v>8.2799999999999994</v>
      </c>
      <c r="D110">
        <v>7.6589999999999998</v>
      </c>
      <c r="E110">
        <v>8.1080000000000005</v>
      </c>
      <c r="F110">
        <v>647416.4</v>
      </c>
      <c r="G110">
        <v>8.1080000000000005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0.44605475040257991</v>
      </c>
      <c r="Q110">
        <f t="shared" ref="Q110" si="526">F110*P110</f>
        <v>288783.16070853686</v>
      </c>
      <c r="R110">
        <f t="shared" ref="R110" si="527">R111+Q110</f>
        <v>34157284.166725226</v>
      </c>
      <c r="S110">
        <f t="shared" ref="S110" si="528">R110/100000</f>
        <v>341.57284166725225</v>
      </c>
      <c r="T110">
        <f t="shared" ref="T110" si="529">S110/1000</f>
        <v>0.34157284166725227</v>
      </c>
    </row>
    <row r="111" spans="1:20" x14ac:dyDescent="0.25">
      <c r="A111" s="5">
        <v>44482</v>
      </c>
      <c r="B111">
        <v>7.5359999999999996</v>
      </c>
      <c r="C111">
        <v>7.7370000000000001</v>
      </c>
      <c r="D111">
        <v>7.34</v>
      </c>
      <c r="E111">
        <v>7.7069999999999999</v>
      </c>
      <c r="F111">
        <v>410122.3</v>
      </c>
      <c r="G111">
        <v>7.7069999999999999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0.84886649874055298</v>
      </c>
      <c r="Q111">
        <f t="shared" ref="Q111" si="531">F111*P111</f>
        <v>348139.08085642266</v>
      </c>
      <c r="R111">
        <f t="shared" ref="R111" si="532">R112+Q111</f>
        <v>33868501.006016687</v>
      </c>
      <c r="S111">
        <f t="shared" ref="S111" si="533">R111/100000</f>
        <v>338.68501006016686</v>
      </c>
      <c r="T111">
        <f t="shared" ref="T111" si="534">S111/1000</f>
        <v>0.33868501006016688</v>
      </c>
    </row>
    <row r="112" spans="1:20" x14ac:dyDescent="0.25">
      <c r="A112" s="5">
        <v>44481</v>
      </c>
      <c r="B112">
        <v>7.6689999999999996</v>
      </c>
      <c r="C112">
        <v>7.6740000000000004</v>
      </c>
      <c r="D112">
        <v>7.0629999999999997</v>
      </c>
      <c r="E112">
        <v>7.5389999999999997</v>
      </c>
      <c r="F112">
        <v>636322.1</v>
      </c>
      <c r="G112">
        <v>7.5389999999999997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0.55810147299508828</v>
      </c>
      <c r="Q112">
        <f t="shared" ref="Q112" si="536">F112*P112</f>
        <v>355132.30130932783</v>
      </c>
      <c r="R112">
        <f t="shared" ref="R112" si="537">R113+Q112</f>
        <v>33520361.925160266</v>
      </c>
      <c r="S112">
        <f t="shared" ref="S112" si="538">R112/100000</f>
        <v>335.20361925160267</v>
      </c>
      <c r="T112">
        <f t="shared" ref="T112" si="539">S112/1000</f>
        <v>0.33520361925160269</v>
      </c>
    </row>
    <row r="113" spans="1:20" x14ac:dyDescent="0.25">
      <c r="A113" s="5">
        <v>44480</v>
      </c>
      <c r="B113">
        <v>7.742</v>
      </c>
      <c r="C113">
        <v>8.0380000000000003</v>
      </c>
      <c r="D113">
        <v>7.4260000000000002</v>
      </c>
      <c r="E113">
        <v>7.6719999999999997</v>
      </c>
      <c r="F113">
        <v>551372.69999999995</v>
      </c>
      <c r="G113">
        <v>7.6719999999999997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-0.19607843137255063</v>
      </c>
      <c r="Q113">
        <f t="shared" ref="Q113" si="541">F113*P113</f>
        <v>-108112.29411764794</v>
      </c>
      <c r="R113">
        <f t="shared" ref="R113" si="542">R114+Q113</f>
        <v>33165229.623850938</v>
      </c>
      <c r="S113">
        <f t="shared" ref="S113" si="543">R113/100000</f>
        <v>331.65229623850939</v>
      </c>
      <c r="T113">
        <f t="shared" ref="T113" si="544">S113/1000</f>
        <v>0.33165229623850939</v>
      </c>
    </row>
    <row r="114" spans="1:20" x14ac:dyDescent="0.25">
      <c r="A114" s="5">
        <v>44479</v>
      </c>
      <c r="B114">
        <v>8.3469999999999995</v>
      </c>
      <c r="C114">
        <v>8.3849999999999998</v>
      </c>
      <c r="D114">
        <v>7.7009999999999996</v>
      </c>
      <c r="E114">
        <v>7.7519999999999998</v>
      </c>
      <c r="F114">
        <v>588487.69999999995</v>
      </c>
      <c r="G114">
        <v>7.7519999999999998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-0.85087719298245568</v>
      </c>
      <c r="Q114">
        <f t="shared" ref="Q114" si="546">F114*P114</f>
        <v>-500730.76228070143</v>
      </c>
      <c r="R114">
        <f t="shared" ref="R114" si="547">R115+Q114</f>
        <v>33273341.917968586</v>
      </c>
      <c r="S114">
        <f t="shared" ref="S114" si="548">R114/100000</f>
        <v>332.73341917968588</v>
      </c>
      <c r="T114">
        <f t="shared" ref="T114" si="549">S114/1000</f>
        <v>0.33273341917968591</v>
      </c>
    </row>
    <row r="115" spans="1:20" x14ac:dyDescent="0.25">
      <c r="A115" s="5">
        <v>44478</v>
      </c>
      <c r="B115">
        <v>8.2639999999999993</v>
      </c>
      <c r="C115">
        <v>8.48</v>
      </c>
      <c r="D115">
        <v>8.1519999999999992</v>
      </c>
      <c r="E115">
        <v>8.35</v>
      </c>
      <c r="F115">
        <v>621145.9</v>
      </c>
      <c r="G115">
        <v>8.35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0.20731707317072978</v>
      </c>
      <c r="Q115">
        <f t="shared" ref="Q115" si="551">F115*P115</f>
        <v>128774.14999999882</v>
      </c>
      <c r="R115">
        <f t="shared" ref="R115" si="552">R116+Q115</f>
        <v>33774072.680249289</v>
      </c>
      <c r="S115">
        <f t="shared" ref="S115" si="553">R115/100000</f>
        <v>337.74072680249287</v>
      </c>
      <c r="T115">
        <f t="shared" ref="T115" si="554">S115/1000</f>
        <v>0.3377407268024929</v>
      </c>
    </row>
    <row r="116" spans="1:20" x14ac:dyDescent="0.25">
      <c r="A116" s="5">
        <v>44477</v>
      </c>
      <c r="B116">
        <v>8.4109999999999996</v>
      </c>
      <c r="C116">
        <v>9.0619999999999994</v>
      </c>
      <c r="D116">
        <v>8.1950000000000003</v>
      </c>
      <c r="E116">
        <v>8.2620000000000005</v>
      </c>
      <c r="F116">
        <v>1088273.8999999999</v>
      </c>
      <c r="G116">
        <v>8.2620000000000005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-0.84544405997693139</v>
      </c>
      <c r="Q116">
        <f t="shared" ref="Q116" si="556">F116*P116</f>
        <v>-920074.7043829289</v>
      </c>
      <c r="R116">
        <f t="shared" ref="R116" si="557">R117+Q116</f>
        <v>33645298.53024929</v>
      </c>
      <c r="S116">
        <f t="shared" ref="S116" si="558">R116/100000</f>
        <v>336.45298530249289</v>
      </c>
      <c r="T116">
        <f t="shared" ref="T116" si="559">S116/1000</f>
        <v>0.3364529853024929</v>
      </c>
    </row>
    <row r="117" spans="1:20" x14ac:dyDescent="0.25">
      <c r="A117" s="5">
        <v>44476</v>
      </c>
      <c r="B117">
        <v>8.3360000000000003</v>
      </c>
      <c r="C117">
        <v>8.673</v>
      </c>
      <c r="D117">
        <v>8.0299999999999994</v>
      </c>
      <c r="E117">
        <v>8.4130000000000003</v>
      </c>
      <c r="F117">
        <v>1016795.3</v>
      </c>
      <c r="G117">
        <v>8.4130000000000003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0.1912908242612768</v>
      </c>
      <c r="Q117">
        <f t="shared" ref="Q117" si="561">F117*P117</f>
        <v>194503.61104199223</v>
      </c>
      <c r="R117">
        <f t="shared" ref="R117" si="562">R118+Q117</f>
        <v>34565373.234632216</v>
      </c>
      <c r="S117">
        <f t="shared" ref="S117" si="563">R117/100000</f>
        <v>345.65373234632216</v>
      </c>
      <c r="T117">
        <f t="shared" ref="T117" si="564">S117/1000</f>
        <v>0.34565373234632218</v>
      </c>
    </row>
    <row r="118" spans="1:20" x14ac:dyDescent="0.25">
      <c r="A118" s="5">
        <v>44475</v>
      </c>
      <c r="B118">
        <v>8.4589999999999996</v>
      </c>
      <c r="C118">
        <v>8.5559999999999992</v>
      </c>
      <c r="D118">
        <v>7.8620000000000001</v>
      </c>
      <c r="E118">
        <v>8.3439999999999994</v>
      </c>
      <c r="F118">
        <v>1062748.1000000001</v>
      </c>
      <c r="G118">
        <v>8.3439999999999994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0.38904899135446674</v>
      </c>
      <c r="Q118">
        <f t="shared" ref="Q118" si="566">F118*P118</f>
        <v>413461.07636887598</v>
      </c>
      <c r="R118">
        <f t="shared" ref="R118" si="567">R119+Q118</f>
        <v>34370869.623590223</v>
      </c>
      <c r="S118">
        <f t="shared" ref="S118" si="568">R118/100000</f>
        <v>343.70869623590221</v>
      </c>
      <c r="T118">
        <f t="shared" ref="T118" si="569">S118/1000</f>
        <v>0.34370869623590222</v>
      </c>
    </row>
    <row r="119" spans="1:20" x14ac:dyDescent="0.25">
      <c r="A119" s="5">
        <v>44474</v>
      </c>
      <c r="B119">
        <v>8.1739999999999995</v>
      </c>
      <c r="C119">
        <v>8.7590000000000003</v>
      </c>
      <c r="D119">
        <v>8.1</v>
      </c>
      <c r="E119">
        <v>8.4529999999999994</v>
      </c>
      <c r="F119">
        <v>1260792.8999999999</v>
      </c>
      <c r="G119">
        <v>8.4529999999999994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7.1320182094080073E-2</v>
      </c>
      <c r="Q119">
        <f t="shared" ref="Q119" si="571">F119*P119</f>
        <v>89919.97921092328</v>
      </c>
      <c r="R119">
        <f t="shared" ref="R119" si="572">R120+Q119</f>
        <v>33957408.547221348</v>
      </c>
      <c r="S119">
        <f t="shared" ref="S119" si="573">R119/100000</f>
        <v>339.57408547221348</v>
      </c>
      <c r="T119">
        <f t="shared" ref="T119" si="574">S119/1000</f>
        <v>0.33957408547221346</v>
      </c>
    </row>
    <row r="120" spans="1:20" x14ac:dyDescent="0.25">
      <c r="A120" s="5">
        <v>44473</v>
      </c>
      <c r="B120">
        <v>8.4329999999999998</v>
      </c>
      <c r="C120">
        <v>8.4640000000000004</v>
      </c>
      <c r="D120">
        <v>7.8460000000000001</v>
      </c>
      <c r="E120">
        <v>8.2200000000000006</v>
      </c>
      <c r="F120">
        <v>753574.7</v>
      </c>
      <c r="G120">
        <v>8.2200000000000006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0.21035598705501735</v>
      </c>
      <c r="Q120">
        <f t="shared" ref="Q120" si="576">F120*P120</f>
        <v>158518.94983818856</v>
      </c>
      <c r="R120">
        <f t="shared" ref="R120" si="577">R121+Q120</f>
        <v>33867488.568010427</v>
      </c>
      <c r="S120">
        <f t="shared" ref="S120" si="578">R120/100000</f>
        <v>338.6748856801043</v>
      </c>
      <c r="T120">
        <f t="shared" ref="T120" si="579">S120/1000</f>
        <v>0.33867488568010429</v>
      </c>
    </row>
    <row r="121" spans="1:20" x14ac:dyDescent="0.25">
      <c r="A121" s="5">
        <v>44472</v>
      </c>
      <c r="B121">
        <v>8.2040000000000006</v>
      </c>
      <c r="C121">
        <v>8.73</v>
      </c>
      <c r="D121">
        <v>8.0259999999999998</v>
      </c>
      <c r="E121">
        <v>8.4179999999999993</v>
      </c>
      <c r="F121">
        <v>746895</v>
      </c>
      <c r="G121">
        <v>8.4179999999999993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0.11363636363636111</v>
      </c>
      <c r="Q121">
        <f t="shared" ref="Q121" si="581">F121*P121</f>
        <v>84874.431818179932</v>
      </c>
      <c r="R121">
        <f t="shared" ref="R121" si="582">R122+Q121</f>
        <v>33708969.618172236</v>
      </c>
      <c r="S121">
        <f t="shared" ref="S121" si="583">R121/100000</f>
        <v>337.08969618172233</v>
      </c>
      <c r="T121">
        <f t="shared" ref="T121" si="584">S121/1000</f>
        <v>0.33708969618172235</v>
      </c>
    </row>
    <row r="122" spans="1:20" x14ac:dyDescent="0.25">
      <c r="A122" s="5">
        <v>44471</v>
      </c>
      <c r="B122">
        <v>8.0649999999999995</v>
      </c>
      <c r="C122">
        <v>8.6</v>
      </c>
      <c r="D122">
        <v>7.9119999999999999</v>
      </c>
      <c r="E122">
        <v>8.2089999999999996</v>
      </c>
      <c r="F122">
        <v>723458.7</v>
      </c>
      <c r="G122">
        <v>8.2089999999999996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-0.13662790697674468</v>
      </c>
      <c r="Q122">
        <f t="shared" ref="Q122" si="586">F122*P122</f>
        <v>-98844.64796511663</v>
      </c>
      <c r="R122">
        <f t="shared" ref="R122" si="587">R123+Q122</f>
        <v>33624095.186354056</v>
      </c>
      <c r="S122">
        <f t="shared" ref="S122" si="588">R122/100000</f>
        <v>336.24095186354054</v>
      </c>
      <c r="T122">
        <f t="shared" ref="T122" si="589">S122/1000</f>
        <v>0.33624095186354053</v>
      </c>
    </row>
    <row r="123" spans="1:20" x14ac:dyDescent="0.25">
      <c r="A123" s="5">
        <v>44470</v>
      </c>
      <c r="B123">
        <v>7.1680000000000001</v>
      </c>
      <c r="C123">
        <v>8.093</v>
      </c>
      <c r="D123">
        <v>7.0819999999999999</v>
      </c>
      <c r="E123">
        <v>8.0619999999999994</v>
      </c>
      <c r="F123">
        <v>998342.1</v>
      </c>
      <c r="G123">
        <v>8.0619999999999994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0.93867457962413337</v>
      </c>
      <c r="Q123">
        <f t="shared" ref="Q123" si="591">F123*P123</f>
        <v>937118.35103857447</v>
      </c>
      <c r="R123">
        <f t="shared" ref="R123" si="592">R124+Q123</f>
        <v>33722939.834319174</v>
      </c>
      <c r="S123">
        <f t="shared" ref="S123" si="593">R123/100000</f>
        <v>337.22939834319175</v>
      </c>
      <c r="T123">
        <f t="shared" ref="T123" si="594">S123/1000</f>
        <v>0.33722939834319177</v>
      </c>
    </row>
    <row r="124" spans="1:20" x14ac:dyDescent="0.25">
      <c r="A124" s="5">
        <v>44469</v>
      </c>
      <c r="B124">
        <v>6.9459999999999997</v>
      </c>
      <c r="C124">
        <v>7.319</v>
      </c>
      <c r="D124">
        <v>6.9029999999999996</v>
      </c>
      <c r="E124">
        <v>7.1680000000000001</v>
      </c>
      <c r="F124">
        <v>556283.4</v>
      </c>
      <c r="G124">
        <v>7.1680000000000001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0.27403846153846312</v>
      </c>
      <c r="Q124">
        <f t="shared" ref="Q124" si="596">F124*P124</f>
        <v>152443.0471153855</v>
      </c>
      <c r="R124">
        <f t="shared" ref="R124" si="597">R125+Q124</f>
        <v>32785821.483280599</v>
      </c>
      <c r="S124">
        <f t="shared" ref="S124" si="598">R124/100000</f>
        <v>327.85821483280597</v>
      </c>
      <c r="T124">
        <f t="shared" ref="T124" si="599">S124/1000</f>
        <v>0.32785821483280597</v>
      </c>
    </row>
    <row r="125" spans="1:20" x14ac:dyDescent="0.25">
      <c r="A125" s="5">
        <v>44468</v>
      </c>
      <c r="B125">
        <v>6.7629999999999999</v>
      </c>
      <c r="C125">
        <v>7.2759999999999998</v>
      </c>
      <c r="D125">
        <v>6.7370000000000001</v>
      </c>
      <c r="E125">
        <v>6.9429999999999996</v>
      </c>
      <c r="F125">
        <v>540708.80000000005</v>
      </c>
      <c r="G125">
        <v>6.9429999999999996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-0.23562152133580841</v>
      </c>
      <c r="Q125">
        <f t="shared" ref="Q125" si="601">F125*P125</f>
        <v>-127402.63005565938</v>
      </c>
      <c r="R125">
        <f t="shared" ref="R125" si="602">R126+Q125</f>
        <v>32633378.436165214</v>
      </c>
      <c r="S125">
        <f t="shared" ref="S125" si="603">R125/100000</f>
        <v>326.33378436165214</v>
      </c>
      <c r="T125">
        <f t="shared" ref="T125" si="604">S125/1000</f>
        <v>0.32633378436165211</v>
      </c>
    </row>
    <row r="126" spans="1:20" x14ac:dyDescent="0.25">
      <c r="A126" s="5">
        <v>44467</v>
      </c>
      <c r="B126">
        <v>7.0410000000000004</v>
      </c>
      <c r="C126">
        <v>7.25</v>
      </c>
      <c r="D126">
        <v>6.7220000000000004</v>
      </c>
      <c r="E126">
        <v>6.7709999999999999</v>
      </c>
      <c r="F126">
        <v>438448.8</v>
      </c>
      <c r="G126">
        <v>6.7709999999999999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-0.81439393939394122</v>
      </c>
      <c r="Q126">
        <f t="shared" ref="Q126" si="606">F126*P126</f>
        <v>-357070.04545454623</v>
      </c>
      <c r="R126">
        <f t="shared" ref="R126" si="607">R127+Q126</f>
        <v>32760781.066220872</v>
      </c>
      <c r="S126">
        <f t="shared" ref="S126" si="608">R126/100000</f>
        <v>327.60781066220875</v>
      </c>
      <c r="T126">
        <f t="shared" ref="T126" si="609">S126/1000</f>
        <v>0.32760781066220873</v>
      </c>
    </row>
    <row r="127" spans="1:20" x14ac:dyDescent="0.25">
      <c r="A127" s="5">
        <v>44466</v>
      </c>
      <c r="B127">
        <v>7.3840000000000003</v>
      </c>
      <c r="C127">
        <v>7.79</v>
      </c>
      <c r="D127">
        <v>7.0229999999999997</v>
      </c>
      <c r="E127">
        <v>7.0540000000000003</v>
      </c>
      <c r="F127">
        <v>733731.1</v>
      </c>
      <c r="G127">
        <v>7.0540000000000003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-0.91916558018252781</v>
      </c>
      <c r="Q127">
        <f t="shared" ref="Q127" si="611">F127*P127</f>
        <v>-674420.37222946435</v>
      </c>
      <c r="R127">
        <f t="shared" ref="R127" si="612">R128+Q127</f>
        <v>33117851.111675419</v>
      </c>
      <c r="S127">
        <f t="shared" ref="S127" si="613">R127/100000</f>
        <v>331.17851111675418</v>
      </c>
      <c r="T127">
        <f t="shared" ref="T127" si="614">S127/1000</f>
        <v>0.33117851111675417</v>
      </c>
    </row>
    <row r="128" spans="1:20" x14ac:dyDescent="0.25">
      <c r="A128" s="5">
        <v>44465</v>
      </c>
      <c r="B128">
        <v>7.4859999999999998</v>
      </c>
      <c r="C128">
        <v>7.5720000000000001</v>
      </c>
      <c r="D128">
        <v>6.8220000000000001</v>
      </c>
      <c r="E128">
        <v>7.4009999999999998</v>
      </c>
      <c r="F128">
        <v>712002.1</v>
      </c>
      <c r="G128">
        <v>7.4009999999999998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0.54399999999999926</v>
      </c>
      <c r="Q128">
        <f t="shared" ref="Q128" si="616">F128*P128</f>
        <v>387329.14239999949</v>
      </c>
      <c r="R128">
        <f t="shared" ref="R128" si="617">R129+Q128</f>
        <v>33792271.483904883</v>
      </c>
      <c r="S128">
        <f t="shared" ref="S128" si="618">R128/100000</f>
        <v>337.92271483904881</v>
      </c>
      <c r="T128">
        <f t="shared" ref="T128" si="619">S128/1000</f>
        <v>0.33792271483904879</v>
      </c>
    </row>
    <row r="129" spans="1:20" x14ac:dyDescent="0.25">
      <c r="A129" s="5">
        <v>44464</v>
      </c>
      <c r="B129">
        <v>7.3810000000000002</v>
      </c>
      <c r="C129">
        <v>7.5529999999999999</v>
      </c>
      <c r="D129">
        <v>7.0910000000000002</v>
      </c>
      <c r="E129">
        <v>7.4850000000000003</v>
      </c>
      <c r="F129">
        <v>533171</v>
      </c>
      <c r="G129">
        <v>7.4850000000000003</v>
      </c>
      <c r="L129" t="s">
        <v>7</v>
      </c>
      <c r="M129" t="s">
        <v>8</v>
      </c>
      <c r="N129" t="s">
        <v>7</v>
      </c>
      <c r="P129">
        <f t="shared" ref="P129" si="620">IF(C129=D129,0,((E129-D129)-(C129-E129))/(C129-D129))</f>
        <v>0.70562770562770716</v>
      </c>
      <c r="Q129">
        <f t="shared" ref="Q129" si="621">F129*P129</f>
        <v>376220.22943723027</v>
      </c>
      <c r="R129">
        <f t="shared" ref="R129" si="622">R130+Q129</f>
        <v>33404942.341504887</v>
      </c>
      <c r="S129">
        <f t="shared" ref="S129" si="623">R129/100000</f>
        <v>334.04942341504886</v>
      </c>
      <c r="T129">
        <f t="shared" ref="T129" si="624">S129/1000</f>
        <v>0.33404942341504884</v>
      </c>
    </row>
    <row r="130" spans="1:20" x14ac:dyDescent="0.25">
      <c r="A130" s="5">
        <v>44463</v>
      </c>
      <c r="B130">
        <v>8.0359999999999996</v>
      </c>
      <c r="C130">
        <v>8.32</v>
      </c>
      <c r="D130">
        <v>7.0250000000000004</v>
      </c>
      <c r="E130">
        <v>7.39</v>
      </c>
      <c r="F130">
        <v>1160978.1000000001</v>
      </c>
      <c r="G130">
        <v>7.39</v>
      </c>
      <c r="L130" t="s">
        <v>8</v>
      </c>
      <c r="M130" t="s">
        <v>8</v>
      </c>
      <c r="N130" t="s">
        <v>7</v>
      </c>
      <c r="P130">
        <f t="shared" ref="P130" si="625">IF(C130=D130,0,((E130-D130)-(C130-E130))/(C130-D130))</f>
        <v>-0.43629343629343731</v>
      </c>
      <c r="Q130">
        <f t="shared" ref="Q130" si="626">F130*P130</f>
        <v>-506527.12471042591</v>
      </c>
      <c r="R130">
        <f t="shared" ref="R130" si="627">R131+Q130</f>
        <v>33028722.112067655</v>
      </c>
      <c r="S130">
        <f t="shared" ref="S130" si="628">R130/100000</f>
        <v>330.28722112067652</v>
      </c>
      <c r="T130">
        <f t="shared" ref="T130" si="629">S130/1000</f>
        <v>0.33028722112067654</v>
      </c>
    </row>
    <row r="131" spans="1:20" x14ac:dyDescent="0.25">
      <c r="A131" s="5">
        <v>44462</v>
      </c>
      <c r="B131">
        <v>7.798</v>
      </c>
      <c r="C131">
        <v>8.0589999999999993</v>
      </c>
      <c r="D131">
        <v>7.5339999999999998</v>
      </c>
      <c r="E131">
        <v>8.0340000000000007</v>
      </c>
      <c r="F131">
        <v>995046.1</v>
      </c>
      <c r="G131">
        <v>8.0340000000000007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0.9047619047619101</v>
      </c>
      <c r="Q131">
        <f t="shared" ref="Q131" si="631">F131*P131</f>
        <v>900279.80476191</v>
      </c>
      <c r="R131">
        <f t="shared" ref="R131" si="632">R132+Q131</f>
        <v>33535249.23677808</v>
      </c>
      <c r="S131">
        <f t="shared" ref="S131" si="633">R131/100000</f>
        <v>335.35249236778083</v>
      </c>
      <c r="T131">
        <f t="shared" ref="T131" si="634">S131/1000</f>
        <v>0.33535249236778081</v>
      </c>
    </row>
    <row r="132" spans="1:20" x14ac:dyDescent="0.25">
      <c r="A132" s="5">
        <v>44461</v>
      </c>
      <c r="B132">
        <v>6.9740000000000002</v>
      </c>
      <c r="C132">
        <v>7.8289999999999997</v>
      </c>
      <c r="D132">
        <v>6.8079999999999998</v>
      </c>
      <c r="E132">
        <v>7.8040000000000003</v>
      </c>
      <c r="F132">
        <v>1148213</v>
      </c>
      <c r="G132">
        <v>7.8040000000000003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0.95102840352595597</v>
      </c>
      <c r="Q132">
        <f t="shared" ref="Q132" si="636">F132*P132</f>
        <v>1091983.1762977485</v>
      </c>
      <c r="R132">
        <f t="shared" ref="R132" si="637">R133+Q132</f>
        <v>32634969.432016172</v>
      </c>
      <c r="S132">
        <f t="shared" ref="S132" si="638">R132/100000</f>
        <v>326.34969432016169</v>
      </c>
      <c r="T132">
        <f t="shared" ref="T132" si="639">S132/1000</f>
        <v>0.3263496943201617</v>
      </c>
    </row>
    <row r="133" spans="1:20" x14ac:dyDescent="0.25">
      <c r="A133" s="5">
        <v>44460</v>
      </c>
      <c r="B133">
        <v>7.5819999999999999</v>
      </c>
      <c r="C133">
        <v>7.87</v>
      </c>
      <c r="D133">
        <v>6.7649999999999997</v>
      </c>
      <c r="E133">
        <v>6.9740000000000002</v>
      </c>
      <c r="F133">
        <v>898133.91399999999</v>
      </c>
      <c r="G133">
        <v>6.9740000000000002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-0.6217194570135739</v>
      </c>
      <c r="Q133">
        <f t="shared" ref="Q133" si="641">F133*P133</f>
        <v>-558387.32933755592</v>
      </c>
      <c r="R133">
        <f t="shared" ref="R133" si="642">R134+Q133</f>
        <v>31542986.255718421</v>
      </c>
      <c r="S133">
        <f t="shared" ref="S133" si="643">R133/100000</f>
        <v>315.42986255718421</v>
      </c>
      <c r="T133">
        <f t="shared" ref="T133" si="644">S133/1000</f>
        <v>0.31542986255718419</v>
      </c>
    </row>
    <row r="134" spans="1:20" x14ac:dyDescent="0.25">
      <c r="A134" s="5">
        <v>44459</v>
      </c>
      <c r="B134">
        <v>8.9130000000000003</v>
      </c>
      <c r="C134">
        <v>8.9290000000000003</v>
      </c>
      <c r="D134">
        <v>8.0050000000000008</v>
      </c>
      <c r="E134">
        <v>8.14</v>
      </c>
      <c r="F134">
        <v>663515.69999999995</v>
      </c>
      <c r="G134">
        <v>8.14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-0.70779220779220808</v>
      </c>
      <c r="Q134">
        <f t="shared" ref="Q134" si="646">F134*P134</f>
        <v>-469631.24220779235</v>
      </c>
      <c r="R134">
        <f t="shared" ref="R134" si="647">R135+Q134</f>
        <v>32101373.585055977</v>
      </c>
      <c r="S134">
        <f t="shared" ref="S134" si="648">R134/100000</f>
        <v>321.01373585055978</v>
      </c>
      <c r="T134">
        <f t="shared" ref="T134" si="649">S134/1000</f>
        <v>0.32101373585055976</v>
      </c>
    </row>
    <row r="135" spans="1:20" x14ac:dyDescent="0.25">
      <c r="A135" s="5">
        <v>44458</v>
      </c>
      <c r="B135">
        <v>9.3010000000000002</v>
      </c>
      <c r="C135">
        <v>9.4179999999999993</v>
      </c>
      <c r="D135">
        <v>8.7769999999999992</v>
      </c>
      <c r="E135">
        <v>8.9169999999999998</v>
      </c>
      <c r="F135">
        <v>542559.19999999995</v>
      </c>
      <c r="G135">
        <v>8.9169999999999998</v>
      </c>
      <c r="L135" t="s">
        <v>7</v>
      </c>
      <c r="M135" t="s">
        <v>8</v>
      </c>
      <c r="N135" t="s">
        <v>8</v>
      </c>
      <c r="P135">
        <f t="shared" ref="P135" si="650">IF(C135=D135,0,((E135-D135)-(C135-E135))/(C135-D135))</f>
        <v>-0.56318252730109031</v>
      </c>
      <c r="Q135">
        <f t="shared" ref="Q135" si="651">F135*P135</f>
        <v>-305559.86146645772</v>
      </c>
      <c r="R135">
        <f t="shared" ref="R135" si="652">R136+Q135</f>
        <v>32571004.827263769</v>
      </c>
      <c r="S135">
        <f t="shared" ref="S135" si="653">R135/100000</f>
        <v>325.71004827263766</v>
      </c>
      <c r="T135">
        <f t="shared" ref="T135" si="654">S135/1000</f>
        <v>0.32571004827263766</v>
      </c>
    </row>
    <row r="136" spans="1:20" x14ac:dyDescent="0.25">
      <c r="A136" s="5">
        <v>44457</v>
      </c>
      <c r="B136">
        <v>9.1050000000000004</v>
      </c>
      <c r="C136">
        <v>9.5670000000000002</v>
      </c>
      <c r="D136">
        <v>8.8919999999999995</v>
      </c>
      <c r="E136">
        <v>9.2840000000000007</v>
      </c>
      <c r="F136">
        <v>598542.69999999995</v>
      </c>
      <c r="G136">
        <v>9.2840000000000007</v>
      </c>
      <c r="L136" t="s">
        <v>8</v>
      </c>
      <c r="M136" t="s">
        <v>8</v>
      </c>
      <c r="N136" t="s">
        <v>8</v>
      </c>
      <c r="P136">
        <f t="shared" ref="P136" si="655">IF(C136=D136,0,((E136-D136)-(C136-E136))/(C136-D136))</f>
        <v>0.16148148148148392</v>
      </c>
      <c r="Q136">
        <f t="shared" ref="Q136" si="656">F136*P136</f>
        <v>96653.561925927381</v>
      </c>
      <c r="R136">
        <f t="shared" ref="R136" si="657">R137+Q136</f>
        <v>32876564.688730225</v>
      </c>
      <c r="S136">
        <f t="shared" ref="S136" si="658">R136/100000</f>
        <v>328.76564688730224</v>
      </c>
      <c r="T136">
        <f t="shared" ref="T136" si="659">S136/1000</f>
        <v>0.32876564688730225</v>
      </c>
    </row>
    <row r="137" spans="1:20" x14ac:dyDescent="0.25">
      <c r="A137" s="5">
        <v>44456</v>
      </c>
      <c r="B137">
        <v>9.7710000000000008</v>
      </c>
      <c r="C137">
        <v>9.9480000000000004</v>
      </c>
      <c r="D137">
        <v>8.9320000000000004</v>
      </c>
      <c r="E137">
        <v>9.1050000000000004</v>
      </c>
      <c r="F137">
        <v>946067.5</v>
      </c>
      <c r="G137">
        <v>9.1050000000000004</v>
      </c>
      <c r="L137" t="s">
        <v>7</v>
      </c>
      <c r="M137" t="s">
        <v>8</v>
      </c>
      <c r="N137" t="s">
        <v>8</v>
      </c>
      <c r="P137">
        <f t="shared" ref="P137" si="660">IF(C137=D137,0,((E137-D137)-(C137-E137))/(C137-D137))</f>
        <v>-0.65944881889763773</v>
      </c>
      <c r="Q137">
        <f t="shared" ref="Q137" si="661">F137*P137</f>
        <v>-623883.09547244094</v>
      </c>
      <c r="R137">
        <f t="shared" ref="R137" si="662">R138+Q137</f>
        <v>32779911.126804296</v>
      </c>
      <c r="S137">
        <f t="shared" ref="S137" si="663">R137/100000</f>
        <v>327.79911126804296</v>
      </c>
      <c r="T137">
        <f t="shared" ref="T137" si="664">S137/1000</f>
        <v>0.32779911126804295</v>
      </c>
    </row>
    <row r="138" spans="1:20" x14ac:dyDescent="0.25">
      <c r="A138" s="5">
        <v>44455</v>
      </c>
      <c r="B138">
        <v>9.7070000000000007</v>
      </c>
      <c r="C138">
        <v>10.186999999999999</v>
      </c>
      <c r="D138">
        <v>9.39</v>
      </c>
      <c r="E138">
        <v>9.7669999999999995</v>
      </c>
      <c r="F138">
        <v>1622933.5</v>
      </c>
      <c r="G138">
        <v>9.7669999999999995</v>
      </c>
      <c r="L138" t="s">
        <v>7</v>
      </c>
      <c r="M138" t="s">
        <v>8</v>
      </c>
      <c r="N138" t="s">
        <v>8</v>
      </c>
      <c r="P138">
        <f t="shared" ref="P138" si="665">IF(C138=D138,0,((E138-D138)-(C138-E138))/(C138-D138))</f>
        <v>-5.3952321204518323E-2</v>
      </c>
      <c r="Q138">
        <f t="shared" ref="Q138" si="666">F138*P138</f>
        <v>-87561.029485573134</v>
      </c>
      <c r="R138">
        <f t="shared" ref="R138" si="667">R139+Q138</f>
        <v>33403794.222276736</v>
      </c>
      <c r="S138">
        <f t="shared" ref="S138" si="668">R138/100000</f>
        <v>334.03794222276736</v>
      </c>
      <c r="T138">
        <f t="shared" ref="T138" si="669">S138/1000</f>
        <v>0.33403794222276734</v>
      </c>
    </row>
    <row r="139" spans="1:20" x14ac:dyDescent="0.25">
      <c r="A139" s="5">
        <v>44454</v>
      </c>
      <c r="B139">
        <v>9.2829999999999995</v>
      </c>
      <c r="C139">
        <v>10.145</v>
      </c>
      <c r="D139">
        <v>9.266</v>
      </c>
      <c r="E139">
        <v>9.7070000000000007</v>
      </c>
      <c r="F139">
        <v>1795939.2</v>
      </c>
      <c r="G139">
        <v>9.7070000000000007</v>
      </c>
      <c r="L139" t="s">
        <v>8</v>
      </c>
      <c r="M139" t="s">
        <v>8</v>
      </c>
      <c r="N139" t="s">
        <v>8</v>
      </c>
      <c r="P139">
        <f t="shared" ref="P139" si="670">IF(C139=D139,0,((E139-D139)-(C139-E139))/(C139-D139))</f>
        <v>3.4129692832786025E-3</v>
      </c>
      <c r="Q139">
        <f t="shared" ref="Q139" si="671">F139*P139</f>
        <v>6129.4853242359468</v>
      </c>
      <c r="R139">
        <f t="shared" ref="R139" si="672">R140+Q139</f>
        <v>33491355.251762308</v>
      </c>
      <c r="S139">
        <f t="shared" ref="S139" si="673">R139/100000</f>
        <v>334.91355251762309</v>
      </c>
      <c r="T139">
        <f t="shared" ref="T139" si="674">S139/1000</f>
        <v>0.33491355251762311</v>
      </c>
    </row>
    <row r="140" spans="1:20" x14ac:dyDescent="0.25">
      <c r="A140" s="5">
        <v>44453</v>
      </c>
      <c r="B140">
        <v>8.843</v>
      </c>
      <c r="C140">
        <v>9.4209999999999994</v>
      </c>
      <c r="D140">
        <v>8.6709999999999994</v>
      </c>
      <c r="E140">
        <v>9.2870000000000008</v>
      </c>
      <c r="F140">
        <v>1265739</v>
      </c>
      <c r="G140">
        <v>9.2870000000000008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0.64266666666667049</v>
      </c>
      <c r="Q140">
        <f t="shared" ref="Q140" si="676">F140*P140</f>
        <v>813448.26400000486</v>
      </c>
      <c r="R140">
        <f t="shared" ref="R140" si="677">R141+Q140</f>
        <v>33485225.766438071</v>
      </c>
      <c r="S140">
        <f t="shared" ref="S140" si="678">R140/100000</f>
        <v>334.85225766438072</v>
      </c>
      <c r="T140">
        <f t="shared" ref="T140" si="679">S140/1000</f>
        <v>0.3348522576643807</v>
      </c>
    </row>
    <row r="141" spans="1:20" x14ac:dyDescent="0.25">
      <c r="A141" s="5">
        <v>44452</v>
      </c>
      <c r="B141">
        <v>9.3000000000000007</v>
      </c>
      <c r="C141">
        <v>9.3460000000000001</v>
      </c>
      <c r="D141">
        <v>8</v>
      </c>
      <c r="E141">
        <v>8.84</v>
      </c>
      <c r="F141">
        <v>1337080.3</v>
      </c>
      <c r="G141">
        <v>8.84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0.24814264487369955</v>
      </c>
      <c r="Q141">
        <f t="shared" ref="Q141" si="681">F141*P141</f>
        <v>331786.64205051964</v>
      </c>
      <c r="R141">
        <f t="shared" ref="R141" si="682">R142+Q141</f>
        <v>32671777.502438065</v>
      </c>
      <c r="S141">
        <f t="shared" ref="S141" si="683">R141/100000</f>
        <v>326.71777502438067</v>
      </c>
      <c r="T141">
        <f t="shared" ref="T141" si="684">S141/1000</f>
        <v>0.32671777502438065</v>
      </c>
    </row>
    <row r="142" spans="1:20" x14ac:dyDescent="0.25">
      <c r="A142" s="5">
        <v>44451</v>
      </c>
      <c r="B142">
        <v>8.5459999999999994</v>
      </c>
      <c r="C142">
        <v>9.48</v>
      </c>
      <c r="D142">
        <v>8.3230000000000004</v>
      </c>
      <c r="E142">
        <v>9.3049999999999997</v>
      </c>
      <c r="F142">
        <v>1373360.2</v>
      </c>
      <c r="G142">
        <v>9.3049999999999997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0.69749351771823564</v>
      </c>
      <c r="Q142">
        <f t="shared" ref="Q142" si="686">F142*P142</f>
        <v>957909.83699221967</v>
      </c>
      <c r="R142">
        <f t="shared" ref="R142" si="687">R143+Q142</f>
        <v>32339990.860387545</v>
      </c>
      <c r="S142">
        <f t="shared" ref="S142" si="688">R142/100000</f>
        <v>323.39990860387547</v>
      </c>
      <c r="T142">
        <f t="shared" ref="T142" si="689">S142/1000</f>
        <v>0.32339990860387546</v>
      </c>
    </row>
    <row r="143" spans="1:20" x14ac:dyDescent="0.25">
      <c r="A143" s="5">
        <v>44450</v>
      </c>
      <c r="B143">
        <v>8.4339999999999993</v>
      </c>
      <c r="C143">
        <v>9.0980000000000008</v>
      </c>
      <c r="D143">
        <v>8.2729999999999997</v>
      </c>
      <c r="E143">
        <v>8.5440000000000005</v>
      </c>
      <c r="F143">
        <v>1082043</v>
      </c>
      <c r="G143">
        <v>8.5440000000000005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-0.34303030303030196</v>
      </c>
      <c r="Q143">
        <f t="shared" ref="Q143" si="691">F143*P143</f>
        <v>-371173.53818181704</v>
      </c>
      <c r="R143">
        <f t="shared" ref="R143" si="692">R144+Q143</f>
        <v>31382081.023395326</v>
      </c>
      <c r="S143">
        <f t="shared" ref="S143" si="693">R143/100000</f>
        <v>313.82081023395324</v>
      </c>
      <c r="T143">
        <f t="shared" ref="T143" si="694">S143/1000</f>
        <v>0.31382081023395325</v>
      </c>
    </row>
    <row r="144" spans="1:20" x14ac:dyDescent="0.25">
      <c r="A144" s="5">
        <v>44449</v>
      </c>
      <c r="B144">
        <v>9</v>
      </c>
      <c r="C144">
        <v>9.49</v>
      </c>
      <c r="D144">
        <v>8.1809999999999992</v>
      </c>
      <c r="E144">
        <v>8.4359999999999999</v>
      </c>
      <c r="F144">
        <v>1796395.7</v>
      </c>
      <c r="G144">
        <v>8.4359999999999999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-0.61038961038960948</v>
      </c>
      <c r="Q144">
        <f t="shared" ref="Q144" si="696">F144*P144</f>
        <v>-1096501.2714285697</v>
      </c>
      <c r="R144">
        <f t="shared" ref="R144" si="697">R145+Q144</f>
        <v>31753254.561577141</v>
      </c>
      <c r="S144">
        <f t="shared" ref="S144" si="698">R144/100000</f>
        <v>317.53254561577143</v>
      </c>
      <c r="T144">
        <f t="shared" ref="T144" si="699">S144/1000</f>
        <v>0.31753254561577143</v>
      </c>
    </row>
    <row r="145" spans="1:20" x14ac:dyDescent="0.25">
      <c r="A145" s="5">
        <v>44448</v>
      </c>
      <c r="B145">
        <v>8.3049999999999997</v>
      </c>
      <c r="C145">
        <v>9.5</v>
      </c>
      <c r="D145">
        <v>8.1010000000000009</v>
      </c>
      <c r="E145">
        <v>8.9909999999999997</v>
      </c>
      <c r="F145">
        <v>1719137.6</v>
      </c>
      <c r="G145">
        <v>8.9909999999999997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0.27233738384560308</v>
      </c>
      <c r="Q145">
        <f t="shared" ref="Q145" si="701">F145*P145</f>
        <v>468185.43645460886</v>
      </c>
      <c r="R145">
        <f t="shared" ref="R145" si="702">R146+Q145</f>
        <v>32849755.833005711</v>
      </c>
      <c r="S145">
        <f t="shared" ref="S145" si="703">R145/100000</f>
        <v>328.49755833005713</v>
      </c>
      <c r="T145">
        <f t="shared" ref="T145" si="704">S145/1000</f>
        <v>0.32849755833005712</v>
      </c>
    </row>
    <row r="146" spans="1:20" x14ac:dyDescent="0.25">
      <c r="A146" s="5">
        <v>44447</v>
      </c>
      <c r="B146">
        <v>8.4459999999999997</v>
      </c>
      <c r="C146">
        <v>8.6690000000000005</v>
      </c>
      <c r="D146">
        <v>7.5570000000000004</v>
      </c>
      <c r="E146">
        <v>8.2959999999999994</v>
      </c>
      <c r="F146">
        <v>1438669.5</v>
      </c>
      <c r="G146">
        <v>8.2959999999999994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0.32913669064748008</v>
      </c>
      <c r="Q146">
        <f t="shared" ref="Q146" si="706">F146*P146</f>
        <v>473518.91816546483</v>
      </c>
      <c r="R146">
        <f t="shared" ref="R146" si="707">R147+Q146</f>
        <v>32381570.396551102</v>
      </c>
      <c r="S146">
        <f t="shared" ref="S146" si="708">R146/100000</f>
        <v>323.81570396551103</v>
      </c>
      <c r="T146">
        <f t="shared" ref="T146" si="709">S146/1000</f>
        <v>0.32381570396551101</v>
      </c>
    </row>
    <row r="147" spans="1:20" x14ac:dyDescent="0.25">
      <c r="A147" s="5">
        <v>44446</v>
      </c>
      <c r="B147">
        <v>10.834</v>
      </c>
      <c r="C147">
        <v>11.29</v>
      </c>
      <c r="D147">
        <v>7</v>
      </c>
      <c r="E147">
        <v>8.4390000000000001</v>
      </c>
      <c r="F147">
        <v>3691533.162</v>
      </c>
      <c r="G147">
        <v>8.4390000000000001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-0.32913752913752897</v>
      </c>
      <c r="Q147">
        <f t="shared" ref="Q147" si="711">F147*P147</f>
        <v>-1215022.1036699296</v>
      </c>
      <c r="R147">
        <f t="shared" ref="R147" si="712">R148+Q147</f>
        <v>31908051.478385638</v>
      </c>
      <c r="S147">
        <f t="shared" ref="S147" si="713">R147/100000</f>
        <v>319.08051478385636</v>
      </c>
      <c r="T147">
        <f t="shared" ref="T147" si="714">S147/1000</f>
        <v>0.31908051478385635</v>
      </c>
    </row>
    <row r="148" spans="1:20" x14ac:dyDescent="0.25">
      <c r="A148" s="5">
        <v>44445</v>
      </c>
      <c r="B148">
        <v>10.651999999999999</v>
      </c>
      <c r="C148">
        <v>11.436999999999999</v>
      </c>
      <c r="D148">
        <v>9.7240000000000002</v>
      </c>
      <c r="E148">
        <v>10.835000000000001</v>
      </c>
      <c r="F148">
        <v>2788527.4330000002</v>
      </c>
      <c r="G148">
        <v>10.835000000000001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0.29713952130764876</v>
      </c>
      <c r="Q148">
        <f t="shared" ref="Q148" si="716">F148*P148</f>
        <v>828581.7065948667</v>
      </c>
      <c r="R148">
        <f t="shared" ref="R148" si="717">R149+Q148</f>
        <v>33123073.582055569</v>
      </c>
      <c r="S148">
        <f t="shared" ref="S148" si="718">R148/100000</f>
        <v>331.23073582055571</v>
      </c>
      <c r="T148">
        <f t="shared" ref="T148" si="719">S148/1000</f>
        <v>0.33123073582055573</v>
      </c>
    </row>
    <row r="149" spans="1:20" x14ac:dyDescent="0.25">
      <c r="A149" s="5">
        <v>44444</v>
      </c>
      <c r="B149">
        <v>10.538</v>
      </c>
      <c r="C149">
        <v>10.775</v>
      </c>
      <c r="D149">
        <v>10.343</v>
      </c>
      <c r="E149">
        <v>10.651999999999999</v>
      </c>
      <c r="F149">
        <v>953970.2</v>
      </c>
      <c r="G149">
        <v>10.651999999999999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0.43055555555555092</v>
      </c>
      <c r="Q149">
        <f t="shared" ref="Q149" si="721">F149*P149</f>
        <v>410737.16944443999</v>
      </c>
      <c r="R149">
        <f t="shared" ref="R149" si="722">R150+Q149</f>
        <v>32294491.875460703</v>
      </c>
      <c r="S149">
        <f t="shared" ref="S149" si="723">R149/100000</f>
        <v>322.94491875460704</v>
      </c>
      <c r="T149">
        <f t="shared" ref="T149" si="724">S149/1000</f>
        <v>0.32294491875460707</v>
      </c>
    </row>
    <row r="150" spans="1:20" x14ac:dyDescent="0.25">
      <c r="A150" s="5">
        <v>44443</v>
      </c>
      <c r="B150">
        <v>10.465</v>
      </c>
      <c r="C150">
        <v>10.956</v>
      </c>
      <c r="D150">
        <v>10.292</v>
      </c>
      <c r="E150">
        <v>10.536</v>
      </c>
      <c r="F150">
        <v>1340745.074</v>
      </c>
      <c r="G150">
        <v>10.536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-0.26506024096385578</v>
      </c>
      <c r="Q150">
        <f t="shared" ref="Q150" si="726">F150*P150</f>
        <v>-355378.21238554263</v>
      </c>
      <c r="R150">
        <f t="shared" ref="R150" si="727">R151+Q150</f>
        <v>31883754.706016261</v>
      </c>
      <c r="S150">
        <f t="shared" ref="S150" si="728">R150/100000</f>
        <v>318.83754706016259</v>
      </c>
      <c r="T150">
        <f t="shared" ref="T150" si="729">S150/1000</f>
        <v>0.3188375470601626</v>
      </c>
    </row>
    <row r="151" spans="1:20" x14ac:dyDescent="0.25">
      <c r="A151" s="5">
        <v>44442</v>
      </c>
      <c r="B151">
        <v>9.7040000000000006</v>
      </c>
      <c r="C151">
        <v>10.648</v>
      </c>
      <c r="D151">
        <v>9.452</v>
      </c>
      <c r="E151">
        <v>10.462</v>
      </c>
      <c r="F151">
        <v>1657218.906</v>
      </c>
      <c r="G151">
        <v>10.462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0.68896321070234112</v>
      </c>
      <c r="Q151">
        <f t="shared" ref="Q151" si="731">F151*P151</f>
        <v>1141762.8583143812</v>
      </c>
      <c r="R151">
        <f t="shared" ref="R151" si="732">R152+Q151</f>
        <v>32239132.918401804</v>
      </c>
      <c r="S151">
        <f t="shared" ref="S151" si="733">R151/100000</f>
        <v>322.39132918401805</v>
      </c>
      <c r="T151">
        <f t="shared" ref="T151" si="734">S151/1000</f>
        <v>0.32239132918401803</v>
      </c>
    </row>
    <row r="152" spans="1:20" x14ac:dyDescent="0.25">
      <c r="A152" s="5">
        <v>44441</v>
      </c>
      <c r="B152">
        <v>9.8520000000000003</v>
      </c>
      <c r="C152">
        <v>10.497999999999999</v>
      </c>
      <c r="D152">
        <v>9.6270000000000007</v>
      </c>
      <c r="E152">
        <v>9.7110000000000003</v>
      </c>
      <c r="F152">
        <v>1336456.726</v>
      </c>
      <c r="G152">
        <v>9.7110000000000003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-0.80711825487944944</v>
      </c>
      <c r="Q152">
        <f t="shared" ref="Q152" si="736">F152*P152</f>
        <v>-1078678.6204110226</v>
      </c>
      <c r="R152">
        <f t="shared" ref="R152" si="737">R153+Q152</f>
        <v>31097370.060087424</v>
      </c>
      <c r="S152">
        <f t="shared" ref="S152" si="738">R152/100000</f>
        <v>310.97370060087422</v>
      </c>
      <c r="T152">
        <f t="shared" ref="T152" si="739">S152/1000</f>
        <v>0.3109737006008742</v>
      </c>
    </row>
    <row r="153" spans="1:20" x14ac:dyDescent="0.25">
      <c r="A153" s="5">
        <v>44440</v>
      </c>
      <c r="B153">
        <v>9.2370000000000001</v>
      </c>
      <c r="C153">
        <v>10.029999999999999</v>
      </c>
      <c r="D153">
        <v>9.0030000000000001</v>
      </c>
      <c r="E153">
        <v>9.8580000000000005</v>
      </c>
      <c r="F153">
        <v>1428570.344</v>
      </c>
      <c r="G153">
        <v>9.8580000000000005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0.66504381694255321</v>
      </c>
      <c r="Q153">
        <f t="shared" ref="Q153" si="741">F153*P153</f>
        <v>950061.87434469629</v>
      </c>
      <c r="R153">
        <f t="shared" ref="R153" si="742">R154+Q153</f>
        <v>32176048.680498447</v>
      </c>
      <c r="S153">
        <f t="shared" ref="S153" si="743">R153/100000</f>
        <v>321.76048680498445</v>
      </c>
      <c r="T153">
        <f t="shared" ref="T153" si="744">S153/1000</f>
        <v>0.32176048680498448</v>
      </c>
    </row>
    <row r="154" spans="1:20" x14ac:dyDescent="0.25">
      <c r="A154" s="5">
        <v>44439</v>
      </c>
      <c r="B154">
        <v>8.7189999999999994</v>
      </c>
      <c r="C154">
        <v>9.6969999999999992</v>
      </c>
      <c r="D154">
        <v>8.609</v>
      </c>
      <c r="E154">
        <v>9.2379999999999995</v>
      </c>
      <c r="F154">
        <v>1853409.693</v>
      </c>
      <c r="G154">
        <v>9.2379999999999995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0.15625000000000006</v>
      </c>
      <c r="Q154">
        <f t="shared" ref="Q154" si="746">F154*P154</f>
        <v>289595.26453125011</v>
      </c>
      <c r="R154">
        <f t="shared" ref="R154" si="747">R155+Q154</f>
        <v>31225986.806153752</v>
      </c>
      <c r="S154">
        <f t="shared" ref="S154" si="748">R154/100000</f>
        <v>312.25986806153753</v>
      </c>
      <c r="T154">
        <f t="shared" ref="T154" si="749">S154/1000</f>
        <v>0.31225986806153755</v>
      </c>
    </row>
    <row r="155" spans="1:20" x14ac:dyDescent="0.25">
      <c r="A155" s="5">
        <v>44438</v>
      </c>
      <c r="B155">
        <v>9.1590000000000007</v>
      </c>
      <c r="C155">
        <v>9.4169999999999998</v>
      </c>
      <c r="D155">
        <v>8.6319999999999997</v>
      </c>
      <c r="E155">
        <v>8.718</v>
      </c>
      <c r="F155">
        <v>1371672.8</v>
      </c>
      <c r="G155">
        <v>8.718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-0.7808917197452222</v>
      </c>
      <c r="Q155">
        <f t="shared" ref="Q155" si="751">F155*P155</f>
        <v>-1071127.9317197443</v>
      </c>
      <c r="R155">
        <f t="shared" ref="R155" si="752">R156+Q155</f>
        <v>30936391.541622501</v>
      </c>
      <c r="S155">
        <f t="shared" ref="S155" si="753">R155/100000</f>
        <v>309.36391541622498</v>
      </c>
      <c r="T155">
        <f t="shared" ref="T155" si="754">S155/1000</f>
        <v>0.30936391541622499</v>
      </c>
    </row>
    <row r="156" spans="1:20" x14ac:dyDescent="0.25">
      <c r="A156" s="5">
        <v>44437</v>
      </c>
      <c r="B156">
        <v>8.94</v>
      </c>
      <c r="C156">
        <v>9.5830000000000002</v>
      </c>
      <c r="D156">
        <v>8.6020000000000003</v>
      </c>
      <c r="E156">
        <v>9.1609999999999996</v>
      </c>
      <c r="F156">
        <v>1445474.0079999999</v>
      </c>
      <c r="G156">
        <v>9.1609999999999996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0.13965341488277136</v>
      </c>
      <c r="Q156">
        <f t="shared" ref="Q156" si="756">F156*P156</f>
        <v>201865.38134148635</v>
      </c>
      <c r="R156">
        <f t="shared" ref="R156" si="757">R157+Q156</f>
        <v>32007519.473342244</v>
      </c>
      <c r="S156">
        <f t="shared" ref="S156" si="758">R156/100000</f>
        <v>320.07519473342245</v>
      </c>
      <c r="T156">
        <f t="shared" ref="T156" si="759">S156/1000</f>
        <v>0.32007519473342244</v>
      </c>
    </row>
    <row r="157" spans="1:20" x14ac:dyDescent="0.25">
      <c r="A157" s="5">
        <v>44436</v>
      </c>
      <c r="B157">
        <v>8.9469999999999992</v>
      </c>
      <c r="C157">
        <v>9.2959999999999994</v>
      </c>
      <c r="D157">
        <v>8.8000000000000007</v>
      </c>
      <c r="E157">
        <v>8.9390000000000001</v>
      </c>
      <c r="F157">
        <v>908394.25600000005</v>
      </c>
      <c r="G157">
        <v>8.9390000000000001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-0.43951612903225917</v>
      </c>
      <c r="Q157">
        <f t="shared" ref="Q157" si="761">F157*P157</f>
        <v>-399253.92703225912</v>
      </c>
      <c r="R157">
        <f t="shared" ref="R157" si="762">R158+Q157</f>
        <v>31805654.092000756</v>
      </c>
      <c r="S157">
        <f t="shared" ref="S157" si="763">R157/100000</f>
        <v>318.05654092000759</v>
      </c>
      <c r="T157">
        <f t="shared" ref="T157" si="764">S157/1000</f>
        <v>0.31805654092000757</v>
      </c>
    </row>
    <row r="158" spans="1:20" x14ac:dyDescent="0.25">
      <c r="A158" s="5">
        <v>44435</v>
      </c>
      <c r="B158">
        <v>8.4429999999999996</v>
      </c>
      <c r="C158">
        <v>8.9969999999999999</v>
      </c>
      <c r="D158">
        <v>8.11</v>
      </c>
      <c r="E158">
        <v>8.9339999999999993</v>
      </c>
      <c r="F158">
        <v>980196.31400000001</v>
      </c>
      <c r="G158">
        <v>8.9339999999999993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0.85794813979706752</v>
      </c>
      <c r="Q158">
        <f t="shared" ref="Q158" si="766">F158*P158</f>
        <v>840957.60423224233</v>
      </c>
      <c r="R158">
        <f t="shared" ref="R158" si="767">R159+Q158</f>
        <v>32204908.019033015</v>
      </c>
      <c r="S158">
        <f t="shared" ref="S158" si="768">R158/100000</f>
        <v>322.04908019033013</v>
      </c>
      <c r="T158">
        <f t="shared" ref="T158" si="769">S158/1000</f>
        <v>0.32204908019033013</v>
      </c>
    </row>
    <row r="159" spans="1:20" x14ac:dyDescent="0.25">
      <c r="A159" s="5">
        <v>44434</v>
      </c>
      <c r="B159">
        <v>9.3970000000000002</v>
      </c>
      <c r="C159">
        <v>9.61</v>
      </c>
      <c r="D159">
        <v>8.4269999999999996</v>
      </c>
      <c r="E159">
        <v>8.44</v>
      </c>
      <c r="F159">
        <v>1111015.5759999999</v>
      </c>
      <c r="G159">
        <v>8.44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-0.97802197802197821</v>
      </c>
      <c r="Q159">
        <f t="shared" ref="Q159" si="771">F159*P159</f>
        <v>-1086597.6512527473</v>
      </c>
      <c r="R159">
        <f t="shared" ref="R159" si="772">R160+Q159</f>
        <v>31363950.414800771</v>
      </c>
      <c r="S159">
        <f t="shared" ref="S159" si="773">R159/100000</f>
        <v>313.63950414800769</v>
      </c>
      <c r="T159">
        <f t="shared" ref="T159" si="774">S159/1000</f>
        <v>0.31363950414800768</v>
      </c>
    </row>
    <row r="160" spans="1:20" x14ac:dyDescent="0.25">
      <c r="A160" s="5">
        <v>44433</v>
      </c>
      <c r="B160">
        <v>8.9440000000000008</v>
      </c>
      <c r="C160">
        <v>9.4689999999999994</v>
      </c>
      <c r="D160">
        <v>8.6039999999999992</v>
      </c>
      <c r="E160">
        <v>9.3989999999999991</v>
      </c>
      <c r="F160">
        <v>1510531.757</v>
      </c>
      <c r="G160">
        <v>9.3989999999999991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0.83815028901734046</v>
      </c>
      <c r="Q160">
        <f t="shared" ref="Q160" si="776">F160*P160</f>
        <v>1266052.628699421</v>
      </c>
      <c r="R160">
        <f t="shared" ref="R160" si="777">R161+Q160</f>
        <v>32450548.066053517</v>
      </c>
      <c r="S160">
        <f t="shared" ref="S160" si="778">R160/100000</f>
        <v>324.50548066053517</v>
      </c>
      <c r="T160">
        <f t="shared" ref="T160" si="779">S160/1000</f>
        <v>0.32450548066053519</v>
      </c>
    </row>
    <row r="161" spans="1:20" x14ac:dyDescent="0.25">
      <c r="A161" s="5">
        <v>44432</v>
      </c>
      <c r="B161">
        <v>9.9939999999999998</v>
      </c>
      <c r="C161">
        <v>10.295</v>
      </c>
      <c r="D161">
        <v>8.82</v>
      </c>
      <c r="E161">
        <v>8.9550000000000001</v>
      </c>
      <c r="F161">
        <v>1864948.848</v>
      </c>
      <c r="G161">
        <v>8.9550000000000001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-0.8169491525423731</v>
      </c>
      <c r="Q161">
        <f t="shared" ref="Q161" si="781">F161*P161</f>
        <v>-1523568.380908475</v>
      </c>
      <c r="R161">
        <f t="shared" ref="R161" si="782">R162+Q161</f>
        <v>31184495.437354095</v>
      </c>
      <c r="S161">
        <f t="shared" ref="S161" si="783">R161/100000</f>
        <v>311.84495437354093</v>
      </c>
      <c r="T161">
        <f t="shared" ref="T161" si="784">S161/1000</f>
        <v>0.31184495437354093</v>
      </c>
    </row>
    <row r="162" spans="1:20" x14ac:dyDescent="0.25">
      <c r="A162" s="5">
        <v>44431</v>
      </c>
      <c r="B162">
        <v>9.843</v>
      </c>
      <c r="C162">
        <v>10.198</v>
      </c>
      <c r="D162">
        <v>9.5329999999999995</v>
      </c>
      <c r="E162">
        <v>9.9939999999999998</v>
      </c>
      <c r="F162">
        <v>1810990.2279999999</v>
      </c>
      <c r="G162">
        <v>9.9939999999999998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0.38646616541353279</v>
      </c>
      <c r="Q162">
        <f t="shared" ref="Q162" si="786">F162*P162</f>
        <v>699886.44901653938</v>
      </c>
      <c r="R162">
        <f t="shared" ref="R162" si="787">R163+Q162</f>
        <v>32708063.81826257</v>
      </c>
      <c r="S162">
        <f t="shared" ref="S162" si="788">R162/100000</f>
        <v>327.08063818262571</v>
      </c>
      <c r="T162">
        <f t="shared" ref="T162" si="789">S162/1000</f>
        <v>0.32708063818262573</v>
      </c>
    </row>
    <row r="163" spans="1:20" x14ac:dyDescent="0.25">
      <c r="A163" s="5">
        <v>44430</v>
      </c>
      <c r="B163">
        <v>8.8670000000000009</v>
      </c>
      <c r="C163">
        <v>9.5150000000000006</v>
      </c>
      <c r="D163">
        <v>8.8580000000000005</v>
      </c>
      <c r="E163">
        <v>9.2680000000000007</v>
      </c>
      <c r="F163">
        <v>728148.11899999995</v>
      </c>
      <c r="G163">
        <v>9.2680000000000007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0.2480974124809745</v>
      </c>
      <c r="Q163">
        <f t="shared" ref="Q163" si="791">F163*P163</f>
        <v>180651.66422678868</v>
      </c>
      <c r="R163">
        <f t="shared" ref="R163" si="792">R164+Q163</f>
        <v>32008177.369246028</v>
      </c>
      <c r="S163">
        <f t="shared" ref="S163" si="793">R163/100000</f>
        <v>320.08177369246027</v>
      </c>
      <c r="T163">
        <f t="shared" ref="T163" si="794">S163/1000</f>
        <v>0.32008177369246027</v>
      </c>
    </row>
    <row r="164" spans="1:20" x14ac:dyDescent="0.25">
      <c r="A164" s="5">
        <v>44429</v>
      </c>
      <c r="B164">
        <v>8.5329999999999995</v>
      </c>
      <c r="C164">
        <v>9.3810000000000002</v>
      </c>
      <c r="D164">
        <v>8.3439999999999994</v>
      </c>
      <c r="E164">
        <v>8.875</v>
      </c>
      <c r="F164">
        <v>2509348.605</v>
      </c>
      <c r="G164">
        <v>8.875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2.410800385728094E-2</v>
      </c>
      <c r="Q164">
        <f t="shared" ref="Q164" si="796">F164*P164</f>
        <v>60495.385848602542</v>
      </c>
      <c r="R164">
        <f t="shared" ref="R164" si="797">R165+Q164</f>
        <v>31827525.705019239</v>
      </c>
      <c r="S164">
        <f t="shared" ref="S164" si="798">R164/100000</f>
        <v>318.27525705019241</v>
      </c>
      <c r="T164">
        <f t="shared" ref="T164" si="799">S164/1000</f>
        <v>0.31827525705019238</v>
      </c>
    </row>
    <row r="165" spans="1:20" x14ac:dyDescent="0.25">
      <c r="A165" s="5">
        <v>44428</v>
      </c>
      <c r="B165">
        <v>8.1389999999999993</v>
      </c>
      <c r="C165">
        <v>8.6809999999999992</v>
      </c>
      <c r="D165">
        <v>8.0380000000000003</v>
      </c>
      <c r="E165">
        <v>8.5229999999999997</v>
      </c>
      <c r="F165">
        <v>1339833.7439999999</v>
      </c>
      <c r="G165">
        <v>8.5229999999999997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0.5085536547433912</v>
      </c>
      <c r="Q165">
        <f t="shared" ref="Q165" si="801">F165*P165</f>
        <v>681377.34725972114</v>
      </c>
      <c r="R165">
        <f t="shared" ref="R165" si="802">R166+Q165</f>
        <v>31767030.319170635</v>
      </c>
      <c r="S165">
        <f t="shared" ref="S165" si="803">R165/100000</f>
        <v>317.67030319170635</v>
      </c>
      <c r="T165">
        <f t="shared" ref="T165" si="804">S165/1000</f>
        <v>0.31767030319170636</v>
      </c>
    </row>
    <row r="166" spans="1:20" x14ac:dyDescent="0.25">
      <c r="A166" s="5">
        <v>44427</v>
      </c>
      <c r="B166">
        <v>7.6639999999999997</v>
      </c>
      <c r="C166">
        <v>8.173</v>
      </c>
      <c r="D166">
        <v>7.444</v>
      </c>
      <c r="E166">
        <v>8.1430000000000007</v>
      </c>
      <c r="F166">
        <v>1246197.4439999999</v>
      </c>
      <c r="G166">
        <v>8.1430000000000007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0.91769547325103062</v>
      </c>
      <c r="Q166">
        <f t="shared" ref="Q166" si="806">F166*P166</f>
        <v>1143629.7531358046</v>
      </c>
      <c r="R166">
        <f t="shared" ref="R166" si="807">R167+Q166</f>
        <v>31085652.971910913</v>
      </c>
      <c r="S166">
        <f t="shared" ref="S166" si="808">R166/100000</f>
        <v>310.85652971910912</v>
      </c>
      <c r="T166">
        <f t="shared" ref="T166" si="809">S166/1000</f>
        <v>0.3108565297191091</v>
      </c>
    </row>
    <row r="167" spans="1:20" x14ac:dyDescent="0.25">
      <c r="A167" s="5">
        <v>44426</v>
      </c>
      <c r="B167">
        <v>7.8029999999999999</v>
      </c>
      <c r="C167">
        <v>8.0579999999999998</v>
      </c>
      <c r="D167">
        <v>7.4109999999999996</v>
      </c>
      <c r="E167">
        <v>7.6529999999999996</v>
      </c>
      <c r="F167">
        <v>1373507.9809999999</v>
      </c>
      <c r="G167">
        <v>7.6529999999999996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-0.2519319938176201</v>
      </c>
      <c r="Q167">
        <f t="shared" ref="Q167" si="811">F167*P167</f>
        <v>-346030.60417774384</v>
      </c>
      <c r="R167">
        <f t="shared" ref="R167" si="812">R168+Q167</f>
        <v>29942023.218775108</v>
      </c>
      <c r="S167">
        <f t="shared" ref="S167" si="813">R167/100000</f>
        <v>299.42023218775108</v>
      </c>
      <c r="T167">
        <f t="shared" ref="T167" si="814">S167/1000</f>
        <v>0.2994202321877511</v>
      </c>
    </row>
    <row r="168" spans="1:20" x14ac:dyDescent="0.25">
      <c r="A168" s="5">
        <v>44425</v>
      </c>
      <c r="B168">
        <v>8.4239999999999995</v>
      </c>
      <c r="C168">
        <v>9.1609999999999996</v>
      </c>
      <c r="D168">
        <v>7.6619999999999999</v>
      </c>
      <c r="E168">
        <v>7.8029999999999999</v>
      </c>
      <c r="F168">
        <v>2412710.3769999999</v>
      </c>
      <c r="G168">
        <v>7.8029999999999999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-0.81187458305537019</v>
      </c>
      <c r="Q168">
        <f t="shared" ref="Q168" si="816">F168*P168</f>
        <v>-1958818.2313602399</v>
      </c>
      <c r="R168">
        <f t="shared" ref="R168" si="817">R169+Q168</f>
        <v>30288053.822952852</v>
      </c>
      <c r="S168">
        <f t="shared" ref="S168" si="818">R168/100000</f>
        <v>302.8805382295285</v>
      </c>
      <c r="T168">
        <f t="shared" ref="T168" si="819">S168/1000</f>
        <v>0.30288053822952848</v>
      </c>
    </row>
    <row r="169" spans="1:20" x14ac:dyDescent="0.25">
      <c r="A169" s="5">
        <v>44424</v>
      </c>
      <c r="B169">
        <v>8.2210000000000001</v>
      </c>
      <c r="C169">
        <v>8.9830000000000005</v>
      </c>
      <c r="D169">
        <v>8.0839999999999996</v>
      </c>
      <c r="E169">
        <v>8.42</v>
      </c>
      <c r="F169">
        <v>2346210.7799999998</v>
      </c>
      <c r="G169">
        <v>8.42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-0.25250278086763078</v>
      </c>
      <c r="Q169">
        <f t="shared" ref="Q169" si="821">F169*P169</f>
        <v>-592424.74645161303</v>
      </c>
      <c r="R169">
        <f t="shared" ref="R169" si="822">R170+Q169</f>
        <v>32246872.054313093</v>
      </c>
      <c r="S169">
        <f t="shared" ref="S169" si="823">R169/100000</f>
        <v>322.46872054313093</v>
      </c>
      <c r="T169">
        <f t="shared" ref="T169" si="824">S169/1000</f>
        <v>0.32246872054313092</v>
      </c>
    </row>
    <row r="170" spans="1:20" x14ac:dyDescent="0.25">
      <c r="A170" s="5">
        <v>44423</v>
      </c>
      <c r="B170">
        <v>8.282</v>
      </c>
      <c r="C170">
        <v>8.4109999999999996</v>
      </c>
      <c r="D170">
        <v>7.7649999999999997</v>
      </c>
      <c r="E170">
        <v>8.2240000000000002</v>
      </c>
      <c r="F170">
        <v>1146678.3289999999</v>
      </c>
      <c r="G170">
        <v>8.2240000000000002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0.42105263157894918</v>
      </c>
      <c r="Q170">
        <f t="shared" ref="Q170" si="826">F170*P170</f>
        <v>482811.92800000205</v>
      </c>
      <c r="R170">
        <f t="shared" ref="R170" si="827">R171+Q170</f>
        <v>32839296.800764706</v>
      </c>
      <c r="S170">
        <f t="shared" ref="S170" si="828">R170/100000</f>
        <v>328.39296800764708</v>
      </c>
      <c r="T170">
        <f t="shared" ref="T170" si="829">S170/1000</f>
        <v>0.32839296800764706</v>
      </c>
    </row>
    <row r="171" spans="1:20" x14ac:dyDescent="0.25">
      <c r="A171" s="5">
        <v>44422</v>
      </c>
      <c r="B171">
        <v>8.3409999999999993</v>
      </c>
      <c r="C171">
        <v>8.4860000000000007</v>
      </c>
      <c r="D171">
        <v>7.9119999999999999</v>
      </c>
      <c r="E171">
        <v>8.2769999999999992</v>
      </c>
      <c r="F171">
        <v>1045838.309</v>
      </c>
      <c r="G171">
        <v>8.2769999999999992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0.2717770034843166</v>
      </c>
      <c r="Q171">
        <f t="shared" ref="Q171" si="831">F171*P171</f>
        <v>284234.80174912477</v>
      </c>
      <c r="R171">
        <f t="shared" ref="R171" si="832">R172+Q171</f>
        <v>32356484.872764703</v>
      </c>
      <c r="S171">
        <f t="shared" ref="S171" si="833">R171/100000</f>
        <v>323.56484872764702</v>
      </c>
      <c r="T171">
        <f t="shared" ref="T171" si="834">S171/1000</f>
        <v>0.32356484872764701</v>
      </c>
    </row>
    <row r="172" spans="1:20" x14ac:dyDescent="0.25">
      <c r="A172" s="5">
        <v>44421</v>
      </c>
      <c r="B172">
        <v>7.8330000000000002</v>
      </c>
      <c r="C172">
        <v>8.3439999999999994</v>
      </c>
      <c r="D172">
        <v>7.758</v>
      </c>
      <c r="E172">
        <v>8.3339999999999996</v>
      </c>
      <c r="F172">
        <v>748983.25600000005</v>
      </c>
      <c r="G172">
        <v>8.3339999999999996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0.96587030716723621</v>
      </c>
      <c r="Q172">
        <f t="shared" ref="Q172" si="836">F172*P172</f>
        <v>723420.68753583671</v>
      </c>
      <c r="R172">
        <f t="shared" ref="R172" si="837">R173+Q172</f>
        <v>32072250.071015578</v>
      </c>
      <c r="S172">
        <f t="shared" ref="S172" si="838">R172/100000</f>
        <v>320.72250071015577</v>
      </c>
      <c r="T172">
        <f t="shared" ref="T172" si="839">S172/1000</f>
        <v>0.32072250071015579</v>
      </c>
    </row>
    <row r="173" spans="1:20" x14ac:dyDescent="0.25">
      <c r="A173" s="5">
        <v>44420</v>
      </c>
      <c r="B173">
        <v>8.0459999999999994</v>
      </c>
      <c r="C173">
        <v>8.3390000000000004</v>
      </c>
      <c r="D173">
        <v>7.4880000000000004</v>
      </c>
      <c r="E173">
        <v>7.8339999999999996</v>
      </c>
      <c r="F173">
        <v>1365010.6170000001</v>
      </c>
      <c r="G173">
        <v>7.8339999999999996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-0.18683901292597133</v>
      </c>
      <c r="Q173">
        <f t="shared" ref="Q173" si="841">F173*P173</f>
        <v>-255037.23631375111</v>
      </c>
      <c r="R173">
        <f t="shared" ref="R173" si="842">R174+Q173</f>
        <v>31348829.38347974</v>
      </c>
      <c r="S173">
        <f t="shared" ref="S173" si="843">R173/100000</f>
        <v>313.48829383479739</v>
      </c>
      <c r="T173">
        <f t="shared" ref="T173" si="844">S173/1000</f>
        <v>0.31348829383479737</v>
      </c>
    </row>
    <row r="174" spans="1:20" x14ac:dyDescent="0.25">
      <c r="A174" s="5">
        <v>44419</v>
      </c>
      <c r="B174">
        <v>8.1929999999999996</v>
      </c>
      <c r="C174">
        <v>8.6050000000000004</v>
      </c>
      <c r="D174">
        <v>7.931</v>
      </c>
      <c r="E174">
        <v>8.0549999999999997</v>
      </c>
      <c r="F174">
        <v>1651726.4920000001</v>
      </c>
      <c r="G174">
        <v>8.0549999999999997</v>
      </c>
      <c r="L174" t="s">
        <v>7</v>
      </c>
      <c r="M174" t="s">
        <v>8</v>
      </c>
      <c r="N174" t="s">
        <v>8</v>
      </c>
      <c r="P174">
        <f t="shared" ref="P174" si="845">IF(C174=D174,0,((E174-D174)-(C174-E174))/(C174-D174))</f>
        <v>-0.63204747774480829</v>
      </c>
      <c r="Q174">
        <f t="shared" ref="Q174" si="846">F174*P174</f>
        <v>-1043969.5631928804</v>
      </c>
      <c r="R174">
        <f t="shared" ref="R174" si="847">R175+Q174</f>
        <v>31603866.619793493</v>
      </c>
      <c r="S174">
        <f t="shared" ref="S174" si="848">R174/100000</f>
        <v>316.03866619793496</v>
      </c>
      <c r="T174">
        <f t="shared" ref="T174" si="849">S174/1000</f>
        <v>0.31603866619793497</v>
      </c>
    </row>
    <row r="175" spans="1:20" x14ac:dyDescent="0.25">
      <c r="A175" s="5">
        <v>44418</v>
      </c>
      <c r="B175">
        <v>7.3319999999999999</v>
      </c>
      <c r="C175">
        <v>8.7959999999999994</v>
      </c>
      <c r="D175">
        <v>7.1950000000000003</v>
      </c>
      <c r="E175">
        <v>8.1940000000000008</v>
      </c>
      <c r="F175">
        <v>3160858.9019999998</v>
      </c>
      <c r="G175">
        <v>8.1940000000000008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0.24797001873828997</v>
      </c>
      <c r="Q175">
        <f t="shared" ref="Q175" si="851">F175*P175</f>
        <v>783798.24115803058</v>
      </c>
      <c r="R175">
        <f t="shared" ref="R175" si="852">R176+Q175</f>
        <v>32647836.182986375</v>
      </c>
      <c r="S175">
        <f t="shared" ref="S175" si="853">R175/100000</f>
        <v>326.47836182986373</v>
      </c>
      <c r="T175">
        <f t="shared" ref="T175" si="854">S175/1000</f>
        <v>0.32647836182986373</v>
      </c>
    </row>
    <row r="176" spans="1:20" x14ac:dyDescent="0.25">
      <c r="A176" s="5">
        <v>44417</v>
      </c>
      <c r="B176">
        <v>6.9290000000000003</v>
      </c>
      <c r="C176">
        <v>7.4260000000000002</v>
      </c>
      <c r="D176">
        <v>6.74</v>
      </c>
      <c r="E176">
        <v>7.3339999999999996</v>
      </c>
      <c r="F176">
        <v>1272220.27</v>
      </c>
      <c r="G176">
        <v>7.3339999999999996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0.73177842565597517</v>
      </c>
      <c r="Q176">
        <f t="shared" ref="Q176" si="856">F176*P176</f>
        <v>930983.34626821964</v>
      </c>
      <c r="R176">
        <f t="shared" ref="R176" si="857">R177+Q176</f>
        <v>31864037.941828344</v>
      </c>
      <c r="S176">
        <f t="shared" ref="S176" si="858">R176/100000</f>
        <v>318.64037941828343</v>
      </c>
      <c r="T176">
        <f t="shared" ref="T176" si="859">S176/1000</f>
        <v>0.31864037941828344</v>
      </c>
    </row>
    <row r="177" spans="1:20" x14ac:dyDescent="0.25">
      <c r="A177" s="5">
        <v>44416</v>
      </c>
      <c r="B177">
        <v>7.4109999999999996</v>
      </c>
      <c r="C177">
        <v>7.57</v>
      </c>
      <c r="D177">
        <v>6.8449999999999998</v>
      </c>
      <c r="E177">
        <v>6.9260000000000002</v>
      </c>
      <c r="F177">
        <v>1306546.3119999999</v>
      </c>
      <c r="G177">
        <v>6.9260000000000002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-0.77655172413793006</v>
      </c>
      <c r="Q177">
        <f t="shared" ref="Q177" si="861">F177*P177</f>
        <v>-1014600.7912496538</v>
      </c>
      <c r="R177">
        <f t="shared" ref="R177" si="862">R178+Q177</f>
        <v>30933054.595560126</v>
      </c>
      <c r="S177">
        <f t="shared" ref="S177" si="863">R177/100000</f>
        <v>309.33054595560128</v>
      </c>
      <c r="T177">
        <f t="shared" ref="T177" si="864">S177/1000</f>
        <v>0.30933054595560128</v>
      </c>
    </row>
    <row r="178" spans="1:20" x14ac:dyDescent="0.25">
      <c r="A178" s="5">
        <v>44415</v>
      </c>
      <c r="B178">
        <v>7.2919999999999998</v>
      </c>
      <c r="C178">
        <v>7.7270000000000003</v>
      </c>
      <c r="D178">
        <v>7.0910000000000002</v>
      </c>
      <c r="E178">
        <v>7.407</v>
      </c>
      <c r="F178">
        <v>1569470.1140000001</v>
      </c>
      <c r="G178">
        <v>7.407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-6.2893081761013318E-3</v>
      </c>
      <c r="Q178">
        <f t="shared" ref="Q178" si="866">F178*P178</f>
        <v>-9870.8812201268902</v>
      </c>
      <c r="R178">
        <f t="shared" ref="R178" si="867">R179+Q178</f>
        <v>31947655.386809781</v>
      </c>
      <c r="S178">
        <f t="shared" ref="S178" si="868">R178/100000</f>
        <v>319.47655386809782</v>
      </c>
      <c r="T178">
        <f t="shared" ref="T178" si="869">S178/1000</f>
        <v>0.31947655386809781</v>
      </c>
    </row>
    <row r="179" spans="1:20" x14ac:dyDescent="0.25">
      <c r="A179" s="5">
        <v>44414</v>
      </c>
      <c r="B179">
        <v>7.0869999999999997</v>
      </c>
      <c r="C179">
        <v>7.548</v>
      </c>
      <c r="D179">
        <v>6.8869999999999996</v>
      </c>
      <c r="E179">
        <v>7.2889999999999997</v>
      </c>
      <c r="F179">
        <v>1430035.385</v>
      </c>
      <c r="G179">
        <v>7.2889999999999997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0.21633888048411451</v>
      </c>
      <c r="Q179">
        <f t="shared" ref="Q179" si="871">F179*P179</f>
        <v>309372.25424356968</v>
      </c>
      <c r="R179">
        <f t="shared" ref="R179" si="872">R180+Q179</f>
        <v>31957526.26802991</v>
      </c>
      <c r="S179">
        <f t="shared" ref="S179" si="873">R179/100000</f>
        <v>319.57526268029909</v>
      </c>
      <c r="T179">
        <f t="shared" ref="T179" si="874">S179/1000</f>
        <v>0.31957526268029907</v>
      </c>
    </row>
    <row r="180" spans="1:20" x14ac:dyDescent="0.25">
      <c r="A180" s="5">
        <v>44413</v>
      </c>
      <c r="B180">
        <v>6.476</v>
      </c>
      <c r="C180">
        <v>7.2439999999999998</v>
      </c>
      <c r="D180">
        <v>6.3250000000000002</v>
      </c>
      <c r="E180">
        <v>7.0839999999999996</v>
      </c>
      <c r="F180">
        <v>1992303.6780000001</v>
      </c>
      <c r="G180">
        <v>7.0839999999999996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0.65179542981501581</v>
      </c>
      <c r="Q180">
        <f t="shared" ref="Q180" si="876">F180*P180</f>
        <v>1298574.4321240468</v>
      </c>
      <c r="R180">
        <f t="shared" ref="R180" si="877">R181+Q180</f>
        <v>31648154.013786338</v>
      </c>
      <c r="S180">
        <f t="shared" ref="S180" si="878">R180/100000</f>
        <v>316.48154013786336</v>
      </c>
      <c r="T180">
        <f t="shared" ref="T180" si="879">S180/1000</f>
        <v>0.31648154013786334</v>
      </c>
    </row>
    <row r="181" spans="1:20" x14ac:dyDescent="0.25">
      <c r="A181" s="5">
        <v>44412</v>
      </c>
      <c r="B181">
        <v>6.3789999999999996</v>
      </c>
      <c r="C181">
        <v>6.6349999999999998</v>
      </c>
      <c r="D181">
        <v>6.1539999999999999</v>
      </c>
      <c r="E181">
        <v>6.4820000000000002</v>
      </c>
      <c r="F181">
        <v>902135.65500000003</v>
      </c>
      <c r="G181">
        <v>6.4820000000000002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0.3638253638253654</v>
      </c>
      <c r="Q181">
        <f t="shared" ref="Q181" si="881">F181*P181</f>
        <v>328219.83290020935</v>
      </c>
      <c r="R181">
        <f t="shared" ref="R181" si="882">R182+Q181</f>
        <v>30349579.58166229</v>
      </c>
      <c r="S181">
        <f t="shared" ref="S181" si="883">R181/100000</f>
        <v>303.49579581662289</v>
      </c>
      <c r="T181">
        <f t="shared" ref="T181" si="884">S181/1000</f>
        <v>0.30349579581662289</v>
      </c>
    </row>
    <row r="182" spans="1:20" x14ac:dyDescent="0.25">
      <c r="A182" s="5">
        <v>44411</v>
      </c>
      <c r="B182">
        <v>6.21</v>
      </c>
      <c r="C182">
        <v>6.6449999999999996</v>
      </c>
      <c r="D182">
        <v>5.96</v>
      </c>
      <c r="E182">
        <v>6.375</v>
      </c>
      <c r="F182">
        <v>1370633.7990000001</v>
      </c>
      <c r="G182">
        <v>6.375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0.21167883211678912</v>
      </c>
      <c r="Q182">
        <f t="shared" ref="Q182" si="886">F182*P182</f>
        <v>290134.16183211788</v>
      </c>
      <c r="R182">
        <f t="shared" ref="R182" si="887">R183+Q182</f>
        <v>30021359.748762079</v>
      </c>
      <c r="S182">
        <f t="shared" ref="S182" si="888">R182/100000</f>
        <v>300.2135974876208</v>
      </c>
      <c r="T182">
        <f t="shared" ref="T182" si="889">S182/1000</f>
        <v>0.30021359748762078</v>
      </c>
    </row>
    <row r="183" spans="1:20" x14ac:dyDescent="0.25">
      <c r="A183" s="5">
        <v>44410</v>
      </c>
      <c r="B183">
        <v>6.1740000000000004</v>
      </c>
      <c r="C183">
        <v>6.4359999999999999</v>
      </c>
      <c r="D183">
        <v>6.0709999999999997</v>
      </c>
      <c r="E183">
        <v>6.2009999999999996</v>
      </c>
      <c r="F183">
        <v>765624.54299999995</v>
      </c>
      <c r="G183">
        <v>6.2009999999999996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-0.28767123287671331</v>
      </c>
      <c r="Q183">
        <f t="shared" ref="Q183" si="891">F183*P183</f>
        <v>-220248.15620548019</v>
      </c>
      <c r="R183">
        <f t="shared" ref="R183" si="892">R184+Q183</f>
        <v>29731225.586929962</v>
      </c>
      <c r="S183">
        <f t="shared" ref="S183" si="893">R183/100000</f>
        <v>297.31225586929963</v>
      </c>
      <c r="T183">
        <f t="shared" ref="T183" si="894">S183/1000</f>
        <v>0.29731225586929966</v>
      </c>
    </row>
    <row r="184" spans="1:20" x14ac:dyDescent="0.25">
      <c r="A184" s="5">
        <v>44409</v>
      </c>
      <c r="B184">
        <v>6.4790000000000001</v>
      </c>
      <c r="C184">
        <v>6.7759999999999998</v>
      </c>
      <c r="D184">
        <v>6.0759999999999996</v>
      </c>
      <c r="E184">
        <v>6.1749999999999998</v>
      </c>
      <c r="F184">
        <v>1253676.56</v>
      </c>
      <c r="G184">
        <v>6.1749999999999998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-0.71714285714285664</v>
      </c>
      <c r="Q184">
        <f t="shared" ref="Q184" si="896">F184*P184</f>
        <v>-899065.19017142802</v>
      </c>
      <c r="R184">
        <f t="shared" ref="R184" si="897">R185+Q184</f>
        <v>29951473.743135441</v>
      </c>
      <c r="S184">
        <f t="shared" ref="S184" si="898">R184/100000</f>
        <v>299.51473743135443</v>
      </c>
      <c r="T184">
        <f t="shared" ref="T184" si="899">S184/1000</f>
        <v>0.29951473743135443</v>
      </c>
    </row>
    <row r="185" spans="1:20" x14ac:dyDescent="0.25">
      <c r="A185" s="5">
        <v>44408</v>
      </c>
      <c r="B185">
        <v>6.3079999999999998</v>
      </c>
      <c r="C185">
        <v>6.5880000000000001</v>
      </c>
      <c r="D185">
        <v>6.1139999999999999</v>
      </c>
      <c r="E185">
        <v>6.476</v>
      </c>
      <c r="F185">
        <v>783084.63300000003</v>
      </c>
      <c r="G185">
        <v>6.476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0.52742616033755252</v>
      </c>
      <c r="Q185">
        <f t="shared" ref="Q185" si="901">F185*P185</f>
        <v>413019.32120253152</v>
      </c>
      <c r="R185">
        <f t="shared" ref="R185" si="902">R186+Q185</f>
        <v>30850538.933306869</v>
      </c>
      <c r="S185">
        <f t="shared" ref="S185" si="903">R185/100000</f>
        <v>308.50538933306871</v>
      </c>
      <c r="T185">
        <f t="shared" ref="T185" si="904">S185/1000</f>
        <v>0.3085053893330687</v>
      </c>
    </row>
    <row r="186" spans="1:20" x14ac:dyDescent="0.25">
      <c r="A186" s="5">
        <v>44407</v>
      </c>
      <c r="B186">
        <v>6.3369999999999997</v>
      </c>
      <c r="C186">
        <v>6.375</v>
      </c>
      <c r="D186">
        <v>5.81</v>
      </c>
      <c r="E186">
        <v>6.3070000000000004</v>
      </c>
      <c r="F186">
        <v>1227199.118</v>
      </c>
      <c r="G186">
        <v>6.3070000000000004</v>
      </c>
      <c r="L186" t="s">
        <v>7</v>
      </c>
      <c r="M186" t="s">
        <v>8</v>
      </c>
      <c r="N186" t="s">
        <v>8</v>
      </c>
      <c r="P186">
        <f t="shared" ref="P186" si="905">IF(C186=D186,0,((E186-D186)-(C186-E186))/(C186-D186))</f>
        <v>0.75929203539823165</v>
      </c>
      <c r="Q186">
        <f t="shared" ref="Q186" si="906">F186*P186</f>
        <v>931802.51614513469</v>
      </c>
      <c r="R186">
        <f t="shared" ref="R186" si="907">R187+Q186</f>
        <v>30437519.612104338</v>
      </c>
      <c r="S186">
        <f t="shared" ref="S186" si="908">R186/100000</f>
        <v>304.37519612104336</v>
      </c>
      <c r="T186">
        <f t="shared" ref="T186" si="909">S186/1000</f>
        <v>0.30437519612104336</v>
      </c>
    </row>
    <row r="187" spans="1:20" x14ac:dyDescent="0.25">
      <c r="A187" s="5">
        <v>44406</v>
      </c>
      <c r="B187">
        <v>5.6589999999999998</v>
      </c>
      <c r="C187">
        <v>6.5389999999999997</v>
      </c>
      <c r="D187">
        <v>5.5259999999999998</v>
      </c>
      <c r="E187">
        <v>6.3339999999999996</v>
      </c>
      <c r="F187">
        <v>2047943.0249999999</v>
      </c>
      <c r="G187">
        <v>6.3339999999999996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0.59526159921026633</v>
      </c>
      <c r="Q187">
        <f t="shared" ref="Q187" si="911">F187*P187</f>
        <v>1219061.8401530103</v>
      </c>
      <c r="R187">
        <f t="shared" ref="R187" si="912">R188+Q187</f>
        <v>29505717.095959201</v>
      </c>
      <c r="S187">
        <f t="shared" ref="S187" si="913">R187/100000</f>
        <v>295.05717095959204</v>
      </c>
      <c r="T187">
        <f t="shared" ref="T187" si="914">S187/1000</f>
        <v>0.29505717095959205</v>
      </c>
    </row>
    <row r="188" spans="1:20" x14ac:dyDescent="0.25">
      <c r="A188" s="5">
        <v>44405</v>
      </c>
      <c r="B188">
        <v>5.7640000000000002</v>
      </c>
      <c r="C188">
        <v>5.9020000000000001</v>
      </c>
      <c r="D188">
        <v>5.5279999999999996</v>
      </c>
      <c r="E188">
        <v>5.6639999999999997</v>
      </c>
      <c r="F188">
        <v>633783.12399999995</v>
      </c>
      <c r="G188">
        <v>5.6639999999999997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-0.27272727272727315</v>
      </c>
      <c r="Q188">
        <f t="shared" ref="Q188" si="916">F188*P188</f>
        <v>-172849.94290909116</v>
      </c>
      <c r="R188">
        <f t="shared" ref="R188" si="917">R189+Q188</f>
        <v>28286655.255806193</v>
      </c>
      <c r="S188">
        <f t="shared" ref="S188" si="918">R188/100000</f>
        <v>282.86655255806193</v>
      </c>
      <c r="T188">
        <f t="shared" ref="T188" si="919">S188/1000</f>
        <v>0.28286655255806192</v>
      </c>
    </row>
    <row r="189" spans="1:20" x14ac:dyDescent="0.25">
      <c r="A189" s="5">
        <v>44404</v>
      </c>
      <c r="B189">
        <v>5.4169999999999998</v>
      </c>
      <c r="C189">
        <v>5.8490000000000002</v>
      </c>
      <c r="D189">
        <v>5.2590000000000003</v>
      </c>
      <c r="E189">
        <v>5.7759999999999998</v>
      </c>
      <c r="F189">
        <v>939389.07900000003</v>
      </c>
      <c r="G189">
        <v>5.7759999999999998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0.7525423728813545</v>
      </c>
      <c r="Q189">
        <f t="shared" ref="Q189" si="921">F189*P189</f>
        <v>706930.08656949026</v>
      </c>
      <c r="R189">
        <f t="shared" ref="R189" si="922">R190+Q189</f>
        <v>28459505.198715284</v>
      </c>
      <c r="S189">
        <f t="shared" ref="S189" si="923">R189/100000</f>
        <v>284.59505198715283</v>
      </c>
      <c r="T189">
        <f t="shared" ref="T189" si="924">S189/1000</f>
        <v>0.28459505198715285</v>
      </c>
    </row>
    <row r="190" spans="1:20" x14ac:dyDescent="0.25">
      <c r="A190" s="5">
        <v>44403</v>
      </c>
      <c r="B190">
        <v>5.4080000000000004</v>
      </c>
      <c r="C190">
        <v>6.0640000000000001</v>
      </c>
      <c r="D190">
        <v>5.3769999999999998</v>
      </c>
      <c r="E190">
        <v>5.42</v>
      </c>
      <c r="F190">
        <v>1625583.327</v>
      </c>
      <c r="G190">
        <v>5.42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-0.87481804949053821</v>
      </c>
      <c r="Q190">
        <f t="shared" ref="Q190" si="926">F190*P190</f>
        <v>-1422089.6354104797</v>
      </c>
      <c r="R190">
        <f t="shared" ref="R190" si="927">R191+Q190</f>
        <v>27752575.112145793</v>
      </c>
      <c r="S190">
        <f t="shared" ref="S190" si="928">R190/100000</f>
        <v>277.52575112145792</v>
      </c>
      <c r="T190">
        <f t="shared" ref="T190" si="929">S190/1000</f>
        <v>0.27752575112145794</v>
      </c>
    </row>
    <row r="191" spans="1:20" x14ac:dyDescent="0.25">
      <c r="A191" s="5">
        <v>44402</v>
      </c>
      <c r="B191">
        <v>5.4169999999999998</v>
      </c>
      <c r="C191">
        <v>5.4640000000000004</v>
      </c>
      <c r="D191">
        <v>5.0949999999999998</v>
      </c>
      <c r="E191">
        <v>5.4119999999999999</v>
      </c>
      <c r="F191">
        <v>636918.85900000005</v>
      </c>
      <c r="G191">
        <v>5.4119999999999999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0.71815718157181352</v>
      </c>
      <c r="Q191">
        <f t="shared" ref="Q191" si="931">F191*P191</f>
        <v>457407.85266937531</v>
      </c>
      <c r="R191">
        <f t="shared" ref="R191" si="932">R192+Q191</f>
        <v>29174664.747556273</v>
      </c>
      <c r="S191">
        <f t="shared" ref="S191" si="933">R191/100000</f>
        <v>291.74664747556272</v>
      </c>
      <c r="T191">
        <f t="shared" ref="T191" si="934">S191/1000</f>
        <v>0.29174664747556273</v>
      </c>
    </row>
    <row r="192" spans="1:20" x14ac:dyDescent="0.25">
      <c r="A192" s="5">
        <v>44401</v>
      </c>
      <c r="B192">
        <v>5.3</v>
      </c>
      <c r="C192">
        <v>5.6289999999999996</v>
      </c>
      <c r="D192">
        <v>5.22</v>
      </c>
      <c r="E192">
        <v>5.4189999999999996</v>
      </c>
      <c r="F192">
        <v>998099.97699999996</v>
      </c>
      <c r="G192">
        <v>5.4189999999999996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-2.6894865525672679E-2</v>
      </c>
      <c r="Q192">
        <f t="shared" ref="Q192" si="936">F192*P192</f>
        <v>-26843.764662591992</v>
      </c>
      <c r="R192">
        <f t="shared" ref="R192" si="937">R193+Q192</f>
        <v>28717256.894886896</v>
      </c>
      <c r="S192">
        <f t="shared" ref="S192" si="938">R192/100000</f>
        <v>287.17256894886896</v>
      </c>
      <c r="T192">
        <f t="shared" ref="T192:T197" si="939">S192/1000</f>
        <v>0.28717256894886894</v>
      </c>
    </row>
    <row r="193" spans="1:20" x14ac:dyDescent="0.25">
      <c r="A193" s="5">
        <v>44400</v>
      </c>
      <c r="B193">
        <v>5.0629999999999997</v>
      </c>
      <c r="C193">
        <v>5.3129999999999997</v>
      </c>
      <c r="D193">
        <v>4.8810000000000002</v>
      </c>
      <c r="E193">
        <v>5.2939999999999996</v>
      </c>
      <c r="F193">
        <v>884191.076</v>
      </c>
      <c r="G193">
        <v>5.2939999999999996</v>
      </c>
      <c r="L193" t="s">
        <v>8</v>
      </c>
      <c r="M193" t="s">
        <v>8</v>
      </c>
      <c r="N193" t="s">
        <v>7</v>
      </c>
      <c r="P193">
        <f t="shared" ref="P193" si="940">IF(C193=D193,0,((E193-D193)-(C193-E193))/(C193-D193))</f>
        <v>0.91203703703703631</v>
      </c>
      <c r="Q193">
        <f t="shared" ref="Q193" si="941">F193*P193</f>
        <v>806415.009129629</v>
      </c>
      <c r="R193">
        <f t="shared" ref="R193" si="942">R194+Q193</f>
        <v>28744100.65954949</v>
      </c>
      <c r="S193">
        <f t="shared" ref="S193" si="943">R193/100000</f>
        <v>287.44100659549491</v>
      </c>
      <c r="T193">
        <f t="shared" si="939"/>
        <v>0.28744100659549493</v>
      </c>
    </row>
    <row r="194" spans="1:20" x14ac:dyDescent="0.25">
      <c r="A194" s="5">
        <v>44399</v>
      </c>
      <c r="B194">
        <v>5.0999999999999996</v>
      </c>
      <c r="C194">
        <v>5.2</v>
      </c>
      <c r="D194">
        <v>4.9009999999999998</v>
      </c>
      <c r="E194">
        <v>5.0629999999999997</v>
      </c>
      <c r="F194">
        <v>821620.10199999996</v>
      </c>
      <c r="G194">
        <v>5.0629999999999997</v>
      </c>
      <c r="L194" t="s">
        <v>8</v>
      </c>
      <c r="M194" t="s">
        <v>8</v>
      </c>
      <c r="N194" t="s">
        <v>7</v>
      </c>
      <c r="P194">
        <f t="shared" ref="P194" si="944">IF(C194=D194,0,((E194-D194)-(C194-E194))/(C194-D194))</f>
        <v>8.3612040133777377E-2</v>
      </c>
      <c r="Q194">
        <f t="shared" ref="Q194" si="945">F194*P194</f>
        <v>68697.332943142261</v>
      </c>
      <c r="R194">
        <f t="shared" ref="R194" si="946">R195+Q194</f>
        <v>27937685.650419861</v>
      </c>
      <c r="S194">
        <f t="shared" ref="S194" si="947">R194/100000</f>
        <v>279.3768565041986</v>
      </c>
      <c r="T194">
        <f t="shared" si="939"/>
        <v>0.27937685650419858</v>
      </c>
    </row>
    <row r="195" spans="1:20" x14ac:dyDescent="0.25">
      <c r="A195" s="5">
        <v>44398</v>
      </c>
      <c r="B195">
        <v>4.3920000000000003</v>
      </c>
      <c r="C195">
        <v>5.1749999999999998</v>
      </c>
      <c r="D195">
        <v>4.2830000000000004</v>
      </c>
      <c r="E195">
        <v>5.0999999999999996</v>
      </c>
      <c r="F195">
        <v>788060.21699999995</v>
      </c>
      <c r="G195">
        <v>5.0999999999999996</v>
      </c>
      <c r="L195" t="s">
        <v>8</v>
      </c>
      <c r="M195" t="s">
        <v>8</v>
      </c>
      <c r="N195" t="s">
        <v>7</v>
      </c>
      <c r="P195">
        <f t="shared" ref="P195" si="948">IF(C195=D195,0,((E195-D195)-(C195-E195))/(C195-D195))</f>
        <v>0.83183856502242104</v>
      </c>
      <c r="Q195">
        <f t="shared" ref="Q195" si="949">F195*P195</f>
        <v>655538.88006053772</v>
      </c>
      <c r="R195">
        <f t="shared" ref="R195" si="950">R196+Q195</f>
        <v>27868988.31747672</v>
      </c>
      <c r="S195">
        <f t="shared" ref="S195" si="951">R195/100000</f>
        <v>278.6898831747672</v>
      </c>
      <c r="T195">
        <f t="shared" si="939"/>
        <v>0.27868988317476723</v>
      </c>
    </row>
    <row r="196" spans="1:20" x14ac:dyDescent="0.25">
      <c r="A196" s="5">
        <v>44397</v>
      </c>
      <c r="B196">
        <v>4.7480000000000002</v>
      </c>
      <c r="C196">
        <v>4.8540000000000001</v>
      </c>
      <c r="D196">
        <v>4.2229999999999999</v>
      </c>
      <c r="E196">
        <v>4.3879999999999999</v>
      </c>
      <c r="F196">
        <v>878823.95499999996</v>
      </c>
      <c r="G196">
        <v>4.3879999999999999</v>
      </c>
      <c r="L196" t="s">
        <v>7</v>
      </c>
      <c r="M196" t="s">
        <v>7</v>
      </c>
      <c r="N196" t="s">
        <v>7</v>
      </c>
      <c r="P196">
        <f t="shared" ref="P196" si="952">IF(C196=D196,0,((E196-D196)-(C196-E196))/(C196-D196))</f>
        <v>-0.47702060221870057</v>
      </c>
      <c r="Q196">
        <f t="shared" ref="Q196" si="953">F196*P196</f>
        <v>-419217.13225832017</v>
      </c>
      <c r="R196">
        <f t="shared" ref="R196" si="954">R197+Q196</f>
        <v>27213449.437416181</v>
      </c>
      <c r="S196">
        <f t="shared" ref="S196" si="955">R196/100000</f>
        <v>272.13449437416182</v>
      </c>
      <c r="T196">
        <f t="shared" si="939"/>
        <v>0.27213449437416182</v>
      </c>
    </row>
    <row r="197" spans="1:20" x14ac:dyDescent="0.25">
      <c r="A197" s="5">
        <v>44396</v>
      </c>
      <c r="B197">
        <v>4.9669999999999996</v>
      </c>
      <c r="C197">
        <v>5.157</v>
      </c>
      <c r="D197">
        <v>4.6470000000000002</v>
      </c>
      <c r="E197">
        <v>4.75</v>
      </c>
      <c r="F197">
        <v>796680.19900000002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6">IF(C197=D197,0,((E197-D197)-(C197-E197))/(C197-D197))</f>
        <v>-0.59607843137254979</v>
      </c>
      <c r="Q197">
        <f t="shared" ref="Q197" si="957">F197*P197</f>
        <v>-474883.88332549081</v>
      </c>
      <c r="R197">
        <f t="shared" ref="R197" si="958">R198+Q197</f>
        <v>27632666.569674499</v>
      </c>
      <c r="S197">
        <f t="shared" ref="S197" si="959">R197/100000</f>
        <v>276.32666569674501</v>
      </c>
      <c r="T197">
        <f t="shared" si="939"/>
        <v>0.27632666569674502</v>
      </c>
    </row>
    <row r="198" spans="1:20" x14ac:dyDescent="0.25">
      <c r="A198" s="5">
        <v>44395</v>
      </c>
      <c r="B198">
        <v>5.0990000000000002</v>
      </c>
      <c r="C198">
        <v>5.3209999999999997</v>
      </c>
      <c r="D198">
        <v>4.9390000000000001</v>
      </c>
      <c r="E198">
        <v>4.9649999999999999</v>
      </c>
      <c r="F198">
        <v>687952.92200000002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60">IF(C198=D198,0,((E198-D198)-(C198-E198))/(C198-D198))</f>
        <v>-0.86387434554973919</v>
      </c>
      <c r="Q198">
        <f t="shared" ref="Q198:Q261" si="961">F198*P198</f>
        <v>-594304.88026178081</v>
      </c>
      <c r="R198">
        <f t="shared" ref="R198:R261" si="962">R199+Q198</f>
        <v>28107550.45299999</v>
      </c>
      <c r="S198">
        <f t="shared" ref="S198:S261" si="963">R198/100000</f>
        <v>281.07550452999993</v>
      </c>
      <c r="T198">
        <f t="shared" ref="T198:T261" si="964">S198/1000</f>
        <v>0.28107550452999991</v>
      </c>
    </row>
    <row r="199" spans="1:20" x14ac:dyDescent="0.25">
      <c r="A199" s="5">
        <v>44394</v>
      </c>
      <c r="B199">
        <v>5.0709999999999997</v>
      </c>
      <c r="C199">
        <v>5.1859999999999999</v>
      </c>
      <c r="D199">
        <v>4.9450000000000003</v>
      </c>
      <c r="E199">
        <v>5.0960000000000001</v>
      </c>
      <c r="F199">
        <v>579142.53799999994</v>
      </c>
      <c r="G199">
        <v>0</v>
      </c>
      <c r="L199" t="s">
        <v>7</v>
      </c>
      <c r="M199" t="s">
        <v>7</v>
      </c>
      <c r="N199" t="s">
        <v>7</v>
      </c>
      <c r="P199">
        <f t="shared" si="960"/>
        <v>0.25311203319502085</v>
      </c>
      <c r="Q199">
        <f t="shared" si="961"/>
        <v>146587.94530290461</v>
      </c>
      <c r="R199">
        <f t="shared" si="962"/>
        <v>28701855.333261773</v>
      </c>
      <c r="S199">
        <f t="shared" si="963"/>
        <v>287.01855333261773</v>
      </c>
      <c r="T199">
        <f t="shared" si="964"/>
        <v>0.28701855333261772</v>
      </c>
    </row>
    <row r="200" spans="1:20" x14ac:dyDescent="0.25">
      <c r="A200" s="5">
        <v>44393</v>
      </c>
      <c r="B200">
        <v>5.5460000000000003</v>
      </c>
      <c r="C200">
        <v>5.6790000000000003</v>
      </c>
      <c r="D200">
        <v>5.0389999999999997</v>
      </c>
      <c r="E200">
        <v>5.07</v>
      </c>
      <c r="F200">
        <v>1047661.473</v>
      </c>
      <c r="G200">
        <v>0</v>
      </c>
      <c r="L200" t="s">
        <v>7</v>
      </c>
      <c r="M200" t="s">
        <v>7</v>
      </c>
      <c r="N200" t="s">
        <v>7</v>
      </c>
      <c r="P200">
        <f t="shared" si="960"/>
        <v>-0.90312499999999829</v>
      </c>
      <c r="Q200">
        <f t="shared" si="961"/>
        <v>-946169.26780312322</v>
      </c>
      <c r="R200">
        <f t="shared" si="962"/>
        <v>28555267.387958869</v>
      </c>
      <c r="S200">
        <f t="shared" si="963"/>
        <v>285.55267387958867</v>
      </c>
      <c r="T200">
        <f t="shared" si="964"/>
        <v>0.28555267387958866</v>
      </c>
    </row>
    <row r="201" spans="1:20" x14ac:dyDescent="0.25">
      <c r="A201" s="5">
        <v>44392</v>
      </c>
      <c r="B201">
        <v>5.9880000000000004</v>
      </c>
      <c r="C201">
        <v>6.125</v>
      </c>
      <c r="D201">
        <v>5.4569999999999999</v>
      </c>
      <c r="E201">
        <v>5.5469999999999997</v>
      </c>
      <c r="F201">
        <v>1033717.052</v>
      </c>
      <c r="G201">
        <v>0</v>
      </c>
      <c r="L201" t="s">
        <v>7</v>
      </c>
      <c r="M201" t="s">
        <v>7</v>
      </c>
      <c r="N201" t="s">
        <v>8</v>
      </c>
      <c r="P201">
        <f t="shared" si="960"/>
        <v>-0.73053892215568916</v>
      </c>
      <c r="Q201">
        <f t="shared" si="961"/>
        <v>-755170.5409820365</v>
      </c>
      <c r="R201">
        <f t="shared" si="962"/>
        <v>29501436.655761994</v>
      </c>
      <c r="S201">
        <f t="shared" si="963"/>
        <v>295.01436655761995</v>
      </c>
      <c r="T201">
        <f t="shared" si="964"/>
        <v>0.29501436655761998</v>
      </c>
    </row>
    <row r="202" spans="1:20" x14ac:dyDescent="0.25">
      <c r="A202" s="5">
        <v>44391</v>
      </c>
      <c r="B202">
        <v>6.351</v>
      </c>
      <c r="C202">
        <v>6.3949999999999996</v>
      </c>
      <c r="D202">
        <v>5.7350000000000003</v>
      </c>
      <c r="E202">
        <v>5.99</v>
      </c>
      <c r="F202">
        <v>1069682.8689999999</v>
      </c>
      <c r="G202">
        <v>0</v>
      </c>
      <c r="L202" t="s">
        <v>7</v>
      </c>
      <c r="M202" t="s">
        <v>7</v>
      </c>
      <c r="N202" t="s">
        <v>8</v>
      </c>
      <c r="P202">
        <f t="shared" si="960"/>
        <v>-0.22727272727272671</v>
      </c>
      <c r="Q202">
        <f t="shared" si="961"/>
        <v>-243109.74295454484</v>
      </c>
      <c r="R202">
        <f t="shared" si="962"/>
        <v>30256607.196744032</v>
      </c>
      <c r="S202">
        <f t="shared" si="963"/>
        <v>302.56607196744034</v>
      </c>
      <c r="T202">
        <f t="shared" si="964"/>
        <v>0.30256607196744034</v>
      </c>
    </row>
    <row r="203" spans="1:20" x14ac:dyDescent="0.25">
      <c r="A203" s="5">
        <v>44390</v>
      </c>
      <c r="B203">
        <v>6.3860000000000001</v>
      </c>
      <c r="C203">
        <v>6.9139999999999997</v>
      </c>
      <c r="D203">
        <v>6.2290000000000001</v>
      </c>
      <c r="E203">
        <v>6.3550000000000004</v>
      </c>
      <c r="F203">
        <v>1704635.3149999999</v>
      </c>
      <c r="G203">
        <v>0</v>
      </c>
      <c r="L203" t="s">
        <v>8</v>
      </c>
      <c r="M203" t="s">
        <v>7</v>
      </c>
      <c r="N203" t="s">
        <v>8</v>
      </c>
      <c r="P203">
        <f t="shared" si="960"/>
        <v>-0.63211678832116669</v>
      </c>
      <c r="Q203">
        <f t="shared" si="961"/>
        <v>-1077528.6005766403</v>
      </c>
      <c r="R203">
        <f t="shared" si="962"/>
        <v>30499716.939698577</v>
      </c>
      <c r="S203">
        <f t="shared" si="963"/>
        <v>304.99716939698578</v>
      </c>
      <c r="T203">
        <f t="shared" si="964"/>
        <v>0.30499716939698579</v>
      </c>
    </row>
    <row r="204" spans="1:20" x14ac:dyDescent="0.25">
      <c r="A204" s="5">
        <v>44389</v>
      </c>
      <c r="B204">
        <v>6.7</v>
      </c>
      <c r="C204">
        <v>6.7009999999999996</v>
      </c>
      <c r="D204">
        <v>6.1669999999999998</v>
      </c>
      <c r="E204">
        <v>6.3849999999999998</v>
      </c>
      <c r="F204">
        <v>910703.31</v>
      </c>
      <c r="G204">
        <v>0</v>
      </c>
      <c r="L204" t="s">
        <v>7</v>
      </c>
      <c r="M204" t="s">
        <v>7</v>
      </c>
      <c r="N204" t="s">
        <v>8</v>
      </c>
      <c r="P204">
        <f t="shared" si="960"/>
        <v>-0.18352059925093614</v>
      </c>
      <c r="Q204">
        <f t="shared" si="961"/>
        <v>-167132.81719101107</v>
      </c>
      <c r="R204">
        <f t="shared" si="962"/>
        <v>31577245.540275216</v>
      </c>
      <c r="S204">
        <f t="shared" si="963"/>
        <v>315.77245540275214</v>
      </c>
      <c r="T204">
        <f t="shared" si="964"/>
        <v>0.31577245540275212</v>
      </c>
    </row>
    <row r="205" spans="1:20" x14ac:dyDescent="0.25">
      <c r="A205" s="5">
        <v>44388</v>
      </c>
      <c r="B205">
        <v>6.2889999999999997</v>
      </c>
      <c r="C205">
        <v>6.95</v>
      </c>
      <c r="D205">
        <v>6.1950000000000003</v>
      </c>
      <c r="E205">
        <v>6.6980000000000004</v>
      </c>
      <c r="F205">
        <v>1306484.0319999999</v>
      </c>
      <c r="G205">
        <v>0</v>
      </c>
      <c r="L205" t="s">
        <v>7</v>
      </c>
      <c r="M205" t="s">
        <v>7</v>
      </c>
      <c r="N205" t="s">
        <v>8</v>
      </c>
      <c r="P205">
        <f t="shared" si="960"/>
        <v>0.33245033112582828</v>
      </c>
      <c r="Q205">
        <f t="shared" si="961"/>
        <v>434341.04904900718</v>
      </c>
      <c r="R205">
        <f t="shared" si="962"/>
        <v>31744378.357466228</v>
      </c>
      <c r="S205">
        <f t="shared" si="963"/>
        <v>317.44378357466229</v>
      </c>
      <c r="T205">
        <f t="shared" si="964"/>
        <v>0.3174437835746623</v>
      </c>
    </row>
    <row r="206" spans="1:20" x14ac:dyDescent="0.25">
      <c r="A206" s="5">
        <v>44387</v>
      </c>
      <c r="B206">
        <v>6.5949999999999998</v>
      </c>
      <c r="C206">
        <v>6.843</v>
      </c>
      <c r="D206">
        <v>6.141</v>
      </c>
      <c r="E206">
        <v>6.2960000000000003</v>
      </c>
      <c r="F206">
        <v>1027042.3419999999</v>
      </c>
      <c r="G206">
        <v>0</v>
      </c>
      <c r="L206" t="s">
        <v>8</v>
      </c>
      <c r="M206" t="s">
        <v>7</v>
      </c>
      <c r="N206" t="s">
        <v>8</v>
      </c>
      <c r="P206">
        <f t="shared" si="960"/>
        <v>-0.55840455840455772</v>
      </c>
      <c r="Q206">
        <f t="shared" si="961"/>
        <v>-573505.1254472927</v>
      </c>
      <c r="R206">
        <f t="shared" si="962"/>
        <v>31310037.30841722</v>
      </c>
      <c r="S206">
        <f t="shared" si="963"/>
        <v>313.10037308417219</v>
      </c>
      <c r="T206">
        <f t="shared" si="964"/>
        <v>0.31310037308417221</v>
      </c>
    </row>
    <row r="207" spans="1:20" x14ac:dyDescent="0.25">
      <c r="A207" s="5">
        <v>44386</v>
      </c>
      <c r="B207">
        <v>6.1050000000000004</v>
      </c>
      <c r="C207">
        <v>6.7519999999999998</v>
      </c>
      <c r="D207">
        <v>5.8250000000000002</v>
      </c>
      <c r="E207">
        <v>6.5880000000000001</v>
      </c>
      <c r="F207">
        <v>1097007.956</v>
      </c>
      <c r="G207">
        <v>0</v>
      </c>
      <c r="L207" t="s">
        <v>7</v>
      </c>
      <c r="M207" t="s">
        <v>7</v>
      </c>
      <c r="N207" t="s">
        <v>8</v>
      </c>
      <c r="P207">
        <f t="shared" si="960"/>
        <v>0.64617044228694764</v>
      </c>
      <c r="Q207">
        <f t="shared" si="961"/>
        <v>708854.1161208204</v>
      </c>
      <c r="R207">
        <f t="shared" si="962"/>
        <v>31883542.433864512</v>
      </c>
      <c r="S207">
        <f t="shared" si="963"/>
        <v>318.83542433864511</v>
      </c>
      <c r="T207">
        <f t="shared" si="964"/>
        <v>0.31883542433864509</v>
      </c>
    </row>
    <row r="208" spans="1:20" x14ac:dyDescent="0.25">
      <c r="A208" s="5">
        <v>44385</v>
      </c>
      <c r="B208">
        <v>6.6980000000000004</v>
      </c>
      <c r="C208">
        <v>6.7480000000000002</v>
      </c>
      <c r="D208">
        <v>6.0030000000000001</v>
      </c>
      <c r="E208">
        <v>6.1059999999999999</v>
      </c>
      <c r="F208">
        <v>1435817.257</v>
      </c>
      <c r="G208">
        <v>0</v>
      </c>
      <c r="L208" t="s">
        <v>7</v>
      </c>
      <c r="M208" t="s">
        <v>7</v>
      </c>
      <c r="N208" t="s">
        <v>8</v>
      </c>
      <c r="P208">
        <f t="shared" si="960"/>
        <v>-0.72348993288590668</v>
      </c>
      <c r="Q208">
        <f t="shared" si="961"/>
        <v>-1038799.3309033567</v>
      </c>
      <c r="R208">
        <f t="shared" si="962"/>
        <v>31174688.317743693</v>
      </c>
      <c r="S208">
        <f t="shared" si="963"/>
        <v>311.74688317743693</v>
      </c>
      <c r="T208">
        <f t="shared" si="964"/>
        <v>0.31174688317743693</v>
      </c>
    </row>
    <row r="209" spans="1:20" x14ac:dyDescent="0.25">
      <c r="A209" s="5">
        <v>44384</v>
      </c>
      <c r="B209">
        <v>6.383</v>
      </c>
      <c r="C209">
        <v>7.1630000000000003</v>
      </c>
      <c r="D209">
        <v>6.2489999999999997</v>
      </c>
      <c r="E209">
        <v>6.6980000000000004</v>
      </c>
      <c r="F209">
        <v>1602646.7649999999</v>
      </c>
      <c r="G209">
        <v>0</v>
      </c>
      <c r="L209" t="s">
        <v>8</v>
      </c>
      <c r="M209" t="s">
        <v>8</v>
      </c>
      <c r="N209" t="s">
        <v>8</v>
      </c>
      <c r="P209">
        <f t="shared" si="960"/>
        <v>-1.7505470459517631E-2</v>
      </c>
      <c r="Q209">
        <f t="shared" si="961"/>
        <v>-28055.085601748993</v>
      </c>
      <c r="R209">
        <f t="shared" si="962"/>
        <v>32213487.648647048</v>
      </c>
      <c r="S209">
        <f t="shared" si="963"/>
        <v>322.13487648647049</v>
      </c>
      <c r="T209">
        <f t="shared" si="964"/>
        <v>0.32213487648647049</v>
      </c>
    </row>
    <row r="210" spans="1:20" x14ac:dyDescent="0.25">
      <c r="A210" s="5">
        <v>44383</v>
      </c>
      <c r="B210">
        <v>5.9989999999999997</v>
      </c>
      <c r="C210">
        <v>6.76</v>
      </c>
      <c r="D210">
        <v>5.9870000000000001</v>
      </c>
      <c r="E210">
        <v>6.3879999999999999</v>
      </c>
      <c r="F210">
        <v>1472338.483</v>
      </c>
      <c r="G210">
        <v>0</v>
      </c>
      <c r="L210" t="s">
        <v>8</v>
      </c>
      <c r="M210" t="s">
        <v>8</v>
      </c>
      <c r="N210" t="s">
        <v>8</v>
      </c>
      <c r="P210">
        <f t="shared" si="960"/>
        <v>3.7516170763259929E-2</v>
      </c>
      <c r="Q210">
        <f t="shared" si="961"/>
        <v>55236.501949547077</v>
      </c>
      <c r="R210">
        <f t="shared" si="962"/>
        <v>32241542.734248798</v>
      </c>
      <c r="S210">
        <f t="shared" si="963"/>
        <v>322.41542734248799</v>
      </c>
      <c r="T210">
        <f t="shared" si="964"/>
        <v>0.32241542734248801</v>
      </c>
    </row>
    <row r="211" spans="1:20" x14ac:dyDescent="0.25">
      <c r="A211" s="5">
        <v>44382</v>
      </c>
      <c r="B211">
        <v>6.2380000000000004</v>
      </c>
      <c r="C211">
        <v>6.335</v>
      </c>
      <c r="D211">
        <v>5.7779999999999996</v>
      </c>
      <c r="E211">
        <v>5.9950000000000001</v>
      </c>
      <c r="F211">
        <v>1293340.75</v>
      </c>
      <c r="G211">
        <v>0</v>
      </c>
      <c r="L211" t="s">
        <v>7</v>
      </c>
      <c r="M211" t="s">
        <v>8</v>
      </c>
      <c r="N211" t="s">
        <v>8</v>
      </c>
      <c r="P211">
        <f t="shared" si="960"/>
        <v>-0.22082585278276345</v>
      </c>
      <c r="Q211">
        <f t="shared" si="961"/>
        <v>-285603.07405744889</v>
      </c>
      <c r="R211">
        <f t="shared" si="962"/>
        <v>32186306.23229925</v>
      </c>
      <c r="S211">
        <f t="shared" si="963"/>
        <v>321.8630623229925</v>
      </c>
      <c r="T211">
        <f t="shared" si="964"/>
        <v>0.3218630623229925</v>
      </c>
    </row>
    <row r="212" spans="1:20" x14ac:dyDescent="0.25">
      <c r="A212" s="5">
        <v>44381</v>
      </c>
      <c r="B212">
        <v>5.77</v>
      </c>
      <c r="C212">
        <v>6.48</v>
      </c>
      <c r="D212">
        <v>5.6509999999999998</v>
      </c>
      <c r="E212">
        <v>6.2380000000000004</v>
      </c>
      <c r="F212">
        <v>1417403.1510000001</v>
      </c>
      <c r="G212">
        <v>0</v>
      </c>
      <c r="L212" t="s">
        <v>8</v>
      </c>
      <c r="M212" t="s">
        <v>8</v>
      </c>
      <c r="N212" t="s">
        <v>8</v>
      </c>
      <c r="P212">
        <f t="shared" si="960"/>
        <v>0.41616405307599563</v>
      </c>
      <c r="Q212">
        <f t="shared" si="961"/>
        <v>589872.24016284745</v>
      </c>
      <c r="R212">
        <f t="shared" si="962"/>
        <v>32471909.306356698</v>
      </c>
      <c r="S212">
        <f t="shared" si="963"/>
        <v>324.71909306356696</v>
      </c>
      <c r="T212">
        <f t="shared" si="964"/>
        <v>0.32471909306356694</v>
      </c>
    </row>
    <row r="213" spans="1:20" x14ac:dyDescent="0.25">
      <c r="A213" s="5">
        <v>44380</v>
      </c>
      <c r="B213">
        <v>5.5659999999999998</v>
      </c>
      <c r="C213">
        <v>5.83</v>
      </c>
      <c r="D213">
        <v>5.4569999999999999</v>
      </c>
      <c r="E213">
        <v>5.7720000000000002</v>
      </c>
      <c r="F213">
        <v>685830.85400000005</v>
      </c>
      <c r="G213">
        <v>0</v>
      </c>
      <c r="L213" t="s">
        <v>8</v>
      </c>
      <c r="M213" t="s">
        <v>7</v>
      </c>
      <c r="N213" t="s">
        <v>8</v>
      </c>
      <c r="P213">
        <f t="shared" si="960"/>
        <v>0.68900804289544348</v>
      </c>
      <c r="Q213">
        <f t="shared" si="961"/>
        <v>472542.97447185067</v>
      </c>
      <c r="R213">
        <f t="shared" si="962"/>
        <v>31882037.066193853</v>
      </c>
      <c r="S213">
        <f t="shared" si="963"/>
        <v>318.82037066193851</v>
      </c>
      <c r="T213">
        <f t="shared" si="964"/>
        <v>0.31882037066193852</v>
      </c>
    </row>
    <row r="214" spans="1:20" x14ac:dyDescent="0.25">
      <c r="A214" s="5">
        <v>44379</v>
      </c>
      <c r="B214">
        <v>5.5069999999999997</v>
      </c>
      <c r="C214">
        <v>5.6059999999999999</v>
      </c>
      <c r="D214">
        <v>5.2240000000000002</v>
      </c>
      <c r="E214">
        <v>5.5650000000000004</v>
      </c>
      <c r="F214">
        <v>644655.69700000004</v>
      </c>
      <c r="G214">
        <v>0</v>
      </c>
      <c r="L214" t="s">
        <v>7</v>
      </c>
      <c r="M214" t="s">
        <v>7</v>
      </c>
      <c r="N214" t="s">
        <v>8</v>
      </c>
      <c r="P214">
        <f t="shared" si="960"/>
        <v>0.78534031413612815</v>
      </c>
      <c r="Q214">
        <f t="shared" si="961"/>
        <v>506274.10759162466</v>
      </c>
      <c r="R214">
        <f t="shared" si="962"/>
        <v>31409494.091722</v>
      </c>
      <c r="S214">
        <f t="shared" si="963"/>
        <v>314.09494091722001</v>
      </c>
      <c r="T214">
        <f t="shared" si="964"/>
        <v>0.31409494091722001</v>
      </c>
    </row>
    <row r="215" spans="1:20" x14ac:dyDescent="0.25">
      <c r="A215" s="5">
        <v>44378</v>
      </c>
      <c r="B215">
        <v>5.9619999999999997</v>
      </c>
      <c r="C215">
        <v>5.9630000000000001</v>
      </c>
      <c r="D215">
        <v>5.34</v>
      </c>
      <c r="E215">
        <v>5.5110000000000001</v>
      </c>
      <c r="F215">
        <v>1210925.2339999999</v>
      </c>
      <c r="G215">
        <v>0</v>
      </c>
      <c r="L215" t="s">
        <v>7</v>
      </c>
      <c r="M215" t="s">
        <v>8</v>
      </c>
      <c r="N215" t="s">
        <v>8</v>
      </c>
      <c r="P215">
        <f t="shared" si="960"/>
        <v>-0.45104333868378749</v>
      </c>
      <c r="Q215">
        <f t="shared" si="961"/>
        <v>-546179.76043980662</v>
      </c>
      <c r="R215">
        <f t="shared" si="962"/>
        <v>30903219.984130375</v>
      </c>
      <c r="S215">
        <f t="shared" si="963"/>
        <v>309.03219984130374</v>
      </c>
      <c r="T215">
        <f t="shared" si="964"/>
        <v>0.30903219984130376</v>
      </c>
    </row>
    <row r="216" spans="1:20" x14ac:dyDescent="0.25">
      <c r="A216" s="5">
        <v>44377</v>
      </c>
      <c r="B216">
        <v>6.056</v>
      </c>
      <c r="C216">
        <v>6.1150000000000002</v>
      </c>
      <c r="D216">
        <v>5.5369999999999999</v>
      </c>
      <c r="E216">
        <v>5.9569999999999999</v>
      </c>
      <c r="F216">
        <v>1535252.003</v>
      </c>
      <c r="G216">
        <v>0</v>
      </c>
      <c r="L216" t="s">
        <v>7</v>
      </c>
      <c r="M216" t="s">
        <v>8</v>
      </c>
      <c r="N216" t="s">
        <v>8</v>
      </c>
      <c r="P216">
        <f t="shared" si="960"/>
        <v>0.45328719723183292</v>
      </c>
      <c r="Q216">
        <f t="shared" si="961"/>
        <v>695910.0774844276</v>
      </c>
      <c r="R216">
        <f t="shared" si="962"/>
        <v>31449399.744570181</v>
      </c>
      <c r="S216">
        <f t="shared" si="963"/>
        <v>314.49399744570178</v>
      </c>
      <c r="T216">
        <f t="shared" si="964"/>
        <v>0.31449399744570178</v>
      </c>
    </row>
    <row r="217" spans="1:20" x14ac:dyDescent="0.25">
      <c r="A217" s="5">
        <v>44376</v>
      </c>
      <c r="B217">
        <v>5.2629999999999999</v>
      </c>
      <c r="C217">
        <v>6.0830000000000002</v>
      </c>
      <c r="D217">
        <v>5.24</v>
      </c>
      <c r="E217">
        <v>6.056</v>
      </c>
      <c r="F217">
        <v>1957575.612</v>
      </c>
      <c r="G217">
        <v>0</v>
      </c>
      <c r="L217" t="s">
        <v>8</v>
      </c>
      <c r="M217" t="s">
        <v>8</v>
      </c>
      <c r="N217" t="s">
        <v>8</v>
      </c>
      <c r="P217">
        <f t="shared" si="960"/>
        <v>0.93594306049822029</v>
      </c>
      <c r="Q217">
        <f t="shared" si="961"/>
        <v>1832179.3094519565</v>
      </c>
      <c r="R217">
        <f t="shared" si="962"/>
        <v>30753489.667085752</v>
      </c>
      <c r="S217">
        <f t="shared" si="963"/>
        <v>307.53489667085751</v>
      </c>
      <c r="T217">
        <f t="shared" si="964"/>
        <v>0.30753489667085748</v>
      </c>
    </row>
    <row r="218" spans="1:20" x14ac:dyDescent="0.25">
      <c r="A218" s="5">
        <v>44375</v>
      </c>
      <c r="B218">
        <v>5.17</v>
      </c>
      <c r="C218">
        <v>5.54</v>
      </c>
      <c r="D218">
        <v>5.0190000000000001</v>
      </c>
      <c r="E218">
        <v>5.2619999999999996</v>
      </c>
      <c r="F218">
        <v>1445751.9809999999</v>
      </c>
      <c r="G218">
        <v>0</v>
      </c>
      <c r="L218" t="s">
        <v>8</v>
      </c>
      <c r="M218" t="s">
        <v>8</v>
      </c>
      <c r="N218" t="s">
        <v>8</v>
      </c>
      <c r="P218">
        <f t="shared" si="960"/>
        <v>-6.7178502879080684E-2</v>
      </c>
      <c r="Q218">
        <f t="shared" si="961"/>
        <v>-97123.453618045096</v>
      </c>
      <c r="R218">
        <f t="shared" si="962"/>
        <v>28921310.357633796</v>
      </c>
      <c r="S218">
        <f t="shared" si="963"/>
        <v>289.21310357633797</v>
      </c>
      <c r="T218">
        <f t="shared" si="964"/>
        <v>0.28921310357633795</v>
      </c>
    </row>
    <row r="219" spans="1:20" x14ac:dyDescent="0.25">
      <c r="A219" s="5">
        <v>44374</v>
      </c>
      <c r="B219">
        <v>4.8899999999999997</v>
      </c>
      <c r="C219">
        <v>5.22</v>
      </c>
      <c r="D219">
        <v>4.673</v>
      </c>
      <c r="E219">
        <v>5.1680000000000001</v>
      </c>
      <c r="F219">
        <v>1070599.227</v>
      </c>
      <c r="G219">
        <v>0</v>
      </c>
      <c r="L219" t="s">
        <v>8</v>
      </c>
      <c r="M219" t="s">
        <v>7</v>
      </c>
      <c r="N219" t="s">
        <v>8</v>
      </c>
      <c r="P219">
        <f t="shared" si="960"/>
        <v>0.80987202925045843</v>
      </c>
      <c r="Q219">
        <f t="shared" si="961"/>
        <v>867048.36848446215</v>
      </c>
      <c r="R219">
        <f t="shared" si="962"/>
        <v>29018433.811251841</v>
      </c>
      <c r="S219">
        <f t="shared" si="963"/>
        <v>290.18433811251839</v>
      </c>
      <c r="T219">
        <f t="shared" si="964"/>
        <v>0.29018433811251837</v>
      </c>
    </row>
    <row r="220" spans="1:20" x14ac:dyDescent="0.25">
      <c r="A220" s="5">
        <v>44373</v>
      </c>
      <c r="B220">
        <v>5.0609999999999999</v>
      </c>
      <c r="C220">
        <v>5.2240000000000002</v>
      </c>
      <c r="D220">
        <v>4.5599999999999996</v>
      </c>
      <c r="E220">
        <v>4.8949999999999996</v>
      </c>
      <c r="F220">
        <v>2280179.6310000001</v>
      </c>
      <c r="G220">
        <v>0</v>
      </c>
      <c r="L220" t="s">
        <v>7</v>
      </c>
      <c r="M220" t="s">
        <v>7</v>
      </c>
      <c r="N220" t="s">
        <v>8</v>
      </c>
      <c r="P220">
        <f t="shared" si="960"/>
        <v>9.0361445783122499E-3</v>
      </c>
      <c r="Q220">
        <f t="shared" si="961"/>
        <v>20604.032810238677</v>
      </c>
      <c r="R220">
        <f t="shared" si="962"/>
        <v>28151385.442767378</v>
      </c>
      <c r="S220">
        <f t="shared" si="963"/>
        <v>281.51385442767378</v>
      </c>
      <c r="T220">
        <f t="shared" si="964"/>
        <v>0.28151385442767379</v>
      </c>
    </row>
    <row r="221" spans="1:20" x14ac:dyDescent="0.25">
      <c r="A221" s="5">
        <v>44372</v>
      </c>
      <c r="B221">
        <v>5.6440000000000001</v>
      </c>
      <c r="C221">
        <v>5.774</v>
      </c>
      <c r="D221">
        <v>5.0279999999999996</v>
      </c>
      <c r="E221">
        <v>5.0620000000000003</v>
      </c>
      <c r="F221">
        <v>1650428.5379999999</v>
      </c>
      <c r="G221">
        <v>0</v>
      </c>
      <c r="L221" t="s">
        <v>8</v>
      </c>
      <c r="M221" t="s">
        <v>8</v>
      </c>
      <c r="N221" t="s">
        <v>8</v>
      </c>
      <c r="P221">
        <f t="shared" si="960"/>
        <v>-0.90884718498659334</v>
      </c>
      <c r="Q221">
        <f t="shared" si="961"/>
        <v>-1499987.3307828386</v>
      </c>
      <c r="R221">
        <f t="shared" si="962"/>
        <v>28130781.409957141</v>
      </c>
      <c r="S221">
        <f t="shared" si="963"/>
        <v>281.30781409957143</v>
      </c>
      <c r="T221">
        <f t="shared" si="964"/>
        <v>0.28130781409957145</v>
      </c>
    </row>
    <row r="222" spans="1:20" x14ac:dyDescent="0.25">
      <c r="A222" s="5">
        <v>44371</v>
      </c>
      <c r="B222">
        <v>5.4560000000000004</v>
      </c>
      <c r="C222">
        <v>5.7110000000000003</v>
      </c>
      <c r="D222">
        <v>5.0759999999999996</v>
      </c>
      <c r="E222">
        <v>5.6440000000000001</v>
      </c>
      <c r="F222">
        <v>1363897.054</v>
      </c>
      <c r="G222">
        <v>0</v>
      </c>
      <c r="L222" t="s">
        <v>8</v>
      </c>
      <c r="M222" t="s">
        <v>8</v>
      </c>
      <c r="N222" t="s">
        <v>8</v>
      </c>
      <c r="P222">
        <f t="shared" si="960"/>
        <v>0.78897637795275555</v>
      </c>
      <c r="Q222">
        <f t="shared" si="961"/>
        <v>1076082.5575653538</v>
      </c>
      <c r="R222">
        <f t="shared" si="962"/>
        <v>29630768.740739979</v>
      </c>
      <c r="S222">
        <f t="shared" si="963"/>
        <v>296.30768740739978</v>
      </c>
      <c r="T222">
        <f t="shared" si="964"/>
        <v>0.29630768740739977</v>
      </c>
    </row>
    <row r="223" spans="1:20" x14ac:dyDescent="0.25">
      <c r="A223" s="5">
        <v>44370</v>
      </c>
      <c r="B223">
        <v>4.7430000000000003</v>
      </c>
      <c r="C223">
        <v>5.4690000000000003</v>
      </c>
      <c r="D223">
        <v>4.53</v>
      </c>
      <c r="E223">
        <v>5.4530000000000003</v>
      </c>
      <c r="F223">
        <v>2002300.629</v>
      </c>
      <c r="G223">
        <v>0</v>
      </c>
      <c r="L223" t="s">
        <v>8</v>
      </c>
      <c r="M223" t="s">
        <v>8</v>
      </c>
      <c r="N223" t="s">
        <v>7</v>
      </c>
      <c r="P223">
        <f t="shared" si="960"/>
        <v>0.96592119275825339</v>
      </c>
      <c r="Q223">
        <f t="shared" si="961"/>
        <v>1934064.611824281</v>
      </c>
      <c r="R223">
        <f t="shared" si="962"/>
        <v>28554686.183174625</v>
      </c>
      <c r="S223">
        <f t="shared" si="963"/>
        <v>285.54686183174624</v>
      </c>
      <c r="T223">
        <f t="shared" si="964"/>
        <v>0.28554686183174627</v>
      </c>
    </row>
    <row r="224" spans="1:20" x14ac:dyDescent="0.25">
      <c r="A224" s="5">
        <v>44369</v>
      </c>
      <c r="B224">
        <v>4.8620000000000001</v>
      </c>
      <c r="C224">
        <v>5.2489999999999997</v>
      </c>
      <c r="D224">
        <v>4.0640000000000001</v>
      </c>
      <c r="E224">
        <v>4.7389999999999999</v>
      </c>
      <c r="F224">
        <v>2553162.41</v>
      </c>
      <c r="G224">
        <v>0</v>
      </c>
      <c r="L224" t="s">
        <v>7</v>
      </c>
      <c r="M224" t="s">
        <v>7</v>
      </c>
      <c r="N224" t="s">
        <v>7</v>
      </c>
      <c r="P224">
        <f t="shared" si="960"/>
        <v>0.139240506329114</v>
      </c>
      <c r="Q224">
        <f t="shared" si="961"/>
        <v>355503.62670886097</v>
      </c>
      <c r="R224">
        <f t="shared" si="962"/>
        <v>26620621.571350344</v>
      </c>
      <c r="S224">
        <f t="shared" si="963"/>
        <v>266.20621571350341</v>
      </c>
      <c r="T224">
        <f t="shared" si="964"/>
        <v>0.26620621571350339</v>
      </c>
    </row>
    <row r="225" spans="1:20" x14ac:dyDescent="0.25">
      <c r="A225" s="5">
        <v>44368</v>
      </c>
      <c r="B225">
        <v>6.1769999999999996</v>
      </c>
      <c r="C225">
        <v>6.242</v>
      </c>
      <c r="D225">
        <v>4.8499999999999996</v>
      </c>
      <c r="E225">
        <v>4.8609999999999998</v>
      </c>
      <c r="F225">
        <v>1631624.155</v>
      </c>
      <c r="G225">
        <v>0</v>
      </c>
      <c r="L225" t="s">
        <v>7</v>
      </c>
      <c r="M225" t="s">
        <v>7</v>
      </c>
      <c r="N225" t="s">
        <v>7</v>
      </c>
      <c r="P225">
        <f t="shared" si="960"/>
        <v>-0.98419540229885039</v>
      </c>
      <c r="Q225">
        <f t="shared" si="961"/>
        <v>-1605836.9916307468</v>
      </c>
      <c r="R225">
        <f t="shared" si="962"/>
        <v>26265117.944641482</v>
      </c>
      <c r="S225">
        <f t="shared" si="963"/>
        <v>262.6511794464148</v>
      </c>
      <c r="T225">
        <f t="shared" si="964"/>
        <v>0.26265117944641481</v>
      </c>
    </row>
    <row r="226" spans="1:20" x14ac:dyDescent="0.25">
      <c r="A226" s="5">
        <v>44367</v>
      </c>
      <c r="B226">
        <v>6.0659999999999998</v>
      </c>
      <c r="C226">
        <v>6.3179999999999996</v>
      </c>
      <c r="D226">
        <v>5.7190000000000003</v>
      </c>
      <c r="E226">
        <v>6.1769999999999996</v>
      </c>
      <c r="F226">
        <v>987093.33</v>
      </c>
      <c r="G226">
        <v>0</v>
      </c>
      <c r="L226" t="s">
        <v>7</v>
      </c>
      <c r="M226" t="s">
        <v>7</v>
      </c>
      <c r="N226" t="s">
        <v>7</v>
      </c>
      <c r="P226">
        <f t="shared" si="960"/>
        <v>0.52921535893155203</v>
      </c>
      <c r="Q226">
        <f t="shared" si="961"/>
        <v>522384.95093489089</v>
      </c>
      <c r="R226">
        <f t="shared" si="962"/>
        <v>27870954.93627223</v>
      </c>
      <c r="S226">
        <f t="shared" si="963"/>
        <v>278.70954936272233</v>
      </c>
      <c r="T226">
        <f t="shared" si="964"/>
        <v>0.27870954936272235</v>
      </c>
    </row>
    <row r="227" spans="1:20" x14ac:dyDescent="0.25">
      <c r="A227" s="5">
        <v>44366</v>
      </c>
      <c r="B227">
        <v>6.3730000000000002</v>
      </c>
      <c r="C227">
        <v>6.5</v>
      </c>
      <c r="D227">
        <v>6.0629999999999997</v>
      </c>
      <c r="E227">
        <v>6.0709999999999997</v>
      </c>
      <c r="F227">
        <v>839103.28599999996</v>
      </c>
      <c r="G227">
        <v>0</v>
      </c>
      <c r="L227" t="s">
        <v>7</v>
      </c>
      <c r="M227" t="s">
        <v>7</v>
      </c>
      <c r="N227" t="s">
        <v>7</v>
      </c>
      <c r="P227">
        <f t="shared" si="960"/>
        <v>-0.96338672768878719</v>
      </c>
      <c r="Q227">
        <f t="shared" si="961"/>
        <v>-808380.96889244847</v>
      </c>
      <c r="R227">
        <f t="shared" si="962"/>
        <v>27348569.985337339</v>
      </c>
      <c r="S227">
        <f t="shared" si="963"/>
        <v>273.48569985337338</v>
      </c>
      <c r="T227">
        <f t="shared" si="964"/>
        <v>0.2734856998533734</v>
      </c>
    </row>
    <row r="228" spans="1:20" x14ac:dyDescent="0.25">
      <c r="A228" s="5">
        <v>44365</v>
      </c>
      <c r="B228">
        <v>6.9740000000000002</v>
      </c>
      <c r="C228">
        <v>7.032</v>
      </c>
      <c r="D228">
        <v>6.13</v>
      </c>
      <c r="E228">
        <v>6.375</v>
      </c>
      <c r="F228">
        <v>1194763.365</v>
      </c>
      <c r="G228">
        <v>0</v>
      </c>
      <c r="L228" t="s">
        <v>7</v>
      </c>
      <c r="M228" t="s">
        <v>7</v>
      </c>
      <c r="N228" t="s">
        <v>7</v>
      </c>
      <c r="P228">
        <f t="shared" si="960"/>
        <v>-0.45676274944567613</v>
      </c>
      <c r="Q228">
        <f t="shared" si="961"/>
        <v>-545723.39953436784</v>
      </c>
      <c r="R228">
        <f t="shared" si="962"/>
        <v>28156950.954229787</v>
      </c>
      <c r="S228">
        <f t="shared" si="963"/>
        <v>281.56950954229785</v>
      </c>
      <c r="T228">
        <f t="shared" si="964"/>
        <v>0.28156950954229787</v>
      </c>
    </row>
    <row r="229" spans="1:20" x14ac:dyDescent="0.25">
      <c r="A229" s="5">
        <v>44364</v>
      </c>
      <c r="B229">
        <v>6.8650000000000002</v>
      </c>
      <c r="C229">
        <v>7.2469999999999999</v>
      </c>
      <c r="D229">
        <v>6.657</v>
      </c>
      <c r="E229">
        <v>6.9779999999999998</v>
      </c>
      <c r="F229">
        <v>896322.48100000003</v>
      </c>
      <c r="G229">
        <v>0</v>
      </c>
      <c r="L229" t="s">
        <v>7</v>
      </c>
      <c r="M229" t="s">
        <v>7</v>
      </c>
      <c r="N229" t="s">
        <v>7</v>
      </c>
      <c r="P229">
        <f t="shared" si="960"/>
        <v>8.8135593220338329E-2</v>
      </c>
      <c r="Q229">
        <f t="shared" si="961"/>
        <v>78997.913579660439</v>
      </c>
      <c r="R229">
        <f t="shared" si="962"/>
        <v>28702674.353764154</v>
      </c>
      <c r="S229">
        <f t="shared" si="963"/>
        <v>287.02674353764155</v>
      </c>
      <c r="T229">
        <f t="shared" si="964"/>
        <v>0.28702674353764157</v>
      </c>
    </row>
    <row r="230" spans="1:20" x14ac:dyDescent="0.25">
      <c r="A230" s="5">
        <v>44363</v>
      </c>
      <c r="B230">
        <v>7.29</v>
      </c>
      <c r="C230">
        <v>7.4349999999999996</v>
      </c>
      <c r="D230">
        <v>6.7649999999999997</v>
      </c>
      <c r="E230">
        <v>6.859</v>
      </c>
      <c r="F230">
        <v>1291117.5360000001</v>
      </c>
      <c r="G230">
        <v>0</v>
      </c>
      <c r="L230" t="s">
        <v>7</v>
      </c>
      <c r="M230" t="s">
        <v>8</v>
      </c>
      <c r="N230" t="s">
        <v>7</v>
      </c>
      <c r="P230">
        <f t="shared" si="960"/>
        <v>-0.71940298507462597</v>
      </c>
      <c r="Q230">
        <f t="shared" si="961"/>
        <v>-928833.80948059587</v>
      </c>
      <c r="R230">
        <f t="shared" si="962"/>
        <v>28623676.440184493</v>
      </c>
      <c r="S230">
        <f t="shared" si="963"/>
        <v>286.23676440184494</v>
      </c>
      <c r="T230">
        <f t="shared" si="964"/>
        <v>0.28623676440184492</v>
      </c>
    </row>
    <row r="231" spans="1:20" x14ac:dyDescent="0.25">
      <c r="A231" s="5">
        <v>44362</v>
      </c>
      <c r="B231">
        <v>7.2960000000000003</v>
      </c>
      <c r="C231">
        <v>7.9889999999999999</v>
      </c>
      <c r="D231">
        <v>7.2309999999999999</v>
      </c>
      <c r="E231">
        <v>7.29</v>
      </c>
      <c r="F231">
        <v>1822057.169</v>
      </c>
      <c r="G231">
        <v>0</v>
      </c>
      <c r="L231" t="s">
        <v>8</v>
      </c>
      <c r="M231" t="s">
        <v>8</v>
      </c>
      <c r="N231" t="s">
        <v>7</v>
      </c>
      <c r="P231">
        <f t="shared" si="960"/>
        <v>-0.84432717678100222</v>
      </c>
      <c r="Q231">
        <f t="shared" si="961"/>
        <v>-1538412.3854353554</v>
      </c>
      <c r="R231">
        <f t="shared" si="962"/>
        <v>29552510.249665089</v>
      </c>
      <c r="S231">
        <f t="shared" si="963"/>
        <v>295.5251024966509</v>
      </c>
      <c r="T231">
        <f t="shared" si="964"/>
        <v>0.29552510249665093</v>
      </c>
    </row>
    <row r="232" spans="1:20" x14ac:dyDescent="0.25">
      <c r="A232" s="5">
        <v>44361</v>
      </c>
      <c r="B232">
        <v>6.9610000000000003</v>
      </c>
      <c r="C232">
        <v>7.3029999999999999</v>
      </c>
      <c r="D232">
        <v>6.7130000000000001</v>
      </c>
      <c r="E232">
        <v>7.2930000000000001</v>
      </c>
      <c r="F232">
        <v>1256039.7050000001</v>
      </c>
      <c r="G232">
        <v>0</v>
      </c>
      <c r="L232" t="s">
        <v>8</v>
      </c>
      <c r="M232" t="s">
        <v>8</v>
      </c>
      <c r="N232" t="s">
        <v>7</v>
      </c>
      <c r="P232">
        <f t="shared" si="960"/>
        <v>0.96610169491525499</v>
      </c>
      <c r="Q232">
        <f t="shared" si="961"/>
        <v>1213462.0878813569</v>
      </c>
      <c r="R232">
        <f t="shared" si="962"/>
        <v>31090922.635100443</v>
      </c>
      <c r="S232">
        <f t="shared" si="963"/>
        <v>310.90922635100441</v>
      </c>
      <c r="T232">
        <f t="shared" si="964"/>
        <v>0.31090922635100443</v>
      </c>
    </row>
    <row r="233" spans="1:20" x14ac:dyDescent="0.25">
      <c r="A233" s="5">
        <v>44360</v>
      </c>
      <c r="B233">
        <v>6.5220000000000002</v>
      </c>
      <c r="C233">
        <v>6.992</v>
      </c>
      <c r="D233">
        <v>6.1660000000000004</v>
      </c>
      <c r="E233">
        <v>6.9550000000000001</v>
      </c>
      <c r="F233">
        <v>1158083.3529999999</v>
      </c>
      <c r="G233">
        <v>0</v>
      </c>
      <c r="L233" t="s">
        <v>8</v>
      </c>
      <c r="M233" t="s">
        <v>7</v>
      </c>
      <c r="N233" t="s">
        <v>7</v>
      </c>
      <c r="P233">
        <f t="shared" si="960"/>
        <v>0.91041162227602923</v>
      </c>
      <c r="Q233">
        <f t="shared" si="961"/>
        <v>1054332.5441355933</v>
      </c>
      <c r="R233">
        <f t="shared" si="962"/>
        <v>29877460.547219086</v>
      </c>
      <c r="S233">
        <f t="shared" si="963"/>
        <v>298.77460547219084</v>
      </c>
      <c r="T233">
        <f t="shared" si="964"/>
        <v>0.29877460547219087</v>
      </c>
    </row>
    <row r="234" spans="1:20" x14ac:dyDescent="0.25">
      <c r="A234" s="5">
        <v>44359</v>
      </c>
      <c r="B234">
        <v>6.5590000000000002</v>
      </c>
      <c r="C234">
        <v>6.7889999999999997</v>
      </c>
      <c r="D234">
        <v>6.0750000000000002</v>
      </c>
      <c r="E234">
        <v>6.5170000000000003</v>
      </c>
      <c r="F234">
        <v>1375396.949</v>
      </c>
      <c r="G234">
        <v>0</v>
      </c>
      <c r="L234" t="s">
        <v>7</v>
      </c>
      <c r="M234" t="s">
        <v>7</v>
      </c>
      <c r="N234" t="s">
        <v>7</v>
      </c>
      <c r="P234">
        <f t="shared" si="960"/>
        <v>0.23809523809523939</v>
      </c>
      <c r="Q234">
        <f t="shared" si="961"/>
        <v>327475.46404762083</v>
      </c>
      <c r="R234">
        <f t="shared" si="962"/>
        <v>28823128.003083494</v>
      </c>
      <c r="S234">
        <f t="shared" si="963"/>
        <v>288.23128003083491</v>
      </c>
      <c r="T234">
        <f t="shared" si="964"/>
        <v>0.28823128003083492</v>
      </c>
    </row>
    <row r="235" spans="1:20" x14ac:dyDescent="0.25">
      <c r="A235" s="5">
        <v>44358</v>
      </c>
      <c r="B235">
        <v>7.11</v>
      </c>
      <c r="C235">
        <v>7.266</v>
      </c>
      <c r="D235">
        <v>6.4210000000000003</v>
      </c>
      <c r="E235">
        <v>6.5629999999999997</v>
      </c>
      <c r="F235">
        <v>1107113.2069999999</v>
      </c>
      <c r="G235">
        <v>0</v>
      </c>
      <c r="L235" t="s">
        <v>7</v>
      </c>
      <c r="M235" t="s">
        <v>7</v>
      </c>
      <c r="N235" t="s">
        <v>7</v>
      </c>
      <c r="P235">
        <f t="shared" si="960"/>
        <v>-0.66390532544378811</v>
      </c>
      <c r="Q235">
        <f t="shared" si="961"/>
        <v>-735018.3539964509</v>
      </c>
      <c r="R235">
        <f t="shared" si="962"/>
        <v>28495652.539035872</v>
      </c>
      <c r="S235">
        <f t="shared" si="963"/>
        <v>284.95652539035871</v>
      </c>
      <c r="T235">
        <f t="shared" si="964"/>
        <v>0.28495652539035871</v>
      </c>
    </row>
    <row r="236" spans="1:20" x14ac:dyDescent="0.25">
      <c r="A236" s="5">
        <v>44357</v>
      </c>
      <c r="B236">
        <v>7.7560000000000002</v>
      </c>
      <c r="C236">
        <v>7.8019999999999996</v>
      </c>
      <c r="D236">
        <v>7.0250000000000004</v>
      </c>
      <c r="E236">
        <v>7.1150000000000002</v>
      </c>
      <c r="F236">
        <v>967242.72699999996</v>
      </c>
      <c r="G236">
        <v>0</v>
      </c>
      <c r="L236" t="s">
        <v>7</v>
      </c>
      <c r="M236" t="s">
        <v>8</v>
      </c>
      <c r="N236" t="s">
        <v>7</v>
      </c>
      <c r="P236">
        <f t="shared" si="960"/>
        <v>-0.76833976833976847</v>
      </c>
      <c r="Q236">
        <f t="shared" si="961"/>
        <v>-743171.05279150594</v>
      </c>
      <c r="R236">
        <f t="shared" si="962"/>
        <v>29230670.893032324</v>
      </c>
      <c r="S236">
        <f t="shared" si="963"/>
        <v>292.30670893032323</v>
      </c>
      <c r="T236">
        <f t="shared" si="964"/>
        <v>0.29230670893032323</v>
      </c>
    </row>
    <row r="237" spans="1:20" x14ac:dyDescent="0.25">
      <c r="A237" s="5">
        <v>44356</v>
      </c>
      <c r="B237">
        <v>7.0730000000000004</v>
      </c>
      <c r="C237">
        <v>7.8890000000000002</v>
      </c>
      <c r="D237">
        <v>6.77</v>
      </c>
      <c r="E237">
        <v>7.7539999999999996</v>
      </c>
      <c r="F237">
        <v>1702287.5209999999</v>
      </c>
      <c r="G237">
        <v>0</v>
      </c>
      <c r="L237" t="s">
        <v>8</v>
      </c>
      <c r="M237" t="s">
        <v>8</v>
      </c>
      <c r="N237" t="s">
        <v>7</v>
      </c>
      <c r="P237">
        <f t="shared" si="960"/>
        <v>0.75871313672922147</v>
      </c>
      <c r="Q237">
        <f t="shared" si="961"/>
        <v>1291547.9046729205</v>
      </c>
      <c r="R237">
        <f t="shared" si="962"/>
        <v>29973841.94582383</v>
      </c>
      <c r="S237">
        <f t="shared" si="963"/>
        <v>299.7384194582383</v>
      </c>
      <c r="T237">
        <f t="shared" si="964"/>
        <v>0.29973841945823831</v>
      </c>
    </row>
    <row r="238" spans="1:20" x14ac:dyDescent="0.25">
      <c r="A238" s="5">
        <v>44355</v>
      </c>
      <c r="B238">
        <v>7.2679999999999998</v>
      </c>
      <c r="C238">
        <v>7.4249999999999998</v>
      </c>
      <c r="D238">
        <v>6.407</v>
      </c>
      <c r="E238">
        <v>7.0650000000000004</v>
      </c>
      <c r="F238">
        <v>1820561.7890000001</v>
      </c>
      <c r="G238">
        <v>0</v>
      </c>
      <c r="L238" t="s">
        <v>7</v>
      </c>
      <c r="M238" t="s">
        <v>7</v>
      </c>
      <c r="N238" t="s">
        <v>7</v>
      </c>
      <c r="P238">
        <f t="shared" si="960"/>
        <v>0.29273084479371414</v>
      </c>
      <c r="Q238">
        <f t="shared" si="961"/>
        <v>532934.59049312561</v>
      </c>
      <c r="R238">
        <f t="shared" si="962"/>
        <v>28682294.041150909</v>
      </c>
      <c r="S238">
        <f t="shared" si="963"/>
        <v>286.82294041150908</v>
      </c>
      <c r="T238">
        <f t="shared" si="964"/>
        <v>0.28682294041150908</v>
      </c>
    </row>
    <row r="239" spans="1:20" x14ac:dyDescent="0.25">
      <c r="A239" s="5">
        <v>44354</v>
      </c>
      <c r="B239">
        <v>8.0860000000000003</v>
      </c>
      <c r="C239">
        <v>8.3840000000000003</v>
      </c>
      <c r="D239">
        <v>7.1820000000000004</v>
      </c>
      <c r="E239">
        <v>7.2729999999999997</v>
      </c>
      <c r="F239">
        <v>1193982.3119999999</v>
      </c>
      <c r="G239">
        <v>0</v>
      </c>
      <c r="L239" t="s">
        <v>7</v>
      </c>
      <c r="M239" t="s">
        <v>7</v>
      </c>
      <c r="N239" t="s">
        <v>7</v>
      </c>
      <c r="P239">
        <f t="shared" si="960"/>
        <v>-0.84858569051580812</v>
      </c>
      <c r="Q239">
        <f t="shared" si="961"/>
        <v>-1013196.3046921809</v>
      </c>
      <c r="R239">
        <f t="shared" si="962"/>
        <v>28149359.450657785</v>
      </c>
      <c r="S239">
        <f t="shared" si="963"/>
        <v>281.49359450657784</v>
      </c>
      <c r="T239">
        <f t="shared" si="964"/>
        <v>0.28149359450657785</v>
      </c>
    </row>
    <row r="240" spans="1:20" x14ac:dyDescent="0.25">
      <c r="A240" s="5">
        <v>44353</v>
      </c>
      <c r="B240">
        <v>7.9320000000000004</v>
      </c>
      <c r="C240">
        <v>8.1340000000000003</v>
      </c>
      <c r="D240">
        <v>7.81</v>
      </c>
      <c r="E240">
        <v>8.0920000000000005</v>
      </c>
      <c r="F240">
        <v>662368.83200000005</v>
      </c>
      <c r="G240">
        <v>0</v>
      </c>
      <c r="L240" t="s">
        <v>7</v>
      </c>
      <c r="M240" t="s">
        <v>7</v>
      </c>
      <c r="N240" t="s">
        <v>8</v>
      </c>
      <c r="P240">
        <f t="shared" si="960"/>
        <v>0.74074074074074248</v>
      </c>
      <c r="Q240">
        <f t="shared" si="961"/>
        <v>490643.57925926044</v>
      </c>
      <c r="R240">
        <f t="shared" si="962"/>
        <v>29162555.755349968</v>
      </c>
      <c r="S240">
        <f t="shared" si="963"/>
        <v>291.62555755349968</v>
      </c>
      <c r="T240">
        <f t="shared" si="964"/>
        <v>0.29162555755349967</v>
      </c>
    </row>
    <row r="241" spans="1:20" x14ac:dyDescent="0.25">
      <c r="A241" s="5">
        <v>44352</v>
      </c>
      <c r="B241">
        <v>8.2050000000000001</v>
      </c>
      <c r="C241">
        <v>8.6999999999999993</v>
      </c>
      <c r="D241">
        <v>7.6479999999999997</v>
      </c>
      <c r="E241">
        <v>7.9379999999999997</v>
      </c>
      <c r="F241">
        <v>1353571.8540000001</v>
      </c>
      <c r="G241">
        <v>0</v>
      </c>
      <c r="L241" t="s">
        <v>7</v>
      </c>
      <c r="M241" t="s">
        <v>7</v>
      </c>
      <c r="N241" t="s">
        <v>8</v>
      </c>
      <c r="P241">
        <f t="shared" si="960"/>
        <v>-0.44866920152091228</v>
      </c>
      <c r="Q241">
        <f t="shared" si="961"/>
        <v>-607306.00293536088</v>
      </c>
      <c r="R241">
        <f t="shared" si="962"/>
        <v>28671912.176090706</v>
      </c>
      <c r="S241">
        <f t="shared" si="963"/>
        <v>286.71912176090706</v>
      </c>
      <c r="T241">
        <f t="shared" si="964"/>
        <v>0.28671912176090708</v>
      </c>
    </row>
    <row r="242" spans="1:20" x14ac:dyDescent="0.25">
      <c r="A242" s="5">
        <v>44351</v>
      </c>
      <c r="B242">
        <v>9.1430000000000007</v>
      </c>
      <c r="C242">
        <v>9.1430000000000007</v>
      </c>
      <c r="D242">
        <v>7.9550000000000001</v>
      </c>
      <c r="E242">
        <v>8.2140000000000004</v>
      </c>
      <c r="F242">
        <v>1247499.6529999999</v>
      </c>
      <c r="G242">
        <v>0</v>
      </c>
      <c r="L242" t="s">
        <v>7</v>
      </c>
      <c r="M242" t="s">
        <v>7</v>
      </c>
      <c r="N242" t="s">
        <v>8</v>
      </c>
      <c r="P242">
        <f t="shared" si="960"/>
        <v>-0.56397306397306357</v>
      </c>
      <c r="Q242">
        <f t="shared" si="961"/>
        <v>-703556.20160774351</v>
      </c>
      <c r="R242">
        <f t="shared" si="962"/>
        <v>29279218.179026067</v>
      </c>
      <c r="S242">
        <f t="shared" si="963"/>
        <v>292.79218179026066</v>
      </c>
      <c r="T242">
        <f t="shared" si="964"/>
        <v>0.29279218179026067</v>
      </c>
    </row>
    <row r="243" spans="1:20" x14ac:dyDescent="0.25">
      <c r="A243" s="5">
        <v>44350</v>
      </c>
      <c r="B243">
        <v>8.5890000000000004</v>
      </c>
      <c r="C243">
        <v>9.44</v>
      </c>
      <c r="D243">
        <v>8.4610000000000003</v>
      </c>
      <c r="E243">
        <v>9.1359999999999992</v>
      </c>
      <c r="F243">
        <v>1879751.2069999999</v>
      </c>
      <c r="G243">
        <v>0</v>
      </c>
      <c r="L243" t="s">
        <v>8</v>
      </c>
      <c r="M243" t="s">
        <v>8</v>
      </c>
      <c r="N243" t="s">
        <v>8</v>
      </c>
      <c r="P243">
        <f t="shared" si="960"/>
        <v>0.37895812053115319</v>
      </c>
      <c r="Q243">
        <f t="shared" si="961"/>
        <v>712346.98447088664</v>
      </c>
      <c r="R243">
        <f t="shared" si="962"/>
        <v>29982774.380633812</v>
      </c>
      <c r="S243">
        <f t="shared" si="963"/>
        <v>299.82774380633811</v>
      </c>
      <c r="T243">
        <f t="shared" si="964"/>
        <v>0.29982774380633809</v>
      </c>
    </row>
    <row r="244" spans="1:20" x14ac:dyDescent="0.25">
      <c r="A244" s="5">
        <v>44349</v>
      </c>
      <c r="B244">
        <v>8.56</v>
      </c>
      <c r="C244">
        <v>9.093</v>
      </c>
      <c r="D244">
        <v>8.1319999999999997</v>
      </c>
      <c r="E244">
        <v>8.59</v>
      </c>
      <c r="F244">
        <v>1878484.81</v>
      </c>
      <c r="G244">
        <v>0</v>
      </c>
      <c r="L244" t="s">
        <v>7</v>
      </c>
      <c r="M244" t="s">
        <v>7</v>
      </c>
      <c r="N244" t="s">
        <v>8</v>
      </c>
      <c r="P244">
        <f t="shared" si="960"/>
        <v>-4.6826222684703343E-2</v>
      </c>
      <c r="Q244">
        <f t="shared" si="961"/>
        <v>-87962.348022892649</v>
      </c>
      <c r="R244">
        <f t="shared" si="962"/>
        <v>29270427.396162927</v>
      </c>
      <c r="S244">
        <f t="shared" si="963"/>
        <v>292.70427396162927</v>
      </c>
      <c r="T244">
        <f t="shared" si="964"/>
        <v>0.29270427396162929</v>
      </c>
    </row>
    <row r="245" spans="1:20" x14ac:dyDescent="0.25">
      <c r="A245" s="5">
        <v>44348</v>
      </c>
      <c r="B245">
        <v>8.9730000000000008</v>
      </c>
      <c r="C245">
        <v>9.15</v>
      </c>
      <c r="D245">
        <v>8.218</v>
      </c>
      <c r="E245">
        <v>8.56</v>
      </c>
      <c r="F245">
        <v>3103514.86</v>
      </c>
      <c r="G245">
        <v>0</v>
      </c>
      <c r="L245" t="s">
        <v>7</v>
      </c>
      <c r="M245" t="s">
        <v>7</v>
      </c>
      <c r="N245" t="s">
        <v>8</v>
      </c>
      <c r="P245">
        <f t="shared" si="960"/>
        <v>-0.26609442060085753</v>
      </c>
      <c r="Q245">
        <f t="shared" si="961"/>
        <v>-825827.98849785142</v>
      </c>
      <c r="R245">
        <f t="shared" si="962"/>
        <v>29358389.74418582</v>
      </c>
      <c r="S245">
        <f t="shared" si="963"/>
        <v>293.5838974418582</v>
      </c>
      <c r="T245">
        <f t="shared" si="964"/>
        <v>0.2935838974418582</v>
      </c>
    </row>
    <row r="246" spans="1:20" x14ac:dyDescent="0.25">
      <c r="A246" s="5">
        <v>44347</v>
      </c>
      <c r="B246">
        <v>7.3860000000000001</v>
      </c>
      <c r="C246">
        <v>9.9879999999999995</v>
      </c>
      <c r="D246">
        <v>6.9710000000000001</v>
      </c>
      <c r="E246">
        <v>8.9649999999999999</v>
      </c>
      <c r="F246">
        <v>11320204.793</v>
      </c>
      <c r="G246">
        <v>0</v>
      </c>
      <c r="L246" t="s">
        <v>8</v>
      </c>
      <c r="M246" t="s">
        <v>8</v>
      </c>
      <c r="N246" t="s">
        <v>8</v>
      </c>
      <c r="P246">
        <f t="shared" si="960"/>
        <v>0.32184289028836599</v>
      </c>
      <c r="Q246">
        <f t="shared" si="961"/>
        <v>3643327.4292353336</v>
      </c>
      <c r="R246">
        <f t="shared" si="962"/>
        <v>30184217.732683674</v>
      </c>
      <c r="S246">
        <f t="shared" si="963"/>
        <v>301.84217732683675</v>
      </c>
      <c r="T246">
        <f t="shared" si="964"/>
        <v>0.30184217732683677</v>
      </c>
    </row>
    <row r="247" spans="1:20" x14ac:dyDescent="0.25">
      <c r="A247" s="5">
        <v>44346</v>
      </c>
      <c r="B247">
        <v>6.7939999999999996</v>
      </c>
      <c r="C247">
        <v>7.6310000000000002</v>
      </c>
      <c r="D247">
        <v>6.33</v>
      </c>
      <c r="E247">
        <v>7.391</v>
      </c>
      <c r="F247">
        <v>1131658.45</v>
      </c>
      <c r="G247">
        <v>0</v>
      </c>
      <c r="L247" t="s">
        <v>8</v>
      </c>
      <c r="M247" t="s">
        <v>7</v>
      </c>
      <c r="N247" t="s">
        <v>7</v>
      </c>
      <c r="P247">
        <f t="shared" si="960"/>
        <v>0.63105303612605657</v>
      </c>
      <c r="Q247">
        <f t="shared" si="961"/>
        <v>714136.50073020719</v>
      </c>
      <c r="R247">
        <f t="shared" si="962"/>
        <v>26540890.303448342</v>
      </c>
      <c r="S247">
        <f t="shared" si="963"/>
        <v>265.40890303448344</v>
      </c>
      <c r="T247">
        <f t="shared" si="964"/>
        <v>0.26540890303448345</v>
      </c>
    </row>
    <row r="248" spans="1:20" x14ac:dyDescent="0.25">
      <c r="A248" s="5">
        <v>44345</v>
      </c>
      <c r="B248">
        <v>7.51</v>
      </c>
      <c r="C248">
        <v>7.8470000000000004</v>
      </c>
      <c r="D248">
        <v>6.4009999999999998</v>
      </c>
      <c r="E248">
        <v>6.798</v>
      </c>
      <c r="F248">
        <v>1426163.298</v>
      </c>
      <c r="G248">
        <v>0</v>
      </c>
      <c r="L248" t="s">
        <v>7</v>
      </c>
      <c r="M248" t="s">
        <v>7</v>
      </c>
      <c r="N248" t="s">
        <v>7</v>
      </c>
      <c r="P248">
        <f t="shared" si="960"/>
        <v>-0.45089903181189478</v>
      </c>
      <c r="Q248">
        <f t="shared" si="961"/>
        <v>-643055.6502738588</v>
      </c>
      <c r="R248">
        <f t="shared" si="962"/>
        <v>25826753.802718133</v>
      </c>
      <c r="S248">
        <f t="shared" si="963"/>
        <v>258.26753802718133</v>
      </c>
      <c r="T248">
        <f t="shared" si="964"/>
        <v>0.25826753802718133</v>
      </c>
    </row>
    <row r="249" spans="1:20" x14ac:dyDescent="0.25">
      <c r="A249" s="5">
        <v>44344</v>
      </c>
      <c r="B249">
        <v>8.6750000000000007</v>
      </c>
      <c r="C249">
        <v>8.7959999999999994</v>
      </c>
      <c r="D249">
        <v>7.1539999999999999</v>
      </c>
      <c r="E249">
        <v>7.5110000000000001</v>
      </c>
      <c r="F249">
        <v>1808249.3640000001</v>
      </c>
      <c r="G249">
        <v>0</v>
      </c>
      <c r="L249" t="s">
        <v>7</v>
      </c>
      <c r="M249" t="s">
        <v>7</v>
      </c>
      <c r="N249" t="s">
        <v>8</v>
      </c>
      <c r="P249">
        <f t="shared" si="960"/>
        <v>-0.56516443361753921</v>
      </c>
      <c r="Q249">
        <f t="shared" si="961"/>
        <v>-1021958.2276443355</v>
      </c>
      <c r="R249">
        <f t="shared" si="962"/>
        <v>26469809.452991992</v>
      </c>
      <c r="S249">
        <f t="shared" si="963"/>
        <v>264.6980945299199</v>
      </c>
      <c r="T249">
        <f t="shared" si="964"/>
        <v>0.26469809452991988</v>
      </c>
    </row>
    <row r="250" spans="1:20" x14ac:dyDescent="0.25">
      <c r="A250" s="5">
        <v>44343</v>
      </c>
      <c r="B250">
        <v>9.18</v>
      </c>
      <c r="C250">
        <v>9.5579999999999998</v>
      </c>
      <c r="D250">
        <v>8.1489999999999991</v>
      </c>
      <c r="E250">
        <v>8.6679999999999993</v>
      </c>
      <c r="F250">
        <v>1703126.1629999999</v>
      </c>
      <c r="G250">
        <v>0</v>
      </c>
      <c r="L250" t="s">
        <v>7</v>
      </c>
      <c r="M250" t="s">
        <v>8</v>
      </c>
      <c r="N250" t="s">
        <v>8</v>
      </c>
      <c r="P250">
        <f t="shared" si="960"/>
        <v>-0.26330731014904207</v>
      </c>
      <c r="Q250">
        <f t="shared" si="961"/>
        <v>-448445.56882398896</v>
      </c>
      <c r="R250">
        <f t="shared" si="962"/>
        <v>27491767.680636328</v>
      </c>
      <c r="S250">
        <f t="shared" si="963"/>
        <v>274.91767680636326</v>
      </c>
      <c r="T250">
        <f t="shared" si="964"/>
        <v>0.27491767680636325</v>
      </c>
    </row>
    <row r="251" spans="1:20" x14ac:dyDescent="0.25">
      <c r="A251" s="5">
        <v>44342</v>
      </c>
      <c r="B251">
        <v>8.07</v>
      </c>
      <c r="C251">
        <v>9.4130000000000003</v>
      </c>
      <c r="D251">
        <v>7.8869999999999996</v>
      </c>
      <c r="E251">
        <v>9.1780000000000008</v>
      </c>
      <c r="F251">
        <v>1775139.2290000001</v>
      </c>
      <c r="G251">
        <v>0</v>
      </c>
      <c r="L251" t="s">
        <v>8</v>
      </c>
      <c r="M251" t="s">
        <v>8</v>
      </c>
      <c r="N251" t="s">
        <v>8</v>
      </c>
      <c r="P251">
        <f t="shared" si="960"/>
        <v>0.69200524246395889</v>
      </c>
      <c r="Q251">
        <f t="shared" si="961"/>
        <v>1228405.6525714302</v>
      </c>
      <c r="R251">
        <f t="shared" si="962"/>
        <v>27940213.249460317</v>
      </c>
      <c r="S251">
        <f t="shared" si="963"/>
        <v>279.40213249460317</v>
      </c>
      <c r="T251">
        <f t="shared" si="964"/>
        <v>0.27940213249460316</v>
      </c>
    </row>
    <row r="252" spans="1:20" x14ac:dyDescent="0.25">
      <c r="A252" s="5">
        <v>44341</v>
      </c>
      <c r="B252">
        <v>8.1999999999999993</v>
      </c>
      <c r="C252">
        <v>8.625</v>
      </c>
      <c r="D252">
        <v>7.2350000000000003</v>
      </c>
      <c r="E252">
        <v>8.08</v>
      </c>
      <c r="F252">
        <v>1871750.75</v>
      </c>
      <c r="G252">
        <v>0</v>
      </c>
      <c r="L252" t="s">
        <v>8</v>
      </c>
      <c r="M252" t="s">
        <v>8</v>
      </c>
      <c r="N252" t="s">
        <v>8</v>
      </c>
      <c r="P252">
        <f t="shared" si="960"/>
        <v>0.21582733812949634</v>
      </c>
      <c r="Q252">
        <f t="shared" si="961"/>
        <v>403974.98201438837</v>
      </c>
      <c r="R252">
        <f t="shared" si="962"/>
        <v>26711807.596888889</v>
      </c>
      <c r="S252">
        <f t="shared" si="963"/>
        <v>267.11807596888889</v>
      </c>
      <c r="T252">
        <f t="shared" si="964"/>
        <v>0.26711807596888887</v>
      </c>
    </row>
    <row r="253" spans="1:20" x14ac:dyDescent="0.25">
      <c r="A253" s="5">
        <v>44340</v>
      </c>
      <c r="B253">
        <v>6.8259999999999996</v>
      </c>
      <c r="C253">
        <v>8.3539999999999992</v>
      </c>
      <c r="D253">
        <v>6.59</v>
      </c>
      <c r="E253">
        <v>8.1999999999999993</v>
      </c>
      <c r="F253">
        <v>2430707.5040000002</v>
      </c>
      <c r="G253">
        <v>0</v>
      </c>
      <c r="L253" t="s">
        <v>8</v>
      </c>
      <c r="M253" t="s">
        <v>8</v>
      </c>
      <c r="N253" t="s">
        <v>8</v>
      </c>
      <c r="P253">
        <f t="shared" si="960"/>
        <v>0.82539682539682546</v>
      </c>
      <c r="Q253">
        <f t="shared" si="961"/>
        <v>2006298.2572698416</v>
      </c>
      <c r="R253">
        <f t="shared" si="962"/>
        <v>26307832.614874501</v>
      </c>
      <c r="S253">
        <f t="shared" si="963"/>
        <v>263.07832614874502</v>
      </c>
      <c r="T253">
        <f t="shared" si="964"/>
        <v>0.26307832614874505</v>
      </c>
    </row>
    <row r="254" spans="1:20" x14ac:dyDescent="0.25">
      <c r="A254" s="5">
        <v>44339</v>
      </c>
      <c r="B254">
        <v>7.9870000000000001</v>
      </c>
      <c r="C254">
        <v>8.2739999999999991</v>
      </c>
      <c r="D254">
        <v>5.24</v>
      </c>
      <c r="E254">
        <v>6.8259999999999996</v>
      </c>
      <c r="F254">
        <v>3509828.227</v>
      </c>
      <c r="G254">
        <v>0</v>
      </c>
      <c r="L254" t="s">
        <v>7</v>
      </c>
      <c r="M254" t="s">
        <v>7</v>
      </c>
      <c r="N254" t="s">
        <v>7</v>
      </c>
      <c r="P254">
        <f t="shared" si="960"/>
        <v>4.5484508899143031E-2</v>
      </c>
      <c r="Q254">
        <f t="shared" si="961"/>
        <v>159642.8132254449</v>
      </c>
      <c r="R254">
        <f t="shared" si="962"/>
        <v>24301534.35760466</v>
      </c>
      <c r="S254">
        <f t="shared" si="963"/>
        <v>243.0153435760466</v>
      </c>
      <c r="T254">
        <f t="shared" si="964"/>
        <v>0.24301534357604659</v>
      </c>
    </row>
    <row r="255" spans="1:20" x14ac:dyDescent="0.25">
      <c r="A255" s="5">
        <v>44338</v>
      </c>
      <c r="B255">
        <v>8.4359999999999999</v>
      </c>
      <c r="C255">
        <v>8.6379999999999999</v>
      </c>
      <c r="D255">
        <v>7.34</v>
      </c>
      <c r="E255">
        <v>7.9980000000000002</v>
      </c>
      <c r="F255">
        <v>1645059.544</v>
      </c>
      <c r="G255">
        <v>0</v>
      </c>
      <c r="L255" t="s">
        <v>8</v>
      </c>
      <c r="M255" t="s">
        <v>8</v>
      </c>
      <c r="N255" t="s">
        <v>7</v>
      </c>
      <c r="P255">
        <f t="shared" si="960"/>
        <v>1.3867488443760156E-2</v>
      </c>
      <c r="Q255">
        <f t="shared" si="961"/>
        <v>22812.844215717352</v>
      </c>
      <c r="R255">
        <f t="shared" si="962"/>
        <v>24141891.544379216</v>
      </c>
      <c r="S255">
        <f t="shared" si="963"/>
        <v>241.41891544379214</v>
      </c>
      <c r="T255">
        <f t="shared" si="964"/>
        <v>0.24141891544379215</v>
      </c>
    </row>
    <row r="256" spans="1:20" x14ac:dyDescent="0.25">
      <c r="A256" s="5">
        <v>44337</v>
      </c>
      <c r="B256">
        <v>10.255000000000001</v>
      </c>
      <c r="C256">
        <v>10.73</v>
      </c>
      <c r="D256">
        <v>7.1529999999999996</v>
      </c>
      <c r="E256">
        <v>8.4480000000000004</v>
      </c>
      <c r="F256">
        <v>3310639.8390000002</v>
      </c>
      <c r="G256">
        <v>0</v>
      </c>
      <c r="L256" t="s">
        <v>7</v>
      </c>
      <c r="M256" t="s">
        <v>7</v>
      </c>
      <c r="N256" t="s">
        <v>7</v>
      </c>
      <c r="P256">
        <f t="shared" si="960"/>
        <v>-0.27592954990215235</v>
      </c>
      <c r="Q256">
        <f t="shared" si="961"/>
        <v>-913503.36066340411</v>
      </c>
      <c r="R256">
        <f t="shared" si="962"/>
        <v>24119078.700163499</v>
      </c>
      <c r="S256">
        <f t="shared" si="963"/>
        <v>241.19078700163499</v>
      </c>
      <c r="T256">
        <f t="shared" si="964"/>
        <v>0.24119078700163499</v>
      </c>
    </row>
    <row r="257" spans="1:20" x14ac:dyDescent="0.25">
      <c r="A257" s="5">
        <v>44336</v>
      </c>
      <c r="B257">
        <v>8.9309999999999992</v>
      </c>
      <c r="C257">
        <v>10.843999999999999</v>
      </c>
      <c r="D257">
        <v>7.8</v>
      </c>
      <c r="E257">
        <v>10.263999999999999</v>
      </c>
      <c r="F257">
        <v>3260590.7179999999</v>
      </c>
      <c r="G257">
        <v>0</v>
      </c>
      <c r="L257" t="s">
        <v>8</v>
      </c>
      <c r="M257" t="s">
        <v>8</v>
      </c>
      <c r="N257" t="s">
        <v>8</v>
      </c>
      <c r="P257">
        <f t="shared" si="960"/>
        <v>0.6189224704336399</v>
      </c>
      <c r="Q257">
        <f t="shared" si="961"/>
        <v>2018052.8622575556</v>
      </c>
      <c r="R257">
        <f t="shared" si="962"/>
        <v>25032582.060826901</v>
      </c>
      <c r="S257">
        <f t="shared" si="963"/>
        <v>250.32582060826903</v>
      </c>
      <c r="T257">
        <f t="shared" si="964"/>
        <v>0.25032582060826902</v>
      </c>
    </row>
    <row r="258" spans="1:20" x14ac:dyDescent="0.25">
      <c r="A258" s="5">
        <v>44335</v>
      </c>
      <c r="B258">
        <v>13.728999999999999</v>
      </c>
      <c r="C258">
        <v>13.981</v>
      </c>
      <c r="D258">
        <v>5.5</v>
      </c>
      <c r="E258">
        <v>8.9309999999999992</v>
      </c>
      <c r="F258">
        <v>6922979.0580000002</v>
      </c>
      <c r="G258">
        <v>0</v>
      </c>
      <c r="L258" t="s">
        <v>7</v>
      </c>
      <c r="M258" t="s">
        <v>7</v>
      </c>
      <c r="N258" t="s">
        <v>7</v>
      </c>
      <c r="P258">
        <f t="shared" si="960"/>
        <v>-0.19089729984671638</v>
      </c>
      <c r="Q258">
        <f t="shared" si="961"/>
        <v>-1321578.0090675643</v>
      </c>
      <c r="R258">
        <f t="shared" si="962"/>
        <v>23014529.198569346</v>
      </c>
      <c r="S258">
        <f t="shared" si="963"/>
        <v>230.14529198569346</v>
      </c>
      <c r="T258">
        <f t="shared" si="964"/>
        <v>0.23014529198569347</v>
      </c>
    </row>
    <row r="259" spans="1:20" x14ac:dyDescent="0.25">
      <c r="A259" s="5">
        <v>44334</v>
      </c>
      <c r="B259">
        <v>12.512</v>
      </c>
      <c r="C259">
        <v>14.31</v>
      </c>
      <c r="D259">
        <v>12.381</v>
      </c>
      <c r="E259">
        <v>13.757999999999999</v>
      </c>
      <c r="F259">
        <v>1682418.8370000001</v>
      </c>
      <c r="G259">
        <v>0</v>
      </c>
      <c r="L259" t="s">
        <v>8</v>
      </c>
      <c r="M259" t="s">
        <v>7</v>
      </c>
      <c r="N259" t="s">
        <v>7</v>
      </c>
      <c r="P259">
        <f t="shared" si="960"/>
        <v>0.42768273716951655</v>
      </c>
      <c r="Q259">
        <f t="shared" si="961"/>
        <v>719541.49327371467</v>
      </c>
      <c r="R259">
        <f t="shared" si="962"/>
        <v>24336107.207636911</v>
      </c>
      <c r="S259">
        <f t="shared" si="963"/>
        <v>243.36107207636911</v>
      </c>
      <c r="T259">
        <f t="shared" si="964"/>
        <v>0.24336107207636912</v>
      </c>
    </row>
    <row r="260" spans="1:20" x14ac:dyDescent="0.25">
      <c r="A260" s="5">
        <v>44333</v>
      </c>
      <c r="B260">
        <v>14.037000000000001</v>
      </c>
      <c r="C260">
        <v>14.1</v>
      </c>
      <c r="D260">
        <v>12.093999999999999</v>
      </c>
      <c r="E260">
        <v>12.497</v>
      </c>
      <c r="F260">
        <v>1753975.493</v>
      </c>
      <c r="G260">
        <v>0</v>
      </c>
      <c r="L260" t="s">
        <v>7</v>
      </c>
      <c r="M260" t="s">
        <v>7</v>
      </c>
      <c r="N260" t="s">
        <v>7</v>
      </c>
      <c r="P260">
        <f t="shared" si="960"/>
        <v>-0.59820538384845423</v>
      </c>
      <c r="Q260">
        <f t="shared" si="961"/>
        <v>-1049237.5830508468</v>
      </c>
      <c r="R260">
        <f t="shared" si="962"/>
        <v>23616565.714363195</v>
      </c>
      <c r="S260">
        <f t="shared" si="963"/>
        <v>236.16565714363196</v>
      </c>
      <c r="T260">
        <f t="shared" si="964"/>
        <v>0.23616565714363197</v>
      </c>
    </row>
    <row r="261" spans="1:20" x14ac:dyDescent="0.25">
      <c r="A261" s="5">
        <v>44332</v>
      </c>
      <c r="B261">
        <v>13.824999999999999</v>
      </c>
      <c r="C261">
        <v>15.254</v>
      </c>
      <c r="D261">
        <v>13.042</v>
      </c>
      <c r="E261">
        <v>14.065</v>
      </c>
      <c r="F261">
        <v>1495000.8289999999</v>
      </c>
      <c r="G261">
        <v>0</v>
      </c>
      <c r="L261" t="s">
        <v>7</v>
      </c>
      <c r="M261" t="s">
        <v>7</v>
      </c>
      <c r="N261" t="s">
        <v>7</v>
      </c>
      <c r="P261">
        <f t="shared" si="960"/>
        <v>-7.5045207956600538E-2</v>
      </c>
      <c r="Q261">
        <f t="shared" si="961"/>
        <v>-112192.64810759519</v>
      </c>
      <c r="R261">
        <f t="shared" si="962"/>
        <v>24665803.297414042</v>
      </c>
      <c r="S261">
        <f t="shared" si="963"/>
        <v>246.65803297414041</v>
      </c>
      <c r="T261">
        <f t="shared" si="964"/>
        <v>0.24665803297414041</v>
      </c>
    </row>
    <row r="262" spans="1:20" x14ac:dyDescent="0.25">
      <c r="A262" s="5">
        <v>44331</v>
      </c>
      <c r="B262">
        <v>15.218</v>
      </c>
      <c r="C262">
        <v>15.507</v>
      </c>
      <c r="D262">
        <v>13.738</v>
      </c>
      <c r="E262">
        <v>13.837999999999999</v>
      </c>
      <c r="F262">
        <v>1333987.5109999999</v>
      </c>
      <c r="G262">
        <v>0</v>
      </c>
      <c r="L262" t="s">
        <v>7</v>
      </c>
      <c r="M262" t="s">
        <v>8</v>
      </c>
      <c r="N262" t="s">
        <v>7</v>
      </c>
      <c r="P262">
        <f t="shared" ref="P262:P325" si="965">IF(C262=D262,0,((E262-D262)-(C262-E262))/(C262-D262))</f>
        <v>-0.88694177501413274</v>
      </c>
      <c r="Q262">
        <f t="shared" ref="Q262:Q325" si="966">F262*P262</f>
        <v>-1183169.2508530249</v>
      </c>
      <c r="R262">
        <f t="shared" ref="R262:R325" si="967">R263+Q262</f>
        <v>24777995.945521638</v>
      </c>
      <c r="S262">
        <f t="shared" ref="S262:S325" si="968">R262/100000</f>
        <v>247.77995945521639</v>
      </c>
      <c r="T262">
        <f t="shared" ref="T262:T325" si="969">S262/1000</f>
        <v>0.24777995945521639</v>
      </c>
    </row>
    <row r="263" spans="1:20" x14ac:dyDescent="0.25">
      <c r="A263" s="5">
        <v>44330</v>
      </c>
      <c r="B263">
        <v>14.624000000000001</v>
      </c>
      <c r="C263">
        <v>15.935</v>
      </c>
      <c r="D263">
        <v>14.417</v>
      </c>
      <c r="E263">
        <v>15.233000000000001</v>
      </c>
      <c r="F263">
        <v>1416086.4809999999</v>
      </c>
      <c r="G263">
        <v>0</v>
      </c>
      <c r="L263" t="s">
        <v>8</v>
      </c>
      <c r="M263" t="s">
        <v>8</v>
      </c>
      <c r="N263" t="s">
        <v>7</v>
      </c>
      <c r="P263">
        <f t="shared" si="965"/>
        <v>7.509881422924948E-2</v>
      </c>
      <c r="Q263">
        <f t="shared" si="966"/>
        <v>106346.41556917061</v>
      </c>
      <c r="R263">
        <f t="shared" si="967"/>
        <v>25961165.196374662</v>
      </c>
      <c r="S263">
        <f t="shared" si="968"/>
        <v>259.61165196374662</v>
      </c>
      <c r="T263">
        <f t="shared" si="969"/>
        <v>0.25961165196374664</v>
      </c>
    </row>
    <row r="264" spans="1:20" x14ac:dyDescent="0.25">
      <c r="A264" s="5">
        <v>44329</v>
      </c>
      <c r="B264">
        <v>14.348000000000001</v>
      </c>
      <c r="C264">
        <v>16.047999999999998</v>
      </c>
      <c r="D264">
        <v>13.15</v>
      </c>
      <c r="E264">
        <v>14.619</v>
      </c>
      <c r="F264">
        <v>2621874.2110000001</v>
      </c>
      <c r="G264">
        <v>0</v>
      </c>
      <c r="L264" t="s">
        <v>7</v>
      </c>
      <c r="M264" t="s">
        <v>7</v>
      </c>
      <c r="N264" t="s">
        <v>7</v>
      </c>
      <c r="P264">
        <f t="shared" si="965"/>
        <v>1.3802622498275002E-2</v>
      </c>
      <c r="Q264">
        <f t="shared" si="966"/>
        <v>36188.739972395619</v>
      </c>
      <c r="R264">
        <f t="shared" si="967"/>
        <v>25854818.780805491</v>
      </c>
      <c r="S264">
        <f t="shared" si="968"/>
        <v>258.54818780805493</v>
      </c>
      <c r="T264">
        <f t="shared" si="969"/>
        <v>0.25854818780805494</v>
      </c>
    </row>
    <row r="265" spans="1:20" x14ac:dyDescent="0.25">
      <c r="A265" s="5">
        <v>44328</v>
      </c>
      <c r="B265">
        <v>16.847000000000001</v>
      </c>
      <c r="C265">
        <v>17.98</v>
      </c>
      <c r="D265">
        <v>13.927</v>
      </c>
      <c r="E265">
        <v>14.349</v>
      </c>
      <c r="F265">
        <v>3102130.642</v>
      </c>
      <c r="G265">
        <v>0</v>
      </c>
      <c r="L265" t="s">
        <v>8</v>
      </c>
      <c r="M265" t="s">
        <v>7</v>
      </c>
      <c r="N265" t="s">
        <v>7</v>
      </c>
      <c r="P265">
        <f t="shared" si="965"/>
        <v>-0.791759190722921</v>
      </c>
      <c r="Q265">
        <f t="shared" si="966"/>
        <v>-2456140.4466266953</v>
      </c>
      <c r="R265">
        <f t="shared" si="967"/>
        <v>25818630.040833097</v>
      </c>
      <c r="S265">
        <f t="shared" si="968"/>
        <v>258.18630040833096</v>
      </c>
      <c r="T265">
        <f t="shared" si="969"/>
        <v>0.25818630040833096</v>
      </c>
    </row>
    <row r="266" spans="1:20" x14ac:dyDescent="0.25">
      <c r="A266" s="5">
        <v>44327</v>
      </c>
      <c r="B266">
        <v>16.131</v>
      </c>
      <c r="C266">
        <v>16.97</v>
      </c>
      <c r="D266">
        <v>15.601000000000001</v>
      </c>
      <c r="E266">
        <v>16.826000000000001</v>
      </c>
      <c r="F266">
        <v>1429274.578</v>
      </c>
      <c r="G266">
        <v>0</v>
      </c>
      <c r="L266" t="s">
        <v>8</v>
      </c>
      <c r="M266" t="s">
        <v>7</v>
      </c>
      <c r="N266" t="s">
        <v>8</v>
      </c>
      <c r="P266">
        <f t="shared" si="965"/>
        <v>0.78962746530314309</v>
      </c>
      <c r="Q266">
        <f t="shared" si="966"/>
        <v>1128594.4622483596</v>
      </c>
      <c r="R266">
        <f t="shared" si="967"/>
        <v>28274770.487459794</v>
      </c>
      <c r="S266">
        <f t="shared" si="968"/>
        <v>282.74770487459796</v>
      </c>
      <c r="T266">
        <f t="shared" si="969"/>
        <v>0.28274770487459794</v>
      </c>
    </row>
    <row r="267" spans="1:20" x14ac:dyDescent="0.25">
      <c r="A267" s="5">
        <v>44326</v>
      </c>
      <c r="B267">
        <v>17.715</v>
      </c>
      <c r="C267">
        <v>18.434999999999999</v>
      </c>
      <c r="D267">
        <v>15.12</v>
      </c>
      <c r="E267">
        <v>16.119</v>
      </c>
      <c r="F267">
        <v>2542906.4300000002</v>
      </c>
      <c r="G267">
        <v>0</v>
      </c>
      <c r="L267" t="s">
        <v>7</v>
      </c>
      <c r="M267" t="s">
        <v>7</v>
      </c>
      <c r="N267" t="s">
        <v>8</v>
      </c>
      <c r="P267">
        <f t="shared" si="965"/>
        <v>-0.39728506787330276</v>
      </c>
      <c r="Q267">
        <f t="shared" si="966"/>
        <v>-1010258.753638008</v>
      </c>
      <c r="R267">
        <f t="shared" si="967"/>
        <v>27146176.025211435</v>
      </c>
      <c r="S267">
        <f t="shared" si="968"/>
        <v>271.46176025211435</v>
      </c>
      <c r="T267">
        <f t="shared" si="969"/>
        <v>0.27146176025211433</v>
      </c>
    </row>
    <row r="268" spans="1:20" x14ac:dyDescent="0.25">
      <c r="A268" s="5">
        <v>44325</v>
      </c>
      <c r="B268">
        <v>17.721</v>
      </c>
      <c r="C268">
        <v>18.093</v>
      </c>
      <c r="D268">
        <v>16.515999999999998</v>
      </c>
      <c r="E268">
        <v>17.713000000000001</v>
      </c>
      <c r="F268">
        <v>2154800.6159999999</v>
      </c>
      <c r="G268">
        <v>0</v>
      </c>
      <c r="L268" t="s">
        <v>7</v>
      </c>
      <c r="M268" t="s">
        <v>7</v>
      </c>
      <c r="N268" t="s">
        <v>8</v>
      </c>
      <c r="P268">
        <f t="shared" si="965"/>
        <v>0.51807228915662829</v>
      </c>
      <c r="Q268">
        <f t="shared" si="966"/>
        <v>1116342.4878072327</v>
      </c>
      <c r="R268">
        <f t="shared" si="967"/>
        <v>28156434.778849442</v>
      </c>
      <c r="S268">
        <f t="shared" si="968"/>
        <v>281.56434778849439</v>
      </c>
      <c r="T268">
        <f t="shared" si="969"/>
        <v>0.28156434778849437</v>
      </c>
    </row>
    <row r="269" spans="1:20" x14ac:dyDescent="0.25">
      <c r="A269" s="5">
        <v>44324</v>
      </c>
      <c r="B269">
        <v>17.872</v>
      </c>
      <c r="C269">
        <v>18.423999999999999</v>
      </c>
      <c r="D269">
        <v>17.210999999999999</v>
      </c>
      <c r="E269">
        <v>17.721</v>
      </c>
      <c r="F269">
        <v>1422442.6470000001</v>
      </c>
      <c r="G269">
        <v>0</v>
      </c>
      <c r="L269" t="s">
        <v>7</v>
      </c>
      <c r="M269" t="s">
        <v>7</v>
      </c>
      <c r="N269" t="s">
        <v>8</v>
      </c>
      <c r="P269">
        <f t="shared" si="965"/>
        <v>-0.15910964550700551</v>
      </c>
      <c r="Q269">
        <f t="shared" si="966"/>
        <v>-226324.3453182166</v>
      </c>
      <c r="R269">
        <f t="shared" si="967"/>
        <v>27040092.291042209</v>
      </c>
      <c r="S269">
        <f t="shared" si="968"/>
        <v>270.40092291042208</v>
      </c>
      <c r="T269">
        <f t="shared" si="969"/>
        <v>0.27040092291042206</v>
      </c>
    </row>
    <row r="270" spans="1:20" x14ac:dyDescent="0.25">
      <c r="A270" s="5">
        <v>44323</v>
      </c>
      <c r="B270">
        <v>18.329999999999998</v>
      </c>
      <c r="C270">
        <v>19.277999999999999</v>
      </c>
      <c r="D270">
        <v>17.370999999999999</v>
      </c>
      <c r="E270">
        <v>17.872</v>
      </c>
      <c r="F270">
        <v>2379040.0249999999</v>
      </c>
      <c r="G270">
        <v>0</v>
      </c>
      <c r="L270" t="s">
        <v>7</v>
      </c>
      <c r="M270" t="s">
        <v>7</v>
      </c>
      <c r="N270" t="s">
        <v>8</v>
      </c>
      <c r="P270">
        <f t="shared" si="965"/>
        <v>-0.47456738332459231</v>
      </c>
      <c r="Q270">
        <f t="shared" si="966"/>
        <v>-1129014.7994887226</v>
      </c>
      <c r="R270">
        <f t="shared" si="967"/>
        <v>27266416.636360426</v>
      </c>
      <c r="S270">
        <f t="shared" si="968"/>
        <v>272.66416636360424</v>
      </c>
      <c r="T270">
        <f t="shared" si="969"/>
        <v>0.27266416636360424</v>
      </c>
    </row>
    <row r="271" spans="1:20" x14ac:dyDescent="0.25">
      <c r="A271" s="5">
        <v>44322</v>
      </c>
      <c r="B271">
        <v>19.353000000000002</v>
      </c>
      <c r="C271">
        <v>19.78</v>
      </c>
      <c r="D271">
        <v>17.709</v>
      </c>
      <c r="E271">
        <v>18.317</v>
      </c>
      <c r="F271">
        <v>2615405.9130000002</v>
      </c>
      <c r="G271">
        <v>0</v>
      </c>
      <c r="L271" t="s">
        <v>7</v>
      </c>
      <c r="M271" t="s">
        <v>7</v>
      </c>
      <c r="N271" t="s">
        <v>8</v>
      </c>
      <c r="P271">
        <f t="shared" si="965"/>
        <v>-0.41284403669724762</v>
      </c>
      <c r="Q271">
        <f t="shared" si="966"/>
        <v>-1079754.7347247705</v>
      </c>
      <c r="R271">
        <f t="shared" si="967"/>
        <v>28395431.435849149</v>
      </c>
      <c r="S271">
        <f t="shared" si="968"/>
        <v>283.9543143584915</v>
      </c>
      <c r="T271">
        <f t="shared" si="969"/>
        <v>0.2839543143584915</v>
      </c>
    </row>
    <row r="272" spans="1:20" x14ac:dyDescent="0.25">
      <c r="A272" s="5">
        <v>44321</v>
      </c>
      <c r="B272">
        <v>18.265999999999998</v>
      </c>
      <c r="C272">
        <v>20.672999999999998</v>
      </c>
      <c r="D272">
        <v>17.870999999999999</v>
      </c>
      <c r="E272">
        <v>19.337</v>
      </c>
      <c r="F272">
        <v>4445053.0439999998</v>
      </c>
      <c r="G272">
        <v>0</v>
      </c>
      <c r="L272" t="s">
        <v>8</v>
      </c>
      <c r="M272" t="s">
        <v>8</v>
      </c>
      <c r="N272" t="s">
        <v>8</v>
      </c>
      <c r="P272">
        <f t="shared" si="965"/>
        <v>4.6395431834404914E-2</v>
      </c>
      <c r="Q272">
        <f t="shared" si="966"/>
        <v>206230.15550321605</v>
      </c>
      <c r="R272">
        <f t="shared" si="967"/>
        <v>29475186.17057392</v>
      </c>
      <c r="S272">
        <f t="shared" si="968"/>
        <v>294.7518617057392</v>
      </c>
      <c r="T272">
        <f t="shared" si="969"/>
        <v>0.29475186170573919</v>
      </c>
    </row>
    <row r="273" spans="1:20" x14ac:dyDescent="0.25">
      <c r="A273" s="5">
        <v>44320</v>
      </c>
      <c r="B273">
        <v>18.311</v>
      </c>
      <c r="C273">
        <v>19.677</v>
      </c>
      <c r="D273">
        <v>15.784000000000001</v>
      </c>
      <c r="E273">
        <v>18.295999999999999</v>
      </c>
      <c r="F273">
        <v>5319134.5640000002</v>
      </c>
      <c r="G273">
        <v>0</v>
      </c>
      <c r="L273" t="s">
        <v>8</v>
      </c>
      <c r="M273" t="s">
        <v>8</v>
      </c>
      <c r="N273" t="s">
        <v>8</v>
      </c>
      <c r="P273">
        <f t="shared" si="965"/>
        <v>0.29052144875417385</v>
      </c>
      <c r="Q273">
        <f t="shared" si="966"/>
        <v>1545322.6796516809</v>
      </c>
      <c r="R273">
        <f t="shared" si="967"/>
        <v>29268956.015070703</v>
      </c>
      <c r="S273">
        <f t="shared" si="968"/>
        <v>292.68956015070705</v>
      </c>
      <c r="T273">
        <f t="shared" si="969"/>
        <v>0.29268956015070707</v>
      </c>
    </row>
    <row r="274" spans="1:20" x14ac:dyDescent="0.25">
      <c r="A274" s="5">
        <v>44319</v>
      </c>
      <c r="B274">
        <v>17.629000000000001</v>
      </c>
      <c r="C274">
        <v>18.95</v>
      </c>
      <c r="D274">
        <v>17.620999999999999</v>
      </c>
      <c r="E274">
        <v>18.309000000000001</v>
      </c>
      <c r="F274">
        <v>1769947.2390000001</v>
      </c>
      <c r="G274">
        <v>0</v>
      </c>
      <c r="L274" t="s">
        <v>8</v>
      </c>
      <c r="M274" t="s">
        <v>8</v>
      </c>
      <c r="N274" t="s">
        <v>8</v>
      </c>
      <c r="P274">
        <f t="shared" si="965"/>
        <v>3.5364936042140048E-2</v>
      </c>
      <c r="Q274">
        <f t="shared" si="966"/>
        <v>62594.070905197368</v>
      </c>
      <c r="R274">
        <f t="shared" si="967"/>
        <v>27723633.335419022</v>
      </c>
      <c r="S274">
        <f t="shared" si="968"/>
        <v>277.23633335419021</v>
      </c>
      <c r="T274">
        <f t="shared" si="969"/>
        <v>0.27723633335419023</v>
      </c>
    </row>
    <row r="275" spans="1:20" x14ac:dyDescent="0.25">
      <c r="A275" s="5">
        <v>44318</v>
      </c>
      <c r="B275">
        <v>18.52</v>
      </c>
      <c r="C275">
        <v>18.581</v>
      </c>
      <c r="D275">
        <v>17</v>
      </c>
      <c r="E275">
        <v>17.614000000000001</v>
      </c>
      <c r="F275">
        <v>1595162.8019999999</v>
      </c>
      <c r="G275">
        <v>0</v>
      </c>
      <c r="L275" t="s">
        <v>7</v>
      </c>
      <c r="M275" t="s">
        <v>8</v>
      </c>
      <c r="N275" t="s">
        <v>8</v>
      </c>
      <c r="P275">
        <f t="shared" si="965"/>
        <v>-0.2232764073371272</v>
      </c>
      <c r="Q275">
        <f t="shared" si="966"/>
        <v>-356162.21954838518</v>
      </c>
      <c r="R275">
        <f t="shared" si="967"/>
        <v>27661039.264513824</v>
      </c>
      <c r="S275">
        <f t="shared" si="968"/>
        <v>276.61039264513823</v>
      </c>
      <c r="T275">
        <f t="shared" si="969"/>
        <v>0.27661039264513826</v>
      </c>
    </row>
    <row r="276" spans="1:20" x14ac:dyDescent="0.25">
      <c r="A276" s="5">
        <v>44317</v>
      </c>
      <c r="B276">
        <v>17.25</v>
      </c>
      <c r="C276">
        <v>18.771000000000001</v>
      </c>
      <c r="D276">
        <v>16.850000000000001</v>
      </c>
      <c r="E276">
        <v>18.516999999999999</v>
      </c>
      <c r="F276">
        <v>2141735.699</v>
      </c>
      <c r="G276">
        <v>0</v>
      </c>
      <c r="L276" t="s">
        <v>8</v>
      </c>
      <c r="M276" t="s">
        <v>8</v>
      </c>
      <c r="N276" t="s">
        <v>8</v>
      </c>
      <c r="P276">
        <f t="shared" si="965"/>
        <v>0.73555439875064921</v>
      </c>
      <c r="Q276">
        <f t="shared" si="966"/>
        <v>1575363.1143607465</v>
      </c>
      <c r="R276">
        <f t="shared" si="967"/>
        <v>28017201.48406221</v>
      </c>
      <c r="S276">
        <f t="shared" si="968"/>
        <v>280.17201484062213</v>
      </c>
      <c r="T276">
        <f t="shared" si="969"/>
        <v>0.28017201484062215</v>
      </c>
    </row>
    <row r="277" spans="1:20" x14ac:dyDescent="0.25">
      <c r="A277" s="5">
        <v>44316</v>
      </c>
      <c r="B277">
        <v>16.48</v>
      </c>
      <c r="C277">
        <v>17.498999999999999</v>
      </c>
      <c r="D277">
        <v>16.045999999999999</v>
      </c>
      <c r="E277">
        <v>17.25</v>
      </c>
      <c r="F277">
        <v>1653756.243</v>
      </c>
      <c r="G277">
        <v>0</v>
      </c>
      <c r="L277" t="s">
        <v>8</v>
      </c>
      <c r="M277" t="s">
        <v>8</v>
      </c>
      <c r="N277" t="s">
        <v>8</v>
      </c>
      <c r="P277">
        <f t="shared" si="965"/>
        <v>0.65726083964212134</v>
      </c>
      <c r="Q277">
        <f t="shared" si="966"/>
        <v>1086949.2168375801</v>
      </c>
      <c r="R277">
        <f t="shared" si="967"/>
        <v>26441838.369701464</v>
      </c>
      <c r="S277">
        <f t="shared" si="968"/>
        <v>264.41838369701463</v>
      </c>
      <c r="T277">
        <f t="shared" si="969"/>
        <v>0.26441838369701465</v>
      </c>
    </row>
    <row r="278" spans="1:20" x14ac:dyDescent="0.25">
      <c r="A278" s="5">
        <v>44315</v>
      </c>
      <c r="B278">
        <v>17.434000000000001</v>
      </c>
      <c r="C278">
        <v>17.597999999999999</v>
      </c>
      <c r="D278">
        <v>15.859</v>
      </c>
      <c r="E278">
        <v>16.486999999999998</v>
      </c>
      <c r="F278">
        <v>1908600.058</v>
      </c>
      <c r="G278">
        <v>0</v>
      </c>
      <c r="L278" t="s">
        <v>7</v>
      </c>
      <c r="M278" t="s">
        <v>8</v>
      </c>
      <c r="N278" t="s">
        <v>8</v>
      </c>
      <c r="P278">
        <f t="shared" si="965"/>
        <v>-0.2777458309373218</v>
      </c>
      <c r="Q278">
        <f t="shared" si="966"/>
        <v>-530105.70903623058</v>
      </c>
      <c r="R278">
        <f t="shared" si="967"/>
        <v>25354889.152863882</v>
      </c>
      <c r="S278">
        <f t="shared" si="968"/>
        <v>253.54889152863882</v>
      </c>
      <c r="T278">
        <f t="shared" si="969"/>
        <v>0.2535488915286388</v>
      </c>
    </row>
    <row r="279" spans="1:20" x14ac:dyDescent="0.25">
      <c r="A279" s="5">
        <v>44314</v>
      </c>
      <c r="B279">
        <v>16.78</v>
      </c>
      <c r="C279">
        <v>17.937000000000001</v>
      </c>
      <c r="D279">
        <v>15.51</v>
      </c>
      <c r="E279">
        <v>17.466999999999999</v>
      </c>
      <c r="F279">
        <v>3130610.341</v>
      </c>
      <c r="G279">
        <v>0</v>
      </c>
      <c r="L279" t="s">
        <v>8</v>
      </c>
      <c r="M279" t="s">
        <v>8</v>
      </c>
      <c r="N279" t="s">
        <v>8</v>
      </c>
      <c r="P279">
        <f t="shared" si="965"/>
        <v>0.61269056448289894</v>
      </c>
      <c r="Q279">
        <f t="shared" si="966"/>
        <v>1918095.4170032907</v>
      </c>
      <c r="R279">
        <f t="shared" si="967"/>
        <v>25884994.861900114</v>
      </c>
      <c r="S279">
        <f t="shared" si="968"/>
        <v>258.84994861900111</v>
      </c>
      <c r="T279">
        <f t="shared" si="969"/>
        <v>0.25884994861900112</v>
      </c>
    </row>
    <row r="280" spans="1:20" x14ac:dyDescent="0.25">
      <c r="A280" s="5">
        <v>44313</v>
      </c>
      <c r="B280">
        <v>15.093999999999999</v>
      </c>
      <c r="C280">
        <v>17.323</v>
      </c>
      <c r="D280">
        <v>14.741</v>
      </c>
      <c r="E280">
        <v>16.776</v>
      </c>
      <c r="F280">
        <v>3076924.912</v>
      </c>
      <c r="G280">
        <v>0</v>
      </c>
      <c r="L280" t="s">
        <v>8</v>
      </c>
      <c r="M280" t="s">
        <v>8</v>
      </c>
      <c r="N280" t="s">
        <v>7</v>
      </c>
      <c r="P280">
        <f t="shared" si="965"/>
        <v>0.57629744384198267</v>
      </c>
      <c r="Q280">
        <f t="shared" si="966"/>
        <v>1773223.9616793175</v>
      </c>
      <c r="R280">
        <f t="shared" si="967"/>
        <v>23966899.444896821</v>
      </c>
      <c r="S280">
        <f t="shared" si="968"/>
        <v>239.66899444896822</v>
      </c>
      <c r="T280">
        <f t="shared" si="969"/>
        <v>0.23966899444896822</v>
      </c>
    </row>
    <row r="281" spans="1:20" x14ac:dyDescent="0.25">
      <c r="A281" s="5">
        <v>44312</v>
      </c>
      <c r="B281">
        <v>13.47</v>
      </c>
      <c r="C281">
        <v>15.52</v>
      </c>
      <c r="D281">
        <v>13.351000000000001</v>
      </c>
      <c r="E281">
        <v>15.109</v>
      </c>
      <c r="F281">
        <v>2033702.3</v>
      </c>
      <c r="G281">
        <v>0</v>
      </c>
      <c r="L281" t="s">
        <v>8</v>
      </c>
      <c r="M281" t="s">
        <v>8</v>
      </c>
      <c r="N281" t="s">
        <v>7</v>
      </c>
      <c r="P281">
        <f t="shared" si="965"/>
        <v>0.62102351313969584</v>
      </c>
      <c r="Q281">
        <f t="shared" si="966"/>
        <v>1262976.9470262798</v>
      </c>
      <c r="R281">
        <f t="shared" si="967"/>
        <v>22193675.483217504</v>
      </c>
      <c r="S281">
        <f t="shared" si="968"/>
        <v>221.93675483217504</v>
      </c>
      <c r="T281">
        <f t="shared" si="969"/>
        <v>0.22193675483217504</v>
      </c>
    </row>
    <row r="282" spans="1:20" x14ac:dyDescent="0.25">
      <c r="A282" s="5">
        <v>44311</v>
      </c>
      <c r="B282">
        <v>13.713699999999999</v>
      </c>
      <c r="C282">
        <v>14.686</v>
      </c>
      <c r="D282">
        <v>12.58</v>
      </c>
      <c r="E282">
        <v>13.465999999999999</v>
      </c>
      <c r="F282">
        <v>1502022.27</v>
      </c>
      <c r="G282">
        <v>0</v>
      </c>
      <c r="L282" t="s">
        <v>7</v>
      </c>
      <c r="M282" t="s">
        <v>7</v>
      </c>
      <c r="N282" t="s">
        <v>7</v>
      </c>
      <c r="P282">
        <f t="shared" si="965"/>
        <v>-0.15859449192782593</v>
      </c>
      <c r="Q282">
        <f t="shared" si="966"/>
        <v>-238212.45877492978</v>
      </c>
      <c r="R282">
        <f t="shared" si="967"/>
        <v>20930698.536191225</v>
      </c>
      <c r="S282">
        <f t="shared" si="968"/>
        <v>209.30698536191224</v>
      </c>
      <c r="T282">
        <f t="shared" si="969"/>
        <v>0.20930698536191225</v>
      </c>
    </row>
    <row r="283" spans="1:20" x14ac:dyDescent="0.25">
      <c r="A283" s="5">
        <v>44310</v>
      </c>
      <c r="B283">
        <v>15.209300000000001</v>
      </c>
      <c r="C283">
        <v>15.264699999999999</v>
      </c>
      <c r="D283">
        <v>13.387499999999999</v>
      </c>
      <c r="E283">
        <v>13.735799999999999</v>
      </c>
      <c r="F283">
        <v>1838809.31</v>
      </c>
      <c r="G283">
        <v>0</v>
      </c>
      <c r="L283" t="s">
        <v>8</v>
      </c>
      <c r="M283" t="s">
        <v>7</v>
      </c>
      <c r="N283" t="s">
        <v>7</v>
      </c>
      <c r="P283">
        <f t="shared" si="965"/>
        <v>-0.6289154059237162</v>
      </c>
      <c r="Q283">
        <f t="shared" si="966"/>
        <v>-1156455.5036149586</v>
      </c>
      <c r="R283">
        <f t="shared" si="967"/>
        <v>21168910.994966153</v>
      </c>
      <c r="S283">
        <f t="shared" si="968"/>
        <v>211.68910994966154</v>
      </c>
      <c r="T283">
        <f t="shared" si="969"/>
        <v>0.21168910994966153</v>
      </c>
    </row>
    <row r="284" spans="1:20" x14ac:dyDescent="0.25">
      <c r="A284" s="5">
        <v>44309</v>
      </c>
      <c r="B284">
        <v>15.9178</v>
      </c>
      <c r="C284">
        <v>16.529399999999999</v>
      </c>
      <c r="D284">
        <v>13.629099999999999</v>
      </c>
      <c r="E284">
        <v>15.2536</v>
      </c>
      <c r="F284">
        <v>3705942.59</v>
      </c>
      <c r="G284">
        <v>0</v>
      </c>
      <c r="L284" t="s">
        <v>7</v>
      </c>
      <c r="M284" t="s">
        <v>7</v>
      </c>
      <c r="N284" t="s">
        <v>7</v>
      </c>
      <c r="P284">
        <f t="shared" si="965"/>
        <v>0.12022894183360436</v>
      </c>
      <c r="Q284">
        <f t="shared" si="966"/>
        <v>445561.55609178706</v>
      </c>
      <c r="R284">
        <f t="shared" si="967"/>
        <v>22325366.498581111</v>
      </c>
      <c r="S284">
        <f t="shared" si="968"/>
        <v>223.25366498581113</v>
      </c>
      <c r="T284">
        <f t="shared" si="969"/>
        <v>0.22325366498581112</v>
      </c>
    </row>
    <row r="285" spans="1:20" x14ac:dyDescent="0.25">
      <c r="A285" s="5">
        <v>44308</v>
      </c>
      <c r="B285">
        <v>15.9207</v>
      </c>
      <c r="C285">
        <v>19.334399999999999</v>
      </c>
      <c r="D285">
        <v>15.531000000000001</v>
      </c>
      <c r="E285">
        <v>15.9001</v>
      </c>
      <c r="F285">
        <v>4804743.7699999996</v>
      </c>
      <c r="G285">
        <v>0</v>
      </c>
      <c r="L285" t="s">
        <v>8</v>
      </c>
      <c r="M285" t="s">
        <v>8</v>
      </c>
      <c r="N285" t="s">
        <v>8</v>
      </c>
      <c r="P285">
        <f t="shared" si="965"/>
        <v>-0.8059105011305675</v>
      </c>
      <c r="Q285">
        <f t="shared" si="966"/>
        <v>-3872193.4594846717</v>
      </c>
      <c r="R285">
        <f t="shared" si="967"/>
        <v>21879804.942489326</v>
      </c>
      <c r="S285">
        <f t="shared" si="968"/>
        <v>218.79804942489326</v>
      </c>
      <c r="T285">
        <f t="shared" si="969"/>
        <v>0.21879804942489325</v>
      </c>
    </row>
    <row r="286" spans="1:20" x14ac:dyDescent="0.25">
      <c r="A286" s="5">
        <v>44307</v>
      </c>
      <c r="B286">
        <v>16.246500000000001</v>
      </c>
      <c r="C286">
        <v>17.465900000000001</v>
      </c>
      <c r="D286">
        <v>15.345000000000001</v>
      </c>
      <c r="E286">
        <v>15.9223</v>
      </c>
      <c r="F286">
        <v>2263800.81</v>
      </c>
      <c r="G286">
        <v>0</v>
      </c>
      <c r="L286" t="s">
        <v>8</v>
      </c>
      <c r="M286" t="s">
        <v>8</v>
      </c>
      <c r="N286" t="s">
        <v>8</v>
      </c>
      <c r="P286">
        <f t="shared" si="965"/>
        <v>-0.45560846810316463</v>
      </c>
      <c r="Q286">
        <f t="shared" si="966"/>
        <v>-1031406.8191348033</v>
      </c>
      <c r="R286">
        <f t="shared" si="967"/>
        <v>25751998.401973996</v>
      </c>
      <c r="S286">
        <f t="shared" si="968"/>
        <v>257.51998401973998</v>
      </c>
      <c r="T286">
        <f t="shared" si="969"/>
        <v>0.25751998401973997</v>
      </c>
    </row>
    <row r="287" spans="1:20" x14ac:dyDescent="0.25">
      <c r="A287" s="5">
        <v>44306</v>
      </c>
      <c r="B287">
        <v>15.303100000000001</v>
      </c>
      <c r="C287">
        <v>16.936599999999999</v>
      </c>
      <c r="D287">
        <v>13.571</v>
      </c>
      <c r="E287">
        <v>16.2455</v>
      </c>
      <c r="F287">
        <v>2494175.9700000002</v>
      </c>
      <c r="G287">
        <v>0</v>
      </c>
      <c r="L287" t="s">
        <v>7</v>
      </c>
      <c r="M287" t="s">
        <v>7</v>
      </c>
      <c r="N287" t="s">
        <v>8</v>
      </c>
      <c r="P287">
        <f t="shared" si="965"/>
        <v>0.58931542666983661</v>
      </c>
      <c r="Q287">
        <f t="shared" si="966"/>
        <v>1469856.3759502037</v>
      </c>
      <c r="R287">
        <f t="shared" si="967"/>
        <v>26783405.221108798</v>
      </c>
      <c r="S287">
        <f t="shared" si="968"/>
        <v>267.83405221108796</v>
      </c>
      <c r="T287">
        <f t="shared" si="969"/>
        <v>0.26783405221108797</v>
      </c>
    </row>
    <row r="288" spans="1:20" x14ac:dyDescent="0.25">
      <c r="A288" s="5">
        <v>44305</v>
      </c>
      <c r="B288">
        <v>17.1188</v>
      </c>
      <c r="C288">
        <v>18.072700000000001</v>
      </c>
      <c r="D288">
        <v>14.714</v>
      </c>
      <c r="E288">
        <v>15.282999999999999</v>
      </c>
      <c r="F288">
        <v>3061734.43</v>
      </c>
      <c r="G288">
        <v>0</v>
      </c>
      <c r="L288" t="s">
        <v>8</v>
      </c>
      <c r="M288" t="s">
        <v>8</v>
      </c>
      <c r="N288" t="s">
        <v>8</v>
      </c>
      <c r="P288">
        <f t="shared" si="965"/>
        <v>-0.66117843213148009</v>
      </c>
      <c r="Q288">
        <f t="shared" si="966"/>
        <v>-2024352.7700303709</v>
      </c>
      <c r="R288">
        <f t="shared" si="967"/>
        <v>25313548.845158596</v>
      </c>
      <c r="S288">
        <f t="shared" si="968"/>
        <v>253.13548845158596</v>
      </c>
      <c r="T288">
        <f t="shared" si="969"/>
        <v>0.25313548845158595</v>
      </c>
    </row>
    <row r="289" spans="1:20" x14ac:dyDescent="0.25">
      <c r="A289" s="5">
        <v>44304</v>
      </c>
      <c r="B289">
        <v>19.805099999999999</v>
      </c>
      <c r="C289">
        <v>20</v>
      </c>
      <c r="D289">
        <v>11.0091</v>
      </c>
      <c r="E289">
        <v>17.134</v>
      </c>
      <c r="F289">
        <v>5101329.25</v>
      </c>
      <c r="G289">
        <v>0</v>
      </c>
      <c r="L289" t="s">
        <v>7</v>
      </c>
      <c r="M289" t="s">
        <v>7</v>
      </c>
      <c r="N289" t="s">
        <v>7</v>
      </c>
      <c r="P289">
        <f t="shared" si="965"/>
        <v>0.36246649389938723</v>
      </c>
      <c r="Q289">
        <f t="shared" si="966"/>
        <v>1849060.9274738906</v>
      </c>
      <c r="R289">
        <f t="shared" si="967"/>
        <v>27337901.615188967</v>
      </c>
      <c r="S289">
        <f t="shared" si="968"/>
        <v>273.37901615188969</v>
      </c>
      <c r="T289">
        <f t="shared" si="969"/>
        <v>0.2733790161518897</v>
      </c>
    </row>
    <row r="290" spans="1:20" x14ac:dyDescent="0.25">
      <c r="A290" s="5">
        <v>44303</v>
      </c>
      <c r="B290">
        <v>20.9451</v>
      </c>
      <c r="C290">
        <v>22.8794</v>
      </c>
      <c r="D290">
        <v>18.578199999999999</v>
      </c>
      <c r="E290">
        <v>19.803899999999999</v>
      </c>
      <c r="F290">
        <v>3063235.61</v>
      </c>
      <c r="G290">
        <v>0</v>
      </c>
      <c r="L290" t="s">
        <v>7</v>
      </c>
      <c r="M290" t="s">
        <v>7</v>
      </c>
      <c r="N290" t="s">
        <v>8</v>
      </c>
      <c r="P290">
        <f t="shared" si="965"/>
        <v>-0.43006602808518585</v>
      </c>
      <c r="Q290">
        <f t="shared" si="966"/>
        <v>-1317393.5718818014</v>
      </c>
      <c r="R290">
        <f t="shared" si="967"/>
        <v>25488840.687715076</v>
      </c>
      <c r="S290">
        <f t="shared" si="968"/>
        <v>254.88840687715077</v>
      </c>
      <c r="T290">
        <f t="shared" si="969"/>
        <v>0.25488840687715075</v>
      </c>
    </row>
    <row r="291" spans="1:20" x14ac:dyDescent="0.25">
      <c r="A291" s="5">
        <v>44302</v>
      </c>
      <c r="B291">
        <v>20.870999999999999</v>
      </c>
      <c r="C291">
        <v>22.051200000000001</v>
      </c>
      <c r="D291">
        <v>19.190000000000001</v>
      </c>
      <c r="E291">
        <v>20.964700000000001</v>
      </c>
      <c r="F291">
        <v>3956025.18</v>
      </c>
      <c r="G291">
        <v>0</v>
      </c>
      <c r="L291" t="s">
        <v>7</v>
      </c>
      <c r="M291" t="s">
        <v>7</v>
      </c>
      <c r="N291" t="s">
        <v>8</v>
      </c>
      <c r="P291">
        <f t="shared" si="965"/>
        <v>0.24052844960156519</v>
      </c>
      <c r="Q291">
        <f t="shared" si="966"/>
        <v>951536.60313015291</v>
      </c>
      <c r="R291">
        <f t="shared" si="967"/>
        <v>26806234.259596877</v>
      </c>
      <c r="S291">
        <f t="shared" si="968"/>
        <v>268.06234259596874</v>
      </c>
      <c r="T291">
        <f t="shared" si="969"/>
        <v>0.26806234259596873</v>
      </c>
    </row>
    <row r="292" spans="1:20" x14ac:dyDescent="0.25">
      <c r="A292" s="5">
        <v>44301</v>
      </c>
      <c r="B292">
        <v>17.575700000000001</v>
      </c>
      <c r="C292">
        <v>23.304600000000001</v>
      </c>
      <c r="D292">
        <v>17.4909</v>
      </c>
      <c r="E292">
        <v>20.870899999999999</v>
      </c>
      <c r="F292">
        <v>9346604.4499999993</v>
      </c>
      <c r="G292">
        <v>0</v>
      </c>
      <c r="L292" t="s">
        <v>8</v>
      </c>
      <c r="M292" t="s">
        <v>8</v>
      </c>
      <c r="N292" t="s">
        <v>8</v>
      </c>
      <c r="P292">
        <f t="shared" si="965"/>
        <v>0.1627706968023801</v>
      </c>
      <c r="Q292">
        <f t="shared" si="966"/>
        <v>1521353.3190627266</v>
      </c>
      <c r="R292">
        <f t="shared" si="967"/>
        <v>25854697.656466722</v>
      </c>
      <c r="S292">
        <f t="shared" si="968"/>
        <v>258.5469765646672</v>
      </c>
      <c r="T292">
        <f t="shared" si="969"/>
        <v>0.25854697656466719</v>
      </c>
    </row>
    <row r="293" spans="1:20" x14ac:dyDescent="0.25">
      <c r="A293" s="5">
        <v>44300</v>
      </c>
      <c r="B293">
        <v>16.997299999999999</v>
      </c>
      <c r="C293">
        <v>17.850000000000001</v>
      </c>
      <c r="D293">
        <v>15.808299999999999</v>
      </c>
      <c r="E293">
        <v>17.575700000000001</v>
      </c>
      <c r="F293">
        <v>2211412</v>
      </c>
      <c r="G293">
        <v>0</v>
      </c>
      <c r="L293" t="s">
        <v>7</v>
      </c>
      <c r="M293" t="s">
        <v>8</v>
      </c>
      <c r="N293" t="s">
        <v>8</v>
      </c>
      <c r="P293">
        <f t="shared" si="965"/>
        <v>0.73130234608414568</v>
      </c>
      <c r="Q293">
        <f t="shared" si="966"/>
        <v>1617210.7837586328</v>
      </c>
      <c r="R293">
        <f t="shared" si="967"/>
        <v>24333344.337403994</v>
      </c>
      <c r="S293">
        <f t="shared" si="968"/>
        <v>243.33344337403994</v>
      </c>
      <c r="T293">
        <f t="shared" si="969"/>
        <v>0.24333344337403995</v>
      </c>
    </row>
    <row r="294" spans="1:20" x14ac:dyDescent="0.25">
      <c r="A294" s="5">
        <v>44299</v>
      </c>
      <c r="B294">
        <v>16.839300000000001</v>
      </c>
      <c r="C294">
        <v>17.274899999999999</v>
      </c>
      <c r="D294">
        <v>16.101500000000001</v>
      </c>
      <c r="E294">
        <v>16.997299999999999</v>
      </c>
      <c r="F294">
        <v>1876528.74</v>
      </c>
      <c r="G294">
        <v>0</v>
      </c>
      <c r="L294" t="s">
        <v>7</v>
      </c>
      <c r="M294" t="s">
        <v>8</v>
      </c>
      <c r="N294" t="s">
        <v>8</v>
      </c>
      <c r="P294">
        <f t="shared" si="965"/>
        <v>0.52684506562127109</v>
      </c>
      <c r="Q294">
        <f t="shared" si="966"/>
        <v>988639.90716550115</v>
      </c>
      <c r="R294">
        <f t="shared" si="967"/>
        <v>22716133.553645361</v>
      </c>
      <c r="S294">
        <f t="shared" si="968"/>
        <v>227.16133553645361</v>
      </c>
      <c r="T294">
        <f t="shared" si="969"/>
        <v>0.2271613355364536</v>
      </c>
    </row>
    <row r="295" spans="1:20" x14ac:dyDescent="0.25">
      <c r="A295" s="5">
        <v>44298</v>
      </c>
      <c r="B295">
        <v>17.930499999999999</v>
      </c>
      <c r="C295">
        <v>18.1921</v>
      </c>
      <c r="D295">
        <v>16.4072</v>
      </c>
      <c r="E295">
        <v>16.839099999999998</v>
      </c>
      <c r="F295">
        <v>1501850.25</v>
      </c>
      <c r="G295">
        <v>0</v>
      </c>
      <c r="L295" t="s">
        <v>7</v>
      </c>
      <c r="M295" t="s">
        <v>8</v>
      </c>
      <c r="N295" t="s">
        <v>8</v>
      </c>
      <c r="P295">
        <f t="shared" si="965"/>
        <v>-0.5160513194016485</v>
      </c>
      <c r="Q295">
        <f t="shared" si="966"/>
        <v>-775031.80305619561</v>
      </c>
      <c r="R295">
        <f t="shared" si="967"/>
        <v>21727493.64647986</v>
      </c>
      <c r="S295">
        <f t="shared" si="968"/>
        <v>217.2749364647986</v>
      </c>
      <c r="T295">
        <f t="shared" si="969"/>
        <v>0.21727493646479859</v>
      </c>
    </row>
    <row r="296" spans="1:20" x14ac:dyDescent="0.25">
      <c r="A296" s="5">
        <v>44297</v>
      </c>
      <c r="B296">
        <v>17.023</v>
      </c>
      <c r="C296">
        <v>18.555499999999999</v>
      </c>
      <c r="D296">
        <v>16.482700000000001</v>
      </c>
      <c r="E296">
        <v>17.945599999999999</v>
      </c>
      <c r="F296">
        <v>2060792.09</v>
      </c>
      <c r="G296">
        <v>0</v>
      </c>
      <c r="L296" t="s">
        <v>8</v>
      </c>
      <c r="M296" t="s">
        <v>8</v>
      </c>
      <c r="N296" t="s">
        <v>8</v>
      </c>
      <c r="P296">
        <f t="shared" si="965"/>
        <v>0.41152064839830138</v>
      </c>
      <c r="Q296">
        <f t="shared" si="966"/>
        <v>848058.49709089065</v>
      </c>
      <c r="R296">
        <f t="shared" si="967"/>
        <v>22502525.449536055</v>
      </c>
      <c r="S296">
        <f t="shared" si="968"/>
        <v>225.02525449536054</v>
      </c>
      <c r="T296">
        <f t="shared" si="969"/>
        <v>0.22502525449536054</v>
      </c>
    </row>
    <row r="297" spans="1:20" x14ac:dyDescent="0.25">
      <c r="A297" s="5">
        <v>44296</v>
      </c>
      <c r="B297">
        <v>17.406500000000001</v>
      </c>
      <c r="C297">
        <v>17.863700000000001</v>
      </c>
      <c r="D297">
        <v>16.481400000000001</v>
      </c>
      <c r="E297">
        <v>17.023</v>
      </c>
      <c r="F297">
        <v>1867460.37</v>
      </c>
      <c r="G297">
        <v>0</v>
      </c>
      <c r="L297" t="s">
        <v>7</v>
      </c>
      <c r="M297" t="s">
        <v>8</v>
      </c>
      <c r="N297" t="s">
        <v>8</v>
      </c>
      <c r="P297">
        <f t="shared" si="965"/>
        <v>-0.21637849960211433</v>
      </c>
      <c r="Q297">
        <f t="shared" si="966"/>
        <v>-404078.27292700933</v>
      </c>
      <c r="R297">
        <f t="shared" si="967"/>
        <v>21654466.952445164</v>
      </c>
      <c r="S297">
        <f t="shared" si="968"/>
        <v>216.54466952445165</v>
      </c>
      <c r="T297">
        <f t="shared" si="969"/>
        <v>0.21654466952445164</v>
      </c>
    </row>
    <row r="298" spans="1:20" x14ac:dyDescent="0.25">
      <c r="A298" s="5">
        <v>44295</v>
      </c>
      <c r="B298">
        <v>17.143699999999999</v>
      </c>
      <c r="C298">
        <v>17.851099999999999</v>
      </c>
      <c r="D298">
        <v>16.370200000000001</v>
      </c>
      <c r="E298">
        <v>17.406500000000001</v>
      </c>
      <c r="F298">
        <v>2071165.67</v>
      </c>
      <c r="G298">
        <v>0</v>
      </c>
      <c r="L298" t="s">
        <v>8</v>
      </c>
      <c r="M298" t="s">
        <v>8</v>
      </c>
      <c r="N298" t="s">
        <v>8</v>
      </c>
      <c r="P298">
        <f t="shared" si="965"/>
        <v>0.39955432507259347</v>
      </c>
      <c r="Q298">
        <f t="shared" si="966"/>
        <v>827543.20139037585</v>
      </c>
      <c r="R298">
        <f t="shared" si="967"/>
        <v>22058545.225372173</v>
      </c>
      <c r="S298">
        <f t="shared" si="968"/>
        <v>220.58545225372174</v>
      </c>
      <c r="T298">
        <f t="shared" si="969"/>
        <v>0.22058545225372175</v>
      </c>
    </row>
    <row r="299" spans="1:20" x14ac:dyDescent="0.25">
      <c r="A299" s="5">
        <v>44294</v>
      </c>
      <c r="B299">
        <v>16.055</v>
      </c>
      <c r="C299">
        <v>17.594899999999999</v>
      </c>
      <c r="D299">
        <v>15.799899999999999</v>
      </c>
      <c r="E299">
        <v>17.160900000000002</v>
      </c>
      <c r="F299">
        <v>1582470.27</v>
      </c>
      <c r="G299">
        <v>0</v>
      </c>
      <c r="L299" t="s">
        <v>8</v>
      </c>
      <c r="M299" t="s">
        <v>7</v>
      </c>
      <c r="N299" t="s">
        <v>8</v>
      </c>
      <c r="P299">
        <f t="shared" si="965"/>
        <v>0.51643454038997494</v>
      </c>
      <c r="Q299">
        <f t="shared" si="966"/>
        <v>817242.30656824959</v>
      </c>
      <c r="R299">
        <f t="shared" si="967"/>
        <v>21231002.023981798</v>
      </c>
      <c r="S299">
        <f t="shared" si="968"/>
        <v>212.31002023981799</v>
      </c>
      <c r="T299">
        <f t="shared" si="969"/>
        <v>0.21231002023981799</v>
      </c>
    </row>
    <row r="300" spans="1:20" x14ac:dyDescent="0.25">
      <c r="A300" s="5">
        <v>44293</v>
      </c>
      <c r="B300">
        <v>18.278700000000001</v>
      </c>
      <c r="C300">
        <v>18.41</v>
      </c>
      <c r="D300">
        <v>15.03</v>
      </c>
      <c r="E300">
        <v>16.055700000000002</v>
      </c>
      <c r="F300">
        <v>2763150.33</v>
      </c>
      <c r="G300">
        <v>0</v>
      </c>
      <c r="L300" t="s">
        <v>7</v>
      </c>
      <c r="M300" t="s">
        <v>7</v>
      </c>
      <c r="N300" t="s">
        <v>8</v>
      </c>
      <c r="P300">
        <f t="shared" si="965"/>
        <v>-0.39307692307692188</v>
      </c>
      <c r="Q300">
        <f t="shared" si="966"/>
        <v>-1086130.6297153814</v>
      </c>
      <c r="R300">
        <f t="shared" si="967"/>
        <v>20413759.717413548</v>
      </c>
      <c r="S300">
        <f t="shared" si="968"/>
        <v>204.13759717413549</v>
      </c>
      <c r="T300">
        <f t="shared" si="969"/>
        <v>0.20413759717413549</v>
      </c>
    </row>
    <row r="301" spans="1:20" x14ac:dyDescent="0.25">
      <c r="A301" s="5">
        <v>44292</v>
      </c>
      <c r="B301">
        <v>17.696000000000002</v>
      </c>
      <c r="C301">
        <v>18.75</v>
      </c>
      <c r="D301">
        <v>16.666899999999998</v>
      </c>
      <c r="E301">
        <v>18.251200000000001</v>
      </c>
      <c r="F301">
        <v>2371093.8199999998</v>
      </c>
      <c r="G301">
        <v>0</v>
      </c>
      <c r="L301" t="s">
        <v>7</v>
      </c>
      <c r="M301" t="s">
        <v>8</v>
      </c>
      <c r="N301" t="s">
        <v>8</v>
      </c>
      <c r="P301">
        <f t="shared" si="965"/>
        <v>0.52109836301665902</v>
      </c>
      <c r="Q301">
        <f t="shared" si="966"/>
        <v>1235573.1081609167</v>
      </c>
      <c r="R301">
        <f t="shared" si="967"/>
        <v>21499890.347128931</v>
      </c>
      <c r="S301">
        <f t="shared" si="968"/>
        <v>214.99890347128931</v>
      </c>
      <c r="T301">
        <f t="shared" si="969"/>
        <v>0.2149989034712893</v>
      </c>
    </row>
    <row r="302" spans="1:20" x14ac:dyDescent="0.25">
      <c r="A302" s="5">
        <v>44291</v>
      </c>
      <c r="B302">
        <v>17.223600000000001</v>
      </c>
      <c r="C302">
        <v>18.95</v>
      </c>
      <c r="D302">
        <v>16.288599999999999</v>
      </c>
      <c r="E302">
        <v>17.690000000000001</v>
      </c>
      <c r="F302">
        <v>3259942.85</v>
      </c>
      <c r="G302">
        <v>0</v>
      </c>
      <c r="L302" t="s">
        <v>8</v>
      </c>
      <c r="M302" t="s">
        <v>8</v>
      </c>
      <c r="N302" t="s">
        <v>8</v>
      </c>
      <c r="P302">
        <f t="shared" si="965"/>
        <v>5.3129931614941152E-2</v>
      </c>
      <c r="Q302">
        <f t="shared" si="966"/>
        <v>173200.54068911637</v>
      </c>
      <c r="R302">
        <f t="shared" si="967"/>
        <v>20264317.238968015</v>
      </c>
      <c r="S302">
        <f t="shared" si="968"/>
        <v>202.64317238968016</v>
      </c>
      <c r="T302">
        <f t="shared" si="969"/>
        <v>0.20264317238968016</v>
      </c>
    </row>
    <row r="303" spans="1:20" x14ac:dyDescent="0.25">
      <c r="A303" s="5">
        <v>44290</v>
      </c>
      <c r="B303">
        <v>15.742000000000001</v>
      </c>
      <c r="C303">
        <v>17.477900000000002</v>
      </c>
      <c r="D303">
        <v>15.4391</v>
      </c>
      <c r="E303">
        <v>17.2209</v>
      </c>
      <c r="F303">
        <v>1856130.09</v>
      </c>
      <c r="G303">
        <v>0</v>
      </c>
      <c r="L303" t="s">
        <v>8</v>
      </c>
      <c r="M303" t="s">
        <v>8</v>
      </c>
      <c r="N303" t="s">
        <v>8</v>
      </c>
      <c r="P303">
        <f t="shared" si="965"/>
        <v>0.7478909162252293</v>
      </c>
      <c r="Q303">
        <f t="shared" si="966"/>
        <v>1388182.8336433175</v>
      </c>
      <c r="R303">
        <f t="shared" si="967"/>
        <v>20091116.698278897</v>
      </c>
      <c r="S303">
        <f t="shared" si="968"/>
        <v>200.91116698278896</v>
      </c>
      <c r="T303">
        <f t="shared" si="969"/>
        <v>0.20091116698278896</v>
      </c>
    </row>
    <row r="304" spans="1:20" x14ac:dyDescent="0.25">
      <c r="A304" s="5">
        <v>44289</v>
      </c>
      <c r="B304">
        <v>16.127700000000001</v>
      </c>
      <c r="C304">
        <v>17.600000000000001</v>
      </c>
      <c r="D304">
        <v>15.6418</v>
      </c>
      <c r="E304">
        <v>15.7437</v>
      </c>
      <c r="F304">
        <v>3036060.25</v>
      </c>
      <c r="G304">
        <v>0</v>
      </c>
      <c r="L304" t="s">
        <v>7</v>
      </c>
      <c r="M304" t="s">
        <v>8</v>
      </c>
      <c r="N304" t="s">
        <v>8</v>
      </c>
      <c r="P304">
        <f t="shared" si="965"/>
        <v>-0.89592482892452208</v>
      </c>
      <c r="Q304">
        <f t="shared" si="966"/>
        <v>-2720081.7600857918</v>
      </c>
      <c r="R304">
        <f t="shared" si="967"/>
        <v>18702933.864635579</v>
      </c>
      <c r="S304">
        <f t="shared" si="968"/>
        <v>187.0293386463558</v>
      </c>
      <c r="T304">
        <f t="shared" si="969"/>
        <v>0.18702933864635579</v>
      </c>
    </row>
    <row r="305" spans="1:20" x14ac:dyDescent="0.25">
      <c r="A305" s="5">
        <v>44288</v>
      </c>
      <c r="B305">
        <v>16.4086</v>
      </c>
      <c r="C305">
        <v>16.817900000000002</v>
      </c>
      <c r="D305">
        <v>15.7203</v>
      </c>
      <c r="E305">
        <v>16.134499999999999</v>
      </c>
      <c r="F305">
        <v>1739953.69</v>
      </c>
      <c r="G305">
        <v>0</v>
      </c>
      <c r="L305" t="s">
        <v>7</v>
      </c>
      <c r="M305" t="s">
        <v>8</v>
      </c>
      <c r="N305" t="s">
        <v>8</v>
      </c>
      <c r="P305">
        <f t="shared" si="965"/>
        <v>-0.2452623906705565</v>
      </c>
      <c r="Q305">
        <f t="shared" si="966"/>
        <v>-426745.20166545635</v>
      </c>
      <c r="R305">
        <f t="shared" si="967"/>
        <v>21423015.624721371</v>
      </c>
      <c r="S305">
        <f t="shared" si="968"/>
        <v>214.2301562472137</v>
      </c>
      <c r="T305">
        <f t="shared" si="969"/>
        <v>0.2142301562472137</v>
      </c>
    </row>
    <row r="306" spans="1:20" x14ac:dyDescent="0.25">
      <c r="A306" s="5">
        <v>44287</v>
      </c>
      <c r="B306">
        <v>16.742699999999999</v>
      </c>
      <c r="C306">
        <v>17.79</v>
      </c>
      <c r="D306">
        <v>15.739100000000001</v>
      </c>
      <c r="E306">
        <v>16.408200000000001</v>
      </c>
      <c r="F306">
        <v>3028189.99</v>
      </c>
      <c r="G306">
        <v>0</v>
      </c>
      <c r="L306" t="s">
        <v>8</v>
      </c>
      <c r="M306" t="s">
        <v>8</v>
      </c>
      <c r="N306" t="s">
        <v>8</v>
      </c>
      <c r="P306">
        <f t="shared" si="965"/>
        <v>-0.34750597298746821</v>
      </c>
      <c r="Q306">
        <f t="shared" si="966"/>
        <v>-1052314.1088658618</v>
      </c>
      <c r="R306">
        <f t="shared" si="967"/>
        <v>21849760.826386828</v>
      </c>
      <c r="S306">
        <f t="shared" si="968"/>
        <v>218.49760826386827</v>
      </c>
      <c r="T306">
        <f t="shared" si="969"/>
        <v>0.21849760826386827</v>
      </c>
    </row>
    <row r="307" spans="1:20" x14ac:dyDescent="0.25">
      <c r="A307" s="5">
        <v>44286</v>
      </c>
      <c r="B307">
        <v>14.157999999999999</v>
      </c>
      <c r="C307">
        <v>17.239699999999999</v>
      </c>
      <c r="D307">
        <v>13.2569</v>
      </c>
      <c r="E307">
        <v>16.749400000000001</v>
      </c>
      <c r="F307">
        <v>4680553.3600000003</v>
      </c>
      <c r="G307">
        <v>0</v>
      </c>
      <c r="L307" t="s">
        <v>8</v>
      </c>
      <c r="M307" t="s">
        <v>8</v>
      </c>
      <c r="N307" t="s">
        <v>8</v>
      </c>
      <c r="P307">
        <f t="shared" si="965"/>
        <v>0.75379130260118621</v>
      </c>
      <c r="Q307">
        <f t="shared" si="966"/>
        <v>3528160.4141287589</v>
      </c>
      <c r="R307">
        <f t="shared" si="967"/>
        <v>22902074.935252689</v>
      </c>
      <c r="S307">
        <f t="shared" si="968"/>
        <v>229.02074935252688</v>
      </c>
      <c r="T307">
        <f t="shared" si="969"/>
        <v>0.22902074935252686</v>
      </c>
    </row>
    <row r="308" spans="1:20" x14ac:dyDescent="0.25">
      <c r="A308" s="5">
        <v>44285</v>
      </c>
      <c r="B308">
        <v>14.624000000000001</v>
      </c>
      <c r="C308">
        <v>15</v>
      </c>
      <c r="D308">
        <v>14.035</v>
      </c>
      <c r="E308">
        <v>14.1576</v>
      </c>
      <c r="F308">
        <v>1546190.14</v>
      </c>
      <c r="G308">
        <v>0</v>
      </c>
      <c r="L308" t="s">
        <v>8</v>
      </c>
      <c r="M308" t="s">
        <v>8</v>
      </c>
      <c r="N308" t="s">
        <v>8</v>
      </c>
      <c r="P308">
        <f t="shared" si="965"/>
        <v>-0.74590673575129474</v>
      </c>
      <c r="Q308">
        <f t="shared" si="966"/>
        <v>-1153313.6401782373</v>
      </c>
      <c r="R308">
        <f t="shared" si="967"/>
        <v>19373914.521123931</v>
      </c>
      <c r="S308">
        <f t="shared" si="968"/>
        <v>193.7391452112393</v>
      </c>
      <c r="T308">
        <f t="shared" si="969"/>
        <v>0.19373914521123931</v>
      </c>
    </row>
    <row r="309" spans="1:20" x14ac:dyDescent="0.25">
      <c r="A309" s="5">
        <v>44284</v>
      </c>
      <c r="B309">
        <v>14.0619</v>
      </c>
      <c r="C309">
        <v>14.7887</v>
      </c>
      <c r="D309">
        <v>13.7118</v>
      </c>
      <c r="E309">
        <v>14.626099999999999</v>
      </c>
      <c r="F309">
        <v>1445927.58</v>
      </c>
      <c r="G309">
        <v>0</v>
      </c>
      <c r="L309" t="s">
        <v>7</v>
      </c>
      <c r="M309" t="s">
        <v>8</v>
      </c>
      <c r="N309" t="s">
        <v>8</v>
      </c>
      <c r="P309">
        <f t="shared" si="965"/>
        <v>0.69802210047357938</v>
      </c>
      <c r="Q309">
        <f t="shared" si="966"/>
        <v>1009289.4065242795</v>
      </c>
      <c r="R309">
        <f t="shared" si="967"/>
        <v>20527228.161302168</v>
      </c>
      <c r="S309">
        <f t="shared" si="968"/>
        <v>205.27228161302168</v>
      </c>
      <c r="T309">
        <f t="shared" si="969"/>
        <v>0.20527228161302166</v>
      </c>
    </row>
    <row r="310" spans="1:20" x14ac:dyDescent="0.25">
      <c r="A310" s="5">
        <v>44283</v>
      </c>
      <c r="B310">
        <v>13.7233</v>
      </c>
      <c r="C310">
        <v>14.875500000000001</v>
      </c>
      <c r="D310">
        <v>13.4649</v>
      </c>
      <c r="E310">
        <v>14.0436</v>
      </c>
      <c r="F310">
        <v>2275179.77</v>
      </c>
      <c r="G310">
        <v>0</v>
      </c>
      <c r="L310" t="s">
        <v>8</v>
      </c>
      <c r="M310" t="s">
        <v>8</v>
      </c>
      <c r="N310" t="s">
        <v>8</v>
      </c>
      <c r="P310">
        <f t="shared" si="965"/>
        <v>-0.17949808592088567</v>
      </c>
      <c r="Q310">
        <f t="shared" si="966"/>
        <v>-408390.4138409209</v>
      </c>
      <c r="R310">
        <f t="shared" si="967"/>
        <v>19517938.75477789</v>
      </c>
      <c r="S310">
        <f t="shared" si="968"/>
        <v>195.1793875477789</v>
      </c>
      <c r="T310">
        <f t="shared" si="969"/>
        <v>0.19517938754777892</v>
      </c>
    </row>
    <row r="311" spans="1:20" x14ac:dyDescent="0.25">
      <c r="A311" s="5">
        <v>44282</v>
      </c>
      <c r="B311">
        <v>12.708299999999999</v>
      </c>
      <c r="C311">
        <v>14.58</v>
      </c>
      <c r="D311">
        <v>12.157500000000001</v>
      </c>
      <c r="E311">
        <v>13.7254</v>
      </c>
      <c r="F311">
        <v>2179756.02</v>
      </c>
      <c r="G311">
        <v>0</v>
      </c>
      <c r="L311" t="s">
        <v>8</v>
      </c>
      <c r="M311" t="s">
        <v>8</v>
      </c>
      <c r="N311" t="s">
        <v>8</v>
      </c>
      <c r="P311">
        <f t="shared" si="965"/>
        <v>0.29444788441692482</v>
      </c>
      <c r="Q311">
        <f t="shared" si="966"/>
        <v>641824.54863405612</v>
      </c>
      <c r="R311">
        <f t="shared" si="967"/>
        <v>19926329.168618809</v>
      </c>
      <c r="S311">
        <f t="shared" si="968"/>
        <v>199.2632916861881</v>
      </c>
      <c r="T311">
        <f t="shared" si="969"/>
        <v>0.19926329168618809</v>
      </c>
    </row>
    <row r="312" spans="1:20" x14ac:dyDescent="0.25">
      <c r="A312" s="5">
        <v>44281</v>
      </c>
      <c r="B312">
        <v>11.6805</v>
      </c>
      <c r="C312">
        <v>12.857100000000001</v>
      </c>
      <c r="D312">
        <v>11.6534</v>
      </c>
      <c r="E312">
        <v>12.719799999999999</v>
      </c>
      <c r="F312">
        <v>762856.01</v>
      </c>
      <c r="G312">
        <v>0</v>
      </c>
      <c r="L312" t="s">
        <v>8</v>
      </c>
      <c r="M312" t="s">
        <v>7</v>
      </c>
      <c r="N312" t="s">
        <v>8</v>
      </c>
      <c r="P312">
        <f t="shared" si="965"/>
        <v>0.77187006729251251</v>
      </c>
      <c r="Q312">
        <f t="shared" si="966"/>
        <v>588825.71977319755</v>
      </c>
      <c r="R312">
        <f t="shared" si="967"/>
        <v>19284504.619984753</v>
      </c>
      <c r="S312">
        <f t="shared" si="968"/>
        <v>192.84504619984753</v>
      </c>
      <c r="T312">
        <f t="shared" si="969"/>
        <v>0.19284504619984752</v>
      </c>
    </row>
    <row r="313" spans="1:20" x14ac:dyDescent="0.25">
      <c r="A313" s="5">
        <v>44280</v>
      </c>
      <c r="B313">
        <v>11.835599999999999</v>
      </c>
      <c r="C313">
        <v>12.346399999999999</v>
      </c>
      <c r="D313">
        <v>11.200200000000001</v>
      </c>
      <c r="E313">
        <v>11.6904</v>
      </c>
      <c r="F313">
        <v>1218649.76</v>
      </c>
      <c r="G313">
        <v>0</v>
      </c>
      <c r="L313" t="s">
        <v>8</v>
      </c>
      <c r="M313" t="s">
        <v>7</v>
      </c>
      <c r="N313" t="s">
        <v>8</v>
      </c>
      <c r="P313">
        <f t="shared" si="965"/>
        <v>-0.14465189321235322</v>
      </c>
      <c r="Q313">
        <f t="shared" si="966"/>
        <v>-176279.99494677989</v>
      </c>
      <c r="R313">
        <f t="shared" si="967"/>
        <v>18695678.900211554</v>
      </c>
      <c r="S313">
        <f t="shared" si="968"/>
        <v>186.95678900211553</v>
      </c>
      <c r="T313">
        <f t="shared" si="969"/>
        <v>0.18695678900211551</v>
      </c>
    </row>
    <row r="314" spans="1:20" x14ac:dyDescent="0.25">
      <c r="A314" s="5">
        <v>44279</v>
      </c>
      <c r="B314">
        <v>13.011200000000001</v>
      </c>
      <c r="C314">
        <v>13.9246</v>
      </c>
      <c r="D314">
        <v>11.3093</v>
      </c>
      <c r="E314">
        <v>11.8607</v>
      </c>
      <c r="F314">
        <v>1586337.06</v>
      </c>
      <c r="G314">
        <v>0</v>
      </c>
      <c r="L314" t="s">
        <v>7</v>
      </c>
      <c r="M314" t="s">
        <v>7</v>
      </c>
      <c r="N314" t="s">
        <v>8</v>
      </c>
      <c r="P314">
        <f t="shared" si="965"/>
        <v>-0.5783275341261046</v>
      </c>
      <c r="Q314">
        <f t="shared" si="966"/>
        <v>-917422.40020265453</v>
      </c>
      <c r="R314">
        <f t="shared" si="967"/>
        <v>18871958.895158336</v>
      </c>
      <c r="S314">
        <f t="shared" si="968"/>
        <v>188.71958895158335</v>
      </c>
      <c r="T314">
        <f t="shared" si="969"/>
        <v>0.18871958895158333</v>
      </c>
    </row>
    <row r="315" spans="1:20" x14ac:dyDescent="0.25">
      <c r="A315" s="5">
        <v>44278</v>
      </c>
      <c r="B315">
        <v>13.0533</v>
      </c>
      <c r="C315">
        <v>14.023999999999999</v>
      </c>
      <c r="D315">
        <v>12.69</v>
      </c>
      <c r="E315">
        <v>13.0375</v>
      </c>
      <c r="F315">
        <v>1467221.98</v>
      </c>
      <c r="G315">
        <v>0</v>
      </c>
      <c r="L315" t="s">
        <v>7</v>
      </c>
      <c r="M315" t="s">
        <v>7</v>
      </c>
      <c r="N315" t="s">
        <v>8</v>
      </c>
      <c r="P315">
        <f t="shared" si="965"/>
        <v>-0.47901049475262331</v>
      </c>
      <c r="Q315">
        <f t="shared" si="966"/>
        <v>-702814.72655172355</v>
      </c>
      <c r="R315">
        <f t="shared" si="967"/>
        <v>19789381.29536099</v>
      </c>
      <c r="S315">
        <f t="shared" si="968"/>
        <v>197.89381295360991</v>
      </c>
      <c r="T315">
        <f t="shared" si="969"/>
        <v>0.19789381295360992</v>
      </c>
    </row>
    <row r="316" spans="1:20" x14ac:dyDescent="0.25">
      <c r="A316" s="5">
        <v>44277</v>
      </c>
      <c r="B316">
        <v>13.898</v>
      </c>
      <c r="C316">
        <v>14.95</v>
      </c>
      <c r="D316">
        <v>12.977399999999999</v>
      </c>
      <c r="E316">
        <v>13.049899999999999</v>
      </c>
      <c r="F316">
        <v>1527424.58</v>
      </c>
      <c r="G316">
        <v>0</v>
      </c>
      <c r="L316" t="s">
        <v>7</v>
      </c>
      <c r="M316" t="s">
        <v>7</v>
      </c>
      <c r="N316" t="s">
        <v>8</v>
      </c>
      <c r="P316">
        <f t="shared" si="965"/>
        <v>-0.92649295346243554</v>
      </c>
      <c r="Q316">
        <f t="shared" si="966"/>
        <v>-1415148.1103153203</v>
      </c>
      <c r="R316">
        <f t="shared" si="967"/>
        <v>20492196.021912713</v>
      </c>
      <c r="S316">
        <f t="shared" si="968"/>
        <v>204.92196021912713</v>
      </c>
      <c r="T316">
        <f t="shared" si="969"/>
        <v>0.20492196021912712</v>
      </c>
    </row>
    <row r="317" spans="1:20" x14ac:dyDescent="0.25">
      <c r="A317" s="5">
        <v>44276</v>
      </c>
      <c r="B317">
        <v>14.728999999999999</v>
      </c>
      <c r="C317">
        <v>14.734500000000001</v>
      </c>
      <c r="D317">
        <v>13.5082</v>
      </c>
      <c r="E317">
        <v>13.878500000000001</v>
      </c>
      <c r="F317">
        <v>1026168.43</v>
      </c>
      <c r="G317">
        <v>0</v>
      </c>
      <c r="L317" t="s">
        <v>7</v>
      </c>
      <c r="M317" t="s">
        <v>8</v>
      </c>
      <c r="N317" t="s">
        <v>8</v>
      </c>
      <c r="P317">
        <f t="shared" si="965"/>
        <v>-0.39606947728940678</v>
      </c>
      <c r="Q317">
        <f t="shared" si="966"/>
        <v>-406433.99368099123</v>
      </c>
      <c r="R317">
        <f t="shared" si="967"/>
        <v>21907344.132228032</v>
      </c>
      <c r="S317">
        <f t="shared" si="968"/>
        <v>219.07344132228033</v>
      </c>
      <c r="T317">
        <f t="shared" si="969"/>
        <v>0.21907344132228032</v>
      </c>
    </row>
    <row r="318" spans="1:20" x14ac:dyDescent="0.25">
      <c r="A318" s="5">
        <v>44275</v>
      </c>
      <c r="B318">
        <v>14.178000000000001</v>
      </c>
      <c r="C318">
        <v>15.389799999999999</v>
      </c>
      <c r="D318">
        <v>14.100099999999999</v>
      </c>
      <c r="E318">
        <v>14.728999999999999</v>
      </c>
      <c r="F318">
        <v>1536240.22</v>
      </c>
      <c r="G318">
        <v>0</v>
      </c>
      <c r="L318" t="s">
        <v>8</v>
      </c>
      <c r="M318" t="s">
        <v>8</v>
      </c>
      <c r="N318" t="s">
        <v>8</v>
      </c>
      <c r="P318">
        <f t="shared" si="965"/>
        <v>-2.4734434364581115E-2</v>
      </c>
      <c r="Q318">
        <f t="shared" si="966"/>
        <v>-37998.032889819653</v>
      </c>
      <c r="R318">
        <f t="shared" si="967"/>
        <v>22313778.125909023</v>
      </c>
      <c r="S318">
        <f t="shared" si="968"/>
        <v>223.13778125909022</v>
      </c>
      <c r="T318">
        <f t="shared" si="969"/>
        <v>0.22313778125909023</v>
      </c>
    </row>
    <row r="319" spans="1:20" x14ac:dyDescent="0.25">
      <c r="A319" s="5">
        <v>44274</v>
      </c>
      <c r="B319">
        <v>13.9964</v>
      </c>
      <c r="C319">
        <v>14.6599</v>
      </c>
      <c r="D319">
        <v>13.6</v>
      </c>
      <c r="E319">
        <v>14.186999999999999</v>
      </c>
      <c r="F319">
        <v>935862.05</v>
      </c>
      <c r="G319">
        <v>0</v>
      </c>
      <c r="L319" t="s">
        <v>7</v>
      </c>
      <c r="M319" t="s">
        <v>8</v>
      </c>
      <c r="N319" t="s">
        <v>8</v>
      </c>
      <c r="P319">
        <f t="shared" si="965"/>
        <v>0.10765166525143757</v>
      </c>
      <c r="Q319">
        <f t="shared" si="966"/>
        <v>100747.10812812413</v>
      </c>
      <c r="R319">
        <f t="shared" si="967"/>
        <v>22351776.158798844</v>
      </c>
      <c r="S319">
        <f t="shared" si="968"/>
        <v>223.51776158798845</v>
      </c>
      <c r="T319">
        <f t="shared" si="969"/>
        <v>0.22351776158798844</v>
      </c>
    </row>
    <row r="320" spans="1:20" x14ac:dyDescent="0.25">
      <c r="A320" s="5">
        <v>44273</v>
      </c>
      <c r="B320">
        <v>14.210100000000001</v>
      </c>
      <c r="C320">
        <v>14.865500000000001</v>
      </c>
      <c r="D320">
        <v>13.817299999999999</v>
      </c>
      <c r="E320">
        <v>13.9819</v>
      </c>
      <c r="F320">
        <v>1607530.75</v>
      </c>
      <c r="G320">
        <v>0</v>
      </c>
      <c r="L320" t="s">
        <v>8</v>
      </c>
      <c r="M320" t="s">
        <v>8</v>
      </c>
      <c r="N320" t="s">
        <v>8</v>
      </c>
      <c r="P320">
        <f t="shared" si="965"/>
        <v>-0.68593779813012812</v>
      </c>
      <c r="Q320">
        <f t="shared" si="966"/>
        <v>-1102666.1030814734</v>
      </c>
      <c r="R320">
        <f t="shared" si="967"/>
        <v>22251029.050670721</v>
      </c>
      <c r="S320">
        <f t="shared" si="968"/>
        <v>222.51029050670721</v>
      </c>
      <c r="T320">
        <f t="shared" si="969"/>
        <v>0.2225102905067072</v>
      </c>
    </row>
    <row r="321" spans="1:20" x14ac:dyDescent="0.25">
      <c r="A321" s="5">
        <v>44272</v>
      </c>
      <c r="B321">
        <v>13.5001</v>
      </c>
      <c r="C321">
        <v>14.521000000000001</v>
      </c>
      <c r="D321">
        <v>13.05</v>
      </c>
      <c r="E321">
        <v>14.217700000000001</v>
      </c>
      <c r="F321">
        <v>1829345.59</v>
      </c>
      <c r="G321">
        <v>0</v>
      </c>
      <c r="L321" t="s">
        <v>8</v>
      </c>
      <c r="M321" t="s">
        <v>8</v>
      </c>
      <c r="N321" t="s">
        <v>8</v>
      </c>
      <c r="P321">
        <f t="shared" si="965"/>
        <v>0.58762746430999302</v>
      </c>
      <c r="Q321">
        <f t="shared" si="966"/>
        <v>1074973.7103983681</v>
      </c>
      <c r="R321">
        <f t="shared" si="967"/>
        <v>23353695.153752193</v>
      </c>
      <c r="S321">
        <f t="shared" si="968"/>
        <v>233.53695153752193</v>
      </c>
      <c r="T321">
        <f t="shared" si="969"/>
        <v>0.23353695153752194</v>
      </c>
    </row>
    <row r="322" spans="1:20" x14ac:dyDescent="0.25">
      <c r="A322" s="5">
        <v>44271</v>
      </c>
      <c r="B322">
        <v>12.6388</v>
      </c>
      <c r="C322">
        <v>13.619899999999999</v>
      </c>
      <c r="D322">
        <v>12.0159</v>
      </c>
      <c r="E322">
        <v>13.5063</v>
      </c>
      <c r="F322">
        <v>1335698.1100000001</v>
      </c>
      <c r="G322">
        <v>0</v>
      </c>
      <c r="L322" t="s">
        <v>8</v>
      </c>
      <c r="M322" t="s">
        <v>7</v>
      </c>
      <c r="N322" t="s">
        <v>8</v>
      </c>
      <c r="P322">
        <f t="shared" si="965"/>
        <v>0.85835411471321699</v>
      </c>
      <c r="Q322">
        <f t="shared" si="966"/>
        <v>1146501.9687331673</v>
      </c>
      <c r="R322">
        <f t="shared" si="967"/>
        <v>22278721.443353824</v>
      </c>
      <c r="S322">
        <f t="shared" si="968"/>
        <v>222.78721443353825</v>
      </c>
      <c r="T322">
        <f t="shared" si="969"/>
        <v>0.22278721443353824</v>
      </c>
    </row>
    <row r="323" spans="1:20" x14ac:dyDescent="0.25">
      <c r="A323" s="5">
        <v>44270</v>
      </c>
      <c r="B323">
        <v>13.3238</v>
      </c>
      <c r="C323">
        <v>13.8226</v>
      </c>
      <c r="D323">
        <v>12.0502</v>
      </c>
      <c r="E323">
        <v>12.625999999999999</v>
      </c>
      <c r="F323">
        <v>1904664.31</v>
      </c>
      <c r="G323">
        <v>0</v>
      </c>
      <c r="L323" t="s">
        <v>7</v>
      </c>
      <c r="M323" t="s">
        <v>7</v>
      </c>
      <c r="N323" t="s">
        <v>8</v>
      </c>
      <c r="P323">
        <f t="shared" si="965"/>
        <v>-0.35025953509365898</v>
      </c>
      <c r="Q323">
        <f t="shared" si="966"/>
        <v>-667126.8357300848</v>
      </c>
      <c r="R323">
        <f t="shared" si="967"/>
        <v>21132219.474620655</v>
      </c>
      <c r="S323">
        <f t="shared" si="968"/>
        <v>211.32219474620655</v>
      </c>
      <c r="T323">
        <f t="shared" si="969"/>
        <v>0.21132219474620656</v>
      </c>
    </row>
    <row r="324" spans="1:20" x14ac:dyDescent="0.25">
      <c r="A324" s="5">
        <v>44269</v>
      </c>
      <c r="B324">
        <v>14.313000000000001</v>
      </c>
      <c r="C324">
        <v>14.61</v>
      </c>
      <c r="D324">
        <v>13.2027</v>
      </c>
      <c r="E324">
        <v>13.3475</v>
      </c>
      <c r="F324">
        <v>1373189.54</v>
      </c>
      <c r="G324">
        <v>0</v>
      </c>
      <c r="L324" t="s">
        <v>8</v>
      </c>
      <c r="M324" t="s">
        <v>8</v>
      </c>
      <c r="N324" t="s">
        <v>8</v>
      </c>
      <c r="P324">
        <f t="shared" si="965"/>
        <v>-0.79421587436935959</v>
      </c>
      <c r="Q324">
        <f t="shared" si="966"/>
        <v>-1090608.9311859587</v>
      </c>
      <c r="R324">
        <f t="shared" si="967"/>
        <v>21799346.310350738</v>
      </c>
      <c r="S324">
        <f t="shared" si="968"/>
        <v>217.99346310350739</v>
      </c>
      <c r="T324">
        <f t="shared" si="969"/>
        <v>0.2179934631035074</v>
      </c>
    </row>
    <row r="325" spans="1:20" x14ac:dyDescent="0.25">
      <c r="A325" s="5">
        <v>44268</v>
      </c>
      <c r="B325">
        <v>13.357200000000001</v>
      </c>
      <c r="C325">
        <v>14.3126</v>
      </c>
      <c r="D325">
        <v>12.7119</v>
      </c>
      <c r="E325">
        <v>14.3102</v>
      </c>
      <c r="F325">
        <v>1438676.01</v>
      </c>
      <c r="G325">
        <v>0</v>
      </c>
      <c r="L325" t="s">
        <v>8</v>
      </c>
      <c r="M325" t="s">
        <v>8</v>
      </c>
      <c r="N325" t="s">
        <v>8</v>
      </c>
      <c r="P325">
        <f t="shared" si="965"/>
        <v>0.9970013119260327</v>
      </c>
      <c r="Q325">
        <f t="shared" si="966"/>
        <v>1434361.8694065101</v>
      </c>
      <c r="R325">
        <f t="shared" si="967"/>
        <v>22889955.241536696</v>
      </c>
      <c r="S325">
        <f t="shared" si="968"/>
        <v>228.89955241536697</v>
      </c>
      <c r="T325">
        <f t="shared" si="969"/>
        <v>0.22889955241536697</v>
      </c>
    </row>
    <row r="326" spans="1:20" x14ac:dyDescent="0.25">
      <c r="A326" s="5">
        <v>44267</v>
      </c>
      <c r="B326">
        <v>14.001200000000001</v>
      </c>
      <c r="C326">
        <v>14.218</v>
      </c>
      <c r="D326">
        <v>12.8346</v>
      </c>
      <c r="E326">
        <v>13.367100000000001</v>
      </c>
      <c r="F326">
        <v>1474881.01</v>
      </c>
      <c r="G326">
        <v>0</v>
      </c>
      <c r="L326" t="s">
        <v>7</v>
      </c>
      <c r="M326" t="s">
        <v>8</v>
      </c>
      <c r="N326" t="s">
        <v>8</v>
      </c>
      <c r="P326">
        <f t="shared" ref="P326:P389" si="970">IF(C326=D326,0,((E326-D326)-(C326-E326))/(C326-D326))</f>
        <v>-0.23015758276709461</v>
      </c>
      <c r="Q326">
        <f t="shared" ref="Q326:Q389" si="971">F326*P326</f>
        <v>-339455.04813069111</v>
      </c>
      <c r="R326">
        <f t="shared" ref="R326:R389" si="972">R327+Q326</f>
        <v>21455593.372130185</v>
      </c>
      <c r="S326">
        <f t="shared" ref="S326:S389" si="973">R326/100000</f>
        <v>214.55593372130184</v>
      </c>
      <c r="T326">
        <f t="shared" ref="T326:T389" si="974">S326/1000</f>
        <v>0.21455593372130183</v>
      </c>
    </row>
    <row r="327" spans="1:20" x14ac:dyDescent="0.25">
      <c r="A327" s="5">
        <v>44266</v>
      </c>
      <c r="B327">
        <v>13.834199999999999</v>
      </c>
      <c r="C327">
        <v>14.95</v>
      </c>
      <c r="D327">
        <v>13.3035</v>
      </c>
      <c r="E327">
        <v>14.009</v>
      </c>
      <c r="F327">
        <v>1880960.75</v>
      </c>
      <c r="G327">
        <v>0</v>
      </c>
      <c r="L327" t="s">
        <v>7</v>
      </c>
      <c r="M327" t="s">
        <v>8</v>
      </c>
      <c r="N327" t="s">
        <v>8</v>
      </c>
      <c r="P327">
        <f t="shared" si="970"/>
        <v>-0.14303067112055773</v>
      </c>
      <c r="Q327">
        <f t="shared" si="971"/>
        <v>-269035.0784239276</v>
      </c>
      <c r="R327">
        <f t="shared" si="972"/>
        <v>21795048.420260876</v>
      </c>
      <c r="S327">
        <f t="shared" si="973"/>
        <v>217.95048420260878</v>
      </c>
      <c r="T327">
        <f t="shared" si="974"/>
        <v>0.21795048420260879</v>
      </c>
    </row>
    <row r="328" spans="1:20" x14ac:dyDescent="0.25">
      <c r="A328" s="5">
        <v>44265</v>
      </c>
      <c r="B328">
        <v>14.9185</v>
      </c>
      <c r="C328">
        <v>15.02</v>
      </c>
      <c r="D328">
        <v>13.5334</v>
      </c>
      <c r="E328">
        <v>13.855399999999999</v>
      </c>
      <c r="F328">
        <v>1605211.99</v>
      </c>
      <c r="G328">
        <v>0</v>
      </c>
      <c r="L328" t="s">
        <v>7</v>
      </c>
      <c r="M328" t="s">
        <v>8</v>
      </c>
      <c r="N328" t="s">
        <v>8</v>
      </c>
      <c r="P328">
        <f t="shared" si="970"/>
        <v>-0.56679671734158577</v>
      </c>
      <c r="Q328">
        <f t="shared" si="971"/>
        <v>-909828.88656935433</v>
      </c>
      <c r="R328">
        <f t="shared" si="972"/>
        <v>22064083.498684805</v>
      </c>
      <c r="S328">
        <f t="shared" si="973"/>
        <v>220.64083498684806</v>
      </c>
      <c r="T328">
        <f t="shared" si="974"/>
        <v>0.22064083498684806</v>
      </c>
    </row>
    <row r="329" spans="1:20" x14ac:dyDescent="0.25">
      <c r="A329" s="5">
        <v>44264</v>
      </c>
      <c r="B329">
        <v>14.632199999999999</v>
      </c>
      <c r="C329">
        <v>15.3</v>
      </c>
      <c r="D329">
        <v>14.35</v>
      </c>
      <c r="E329">
        <v>14.935499999999999</v>
      </c>
      <c r="F329">
        <v>1611717.52</v>
      </c>
      <c r="G329">
        <v>0</v>
      </c>
      <c r="L329" t="s">
        <v>8</v>
      </c>
      <c r="M329" t="s">
        <v>8</v>
      </c>
      <c r="N329" t="s">
        <v>8</v>
      </c>
      <c r="P329">
        <f t="shared" si="970"/>
        <v>0.23263157894736639</v>
      </c>
      <c r="Q329">
        <f t="shared" si="971"/>
        <v>374936.39149473357</v>
      </c>
      <c r="R329">
        <f t="shared" si="972"/>
        <v>22973912.38525416</v>
      </c>
      <c r="S329">
        <f t="shared" si="973"/>
        <v>229.73912385254158</v>
      </c>
      <c r="T329">
        <f t="shared" si="974"/>
        <v>0.22973912385254158</v>
      </c>
    </row>
    <row r="330" spans="1:20" x14ac:dyDescent="0.25">
      <c r="A330" s="5">
        <v>44263</v>
      </c>
      <c r="B330">
        <v>13.455299999999999</v>
      </c>
      <c r="C330">
        <v>14.799300000000001</v>
      </c>
      <c r="D330">
        <v>12.9901</v>
      </c>
      <c r="E330">
        <v>14.608700000000001</v>
      </c>
      <c r="F330">
        <v>2496139.0699999998</v>
      </c>
      <c r="G330">
        <v>0</v>
      </c>
      <c r="L330" t="s">
        <v>8</v>
      </c>
      <c r="M330" t="s">
        <v>8</v>
      </c>
      <c r="N330" t="s">
        <v>8</v>
      </c>
      <c r="P330">
        <f t="shared" si="970"/>
        <v>0.78929913774043792</v>
      </c>
      <c r="Q330">
        <f t="shared" si="971"/>
        <v>1970200.4156312186</v>
      </c>
      <c r="R330">
        <f t="shared" si="972"/>
        <v>22598975.993759427</v>
      </c>
      <c r="S330">
        <f t="shared" si="973"/>
        <v>225.98975993759427</v>
      </c>
      <c r="T330">
        <f t="shared" si="974"/>
        <v>0.22598975993759426</v>
      </c>
    </row>
    <row r="331" spans="1:20" x14ac:dyDescent="0.25">
      <c r="A331" s="5">
        <v>44262</v>
      </c>
      <c r="B331">
        <v>12.639900000000001</v>
      </c>
      <c r="C331">
        <v>13.4833</v>
      </c>
      <c r="D331">
        <v>12.4</v>
      </c>
      <c r="E331">
        <v>13.4581</v>
      </c>
      <c r="F331">
        <v>1525745.17</v>
      </c>
      <c r="G331">
        <v>0</v>
      </c>
      <c r="L331" t="s">
        <v>8</v>
      </c>
      <c r="M331" t="s">
        <v>7</v>
      </c>
      <c r="N331" t="s">
        <v>8</v>
      </c>
      <c r="P331">
        <f t="shared" si="970"/>
        <v>0.95347549155358646</v>
      </c>
      <c r="Q331">
        <f t="shared" si="971"/>
        <v>1454760.6259512603</v>
      </c>
      <c r="R331">
        <f t="shared" si="972"/>
        <v>20628775.578128207</v>
      </c>
      <c r="S331">
        <f t="shared" si="973"/>
        <v>206.28775578128207</v>
      </c>
      <c r="T331">
        <f t="shared" si="974"/>
        <v>0.20628775578128208</v>
      </c>
    </row>
    <row r="332" spans="1:20" x14ac:dyDescent="0.25">
      <c r="A332" s="5">
        <v>44261</v>
      </c>
      <c r="B332">
        <v>12.4217</v>
      </c>
      <c r="C332">
        <v>12.821199999999999</v>
      </c>
      <c r="D332">
        <v>11.965199999999999</v>
      </c>
      <c r="E332">
        <v>12.6472</v>
      </c>
      <c r="F332">
        <v>1039749.3</v>
      </c>
      <c r="G332">
        <v>0</v>
      </c>
      <c r="L332" t="s">
        <v>7</v>
      </c>
      <c r="M332" t="s">
        <v>7</v>
      </c>
      <c r="N332" t="s">
        <v>8</v>
      </c>
      <c r="P332">
        <f t="shared" si="970"/>
        <v>0.59345794392523477</v>
      </c>
      <c r="Q332">
        <f t="shared" si="971"/>
        <v>617047.48177570209</v>
      </c>
      <c r="R332">
        <f t="shared" si="972"/>
        <v>19174014.952176947</v>
      </c>
      <c r="S332">
        <f t="shared" si="973"/>
        <v>191.74014952176947</v>
      </c>
      <c r="T332">
        <f t="shared" si="974"/>
        <v>0.19174014952176946</v>
      </c>
    </row>
    <row r="333" spans="1:20" x14ac:dyDescent="0.25">
      <c r="A333" s="5">
        <v>44260</v>
      </c>
      <c r="B333">
        <v>12.9466</v>
      </c>
      <c r="C333">
        <v>12.979699999999999</v>
      </c>
      <c r="D333">
        <v>12.1069</v>
      </c>
      <c r="E333">
        <v>12.438499999999999</v>
      </c>
      <c r="F333">
        <v>1039242.81</v>
      </c>
      <c r="G333">
        <v>0</v>
      </c>
      <c r="L333" t="s">
        <v>8</v>
      </c>
      <c r="M333" t="s">
        <v>8</v>
      </c>
      <c r="N333" t="s">
        <v>8</v>
      </c>
      <c r="P333">
        <f t="shared" si="970"/>
        <v>-0.24014665444546293</v>
      </c>
      <c r="Q333">
        <f t="shared" si="971"/>
        <v>-249570.68397800191</v>
      </c>
      <c r="R333">
        <f t="shared" si="972"/>
        <v>18556967.470401246</v>
      </c>
      <c r="S333">
        <f t="shared" si="973"/>
        <v>185.56967470401247</v>
      </c>
      <c r="T333">
        <f t="shared" si="974"/>
        <v>0.18556967470401248</v>
      </c>
    </row>
    <row r="334" spans="1:20" x14ac:dyDescent="0.25">
      <c r="A334" s="5">
        <v>44259</v>
      </c>
      <c r="B334">
        <v>13.3307</v>
      </c>
      <c r="C334">
        <v>13.914300000000001</v>
      </c>
      <c r="D334">
        <v>12.109299999999999</v>
      </c>
      <c r="E334">
        <v>12.946199999999999</v>
      </c>
      <c r="F334">
        <v>1678946.18</v>
      </c>
      <c r="G334">
        <v>0</v>
      </c>
      <c r="L334" t="s">
        <v>7</v>
      </c>
      <c r="M334" t="s">
        <v>8</v>
      </c>
      <c r="N334" t="s">
        <v>8</v>
      </c>
      <c r="P334">
        <f t="shared" si="970"/>
        <v>-7.2686980609419069E-2</v>
      </c>
      <c r="Q334">
        <f t="shared" si="971"/>
        <v>-122037.52842991821</v>
      </c>
      <c r="R334">
        <f t="shared" si="972"/>
        <v>18806538.154379249</v>
      </c>
      <c r="S334">
        <f t="shared" si="973"/>
        <v>188.06538154379248</v>
      </c>
      <c r="T334">
        <f t="shared" si="974"/>
        <v>0.18806538154379249</v>
      </c>
    </row>
    <row r="335" spans="1:20" x14ac:dyDescent="0.25">
      <c r="A335" s="5">
        <v>44258</v>
      </c>
      <c r="B335">
        <v>12.988200000000001</v>
      </c>
      <c r="C335">
        <v>14.32</v>
      </c>
      <c r="D335">
        <v>12.7806</v>
      </c>
      <c r="E335">
        <v>13.3301</v>
      </c>
      <c r="F335">
        <v>2553706.6</v>
      </c>
      <c r="G335">
        <v>0</v>
      </c>
      <c r="L335" t="s">
        <v>8</v>
      </c>
      <c r="M335" t="s">
        <v>8</v>
      </c>
      <c r="N335" t="s">
        <v>8</v>
      </c>
      <c r="P335">
        <f t="shared" si="970"/>
        <v>-0.28608548785241017</v>
      </c>
      <c r="Q335">
        <f t="shared" si="971"/>
        <v>-730578.39849291975</v>
      </c>
      <c r="R335">
        <f t="shared" si="972"/>
        <v>18928575.682809167</v>
      </c>
      <c r="S335">
        <f t="shared" si="973"/>
        <v>189.28575682809168</v>
      </c>
      <c r="T335">
        <f t="shared" si="974"/>
        <v>0.18928575682809168</v>
      </c>
    </row>
    <row r="336" spans="1:20" x14ac:dyDescent="0.25">
      <c r="A336" s="5">
        <v>44257</v>
      </c>
      <c r="B336">
        <v>13.420199999999999</v>
      </c>
      <c r="C336">
        <v>13.659599999999999</v>
      </c>
      <c r="D336">
        <v>12.0747</v>
      </c>
      <c r="E336">
        <v>12.988200000000001</v>
      </c>
      <c r="F336">
        <v>1923751.02</v>
      </c>
      <c r="G336">
        <v>0</v>
      </c>
      <c r="L336" t="s">
        <v>8</v>
      </c>
      <c r="M336" t="s">
        <v>8</v>
      </c>
      <c r="N336" t="s">
        <v>8</v>
      </c>
      <c r="P336">
        <f t="shared" si="970"/>
        <v>0.1527541169789908</v>
      </c>
      <c r="Q336">
        <f t="shared" si="971"/>
        <v>293860.88834753289</v>
      </c>
      <c r="R336">
        <f t="shared" si="972"/>
        <v>19659154.081302088</v>
      </c>
      <c r="S336">
        <f t="shared" si="973"/>
        <v>196.59154081302088</v>
      </c>
      <c r="T336">
        <f t="shared" si="974"/>
        <v>0.19659154081302088</v>
      </c>
    </row>
    <row r="337" spans="1:20" x14ac:dyDescent="0.25">
      <c r="A337" s="5">
        <v>44256</v>
      </c>
      <c r="B337">
        <v>11.828099999999999</v>
      </c>
      <c r="C337">
        <v>13.5244</v>
      </c>
      <c r="D337">
        <v>11.7315</v>
      </c>
      <c r="E337">
        <v>13.4214</v>
      </c>
      <c r="F337">
        <v>1562684.41</v>
      </c>
      <c r="G337">
        <v>0</v>
      </c>
      <c r="L337" t="s">
        <v>8</v>
      </c>
      <c r="M337" t="s">
        <v>8</v>
      </c>
      <c r="N337" t="s">
        <v>8</v>
      </c>
      <c r="P337">
        <f t="shared" si="970"/>
        <v>0.8851023481510405</v>
      </c>
      <c r="Q337">
        <f t="shared" si="971"/>
        <v>1383135.6407100232</v>
      </c>
      <c r="R337">
        <f t="shared" si="972"/>
        <v>19365293.192954555</v>
      </c>
      <c r="S337">
        <f t="shared" si="973"/>
        <v>193.65293192954556</v>
      </c>
      <c r="T337">
        <f t="shared" si="974"/>
        <v>0.19365293192954555</v>
      </c>
    </row>
    <row r="338" spans="1:20" x14ac:dyDescent="0.25">
      <c r="A338" s="5">
        <v>44255</v>
      </c>
      <c r="B338">
        <v>12.494899999999999</v>
      </c>
      <c r="C338">
        <v>12.633800000000001</v>
      </c>
      <c r="D338">
        <v>10.85</v>
      </c>
      <c r="E338">
        <v>11.832800000000001</v>
      </c>
      <c r="F338">
        <v>1855666.84</v>
      </c>
      <c r="G338">
        <v>0</v>
      </c>
      <c r="L338" t="s">
        <v>7</v>
      </c>
      <c r="M338" t="s">
        <v>7</v>
      </c>
      <c r="N338" t="s">
        <v>8</v>
      </c>
      <c r="P338">
        <f t="shared" si="970"/>
        <v>0.10191725529767952</v>
      </c>
      <c r="Q338">
        <f t="shared" si="971"/>
        <v>189124.47107971821</v>
      </c>
      <c r="R338">
        <f t="shared" si="972"/>
        <v>17982157.552244533</v>
      </c>
      <c r="S338">
        <f t="shared" si="973"/>
        <v>179.82157552244533</v>
      </c>
      <c r="T338">
        <f t="shared" si="974"/>
        <v>0.17982157552244532</v>
      </c>
    </row>
    <row r="339" spans="1:20" x14ac:dyDescent="0.25">
      <c r="A339" s="5">
        <v>44254</v>
      </c>
      <c r="B339">
        <v>11.798999999999999</v>
      </c>
      <c r="C339">
        <v>13.58</v>
      </c>
      <c r="D339">
        <v>11.7788</v>
      </c>
      <c r="E339">
        <v>12.495900000000001</v>
      </c>
      <c r="F339">
        <v>2114664.54</v>
      </c>
      <c r="G339">
        <v>0</v>
      </c>
      <c r="L339" t="s">
        <v>8</v>
      </c>
      <c r="M339" t="s">
        <v>8</v>
      </c>
      <c r="N339" t="s">
        <v>8</v>
      </c>
      <c r="P339">
        <f t="shared" si="970"/>
        <v>-0.20375305351987519</v>
      </c>
      <c r="Q339">
        <f t="shared" si="971"/>
        <v>-430869.35719520226</v>
      </c>
      <c r="R339">
        <f t="shared" si="972"/>
        <v>17793033.081164815</v>
      </c>
      <c r="S339">
        <f t="shared" si="973"/>
        <v>177.93033081164813</v>
      </c>
      <c r="T339">
        <f t="shared" si="974"/>
        <v>0.17793033081164814</v>
      </c>
    </row>
    <row r="340" spans="1:20" x14ac:dyDescent="0.25">
      <c r="A340" s="5">
        <v>44253</v>
      </c>
      <c r="B340">
        <v>12.0953</v>
      </c>
      <c r="C340">
        <v>12.985200000000001</v>
      </c>
      <c r="D340">
        <v>11.1655</v>
      </c>
      <c r="E340">
        <v>11.8058</v>
      </c>
      <c r="F340">
        <v>2085377.25</v>
      </c>
      <c r="G340">
        <v>0</v>
      </c>
      <c r="L340" t="s">
        <v>7</v>
      </c>
      <c r="M340" t="s">
        <v>7</v>
      </c>
      <c r="N340" t="s">
        <v>8</v>
      </c>
      <c r="P340">
        <f t="shared" si="970"/>
        <v>-0.29625762488322305</v>
      </c>
      <c r="Q340">
        <f t="shared" si="971"/>
        <v>-617808.91107050725</v>
      </c>
      <c r="R340">
        <f t="shared" si="972"/>
        <v>18223902.438360017</v>
      </c>
      <c r="S340">
        <f t="shared" si="973"/>
        <v>182.23902438360017</v>
      </c>
      <c r="T340">
        <f t="shared" si="974"/>
        <v>0.18223902438360018</v>
      </c>
    </row>
    <row r="341" spans="1:20" x14ac:dyDescent="0.25">
      <c r="A341" s="5">
        <v>44252</v>
      </c>
      <c r="B341">
        <v>13.2281</v>
      </c>
      <c r="C341">
        <v>14.172800000000001</v>
      </c>
      <c r="D341">
        <v>11.923</v>
      </c>
      <c r="E341">
        <v>12.0502</v>
      </c>
      <c r="F341">
        <v>2008205.04</v>
      </c>
      <c r="G341">
        <v>0</v>
      </c>
      <c r="L341" t="s">
        <v>7</v>
      </c>
      <c r="M341" t="s">
        <v>7</v>
      </c>
      <c r="N341" t="s">
        <v>8</v>
      </c>
      <c r="P341">
        <f t="shared" si="970"/>
        <v>-0.88692328206951709</v>
      </c>
      <c r="Q341">
        <f t="shared" si="971"/>
        <v>-1781123.8051453459</v>
      </c>
      <c r="R341">
        <f t="shared" si="972"/>
        <v>18841711.349430524</v>
      </c>
      <c r="S341">
        <f t="shared" si="973"/>
        <v>188.41711349430523</v>
      </c>
      <c r="T341">
        <f t="shared" si="974"/>
        <v>0.18841711349430523</v>
      </c>
    </row>
    <row r="342" spans="1:20" x14ac:dyDescent="0.25">
      <c r="A342" s="5">
        <v>44251</v>
      </c>
      <c r="B342">
        <v>13.2006</v>
      </c>
      <c r="C342">
        <v>14.6</v>
      </c>
      <c r="D342">
        <v>12.3614</v>
      </c>
      <c r="E342">
        <v>13.23</v>
      </c>
      <c r="F342">
        <v>3867419.22</v>
      </c>
      <c r="G342">
        <v>0</v>
      </c>
      <c r="L342" t="s">
        <v>8</v>
      </c>
      <c r="M342" t="s">
        <v>8</v>
      </c>
      <c r="N342" t="s">
        <v>8</v>
      </c>
      <c r="P342">
        <f t="shared" si="970"/>
        <v>-0.2239792727597599</v>
      </c>
      <c r="Q342">
        <f t="shared" si="971"/>
        <v>-866221.74435271788</v>
      </c>
      <c r="R342">
        <f t="shared" si="972"/>
        <v>20622835.154575869</v>
      </c>
      <c r="S342">
        <f t="shared" si="973"/>
        <v>206.2283515457587</v>
      </c>
      <c r="T342">
        <f t="shared" si="974"/>
        <v>0.20622835154575869</v>
      </c>
    </row>
    <row r="343" spans="1:20" x14ac:dyDescent="0.25">
      <c r="A343" s="5">
        <v>44250</v>
      </c>
      <c r="B343">
        <v>16.954000000000001</v>
      </c>
      <c r="C343">
        <v>17.0307</v>
      </c>
      <c r="D343">
        <v>10.817500000000001</v>
      </c>
      <c r="E343">
        <v>13.23</v>
      </c>
      <c r="F343">
        <v>7037830.2599999998</v>
      </c>
      <c r="G343">
        <v>0</v>
      </c>
      <c r="L343" t="s">
        <v>7</v>
      </c>
      <c r="M343" t="s">
        <v>7</v>
      </c>
      <c r="N343" t="s">
        <v>7</v>
      </c>
      <c r="P343">
        <f t="shared" si="970"/>
        <v>-0.22342754136354853</v>
      </c>
      <c r="Q343">
        <f t="shared" si="971"/>
        <v>-1572445.1115257835</v>
      </c>
      <c r="R343">
        <f t="shared" si="972"/>
        <v>21489056.898928586</v>
      </c>
      <c r="S343">
        <f t="shared" si="973"/>
        <v>214.89056898928587</v>
      </c>
      <c r="T343">
        <f t="shared" si="974"/>
        <v>0.21489056898928588</v>
      </c>
    </row>
    <row r="344" spans="1:20" x14ac:dyDescent="0.25">
      <c r="A344" s="5">
        <v>44249</v>
      </c>
      <c r="B344">
        <v>16.996200000000002</v>
      </c>
      <c r="C344">
        <v>17.809999999999999</v>
      </c>
      <c r="D344">
        <v>12.4999</v>
      </c>
      <c r="E344">
        <v>16.9252</v>
      </c>
      <c r="F344">
        <v>6558857.1100000003</v>
      </c>
      <c r="G344">
        <v>0</v>
      </c>
      <c r="L344" t="s">
        <v>7</v>
      </c>
      <c r="M344" t="s">
        <v>7</v>
      </c>
      <c r="N344" t="s">
        <v>7</v>
      </c>
      <c r="P344">
        <f t="shared" si="970"/>
        <v>0.66674827216060006</v>
      </c>
      <c r="Q344">
        <f t="shared" si="971"/>
        <v>4373106.6454407666</v>
      </c>
      <c r="R344">
        <f t="shared" si="972"/>
        <v>23061502.010454372</v>
      </c>
      <c r="S344">
        <f t="shared" si="973"/>
        <v>230.6150201045437</v>
      </c>
      <c r="T344">
        <f t="shared" si="974"/>
        <v>0.23061502010454371</v>
      </c>
    </row>
    <row r="345" spans="1:20" x14ac:dyDescent="0.25">
      <c r="A345" s="5">
        <v>44248</v>
      </c>
      <c r="B345">
        <v>17.195</v>
      </c>
      <c r="C345">
        <v>18</v>
      </c>
      <c r="D345">
        <v>16.2194</v>
      </c>
      <c r="E345">
        <v>17.011099999999999</v>
      </c>
      <c r="F345">
        <v>2482261.69</v>
      </c>
      <c r="G345">
        <v>0</v>
      </c>
      <c r="L345" t="s">
        <v>8</v>
      </c>
      <c r="M345" t="s">
        <v>7</v>
      </c>
      <c r="N345" t="s">
        <v>8</v>
      </c>
      <c r="P345">
        <f t="shared" si="970"/>
        <v>-0.11074918566775373</v>
      </c>
      <c r="Q345">
        <f t="shared" si="971"/>
        <v>-274908.46078176214</v>
      </c>
      <c r="R345">
        <f t="shared" si="972"/>
        <v>18688395.365013607</v>
      </c>
      <c r="S345">
        <f t="shared" si="973"/>
        <v>186.88395365013608</v>
      </c>
      <c r="T345">
        <f t="shared" si="974"/>
        <v>0.18688395365013608</v>
      </c>
    </row>
    <row r="346" spans="1:20" x14ac:dyDescent="0.25">
      <c r="A346" s="5">
        <v>44247</v>
      </c>
      <c r="B346">
        <v>18.217400000000001</v>
      </c>
      <c r="C346">
        <v>20</v>
      </c>
      <c r="D346">
        <v>15.5625</v>
      </c>
      <c r="E346">
        <v>17.183</v>
      </c>
      <c r="F346">
        <v>4027164.65</v>
      </c>
      <c r="G346">
        <v>0</v>
      </c>
      <c r="L346" t="s">
        <v>7</v>
      </c>
      <c r="M346" t="s">
        <v>8</v>
      </c>
      <c r="N346" t="s">
        <v>8</v>
      </c>
      <c r="P346">
        <f t="shared" si="970"/>
        <v>-0.26963380281690147</v>
      </c>
      <c r="Q346">
        <f t="shared" si="971"/>
        <v>-1085859.7191492959</v>
      </c>
      <c r="R346">
        <f t="shared" si="972"/>
        <v>18963303.825795367</v>
      </c>
      <c r="S346">
        <f t="shared" si="973"/>
        <v>189.63303825795367</v>
      </c>
      <c r="T346">
        <f t="shared" si="974"/>
        <v>0.18963303825795366</v>
      </c>
    </row>
    <row r="347" spans="1:20" x14ac:dyDescent="0.25">
      <c r="A347" s="5">
        <v>44246</v>
      </c>
      <c r="B347">
        <v>17.7346</v>
      </c>
      <c r="C347">
        <v>18.921900000000001</v>
      </c>
      <c r="D347">
        <v>16.981000000000002</v>
      </c>
      <c r="E347">
        <v>18.217400000000001</v>
      </c>
      <c r="F347">
        <v>2752993.63</v>
      </c>
      <c r="G347">
        <v>0</v>
      </c>
      <c r="L347" t="s">
        <v>7</v>
      </c>
      <c r="M347" t="s">
        <v>8</v>
      </c>
      <c r="N347" t="s">
        <v>7</v>
      </c>
      <c r="P347">
        <f t="shared" si="970"/>
        <v>0.27404812200525552</v>
      </c>
      <c r="Q347">
        <f t="shared" si="971"/>
        <v>754452.73419393122</v>
      </c>
      <c r="R347">
        <f t="shared" si="972"/>
        <v>20049163.544944663</v>
      </c>
      <c r="S347">
        <f t="shared" si="973"/>
        <v>200.49163544944662</v>
      </c>
      <c r="T347">
        <f t="shared" si="974"/>
        <v>0.20049163544944662</v>
      </c>
    </row>
    <row r="348" spans="1:20" x14ac:dyDescent="0.25">
      <c r="A348" s="5">
        <v>44245</v>
      </c>
      <c r="B348">
        <v>16.2273</v>
      </c>
      <c r="C348">
        <v>19.1083</v>
      </c>
      <c r="D348">
        <v>16.223400000000002</v>
      </c>
      <c r="E348">
        <v>17.7</v>
      </c>
      <c r="F348">
        <v>3454475.43</v>
      </c>
      <c r="G348">
        <v>0</v>
      </c>
      <c r="L348" t="s">
        <v>8</v>
      </c>
      <c r="M348" t="s">
        <v>8</v>
      </c>
      <c r="N348" t="s">
        <v>7</v>
      </c>
      <c r="P348">
        <f t="shared" si="970"/>
        <v>2.367499740025553E-2</v>
      </c>
      <c r="Q348">
        <f t="shared" si="971"/>
        <v>81784.696824496612</v>
      </c>
      <c r="R348">
        <f t="shared" si="972"/>
        <v>19294710.81075073</v>
      </c>
      <c r="S348">
        <f t="shared" si="973"/>
        <v>192.94710810750729</v>
      </c>
      <c r="T348">
        <f t="shared" si="974"/>
        <v>0.19294710810750729</v>
      </c>
    </row>
    <row r="349" spans="1:20" x14ac:dyDescent="0.25">
      <c r="A349" s="5">
        <v>44244</v>
      </c>
      <c r="B349">
        <v>16.5563</v>
      </c>
      <c r="C349">
        <v>17.3</v>
      </c>
      <c r="D349">
        <v>15</v>
      </c>
      <c r="E349">
        <v>16.223400000000002</v>
      </c>
      <c r="F349">
        <v>2772365.41</v>
      </c>
      <c r="G349">
        <v>0</v>
      </c>
      <c r="L349" t="s">
        <v>7</v>
      </c>
      <c r="M349" t="s">
        <v>7</v>
      </c>
      <c r="N349" t="s">
        <v>7</v>
      </c>
      <c r="P349">
        <f t="shared" si="970"/>
        <v>6.3826086956522796E-2</v>
      </c>
      <c r="Q349">
        <f t="shared" si="971"/>
        <v>176949.23573391599</v>
      </c>
      <c r="R349">
        <f t="shared" si="972"/>
        <v>19212926.113926232</v>
      </c>
      <c r="S349">
        <f t="shared" si="973"/>
        <v>192.12926113926233</v>
      </c>
      <c r="T349">
        <f t="shared" si="974"/>
        <v>0.19212926113926232</v>
      </c>
    </row>
    <row r="350" spans="1:20" x14ac:dyDescent="0.25">
      <c r="A350" s="5">
        <v>44243</v>
      </c>
      <c r="B350">
        <v>16.351099999999999</v>
      </c>
      <c r="C350">
        <v>18.399999999999999</v>
      </c>
      <c r="D350">
        <v>15.5</v>
      </c>
      <c r="E350">
        <v>16.557200000000002</v>
      </c>
      <c r="F350">
        <v>2599565.9900000002</v>
      </c>
      <c r="G350">
        <v>0</v>
      </c>
      <c r="L350" t="s">
        <v>8</v>
      </c>
      <c r="M350" t="s">
        <v>8</v>
      </c>
      <c r="N350" t="s">
        <v>7</v>
      </c>
      <c r="P350">
        <f t="shared" si="970"/>
        <v>-0.2708965517241364</v>
      </c>
      <c r="Q350">
        <f t="shared" si="971"/>
        <v>-704213.4626703409</v>
      </c>
      <c r="R350">
        <f t="shared" si="972"/>
        <v>19035976.878192317</v>
      </c>
      <c r="S350">
        <f t="shared" si="973"/>
        <v>190.35976878192318</v>
      </c>
      <c r="T350">
        <f t="shared" si="974"/>
        <v>0.19035976878192318</v>
      </c>
    </row>
    <row r="351" spans="1:20" x14ac:dyDescent="0.25">
      <c r="A351" s="5">
        <v>44242</v>
      </c>
      <c r="B351">
        <v>16.898099999999999</v>
      </c>
      <c r="C351">
        <v>18.4499</v>
      </c>
      <c r="D351">
        <v>13.8589</v>
      </c>
      <c r="E351">
        <v>16.339099999999998</v>
      </c>
      <c r="F351">
        <v>3846513.37</v>
      </c>
      <c r="G351">
        <v>0</v>
      </c>
      <c r="L351" t="s">
        <v>7</v>
      </c>
      <c r="M351" t="s">
        <v>7</v>
      </c>
      <c r="N351" t="s">
        <v>7</v>
      </c>
      <c r="P351">
        <f t="shared" si="970"/>
        <v>8.0461773034196715E-2</v>
      </c>
      <c r="Q351">
        <f t="shared" si="971"/>
        <v>309497.28574994317</v>
      </c>
      <c r="R351">
        <f t="shared" si="972"/>
        <v>19740190.340862658</v>
      </c>
      <c r="S351">
        <f t="shared" si="973"/>
        <v>197.40190340862657</v>
      </c>
      <c r="T351">
        <f t="shared" si="974"/>
        <v>0.19740190340862657</v>
      </c>
    </row>
    <row r="352" spans="1:20" x14ac:dyDescent="0.25">
      <c r="A352" s="5">
        <v>44241</v>
      </c>
      <c r="B352">
        <v>18.275200000000002</v>
      </c>
      <c r="C352">
        <v>18.684200000000001</v>
      </c>
      <c r="D352">
        <v>15.3376</v>
      </c>
      <c r="E352">
        <v>16.8552</v>
      </c>
      <c r="F352">
        <v>3045686.55</v>
      </c>
      <c r="G352">
        <v>0</v>
      </c>
      <c r="L352" t="s">
        <v>7</v>
      </c>
      <c r="M352" t="s">
        <v>7</v>
      </c>
      <c r="N352" t="s">
        <v>8</v>
      </c>
      <c r="P352">
        <f t="shared" si="970"/>
        <v>-9.3049662343871617E-2</v>
      </c>
      <c r="Q352">
        <f t="shared" si="971"/>
        <v>-283400.10508277122</v>
      </c>
      <c r="R352">
        <f t="shared" si="972"/>
        <v>19430693.055112716</v>
      </c>
      <c r="S352">
        <f t="shared" si="973"/>
        <v>194.30693055112715</v>
      </c>
      <c r="T352">
        <f t="shared" si="974"/>
        <v>0.19430693055112716</v>
      </c>
    </row>
    <row r="353" spans="1:20" x14ac:dyDescent="0.25">
      <c r="A353" s="5">
        <v>44240</v>
      </c>
      <c r="B353">
        <v>18.675799999999999</v>
      </c>
      <c r="C353">
        <v>20.620999999999999</v>
      </c>
      <c r="D353">
        <v>16.450099999999999</v>
      </c>
      <c r="E353">
        <v>18.292300000000001</v>
      </c>
      <c r="F353">
        <v>4421418.95</v>
      </c>
      <c r="G353">
        <v>0</v>
      </c>
      <c r="L353" t="s">
        <v>8</v>
      </c>
      <c r="M353" t="s">
        <v>8</v>
      </c>
      <c r="N353" t="s">
        <v>8</v>
      </c>
      <c r="P353">
        <f t="shared" si="970"/>
        <v>-0.11664149224387925</v>
      </c>
      <c r="Q353">
        <f t="shared" si="971"/>
        <v>-515720.90416336578</v>
      </c>
      <c r="R353">
        <f t="shared" si="972"/>
        <v>19714093.160195488</v>
      </c>
      <c r="S353">
        <f t="shared" si="973"/>
        <v>197.14093160195489</v>
      </c>
      <c r="T353">
        <f t="shared" si="974"/>
        <v>0.19714093160195489</v>
      </c>
    </row>
    <row r="354" spans="1:20" x14ac:dyDescent="0.25">
      <c r="A354" s="5">
        <v>44239</v>
      </c>
      <c r="B354">
        <v>16.026700000000002</v>
      </c>
      <c r="C354">
        <v>19.628900000000002</v>
      </c>
      <c r="D354">
        <v>15.587899999999999</v>
      </c>
      <c r="E354">
        <v>18.676300000000001</v>
      </c>
      <c r="F354">
        <v>5237005.68</v>
      </c>
      <c r="G354">
        <v>0</v>
      </c>
      <c r="L354" t="s">
        <v>8</v>
      </c>
      <c r="M354" t="s">
        <v>8</v>
      </c>
      <c r="N354" t="s">
        <v>8</v>
      </c>
      <c r="P354">
        <f t="shared" si="970"/>
        <v>0.52853254145013617</v>
      </c>
      <c r="Q354">
        <f t="shared" si="971"/>
        <v>2767927.9216391984</v>
      </c>
      <c r="R354">
        <f t="shared" si="972"/>
        <v>20229814.064358853</v>
      </c>
      <c r="S354">
        <f t="shared" si="973"/>
        <v>202.29814064358854</v>
      </c>
      <c r="T354">
        <f t="shared" si="974"/>
        <v>0.20229814064358853</v>
      </c>
    </row>
    <row r="355" spans="1:20" x14ac:dyDescent="0.25">
      <c r="A355" s="5">
        <v>44238</v>
      </c>
      <c r="B355">
        <v>13.068199999999999</v>
      </c>
      <c r="C355">
        <v>17.389800000000001</v>
      </c>
      <c r="D355">
        <v>12.6341</v>
      </c>
      <c r="E355">
        <v>15.9937</v>
      </c>
      <c r="F355">
        <v>5700050.6900000004</v>
      </c>
      <c r="G355">
        <v>0</v>
      </c>
      <c r="L355" t="s">
        <v>8</v>
      </c>
      <c r="M355" t="s">
        <v>8</v>
      </c>
      <c r="N355" t="s">
        <v>8</v>
      </c>
      <c r="P355">
        <f t="shared" si="970"/>
        <v>0.41287297348445012</v>
      </c>
      <c r="Q355">
        <f t="shared" si="971"/>
        <v>2353396.8773923917</v>
      </c>
      <c r="R355">
        <f t="shared" si="972"/>
        <v>17461886.142719653</v>
      </c>
      <c r="S355">
        <f t="shared" si="973"/>
        <v>174.61886142719652</v>
      </c>
      <c r="T355">
        <f t="shared" si="974"/>
        <v>0.17461886142719651</v>
      </c>
    </row>
    <row r="356" spans="1:20" x14ac:dyDescent="0.25">
      <c r="A356" s="5">
        <v>44237</v>
      </c>
      <c r="B356">
        <v>13.318300000000001</v>
      </c>
      <c r="C356">
        <v>13.849</v>
      </c>
      <c r="D356">
        <v>12.0001</v>
      </c>
      <c r="E356">
        <v>13.0687</v>
      </c>
      <c r="F356">
        <v>3821728.97</v>
      </c>
      <c r="G356">
        <v>0</v>
      </c>
      <c r="L356" t="s">
        <v>7</v>
      </c>
      <c r="M356" t="s">
        <v>7</v>
      </c>
      <c r="N356" t="s">
        <v>8</v>
      </c>
      <c r="P356">
        <f t="shared" si="970"/>
        <v>0.15593055330196307</v>
      </c>
      <c r="Q356">
        <f t="shared" si="971"/>
        <v>595924.31286224141</v>
      </c>
      <c r="R356">
        <f t="shared" si="972"/>
        <v>15108489.26532726</v>
      </c>
      <c r="S356">
        <f t="shared" si="973"/>
        <v>151.08489265327259</v>
      </c>
      <c r="T356">
        <f t="shared" si="974"/>
        <v>0.1510848926532726</v>
      </c>
    </row>
    <row r="357" spans="1:20" x14ac:dyDescent="0.25">
      <c r="A357" s="5">
        <v>44236</v>
      </c>
      <c r="B357">
        <v>11.629</v>
      </c>
      <c r="C357">
        <v>14.382899999999999</v>
      </c>
      <c r="D357">
        <v>11.49</v>
      </c>
      <c r="E357">
        <v>13.324</v>
      </c>
      <c r="F357">
        <v>4636599.3899999997</v>
      </c>
      <c r="G357">
        <v>0</v>
      </c>
      <c r="L357" t="s">
        <v>8</v>
      </c>
      <c r="M357" t="s">
        <v>8</v>
      </c>
      <c r="N357" t="s">
        <v>8</v>
      </c>
      <c r="P357">
        <f t="shared" si="970"/>
        <v>0.26793183310864543</v>
      </c>
      <c r="Q357">
        <f t="shared" si="971"/>
        <v>1242292.573953127</v>
      </c>
      <c r="R357">
        <f t="shared" si="972"/>
        <v>14512564.952465018</v>
      </c>
      <c r="S357">
        <f t="shared" si="973"/>
        <v>145.12564952465019</v>
      </c>
      <c r="T357">
        <f t="shared" si="974"/>
        <v>0.14512564952465018</v>
      </c>
    </row>
    <row r="358" spans="1:20" x14ac:dyDescent="0.25">
      <c r="A358" s="5">
        <v>44235</v>
      </c>
      <c r="B358">
        <v>11.210900000000001</v>
      </c>
      <c r="C358">
        <v>12.468999999999999</v>
      </c>
      <c r="D358">
        <v>10.860900000000001</v>
      </c>
      <c r="E358">
        <v>11.629</v>
      </c>
      <c r="F358">
        <v>2342800.2799999998</v>
      </c>
      <c r="G358">
        <v>0</v>
      </c>
      <c r="L358" t="s">
        <v>8</v>
      </c>
      <c r="M358" t="s">
        <v>8</v>
      </c>
      <c r="N358" t="s">
        <v>8</v>
      </c>
      <c r="P358">
        <f t="shared" si="970"/>
        <v>-4.4711149804117438E-2</v>
      </c>
      <c r="Q358">
        <f t="shared" si="971"/>
        <v>-104749.29428020827</v>
      </c>
      <c r="R358">
        <f t="shared" si="972"/>
        <v>13270272.378511891</v>
      </c>
      <c r="S358">
        <f t="shared" si="973"/>
        <v>132.70272378511891</v>
      </c>
      <c r="T358">
        <f t="shared" si="974"/>
        <v>0.13270272378511891</v>
      </c>
    </row>
    <row r="359" spans="1:20" x14ac:dyDescent="0.25">
      <c r="A359" s="5">
        <v>44234</v>
      </c>
      <c r="B359">
        <v>11.567600000000001</v>
      </c>
      <c r="C359">
        <v>11.7378</v>
      </c>
      <c r="D359">
        <v>10.32</v>
      </c>
      <c r="E359">
        <v>11.2248</v>
      </c>
      <c r="F359">
        <v>1801377.43</v>
      </c>
      <c r="G359">
        <v>0</v>
      </c>
      <c r="L359" t="s">
        <v>7</v>
      </c>
      <c r="M359" t="s">
        <v>7</v>
      </c>
      <c r="N359" t="s">
        <v>8</v>
      </c>
      <c r="P359">
        <f t="shared" si="970"/>
        <v>0.27634363097757086</v>
      </c>
      <c r="Q359">
        <f t="shared" si="971"/>
        <v>497799.17976724496</v>
      </c>
      <c r="R359">
        <f t="shared" si="972"/>
        <v>13375021.672792099</v>
      </c>
      <c r="S359">
        <f t="shared" si="973"/>
        <v>133.75021672792099</v>
      </c>
      <c r="T359">
        <f t="shared" si="974"/>
        <v>0.13375021672792098</v>
      </c>
    </row>
    <row r="360" spans="1:20" x14ac:dyDescent="0.25">
      <c r="A360" s="5">
        <v>44233</v>
      </c>
      <c r="B360">
        <v>12.4603</v>
      </c>
      <c r="C360">
        <v>12.6218</v>
      </c>
      <c r="D360">
        <v>11.1</v>
      </c>
      <c r="E360">
        <v>11.5663</v>
      </c>
      <c r="F360">
        <v>1979383.19</v>
      </c>
      <c r="G360">
        <v>0</v>
      </c>
      <c r="L360" t="s">
        <v>7</v>
      </c>
      <c r="M360" t="s">
        <v>8</v>
      </c>
      <c r="N360" t="s">
        <v>8</v>
      </c>
      <c r="P360">
        <f t="shared" si="970"/>
        <v>-0.387173084505191</v>
      </c>
      <c r="Q360">
        <f t="shared" si="971"/>
        <v>-766363.89509002457</v>
      </c>
      <c r="R360">
        <f t="shared" si="972"/>
        <v>12877222.493024854</v>
      </c>
      <c r="S360">
        <f t="shared" si="973"/>
        <v>128.77222493024854</v>
      </c>
      <c r="T360">
        <f t="shared" si="974"/>
        <v>0.12877222493024854</v>
      </c>
    </row>
    <row r="361" spans="1:20" x14ac:dyDescent="0.25">
      <c r="A361" s="5">
        <v>44232</v>
      </c>
      <c r="B361">
        <v>11.607100000000001</v>
      </c>
      <c r="C361">
        <v>13.18</v>
      </c>
      <c r="D361">
        <v>11.5444</v>
      </c>
      <c r="E361">
        <v>12.4359</v>
      </c>
      <c r="F361">
        <v>2903975.94</v>
      </c>
      <c r="G361">
        <v>0</v>
      </c>
      <c r="L361" t="s">
        <v>8</v>
      </c>
      <c r="M361" t="s">
        <v>8</v>
      </c>
      <c r="N361" t="s">
        <v>8</v>
      </c>
      <c r="P361">
        <f t="shared" si="970"/>
        <v>9.0119833700171847E-2</v>
      </c>
      <c r="Q361">
        <f t="shared" si="971"/>
        <v>261705.8287821002</v>
      </c>
      <c r="R361">
        <f t="shared" si="972"/>
        <v>13643586.388114879</v>
      </c>
      <c r="S361">
        <f t="shared" si="973"/>
        <v>136.43586388114878</v>
      </c>
      <c r="T361">
        <f t="shared" si="974"/>
        <v>0.13643586388114878</v>
      </c>
    </row>
    <row r="362" spans="1:20" x14ac:dyDescent="0.25">
      <c r="A362" s="5">
        <v>44231</v>
      </c>
      <c r="B362">
        <v>11.8567</v>
      </c>
      <c r="C362">
        <v>12.438700000000001</v>
      </c>
      <c r="D362">
        <v>10.612</v>
      </c>
      <c r="E362">
        <v>11.607100000000001</v>
      </c>
      <c r="F362">
        <v>2817203.58</v>
      </c>
      <c r="G362">
        <v>0</v>
      </c>
      <c r="L362" t="s">
        <v>7</v>
      </c>
      <c r="M362" t="s">
        <v>7</v>
      </c>
      <c r="N362" t="s">
        <v>8</v>
      </c>
      <c r="P362">
        <f t="shared" si="970"/>
        <v>8.9505665955001257E-2</v>
      </c>
      <c r="Q362">
        <f t="shared" si="971"/>
        <v>252155.68255871366</v>
      </c>
      <c r="R362">
        <f t="shared" si="972"/>
        <v>13381880.559332779</v>
      </c>
      <c r="S362">
        <f t="shared" si="973"/>
        <v>133.8188055933278</v>
      </c>
      <c r="T362">
        <f t="shared" si="974"/>
        <v>0.13381880559332779</v>
      </c>
    </row>
    <row r="363" spans="1:20" x14ac:dyDescent="0.25">
      <c r="A363" s="5">
        <v>44230</v>
      </c>
      <c r="B363">
        <v>11.3216</v>
      </c>
      <c r="C363">
        <v>12.7498</v>
      </c>
      <c r="D363">
        <v>11.1409</v>
      </c>
      <c r="E363">
        <v>11.8512</v>
      </c>
      <c r="F363">
        <v>2678010.9</v>
      </c>
      <c r="G363">
        <v>0</v>
      </c>
      <c r="L363" t="s">
        <v>7</v>
      </c>
      <c r="M363" t="s">
        <v>8</v>
      </c>
      <c r="N363" t="s">
        <v>8</v>
      </c>
      <c r="P363">
        <f t="shared" si="970"/>
        <v>-0.1170364845546646</v>
      </c>
      <c r="Q363">
        <f t="shared" si="971"/>
        <v>-313424.98133507342</v>
      </c>
      <c r="R363">
        <f t="shared" si="972"/>
        <v>13129724.876774065</v>
      </c>
      <c r="S363">
        <f t="shared" si="973"/>
        <v>131.29724876774065</v>
      </c>
      <c r="T363">
        <f t="shared" si="974"/>
        <v>0.13129724876774065</v>
      </c>
    </row>
    <row r="364" spans="1:20" x14ac:dyDescent="0.25">
      <c r="A364" s="5">
        <v>44229</v>
      </c>
      <c r="B364">
        <v>11.1698</v>
      </c>
      <c r="C364">
        <v>12.949</v>
      </c>
      <c r="D364">
        <v>10.824199999999999</v>
      </c>
      <c r="E364">
        <v>11.308299999999999</v>
      </c>
      <c r="F364">
        <v>5036391.91</v>
      </c>
      <c r="G364">
        <v>0</v>
      </c>
      <c r="L364" t="s">
        <v>8</v>
      </c>
      <c r="M364" t="s">
        <v>8</v>
      </c>
      <c r="N364" t="s">
        <v>8</v>
      </c>
      <c r="P364">
        <f t="shared" si="970"/>
        <v>-0.54433358433734969</v>
      </c>
      <c r="Q364">
        <f t="shared" si="971"/>
        <v>-2741477.2604979309</v>
      </c>
      <c r="R364">
        <f t="shared" si="972"/>
        <v>13443149.858109139</v>
      </c>
      <c r="S364">
        <f t="shared" si="973"/>
        <v>134.43149858109138</v>
      </c>
      <c r="T364">
        <f t="shared" si="974"/>
        <v>0.13443149858109138</v>
      </c>
    </row>
    <row r="365" spans="1:20" x14ac:dyDescent="0.25">
      <c r="A365" s="5">
        <v>44228</v>
      </c>
      <c r="B365">
        <v>9.0162999999999993</v>
      </c>
      <c r="C365">
        <v>11.7637</v>
      </c>
      <c r="D365">
        <v>8.58</v>
      </c>
      <c r="E365">
        <v>11.18</v>
      </c>
      <c r="F365">
        <v>5763092.0899999999</v>
      </c>
      <c r="G365">
        <v>0</v>
      </c>
      <c r="L365" t="s">
        <v>8</v>
      </c>
      <c r="M365" t="s">
        <v>8</v>
      </c>
      <c r="N365" t="s">
        <v>8</v>
      </c>
      <c r="P365">
        <f t="shared" si="970"/>
        <v>0.63331972233564704</v>
      </c>
      <c r="Q365">
        <f t="shared" si="971"/>
        <v>3649879.8822335638</v>
      </c>
      <c r="R365">
        <f t="shared" si="972"/>
        <v>16184627.11860707</v>
      </c>
      <c r="S365">
        <f t="shared" si="973"/>
        <v>161.84627118607071</v>
      </c>
      <c r="T365">
        <f t="shared" si="974"/>
        <v>0.1618462711860707</v>
      </c>
    </row>
    <row r="366" spans="1:20" x14ac:dyDescent="0.25">
      <c r="A366" s="5">
        <v>44227</v>
      </c>
      <c r="B366">
        <v>9.4844000000000008</v>
      </c>
      <c r="C366">
        <v>10.2826</v>
      </c>
      <c r="D366">
        <v>8.875</v>
      </c>
      <c r="E366">
        <v>9.0076999999999998</v>
      </c>
      <c r="F366">
        <v>2883675.2</v>
      </c>
      <c r="G366">
        <v>0</v>
      </c>
      <c r="L366" t="s">
        <v>8</v>
      </c>
      <c r="M366" t="s">
        <v>8</v>
      </c>
      <c r="N366" t="s">
        <v>8</v>
      </c>
      <c r="P366">
        <f t="shared" si="970"/>
        <v>-0.8114521170787159</v>
      </c>
      <c r="Q366">
        <f t="shared" si="971"/>
        <v>-2339964.3460073895</v>
      </c>
      <c r="R366">
        <f t="shared" si="972"/>
        <v>12534747.236373506</v>
      </c>
      <c r="S366">
        <f t="shared" si="973"/>
        <v>125.34747236373506</v>
      </c>
      <c r="T366">
        <f t="shared" si="974"/>
        <v>0.12534747236373506</v>
      </c>
    </row>
    <row r="367" spans="1:20" x14ac:dyDescent="0.25">
      <c r="A367" s="5">
        <v>44226</v>
      </c>
      <c r="B367">
        <v>8.6453000000000007</v>
      </c>
      <c r="C367">
        <v>9.8546999999999993</v>
      </c>
      <c r="D367">
        <v>8.4527999999999999</v>
      </c>
      <c r="E367">
        <v>9.4969999999999999</v>
      </c>
      <c r="F367">
        <v>2552043.56</v>
      </c>
      <c r="G367">
        <v>0</v>
      </c>
      <c r="L367" t="s">
        <v>8</v>
      </c>
      <c r="M367" t="s">
        <v>8</v>
      </c>
      <c r="N367" t="s">
        <v>8</v>
      </c>
      <c r="P367">
        <f t="shared" si="970"/>
        <v>0.48969256009701179</v>
      </c>
      <c r="Q367">
        <f t="shared" si="971"/>
        <v>1249716.744375492</v>
      </c>
      <c r="R367">
        <f t="shared" si="972"/>
        <v>14874711.582380896</v>
      </c>
      <c r="S367">
        <f t="shared" si="973"/>
        <v>148.74711582380897</v>
      </c>
      <c r="T367">
        <f t="shared" si="974"/>
        <v>0.14874711582380898</v>
      </c>
    </row>
    <row r="368" spans="1:20" x14ac:dyDescent="0.25">
      <c r="A368" s="5">
        <v>44225</v>
      </c>
      <c r="B368">
        <v>8.8490000000000002</v>
      </c>
      <c r="C368">
        <v>9.0494000000000003</v>
      </c>
      <c r="D368">
        <v>8.33</v>
      </c>
      <c r="E368">
        <v>8.6332000000000004</v>
      </c>
      <c r="F368">
        <v>1966177.84</v>
      </c>
      <c r="G368">
        <v>0</v>
      </c>
      <c r="L368" t="s">
        <v>7</v>
      </c>
      <c r="M368" t="s">
        <v>7</v>
      </c>
      <c r="N368" t="s">
        <v>8</v>
      </c>
      <c r="P368">
        <f t="shared" si="970"/>
        <v>-0.1570753405615784</v>
      </c>
      <c r="Q368">
        <f t="shared" si="971"/>
        <v>-308838.05382262863</v>
      </c>
      <c r="R368">
        <f t="shared" si="972"/>
        <v>13624994.838005405</v>
      </c>
      <c r="S368">
        <f t="shared" si="973"/>
        <v>136.24994838005404</v>
      </c>
      <c r="T368">
        <f t="shared" si="974"/>
        <v>0.13624994838005403</v>
      </c>
    </row>
    <row r="369" spans="1:20" x14ac:dyDescent="0.25">
      <c r="A369" s="5">
        <v>44224</v>
      </c>
      <c r="B369">
        <v>8.2331000000000003</v>
      </c>
      <c r="C369">
        <v>9.2499000000000002</v>
      </c>
      <c r="D369">
        <v>8.0304000000000002</v>
      </c>
      <c r="E369">
        <v>8.8472000000000008</v>
      </c>
      <c r="F369">
        <v>2136515.7599999998</v>
      </c>
      <c r="G369">
        <v>0</v>
      </c>
      <c r="L369" t="s">
        <v>8</v>
      </c>
      <c r="M369" t="s">
        <v>7</v>
      </c>
      <c r="N369" t="s">
        <v>8</v>
      </c>
      <c r="P369">
        <f t="shared" si="970"/>
        <v>0.33956539565395755</v>
      </c>
      <c r="Q369">
        <f t="shared" si="971"/>
        <v>725486.81936531572</v>
      </c>
      <c r="R369">
        <f t="shared" si="972"/>
        <v>13933832.891828034</v>
      </c>
      <c r="S369">
        <f t="shared" si="973"/>
        <v>139.33832891828035</v>
      </c>
      <c r="T369">
        <f t="shared" si="974"/>
        <v>0.13933832891828035</v>
      </c>
    </row>
    <row r="370" spans="1:20" x14ac:dyDescent="0.25">
      <c r="A370" s="5">
        <v>44223</v>
      </c>
      <c r="B370">
        <v>9.3335000000000008</v>
      </c>
      <c r="C370">
        <v>9.35</v>
      </c>
      <c r="D370">
        <v>7.9741</v>
      </c>
      <c r="E370">
        <v>8.2302</v>
      </c>
      <c r="F370">
        <v>2199272.48</v>
      </c>
      <c r="G370">
        <v>0</v>
      </c>
      <c r="L370" t="s">
        <v>7</v>
      </c>
      <c r="M370" t="s">
        <v>7</v>
      </c>
      <c r="N370" t="s">
        <v>8</v>
      </c>
      <c r="P370">
        <f t="shared" si="970"/>
        <v>-0.62773457373355612</v>
      </c>
      <c r="Q370">
        <f t="shared" si="971"/>
        <v>-1380559.3727567408</v>
      </c>
      <c r="R370">
        <f t="shared" si="972"/>
        <v>13208346.072462719</v>
      </c>
      <c r="S370">
        <f t="shared" si="973"/>
        <v>132.0834607246272</v>
      </c>
      <c r="T370">
        <f t="shared" si="974"/>
        <v>0.13208346072462721</v>
      </c>
    </row>
    <row r="371" spans="1:20" x14ac:dyDescent="0.25">
      <c r="A371" s="5">
        <v>44222</v>
      </c>
      <c r="B371">
        <v>8.9503000000000004</v>
      </c>
      <c r="C371">
        <v>9.5169999999999995</v>
      </c>
      <c r="D371">
        <v>8.3699999999999992</v>
      </c>
      <c r="E371">
        <v>9.3335000000000008</v>
      </c>
      <c r="F371">
        <v>2330806.08</v>
      </c>
      <c r="G371">
        <v>0</v>
      </c>
      <c r="L371" t="s">
        <v>7</v>
      </c>
      <c r="M371" t="s">
        <v>7</v>
      </c>
      <c r="N371" t="s">
        <v>8</v>
      </c>
      <c r="P371">
        <f t="shared" si="970"/>
        <v>0.68003487358326309</v>
      </c>
      <c r="Q371">
        <f t="shared" si="971"/>
        <v>1585029.417959901</v>
      </c>
      <c r="R371">
        <f t="shared" si="972"/>
        <v>14588905.445219459</v>
      </c>
      <c r="S371">
        <f t="shared" si="973"/>
        <v>145.88905445219459</v>
      </c>
      <c r="T371">
        <f t="shared" si="974"/>
        <v>0.14588905445219458</v>
      </c>
    </row>
    <row r="372" spans="1:20" x14ac:dyDescent="0.25">
      <c r="A372" s="5">
        <v>44221</v>
      </c>
      <c r="B372">
        <v>9.3806999999999992</v>
      </c>
      <c r="C372">
        <v>10.38</v>
      </c>
      <c r="D372">
        <v>8.9019999999999992</v>
      </c>
      <c r="E372">
        <v>8.9499999999999993</v>
      </c>
      <c r="F372">
        <v>3243869.19</v>
      </c>
      <c r="G372">
        <v>0</v>
      </c>
      <c r="L372" t="s">
        <v>8</v>
      </c>
      <c r="M372" t="s">
        <v>8</v>
      </c>
      <c r="N372" t="s">
        <v>8</v>
      </c>
      <c r="P372">
        <f t="shared" si="970"/>
        <v>-0.93504736129905275</v>
      </c>
      <c r="Q372">
        <f t="shared" si="971"/>
        <v>-3033171.3265087954</v>
      </c>
      <c r="R372">
        <f t="shared" si="972"/>
        <v>13003876.027259558</v>
      </c>
      <c r="S372">
        <f t="shared" si="973"/>
        <v>130.0387602725956</v>
      </c>
      <c r="T372">
        <f t="shared" si="974"/>
        <v>0.13003876027259559</v>
      </c>
    </row>
    <row r="373" spans="1:20" x14ac:dyDescent="0.25">
      <c r="A373" s="5">
        <v>44220</v>
      </c>
      <c r="B373">
        <v>9.6546000000000003</v>
      </c>
      <c r="C373">
        <v>9.9757999999999996</v>
      </c>
      <c r="D373">
        <v>8.8018000000000001</v>
      </c>
      <c r="E373">
        <v>9.3940000000000001</v>
      </c>
      <c r="F373">
        <v>2527893.5099999998</v>
      </c>
      <c r="G373">
        <v>0</v>
      </c>
      <c r="L373" t="s">
        <v>7</v>
      </c>
      <c r="M373" t="s">
        <v>8</v>
      </c>
      <c r="N373" t="s">
        <v>8</v>
      </c>
      <c r="P373">
        <f t="shared" si="970"/>
        <v>8.8586030664400649E-3</v>
      </c>
      <c r="Q373">
        <f t="shared" si="971"/>
        <v>22393.605199319936</v>
      </c>
      <c r="R373">
        <f t="shared" si="972"/>
        <v>16037047.353768354</v>
      </c>
      <c r="S373">
        <f t="shared" si="973"/>
        <v>160.37047353768355</v>
      </c>
      <c r="T373">
        <f t="shared" si="974"/>
        <v>0.16037047353768355</v>
      </c>
    </row>
    <row r="374" spans="1:20" x14ac:dyDescent="0.25">
      <c r="A374" s="5">
        <v>44219</v>
      </c>
      <c r="B374">
        <v>8.5652000000000008</v>
      </c>
      <c r="C374">
        <v>10.222200000000001</v>
      </c>
      <c r="D374">
        <v>8.3081999999999994</v>
      </c>
      <c r="E374">
        <v>9.6263000000000005</v>
      </c>
      <c r="F374">
        <v>3115682.18</v>
      </c>
      <c r="G374">
        <v>0</v>
      </c>
      <c r="L374" t="s">
        <v>8</v>
      </c>
      <c r="M374" t="s">
        <v>8</v>
      </c>
      <c r="N374" t="s">
        <v>8</v>
      </c>
      <c r="P374">
        <f t="shared" si="970"/>
        <v>0.37732497387669817</v>
      </c>
      <c r="Q374">
        <f t="shared" si="971"/>
        <v>1175624.6971765941</v>
      </c>
      <c r="R374">
        <f t="shared" si="972"/>
        <v>16014653.748569034</v>
      </c>
      <c r="S374">
        <f t="shared" si="973"/>
        <v>160.14653748569035</v>
      </c>
      <c r="T374">
        <f t="shared" si="974"/>
        <v>0.16014653748569035</v>
      </c>
    </row>
    <row r="375" spans="1:20" x14ac:dyDescent="0.25">
      <c r="A375" s="5">
        <v>44218</v>
      </c>
      <c r="B375">
        <v>7.7615999999999996</v>
      </c>
      <c r="C375">
        <v>8.9600000000000009</v>
      </c>
      <c r="D375">
        <v>7.1532</v>
      </c>
      <c r="E375">
        <v>8.5650999999999993</v>
      </c>
      <c r="F375">
        <v>2219288.7799999998</v>
      </c>
      <c r="G375">
        <v>0</v>
      </c>
      <c r="L375" t="s">
        <v>7</v>
      </c>
      <c r="M375" t="s">
        <v>7</v>
      </c>
      <c r="N375" t="s">
        <v>7</v>
      </c>
      <c r="P375">
        <f t="shared" si="970"/>
        <v>0.56287358866504167</v>
      </c>
      <c r="Q375">
        <f t="shared" si="971"/>
        <v>1249179.039882662</v>
      </c>
      <c r="R375">
        <f t="shared" si="972"/>
        <v>14839029.05139244</v>
      </c>
      <c r="S375">
        <f t="shared" si="973"/>
        <v>148.39029051392438</v>
      </c>
      <c r="T375">
        <f t="shared" si="974"/>
        <v>0.14839029051392438</v>
      </c>
    </row>
    <row r="376" spans="1:20" x14ac:dyDescent="0.25">
      <c r="A376" s="5">
        <v>44217</v>
      </c>
      <c r="B376">
        <v>9.4640000000000004</v>
      </c>
      <c r="C376">
        <v>9.57</v>
      </c>
      <c r="D376">
        <v>7.5579999999999998</v>
      </c>
      <c r="E376">
        <v>7.7512999999999996</v>
      </c>
      <c r="F376">
        <v>2473831.71</v>
      </c>
      <c r="G376">
        <v>0</v>
      </c>
      <c r="L376" t="s">
        <v>7</v>
      </c>
      <c r="M376" t="s">
        <v>7</v>
      </c>
      <c r="N376" t="s">
        <v>7</v>
      </c>
      <c r="P376">
        <f t="shared" si="970"/>
        <v>-0.80785288270377753</v>
      </c>
      <c r="Q376">
        <f t="shared" si="971"/>
        <v>-1998492.0782475153</v>
      </c>
      <c r="R376">
        <f t="shared" si="972"/>
        <v>13589850.011509778</v>
      </c>
      <c r="S376">
        <f t="shared" si="973"/>
        <v>135.89850011509779</v>
      </c>
      <c r="T376">
        <f t="shared" si="974"/>
        <v>0.1358985001150978</v>
      </c>
    </row>
    <row r="377" spans="1:20" x14ac:dyDescent="0.25">
      <c r="A377" s="5">
        <v>44216</v>
      </c>
      <c r="B377">
        <v>9.4324999999999992</v>
      </c>
      <c r="C377">
        <v>9.7247000000000003</v>
      </c>
      <c r="D377">
        <v>8.5239999999999991</v>
      </c>
      <c r="E377">
        <v>9.4641000000000002</v>
      </c>
      <c r="F377">
        <v>2813938.18</v>
      </c>
      <c r="G377">
        <v>0</v>
      </c>
      <c r="L377" t="s">
        <v>7</v>
      </c>
      <c r="M377" t="s">
        <v>7</v>
      </c>
      <c r="N377" t="s">
        <v>8</v>
      </c>
      <c r="P377">
        <f t="shared" si="970"/>
        <v>0.5659198800699593</v>
      </c>
      <c r="Q377">
        <f t="shared" si="971"/>
        <v>1592463.5573498798</v>
      </c>
      <c r="R377">
        <f t="shared" si="972"/>
        <v>15588342.089757293</v>
      </c>
      <c r="S377">
        <f t="shared" si="973"/>
        <v>155.88342089757293</v>
      </c>
      <c r="T377">
        <f t="shared" si="974"/>
        <v>0.15588342089757293</v>
      </c>
    </row>
    <row r="378" spans="1:20" x14ac:dyDescent="0.25">
      <c r="A378" s="5">
        <v>44215</v>
      </c>
      <c r="B378">
        <v>9.9422999999999995</v>
      </c>
      <c r="C378">
        <v>10.6739</v>
      </c>
      <c r="D378">
        <v>9.4024000000000001</v>
      </c>
      <c r="E378">
        <v>9.4388000000000005</v>
      </c>
      <c r="F378">
        <v>2764807.76</v>
      </c>
      <c r="G378">
        <v>0</v>
      </c>
      <c r="L378" t="s">
        <v>7</v>
      </c>
      <c r="M378" t="s">
        <v>7</v>
      </c>
      <c r="N378" t="s">
        <v>8</v>
      </c>
      <c r="P378">
        <f t="shared" si="970"/>
        <v>-0.94274478961856001</v>
      </c>
      <c r="Q378">
        <f t="shared" si="971"/>
        <v>-2606508.1100369617</v>
      </c>
      <c r="R378">
        <f t="shared" si="972"/>
        <v>13995878.532407414</v>
      </c>
      <c r="S378">
        <f t="shared" si="973"/>
        <v>139.95878532407414</v>
      </c>
      <c r="T378">
        <f t="shared" si="974"/>
        <v>0.13995878532407413</v>
      </c>
    </row>
    <row r="379" spans="1:20" x14ac:dyDescent="0.25">
      <c r="A379" s="5">
        <v>44214</v>
      </c>
      <c r="B379">
        <v>10.3019</v>
      </c>
      <c r="C379">
        <v>10.9001</v>
      </c>
      <c r="D379">
        <v>9.3291000000000004</v>
      </c>
      <c r="E379">
        <v>9.9473000000000003</v>
      </c>
      <c r="F379">
        <v>2828276.02</v>
      </c>
      <c r="G379">
        <v>0</v>
      </c>
      <c r="L379" t="s">
        <v>8</v>
      </c>
      <c r="M379" t="s">
        <v>7</v>
      </c>
      <c r="N379" t="s">
        <v>8</v>
      </c>
      <c r="P379">
        <f t="shared" si="970"/>
        <v>-0.21298535964353918</v>
      </c>
      <c r="Q379">
        <f t="shared" si="971"/>
        <v>-602381.38529089757</v>
      </c>
      <c r="R379">
        <f t="shared" si="972"/>
        <v>16602386.642444376</v>
      </c>
      <c r="S379">
        <f t="shared" si="973"/>
        <v>166.02386642444375</v>
      </c>
      <c r="T379">
        <f t="shared" si="974"/>
        <v>0.16602386642444375</v>
      </c>
    </row>
    <row r="380" spans="1:20" x14ac:dyDescent="0.25">
      <c r="A380" s="5">
        <v>44213</v>
      </c>
      <c r="B380">
        <v>10.18</v>
      </c>
      <c r="C380">
        <v>10.7118</v>
      </c>
      <c r="D380">
        <v>9.1854999999999993</v>
      </c>
      <c r="E380">
        <v>10.325699999999999</v>
      </c>
      <c r="F380">
        <v>4049460.32</v>
      </c>
      <c r="G380">
        <v>0</v>
      </c>
      <c r="L380" t="s">
        <v>7</v>
      </c>
      <c r="M380" t="s">
        <v>7</v>
      </c>
      <c r="N380" t="s">
        <v>8</v>
      </c>
      <c r="P380">
        <f t="shared" si="970"/>
        <v>0.49407062831684395</v>
      </c>
      <c r="Q380">
        <f t="shared" si="971"/>
        <v>2000719.404646528</v>
      </c>
      <c r="R380">
        <f t="shared" si="972"/>
        <v>17204768.027735274</v>
      </c>
      <c r="S380">
        <f t="shared" si="973"/>
        <v>172.04768027735275</v>
      </c>
      <c r="T380">
        <f t="shared" si="974"/>
        <v>0.17204768027735276</v>
      </c>
    </row>
    <row r="381" spans="1:20" x14ac:dyDescent="0.25">
      <c r="A381" s="5">
        <v>44212</v>
      </c>
      <c r="B381">
        <v>10.482900000000001</v>
      </c>
      <c r="C381">
        <v>11.4824</v>
      </c>
      <c r="D381">
        <v>9.8000000000000007</v>
      </c>
      <c r="E381">
        <v>10.180300000000001</v>
      </c>
      <c r="F381">
        <v>4741151.9000000004</v>
      </c>
      <c r="G381">
        <v>0</v>
      </c>
      <c r="L381" t="s">
        <v>8</v>
      </c>
      <c r="M381" t="s">
        <v>8</v>
      </c>
      <c r="N381" t="s">
        <v>8</v>
      </c>
      <c r="P381">
        <f t="shared" si="970"/>
        <v>-0.54790775083214427</v>
      </c>
      <c r="Q381">
        <f t="shared" si="971"/>
        <v>-2597713.8738825475</v>
      </c>
      <c r="R381">
        <f t="shared" si="972"/>
        <v>15204048.623088747</v>
      </c>
      <c r="S381">
        <f t="shared" si="973"/>
        <v>152.04048623088747</v>
      </c>
      <c r="T381">
        <f t="shared" si="974"/>
        <v>0.15204048623088748</v>
      </c>
    </row>
    <row r="382" spans="1:20" x14ac:dyDescent="0.25">
      <c r="A382" s="5">
        <v>44211</v>
      </c>
      <c r="B382">
        <v>8.8716000000000008</v>
      </c>
      <c r="C382">
        <v>10.7555</v>
      </c>
      <c r="D382">
        <v>8.6668000000000003</v>
      </c>
      <c r="E382">
        <v>10.482900000000001</v>
      </c>
      <c r="F382">
        <v>6255624.4800000004</v>
      </c>
      <c r="G382">
        <v>0</v>
      </c>
      <c r="L382" t="s">
        <v>8</v>
      </c>
      <c r="M382" t="s">
        <v>8</v>
      </c>
      <c r="N382" t="s">
        <v>8</v>
      </c>
      <c r="P382">
        <f t="shared" si="970"/>
        <v>0.73897639680183946</v>
      </c>
      <c r="Q382">
        <f t="shared" si="971"/>
        <v>4622758.8379757814</v>
      </c>
      <c r="R382">
        <f t="shared" si="972"/>
        <v>17801762.496971294</v>
      </c>
      <c r="S382">
        <f t="shared" si="973"/>
        <v>178.01762496971295</v>
      </c>
      <c r="T382">
        <f t="shared" si="974"/>
        <v>0.17801762496971296</v>
      </c>
    </row>
    <row r="383" spans="1:20" x14ac:dyDescent="0.25">
      <c r="A383" s="5">
        <v>44210</v>
      </c>
      <c r="B383">
        <v>8.9301999999999992</v>
      </c>
      <c r="C383">
        <v>9.25</v>
      </c>
      <c r="D383">
        <v>8.3760999999999992</v>
      </c>
      <c r="E383">
        <v>8.8788999999999998</v>
      </c>
      <c r="F383">
        <v>3025887.33</v>
      </c>
      <c r="G383">
        <v>0</v>
      </c>
      <c r="L383" t="s">
        <v>7</v>
      </c>
      <c r="M383" t="s">
        <v>8</v>
      </c>
      <c r="N383" t="s">
        <v>7</v>
      </c>
      <c r="P383">
        <f t="shared" si="970"/>
        <v>0.15070374184689353</v>
      </c>
      <c r="Q383">
        <f t="shared" si="971"/>
        <v>456012.54303810594</v>
      </c>
      <c r="R383">
        <f t="shared" si="972"/>
        <v>13179003.658995515</v>
      </c>
      <c r="S383">
        <f t="shared" si="973"/>
        <v>131.79003658995515</v>
      </c>
      <c r="T383">
        <f t="shared" si="974"/>
        <v>0.13179003658995514</v>
      </c>
    </row>
    <row r="384" spans="1:20" x14ac:dyDescent="0.25">
      <c r="A384" s="5">
        <v>44209</v>
      </c>
      <c r="B384">
        <v>7.8521999999999998</v>
      </c>
      <c r="C384">
        <v>9.2200000000000006</v>
      </c>
      <c r="D384">
        <v>7.5083000000000002</v>
      </c>
      <c r="E384">
        <v>8.93</v>
      </c>
      <c r="F384">
        <v>2425037.0299999998</v>
      </c>
      <c r="G384">
        <v>0</v>
      </c>
      <c r="L384" t="s">
        <v>8</v>
      </c>
      <c r="M384" t="s">
        <v>8</v>
      </c>
      <c r="N384" t="s">
        <v>7</v>
      </c>
      <c r="P384">
        <f t="shared" si="970"/>
        <v>0.66115557632762656</v>
      </c>
      <c r="Q384">
        <f t="shared" si="971"/>
        <v>1603326.7551854856</v>
      </c>
      <c r="R384">
        <f t="shared" si="972"/>
        <v>12722991.115957409</v>
      </c>
      <c r="S384">
        <f t="shared" si="973"/>
        <v>127.22991115957409</v>
      </c>
      <c r="T384">
        <f t="shared" si="974"/>
        <v>0.12722991115957408</v>
      </c>
    </row>
    <row r="385" spans="1:20" x14ac:dyDescent="0.25">
      <c r="A385" s="5">
        <v>44208</v>
      </c>
      <c r="B385">
        <v>7.9786999999999999</v>
      </c>
      <c r="C385">
        <v>8.6980000000000004</v>
      </c>
      <c r="D385">
        <v>7.5</v>
      </c>
      <c r="E385">
        <v>7.8578999999999999</v>
      </c>
      <c r="F385">
        <v>2069790.6</v>
      </c>
      <c r="G385">
        <v>0</v>
      </c>
      <c r="L385" t="s">
        <v>8</v>
      </c>
      <c r="M385" t="s">
        <v>8</v>
      </c>
      <c r="N385" t="s">
        <v>7</v>
      </c>
      <c r="P385">
        <f t="shared" si="970"/>
        <v>-0.40250417362270491</v>
      </c>
      <c r="Q385">
        <f t="shared" si="971"/>
        <v>-833099.35502504255</v>
      </c>
      <c r="R385">
        <f t="shared" si="972"/>
        <v>11119664.360771924</v>
      </c>
      <c r="S385">
        <f t="shared" si="973"/>
        <v>111.19664360771924</v>
      </c>
      <c r="T385">
        <f t="shared" si="974"/>
        <v>0.11119664360771923</v>
      </c>
    </row>
    <row r="386" spans="1:20" x14ac:dyDescent="0.25">
      <c r="A386" s="5">
        <v>44207</v>
      </c>
      <c r="B386">
        <v>9.1180000000000003</v>
      </c>
      <c r="C386">
        <v>9.1393000000000004</v>
      </c>
      <c r="D386">
        <v>6.98</v>
      </c>
      <c r="E386">
        <v>7.9733000000000001</v>
      </c>
      <c r="F386">
        <v>3068902.15</v>
      </c>
      <c r="G386">
        <v>0</v>
      </c>
      <c r="L386" t="s">
        <v>7</v>
      </c>
      <c r="M386" t="s">
        <v>7</v>
      </c>
      <c r="N386" t="s">
        <v>7</v>
      </c>
      <c r="P386">
        <f t="shared" si="970"/>
        <v>-7.9979623025980981E-2</v>
      </c>
      <c r="Q386">
        <f t="shared" si="971"/>
        <v>-245449.63706062254</v>
      </c>
      <c r="R386">
        <f t="shared" si="972"/>
        <v>11952763.715796966</v>
      </c>
      <c r="S386">
        <f t="shared" si="973"/>
        <v>119.52763715796966</v>
      </c>
      <c r="T386">
        <f t="shared" si="974"/>
        <v>0.11952763715796967</v>
      </c>
    </row>
    <row r="387" spans="1:20" x14ac:dyDescent="0.25">
      <c r="A387" s="5">
        <v>44206</v>
      </c>
      <c r="B387">
        <v>9.8722999999999992</v>
      </c>
      <c r="C387">
        <v>10.693</v>
      </c>
      <c r="D387">
        <v>8.3811</v>
      </c>
      <c r="E387">
        <v>9.1387</v>
      </c>
      <c r="F387">
        <v>2864658.54</v>
      </c>
      <c r="G387">
        <v>0</v>
      </c>
      <c r="L387" t="s">
        <v>7</v>
      </c>
      <c r="M387" t="s">
        <v>7</v>
      </c>
      <c r="N387" t="s">
        <v>8</v>
      </c>
      <c r="P387">
        <f t="shared" si="970"/>
        <v>-0.34460833081015602</v>
      </c>
      <c r="Q387">
        <f t="shared" si="971"/>
        <v>-987185.1978104586</v>
      </c>
      <c r="R387">
        <f t="shared" si="972"/>
        <v>12198213.352857588</v>
      </c>
      <c r="S387">
        <f t="shared" si="973"/>
        <v>121.98213352857587</v>
      </c>
      <c r="T387">
        <f t="shared" si="974"/>
        <v>0.12198213352857587</v>
      </c>
    </row>
    <row r="388" spans="1:20" x14ac:dyDescent="0.25">
      <c r="A388" s="5">
        <v>44205</v>
      </c>
      <c r="B388">
        <v>10.348100000000001</v>
      </c>
      <c r="C388">
        <v>11.45</v>
      </c>
      <c r="D388">
        <v>9.7218</v>
      </c>
      <c r="E388">
        <v>9.8529999999999998</v>
      </c>
      <c r="F388">
        <v>3708079.76</v>
      </c>
      <c r="G388">
        <v>0</v>
      </c>
      <c r="L388" t="s">
        <v>8</v>
      </c>
      <c r="M388" t="s">
        <v>8</v>
      </c>
      <c r="N388" t="s">
        <v>8</v>
      </c>
      <c r="P388">
        <f t="shared" si="970"/>
        <v>-0.8481657215600048</v>
      </c>
      <c r="Q388">
        <f t="shared" si="971"/>
        <v>-3145066.1452424494</v>
      </c>
      <c r="R388">
        <f t="shared" si="972"/>
        <v>13185398.550668046</v>
      </c>
      <c r="S388">
        <f t="shared" si="973"/>
        <v>131.85398550668046</v>
      </c>
      <c r="T388">
        <f t="shared" si="974"/>
        <v>0.13185398550668045</v>
      </c>
    </row>
    <row r="389" spans="1:20" x14ac:dyDescent="0.25">
      <c r="A389" s="5">
        <v>44204</v>
      </c>
      <c r="B389">
        <v>8.4746000000000006</v>
      </c>
      <c r="C389">
        <v>10.750999999999999</v>
      </c>
      <c r="D389">
        <v>7.52</v>
      </c>
      <c r="E389">
        <v>10.3497</v>
      </c>
      <c r="F389">
        <v>4765089.8600000003</v>
      </c>
      <c r="G389">
        <v>0</v>
      </c>
      <c r="L389" t="s">
        <v>8</v>
      </c>
      <c r="M389" t="s">
        <v>7</v>
      </c>
      <c r="N389" t="s">
        <v>8</v>
      </c>
      <c r="P389">
        <f t="shared" si="970"/>
        <v>0.7515939337666363</v>
      </c>
      <c r="Q389">
        <f t="shared" si="971"/>
        <v>3581412.6326289107</v>
      </c>
      <c r="R389">
        <f t="shared" si="972"/>
        <v>16330464.695910495</v>
      </c>
      <c r="S389">
        <f t="shared" si="973"/>
        <v>163.30464695910496</v>
      </c>
      <c r="T389">
        <f t="shared" si="974"/>
        <v>0.16330464695910496</v>
      </c>
    </row>
    <row r="390" spans="1:20" x14ac:dyDescent="0.25">
      <c r="A390" s="5">
        <v>44203</v>
      </c>
      <c r="B390">
        <v>8.8642000000000003</v>
      </c>
      <c r="C390">
        <v>9.6219000000000001</v>
      </c>
      <c r="D390">
        <v>7.91</v>
      </c>
      <c r="E390">
        <v>8.4757999999999996</v>
      </c>
      <c r="F390">
        <v>2839972.58</v>
      </c>
      <c r="G390">
        <v>0</v>
      </c>
      <c r="L390" t="s">
        <v>8</v>
      </c>
      <c r="M390" t="s">
        <v>7</v>
      </c>
      <c r="N390" t="s">
        <v>8</v>
      </c>
      <c r="P390">
        <f t="shared" ref="P390:P453" si="975">IF(C390=D390,0,((E390-D390)-(C390-E390))/(C390-D390))</f>
        <v>-0.33898008061218599</v>
      </c>
      <c r="Q390">
        <f t="shared" ref="Q390:Q453" si="976">F390*P390</f>
        <v>-962694.13410479785</v>
      </c>
      <c r="R390">
        <f t="shared" ref="R390:R453" si="977">R391+Q390</f>
        <v>12749052.063281585</v>
      </c>
      <c r="S390">
        <f t="shared" ref="S390:S453" si="978">R390/100000</f>
        <v>127.49052063281584</v>
      </c>
      <c r="T390">
        <f t="shared" ref="T390:T453" si="979">S390/1000</f>
        <v>0.12749052063281585</v>
      </c>
    </row>
    <row r="391" spans="1:20" x14ac:dyDescent="0.25">
      <c r="A391" s="5">
        <v>44202</v>
      </c>
      <c r="B391">
        <v>7.4272</v>
      </c>
      <c r="C391">
        <v>9.5273000000000003</v>
      </c>
      <c r="D391">
        <v>7</v>
      </c>
      <c r="E391">
        <v>8.8655000000000008</v>
      </c>
      <c r="F391">
        <v>4927908.8099999996</v>
      </c>
      <c r="G391">
        <v>0</v>
      </c>
      <c r="L391" t="s">
        <v>8</v>
      </c>
      <c r="M391" t="s">
        <v>8</v>
      </c>
      <c r="N391" t="s">
        <v>8</v>
      </c>
      <c r="P391">
        <f t="shared" si="975"/>
        <v>0.47627903296007645</v>
      </c>
      <c r="Q391">
        <f t="shared" si="976"/>
        <v>2347059.6425422411</v>
      </c>
      <c r="R391">
        <f t="shared" si="977"/>
        <v>13711746.197386382</v>
      </c>
      <c r="S391">
        <f t="shared" si="978"/>
        <v>137.11746197386381</v>
      </c>
      <c r="T391">
        <f t="shared" si="979"/>
        <v>0.13711746197386382</v>
      </c>
    </row>
    <row r="392" spans="1:20" x14ac:dyDescent="0.25">
      <c r="A392" s="5">
        <v>44201</v>
      </c>
      <c r="B392">
        <v>6.7454999999999998</v>
      </c>
      <c r="C392">
        <v>7.7511000000000001</v>
      </c>
      <c r="D392">
        <v>6.2405999999999997</v>
      </c>
      <c r="E392">
        <v>7.4267000000000003</v>
      </c>
      <c r="F392">
        <v>2643636.59</v>
      </c>
      <c r="G392">
        <v>0</v>
      </c>
      <c r="L392" t="s">
        <v>8</v>
      </c>
      <c r="M392" t="s">
        <v>7</v>
      </c>
      <c r="N392" t="s">
        <v>8</v>
      </c>
      <c r="P392">
        <f t="shared" si="975"/>
        <v>0.57047335319430692</v>
      </c>
      <c r="Q392">
        <f t="shared" si="976"/>
        <v>1508124.2301244631</v>
      </c>
      <c r="R392">
        <f t="shared" si="977"/>
        <v>11364686.554844141</v>
      </c>
      <c r="S392">
        <f t="shared" si="978"/>
        <v>113.64686554844141</v>
      </c>
      <c r="T392">
        <f t="shared" si="979"/>
        <v>0.11364686554844142</v>
      </c>
    </row>
    <row r="393" spans="1:20" x14ac:dyDescent="0.25">
      <c r="A393" s="5">
        <v>44200</v>
      </c>
      <c r="B393">
        <v>6.7656999999999998</v>
      </c>
      <c r="C393">
        <v>7.5</v>
      </c>
      <c r="D393">
        <v>6.0759999999999996</v>
      </c>
      <c r="E393">
        <v>6.7446000000000002</v>
      </c>
      <c r="F393">
        <v>2888075.42</v>
      </c>
      <c r="G393">
        <v>0</v>
      </c>
      <c r="L393" t="s">
        <v>8</v>
      </c>
      <c r="M393" t="s">
        <v>8</v>
      </c>
      <c r="N393" t="s">
        <v>8</v>
      </c>
      <c r="P393">
        <f t="shared" si="975"/>
        <v>-6.0955056179774786E-2</v>
      </c>
      <c r="Q393">
        <f t="shared" si="976"/>
        <v>-176042.79947752666</v>
      </c>
      <c r="R393">
        <f t="shared" si="977"/>
        <v>9856562.3247196786</v>
      </c>
      <c r="S393">
        <f t="shared" si="978"/>
        <v>98.565623247196783</v>
      </c>
      <c r="T393">
        <f t="shared" si="979"/>
        <v>9.8565623247196782E-2</v>
      </c>
    </row>
    <row r="394" spans="1:20" x14ac:dyDescent="0.25">
      <c r="A394" s="5">
        <v>44199</v>
      </c>
      <c r="B394">
        <v>6.0502000000000002</v>
      </c>
      <c r="C394">
        <v>6.89</v>
      </c>
      <c r="D394">
        <v>5.9013</v>
      </c>
      <c r="E394">
        <v>6.7702999999999998</v>
      </c>
      <c r="F394">
        <v>3177744.4</v>
      </c>
      <c r="G394">
        <v>0</v>
      </c>
      <c r="L394" t="s">
        <v>8</v>
      </c>
      <c r="M394" t="s">
        <v>8</v>
      </c>
      <c r="N394" t="s">
        <v>8</v>
      </c>
      <c r="P394">
        <f t="shared" si="975"/>
        <v>0.75786386163649244</v>
      </c>
      <c r="Q394">
        <f t="shared" si="976"/>
        <v>2408297.6422777385</v>
      </c>
      <c r="R394">
        <f t="shared" si="977"/>
        <v>10032605.124197206</v>
      </c>
      <c r="S394">
        <f t="shared" si="978"/>
        <v>100.32605124197205</v>
      </c>
      <c r="T394">
        <f t="shared" si="979"/>
        <v>0.10032605124197205</v>
      </c>
    </row>
    <row r="395" spans="1:20" x14ac:dyDescent="0.25">
      <c r="A395" s="5">
        <v>44198</v>
      </c>
      <c r="B395">
        <v>5.5030999999999999</v>
      </c>
      <c r="C395">
        <v>6.0575000000000001</v>
      </c>
      <c r="D395">
        <v>5.36</v>
      </c>
      <c r="E395">
        <v>6.0575000000000001</v>
      </c>
      <c r="F395">
        <v>1484274.21</v>
      </c>
      <c r="G395">
        <v>0</v>
      </c>
      <c r="L395" t="s">
        <v>8</v>
      </c>
      <c r="M395" t="s">
        <v>8</v>
      </c>
      <c r="N395" t="s">
        <v>8</v>
      </c>
      <c r="P395">
        <f t="shared" si="975"/>
        <v>1</v>
      </c>
      <c r="Q395">
        <f t="shared" si="976"/>
        <v>1484274.21</v>
      </c>
      <c r="R395">
        <f t="shared" si="977"/>
        <v>7624307.4819194665</v>
      </c>
      <c r="S395">
        <f t="shared" si="978"/>
        <v>76.243074819194661</v>
      </c>
      <c r="T395">
        <f t="shared" si="979"/>
        <v>7.6243074819194664E-2</v>
      </c>
    </row>
    <row r="396" spans="1:20" x14ac:dyDescent="0.25">
      <c r="A396" s="5">
        <v>44197</v>
      </c>
      <c r="B396">
        <v>5.3419999999999996</v>
      </c>
      <c r="C396">
        <v>5.7686999999999999</v>
      </c>
      <c r="D396">
        <v>5.31</v>
      </c>
      <c r="E396">
        <v>5.5</v>
      </c>
      <c r="F396">
        <v>879344.94</v>
      </c>
      <c r="G396">
        <v>0</v>
      </c>
      <c r="L396" t="s">
        <v>8</v>
      </c>
      <c r="M396" t="s">
        <v>8</v>
      </c>
      <c r="N396" t="s">
        <v>8</v>
      </c>
      <c r="P396">
        <f t="shared" si="975"/>
        <v>-0.17157183344233592</v>
      </c>
      <c r="Q396">
        <f t="shared" si="976"/>
        <v>-150870.82358404086</v>
      </c>
      <c r="R396">
        <f t="shared" si="977"/>
        <v>6140033.2719194666</v>
      </c>
      <c r="S396">
        <f t="shared" si="978"/>
        <v>61.400332719194665</v>
      </c>
      <c r="T396">
        <f t="shared" si="979"/>
        <v>6.1400332719194664E-2</v>
      </c>
    </row>
    <row r="397" spans="1:20" x14ac:dyDescent="0.25">
      <c r="A397" s="5">
        <v>44196</v>
      </c>
      <c r="B397">
        <v>5.3818000000000001</v>
      </c>
      <c r="C397">
        <v>5.58</v>
      </c>
      <c r="D397">
        <v>5.2588999999999997</v>
      </c>
      <c r="E397">
        <v>5.3491999999999997</v>
      </c>
      <c r="F397">
        <v>614551.93999999994</v>
      </c>
      <c r="G397">
        <v>0</v>
      </c>
      <c r="L397" t="s">
        <v>7</v>
      </c>
      <c r="M397" t="s">
        <v>8</v>
      </c>
      <c r="N397" t="s">
        <v>8</v>
      </c>
      <c r="P397">
        <f t="shared" si="975"/>
        <v>-0.43755839302398047</v>
      </c>
      <c r="Q397">
        <f t="shared" si="976"/>
        <v>-268902.35929616966</v>
      </c>
      <c r="R397">
        <f t="shared" si="977"/>
        <v>6290904.0955035072</v>
      </c>
      <c r="S397">
        <f t="shared" si="978"/>
        <v>62.909040955035074</v>
      </c>
      <c r="T397">
        <f t="shared" si="979"/>
        <v>6.2909040955035078E-2</v>
      </c>
    </row>
    <row r="398" spans="1:20" x14ac:dyDescent="0.25">
      <c r="A398" s="5">
        <v>44195</v>
      </c>
      <c r="B398">
        <v>5.6570999999999998</v>
      </c>
      <c r="C398">
        <v>5.7012</v>
      </c>
      <c r="D398">
        <v>5.2534999999999998</v>
      </c>
      <c r="E398">
        <v>5.3754</v>
      </c>
      <c r="F398">
        <v>840985.39</v>
      </c>
      <c r="G398">
        <v>0</v>
      </c>
      <c r="L398" t="s">
        <v>7</v>
      </c>
      <c r="M398" t="s">
        <v>8</v>
      </c>
      <c r="N398" t="s">
        <v>8</v>
      </c>
      <c r="P398">
        <f t="shared" si="975"/>
        <v>-0.45543890998436426</v>
      </c>
      <c r="Q398">
        <f t="shared" si="976"/>
        <v>-383017.46933437546</v>
      </c>
      <c r="R398">
        <f t="shared" si="977"/>
        <v>6559806.4547996772</v>
      </c>
      <c r="S398">
        <f t="shared" si="978"/>
        <v>65.598064547996771</v>
      </c>
      <c r="T398">
        <f t="shared" si="979"/>
        <v>6.5598064547996771E-2</v>
      </c>
    </row>
    <row r="399" spans="1:20" x14ac:dyDescent="0.25">
      <c r="A399" s="5">
        <v>44194</v>
      </c>
      <c r="B399">
        <v>6.0843999999999996</v>
      </c>
      <c r="C399">
        <v>6.1749999999999998</v>
      </c>
      <c r="D399">
        <v>5.3</v>
      </c>
      <c r="E399">
        <v>5.6534000000000004</v>
      </c>
      <c r="F399">
        <v>1376120.75</v>
      </c>
      <c r="G399">
        <v>0</v>
      </c>
      <c r="L399" t="s">
        <v>7</v>
      </c>
      <c r="M399" t="s">
        <v>8</v>
      </c>
      <c r="N399" t="s">
        <v>8</v>
      </c>
      <c r="P399">
        <f t="shared" si="975"/>
        <v>-0.19222857142857006</v>
      </c>
      <c r="Q399">
        <f t="shared" si="976"/>
        <v>-264529.72588571237</v>
      </c>
      <c r="R399">
        <f t="shared" si="977"/>
        <v>6942823.9241340524</v>
      </c>
      <c r="S399">
        <f t="shared" si="978"/>
        <v>69.42823924134052</v>
      </c>
      <c r="T399">
        <f t="shared" si="979"/>
        <v>6.942823924134052E-2</v>
      </c>
    </row>
    <row r="400" spans="1:20" x14ac:dyDescent="0.25">
      <c r="A400" s="5">
        <v>44193</v>
      </c>
      <c r="B400">
        <v>5.4120999999999997</v>
      </c>
      <c r="C400">
        <v>6.1494999999999997</v>
      </c>
      <c r="D400">
        <v>5.3305999999999996</v>
      </c>
      <c r="E400">
        <v>6.0956000000000001</v>
      </c>
      <c r="F400">
        <v>1434045.82</v>
      </c>
      <c r="G400">
        <v>0</v>
      </c>
      <c r="L400" t="s">
        <v>8</v>
      </c>
      <c r="M400" t="s">
        <v>8</v>
      </c>
      <c r="N400" t="s">
        <v>8</v>
      </c>
      <c r="P400">
        <f t="shared" si="975"/>
        <v>0.86835999511539963</v>
      </c>
      <c r="Q400">
        <f t="shared" si="976"/>
        <v>1245268.0212504594</v>
      </c>
      <c r="R400">
        <f t="shared" si="977"/>
        <v>7207353.6500197649</v>
      </c>
      <c r="S400">
        <f t="shared" si="978"/>
        <v>72.073536500197648</v>
      </c>
      <c r="T400">
        <f t="shared" si="979"/>
        <v>7.2073536500197641E-2</v>
      </c>
    </row>
    <row r="401" spans="1:20" x14ac:dyDescent="0.25">
      <c r="A401" s="5">
        <v>44192</v>
      </c>
      <c r="B401">
        <v>5.2592999999999996</v>
      </c>
      <c r="C401">
        <v>5.85</v>
      </c>
      <c r="D401">
        <v>5.0105000000000004</v>
      </c>
      <c r="E401">
        <v>5.4093999999999998</v>
      </c>
      <c r="F401">
        <v>1770911.66</v>
      </c>
      <c r="G401">
        <v>0</v>
      </c>
      <c r="L401" t="s">
        <v>7</v>
      </c>
      <c r="M401" t="s">
        <v>8</v>
      </c>
      <c r="N401" t="s">
        <v>7</v>
      </c>
      <c r="P401">
        <f t="shared" si="975"/>
        <v>-4.9672424061942291E-2</v>
      </c>
      <c r="Q401">
        <f t="shared" si="976"/>
        <v>-87965.474951758166</v>
      </c>
      <c r="R401">
        <f t="shared" si="977"/>
        <v>5962085.6287693055</v>
      </c>
      <c r="S401">
        <f t="shared" si="978"/>
        <v>59.620856287693059</v>
      </c>
      <c r="T401">
        <f t="shared" si="979"/>
        <v>5.9620856287693057E-2</v>
      </c>
    </row>
    <row r="402" spans="1:20" x14ac:dyDescent="0.25">
      <c r="A402" s="5">
        <v>44191</v>
      </c>
      <c r="B402">
        <v>5.6155999999999997</v>
      </c>
      <c r="C402">
        <v>5.6448999999999998</v>
      </c>
      <c r="D402">
        <v>5.1821000000000002</v>
      </c>
      <c r="E402">
        <v>5.2595999999999998</v>
      </c>
      <c r="F402">
        <v>866756.1</v>
      </c>
      <c r="G402">
        <v>0</v>
      </c>
      <c r="L402" t="s">
        <v>7</v>
      </c>
      <c r="M402" t="s">
        <v>8</v>
      </c>
      <c r="N402" t="s">
        <v>7</v>
      </c>
      <c r="P402">
        <f t="shared" si="975"/>
        <v>-0.66508210890233477</v>
      </c>
      <c r="Q402">
        <f t="shared" si="976"/>
        <v>-576463.97489196295</v>
      </c>
      <c r="R402">
        <f t="shared" si="977"/>
        <v>6050051.1037210636</v>
      </c>
      <c r="S402">
        <f t="shared" si="978"/>
        <v>60.500511037210636</v>
      </c>
      <c r="T402">
        <f t="shared" si="979"/>
        <v>6.0500511037210637E-2</v>
      </c>
    </row>
    <row r="403" spans="1:20" x14ac:dyDescent="0.25">
      <c r="A403" s="5">
        <v>44190</v>
      </c>
      <c r="B403">
        <v>5.5585000000000004</v>
      </c>
      <c r="C403">
        <v>5.8293999999999997</v>
      </c>
      <c r="D403">
        <v>5.3368000000000002</v>
      </c>
      <c r="E403">
        <v>5.6154000000000002</v>
      </c>
      <c r="F403">
        <v>656788.56000000006</v>
      </c>
      <c r="G403">
        <v>0</v>
      </c>
      <c r="L403" t="s">
        <v>8</v>
      </c>
      <c r="M403" t="s">
        <v>8</v>
      </c>
      <c r="N403" t="s">
        <v>7</v>
      </c>
      <c r="P403">
        <f t="shared" si="975"/>
        <v>0.13114088509947322</v>
      </c>
      <c r="Q403">
        <f t="shared" si="976"/>
        <v>86131.833081608478</v>
      </c>
      <c r="R403">
        <f t="shared" si="977"/>
        <v>6626515.078613027</v>
      </c>
      <c r="S403">
        <f t="shared" si="978"/>
        <v>66.265150786130263</v>
      </c>
      <c r="T403">
        <f t="shared" si="979"/>
        <v>6.6265150786130267E-2</v>
      </c>
    </row>
    <row r="404" spans="1:20" x14ac:dyDescent="0.25">
      <c r="A404" s="5">
        <v>44189</v>
      </c>
      <c r="B404">
        <v>5.1737000000000002</v>
      </c>
      <c r="C404">
        <v>5.5761000000000003</v>
      </c>
      <c r="D404">
        <v>4.9067999999999996</v>
      </c>
      <c r="E404">
        <v>5.5585000000000004</v>
      </c>
      <c r="F404">
        <v>1135734.69</v>
      </c>
      <c r="G404">
        <v>0</v>
      </c>
      <c r="L404" t="s">
        <v>8</v>
      </c>
      <c r="M404" t="s">
        <v>8</v>
      </c>
      <c r="N404" t="s">
        <v>7</v>
      </c>
      <c r="P404">
        <f t="shared" si="975"/>
        <v>0.94740773942925494</v>
      </c>
      <c r="Q404">
        <f t="shared" si="976"/>
        <v>1076003.8352442856</v>
      </c>
      <c r="R404">
        <f t="shared" si="977"/>
        <v>6540383.2455314184</v>
      </c>
      <c r="S404">
        <f t="shared" si="978"/>
        <v>65.403832455314188</v>
      </c>
      <c r="T404">
        <f t="shared" si="979"/>
        <v>6.5403832455314184E-2</v>
      </c>
    </row>
    <row r="405" spans="1:20" x14ac:dyDescent="0.25">
      <c r="A405" s="5">
        <v>44188</v>
      </c>
      <c r="B405">
        <v>6.1923000000000004</v>
      </c>
      <c r="C405">
        <v>6.2732999999999999</v>
      </c>
      <c r="D405">
        <v>4.5</v>
      </c>
      <c r="E405">
        <v>5.1660000000000004</v>
      </c>
      <c r="F405">
        <v>1583326.1</v>
      </c>
      <c r="G405">
        <v>0</v>
      </c>
      <c r="L405" t="s">
        <v>7</v>
      </c>
      <c r="M405" t="s">
        <v>7</v>
      </c>
      <c r="N405" t="s">
        <v>7</v>
      </c>
      <c r="P405">
        <f t="shared" si="975"/>
        <v>-0.24885806124175219</v>
      </c>
      <c r="Q405">
        <f t="shared" si="976"/>
        <v>-394023.46355946467</v>
      </c>
      <c r="R405">
        <f t="shared" si="977"/>
        <v>5464379.4102871325</v>
      </c>
      <c r="S405">
        <f t="shared" si="978"/>
        <v>54.643794102871325</v>
      </c>
      <c r="T405">
        <f t="shared" si="979"/>
        <v>5.4643794102871325E-2</v>
      </c>
    </row>
    <row r="406" spans="1:20" x14ac:dyDescent="0.25">
      <c r="A406" s="5">
        <v>44187</v>
      </c>
      <c r="B406">
        <v>6.1677999999999997</v>
      </c>
      <c r="C406">
        <v>6.3574000000000002</v>
      </c>
      <c r="D406">
        <v>5.9</v>
      </c>
      <c r="E406">
        <v>6.1878000000000002</v>
      </c>
      <c r="F406">
        <v>1191494.1200000001</v>
      </c>
      <c r="G406">
        <v>0</v>
      </c>
      <c r="L406" t="s">
        <v>7</v>
      </c>
      <c r="M406" t="s">
        <v>7</v>
      </c>
      <c r="N406" t="s">
        <v>8</v>
      </c>
      <c r="P406">
        <f t="shared" si="975"/>
        <v>0.25841714035854813</v>
      </c>
      <c r="Q406">
        <f t="shared" si="976"/>
        <v>307902.50324442482</v>
      </c>
      <c r="R406">
        <f t="shared" si="977"/>
        <v>5858402.873846597</v>
      </c>
      <c r="S406">
        <f t="shared" si="978"/>
        <v>58.584028738465967</v>
      </c>
      <c r="T406">
        <f t="shared" si="979"/>
        <v>5.8584028738465965E-2</v>
      </c>
    </row>
    <row r="407" spans="1:20" x14ac:dyDescent="0.25">
      <c r="A407" s="5">
        <v>44186</v>
      </c>
      <c r="B407">
        <v>6.5045000000000002</v>
      </c>
      <c r="C407">
        <v>6.6528</v>
      </c>
      <c r="D407">
        <v>6.0236000000000001</v>
      </c>
      <c r="E407">
        <v>6.1733000000000002</v>
      </c>
      <c r="F407">
        <v>1102268.23</v>
      </c>
      <c r="G407">
        <v>0</v>
      </c>
      <c r="L407" t="s">
        <v>7</v>
      </c>
      <c r="M407" t="s">
        <v>7</v>
      </c>
      <c r="N407" t="s">
        <v>8</v>
      </c>
      <c r="P407">
        <f t="shared" si="975"/>
        <v>-0.52415766052129631</v>
      </c>
      <c r="Q407">
        <f t="shared" si="976"/>
        <v>-577762.33670375019</v>
      </c>
      <c r="R407">
        <f t="shared" si="977"/>
        <v>5550500.3706021719</v>
      </c>
      <c r="S407">
        <f t="shared" si="978"/>
        <v>55.505003706021718</v>
      </c>
      <c r="T407">
        <f t="shared" si="979"/>
        <v>5.5505003706021717E-2</v>
      </c>
    </row>
    <row r="408" spans="1:20" x14ac:dyDescent="0.25">
      <c r="A408" s="5">
        <v>44185</v>
      </c>
      <c r="B408">
        <v>6.6703000000000001</v>
      </c>
      <c r="C408">
        <v>6.9405000000000001</v>
      </c>
      <c r="D408">
        <v>6.4</v>
      </c>
      <c r="E408">
        <v>6.5067000000000004</v>
      </c>
      <c r="F408">
        <v>1332322.8899999999</v>
      </c>
      <c r="G408">
        <v>0</v>
      </c>
      <c r="L408" t="s">
        <v>7</v>
      </c>
      <c r="M408" t="s">
        <v>8</v>
      </c>
      <c r="N408" t="s">
        <v>8</v>
      </c>
      <c r="P408">
        <f t="shared" si="975"/>
        <v>-0.60518038852913947</v>
      </c>
      <c r="Q408">
        <f t="shared" si="976"/>
        <v>-806295.68421646592</v>
      </c>
      <c r="R408">
        <f t="shared" si="977"/>
        <v>6128262.7073059222</v>
      </c>
      <c r="S408">
        <f t="shared" si="978"/>
        <v>61.282627073059224</v>
      </c>
      <c r="T408">
        <f t="shared" si="979"/>
        <v>6.1282627073059225E-2</v>
      </c>
    </row>
    <row r="409" spans="1:20" x14ac:dyDescent="0.25">
      <c r="A409" s="5">
        <v>44184</v>
      </c>
      <c r="B409">
        <v>6.7066999999999997</v>
      </c>
      <c r="C409">
        <v>7.12</v>
      </c>
      <c r="D409">
        <v>6.6124999999999998</v>
      </c>
      <c r="E409">
        <v>6.6703000000000001</v>
      </c>
      <c r="F409">
        <v>1710547.32</v>
      </c>
      <c r="G409">
        <v>0</v>
      </c>
      <c r="L409" t="s">
        <v>8</v>
      </c>
      <c r="M409" t="s">
        <v>8</v>
      </c>
      <c r="N409" t="s">
        <v>8</v>
      </c>
      <c r="P409">
        <f t="shared" si="975"/>
        <v>-0.77221674876847191</v>
      </c>
      <c r="Q409">
        <f t="shared" si="976"/>
        <v>-1320913.2900650229</v>
      </c>
      <c r="R409">
        <f t="shared" si="977"/>
        <v>6934558.391522388</v>
      </c>
      <c r="S409">
        <f t="shared" si="978"/>
        <v>69.345583915223884</v>
      </c>
      <c r="T409">
        <f t="shared" si="979"/>
        <v>6.9345583915223885E-2</v>
      </c>
    </row>
    <row r="410" spans="1:20" x14ac:dyDescent="0.25">
      <c r="A410" s="5">
        <v>44183</v>
      </c>
      <c r="B410">
        <v>6.6696999999999997</v>
      </c>
      <c r="C410">
        <v>6.8494999999999999</v>
      </c>
      <c r="D410">
        <v>6.4478</v>
      </c>
      <c r="E410">
        <v>6.7099000000000002</v>
      </c>
      <c r="F410">
        <v>1519356.01</v>
      </c>
      <c r="G410">
        <v>0</v>
      </c>
      <c r="L410" t="s">
        <v>7</v>
      </c>
      <c r="M410" t="s">
        <v>8</v>
      </c>
      <c r="N410" t="s">
        <v>8</v>
      </c>
      <c r="P410">
        <f t="shared" si="975"/>
        <v>0.30495394573064605</v>
      </c>
      <c r="Q410">
        <f t="shared" si="976"/>
        <v>463333.61021907092</v>
      </c>
      <c r="R410">
        <f t="shared" si="977"/>
        <v>8255471.6815874111</v>
      </c>
      <c r="S410">
        <f t="shared" si="978"/>
        <v>82.554716815874116</v>
      </c>
      <c r="T410">
        <f t="shared" si="979"/>
        <v>8.2554716815874118E-2</v>
      </c>
    </row>
    <row r="411" spans="1:20" x14ac:dyDescent="0.25">
      <c r="A411" s="5">
        <v>44182</v>
      </c>
      <c r="B411">
        <v>6.7514000000000003</v>
      </c>
      <c r="C411">
        <v>7.3110999999999997</v>
      </c>
      <c r="D411">
        <v>6.5</v>
      </c>
      <c r="E411">
        <v>6.6700999999999997</v>
      </c>
      <c r="F411">
        <v>3353861.56</v>
      </c>
      <c r="G411">
        <v>0</v>
      </c>
      <c r="L411" t="s">
        <v>8</v>
      </c>
      <c r="M411" t="s">
        <v>8</v>
      </c>
      <c r="N411" t="s">
        <v>8</v>
      </c>
      <c r="P411">
        <f t="shared" si="975"/>
        <v>-0.58056959684379295</v>
      </c>
      <c r="Q411">
        <f t="shared" si="976"/>
        <v>-1947150.0537590946</v>
      </c>
      <c r="R411">
        <f t="shared" si="977"/>
        <v>7792138.0713683404</v>
      </c>
      <c r="S411">
        <f t="shared" si="978"/>
        <v>77.921380713683405</v>
      </c>
      <c r="T411">
        <f t="shared" si="979"/>
        <v>7.7921380713683402E-2</v>
      </c>
    </row>
    <row r="412" spans="1:20" x14ac:dyDescent="0.25">
      <c r="A412" s="5">
        <v>44181</v>
      </c>
      <c r="B412">
        <v>6.4927999999999999</v>
      </c>
      <c r="C412">
        <v>6.9264999999999999</v>
      </c>
      <c r="D412">
        <v>6.2339000000000002</v>
      </c>
      <c r="E412">
        <v>6.7554999999999996</v>
      </c>
      <c r="F412">
        <v>1609449.16</v>
      </c>
      <c r="G412">
        <v>0</v>
      </c>
      <c r="L412" t="s">
        <v>7</v>
      </c>
      <c r="M412" t="s">
        <v>7</v>
      </c>
      <c r="N412" t="s">
        <v>8</v>
      </c>
      <c r="P412">
        <f t="shared" si="975"/>
        <v>0.50620848974877175</v>
      </c>
      <c r="Q412">
        <f t="shared" si="976"/>
        <v>814716.82861102931</v>
      </c>
      <c r="R412">
        <f t="shared" si="977"/>
        <v>9739288.1251274347</v>
      </c>
      <c r="S412">
        <f t="shared" si="978"/>
        <v>97.392881251274346</v>
      </c>
      <c r="T412">
        <f t="shared" si="979"/>
        <v>9.7392881251274349E-2</v>
      </c>
    </row>
    <row r="413" spans="1:20" x14ac:dyDescent="0.25">
      <c r="A413" s="5">
        <v>44180</v>
      </c>
      <c r="B413">
        <v>6.83</v>
      </c>
      <c r="C413">
        <v>6.98</v>
      </c>
      <c r="D413">
        <v>6.45</v>
      </c>
      <c r="E413">
        <v>6.4927999999999999</v>
      </c>
      <c r="F413">
        <v>1107940.29</v>
      </c>
      <c r="G413">
        <v>0</v>
      </c>
      <c r="L413" t="s">
        <v>7</v>
      </c>
      <c r="M413" t="s">
        <v>7</v>
      </c>
      <c r="N413" t="s">
        <v>8</v>
      </c>
      <c r="P413">
        <f t="shared" si="975"/>
        <v>-0.83849056603773697</v>
      </c>
      <c r="Q413">
        <f t="shared" si="976"/>
        <v>-928997.4808981145</v>
      </c>
      <c r="R413">
        <f t="shared" si="977"/>
        <v>8924571.2965164054</v>
      </c>
      <c r="S413">
        <f t="shared" si="978"/>
        <v>89.24571296516406</v>
      </c>
      <c r="T413">
        <f t="shared" si="979"/>
        <v>8.9245712965164065E-2</v>
      </c>
    </row>
    <row r="414" spans="1:20" x14ac:dyDescent="0.25">
      <c r="A414" s="5">
        <v>44179</v>
      </c>
      <c r="B414">
        <v>6.4591000000000003</v>
      </c>
      <c r="C414">
        <v>7.0103</v>
      </c>
      <c r="D414">
        <v>6.3164999999999996</v>
      </c>
      <c r="E414">
        <v>6.83</v>
      </c>
      <c r="F414">
        <v>1726577.24</v>
      </c>
      <c r="G414">
        <v>0</v>
      </c>
      <c r="L414" t="s">
        <v>8</v>
      </c>
      <c r="M414" t="s">
        <v>7</v>
      </c>
      <c r="N414" t="s">
        <v>8</v>
      </c>
      <c r="P414">
        <f t="shared" si="975"/>
        <v>0.48025367541078179</v>
      </c>
      <c r="Q414">
        <f t="shared" si="976"/>
        <v>829195.0653906035</v>
      </c>
      <c r="R414">
        <f t="shared" si="977"/>
        <v>9853568.7774145193</v>
      </c>
      <c r="S414">
        <f t="shared" si="978"/>
        <v>98.535687774145188</v>
      </c>
      <c r="T414">
        <f t="shared" si="979"/>
        <v>9.8535687774145189E-2</v>
      </c>
    </row>
    <row r="415" spans="1:20" x14ac:dyDescent="0.25">
      <c r="A415" s="5">
        <v>44178</v>
      </c>
      <c r="B415">
        <v>6.2319000000000004</v>
      </c>
      <c r="C415">
        <v>6.6985000000000001</v>
      </c>
      <c r="D415">
        <v>6.1181000000000001</v>
      </c>
      <c r="E415">
        <v>6.4598000000000004</v>
      </c>
      <c r="F415">
        <v>875099.94</v>
      </c>
      <c r="G415">
        <v>0</v>
      </c>
      <c r="L415" t="s">
        <v>8</v>
      </c>
      <c r="M415" t="s">
        <v>7</v>
      </c>
      <c r="N415" t="s">
        <v>8</v>
      </c>
      <c r="P415">
        <f t="shared" si="975"/>
        <v>0.17746381805651384</v>
      </c>
      <c r="Q415">
        <f t="shared" si="976"/>
        <v>155298.57653342618</v>
      </c>
      <c r="R415">
        <f t="shared" si="977"/>
        <v>9024373.7120239157</v>
      </c>
      <c r="S415">
        <f t="shared" si="978"/>
        <v>90.24373712023916</v>
      </c>
      <c r="T415">
        <f t="shared" si="979"/>
        <v>9.0243737120239156E-2</v>
      </c>
    </row>
    <row r="416" spans="1:20" x14ac:dyDescent="0.25">
      <c r="A416" s="5">
        <v>44177</v>
      </c>
      <c r="B416">
        <v>6.0376000000000003</v>
      </c>
      <c r="C416">
        <v>6.3949999999999996</v>
      </c>
      <c r="D416">
        <v>6.0155000000000003</v>
      </c>
      <c r="E416">
        <v>6.2278000000000002</v>
      </c>
      <c r="F416">
        <v>917504.42</v>
      </c>
      <c r="G416">
        <v>0</v>
      </c>
      <c r="L416" t="s">
        <v>8</v>
      </c>
      <c r="M416" t="s">
        <v>7</v>
      </c>
      <c r="N416" t="s">
        <v>8</v>
      </c>
      <c r="P416">
        <f t="shared" si="975"/>
        <v>0.11884057971014669</v>
      </c>
      <c r="Q416">
        <f t="shared" si="976"/>
        <v>109036.75715942192</v>
      </c>
      <c r="R416">
        <f t="shared" si="977"/>
        <v>8869075.1354904901</v>
      </c>
      <c r="S416">
        <f t="shared" si="978"/>
        <v>88.690751354904904</v>
      </c>
      <c r="T416">
        <f t="shared" si="979"/>
        <v>8.8690751354904909E-2</v>
      </c>
    </row>
    <row r="417" spans="1:20" x14ac:dyDescent="0.25">
      <c r="A417" s="5">
        <v>44176</v>
      </c>
      <c r="B417">
        <v>6.4010999999999996</v>
      </c>
      <c r="C417">
        <v>6.4470999999999998</v>
      </c>
      <c r="D417">
        <v>5.8</v>
      </c>
      <c r="E417">
        <v>6.0491000000000001</v>
      </c>
      <c r="F417">
        <v>1696884.03</v>
      </c>
      <c r="G417">
        <v>0</v>
      </c>
      <c r="L417" t="s">
        <v>7</v>
      </c>
      <c r="M417" t="s">
        <v>7</v>
      </c>
      <c r="N417" t="s">
        <v>8</v>
      </c>
      <c r="P417">
        <f t="shared" si="975"/>
        <v>-0.23010353886570756</v>
      </c>
      <c r="Q417">
        <f t="shared" si="976"/>
        <v>-390459.02034770348</v>
      </c>
      <c r="R417">
        <f t="shared" si="977"/>
        <v>8760038.3783310689</v>
      </c>
      <c r="S417">
        <f t="shared" si="978"/>
        <v>87.60038378331069</v>
      </c>
      <c r="T417">
        <f t="shared" si="979"/>
        <v>8.7600383783310684E-2</v>
      </c>
    </row>
    <row r="418" spans="1:20" x14ac:dyDescent="0.25">
      <c r="A418" s="5">
        <v>44175</v>
      </c>
      <c r="B418">
        <v>6.9065000000000003</v>
      </c>
      <c r="C418">
        <v>7.0404999999999998</v>
      </c>
      <c r="D418">
        <v>6.2526999999999999</v>
      </c>
      <c r="E418">
        <v>6.3933999999999997</v>
      </c>
      <c r="F418">
        <v>1012984.84</v>
      </c>
      <c r="G418">
        <v>0</v>
      </c>
      <c r="L418" t="s">
        <v>8</v>
      </c>
      <c r="M418" t="s">
        <v>8</v>
      </c>
      <c r="N418" t="s">
        <v>8</v>
      </c>
      <c r="P418">
        <f t="shared" si="975"/>
        <v>-0.64280274181264319</v>
      </c>
      <c r="Q418">
        <f t="shared" si="976"/>
        <v>-651149.4325666416</v>
      </c>
      <c r="R418">
        <f t="shared" si="977"/>
        <v>9150497.3986787722</v>
      </c>
      <c r="S418">
        <f t="shared" si="978"/>
        <v>91.504973986787718</v>
      </c>
      <c r="T418">
        <f t="shared" si="979"/>
        <v>9.1504973986787724E-2</v>
      </c>
    </row>
    <row r="419" spans="1:20" x14ac:dyDescent="0.25">
      <c r="A419" s="5">
        <v>44174</v>
      </c>
      <c r="B419">
        <v>6.69</v>
      </c>
      <c r="C419">
        <v>7.14</v>
      </c>
      <c r="D419">
        <v>6.05</v>
      </c>
      <c r="E419">
        <v>6.9135</v>
      </c>
      <c r="F419">
        <v>2610791.4500000002</v>
      </c>
      <c r="G419">
        <v>0</v>
      </c>
      <c r="L419" t="s">
        <v>7</v>
      </c>
      <c r="M419" t="s">
        <v>7</v>
      </c>
      <c r="N419" t="s">
        <v>8</v>
      </c>
      <c r="P419">
        <f t="shared" si="975"/>
        <v>0.58440366972477109</v>
      </c>
      <c r="Q419">
        <f t="shared" si="976"/>
        <v>1525756.1042660563</v>
      </c>
      <c r="R419">
        <f t="shared" si="977"/>
        <v>9801646.8312454131</v>
      </c>
      <c r="S419">
        <f t="shared" si="978"/>
        <v>98.016468312454137</v>
      </c>
      <c r="T419">
        <f t="shared" si="979"/>
        <v>9.8016468312454141E-2</v>
      </c>
    </row>
    <row r="420" spans="1:20" x14ac:dyDescent="0.25">
      <c r="A420" s="5">
        <v>44173</v>
      </c>
      <c r="B420">
        <v>7.4387999999999996</v>
      </c>
      <c r="C420">
        <v>7.8045999999999998</v>
      </c>
      <c r="D420">
        <v>6.5788000000000002</v>
      </c>
      <c r="E420">
        <v>6.6893000000000002</v>
      </c>
      <c r="F420">
        <v>2814466.59</v>
      </c>
      <c r="G420">
        <v>0</v>
      </c>
      <c r="L420" t="s">
        <v>8</v>
      </c>
      <c r="M420" t="s">
        <v>8</v>
      </c>
      <c r="N420" t="s">
        <v>8</v>
      </c>
      <c r="P420">
        <f t="shared" si="975"/>
        <v>-0.81970957741882844</v>
      </c>
      <c r="Q420">
        <f t="shared" si="976"/>
        <v>-2307045.2191483108</v>
      </c>
      <c r="R420">
        <f t="shared" si="977"/>
        <v>8275890.7269793572</v>
      </c>
      <c r="S420">
        <f t="shared" si="978"/>
        <v>82.758907269793568</v>
      </c>
      <c r="T420">
        <f t="shared" si="979"/>
        <v>8.2758907269793569E-2</v>
      </c>
    </row>
    <row r="421" spans="1:20" x14ac:dyDescent="0.25">
      <c r="A421" s="5">
        <v>44172</v>
      </c>
      <c r="B421">
        <v>6.6923000000000004</v>
      </c>
      <c r="C421">
        <v>7.6775000000000002</v>
      </c>
      <c r="D421">
        <v>6.5792000000000002</v>
      </c>
      <c r="E421">
        <v>7.44</v>
      </c>
      <c r="F421">
        <v>2783815.6</v>
      </c>
      <c r="G421">
        <v>0</v>
      </c>
      <c r="L421" t="s">
        <v>8</v>
      </c>
      <c r="M421" t="s">
        <v>8</v>
      </c>
      <c r="N421" t="s">
        <v>8</v>
      </c>
      <c r="P421">
        <f t="shared" si="975"/>
        <v>0.56751342984612618</v>
      </c>
      <c r="Q421">
        <f t="shared" si="976"/>
        <v>1579852.7392151516</v>
      </c>
      <c r="R421">
        <f t="shared" si="977"/>
        <v>10582935.946127668</v>
      </c>
      <c r="S421">
        <f t="shared" si="978"/>
        <v>105.82935946127668</v>
      </c>
      <c r="T421">
        <f t="shared" si="979"/>
        <v>0.10582935946127668</v>
      </c>
    </row>
    <row r="422" spans="1:20" x14ac:dyDescent="0.25">
      <c r="A422" s="5">
        <v>44171</v>
      </c>
      <c r="B422">
        <v>6.9383999999999997</v>
      </c>
      <c r="C422">
        <v>6.9737</v>
      </c>
      <c r="D422">
        <v>6.5086000000000004</v>
      </c>
      <c r="E422">
        <v>6.6849999999999996</v>
      </c>
      <c r="F422">
        <v>637363.78</v>
      </c>
      <c r="G422">
        <v>0</v>
      </c>
      <c r="L422" t="s">
        <v>8</v>
      </c>
      <c r="M422" t="s">
        <v>8</v>
      </c>
      <c r="N422" t="s">
        <v>7</v>
      </c>
      <c r="P422">
        <f t="shared" si="975"/>
        <v>-0.24145345087078321</v>
      </c>
      <c r="Q422">
        <f t="shared" si="976"/>
        <v>-153893.68414104669</v>
      </c>
      <c r="R422">
        <f t="shared" si="977"/>
        <v>9003083.2069125157</v>
      </c>
      <c r="S422">
        <f t="shared" si="978"/>
        <v>90.030832069125154</v>
      </c>
      <c r="T422">
        <f t="shared" si="979"/>
        <v>9.0030832069125155E-2</v>
      </c>
    </row>
    <row r="423" spans="1:20" x14ac:dyDescent="0.25">
      <c r="A423" s="5">
        <v>44170</v>
      </c>
      <c r="B423">
        <v>6.4111000000000002</v>
      </c>
      <c r="C423">
        <v>6.9398999999999997</v>
      </c>
      <c r="D423">
        <v>6.3106999999999998</v>
      </c>
      <c r="E423">
        <v>6.9348000000000001</v>
      </c>
      <c r="F423">
        <v>607153.76</v>
      </c>
      <c r="G423">
        <v>0</v>
      </c>
      <c r="L423" t="s">
        <v>8</v>
      </c>
      <c r="M423" t="s">
        <v>8</v>
      </c>
      <c r="N423" t="s">
        <v>7</v>
      </c>
      <c r="P423">
        <f t="shared" si="975"/>
        <v>0.98378893833439396</v>
      </c>
      <c r="Q423">
        <f t="shared" si="976"/>
        <v>597311.15295613545</v>
      </c>
      <c r="R423">
        <f t="shared" si="977"/>
        <v>9156976.891053563</v>
      </c>
      <c r="S423">
        <f t="shared" si="978"/>
        <v>91.569768910535629</v>
      </c>
      <c r="T423">
        <f t="shared" si="979"/>
        <v>9.1569768910535629E-2</v>
      </c>
    </row>
    <row r="424" spans="1:20" x14ac:dyDescent="0.25">
      <c r="A424" s="5">
        <v>44169</v>
      </c>
      <c r="B424">
        <v>7.2824</v>
      </c>
      <c r="C424">
        <v>7.2824</v>
      </c>
      <c r="D424">
        <v>6.3</v>
      </c>
      <c r="E424">
        <v>6.4215</v>
      </c>
      <c r="F424">
        <v>1677120.8</v>
      </c>
      <c r="G424">
        <v>0</v>
      </c>
      <c r="L424" t="s">
        <v>7</v>
      </c>
      <c r="M424" t="s">
        <v>8</v>
      </c>
      <c r="N424" t="s">
        <v>7</v>
      </c>
      <c r="P424">
        <f t="shared" si="975"/>
        <v>-0.75264657980455996</v>
      </c>
      <c r="Q424">
        <f t="shared" si="976"/>
        <v>-1262279.2340390875</v>
      </c>
      <c r="R424">
        <f t="shared" si="977"/>
        <v>8559665.7380974274</v>
      </c>
      <c r="S424">
        <f t="shared" si="978"/>
        <v>85.596657380974278</v>
      </c>
      <c r="T424">
        <f t="shared" si="979"/>
        <v>8.5596657380974273E-2</v>
      </c>
    </row>
    <row r="425" spans="1:20" x14ac:dyDescent="0.25">
      <c r="A425" s="5">
        <v>44168</v>
      </c>
      <c r="B425">
        <v>6.5206</v>
      </c>
      <c r="C425">
        <v>7.2942</v>
      </c>
      <c r="D425">
        <v>6.5128000000000004</v>
      </c>
      <c r="E425">
        <v>7.2824</v>
      </c>
      <c r="F425">
        <v>1612114.32</v>
      </c>
      <c r="G425">
        <v>0</v>
      </c>
      <c r="L425" t="s">
        <v>8</v>
      </c>
      <c r="M425" t="s">
        <v>8</v>
      </c>
      <c r="N425" t="s">
        <v>7</v>
      </c>
      <c r="P425">
        <f t="shared" si="975"/>
        <v>0.96979779882262596</v>
      </c>
      <c r="Q425">
        <f t="shared" si="976"/>
        <v>1563424.9189864346</v>
      </c>
      <c r="R425">
        <f t="shared" si="977"/>
        <v>9821944.9721365143</v>
      </c>
      <c r="S425">
        <f t="shared" si="978"/>
        <v>98.219449721365137</v>
      </c>
      <c r="T425">
        <f t="shared" si="979"/>
        <v>9.8219449721365135E-2</v>
      </c>
    </row>
    <row r="426" spans="1:20" x14ac:dyDescent="0.25">
      <c r="A426" s="5">
        <v>44167</v>
      </c>
      <c r="B426">
        <v>5.9353999999999996</v>
      </c>
      <c r="C426">
        <v>6.5677000000000003</v>
      </c>
      <c r="D426">
        <v>5.8589000000000002</v>
      </c>
      <c r="E426">
        <v>6.5263999999999998</v>
      </c>
      <c r="F426">
        <v>1318612.04</v>
      </c>
      <c r="G426">
        <v>0</v>
      </c>
      <c r="L426" t="s">
        <v>7</v>
      </c>
      <c r="M426" t="s">
        <v>8</v>
      </c>
      <c r="N426" t="s">
        <v>7</v>
      </c>
      <c r="P426">
        <f t="shared" si="975"/>
        <v>0.8834650112866802</v>
      </c>
      <c r="Q426">
        <f t="shared" si="976"/>
        <v>1164947.6008013524</v>
      </c>
      <c r="R426">
        <f t="shared" si="977"/>
        <v>8258520.0531500801</v>
      </c>
      <c r="S426">
        <f t="shared" si="978"/>
        <v>82.585200531500803</v>
      </c>
      <c r="T426">
        <f t="shared" si="979"/>
        <v>8.2585200531500799E-2</v>
      </c>
    </row>
    <row r="427" spans="1:20" x14ac:dyDescent="0.25">
      <c r="A427" s="5">
        <v>44166</v>
      </c>
      <c r="B427">
        <v>6.2450999999999999</v>
      </c>
      <c r="C427">
        <v>6.5801999999999996</v>
      </c>
      <c r="D427">
        <v>5.6989999999999998</v>
      </c>
      <c r="E427">
        <v>5.9278000000000004</v>
      </c>
      <c r="F427">
        <v>1762974.3</v>
      </c>
      <c r="G427">
        <v>0</v>
      </c>
      <c r="L427" t="s">
        <v>8</v>
      </c>
      <c r="M427" t="s">
        <v>8</v>
      </c>
      <c r="N427" t="s">
        <v>7</v>
      </c>
      <c r="P427">
        <f t="shared" si="975"/>
        <v>-0.48070812528370266</v>
      </c>
      <c r="Q427">
        <f t="shared" si="976"/>
        <v>-847476.07067634806</v>
      </c>
      <c r="R427">
        <f t="shared" si="977"/>
        <v>7093572.4523487277</v>
      </c>
      <c r="S427">
        <f t="shared" si="978"/>
        <v>70.935724523487281</v>
      </c>
      <c r="T427">
        <f t="shared" si="979"/>
        <v>7.0935724523487287E-2</v>
      </c>
    </row>
    <row r="428" spans="1:20" x14ac:dyDescent="0.25">
      <c r="A428" s="5">
        <v>44165</v>
      </c>
      <c r="B428">
        <v>6.1176000000000004</v>
      </c>
      <c r="C428">
        <v>6.3489000000000004</v>
      </c>
      <c r="D428">
        <v>6.0186000000000002</v>
      </c>
      <c r="E428">
        <v>6.2369000000000003</v>
      </c>
      <c r="F428">
        <v>1486919.36</v>
      </c>
      <c r="G428">
        <v>0</v>
      </c>
      <c r="L428" t="s">
        <v>8</v>
      </c>
      <c r="M428" t="s">
        <v>7</v>
      </c>
      <c r="N428" t="s">
        <v>7</v>
      </c>
      <c r="P428">
        <f t="shared" si="975"/>
        <v>0.32182864062973049</v>
      </c>
      <c r="Q428">
        <f t="shared" si="976"/>
        <v>478533.23635482887</v>
      </c>
      <c r="R428">
        <f t="shared" si="977"/>
        <v>7941048.5230250759</v>
      </c>
      <c r="S428">
        <f t="shared" si="978"/>
        <v>79.410485230250757</v>
      </c>
      <c r="T428">
        <f t="shared" si="979"/>
        <v>7.9410485230250752E-2</v>
      </c>
    </row>
    <row r="429" spans="1:20" x14ac:dyDescent="0.25">
      <c r="A429" s="5">
        <v>44164</v>
      </c>
      <c r="B429">
        <v>5.9138000000000002</v>
      </c>
      <c r="C429">
        <v>6.2180999999999997</v>
      </c>
      <c r="D429">
        <v>5.7535999999999996</v>
      </c>
      <c r="E429">
        <v>6.1090999999999998</v>
      </c>
      <c r="F429">
        <v>690188.79</v>
      </c>
      <c r="G429">
        <v>0</v>
      </c>
      <c r="L429" t="s">
        <v>8</v>
      </c>
      <c r="M429" t="s">
        <v>7</v>
      </c>
      <c r="N429" t="s">
        <v>7</v>
      </c>
      <c r="P429">
        <f t="shared" si="975"/>
        <v>0.53067814854682471</v>
      </c>
      <c r="Q429">
        <f t="shared" si="976"/>
        <v>366268.10922497325</v>
      </c>
      <c r="R429">
        <f t="shared" si="977"/>
        <v>7462515.2866702471</v>
      </c>
      <c r="S429">
        <f t="shared" si="978"/>
        <v>74.625152866702464</v>
      </c>
      <c r="T429">
        <f t="shared" si="979"/>
        <v>7.462515286670246E-2</v>
      </c>
    </row>
    <row r="430" spans="1:20" x14ac:dyDescent="0.25">
      <c r="A430" s="5">
        <v>44163</v>
      </c>
      <c r="B430">
        <v>5.7771999999999997</v>
      </c>
      <c r="C430">
        <v>6.0647000000000002</v>
      </c>
      <c r="D430">
        <v>5.5484</v>
      </c>
      <c r="E430">
        <v>5.9150999999999998</v>
      </c>
      <c r="F430">
        <v>923371.43</v>
      </c>
      <c r="G430">
        <v>0</v>
      </c>
      <c r="L430" t="s">
        <v>7</v>
      </c>
      <c r="M430" t="s">
        <v>7</v>
      </c>
      <c r="N430" t="s">
        <v>7</v>
      </c>
      <c r="P430">
        <f t="shared" si="975"/>
        <v>0.42049196203757372</v>
      </c>
      <c r="Q430">
        <f t="shared" si="976"/>
        <v>388270.26429014019</v>
      </c>
      <c r="R430">
        <f t="shared" si="977"/>
        <v>7096247.1774452738</v>
      </c>
      <c r="S430">
        <f t="shared" si="978"/>
        <v>70.962471774452737</v>
      </c>
      <c r="T430">
        <f t="shared" si="979"/>
        <v>7.0962471774452737E-2</v>
      </c>
    </row>
    <row r="431" spans="1:20" x14ac:dyDescent="0.25">
      <c r="A431" s="5">
        <v>44162</v>
      </c>
      <c r="B431">
        <v>5.9828999999999999</v>
      </c>
      <c r="C431">
        <v>6.2129000000000003</v>
      </c>
      <c r="D431">
        <v>5.5</v>
      </c>
      <c r="E431">
        <v>5.7779999999999996</v>
      </c>
      <c r="F431">
        <v>1101824.29</v>
      </c>
      <c r="G431">
        <v>0</v>
      </c>
      <c r="L431" t="s">
        <v>8</v>
      </c>
      <c r="M431" t="s">
        <v>7</v>
      </c>
      <c r="N431" t="s">
        <v>7</v>
      </c>
      <c r="P431">
        <f t="shared" si="975"/>
        <v>-0.22008696871931699</v>
      </c>
      <c r="Q431">
        <f t="shared" si="976"/>
        <v>-242497.16804741367</v>
      </c>
      <c r="R431">
        <f t="shared" si="977"/>
        <v>6707976.9131551338</v>
      </c>
      <c r="S431">
        <f t="shared" si="978"/>
        <v>67.079769131551345</v>
      </c>
      <c r="T431">
        <f t="shared" si="979"/>
        <v>6.7079769131551351E-2</v>
      </c>
    </row>
    <row r="432" spans="1:20" x14ac:dyDescent="0.25">
      <c r="A432" s="5">
        <v>44161</v>
      </c>
      <c r="B432">
        <v>6.7929000000000004</v>
      </c>
      <c r="C432">
        <v>7.0507999999999997</v>
      </c>
      <c r="D432">
        <v>5.28</v>
      </c>
      <c r="E432">
        <v>5.9757999999999996</v>
      </c>
      <c r="F432">
        <v>3098552.08</v>
      </c>
      <c r="G432">
        <v>0</v>
      </c>
      <c r="L432" t="s">
        <v>7</v>
      </c>
      <c r="M432" t="s">
        <v>7</v>
      </c>
      <c r="N432" t="s">
        <v>7</v>
      </c>
      <c r="P432">
        <f t="shared" si="975"/>
        <v>-0.21414050146826349</v>
      </c>
      <c r="Q432">
        <f t="shared" si="976"/>
        <v>-663525.49623673095</v>
      </c>
      <c r="R432">
        <f t="shared" si="977"/>
        <v>6950474.0812025471</v>
      </c>
      <c r="S432">
        <f t="shared" si="978"/>
        <v>69.504740812025474</v>
      </c>
      <c r="T432">
        <f t="shared" si="979"/>
        <v>6.950474081202547E-2</v>
      </c>
    </row>
    <row r="433" spans="1:20" x14ac:dyDescent="0.25">
      <c r="A433" s="5">
        <v>44160</v>
      </c>
      <c r="B433">
        <v>7.2201000000000004</v>
      </c>
      <c r="C433">
        <v>7.4</v>
      </c>
      <c r="D433">
        <v>6.5629</v>
      </c>
      <c r="E433">
        <v>6.7952000000000004</v>
      </c>
      <c r="F433">
        <v>1882776.4</v>
      </c>
      <c r="G433">
        <v>0</v>
      </c>
      <c r="L433" t="s">
        <v>7</v>
      </c>
      <c r="M433" t="s">
        <v>7</v>
      </c>
      <c r="N433" t="s">
        <v>8</v>
      </c>
      <c r="P433">
        <f t="shared" si="975"/>
        <v>-0.44498865129614074</v>
      </c>
      <c r="Q433">
        <f t="shared" si="976"/>
        <v>-837814.13092820311</v>
      </c>
      <c r="R433">
        <f t="shared" si="977"/>
        <v>7613999.5774392784</v>
      </c>
      <c r="S433">
        <f t="shared" si="978"/>
        <v>76.139995774392787</v>
      </c>
      <c r="T433">
        <f t="shared" si="979"/>
        <v>7.6139995774392788E-2</v>
      </c>
    </row>
    <row r="434" spans="1:20" x14ac:dyDescent="0.25">
      <c r="A434" s="5">
        <v>44159</v>
      </c>
      <c r="B434">
        <v>7.2831999999999999</v>
      </c>
      <c r="C434">
        <v>7.9370000000000003</v>
      </c>
      <c r="D434">
        <v>6.95</v>
      </c>
      <c r="E434">
        <v>7.2163000000000004</v>
      </c>
      <c r="F434">
        <v>3124869.79</v>
      </c>
      <c r="G434">
        <v>0</v>
      </c>
      <c r="L434" t="s">
        <v>8</v>
      </c>
      <c r="M434" t="s">
        <v>8</v>
      </c>
      <c r="N434" t="s">
        <v>8</v>
      </c>
      <c r="P434">
        <f t="shared" si="975"/>
        <v>-0.46038500506585578</v>
      </c>
      <c r="Q434">
        <f t="shared" si="976"/>
        <v>-1438643.1940992896</v>
      </c>
      <c r="R434">
        <f t="shared" si="977"/>
        <v>8451813.7083674818</v>
      </c>
      <c r="S434">
        <f t="shared" si="978"/>
        <v>84.518137083674816</v>
      </c>
      <c r="T434">
        <f t="shared" si="979"/>
        <v>8.451813708367481E-2</v>
      </c>
    </row>
    <row r="435" spans="1:20" x14ac:dyDescent="0.25">
      <c r="A435" s="5">
        <v>44158</v>
      </c>
      <c r="B435">
        <v>6.7957000000000001</v>
      </c>
      <c r="C435">
        <v>7.4733000000000001</v>
      </c>
      <c r="D435">
        <v>6.4706999999999999</v>
      </c>
      <c r="E435">
        <v>7.2872000000000003</v>
      </c>
      <c r="F435">
        <v>2724343.9</v>
      </c>
      <c r="G435">
        <v>0</v>
      </c>
      <c r="L435" t="s">
        <v>7</v>
      </c>
      <c r="M435" t="s">
        <v>8</v>
      </c>
      <c r="N435" t="s">
        <v>8</v>
      </c>
      <c r="P435">
        <f t="shared" si="975"/>
        <v>0.6287652104528233</v>
      </c>
      <c r="Q435">
        <f t="shared" si="976"/>
        <v>1712972.6656293652</v>
      </c>
      <c r="R435">
        <f t="shared" si="977"/>
        <v>9890456.9024667721</v>
      </c>
      <c r="S435">
        <f t="shared" si="978"/>
        <v>98.904569024667722</v>
      </c>
      <c r="T435">
        <f t="shared" si="979"/>
        <v>9.8904569024667724E-2</v>
      </c>
    </row>
    <row r="436" spans="1:20" x14ac:dyDescent="0.25">
      <c r="A436" s="5">
        <v>44157</v>
      </c>
      <c r="B436">
        <v>7.2704000000000004</v>
      </c>
      <c r="C436">
        <v>7.5491000000000001</v>
      </c>
      <c r="D436">
        <v>6.1764000000000001</v>
      </c>
      <c r="E436">
        <v>6.7977999999999996</v>
      </c>
      <c r="F436">
        <v>3236872.23</v>
      </c>
      <c r="G436">
        <v>0</v>
      </c>
      <c r="L436" t="s">
        <v>8</v>
      </c>
      <c r="M436" t="s">
        <v>7</v>
      </c>
      <c r="N436" t="s">
        <v>8</v>
      </c>
      <c r="P436">
        <f t="shared" si="975"/>
        <v>-9.4631019159321789E-2</v>
      </c>
      <c r="Q436">
        <f t="shared" si="976"/>
        <v>-306308.51801340666</v>
      </c>
      <c r="R436">
        <f t="shared" si="977"/>
        <v>8177484.2368374076</v>
      </c>
      <c r="S436">
        <f t="shared" si="978"/>
        <v>81.774842368374081</v>
      </c>
      <c r="T436">
        <f t="shared" si="979"/>
        <v>8.1774842368374082E-2</v>
      </c>
    </row>
    <row r="437" spans="1:20" x14ac:dyDescent="0.25">
      <c r="A437" s="5">
        <v>44156</v>
      </c>
      <c r="B437">
        <v>6.1710000000000003</v>
      </c>
      <c r="C437">
        <v>7.4954999999999998</v>
      </c>
      <c r="D437">
        <v>6.0587</v>
      </c>
      <c r="E437">
        <v>7.2705000000000002</v>
      </c>
      <c r="F437">
        <v>3833868.41</v>
      </c>
      <c r="G437">
        <v>0</v>
      </c>
      <c r="L437" t="s">
        <v>8</v>
      </c>
      <c r="M437" t="s">
        <v>8</v>
      </c>
      <c r="N437" t="s">
        <v>8</v>
      </c>
      <c r="P437">
        <f t="shared" si="975"/>
        <v>0.68680400890868643</v>
      </c>
      <c r="Q437">
        <f t="shared" si="976"/>
        <v>2633116.1936163716</v>
      </c>
      <c r="R437">
        <f t="shared" si="977"/>
        <v>8483792.7548508141</v>
      </c>
      <c r="S437">
        <f t="shared" si="978"/>
        <v>84.837927548508148</v>
      </c>
      <c r="T437">
        <f t="shared" si="979"/>
        <v>8.4837927548508149E-2</v>
      </c>
    </row>
    <row r="438" spans="1:20" x14ac:dyDescent="0.25">
      <c r="A438" s="5">
        <v>44155</v>
      </c>
      <c r="B438">
        <v>5.8400999999999996</v>
      </c>
      <c r="C438">
        <v>6.39</v>
      </c>
      <c r="D438">
        <v>5.8064</v>
      </c>
      <c r="E438">
        <v>6.1708999999999996</v>
      </c>
      <c r="F438">
        <v>1768825.19</v>
      </c>
      <c r="G438">
        <v>0</v>
      </c>
      <c r="L438" t="s">
        <v>8</v>
      </c>
      <c r="M438" t="s">
        <v>7</v>
      </c>
      <c r="N438" t="s">
        <v>8</v>
      </c>
      <c r="P438">
        <f t="shared" si="975"/>
        <v>0.24914324880054767</v>
      </c>
      <c r="Q438">
        <f t="shared" si="976"/>
        <v>440690.85439684597</v>
      </c>
      <c r="R438">
        <f t="shared" si="977"/>
        <v>5850676.5612344425</v>
      </c>
      <c r="S438">
        <f t="shared" si="978"/>
        <v>58.506765612344424</v>
      </c>
      <c r="T438">
        <f t="shared" si="979"/>
        <v>5.850676561234442E-2</v>
      </c>
    </row>
    <row r="439" spans="1:20" x14ac:dyDescent="0.25">
      <c r="A439" s="5">
        <v>44154</v>
      </c>
      <c r="B439">
        <v>5.9568000000000003</v>
      </c>
      <c r="C439">
        <v>6.1604000000000001</v>
      </c>
      <c r="D439">
        <v>5.63</v>
      </c>
      <c r="E439">
        <v>5.8364000000000003</v>
      </c>
      <c r="F439">
        <v>2094764.22</v>
      </c>
      <c r="G439">
        <v>0</v>
      </c>
      <c r="L439" t="s">
        <v>7</v>
      </c>
      <c r="M439" t="s">
        <v>7</v>
      </c>
      <c r="N439" t="s">
        <v>8</v>
      </c>
      <c r="P439">
        <f t="shared" si="975"/>
        <v>-0.2217194570135736</v>
      </c>
      <c r="Q439">
        <f t="shared" si="976"/>
        <v>-464449.98542986199</v>
      </c>
      <c r="R439">
        <f t="shared" si="977"/>
        <v>5409985.7068375964</v>
      </c>
      <c r="S439">
        <f t="shared" si="978"/>
        <v>54.099857068375961</v>
      </c>
      <c r="T439">
        <f t="shared" si="979"/>
        <v>5.4099857068375959E-2</v>
      </c>
    </row>
    <row r="440" spans="1:20" x14ac:dyDescent="0.25">
      <c r="A440" s="5">
        <v>44153</v>
      </c>
      <c r="B440">
        <v>6.0099</v>
      </c>
      <c r="C440">
        <v>6.96</v>
      </c>
      <c r="D440">
        <v>5.55</v>
      </c>
      <c r="E440">
        <v>5.9486999999999997</v>
      </c>
      <c r="F440">
        <v>4561621.76</v>
      </c>
      <c r="G440">
        <v>0</v>
      </c>
      <c r="L440" t="s">
        <v>8</v>
      </c>
      <c r="M440" t="s">
        <v>8</v>
      </c>
      <c r="N440" t="s">
        <v>8</v>
      </c>
      <c r="P440">
        <f t="shared" si="975"/>
        <v>-0.43446808510638329</v>
      </c>
      <c r="Q440">
        <f t="shared" si="976"/>
        <v>-1981879.0710468099</v>
      </c>
      <c r="R440">
        <f t="shared" si="977"/>
        <v>5874435.692267458</v>
      </c>
      <c r="S440">
        <f t="shared" si="978"/>
        <v>58.744356922674577</v>
      </c>
      <c r="T440">
        <f t="shared" si="979"/>
        <v>5.8744356922674573E-2</v>
      </c>
    </row>
    <row r="441" spans="1:20" x14ac:dyDescent="0.25">
      <c r="A441" s="5">
        <v>44152</v>
      </c>
      <c r="B441">
        <v>5.6897000000000002</v>
      </c>
      <c r="C441">
        <v>6.0499000000000001</v>
      </c>
      <c r="D441">
        <v>5.6578999999999997</v>
      </c>
      <c r="E441">
        <v>6.0056000000000003</v>
      </c>
      <c r="F441">
        <v>1468425.88</v>
      </c>
      <c r="G441">
        <v>0</v>
      </c>
      <c r="L441" t="s">
        <v>8</v>
      </c>
      <c r="M441" t="s">
        <v>7</v>
      </c>
      <c r="N441" t="s">
        <v>8</v>
      </c>
      <c r="P441">
        <f t="shared" si="975"/>
        <v>0.77397959183673604</v>
      </c>
      <c r="Q441">
        <f t="shared" si="976"/>
        <v>1136531.6632448998</v>
      </c>
      <c r="R441">
        <f t="shared" si="977"/>
        <v>7856314.7633142676</v>
      </c>
      <c r="S441">
        <f t="shared" si="978"/>
        <v>78.563147633142677</v>
      </c>
      <c r="T441">
        <f t="shared" si="979"/>
        <v>7.8563147633142677E-2</v>
      </c>
    </row>
    <row r="442" spans="1:20" x14ac:dyDescent="0.25">
      <c r="A442" s="5">
        <v>44151</v>
      </c>
      <c r="B442">
        <v>5.5259999999999998</v>
      </c>
      <c r="C442">
        <v>5.9665999999999997</v>
      </c>
      <c r="D442">
        <v>5.3704999999999998</v>
      </c>
      <c r="E442">
        <v>5.6932999999999998</v>
      </c>
      <c r="F442">
        <v>1168522.47</v>
      </c>
      <c r="G442">
        <v>0</v>
      </c>
      <c r="L442" t="s">
        <v>8</v>
      </c>
      <c r="M442" t="s">
        <v>7</v>
      </c>
      <c r="N442" t="s">
        <v>8</v>
      </c>
      <c r="P442">
        <f t="shared" si="975"/>
        <v>8.3039758429793845E-2</v>
      </c>
      <c r="Q442">
        <f t="shared" si="976"/>
        <v>97033.823628586018</v>
      </c>
      <c r="R442">
        <f t="shared" si="977"/>
        <v>6719783.1000693673</v>
      </c>
      <c r="S442">
        <f t="shared" si="978"/>
        <v>67.197831000693668</v>
      </c>
      <c r="T442">
        <f t="shared" si="979"/>
        <v>6.7197831000693667E-2</v>
      </c>
    </row>
    <row r="443" spans="1:20" x14ac:dyDescent="0.25">
      <c r="A443" s="5">
        <v>44150</v>
      </c>
      <c r="B443">
        <v>5.7013999999999996</v>
      </c>
      <c r="C443">
        <v>5.9215999999999998</v>
      </c>
      <c r="D443">
        <v>5.3003</v>
      </c>
      <c r="E443">
        <v>5.5183999999999997</v>
      </c>
      <c r="F443">
        <v>1390184.67</v>
      </c>
      <c r="G443">
        <v>0</v>
      </c>
      <c r="L443" t="s">
        <v>7</v>
      </c>
      <c r="M443" t="s">
        <v>7</v>
      </c>
      <c r="N443" t="s">
        <v>8</v>
      </c>
      <c r="P443">
        <f t="shared" si="975"/>
        <v>-0.297923708353453</v>
      </c>
      <c r="Q443">
        <f t="shared" si="976"/>
        <v>-414168.97218252131</v>
      </c>
      <c r="R443">
        <f t="shared" si="977"/>
        <v>6622749.2764407815</v>
      </c>
      <c r="S443">
        <f t="shared" si="978"/>
        <v>66.227492764407813</v>
      </c>
      <c r="T443">
        <f t="shared" si="979"/>
        <v>6.6227492764407814E-2</v>
      </c>
    </row>
    <row r="444" spans="1:20" x14ac:dyDescent="0.25">
      <c r="A444" s="5">
        <v>44149</v>
      </c>
      <c r="B444">
        <v>5.9279999999999999</v>
      </c>
      <c r="C444">
        <v>6.08</v>
      </c>
      <c r="D444">
        <v>5.4375</v>
      </c>
      <c r="E444">
        <v>5.6980000000000004</v>
      </c>
      <c r="F444">
        <v>1027818.97</v>
      </c>
      <c r="G444">
        <v>0</v>
      </c>
      <c r="L444" t="s">
        <v>7</v>
      </c>
      <c r="M444" t="s">
        <v>7</v>
      </c>
      <c r="N444" t="s">
        <v>8</v>
      </c>
      <c r="P444">
        <f t="shared" si="975"/>
        <v>-0.18910505836575761</v>
      </c>
      <c r="Q444">
        <f t="shared" si="976"/>
        <v>-194365.76631128287</v>
      </c>
      <c r="R444">
        <f t="shared" si="977"/>
        <v>7036918.2486233031</v>
      </c>
      <c r="S444">
        <f t="shared" si="978"/>
        <v>70.369182486233029</v>
      </c>
      <c r="T444">
        <f t="shared" si="979"/>
        <v>7.0369182486233028E-2</v>
      </c>
    </row>
    <row r="445" spans="1:20" x14ac:dyDescent="0.25">
      <c r="A445" s="5">
        <v>44148</v>
      </c>
      <c r="B445">
        <v>5.5399000000000003</v>
      </c>
      <c r="C445">
        <v>6.1660000000000004</v>
      </c>
      <c r="D445">
        <v>5.5134999999999996</v>
      </c>
      <c r="E445">
        <v>5.9240000000000004</v>
      </c>
      <c r="F445">
        <v>1149801.74</v>
      </c>
      <c r="G445">
        <v>0</v>
      </c>
      <c r="L445" t="s">
        <v>8</v>
      </c>
      <c r="M445" t="s">
        <v>7</v>
      </c>
      <c r="N445" t="s">
        <v>8</v>
      </c>
      <c r="P445">
        <f t="shared" si="975"/>
        <v>0.25823754789272119</v>
      </c>
      <c r="Q445">
        <f t="shared" si="976"/>
        <v>296921.98190038413</v>
      </c>
      <c r="R445">
        <f t="shared" si="977"/>
        <v>7231284.0149345864</v>
      </c>
      <c r="S445">
        <f t="shared" si="978"/>
        <v>72.31284014934586</v>
      </c>
      <c r="T445">
        <f t="shared" si="979"/>
        <v>7.2312840149345858E-2</v>
      </c>
    </row>
    <row r="446" spans="1:20" x14ac:dyDescent="0.25">
      <c r="A446" s="5">
        <v>44147</v>
      </c>
      <c r="B446">
        <v>5.9283000000000001</v>
      </c>
      <c r="C446">
        <v>5.9546000000000001</v>
      </c>
      <c r="D446">
        <v>5.3085000000000004</v>
      </c>
      <c r="E446">
        <v>5.5355999999999996</v>
      </c>
      <c r="F446">
        <v>1434448.56</v>
      </c>
      <c r="G446">
        <v>0</v>
      </c>
      <c r="L446" t="s">
        <v>7</v>
      </c>
      <c r="M446" t="s">
        <v>7</v>
      </c>
      <c r="N446" t="s">
        <v>8</v>
      </c>
      <c r="P446">
        <f t="shared" si="975"/>
        <v>-0.29701284630862312</v>
      </c>
      <c r="Q446">
        <f t="shared" si="976"/>
        <v>-426049.64968890575</v>
      </c>
      <c r="R446">
        <f t="shared" si="977"/>
        <v>6934362.0330342026</v>
      </c>
      <c r="S446">
        <f t="shared" si="978"/>
        <v>69.34362033034202</v>
      </c>
      <c r="T446">
        <f t="shared" si="979"/>
        <v>6.9343620330342026E-2</v>
      </c>
    </row>
    <row r="447" spans="1:20" x14ac:dyDescent="0.25">
      <c r="A447" s="5">
        <v>44146</v>
      </c>
      <c r="B447">
        <v>6.2965</v>
      </c>
      <c r="C447">
        <v>6.4180000000000001</v>
      </c>
      <c r="D447">
        <v>5.8799000000000001</v>
      </c>
      <c r="E447">
        <v>5.9314</v>
      </c>
      <c r="F447">
        <v>1328822.42</v>
      </c>
      <c r="G447">
        <v>0</v>
      </c>
      <c r="L447" t="s">
        <v>7</v>
      </c>
      <c r="M447" t="s">
        <v>8</v>
      </c>
      <c r="N447" t="s">
        <v>8</v>
      </c>
      <c r="P447">
        <f t="shared" si="975"/>
        <v>-0.80858576472774624</v>
      </c>
      <c r="Q447">
        <f t="shared" si="976"/>
        <v>-1074466.8926630744</v>
      </c>
      <c r="R447">
        <f t="shared" si="977"/>
        <v>7360411.6827231087</v>
      </c>
      <c r="S447">
        <f t="shared" si="978"/>
        <v>73.604116827231081</v>
      </c>
      <c r="T447">
        <f t="shared" si="979"/>
        <v>7.3604116827231086E-2</v>
      </c>
    </row>
    <row r="448" spans="1:20" x14ac:dyDescent="0.25">
      <c r="A448" s="5">
        <v>44145</v>
      </c>
      <c r="B448">
        <v>5.9847000000000001</v>
      </c>
      <c r="C448">
        <v>6.42</v>
      </c>
      <c r="D448">
        <v>5.8648999999999996</v>
      </c>
      <c r="E448">
        <v>6.2842000000000002</v>
      </c>
      <c r="F448">
        <v>2112976.75</v>
      </c>
      <c r="G448">
        <v>0</v>
      </c>
      <c r="L448" t="s">
        <v>8</v>
      </c>
      <c r="M448" t="s">
        <v>8</v>
      </c>
      <c r="N448" t="s">
        <v>8</v>
      </c>
      <c r="P448">
        <f t="shared" si="975"/>
        <v>0.51071878940731541</v>
      </c>
      <c r="Q448">
        <f t="shared" si="976"/>
        <v>1079136.9278058037</v>
      </c>
      <c r="R448">
        <f t="shared" si="977"/>
        <v>8434878.5753861833</v>
      </c>
      <c r="S448">
        <f t="shared" si="978"/>
        <v>84.348785753861833</v>
      </c>
      <c r="T448">
        <f t="shared" si="979"/>
        <v>8.434878575386183E-2</v>
      </c>
    </row>
    <row r="449" spans="1:20" x14ac:dyDescent="0.25">
      <c r="A449" s="5">
        <v>44144</v>
      </c>
      <c r="B449">
        <v>5.6562000000000001</v>
      </c>
      <c r="C449">
        <v>6.1139000000000001</v>
      </c>
      <c r="D449">
        <v>5.55</v>
      </c>
      <c r="E449">
        <v>5.99</v>
      </c>
      <c r="F449">
        <v>2054125.9</v>
      </c>
      <c r="G449">
        <v>0</v>
      </c>
      <c r="L449" t="s">
        <v>8</v>
      </c>
      <c r="M449" t="s">
        <v>8</v>
      </c>
      <c r="N449" t="s">
        <v>8</v>
      </c>
      <c r="P449">
        <f t="shared" si="975"/>
        <v>0.56056038304664002</v>
      </c>
      <c r="Q449">
        <f t="shared" si="976"/>
        <v>1151461.6013300242</v>
      </c>
      <c r="R449">
        <f t="shared" si="977"/>
        <v>7355741.6475803796</v>
      </c>
      <c r="S449">
        <f t="shared" si="978"/>
        <v>73.557416475803791</v>
      </c>
      <c r="T449">
        <f t="shared" si="979"/>
        <v>7.3557416475803786E-2</v>
      </c>
    </row>
    <row r="450" spans="1:20" x14ac:dyDescent="0.25">
      <c r="A450" s="5">
        <v>44143</v>
      </c>
      <c r="B450">
        <v>5.2107999999999999</v>
      </c>
      <c r="C450">
        <v>5.8997999999999999</v>
      </c>
      <c r="D450">
        <v>5.0583999999999998</v>
      </c>
      <c r="E450">
        <v>5.6597999999999997</v>
      </c>
      <c r="F450">
        <v>2074134.01</v>
      </c>
      <c r="G450">
        <v>0</v>
      </c>
      <c r="L450" t="s">
        <v>7</v>
      </c>
      <c r="M450" t="s">
        <v>7</v>
      </c>
      <c r="N450" t="s">
        <v>8</v>
      </c>
      <c r="P450">
        <f t="shared" si="975"/>
        <v>0.42952222486332264</v>
      </c>
      <c r="Q450">
        <f t="shared" si="976"/>
        <v>890886.65463988506</v>
      </c>
      <c r="R450">
        <f t="shared" si="977"/>
        <v>6204280.0462503554</v>
      </c>
      <c r="S450">
        <f t="shared" si="978"/>
        <v>62.042800462503557</v>
      </c>
      <c r="T450">
        <f t="shared" si="979"/>
        <v>6.2042800462503558E-2</v>
      </c>
    </row>
    <row r="451" spans="1:20" x14ac:dyDescent="0.25">
      <c r="A451" s="5">
        <v>44142</v>
      </c>
      <c r="B451">
        <v>5.6485000000000003</v>
      </c>
      <c r="C451">
        <v>6.19</v>
      </c>
      <c r="D451">
        <v>4.8526999999999996</v>
      </c>
      <c r="E451">
        <v>5.2106000000000003</v>
      </c>
      <c r="F451">
        <v>4147764.43</v>
      </c>
      <c r="G451">
        <v>0</v>
      </c>
      <c r="L451" t="s">
        <v>8</v>
      </c>
      <c r="M451" t="s">
        <v>8</v>
      </c>
      <c r="N451" t="s">
        <v>8</v>
      </c>
      <c r="P451">
        <f t="shared" si="975"/>
        <v>-0.46474239138562695</v>
      </c>
      <c r="Q451">
        <f t="shared" si="976"/>
        <v>-1927641.960102442</v>
      </c>
      <c r="R451">
        <f t="shared" si="977"/>
        <v>5313393.3916104706</v>
      </c>
      <c r="S451">
        <f t="shared" si="978"/>
        <v>53.133933916104709</v>
      </c>
      <c r="T451">
        <f t="shared" si="979"/>
        <v>5.3133933916104707E-2</v>
      </c>
    </row>
    <row r="452" spans="1:20" x14ac:dyDescent="0.25">
      <c r="A452" s="5">
        <v>44141</v>
      </c>
      <c r="B452">
        <v>4.1961000000000004</v>
      </c>
      <c r="C452">
        <v>5.7</v>
      </c>
      <c r="D452">
        <v>4.1569000000000003</v>
      </c>
      <c r="E452">
        <v>5.6452</v>
      </c>
      <c r="F452">
        <v>3209560.63</v>
      </c>
      <c r="G452">
        <v>0</v>
      </c>
      <c r="L452" t="s">
        <v>8</v>
      </c>
      <c r="M452" t="s">
        <v>8</v>
      </c>
      <c r="N452" t="s">
        <v>8</v>
      </c>
      <c r="P452">
        <f t="shared" si="975"/>
        <v>0.9289741429589784</v>
      </c>
      <c r="Q452">
        <f t="shared" si="976"/>
        <v>2981598.8355291286</v>
      </c>
      <c r="R452">
        <f t="shared" si="977"/>
        <v>7241035.3517129123</v>
      </c>
      <c r="S452">
        <f t="shared" si="978"/>
        <v>72.410353517129124</v>
      </c>
      <c r="T452">
        <f t="shared" si="979"/>
        <v>7.2410353517129128E-2</v>
      </c>
    </row>
    <row r="453" spans="1:20" x14ac:dyDescent="0.25">
      <c r="A453" s="5">
        <v>44140</v>
      </c>
      <c r="B453">
        <v>4.0692000000000004</v>
      </c>
      <c r="C453">
        <v>4.5517000000000003</v>
      </c>
      <c r="D453">
        <v>3.8210000000000002</v>
      </c>
      <c r="E453">
        <v>4.2000999999999999</v>
      </c>
      <c r="F453">
        <v>1952197.23</v>
      </c>
      <c r="G453">
        <v>0</v>
      </c>
      <c r="L453" t="s">
        <v>8</v>
      </c>
      <c r="M453" t="s">
        <v>8</v>
      </c>
      <c r="N453" t="s">
        <v>7</v>
      </c>
      <c r="P453">
        <f t="shared" si="975"/>
        <v>3.763514438209855E-2</v>
      </c>
      <c r="Q453">
        <f t="shared" si="976"/>
        <v>73471.224613382845</v>
      </c>
      <c r="R453">
        <f t="shared" si="977"/>
        <v>4259436.5161837842</v>
      </c>
      <c r="S453">
        <f t="shared" si="978"/>
        <v>42.594365161837842</v>
      </c>
      <c r="T453">
        <f t="shared" si="979"/>
        <v>4.2594365161837844E-2</v>
      </c>
    </row>
    <row r="454" spans="1:20" x14ac:dyDescent="0.25">
      <c r="A454" s="5">
        <v>44139</v>
      </c>
      <c r="B454">
        <v>4.1993999999999998</v>
      </c>
      <c r="C454">
        <v>4.3</v>
      </c>
      <c r="D454">
        <v>3.8186</v>
      </c>
      <c r="E454">
        <v>4.0674000000000001</v>
      </c>
      <c r="F454">
        <v>1208445.8899999999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80">IF(C454=D454,0,((E454-D454)-(C454-E454))/(C454-D454))</f>
        <v>3.3651848774408896E-2</v>
      </c>
      <c r="Q454">
        <f t="shared" ref="Q454:Q517" si="981">F454*P454</f>
        <v>40666.438342335961</v>
      </c>
      <c r="R454">
        <f t="shared" ref="R454:R517" si="982">R455+Q454</f>
        <v>4185965.2915704013</v>
      </c>
      <c r="S454">
        <f t="shared" ref="S454:S517" si="983">R454/100000</f>
        <v>41.859652915704011</v>
      </c>
      <c r="T454">
        <f t="shared" ref="T454:T517" si="984">S454/1000</f>
        <v>4.185965291570401E-2</v>
      </c>
    </row>
    <row r="455" spans="1:20" x14ac:dyDescent="0.25">
      <c r="A455" s="5">
        <v>44138</v>
      </c>
      <c r="B455">
        <v>4.2157</v>
      </c>
      <c r="C455">
        <v>4.2354000000000003</v>
      </c>
      <c r="D455">
        <v>3.9104000000000001</v>
      </c>
      <c r="E455">
        <v>4.1992000000000003</v>
      </c>
      <c r="F455">
        <v>899945.85</v>
      </c>
      <c r="G455">
        <v>0</v>
      </c>
      <c r="L455" t="s">
        <v>7</v>
      </c>
      <c r="M455" t="s">
        <v>7</v>
      </c>
      <c r="N455" t="s">
        <v>7</v>
      </c>
      <c r="P455">
        <f t="shared" si="980"/>
        <v>0.77723076923076928</v>
      </c>
      <c r="Q455">
        <f t="shared" si="981"/>
        <v>699465.60526153853</v>
      </c>
      <c r="R455">
        <f t="shared" si="982"/>
        <v>4145298.8532280652</v>
      </c>
      <c r="S455">
        <f t="shared" si="983"/>
        <v>41.452988532280649</v>
      </c>
      <c r="T455">
        <f t="shared" si="984"/>
        <v>4.1452988532280646E-2</v>
      </c>
    </row>
    <row r="456" spans="1:20" x14ac:dyDescent="0.25">
      <c r="A456" s="5">
        <v>44137</v>
      </c>
      <c r="B456">
        <v>4.5046999999999997</v>
      </c>
      <c r="C456">
        <v>4.6600999999999999</v>
      </c>
      <c r="D456">
        <v>4.1879999999999997</v>
      </c>
      <c r="E456">
        <v>4.2190000000000003</v>
      </c>
      <c r="F456">
        <v>778805.67</v>
      </c>
      <c r="G456">
        <v>0</v>
      </c>
      <c r="L456" t="s">
        <v>8</v>
      </c>
      <c r="M456" t="s">
        <v>7</v>
      </c>
      <c r="N456" t="s">
        <v>7</v>
      </c>
      <c r="P456">
        <f t="shared" si="980"/>
        <v>-0.8686718915483983</v>
      </c>
      <c r="Q456">
        <f t="shared" si="981"/>
        <v>-676526.59450751776</v>
      </c>
      <c r="R456">
        <f t="shared" si="982"/>
        <v>3445833.2479665265</v>
      </c>
      <c r="S456">
        <f t="shared" si="983"/>
        <v>34.458332479665266</v>
      </c>
      <c r="T456">
        <f t="shared" si="984"/>
        <v>3.4458332479665267E-2</v>
      </c>
    </row>
    <row r="457" spans="1:20" x14ac:dyDescent="0.25">
      <c r="A457" s="5">
        <v>44136</v>
      </c>
      <c r="B457">
        <v>4.3407</v>
      </c>
      <c r="C457">
        <v>4.6093999999999999</v>
      </c>
      <c r="D457">
        <v>4.2054</v>
      </c>
      <c r="E457">
        <v>4.5030000000000001</v>
      </c>
      <c r="F457">
        <v>623905.86</v>
      </c>
      <c r="G457">
        <v>0</v>
      </c>
      <c r="L457" t="s">
        <v>7</v>
      </c>
      <c r="M457" t="s">
        <v>7</v>
      </c>
      <c r="N457" t="s">
        <v>7</v>
      </c>
      <c r="P457">
        <f t="shared" si="980"/>
        <v>0.47326732673267402</v>
      </c>
      <c r="Q457">
        <f t="shared" si="981"/>
        <v>295274.25849504996</v>
      </c>
      <c r="R457">
        <f t="shared" si="982"/>
        <v>4122359.8424740443</v>
      </c>
      <c r="S457">
        <f t="shared" si="983"/>
        <v>41.223598424740445</v>
      </c>
      <c r="T457">
        <f t="shared" si="984"/>
        <v>4.1223598424740444E-2</v>
      </c>
    </row>
    <row r="458" spans="1:20" x14ac:dyDescent="0.25">
      <c r="A458" s="5">
        <v>44135</v>
      </c>
      <c r="B458">
        <v>4.4024000000000001</v>
      </c>
      <c r="C458">
        <v>4.5946999999999996</v>
      </c>
      <c r="D458">
        <v>4.22</v>
      </c>
      <c r="E458">
        <v>4.3460000000000001</v>
      </c>
      <c r="F458">
        <v>1380277.01</v>
      </c>
      <c r="G458">
        <v>0</v>
      </c>
      <c r="L458" t="s">
        <v>8</v>
      </c>
      <c r="M458" t="s">
        <v>7</v>
      </c>
      <c r="N458" t="s">
        <v>7</v>
      </c>
      <c r="P458">
        <f t="shared" si="980"/>
        <v>-0.32746196957565843</v>
      </c>
      <c r="Q458">
        <f t="shared" si="981"/>
        <v>-451988.22825460078</v>
      </c>
      <c r="R458">
        <f t="shared" si="982"/>
        <v>3827085.5839789943</v>
      </c>
      <c r="S458">
        <f t="shared" si="983"/>
        <v>38.270855839789945</v>
      </c>
      <c r="T458">
        <f t="shared" si="984"/>
        <v>3.8270855839789945E-2</v>
      </c>
    </row>
    <row r="459" spans="1:20" x14ac:dyDescent="0.25">
      <c r="A459" s="5">
        <v>44134</v>
      </c>
      <c r="B459">
        <v>4.6181999999999999</v>
      </c>
      <c r="C459">
        <v>4.6265000000000001</v>
      </c>
      <c r="D459">
        <v>4.1212</v>
      </c>
      <c r="E459">
        <v>4.4065000000000003</v>
      </c>
      <c r="F459">
        <v>2127306.77</v>
      </c>
      <c r="G459">
        <v>0</v>
      </c>
      <c r="L459" t="s">
        <v>7</v>
      </c>
      <c r="M459" t="s">
        <v>7</v>
      </c>
      <c r="N459" t="s">
        <v>7</v>
      </c>
      <c r="P459">
        <f t="shared" si="980"/>
        <v>0.12923016030081252</v>
      </c>
      <c r="Q459">
        <f t="shared" si="981"/>
        <v>274912.1948961037</v>
      </c>
      <c r="R459">
        <f t="shared" si="982"/>
        <v>4279073.8122335952</v>
      </c>
      <c r="S459">
        <f t="shared" si="983"/>
        <v>42.790738122335952</v>
      </c>
      <c r="T459">
        <f t="shared" si="984"/>
        <v>4.2790738122335956E-2</v>
      </c>
    </row>
    <row r="460" spans="1:20" x14ac:dyDescent="0.25">
      <c r="A460" s="5">
        <v>44133</v>
      </c>
      <c r="B460">
        <v>4.8952</v>
      </c>
      <c r="C460">
        <v>5.1814</v>
      </c>
      <c r="D460">
        <v>4.6108000000000002</v>
      </c>
      <c r="E460">
        <v>4.6249000000000002</v>
      </c>
      <c r="F460">
        <v>1084539.49</v>
      </c>
      <c r="G460">
        <v>0</v>
      </c>
      <c r="L460" t="s">
        <v>7</v>
      </c>
      <c r="M460" t="s">
        <v>7</v>
      </c>
      <c r="N460" t="s">
        <v>8</v>
      </c>
      <c r="P460">
        <f t="shared" si="980"/>
        <v>-0.95057833859095686</v>
      </c>
      <c r="Q460">
        <f t="shared" si="981"/>
        <v>-1030939.7465404837</v>
      </c>
      <c r="R460">
        <f t="shared" si="982"/>
        <v>4004161.6173374918</v>
      </c>
      <c r="S460">
        <f t="shared" si="983"/>
        <v>40.041616173374919</v>
      </c>
      <c r="T460">
        <f t="shared" si="984"/>
        <v>4.0041616173374921E-2</v>
      </c>
    </row>
    <row r="461" spans="1:20" x14ac:dyDescent="0.25">
      <c r="A461" s="5">
        <v>44132</v>
      </c>
      <c r="B461">
        <v>5.4512999999999998</v>
      </c>
      <c r="C461">
        <v>5.5178000000000003</v>
      </c>
      <c r="D461">
        <v>4.7343999999999999</v>
      </c>
      <c r="E461">
        <v>4.8944999999999999</v>
      </c>
      <c r="F461">
        <v>1586068.39</v>
      </c>
      <c r="G461">
        <v>0</v>
      </c>
      <c r="L461" t="s">
        <v>7</v>
      </c>
      <c r="M461" t="s">
        <v>7</v>
      </c>
      <c r="N461" t="s">
        <v>8</v>
      </c>
      <c r="P461">
        <f t="shared" si="980"/>
        <v>-0.59126882818483573</v>
      </c>
      <c r="Q461">
        <f t="shared" si="981"/>
        <v>-937792.79837630899</v>
      </c>
      <c r="R461">
        <f t="shared" si="982"/>
        <v>5035101.3638779754</v>
      </c>
      <c r="S461">
        <f t="shared" si="983"/>
        <v>50.351013638779754</v>
      </c>
      <c r="T461">
        <f t="shared" si="984"/>
        <v>5.0351013638779751E-2</v>
      </c>
    </row>
    <row r="462" spans="1:20" x14ac:dyDescent="0.25">
      <c r="A462" s="5">
        <v>44131</v>
      </c>
      <c r="B462">
        <v>5.4649000000000001</v>
      </c>
      <c r="C462">
        <v>5.7750000000000004</v>
      </c>
      <c r="D462">
        <v>5.3175999999999997</v>
      </c>
      <c r="E462">
        <v>5.4476000000000004</v>
      </c>
      <c r="F462">
        <v>1062126.99</v>
      </c>
      <c r="G462">
        <v>0</v>
      </c>
      <c r="L462" t="s">
        <v>8</v>
      </c>
      <c r="M462" t="s">
        <v>8</v>
      </c>
      <c r="N462" t="s">
        <v>8</v>
      </c>
      <c r="P462">
        <f t="shared" si="980"/>
        <v>-0.43156974202011111</v>
      </c>
      <c r="Q462">
        <f t="shared" si="981"/>
        <v>-458381.87106689712</v>
      </c>
      <c r="R462">
        <f t="shared" si="982"/>
        <v>5972894.1622542841</v>
      </c>
      <c r="S462">
        <f t="shared" si="983"/>
        <v>59.728941622542841</v>
      </c>
      <c r="T462">
        <f t="shared" si="984"/>
        <v>5.9728941622542844E-2</v>
      </c>
    </row>
    <row r="463" spans="1:20" x14ac:dyDescent="0.25">
      <c r="A463" s="5">
        <v>44130</v>
      </c>
      <c r="B463">
        <v>5.7432999999999996</v>
      </c>
      <c r="C463">
        <v>5.8872999999999998</v>
      </c>
      <c r="D463">
        <v>5.2760999999999996</v>
      </c>
      <c r="E463">
        <v>5.4576000000000002</v>
      </c>
      <c r="F463">
        <v>937790.14</v>
      </c>
      <c r="G463">
        <v>0</v>
      </c>
      <c r="L463" t="s">
        <v>7</v>
      </c>
      <c r="M463" t="s">
        <v>8</v>
      </c>
      <c r="N463" t="s">
        <v>8</v>
      </c>
      <c r="P463">
        <f t="shared" si="980"/>
        <v>-0.406086387434553</v>
      </c>
      <c r="Q463">
        <f t="shared" si="981"/>
        <v>-380823.81012434373</v>
      </c>
      <c r="R463">
        <f t="shared" si="982"/>
        <v>6431276.0333211813</v>
      </c>
      <c r="S463">
        <f t="shared" si="983"/>
        <v>64.312760333211813</v>
      </c>
      <c r="T463">
        <f t="shared" si="984"/>
        <v>6.4312760333211816E-2</v>
      </c>
    </row>
    <row r="464" spans="1:20" x14ac:dyDescent="0.25">
      <c r="A464" s="5">
        <v>44129</v>
      </c>
      <c r="B464">
        <v>6.0206</v>
      </c>
      <c r="C464">
        <v>6.0884</v>
      </c>
      <c r="D464">
        <v>5.6894999999999998</v>
      </c>
      <c r="E464">
        <v>5.73</v>
      </c>
      <c r="F464">
        <v>649259.94999999995</v>
      </c>
      <c r="G464">
        <v>0</v>
      </c>
      <c r="L464" t="s">
        <v>7</v>
      </c>
      <c r="M464" t="s">
        <v>8</v>
      </c>
      <c r="N464" t="s">
        <v>8</v>
      </c>
      <c r="P464">
        <f t="shared" si="980"/>
        <v>-0.79694158937076653</v>
      </c>
      <c r="Q464">
        <f t="shared" si="981"/>
        <v>-517422.25646778435</v>
      </c>
      <c r="R464">
        <f t="shared" si="982"/>
        <v>6812099.8434455246</v>
      </c>
      <c r="S464">
        <f t="shared" si="983"/>
        <v>68.120998434455245</v>
      </c>
      <c r="T464">
        <f t="shared" si="984"/>
        <v>6.8120998434455252E-2</v>
      </c>
    </row>
    <row r="465" spans="1:20" x14ac:dyDescent="0.25">
      <c r="A465" s="5">
        <v>44128</v>
      </c>
      <c r="B465">
        <v>5.9778000000000002</v>
      </c>
      <c r="C465">
        <v>6.0735000000000001</v>
      </c>
      <c r="D465">
        <v>5.7962999999999996</v>
      </c>
      <c r="E465">
        <v>6.0256999999999996</v>
      </c>
      <c r="F465">
        <v>654316.01</v>
      </c>
      <c r="G465">
        <v>0</v>
      </c>
      <c r="L465" t="s">
        <v>8</v>
      </c>
      <c r="M465" t="s">
        <v>8</v>
      </c>
      <c r="N465" t="s">
        <v>8</v>
      </c>
      <c r="P465">
        <f t="shared" si="980"/>
        <v>0.65512265512265211</v>
      </c>
      <c r="Q465">
        <f t="shared" si="981"/>
        <v>428657.24176045979</v>
      </c>
      <c r="R465">
        <f t="shared" si="982"/>
        <v>7329522.0999133093</v>
      </c>
      <c r="S465">
        <f t="shared" si="983"/>
        <v>73.295220999133093</v>
      </c>
      <c r="T465">
        <f t="shared" si="984"/>
        <v>7.329522099913309E-2</v>
      </c>
    </row>
    <row r="466" spans="1:20" x14ac:dyDescent="0.25">
      <c r="A466" s="5">
        <v>44127</v>
      </c>
      <c r="B466">
        <v>6.2603</v>
      </c>
      <c r="C466">
        <v>6.2702</v>
      </c>
      <c r="D466">
        <v>3.2822</v>
      </c>
      <c r="E466">
        <v>5.9767000000000001</v>
      </c>
      <c r="F466">
        <v>1726552.01</v>
      </c>
      <c r="G466">
        <v>0</v>
      </c>
      <c r="L466" t="s">
        <v>7</v>
      </c>
      <c r="M466" t="s">
        <v>7</v>
      </c>
      <c r="N466" t="s">
        <v>7</v>
      </c>
      <c r="P466">
        <f t="shared" si="980"/>
        <v>0.80354752342704161</v>
      </c>
      <c r="Q466">
        <f t="shared" si="981"/>
        <v>1387366.5917034808</v>
      </c>
      <c r="R466">
        <f t="shared" si="982"/>
        <v>6900864.8581528496</v>
      </c>
      <c r="S466">
        <f t="shared" si="983"/>
        <v>69.00864858152849</v>
      </c>
      <c r="T466">
        <f t="shared" si="984"/>
        <v>6.9008648581528484E-2</v>
      </c>
    </row>
    <row r="467" spans="1:20" x14ac:dyDescent="0.25">
      <c r="A467" s="5">
        <v>44126</v>
      </c>
      <c r="B467">
        <v>5.7855999999999996</v>
      </c>
      <c r="C467">
        <v>6.4939999999999998</v>
      </c>
      <c r="D467">
        <v>5.7748999999999997</v>
      </c>
      <c r="E467">
        <v>6.2580999999999998</v>
      </c>
      <c r="F467">
        <v>1004123.74</v>
      </c>
      <c r="G467">
        <v>0</v>
      </c>
      <c r="L467" t="s">
        <v>8</v>
      </c>
      <c r="M467" t="s">
        <v>8</v>
      </c>
      <c r="N467" t="s">
        <v>7</v>
      </c>
      <c r="P467">
        <f t="shared" si="980"/>
        <v>0.34390209984703107</v>
      </c>
      <c r="Q467">
        <f t="shared" si="981"/>
        <v>345320.26269225427</v>
      </c>
      <c r="R467">
        <f t="shared" si="982"/>
        <v>5513498.2664493686</v>
      </c>
      <c r="S467">
        <f t="shared" si="983"/>
        <v>55.134982664493684</v>
      </c>
      <c r="T467">
        <f t="shared" si="984"/>
        <v>5.5134982664493681E-2</v>
      </c>
    </row>
    <row r="468" spans="1:20" x14ac:dyDescent="0.25">
      <c r="A468" s="5">
        <v>44125</v>
      </c>
      <c r="B468">
        <v>5.6071</v>
      </c>
      <c r="C468">
        <v>6.1134000000000004</v>
      </c>
      <c r="D468">
        <v>5.5915999999999997</v>
      </c>
      <c r="E468">
        <v>5.7882999999999996</v>
      </c>
      <c r="F468">
        <v>946341.3</v>
      </c>
      <c r="G468">
        <v>0</v>
      </c>
      <c r="L468" t="s">
        <v>8</v>
      </c>
      <c r="M468" t="s">
        <v>7</v>
      </c>
      <c r="N468" t="s">
        <v>7</v>
      </c>
      <c r="P468">
        <f t="shared" si="980"/>
        <v>-0.24607129168263853</v>
      </c>
      <c r="Q468">
        <f t="shared" si="981"/>
        <v>-232867.42606362735</v>
      </c>
      <c r="R468">
        <f t="shared" si="982"/>
        <v>5168178.0037571145</v>
      </c>
      <c r="S468">
        <f t="shared" si="983"/>
        <v>51.681780037571144</v>
      </c>
      <c r="T468">
        <f t="shared" si="984"/>
        <v>5.1681780037571144E-2</v>
      </c>
    </row>
    <row r="469" spans="1:20" x14ac:dyDescent="0.25">
      <c r="A469" s="5">
        <v>44124</v>
      </c>
      <c r="B469">
        <v>6.1212999999999997</v>
      </c>
      <c r="C469">
        <v>6.1295000000000002</v>
      </c>
      <c r="D469">
        <v>5.34</v>
      </c>
      <c r="E469">
        <v>5.6132</v>
      </c>
      <c r="F469">
        <v>1453648.8</v>
      </c>
      <c r="G469">
        <v>0</v>
      </c>
      <c r="L469" t="s">
        <v>7</v>
      </c>
      <c r="M469" t="s">
        <v>7</v>
      </c>
      <c r="N469" t="s">
        <v>7</v>
      </c>
      <c r="P469">
        <f t="shared" si="980"/>
        <v>-0.30791640278657378</v>
      </c>
      <c r="Q469">
        <f t="shared" si="981"/>
        <v>-447602.30941101967</v>
      </c>
      <c r="R469">
        <f t="shared" si="982"/>
        <v>5401045.4298207415</v>
      </c>
      <c r="S469">
        <f t="shared" si="983"/>
        <v>54.010454298207414</v>
      </c>
      <c r="T469">
        <f t="shared" si="984"/>
        <v>5.4010454298207417E-2</v>
      </c>
    </row>
    <row r="470" spans="1:20" x14ac:dyDescent="0.25">
      <c r="A470" s="5">
        <v>44123</v>
      </c>
      <c r="B470">
        <v>6.4939</v>
      </c>
      <c r="C470">
        <v>6.5366</v>
      </c>
      <c r="D470">
        <v>6.0119999999999996</v>
      </c>
      <c r="E470">
        <v>6.1212999999999997</v>
      </c>
      <c r="F470">
        <v>853341.22</v>
      </c>
      <c r="G470">
        <v>0</v>
      </c>
      <c r="L470" t="s">
        <v>7</v>
      </c>
      <c r="M470" t="s">
        <v>7</v>
      </c>
      <c r="N470" t="s">
        <v>8</v>
      </c>
      <c r="P470">
        <f t="shared" si="980"/>
        <v>-0.58330156309569159</v>
      </c>
      <c r="Q470">
        <f t="shared" si="981"/>
        <v>-497755.26747998444</v>
      </c>
      <c r="R470">
        <f t="shared" si="982"/>
        <v>5848647.7392317615</v>
      </c>
      <c r="S470">
        <f t="shared" si="983"/>
        <v>58.486477392317617</v>
      </c>
      <c r="T470">
        <f t="shared" si="984"/>
        <v>5.8486477392317618E-2</v>
      </c>
    </row>
    <row r="471" spans="1:20" x14ac:dyDescent="0.25">
      <c r="A471" s="5">
        <v>44122</v>
      </c>
      <c r="B471">
        <v>6.1357999999999997</v>
      </c>
      <c r="C471">
        <v>6.5696000000000003</v>
      </c>
      <c r="D471">
        <v>6.1059999999999999</v>
      </c>
      <c r="E471">
        <v>6.4961000000000002</v>
      </c>
      <c r="F471">
        <v>605438.51</v>
      </c>
      <c r="G471">
        <v>0</v>
      </c>
      <c r="L471" t="s">
        <v>8</v>
      </c>
      <c r="M471" t="s">
        <v>7</v>
      </c>
      <c r="N471" t="s">
        <v>8</v>
      </c>
      <c r="P471">
        <f t="shared" si="980"/>
        <v>0.68291630716134577</v>
      </c>
      <c r="Q471">
        <f t="shared" si="981"/>
        <v>413463.8314624675</v>
      </c>
      <c r="R471">
        <f t="shared" si="982"/>
        <v>6346403.0067117456</v>
      </c>
      <c r="S471">
        <f t="shared" si="983"/>
        <v>63.464030067117456</v>
      </c>
      <c r="T471">
        <f t="shared" si="984"/>
        <v>6.3464030067117455E-2</v>
      </c>
    </row>
    <row r="472" spans="1:20" x14ac:dyDescent="0.25">
      <c r="A472" s="5">
        <v>44121</v>
      </c>
      <c r="B472">
        <v>6.0157999999999996</v>
      </c>
      <c r="C472">
        <v>6.2267000000000001</v>
      </c>
      <c r="D472">
        <v>5.8701999999999996</v>
      </c>
      <c r="E472">
        <v>6.1448</v>
      </c>
      <c r="F472">
        <v>501197.7</v>
      </c>
      <c r="G472">
        <v>0</v>
      </c>
      <c r="L472" t="s">
        <v>8</v>
      </c>
      <c r="M472" t="s">
        <v>7</v>
      </c>
      <c r="N472" t="s">
        <v>8</v>
      </c>
      <c r="P472">
        <f t="shared" si="980"/>
        <v>0.54053295932678835</v>
      </c>
      <c r="Q472">
        <f t="shared" si="981"/>
        <v>270913.87598877988</v>
      </c>
      <c r="R472">
        <f t="shared" si="982"/>
        <v>5932939.1752492785</v>
      </c>
      <c r="S472">
        <f t="shared" si="983"/>
        <v>59.329391752492782</v>
      </c>
      <c r="T472">
        <f t="shared" si="984"/>
        <v>5.9329391752492786E-2</v>
      </c>
    </row>
    <row r="473" spans="1:20" x14ac:dyDescent="0.25">
      <c r="A473" s="5">
        <v>44120</v>
      </c>
      <c r="B473">
        <v>6.1683000000000003</v>
      </c>
      <c r="C473">
        <v>6.2656999999999998</v>
      </c>
      <c r="D473">
        <v>5.8</v>
      </c>
      <c r="E473">
        <v>6.0076999999999998</v>
      </c>
      <c r="F473">
        <v>1003469.84</v>
      </c>
      <c r="G473">
        <v>0</v>
      </c>
      <c r="L473" t="s">
        <v>7</v>
      </c>
      <c r="M473" t="s">
        <v>7</v>
      </c>
      <c r="N473" t="s">
        <v>8</v>
      </c>
      <c r="P473">
        <f t="shared" si="980"/>
        <v>-0.10800944814258108</v>
      </c>
      <c r="Q473">
        <f t="shared" si="981"/>
        <v>-108384.22364612413</v>
      </c>
      <c r="R473">
        <f t="shared" si="982"/>
        <v>5662025.299260499</v>
      </c>
      <c r="S473">
        <f t="shared" si="983"/>
        <v>56.620252992604989</v>
      </c>
      <c r="T473">
        <f t="shared" si="984"/>
        <v>5.6620252992604987E-2</v>
      </c>
    </row>
    <row r="474" spans="1:20" x14ac:dyDescent="0.25">
      <c r="A474" s="5">
        <v>44119</v>
      </c>
      <c r="B474">
        <v>6.4158999999999997</v>
      </c>
      <c r="C474">
        <v>6.4644000000000004</v>
      </c>
      <c r="D474">
        <v>5.8665000000000003</v>
      </c>
      <c r="E474">
        <v>6.1757999999999997</v>
      </c>
      <c r="F474">
        <v>1306143.6499999999</v>
      </c>
      <c r="G474">
        <v>0</v>
      </c>
      <c r="L474" t="s">
        <v>7</v>
      </c>
      <c r="M474" t="s">
        <v>7</v>
      </c>
      <c r="N474" t="s">
        <v>8</v>
      </c>
      <c r="P474">
        <f t="shared" si="980"/>
        <v>3.4621174109380877E-2</v>
      </c>
      <c r="Q474">
        <f t="shared" si="981"/>
        <v>45220.226718512233</v>
      </c>
      <c r="R474">
        <f t="shared" si="982"/>
        <v>5770409.5229066228</v>
      </c>
      <c r="S474">
        <f t="shared" si="983"/>
        <v>57.704095229066226</v>
      </c>
      <c r="T474">
        <f t="shared" si="984"/>
        <v>5.7704095229066228E-2</v>
      </c>
    </row>
    <row r="475" spans="1:20" x14ac:dyDescent="0.25">
      <c r="A475" s="5">
        <v>44118</v>
      </c>
      <c r="B475">
        <v>6.7038000000000002</v>
      </c>
      <c r="C475">
        <v>6.843</v>
      </c>
      <c r="D475">
        <v>6.2271999999999998</v>
      </c>
      <c r="E475">
        <v>6.4175000000000004</v>
      </c>
      <c r="F475">
        <v>1354991.12</v>
      </c>
      <c r="G475">
        <v>0</v>
      </c>
      <c r="L475" t="s">
        <v>7</v>
      </c>
      <c r="M475" t="s">
        <v>7</v>
      </c>
      <c r="N475" t="s">
        <v>8</v>
      </c>
      <c r="P475">
        <f t="shared" si="980"/>
        <v>-0.38194218902240812</v>
      </c>
      <c r="Q475">
        <f t="shared" si="981"/>
        <v>-517528.27447872452</v>
      </c>
      <c r="R475">
        <f t="shared" si="982"/>
        <v>5725189.2961881105</v>
      </c>
      <c r="S475">
        <f t="shared" si="983"/>
        <v>57.251892961881104</v>
      </c>
      <c r="T475">
        <f t="shared" si="984"/>
        <v>5.7251892961881101E-2</v>
      </c>
    </row>
    <row r="476" spans="1:20" x14ac:dyDescent="0.25">
      <c r="A476" s="5">
        <v>44117</v>
      </c>
      <c r="B476">
        <v>7.0445000000000002</v>
      </c>
      <c r="C476">
        <v>7.5224000000000002</v>
      </c>
      <c r="D476">
        <v>6.4</v>
      </c>
      <c r="E476">
        <v>6.7039</v>
      </c>
      <c r="F476">
        <v>2298465.27</v>
      </c>
      <c r="G476">
        <v>0</v>
      </c>
      <c r="L476" t="s">
        <v>7</v>
      </c>
      <c r="M476" t="s">
        <v>8</v>
      </c>
      <c r="N476" t="s">
        <v>8</v>
      </c>
      <c r="P476">
        <f t="shared" si="980"/>
        <v>-0.45848182466144038</v>
      </c>
      <c r="Q476">
        <f t="shared" si="981"/>
        <v>-1053804.5509105502</v>
      </c>
      <c r="R476">
        <f t="shared" si="982"/>
        <v>6242717.5706668347</v>
      </c>
      <c r="S476">
        <f t="shared" si="983"/>
        <v>62.427175706668351</v>
      </c>
      <c r="T476">
        <f t="shared" si="984"/>
        <v>6.242717570666835E-2</v>
      </c>
    </row>
    <row r="477" spans="1:20" x14ac:dyDescent="0.25">
      <c r="A477" s="5">
        <v>44116</v>
      </c>
      <c r="B477">
        <v>6.9372999999999996</v>
      </c>
      <c r="C477">
        <v>7.5</v>
      </c>
      <c r="D477">
        <v>6.681</v>
      </c>
      <c r="E477">
        <v>7.0445000000000002</v>
      </c>
      <c r="F477">
        <v>2462988.81</v>
      </c>
      <c r="G477">
        <v>0</v>
      </c>
      <c r="L477" t="s">
        <v>8</v>
      </c>
      <c r="M477" t="s">
        <v>8</v>
      </c>
      <c r="N477" t="s">
        <v>8</v>
      </c>
      <c r="P477">
        <f t="shared" si="980"/>
        <v>-0.11233211233211189</v>
      </c>
      <c r="Q477">
        <f t="shared" si="981"/>
        <v>-276672.73567765462</v>
      </c>
      <c r="R477">
        <f t="shared" si="982"/>
        <v>7296522.1215773849</v>
      </c>
      <c r="S477">
        <f t="shared" si="983"/>
        <v>72.965221215773852</v>
      </c>
      <c r="T477">
        <f t="shared" si="984"/>
        <v>7.2965221215773854E-2</v>
      </c>
    </row>
    <row r="478" spans="1:20" x14ac:dyDescent="0.25">
      <c r="A478" s="5">
        <v>44115</v>
      </c>
      <c r="B478">
        <v>6.4124999999999996</v>
      </c>
      <c r="C478">
        <v>6.9955999999999996</v>
      </c>
      <c r="D478">
        <v>6.2</v>
      </c>
      <c r="E478">
        <v>6.9372999999999996</v>
      </c>
      <c r="F478">
        <v>1524768.99</v>
      </c>
      <c r="G478">
        <v>0</v>
      </c>
      <c r="L478" t="s">
        <v>8</v>
      </c>
      <c r="M478" t="s">
        <v>8</v>
      </c>
      <c r="N478" t="s">
        <v>8</v>
      </c>
      <c r="P478">
        <f t="shared" si="980"/>
        <v>0.85344394167923565</v>
      </c>
      <c r="Q478">
        <f t="shared" si="981"/>
        <v>1301304.8569758669</v>
      </c>
      <c r="R478">
        <f t="shared" si="982"/>
        <v>7573194.8572550397</v>
      </c>
      <c r="S478">
        <f t="shared" si="983"/>
        <v>75.731948572550394</v>
      </c>
      <c r="T478">
        <f t="shared" si="984"/>
        <v>7.5731948572550389E-2</v>
      </c>
    </row>
    <row r="479" spans="1:20" x14ac:dyDescent="0.25">
      <c r="A479" s="5">
        <v>44114</v>
      </c>
      <c r="B479">
        <v>6.4002999999999997</v>
      </c>
      <c r="C479">
        <v>6.8320999999999996</v>
      </c>
      <c r="D479">
        <v>6.3094000000000001</v>
      </c>
      <c r="E479">
        <v>6.415</v>
      </c>
      <c r="F479">
        <v>1556288.91</v>
      </c>
      <c r="G479">
        <v>0</v>
      </c>
      <c r="L479" t="s">
        <v>8</v>
      </c>
      <c r="M479" t="s">
        <v>8</v>
      </c>
      <c r="N479" t="s">
        <v>8</v>
      </c>
      <c r="P479">
        <f t="shared" si="980"/>
        <v>-0.59594413621580244</v>
      </c>
      <c r="Q479">
        <f t="shared" si="981"/>
        <v>-927461.25017218268</v>
      </c>
      <c r="R479">
        <f t="shared" si="982"/>
        <v>6271890.0002791723</v>
      </c>
      <c r="S479">
        <f t="shared" si="983"/>
        <v>62.71890000279172</v>
      </c>
      <c r="T479">
        <f t="shared" si="984"/>
        <v>6.2718900002791719E-2</v>
      </c>
    </row>
    <row r="480" spans="1:20" x14ac:dyDescent="0.25">
      <c r="A480" s="5">
        <v>44113</v>
      </c>
      <c r="B480">
        <v>5.6848999999999998</v>
      </c>
      <c r="C480">
        <v>6.5311000000000003</v>
      </c>
      <c r="D480">
        <v>5.5808999999999997</v>
      </c>
      <c r="E480">
        <v>6.4002999999999997</v>
      </c>
      <c r="F480">
        <v>1828017.83</v>
      </c>
      <c r="G480">
        <v>0</v>
      </c>
      <c r="L480" t="s">
        <v>8</v>
      </c>
      <c r="M480" t="s">
        <v>8</v>
      </c>
      <c r="N480" t="s">
        <v>7</v>
      </c>
      <c r="P480">
        <f t="shared" si="980"/>
        <v>0.72468953904441047</v>
      </c>
      <c r="Q480">
        <f t="shared" si="981"/>
        <v>1324745.3985876637</v>
      </c>
      <c r="R480">
        <f t="shared" si="982"/>
        <v>7199351.2504513552</v>
      </c>
      <c r="S480">
        <f t="shared" si="983"/>
        <v>71.993512504513546</v>
      </c>
      <c r="T480">
        <f t="shared" si="984"/>
        <v>7.1993512504513552E-2</v>
      </c>
    </row>
    <row r="481" spans="1:20" x14ac:dyDescent="0.25">
      <c r="A481" s="5">
        <v>44112</v>
      </c>
      <c r="B481">
        <v>5.4640000000000004</v>
      </c>
      <c r="C481">
        <v>5.8715999999999999</v>
      </c>
      <c r="D481">
        <v>5.05</v>
      </c>
      <c r="E481">
        <v>5.6931000000000003</v>
      </c>
      <c r="F481">
        <v>1959952.63</v>
      </c>
      <c r="G481">
        <v>0</v>
      </c>
      <c r="L481" t="s">
        <v>8</v>
      </c>
      <c r="M481" t="s">
        <v>7</v>
      </c>
      <c r="N481" t="s">
        <v>7</v>
      </c>
      <c r="P481">
        <f t="shared" si="980"/>
        <v>0.56548198636806324</v>
      </c>
      <c r="Q481">
        <f t="shared" si="981"/>
        <v>1108317.9063997096</v>
      </c>
      <c r="R481">
        <f t="shared" si="982"/>
        <v>5874605.8518636916</v>
      </c>
      <c r="S481">
        <f t="shared" si="983"/>
        <v>58.746058518636914</v>
      </c>
      <c r="T481">
        <f t="shared" si="984"/>
        <v>5.8746058518636915E-2</v>
      </c>
    </row>
    <row r="482" spans="1:20" x14ac:dyDescent="0.25">
      <c r="A482" s="5">
        <v>44111</v>
      </c>
      <c r="B482">
        <v>5.8575999999999997</v>
      </c>
      <c r="C482">
        <v>5.891</v>
      </c>
      <c r="D482">
        <v>5.0201000000000002</v>
      </c>
      <c r="E482">
        <v>5.4611000000000001</v>
      </c>
      <c r="F482">
        <v>2671197.11</v>
      </c>
      <c r="G482">
        <v>0</v>
      </c>
      <c r="L482" t="s">
        <v>7</v>
      </c>
      <c r="M482" t="s">
        <v>7</v>
      </c>
      <c r="N482" t="s">
        <v>7</v>
      </c>
      <c r="P482">
        <f t="shared" si="980"/>
        <v>1.2745435756114238E-2</v>
      </c>
      <c r="Q482">
        <f t="shared" si="981"/>
        <v>34045.571157423015</v>
      </c>
      <c r="R482">
        <f t="shared" si="982"/>
        <v>4766287.9454639815</v>
      </c>
      <c r="S482">
        <f t="shared" si="983"/>
        <v>47.662879454639814</v>
      </c>
      <c r="T482">
        <f t="shared" si="984"/>
        <v>4.7662879454639817E-2</v>
      </c>
    </row>
    <row r="483" spans="1:20" x14ac:dyDescent="0.25">
      <c r="A483" s="5">
        <v>44110</v>
      </c>
      <c r="B483">
        <v>5.8699000000000003</v>
      </c>
      <c r="C483">
        <v>6.0906000000000002</v>
      </c>
      <c r="D483">
        <v>5.85</v>
      </c>
      <c r="E483">
        <v>5.8616000000000001</v>
      </c>
      <c r="F483">
        <v>1959603.3</v>
      </c>
      <c r="G483">
        <v>0</v>
      </c>
      <c r="L483" t="s">
        <v>7</v>
      </c>
      <c r="M483" t="s">
        <v>7</v>
      </c>
      <c r="N483" t="s">
        <v>7</v>
      </c>
      <c r="P483">
        <f t="shared" si="980"/>
        <v>-0.90357439733997946</v>
      </c>
      <c r="Q483">
        <f t="shared" si="981"/>
        <v>-1770647.3708229351</v>
      </c>
      <c r="R483">
        <f t="shared" si="982"/>
        <v>4732242.3743065586</v>
      </c>
      <c r="S483">
        <f t="shared" si="983"/>
        <v>47.322423743065585</v>
      </c>
      <c r="T483">
        <f t="shared" si="984"/>
        <v>4.7322423743065584E-2</v>
      </c>
    </row>
    <row r="484" spans="1:20" x14ac:dyDescent="0.25">
      <c r="A484" s="5">
        <v>44109</v>
      </c>
      <c r="B484">
        <v>5.9962</v>
      </c>
      <c r="C484">
        <v>6.0843999999999996</v>
      </c>
      <c r="D484">
        <v>5.72</v>
      </c>
      <c r="E484">
        <v>5.8677999999999999</v>
      </c>
      <c r="F484">
        <v>690725.2</v>
      </c>
      <c r="G484">
        <v>0</v>
      </c>
      <c r="L484" t="s">
        <v>7</v>
      </c>
      <c r="M484" t="s">
        <v>7</v>
      </c>
      <c r="N484" t="s">
        <v>7</v>
      </c>
      <c r="P484">
        <f t="shared" si="980"/>
        <v>-0.18880351262348946</v>
      </c>
      <c r="Q484">
        <f t="shared" si="981"/>
        <v>-130411.34401756227</v>
      </c>
      <c r="R484">
        <f t="shared" si="982"/>
        <v>6502889.745129494</v>
      </c>
      <c r="S484">
        <f t="shared" si="983"/>
        <v>65.028897451294938</v>
      </c>
      <c r="T484">
        <f t="shared" si="984"/>
        <v>6.5028897451294934E-2</v>
      </c>
    </row>
    <row r="485" spans="1:20" x14ac:dyDescent="0.25">
      <c r="A485" s="5">
        <v>44108</v>
      </c>
      <c r="B485">
        <v>5.9755000000000003</v>
      </c>
      <c r="C485">
        <v>6.0552999999999999</v>
      </c>
      <c r="D485">
        <v>5.7333999999999996</v>
      </c>
      <c r="E485">
        <v>5.9965999999999999</v>
      </c>
      <c r="F485">
        <v>788682.34</v>
      </c>
      <c r="G485">
        <v>0</v>
      </c>
      <c r="L485" t="s">
        <v>7</v>
      </c>
      <c r="M485" t="s">
        <v>7</v>
      </c>
      <c r="N485" t="s">
        <v>7</v>
      </c>
      <c r="P485">
        <f t="shared" si="980"/>
        <v>0.63529046287667024</v>
      </c>
      <c r="Q485">
        <f t="shared" si="981"/>
        <v>501042.36884125537</v>
      </c>
      <c r="R485">
        <f t="shared" si="982"/>
        <v>6633301.0891470565</v>
      </c>
      <c r="S485">
        <f t="shared" si="983"/>
        <v>66.333010891470565</v>
      </c>
      <c r="T485">
        <f t="shared" si="984"/>
        <v>6.6333010891470562E-2</v>
      </c>
    </row>
    <row r="486" spans="1:20" x14ac:dyDescent="0.25">
      <c r="A486" s="5">
        <v>44107</v>
      </c>
      <c r="B486">
        <v>6.0377999999999998</v>
      </c>
      <c r="C486">
        <v>6.2249999999999996</v>
      </c>
      <c r="D486">
        <v>5.9035000000000002</v>
      </c>
      <c r="E486">
        <v>5.9802999999999997</v>
      </c>
      <c r="F486">
        <v>679324.15</v>
      </c>
      <c r="G486">
        <v>0</v>
      </c>
      <c r="L486" t="s">
        <v>8</v>
      </c>
      <c r="M486" t="s">
        <v>7</v>
      </c>
      <c r="N486" t="s">
        <v>7</v>
      </c>
      <c r="P486">
        <f t="shared" si="980"/>
        <v>-0.52223950233281702</v>
      </c>
      <c r="Q486">
        <f t="shared" si="981"/>
        <v>-354769.90601866395</v>
      </c>
      <c r="R486">
        <f t="shared" si="982"/>
        <v>6132258.7203058014</v>
      </c>
      <c r="S486">
        <f t="shared" si="983"/>
        <v>61.322587203058013</v>
      </c>
      <c r="T486">
        <f t="shared" si="984"/>
        <v>6.1322587203058013E-2</v>
      </c>
    </row>
    <row r="487" spans="1:20" x14ac:dyDescent="0.25">
      <c r="A487" s="5">
        <v>44106</v>
      </c>
      <c r="B487">
        <v>6.4120999999999997</v>
      </c>
      <c r="C487">
        <v>6.7653999999999996</v>
      </c>
      <c r="D487">
        <v>5.69</v>
      </c>
      <c r="E487">
        <v>6.0471000000000004</v>
      </c>
      <c r="F487">
        <v>1524435.85</v>
      </c>
      <c r="G487">
        <v>0</v>
      </c>
      <c r="L487" t="s">
        <v>7</v>
      </c>
      <c r="M487" t="s">
        <v>7</v>
      </c>
      <c r="N487" t="s">
        <v>7</v>
      </c>
      <c r="P487">
        <f t="shared" si="980"/>
        <v>-0.33587502324716345</v>
      </c>
      <c r="Q487">
        <f t="shared" si="981"/>
        <v>-512019.9265575594</v>
      </c>
      <c r="R487">
        <f t="shared" si="982"/>
        <v>6487028.6263244655</v>
      </c>
      <c r="S487">
        <f t="shared" si="983"/>
        <v>64.870286263244651</v>
      </c>
      <c r="T487">
        <f t="shared" si="984"/>
        <v>6.4870286263244648E-2</v>
      </c>
    </row>
    <row r="488" spans="1:20" x14ac:dyDescent="0.25">
      <c r="A488" s="5">
        <v>44105</v>
      </c>
      <c r="B488">
        <v>6.4922000000000004</v>
      </c>
      <c r="C488">
        <v>7.0995999999999997</v>
      </c>
      <c r="D488">
        <v>6.1123000000000003</v>
      </c>
      <c r="E488">
        <v>6.4226000000000001</v>
      </c>
      <c r="F488">
        <v>1993193.96</v>
      </c>
      <c r="G488">
        <v>0</v>
      </c>
      <c r="L488" t="s">
        <v>8</v>
      </c>
      <c r="M488" t="s">
        <v>8</v>
      </c>
      <c r="N488" t="s">
        <v>7</v>
      </c>
      <c r="P488">
        <f t="shared" si="980"/>
        <v>-0.37141699584726023</v>
      </c>
      <c r="Q488">
        <f t="shared" si="981"/>
        <v>-740306.11276410415</v>
      </c>
      <c r="R488">
        <f t="shared" si="982"/>
        <v>6999048.552882025</v>
      </c>
      <c r="S488">
        <f t="shared" si="983"/>
        <v>69.990485528820244</v>
      </c>
      <c r="T488">
        <f t="shared" si="984"/>
        <v>6.9990485528820243E-2</v>
      </c>
    </row>
    <row r="489" spans="1:20" x14ac:dyDescent="0.25">
      <c r="A489" s="5">
        <v>44104</v>
      </c>
      <c r="B489">
        <v>6.6868999999999996</v>
      </c>
      <c r="C489">
        <v>6.7</v>
      </c>
      <c r="D489">
        <v>6.3079000000000001</v>
      </c>
      <c r="E489">
        <v>6.49</v>
      </c>
      <c r="F489">
        <v>917299.16</v>
      </c>
      <c r="G489">
        <v>0</v>
      </c>
      <c r="L489" t="s">
        <v>8</v>
      </c>
      <c r="M489" t="s">
        <v>8</v>
      </c>
      <c r="N489" t="s">
        <v>7</v>
      </c>
      <c r="P489">
        <f t="shared" si="980"/>
        <v>-7.1155317521040054E-2</v>
      </c>
      <c r="Q489">
        <f t="shared" si="981"/>
        <v>-65270.712991583328</v>
      </c>
      <c r="R489">
        <f t="shared" si="982"/>
        <v>7739354.6656461293</v>
      </c>
      <c r="S489">
        <f t="shared" si="983"/>
        <v>77.393546656461297</v>
      </c>
      <c r="T489">
        <f t="shared" si="984"/>
        <v>7.7393546656461296E-2</v>
      </c>
    </row>
    <row r="490" spans="1:20" x14ac:dyDescent="0.25">
      <c r="A490" s="5">
        <v>44103</v>
      </c>
      <c r="B490">
        <v>6.5030999999999999</v>
      </c>
      <c r="C490">
        <v>6.9928999999999997</v>
      </c>
      <c r="D490">
        <v>6.2267999999999999</v>
      </c>
      <c r="E490">
        <v>6.6874000000000002</v>
      </c>
      <c r="F490">
        <v>2196919.67</v>
      </c>
      <c r="G490">
        <v>0</v>
      </c>
      <c r="L490" t="s">
        <v>7</v>
      </c>
      <c r="M490" t="s">
        <v>8</v>
      </c>
      <c r="N490" t="s">
        <v>7</v>
      </c>
      <c r="P490">
        <f t="shared" si="980"/>
        <v>0.2024539877300626</v>
      </c>
      <c r="Q490">
        <f t="shared" si="981"/>
        <v>444775.14791411313</v>
      </c>
      <c r="R490">
        <f t="shared" si="982"/>
        <v>7804625.3786377124</v>
      </c>
      <c r="S490">
        <f t="shared" si="983"/>
        <v>78.046253786377122</v>
      </c>
      <c r="T490">
        <f t="shared" si="984"/>
        <v>7.8046253786377126E-2</v>
      </c>
    </row>
    <row r="491" spans="1:20" x14ac:dyDescent="0.25">
      <c r="A491" s="5">
        <v>44102</v>
      </c>
      <c r="B491">
        <v>6.49</v>
      </c>
      <c r="C491">
        <v>7.09</v>
      </c>
      <c r="D491">
        <v>6.4</v>
      </c>
      <c r="E491">
        <v>6.5162000000000004</v>
      </c>
      <c r="F491">
        <v>1746836.01</v>
      </c>
      <c r="G491">
        <v>0</v>
      </c>
      <c r="L491" t="s">
        <v>8</v>
      </c>
      <c r="M491" t="s">
        <v>8</v>
      </c>
      <c r="N491" t="s">
        <v>7</v>
      </c>
      <c r="P491">
        <f t="shared" si="980"/>
        <v>-0.66318840579710092</v>
      </c>
      <c r="Q491">
        <f t="shared" si="981"/>
        <v>-1158481.3886608686</v>
      </c>
      <c r="R491">
        <f t="shared" si="982"/>
        <v>7359850.230723599</v>
      </c>
      <c r="S491">
        <f t="shared" si="983"/>
        <v>73.598502307235989</v>
      </c>
      <c r="T491">
        <f t="shared" si="984"/>
        <v>7.3598502307235983E-2</v>
      </c>
    </row>
    <row r="492" spans="1:20" x14ac:dyDescent="0.25">
      <c r="A492" s="5">
        <v>44101</v>
      </c>
      <c r="B492">
        <v>6.9393000000000002</v>
      </c>
      <c r="C492">
        <v>7.2435</v>
      </c>
      <c r="D492">
        <v>6.22</v>
      </c>
      <c r="E492">
        <v>6.4901</v>
      </c>
      <c r="F492">
        <v>1895277.1</v>
      </c>
      <c r="G492">
        <v>0</v>
      </c>
      <c r="L492" t="s">
        <v>7</v>
      </c>
      <c r="M492" t="s">
        <v>8</v>
      </c>
      <c r="N492" t="s">
        <v>7</v>
      </c>
      <c r="P492">
        <f t="shared" si="980"/>
        <v>-0.47220322423058103</v>
      </c>
      <c r="Q492">
        <f t="shared" si="981"/>
        <v>-894955.9574303854</v>
      </c>
      <c r="R492">
        <f t="shared" si="982"/>
        <v>8518331.6193844676</v>
      </c>
      <c r="S492">
        <f t="shared" si="983"/>
        <v>85.183316193844675</v>
      </c>
      <c r="T492">
        <f t="shared" si="984"/>
        <v>8.5183316193844671E-2</v>
      </c>
    </row>
    <row r="493" spans="1:20" x14ac:dyDescent="0.25">
      <c r="A493" s="5">
        <v>44100</v>
      </c>
      <c r="B493">
        <v>7.0080999999999998</v>
      </c>
      <c r="C493">
        <v>7.3505000000000003</v>
      </c>
      <c r="D493">
        <v>6.8346999999999998</v>
      </c>
      <c r="E493">
        <v>6.9509999999999996</v>
      </c>
      <c r="F493">
        <v>1100643.83</v>
      </c>
      <c r="G493">
        <v>0</v>
      </c>
      <c r="L493" t="s">
        <v>8</v>
      </c>
      <c r="M493" t="s">
        <v>8</v>
      </c>
      <c r="N493" t="s">
        <v>7</v>
      </c>
      <c r="P493">
        <f t="shared" si="980"/>
        <v>-0.54905001938736042</v>
      </c>
      <c r="Q493">
        <f t="shared" si="981"/>
        <v>-604308.51620007865</v>
      </c>
      <c r="R493">
        <f t="shared" si="982"/>
        <v>9413287.5768148527</v>
      </c>
      <c r="S493">
        <f t="shared" si="983"/>
        <v>94.132875768148523</v>
      </c>
      <c r="T493">
        <f t="shared" si="984"/>
        <v>9.4132875768148522E-2</v>
      </c>
    </row>
    <row r="494" spans="1:20" x14ac:dyDescent="0.25">
      <c r="A494" s="5">
        <v>44099</v>
      </c>
      <c r="B494">
        <v>6.6112000000000002</v>
      </c>
      <c r="C494">
        <v>7.3369999999999997</v>
      </c>
      <c r="D494">
        <v>6.2915999999999999</v>
      </c>
      <c r="E494">
        <v>7.0080999999999998</v>
      </c>
      <c r="F494">
        <v>1899058.61</v>
      </c>
      <c r="G494">
        <v>0</v>
      </c>
      <c r="L494" t="s">
        <v>8</v>
      </c>
      <c r="M494" t="s">
        <v>8</v>
      </c>
      <c r="N494" t="s">
        <v>7</v>
      </c>
      <c r="P494">
        <f t="shared" si="980"/>
        <v>0.3707671704610675</v>
      </c>
      <c r="Q494">
        <f t="shared" si="981"/>
        <v>704108.5873694279</v>
      </c>
      <c r="R494">
        <f t="shared" si="982"/>
        <v>10017596.093014931</v>
      </c>
      <c r="S494">
        <f t="shared" si="983"/>
        <v>100.17596093014932</v>
      </c>
      <c r="T494">
        <f t="shared" si="984"/>
        <v>0.10017596093014931</v>
      </c>
    </row>
    <row r="495" spans="1:20" x14ac:dyDescent="0.25">
      <c r="A495" s="5">
        <v>44098</v>
      </c>
      <c r="B495">
        <v>5.7259000000000002</v>
      </c>
      <c r="C495">
        <v>6.95</v>
      </c>
      <c r="D495">
        <v>5.6898</v>
      </c>
      <c r="E495">
        <v>6.6060999999999996</v>
      </c>
      <c r="F495">
        <v>1815979.67</v>
      </c>
      <c r="G495">
        <v>0</v>
      </c>
      <c r="L495" t="s">
        <v>8</v>
      </c>
      <c r="M495" t="s">
        <v>8</v>
      </c>
      <c r="N495" t="s">
        <v>7</v>
      </c>
      <c r="P495">
        <f t="shared" si="980"/>
        <v>0.45421361688620776</v>
      </c>
      <c r="Q495">
        <f t="shared" si="981"/>
        <v>824842.69410252199</v>
      </c>
      <c r="R495">
        <f t="shared" si="982"/>
        <v>9313487.5056455042</v>
      </c>
      <c r="S495">
        <f t="shared" si="983"/>
        <v>93.134875056455044</v>
      </c>
      <c r="T495">
        <f t="shared" si="984"/>
        <v>9.3134875056455041E-2</v>
      </c>
    </row>
    <row r="496" spans="1:20" x14ac:dyDescent="0.25">
      <c r="A496" s="5">
        <v>44097</v>
      </c>
      <c r="B496">
        <v>6.1931000000000003</v>
      </c>
      <c r="C496">
        <v>6.5</v>
      </c>
      <c r="D496">
        <v>5.62</v>
      </c>
      <c r="E496">
        <v>5.7319000000000004</v>
      </c>
      <c r="F496">
        <v>1414715.17</v>
      </c>
      <c r="G496">
        <v>0</v>
      </c>
      <c r="L496" t="s">
        <v>8</v>
      </c>
      <c r="M496" t="s">
        <v>7</v>
      </c>
      <c r="N496" t="s">
        <v>7</v>
      </c>
      <c r="P496">
        <f t="shared" si="980"/>
        <v>-0.74568181818181745</v>
      </c>
      <c r="Q496">
        <f t="shared" si="981"/>
        <v>-1054927.3801749989</v>
      </c>
      <c r="R496">
        <f t="shared" si="982"/>
        <v>8488644.8115429822</v>
      </c>
      <c r="S496">
        <f t="shared" si="983"/>
        <v>84.886448115429829</v>
      </c>
      <c r="T496">
        <f t="shared" si="984"/>
        <v>8.4886448115429836E-2</v>
      </c>
    </row>
    <row r="497" spans="1:20" x14ac:dyDescent="0.25">
      <c r="A497" s="5">
        <v>44096</v>
      </c>
      <c r="B497">
        <v>5.9267000000000003</v>
      </c>
      <c r="C497">
        <v>6.3303000000000003</v>
      </c>
      <c r="D497">
        <v>5.6841999999999997</v>
      </c>
      <c r="E497">
        <v>6.1931000000000003</v>
      </c>
      <c r="F497">
        <v>1291796.92</v>
      </c>
      <c r="G497">
        <v>0</v>
      </c>
      <c r="L497" t="s">
        <v>8</v>
      </c>
      <c r="M497" t="s">
        <v>7</v>
      </c>
      <c r="N497" t="s">
        <v>7</v>
      </c>
      <c r="P497">
        <f t="shared" si="980"/>
        <v>0.57529794149512503</v>
      </c>
      <c r="Q497">
        <f t="shared" si="981"/>
        <v>743168.10890574264</v>
      </c>
      <c r="R497">
        <f t="shared" si="982"/>
        <v>9543572.1917179804</v>
      </c>
      <c r="S497">
        <f t="shared" si="983"/>
        <v>95.435721917179805</v>
      </c>
      <c r="T497">
        <f t="shared" si="984"/>
        <v>9.5435721917179805E-2</v>
      </c>
    </row>
    <row r="498" spans="1:20" x14ac:dyDescent="0.25">
      <c r="A498" s="5">
        <v>44095</v>
      </c>
      <c r="B498">
        <v>6.5979999999999999</v>
      </c>
      <c r="C498">
        <v>6.8</v>
      </c>
      <c r="D498">
        <v>5.5442999999999998</v>
      </c>
      <c r="E498">
        <v>5.9082999999999997</v>
      </c>
      <c r="F498">
        <v>2624425.8199999998</v>
      </c>
      <c r="G498">
        <v>0</v>
      </c>
      <c r="L498" t="s">
        <v>7</v>
      </c>
      <c r="M498" t="s">
        <v>7</v>
      </c>
      <c r="N498" t="s">
        <v>7</v>
      </c>
      <c r="P498">
        <f t="shared" si="980"/>
        <v>-0.42024368877916723</v>
      </c>
      <c r="Q498">
        <f t="shared" si="981"/>
        <v>-1102898.3875240907</v>
      </c>
      <c r="R498">
        <f t="shared" si="982"/>
        <v>8800404.0828122385</v>
      </c>
      <c r="S498">
        <f t="shared" si="983"/>
        <v>88.004040828122385</v>
      </c>
      <c r="T498">
        <f t="shared" si="984"/>
        <v>8.8004040828122382E-2</v>
      </c>
    </row>
    <row r="499" spans="1:20" x14ac:dyDescent="0.25">
      <c r="A499" s="5">
        <v>44094</v>
      </c>
      <c r="B499">
        <v>7.0871000000000004</v>
      </c>
      <c r="C499">
        <v>7.3597000000000001</v>
      </c>
      <c r="D499">
        <v>6.5</v>
      </c>
      <c r="E499">
        <v>6.5869</v>
      </c>
      <c r="F499">
        <v>2630025.1800000002</v>
      </c>
      <c r="G499">
        <v>0</v>
      </c>
      <c r="L499" t="s">
        <v>7</v>
      </c>
      <c r="M499" t="s">
        <v>8</v>
      </c>
      <c r="N499" t="s">
        <v>7</v>
      </c>
      <c r="P499">
        <f t="shared" si="980"/>
        <v>-0.79783645457717822</v>
      </c>
      <c r="Q499">
        <f t="shared" si="981"/>
        <v>-2098329.9650599053</v>
      </c>
      <c r="R499">
        <f t="shared" si="982"/>
        <v>9903302.4703363292</v>
      </c>
      <c r="S499">
        <f t="shared" si="983"/>
        <v>99.033024703363296</v>
      </c>
      <c r="T499">
        <f t="shared" si="984"/>
        <v>9.9033024703363295E-2</v>
      </c>
    </row>
    <row r="500" spans="1:20" x14ac:dyDescent="0.25">
      <c r="A500" s="5">
        <v>44093</v>
      </c>
      <c r="B500">
        <v>6.0726000000000004</v>
      </c>
      <c r="C500">
        <v>7.2651000000000003</v>
      </c>
      <c r="D500">
        <v>5.78</v>
      </c>
      <c r="E500">
        <v>7.0871000000000004</v>
      </c>
      <c r="F500">
        <v>3637739.54</v>
      </c>
      <c r="G500">
        <v>0</v>
      </c>
      <c r="L500" t="s">
        <v>8</v>
      </c>
      <c r="M500" t="s">
        <v>8</v>
      </c>
      <c r="N500" t="s">
        <v>7</v>
      </c>
      <c r="P500">
        <f t="shared" si="980"/>
        <v>0.7602855026597537</v>
      </c>
      <c r="Q500">
        <f t="shared" si="981"/>
        <v>2765720.634714161</v>
      </c>
      <c r="R500">
        <f t="shared" si="982"/>
        <v>12001632.435396235</v>
      </c>
      <c r="S500">
        <f t="shared" si="983"/>
        <v>120.01632435396236</v>
      </c>
      <c r="T500">
        <f t="shared" si="984"/>
        <v>0.12001632435396237</v>
      </c>
    </row>
    <row r="501" spans="1:20" x14ac:dyDescent="0.25">
      <c r="A501" s="5">
        <v>44092</v>
      </c>
      <c r="B501">
        <v>6.6017000000000001</v>
      </c>
      <c r="C501">
        <v>6.9</v>
      </c>
      <c r="D501">
        <v>5.7813999999999997</v>
      </c>
      <c r="E501">
        <v>6.0683999999999996</v>
      </c>
      <c r="F501">
        <v>2836845.74</v>
      </c>
      <c r="G501">
        <v>0</v>
      </c>
      <c r="L501" t="s">
        <v>7</v>
      </c>
      <c r="M501" t="s">
        <v>7</v>
      </c>
      <c r="N501" t="s">
        <v>7</v>
      </c>
      <c r="P501">
        <f t="shared" si="980"/>
        <v>-0.4868585732165211</v>
      </c>
      <c r="Q501">
        <f t="shared" si="981"/>
        <v>-1381142.6694117661</v>
      </c>
      <c r="R501">
        <f t="shared" si="982"/>
        <v>9235911.8006820753</v>
      </c>
      <c r="S501">
        <f t="shared" si="983"/>
        <v>92.359118006820751</v>
      </c>
      <c r="T501">
        <f t="shared" si="984"/>
        <v>9.2359118006820756E-2</v>
      </c>
    </row>
    <row r="502" spans="1:20" x14ac:dyDescent="0.25">
      <c r="A502" s="5">
        <v>44091</v>
      </c>
      <c r="B502">
        <v>7.0724</v>
      </c>
      <c r="C502">
        <v>7.5355999999999996</v>
      </c>
      <c r="D502">
        <v>6.5631000000000004</v>
      </c>
      <c r="E502">
        <v>6.6071999999999997</v>
      </c>
      <c r="F502">
        <v>1361723.3</v>
      </c>
      <c r="G502">
        <v>0</v>
      </c>
      <c r="L502" t="s">
        <v>7</v>
      </c>
      <c r="M502" t="s">
        <v>7</v>
      </c>
      <c r="N502" t="s">
        <v>7</v>
      </c>
      <c r="P502">
        <f t="shared" si="980"/>
        <v>-0.90930591259640225</v>
      </c>
      <c r="Q502">
        <f t="shared" si="981"/>
        <v>-1238223.0480102845</v>
      </c>
      <c r="R502">
        <f t="shared" si="982"/>
        <v>10617054.470093841</v>
      </c>
      <c r="S502">
        <f t="shared" si="983"/>
        <v>106.17054470093841</v>
      </c>
      <c r="T502">
        <f t="shared" si="984"/>
        <v>0.10617054470093841</v>
      </c>
    </row>
    <row r="503" spans="1:20" x14ac:dyDescent="0.25">
      <c r="A503" s="5">
        <v>44090</v>
      </c>
      <c r="B503">
        <v>7.4249999999999998</v>
      </c>
      <c r="C503">
        <v>7.4680999999999997</v>
      </c>
      <c r="D503">
        <v>6.9081000000000001</v>
      </c>
      <c r="E503">
        <v>7.0640000000000001</v>
      </c>
      <c r="F503">
        <v>1461649.43</v>
      </c>
      <c r="G503">
        <v>0</v>
      </c>
      <c r="L503" t="s">
        <v>7</v>
      </c>
      <c r="M503" t="s">
        <v>7</v>
      </c>
      <c r="N503" t="s">
        <v>7</v>
      </c>
      <c r="P503">
        <f t="shared" si="980"/>
        <v>-0.44321428571428556</v>
      </c>
      <c r="Q503">
        <f t="shared" si="981"/>
        <v>-647823.90808214259</v>
      </c>
      <c r="R503">
        <f t="shared" si="982"/>
        <v>11855277.518104125</v>
      </c>
      <c r="S503">
        <f t="shared" si="983"/>
        <v>118.55277518104124</v>
      </c>
      <c r="T503">
        <f t="shared" si="984"/>
        <v>0.11855277518104124</v>
      </c>
    </row>
    <row r="504" spans="1:20" x14ac:dyDescent="0.25">
      <c r="A504" s="5">
        <v>44089</v>
      </c>
      <c r="B504">
        <v>8.2004000000000001</v>
      </c>
      <c r="C504">
        <v>8.3764000000000003</v>
      </c>
      <c r="D504">
        <v>7.2685000000000004</v>
      </c>
      <c r="E504">
        <v>7.431</v>
      </c>
      <c r="F504">
        <v>1914593.53</v>
      </c>
      <c r="G504">
        <v>0</v>
      </c>
      <c r="L504" t="s">
        <v>7</v>
      </c>
      <c r="M504" t="s">
        <v>7</v>
      </c>
      <c r="N504" t="s">
        <v>7</v>
      </c>
      <c r="P504">
        <f t="shared" si="980"/>
        <v>-0.70665222493004842</v>
      </c>
      <c r="Q504">
        <f t="shared" si="981"/>
        <v>-1352951.7778111754</v>
      </c>
      <c r="R504">
        <f t="shared" si="982"/>
        <v>12503101.426186267</v>
      </c>
      <c r="S504">
        <f t="shared" si="983"/>
        <v>125.03101426186268</v>
      </c>
      <c r="T504">
        <f t="shared" si="984"/>
        <v>0.12503101426186267</v>
      </c>
    </row>
    <row r="505" spans="1:20" x14ac:dyDescent="0.25">
      <c r="A505" s="5">
        <v>44088</v>
      </c>
      <c r="B505">
        <v>8.6095000000000006</v>
      </c>
      <c r="C505">
        <v>8.68</v>
      </c>
      <c r="D505">
        <v>7.9314999999999998</v>
      </c>
      <c r="E505">
        <v>8.2002000000000006</v>
      </c>
      <c r="F505">
        <v>1645399.8</v>
      </c>
      <c r="G505">
        <v>0</v>
      </c>
      <c r="L505" t="s">
        <v>7</v>
      </c>
      <c r="M505" t="s">
        <v>7</v>
      </c>
      <c r="N505" t="s">
        <v>8</v>
      </c>
      <c r="P505">
        <f t="shared" si="980"/>
        <v>-0.28203072812291025</v>
      </c>
      <c r="Q505">
        <f t="shared" si="981"/>
        <v>-464053.30364729092</v>
      </c>
      <c r="R505">
        <f t="shared" si="982"/>
        <v>13856053.203997442</v>
      </c>
      <c r="S505">
        <f t="shared" si="983"/>
        <v>138.56053203997442</v>
      </c>
      <c r="T505">
        <f t="shared" si="984"/>
        <v>0.13856053203997443</v>
      </c>
    </row>
    <row r="506" spans="1:20" x14ac:dyDescent="0.25">
      <c r="A506" s="5">
        <v>44087</v>
      </c>
      <c r="B506">
        <v>9.0235000000000003</v>
      </c>
      <c r="C506">
        <v>9.5469000000000008</v>
      </c>
      <c r="D506">
        <v>8.1556999999999995</v>
      </c>
      <c r="E506">
        <v>8.6079000000000008</v>
      </c>
      <c r="F506">
        <v>1858303.77</v>
      </c>
      <c r="G506">
        <v>0</v>
      </c>
      <c r="L506" t="s">
        <v>8</v>
      </c>
      <c r="M506" t="s">
        <v>8</v>
      </c>
      <c r="N506" t="s">
        <v>8</v>
      </c>
      <c r="P506">
        <f t="shared" si="980"/>
        <v>-0.3499137435307636</v>
      </c>
      <c r="Q506">
        <f t="shared" si="981"/>
        <v>-650246.02877803112</v>
      </c>
      <c r="R506">
        <f t="shared" si="982"/>
        <v>14320106.507644733</v>
      </c>
      <c r="S506">
        <f t="shared" si="983"/>
        <v>143.20106507644732</v>
      </c>
      <c r="T506">
        <f t="shared" si="984"/>
        <v>0.14320106507644731</v>
      </c>
    </row>
    <row r="507" spans="1:20" x14ac:dyDescent="0.25">
      <c r="A507" s="5">
        <v>44086</v>
      </c>
      <c r="B507">
        <v>8.8329000000000004</v>
      </c>
      <c r="C507">
        <v>9.3170000000000002</v>
      </c>
      <c r="D507">
        <v>8.66</v>
      </c>
      <c r="E507">
        <v>8.9999000000000002</v>
      </c>
      <c r="F507">
        <v>1700327.39</v>
      </c>
      <c r="G507">
        <v>0</v>
      </c>
      <c r="L507" t="s">
        <v>8</v>
      </c>
      <c r="M507" t="s">
        <v>7</v>
      </c>
      <c r="N507" t="s">
        <v>8</v>
      </c>
      <c r="P507">
        <f t="shared" si="980"/>
        <v>3.4703196347032193E-2</v>
      </c>
      <c r="Q507">
        <f t="shared" si="981"/>
        <v>59006.795269406779</v>
      </c>
      <c r="R507">
        <f t="shared" si="982"/>
        <v>14970352.536422765</v>
      </c>
      <c r="S507">
        <f t="shared" si="983"/>
        <v>149.70352536422766</v>
      </c>
      <c r="T507">
        <f t="shared" si="984"/>
        <v>0.14970352536422765</v>
      </c>
    </row>
    <row r="508" spans="1:20" x14ac:dyDescent="0.25">
      <c r="A508" s="5">
        <v>44085</v>
      </c>
      <c r="B508">
        <v>8.8282000000000007</v>
      </c>
      <c r="C508">
        <v>9.1</v>
      </c>
      <c r="D508">
        <v>8.3241999999999994</v>
      </c>
      <c r="E508">
        <v>8.8206000000000007</v>
      </c>
      <c r="F508">
        <v>1622166.17</v>
      </c>
      <c r="G508">
        <v>0</v>
      </c>
      <c r="L508" t="s">
        <v>7</v>
      </c>
      <c r="M508" t="s">
        <v>7</v>
      </c>
      <c r="N508" t="s">
        <v>8</v>
      </c>
      <c r="P508">
        <f t="shared" si="980"/>
        <v>0.27971126579015498</v>
      </c>
      <c r="Q508">
        <f t="shared" si="981"/>
        <v>453738.15273266769</v>
      </c>
      <c r="R508">
        <f t="shared" si="982"/>
        <v>14911345.741153358</v>
      </c>
      <c r="S508">
        <f t="shared" si="983"/>
        <v>149.11345741153357</v>
      </c>
      <c r="T508">
        <f t="shared" si="984"/>
        <v>0.14911345741153356</v>
      </c>
    </row>
    <row r="509" spans="1:20" x14ac:dyDescent="0.25">
      <c r="A509" s="5">
        <v>44084</v>
      </c>
      <c r="B509">
        <v>8.7851999999999997</v>
      </c>
      <c r="C509">
        <v>9.4337</v>
      </c>
      <c r="D509">
        <v>8.5547000000000004</v>
      </c>
      <c r="E509">
        <v>8.8284000000000002</v>
      </c>
      <c r="F509">
        <v>2013649.62</v>
      </c>
      <c r="G509">
        <v>0</v>
      </c>
      <c r="L509" t="s">
        <v>8</v>
      </c>
      <c r="M509" t="s">
        <v>7</v>
      </c>
      <c r="N509" t="s">
        <v>8</v>
      </c>
      <c r="P509">
        <f t="shared" si="980"/>
        <v>-0.37724687144482372</v>
      </c>
      <c r="Q509">
        <f t="shared" si="981"/>
        <v>-759643.01933105814</v>
      </c>
      <c r="R509">
        <f t="shared" si="982"/>
        <v>14457607.588420689</v>
      </c>
      <c r="S509">
        <f t="shared" si="983"/>
        <v>144.57607588420689</v>
      </c>
      <c r="T509">
        <f t="shared" si="984"/>
        <v>0.1445760758842069</v>
      </c>
    </row>
    <row r="510" spans="1:20" x14ac:dyDescent="0.25">
      <c r="A510" s="5">
        <v>44083</v>
      </c>
      <c r="B510">
        <v>8.5030000000000001</v>
      </c>
      <c r="C510">
        <v>9.1999999999999993</v>
      </c>
      <c r="D510">
        <v>7.9</v>
      </c>
      <c r="E510">
        <v>8.7705000000000002</v>
      </c>
      <c r="F510">
        <v>1768614.62</v>
      </c>
      <c r="G510">
        <v>0</v>
      </c>
      <c r="L510" t="s">
        <v>7</v>
      </c>
      <c r="M510" t="s">
        <v>7</v>
      </c>
      <c r="N510" t="s">
        <v>8</v>
      </c>
      <c r="P510">
        <f t="shared" si="980"/>
        <v>0.33923076923077006</v>
      </c>
      <c r="Q510">
        <f t="shared" si="981"/>
        <v>599968.49801538617</v>
      </c>
      <c r="R510">
        <f t="shared" si="982"/>
        <v>15217250.607751748</v>
      </c>
      <c r="S510">
        <f t="shared" si="983"/>
        <v>152.17250607751748</v>
      </c>
      <c r="T510">
        <f t="shared" si="984"/>
        <v>0.15217250607751748</v>
      </c>
    </row>
    <row r="511" spans="1:20" x14ac:dyDescent="0.25">
      <c r="A511" s="5">
        <v>44082</v>
      </c>
      <c r="B511">
        <v>9.3467000000000002</v>
      </c>
      <c r="C511">
        <v>9.4297000000000004</v>
      </c>
      <c r="D511">
        <v>8.19</v>
      </c>
      <c r="E511">
        <v>8.5153999999999996</v>
      </c>
      <c r="F511">
        <v>1537467.02</v>
      </c>
      <c r="G511">
        <v>0</v>
      </c>
      <c r="L511" t="s">
        <v>7</v>
      </c>
      <c r="M511" t="s">
        <v>8</v>
      </c>
      <c r="N511" t="s">
        <v>8</v>
      </c>
      <c r="P511">
        <f t="shared" si="980"/>
        <v>-0.4750342824876988</v>
      </c>
      <c r="Q511">
        <f t="shared" si="981"/>
        <v>-730349.54269420041</v>
      </c>
      <c r="R511">
        <f t="shared" si="982"/>
        <v>14617282.109736361</v>
      </c>
      <c r="S511">
        <f t="shared" si="983"/>
        <v>146.1728210973636</v>
      </c>
      <c r="T511">
        <f t="shared" si="984"/>
        <v>0.1461728210973636</v>
      </c>
    </row>
    <row r="512" spans="1:20" x14ac:dyDescent="0.25">
      <c r="A512" s="5">
        <v>44081</v>
      </c>
      <c r="B512">
        <v>9.6364999999999998</v>
      </c>
      <c r="C512">
        <v>9.8764000000000003</v>
      </c>
      <c r="D512">
        <v>7.8787000000000003</v>
      </c>
      <c r="E512">
        <v>9.3196999999999992</v>
      </c>
      <c r="F512">
        <v>2635326.79</v>
      </c>
      <c r="G512">
        <v>0</v>
      </c>
      <c r="L512" t="s">
        <v>8</v>
      </c>
      <c r="M512" t="s">
        <v>8</v>
      </c>
      <c r="N512" t="s">
        <v>8</v>
      </c>
      <c r="P512">
        <f t="shared" si="980"/>
        <v>0.44265905791660304</v>
      </c>
      <c r="Q512">
        <f t="shared" si="981"/>
        <v>1166551.2741637856</v>
      </c>
      <c r="R512">
        <f t="shared" si="982"/>
        <v>15347631.65243056</v>
      </c>
      <c r="S512">
        <f t="shared" si="983"/>
        <v>153.47631652430562</v>
      </c>
      <c r="T512">
        <f t="shared" si="984"/>
        <v>0.15347631652430563</v>
      </c>
    </row>
    <row r="513" spans="1:20" x14ac:dyDescent="0.25">
      <c r="A513" s="5">
        <v>44080</v>
      </c>
      <c r="B513">
        <v>8.1624999999999996</v>
      </c>
      <c r="C513">
        <v>10.313499999999999</v>
      </c>
      <c r="D513">
        <v>6.5114000000000001</v>
      </c>
      <c r="E513">
        <v>9.6425999999999998</v>
      </c>
      <c r="F513">
        <v>6388094.1500000004</v>
      </c>
      <c r="G513">
        <v>0</v>
      </c>
      <c r="L513" t="s">
        <v>7</v>
      </c>
      <c r="M513" t="s">
        <v>7</v>
      </c>
      <c r="N513" t="s">
        <v>7</v>
      </c>
      <c r="P513">
        <f t="shared" si="980"/>
        <v>0.64708976618184699</v>
      </c>
      <c r="Q513">
        <f t="shared" si="981"/>
        <v>4133670.3498711251</v>
      </c>
      <c r="R513">
        <f t="shared" si="982"/>
        <v>14181080.378266774</v>
      </c>
      <c r="S513">
        <f t="shared" si="983"/>
        <v>141.81080378266773</v>
      </c>
      <c r="T513">
        <f t="shared" si="984"/>
        <v>0.14181080378266772</v>
      </c>
    </row>
    <row r="514" spans="1:20" x14ac:dyDescent="0.25">
      <c r="A514" s="5">
        <v>44079</v>
      </c>
      <c r="B514">
        <v>10.9434</v>
      </c>
      <c r="C514">
        <v>11.489100000000001</v>
      </c>
      <c r="D514">
        <v>8.01</v>
      </c>
      <c r="E514">
        <v>8.1624999999999996</v>
      </c>
      <c r="F514">
        <v>3581206.51</v>
      </c>
      <c r="G514">
        <v>0</v>
      </c>
      <c r="L514" t="s">
        <v>7</v>
      </c>
      <c r="M514" t="s">
        <v>7</v>
      </c>
      <c r="N514" t="s">
        <v>7</v>
      </c>
      <c r="P514">
        <f t="shared" si="980"/>
        <v>-0.91233364950705653</v>
      </c>
      <c r="Q514">
        <f t="shared" si="981"/>
        <v>-3267255.204906729</v>
      </c>
      <c r="R514">
        <f t="shared" si="982"/>
        <v>10047410.028395649</v>
      </c>
      <c r="S514">
        <f t="shared" si="983"/>
        <v>100.47410028395649</v>
      </c>
      <c r="T514">
        <f t="shared" si="984"/>
        <v>0.10047410028395649</v>
      </c>
    </row>
    <row r="515" spans="1:20" x14ac:dyDescent="0.25">
      <c r="A515" s="5">
        <v>44078</v>
      </c>
      <c r="B515">
        <v>11.0663</v>
      </c>
      <c r="C515">
        <v>11.7</v>
      </c>
      <c r="D515">
        <v>9.5</v>
      </c>
      <c r="E515">
        <v>10.920500000000001</v>
      </c>
      <c r="F515">
        <v>4755886</v>
      </c>
      <c r="G515">
        <v>0</v>
      </c>
      <c r="L515" t="s">
        <v>7</v>
      </c>
      <c r="M515" t="s">
        <v>7</v>
      </c>
      <c r="N515" t="s">
        <v>7</v>
      </c>
      <c r="P515">
        <f t="shared" si="980"/>
        <v>0.29136363636363727</v>
      </c>
      <c r="Q515">
        <f t="shared" si="981"/>
        <v>1385692.2390909134</v>
      </c>
      <c r="R515">
        <f t="shared" si="982"/>
        <v>13314665.233302379</v>
      </c>
      <c r="S515">
        <f t="shared" si="983"/>
        <v>133.14665233302378</v>
      </c>
      <c r="T515">
        <f t="shared" si="984"/>
        <v>0.13314665233302378</v>
      </c>
    </row>
    <row r="516" spans="1:20" x14ac:dyDescent="0.25">
      <c r="A516" s="5">
        <v>44077</v>
      </c>
      <c r="B516">
        <v>14.4101</v>
      </c>
      <c r="C516">
        <v>15.0505</v>
      </c>
      <c r="D516">
        <v>10.4</v>
      </c>
      <c r="E516">
        <v>11.0663</v>
      </c>
      <c r="F516">
        <v>4445380.6100000003</v>
      </c>
      <c r="G516">
        <v>0</v>
      </c>
      <c r="L516" t="s">
        <v>7</v>
      </c>
      <c r="M516" t="s">
        <v>7</v>
      </c>
      <c r="N516" t="s">
        <v>7</v>
      </c>
      <c r="P516">
        <f t="shared" si="980"/>
        <v>-0.7134501666487475</v>
      </c>
      <c r="Q516">
        <f t="shared" si="981"/>
        <v>-3171557.5370216109</v>
      </c>
      <c r="R516">
        <f t="shared" si="982"/>
        <v>11928972.994211465</v>
      </c>
      <c r="S516">
        <f t="shared" si="983"/>
        <v>119.28972994211465</v>
      </c>
      <c r="T516">
        <f t="shared" si="984"/>
        <v>0.11928972994211465</v>
      </c>
    </row>
    <row r="517" spans="1:20" x14ac:dyDescent="0.25">
      <c r="A517" s="5">
        <v>44076</v>
      </c>
      <c r="B517">
        <v>15.5402</v>
      </c>
      <c r="C517">
        <v>17</v>
      </c>
      <c r="D517">
        <v>13.63</v>
      </c>
      <c r="E517">
        <v>14.4114</v>
      </c>
      <c r="F517">
        <v>5188135.74</v>
      </c>
      <c r="G517">
        <v>0</v>
      </c>
      <c r="L517" t="s">
        <v>8</v>
      </c>
      <c r="M517" t="s">
        <v>8</v>
      </c>
      <c r="N517" t="s">
        <v>8</v>
      </c>
      <c r="P517">
        <f t="shared" si="980"/>
        <v>-0.53626112759643929</v>
      </c>
      <c r="Q517">
        <f t="shared" si="981"/>
        <v>-2782195.522055787</v>
      </c>
      <c r="R517">
        <f t="shared" si="982"/>
        <v>15100530.531233076</v>
      </c>
      <c r="S517">
        <f t="shared" si="983"/>
        <v>151.00530531233076</v>
      </c>
      <c r="T517">
        <f t="shared" si="984"/>
        <v>0.15100530531233075</v>
      </c>
    </row>
    <row r="518" spans="1:20" x14ac:dyDescent="0.25">
      <c r="A518" s="5">
        <v>44075</v>
      </c>
      <c r="B518">
        <v>13.070399999999999</v>
      </c>
      <c r="C518">
        <v>15.9354</v>
      </c>
      <c r="D518">
        <v>12.7</v>
      </c>
      <c r="E518">
        <v>15.516</v>
      </c>
      <c r="F518">
        <v>3681532.44</v>
      </c>
      <c r="G518">
        <v>0</v>
      </c>
      <c r="L518" t="s">
        <v>7</v>
      </c>
      <c r="M518" t="s">
        <v>8</v>
      </c>
      <c r="N518" t="s">
        <v>8</v>
      </c>
      <c r="P518">
        <f t="shared" ref="P518:P581" si="985">IF(C518=D518,0,((E518-D518)-(C518-E518))/(C518-D518))</f>
        <v>0.74074303022810195</v>
      </c>
      <c r="Q518">
        <f t="shared" ref="Q518:Q581" si="986">F518*P518</f>
        <v>2727069.4954886581</v>
      </c>
      <c r="R518">
        <f t="shared" ref="R518:R581" si="987">R519+Q518</f>
        <v>17882726.053288862</v>
      </c>
      <c r="S518">
        <f t="shared" ref="S518:S581" si="988">R518/100000</f>
        <v>178.82726053288863</v>
      </c>
      <c r="T518">
        <f t="shared" ref="T518:T581" si="989">S518/1000</f>
        <v>0.17882726053288864</v>
      </c>
    </row>
    <row r="519" spans="1:20" x14ac:dyDescent="0.25">
      <c r="A519" s="5">
        <v>44074</v>
      </c>
      <c r="B519">
        <v>13.742699999999999</v>
      </c>
      <c r="C519">
        <v>13.9793</v>
      </c>
      <c r="D519">
        <v>12.9489</v>
      </c>
      <c r="E519">
        <v>13.0663</v>
      </c>
      <c r="F519">
        <v>1439354.52</v>
      </c>
      <c r="G519">
        <v>0</v>
      </c>
      <c r="L519" t="s">
        <v>7</v>
      </c>
      <c r="M519" t="s">
        <v>8</v>
      </c>
      <c r="N519" t="s">
        <v>8</v>
      </c>
      <c r="P519">
        <f t="shared" si="985"/>
        <v>-0.77212732919254667</v>
      </c>
      <c r="Q519">
        <f t="shared" si="986"/>
        <v>-1111364.96128882</v>
      </c>
      <c r="R519">
        <f t="shared" si="987"/>
        <v>15155656.557800204</v>
      </c>
      <c r="S519">
        <f t="shared" si="988"/>
        <v>151.55656557800202</v>
      </c>
      <c r="T519">
        <f t="shared" si="989"/>
        <v>0.15155656557800201</v>
      </c>
    </row>
    <row r="520" spans="1:20" x14ac:dyDescent="0.25">
      <c r="A520" s="5">
        <v>44073</v>
      </c>
      <c r="B520">
        <v>12.698700000000001</v>
      </c>
      <c r="C520">
        <v>14.205</v>
      </c>
      <c r="D520">
        <v>12.696300000000001</v>
      </c>
      <c r="E520">
        <v>13.7355</v>
      </c>
      <c r="F520">
        <v>2140144.85</v>
      </c>
      <c r="G520">
        <v>0</v>
      </c>
      <c r="L520" t="s">
        <v>8</v>
      </c>
      <c r="M520" t="s">
        <v>8</v>
      </c>
      <c r="N520" t="s">
        <v>8</v>
      </c>
      <c r="P520">
        <f t="shared" si="985"/>
        <v>0.37760986279578412</v>
      </c>
      <c r="Q520">
        <f t="shared" si="986"/>
        <v>808139.80317160406</v>
      </c>
      <c r="R520">
        <f t="shared" si="987"/>
        <v>16267021.519089025</v>
      </c>
      <c r="S520">
        <f t="shared" si="988"/>
        <v>162.67021519089025</v>
      </c>
      <c r="T520">
        <f t="shared" si="989"/>
        <v>0.16267021519089025</v>
      </c>
    </row>
    <row r="521" spans="1:20" x14ac:dyDescent="0.25">
      <c r="A521" s="5">
        <v>44072</v>
      </c>
      <c r="B521">
        <v>12.7707</v>
      </c>
      <c r="C521">
        <v>13.726100000000001</v>
      </c>
      <c r="D521">
        <v>12.629099999999999</v>
      </c>
      <c r="E521">
        <v>12.716100000000001</v>
      </c>
      <c r="F521">
        <v>1843472.91</v>
      </c>
      <c r="G521">
        <v>0</v>
      </c>
      <c r="L521" t="s">
        <v>8</v>
      </c>
      <c r="M521" t="s">
        <v>7</v>
      </c>
      <c r="N521" t="s">
        <v>8</v>
      </c>
      <c r="P521">
        <f t="shared" si="985"/>
        <v>-0.84138559708295091</v>
      </c>
      <c r="Q521">
        <f t="shared" si="986"/>
        <v>-1551071.555086595</v>
      </c>
      <c r="R521">
        <f t="shared" si="987"/>
        <v>15458881.71591742</v>
      </c>
      <c r="S521">
        <f t="shared" si="988"/>
        <v>154.5888171591742</v>
      </c>
      <c r="T521">
        <f t="shared" si="989"/>
        <v>0.15458881715917419</v>
      </c>
    </row>
    <row r="522" spans="1:20" x14ac:dyDescent="0.25">
      <c r="A522" s="5">
        <v>44071</v>
      </c>
      <c r="B522">
        <v>12.1349</v>
      </c>
      <c r="C522">
        <v>12.9466</v>
      </c>
      <c r="D522">
        <v>11.9321</v>
      </c>
      <c r="E522">
        <v>12.783899999999999</v>
      </c>
      <c r="F522">
        <v>1876689.46</v>
      </c>
      <c r="G522">
        <v>0</v>
      </c>
      <c r="L522" t="s">
        <v>7</v>
      </c>
      <c r="M522" t="s">
        <v>7</v>
      </c>
      <c r="N522" t="s">
        <v>8</v>
      </c>
      <c r="P522">
        <f t="shared" si="985"/>
        <v>0.67925086249383748</v>
      </c>
      <c r="Q522">
        <f t="shared" si="986"/>
        <v>1274742.9343380942</v>
      </c>
      <c r="R522">
        <f t="shared" si="987"/>
        <v>17009953.271004014</v>
      </c>
      <c r="S522">
        <f t="shared" si="988"/>
        <v>170.09953271004014</v>
      </c>
      <c r="T522">
        <f t="shared" si="989"/>
        <v>0.17009953271004014</v>
      </c>
    </row>
    <row r="523" spans="1:20" x14ac:dyDescent="0.25">
      <c r="A523" s="5">
        <v>44070</v>
      </c>
      <c r="B523">
        <v>13.022</v>
      </c>
      <c r="C523">
        <v>14.040800000000001</v>
      </c>
      <c r="D523">
        <v>11.52</v>
      </c>
      <c r="E523">
        <v>12.1349</v>
      </c>
      <c r="F523">
        <v>3363210.62</v>
      </c>
      <c r="G523">
        <v>0</v>
      </c>
      <c r="L523" t="s">
        <v>8</v>
      </c>
      <c r="M523" t="s">
        <v>8</v>
      </c>
      <c r="N523" t="s">
        <v>8</v>
      </c>
      <c r="P523">
        <f t="shared" si="985"/>
        <v>-0.51213900349095509</v>
      </c>
      <c r="Q523">
        <f t="shared" si="986"/>
        <v>-1722431.3354569974</v>
      </c>
      <c r="R523">
        <f t="shared" si="987"/>
        <v>15735210.336665921</v>
      </c>
      <c r="S523">
        <f t="shared" si="988"/>
        <v>157.35210336665921</v>
      </c>
      <c r="T523">
        <f t="shared" si="989"/>
        <v>0.1573521033666592</v>
      </c>
    </row>
    <row r="524" spans="1:20" x14ac:dyDescent="0.25">
      <c r="A524" s="5">
        <v>44069</v>
      </c>
      <c r="B524">
        <v>11.078200000000001</v>
      </c>
      <c r="C524">
        <v>13.627700000000001</v>
      </c>
      <c r="D524">
        <v>10.8878</v>
      </c>
      <c r="E524">
        <v>13.0297</v>
      </c>
      <c r="F524">
        <v>3734923.8</v>
      </c>
      <c r="G524">
        <v>0</v>
      </c>
      <c r="L524" t="s">
        <v>8</v>
      </c>
      <c r="M524" t="s">
        <v>8</v>
      </c>
      <c r="N524" t="s">
        <v>8</v>
      </c>
      <c r="P524">
        <f t="shared" si="985"/>
        <v>0.56348771852987289</v>
      </c>
      <c r="Q524">
        <f t="shared" si="986"/>
        <v>2104583.6909449231</v>
      </c>
      <c r="R524">
        <f t="shared" si="987"/>
        <v>17457641.672122918</v>
      </c>
      <c r="S524">
        <f t="shared" si="988"/>
        <v>174.57641672122918</v>
      </c>
      <c r="T524">
        <f t="shared" si="989"/>
        <v>0.17457641672122917</v>
      </c>
    </row>
    <row r="525" spans="1:20" x14ac:dyDescent="0.25">
      <c r="A525" s="5">
        <v>44068</v>
      </c>
      <c r="B525">
        <v>11.7347</v>
      </c>
      <c r="C525">
        <v>11.7605</v>
      </c>
      <c r="D525">
        <v>10.2453</v>
      </c>
      <c r="E525">
        <v>11.092499999999999</v>
      </c>
      <c r="F525">
        <v>1540114.14</v>
      </c>
      <c r="G525">
        <v>0</v>
      </c>
      <c r="L525" t="s">
        <v>7</v>
      </c>
      <c r="M525" t="s">
        <v>7</v>
      </c>
      <c r="N525" t="s">
        <v>7</v>
      </c>
      <c r="P525">
        <f t="shared" si="985"/>
        <v>0.11826821541710535</v>
      </c>
      <c r="Q525">
        <f t="shared" si="986"/>
        <v>182146.55087644994</v>
      </c>
      <c r="R525">
        <f t="shared" si="987"/>
        <v>15353057.981177993</v>
      </c>
      <c r="S525">
        <f t="shared" si="988"/>
        <v>153.53057981177994</v>
      </c>
      <c r="T525">
        <f t="shared" si="989"/>
        <v>0.15353057981177995</v>
      </c>
    </row>
    <row r="526" spans="1:20" x14ac:dyDescent="0.25">
      <c r="A526" s="5">
        <v>44067</v>
      </c>
      <c r="B526">
        <v>11.728899999999999</v>
      </c>
      <c r="C526">
        <v>12.2851</v>
      </c>
      <c r="D526">
        <v>11.261900000000001</v>
      </c>
      <c r="E526">
        <v>11.7235</v>
      </c>
      <c r="F526">
        <v>1193876.08</v>
      </c>
      <c r="G526">
        <v>0</v>
      </c>
      <c r="L526" t="s">
        <v>7</v>
      </c>
      <c r="M526" t="s">
        <v>8</v>
      </c>
      <c r="N526" t="s">
        <v>7</v>
      </c>
      <c r="P526">
        <f t="shared" si="985"/>
        <v>-9.7732603596561274E-2</v>
      </c>
      <c r="Q526">
        <f t="shared" si="986"/>
        <v>-116680.61767005648</v>
      </c>
      <c r="R526">
        <f t="shared" si="987"/>
        <v>15170911.430301543</v>
      </c>
      <c r="S526">
        <f t="shared" si="988"/>
        <v>151.70911430301544</v>
      </c>
      <c r="T526">
        <f t="shared" si="989"/>
        <v>0.15170911430301545</v>
      </c>
    </row>
    <row r="527" spans="1:20" x14ac:dyDescent="0.25">
      <c r="A527" s="5">
        <v>44066</v>
      </c>
      <c r="B527">
        <v>12.24</v>
      </c>
      <c r="C527">
        <v>12.5167</v>
      </c>
      <c r="D527">
        <v>11.459300000000001</v>
      </c>
      <c r="E527">
        <v>11.7272</v>
      </c>
      <c r="F527">
        <v>2039569</v>
      </c>
      <c r="G527">
        <v>0</v>
      </c>
      <c r="L527" t="s">
        <v>8</v>
      </c>
      <c r="M527" t="s">
        <v>8</v>
      </c>
      <c r="N527" t="s">
        <v>7</v>
      </c>
      <c r="P527">
        <f t="shared" si="985"/>
        <v>-0.49328541706071632</v>
      </c>
      <c r="Q527">
        <f t="shared" si="986"/>
        <v>-1006089.6447891082</v>
      </c>
      <c r="R527">
        <f t="shared" si="987"/>
        <v>15287592.047971601</v>
      </c>
      <c r="S527">
        <f t="shared" si="988"/>
        <v>152.875920479716</v>
      </c>
      <c r="T527">
        <f t="shared" si="989"/>
        <v>0.15287592047971599</v>
      </c>
    </row>
    <row r="528" spans="1:20" x14ac:dyDescent="0.25">
      <c r="A528" s="5">
        <v>44065</v>
      </c>
      <c r="B528">
        <v>10.334099999999999</v>
      </c>
      <c r="C528">
        <v>13.4</v>
      </c>
      <c r="D528">
        <v>9.6585000000000001</v>
      </c>
      <c r="E528">
        <v>12.24</v>
      </c>
      <c r="F528">
        <v>4434875.8</v>
      </c>
      <c r="G528">
        <v>0</v>
      </c>
      <c r="L528" t="s">
        <v>7</v>
      </c>
      <c r="M528" t="s">
        <v>7</v>
      </c>
      <c r="N528" t="s">
        <v>7</v>
      </c>
      <c r="P528">
        <f t="shared" si="985"/>
        <v>0.37992783642923955</v>
      </c>
      <c r="Q528">
        <f t="shared" si="986"/>
        <v>1684932.7675263928</v>
      </c>
      <c r="R528">
        <f t="shared" si="987"/>
        <v>16293681.69276071</v>
      </c>
      <c r="S528">
        <f t="shared" si="988"/>
        <v>162.93681692760708</v>
      </c>
      <c r="T528">
        <f t="shared" si="989"/>
        <v>0.16293681692760709</v>
      </c>
    </row>
    <row r="529" spans="1:20" x14ac:dyDescent="0.25">
      <c r="A529" s="5">
        <v>44064</v>
      </c>
      <c r="B529">
        <v>12.285600000000001</v>
      </c>
      <c r="C529">
        <v>12.434100000000001</v>
      </c>
      <c r="D529">
        <v>10</v>
      </c>
      <c r="E529">
        <v>10.3254</v>
      </c>
      <c r="F529">
        <v>2966666.91</v>
      </c>
      <c r="G529">
        <v>0</v>
      </c>
      <c r="L529" t="s">
        <v>7</v>
      </c>
      <c r="M529" t="s">
        <v>7</v>
      </c>
      <c r="N529" t="s">
        <v>7</v>
      </c>
      <c r="P529">
        <f t="shared" si="985"/>
        <v>-0.73263218438026378</v>
      </c>
      <c r="Q529">
        <f t="shared" si="986"/>
        <v>-2173475.6586019476</v>
      </c>
      <c r="R529">
        <f t="shared" si="987"/>
        <v>14608748.925234318</v>
      </c>
      <c r="S529">
        <f t="shared" si="988"/>
        <v>146.08748925234318</v>
      </c>
      <c r="T529">
        <f t="shared" si="989"/>
        <v>0.14608748925234319</v>
      </c>
    </row>
    <row r="530" spans="1:20" x14ac:dyDescent="0.25">
      <c r="A530" s="5">
        <v>44063</v>
      </c>
      <c r="B530">
        <v>11.988300000000001</v>
      </c>
      <c r="C530">
        <v>13.1</v>
      </c>
      <c r="D530">
        <v>11.7811</v>
      </c>
      <c r="E530">
        <v>12.286199999999999</v>
      </c>
      <c r="F530">
        <v>1848985.13</v>
      </c>
      <c r="G530">
        <v>0</v>
      </c>
      <c r="L530" t="s">
        <v>8</v>
      </c>
      <c r="M530" t="s">
        <v>7</v>
      </c>
      <c r="N530" t="s">
        <v>7</v>
      </c>
      <c r="P530">
        <f t="shared" si="985"/>
        <v>-0.23405868526802784</v>
      </c>
      <c r="Q530">
        <f t="shared" si="986"/>
        <v>-432771.02860793349</v>
      </c>
      <c r="R530">
        <f t="shared" si="987"/>
        <v>16782224.583836265</v>
      </c>
      <c r="S530">
        <f t="shared" si="988"/>
        <v>167.82224583836265</v>
      </c>
      <c r="T530">
        <f t="shared" si="989"/>
        <v>0.16782224583836264</v>
      </c>
    </row>
    <row r="531" spans="1:20" x14ac:dyDescent="0.25">
      <c r="A531" s="5">
        <v>44062</v>
      </c>
      <c r="B531">
        <v>12.735099999999999</v>
      </c>
      <c r="C531">
        <v>13.33</v>
      </c>
      <c r="D531">
        <v>11.5</v>
      </c>
      <c r="E531">
        <v>11.9884</v>
      </c>
      <c r="F531">
        <v>2587402.69</v>
      </c>
      <c r="G531">
        <v>0</v>
      </c>
      <c r="L531" t="s">
        <v>7</v>
      </c>
      <c r="M531" t="s">
        <v>7</v>
      </c>
      <c r="N531" t="s">
        <v>7</v>
      </c>
      <c r="P531">
        <f t="shared" si="985"/>
        <v>-0.46622950819672093</v>
      </c>
      <c r="Q531">
        <f t="shared" si="986"/>
        <v>-1206323.4836655727</v>
      </c>
      <c r="R531">
        <f t="shared" si="987"/>
        <v>17214995.6124442</v>
      </c>
      <c r="S531">
        <f t="shared" si="988"/>
        <v>172.14995612444199</v>
      </c>
      <c r="T531">
        <f t="shared" si="989"/>
        <v>0.17214995612444198</v>
      </c>
    </row>
    <row r="532" spans="1:20" x14ac:dyDescent="0.25">
      <c r="A532" s="5">
        <v>44061</v>
      </c>
      <c r="B532">
        <v>13.6075</v>
      </c>
      <c r="C532">
        <v>14.0526</v>
      </c>
      <c r="D532">
        <v>12</v>
      </c>
      <c r="E532">
        <v>12.7277</v>
      </c>
      <c r="F532">
        <v>2105654.37</v>
      </c>
      <c r="G532">
        <v>0</v>
      </c>
      <c r="L532" t="s">
        <v>7</v>
      </c>
      <c r="M532" t="s">
        <v>7</v>
      </c>
      <c r="N532" t="s">
        <v>7</v>
      </c>
      <c r="P532">
        <f t="shared" si="985"/>
        <v>-0.29094806586767957</v>
      </c>
      <c r="Q532">
        <f t="shared" si="986"/>
        <v>-612636.06633732736</v>
      </c>
      <c r="R532">
        <f t="shared" si="987"/>
        <v>18421319.096109774</v>
      </c>
      <c r="S532">
        <f t="shared" si="988"/>
        <v>184.21319096109775</v>
      </c>
      <c r="T532">
        <f t="shared" si="989"/>
        <v>0.18421319096109776</v>
      </c>
    </row>
    <row r="533" spans="1:20" x14ac:dyDescent="0.25">
      <c r="A533" s="5">
        <v>44060</v>
      </c>
      <c r="B533">
        <v>14.465199999999999</v>
      </c>
      <c r="C533">
        <v>15.45</v>
      </c>
      <c r="D533">
        <v>13.52</v>
      </c>
      <c r="E533">
        <v>13.636100000000001</v>
      </c>
      <c r="F533">
        <v>3044035.51</v>
      </c>
      <c r="G533">
        <v>0</v>
      </c>
      <c r="L533" t="s">
        <v>7</v>
      </c>
      <c r="M533" t="s">
        <v>8</v>
      </c>
      <c r="N533" t="s">
        <v>7</v>
      </c>
      <c r="P533">
        <f t="shared" si="985"/>
        <v>-0.87968911917098325</v>
      </c>
      <c r="Q533">
        <f t="shared" si="986"/>
        <v>-2677804.9165170947</v>
      </c>
      <c r="R533">
        <f t="shared" si="987"/>
        <v>19033955.162447102</v>
      </c>
      <c r="S533">
        <f t="shared" si="988"/>
        <v>190.33955162447103</v>
      </c>
      <c r="T533">
        <f t="shared" si="989"/>
        <v>0.19033955162447103</v>
      </c>
    </row>
    <row r="534" spans="1:20" x14ac:dyDescent="0.25">
      <c r="A534" s="5">
        <v>44059</v>
      </c>
      <c r="B534">
        <v>14.6999</v>
      </c>
      <c r="C534">
        <v>15.45</v>
      </c>
      <c r="D534">
        <v>14.26</v>
      </c>
      <c r="E534">
        <v>14.4978</v>
      </c>
      <c r="F534">
        <v>2066716.6</v>
      </c>
      <c r="G534">
        <v>0</v>
      </c>
      <c r="L534" t="s">
        <v>7</v>
      </c>
      <c r="M534" t="s">
        <v>8</v>
      </c>
      <c r="N534" t="s">
        <v>7</v>
      </c>
      <c r="P534">
        <f t="shared" si="985"/>
        <v>-0.60033613445378131</v>
      </c>
      <c r="Q534">
        <f t="shared" si="986"/>
        <v>-1240724.6546554619</v>
      </c>
      <c r="R534">
        <f t="shared" si="987"/>
        <v>21711760.078964196</v>
      </c>
      <c r="S534">
        <f t="shared" si="988"/>
        <v>217.11760078964195</v>
      </c>
      <c r="T534">
        <f t="shared" si="989"/>
        <v>0.21711760078964196</v>
      </c>
    </row>
    <row r="535" spans="1:20" x14ac:dyDescent="0.25">
      <c r="A535" s="5">
        <v>44058</v>
      </c>
      <c r="B535">
        <v>13.75</v>
      </c>
      <c r="C535">
        <v>15.46</v>
      </c>
      <c r="D535">
        <v>13.303800000000001</v>
      </c>
      <c r="E535">
        <v>14.7</v>
      </c>
      <c r="F535">
        <v>3226568.63</v>
      </c>
      <c r="G535">
        <v>0</v>
      </c>
      <c r="L535" t="s">
        <v>8</v>
      </c>
      <c r="M535" t="s">
        <v>8</v>
      </c>
      <c r="N535" t="s">
        <v>7</v>
      </c>
      <c r="P535">
        <f t="shared" si="985"/>
        <v>0.295056117243297</v>
      </c>
      <c r="Q535">
        <f t="shared" si="986"/>
        <v>952018.81198682415</v>
      </c>
      <c r="R535">
        <f t="shared" si="987"/>
        <v>22952484.733619656</v>
      </c>
      <c r="S535">
        <f t="shared" si="988"/>
        <v>229.52484733619656</v>
      </c>
      <c r="T535">
        <f t="shared" si="989"/>
        <v>0.22952484733619655</v>
      </c>
    </row>
    <row r="536" spans="1:20" x14ac:dyDescent="0.25">
      <c r="A536" s="5">
        <v>44057</v>
      </c>
      <c r="B536">
        <v>14.181900000000001</v>
      </c>
      <c r="C536">
        <v>14.680899999999999</v>
      </c>
      <c r="D536">
        <v>13.41</v>
      </c>
      <c r="E536">
        <v>13.75</v>
      </c>
      <c r="F536">
        <v>2777526.27</v>
      </c>
      <c r="G536">
        <v>0</v>
      </c>
      <c r="L536" t="s">
        <v>8</v>
      </c>
      <c r="M536" t="s">
        <v>7</v>
      </c>
      <c r="N536" t="s">
        <v>7</v>
      </c>
      <c r="P536">
        <f t="shared" si="985"/>
        <v>-0.46494610118813429</v>
      </c>
      <c r="Q536">
        <f t="shared" si="986"/>
        <v>-1291400.0101841211</v>
      </c>
      <c r="R536">
        <f t="shared" si="987"/>
        <v>22000465.921632834</v>
      </c>
      <c r="S536">
        <f t="shared" si="988"/>
        <v>220.00465921632835</v>
      </c>
      <c r="T536">
        <f t="shared" si="989"/>
        <v>0.22000465921632834</v>
      </c>
    </row>
    <row r="537" spans="1:20" x14ac:dyDescent="0.25">
      <c r="A537" s="5">
        <v>44056</v>
      </c>
      <c r="B537">
        <v>14.7522</v>
      </c>
      <c r="C537">
        <v>15.5</v>
      </c>
      <c r="D537">
        <v>12.920500000000001</v>
      </c>
      <c r="E537">
        <v>14.1816</v>
      </c>
      <c r="F537">
        <v>6141348.25</v>
      </c>
      <c r="G537">
        <v>0</v>
      </c>
      <c r="L537" t="s">
        <v>7</v>
      </c>
      <c r="M537" t="s">
        <v>7</v>
      </c>
      <c r="N537" t="s">
        <v>7</v>
      </c>
      <c r="P537">
        <f t="shared" si="985"/>
        <v>-2.2213607288234724E-2</v>
      </c>
      <c r="Q537">
        <f t="shared" si="986"/>
        <v>-136421.49824578757</v>
      </c>
      <c r="R537">
        <f t="shared" si="987"/>
        <v>23291865.931816954</v>
      </c>
      <c r="S537">
        <f t="shared" si="988"/>
        <v>232.91865931816955</v>
      </c>
      <c r="T537">
        <f t="shared" si="989"/>
        <v>0.23291865931816955</v>
      </c>
    </row>
    <row r="538" spans="1:20" x14ac:dyDescent="0.25">
      <c r="A538" s="5">
        <v>44055</v>
      </c>
      <c r="B538">
        <v>12.565099999999999</v>
      </c>
      <c r="C538">
        <v>15.6</v>
      </c>
      <c r="D538">
        <v>11.4132</v>
      </c>
      <c r="E538">
        <v>14.753500000000001</v>
      </c>
      <c r="F538">
        <v>7340000.3399999999</v>
      </c>
      <c r="G538">
        <v>0</v>
      </c>
      <c r="L538" t="s">
        <v>8</v>
      </c>
      <c r="M538" t="s">
        <v>8</v>
      </c>
      <c r="N538" t="s">
        <v>7</v>
      </c>
      <c r="P538">
        <f t="shared" si="985"/>
        <v>0.59563389700964986</v>
      </c>
      <c r="Q538">
        <f t="shared" si="986"/>
        <v>4371953.006566355</v>
      </c>
      <c r="R538">
        <f t="shared" si="987"/>
        <v>23428287.430062741</v>
      </c>
      <c r="S538">
        <f t="shared" si="988"/>
        <v>234.28287430062741</v>
      </c>
      <c r="T538">
        <f t="shared" si="989"/>
        <v>0.23428287430062741</v>
      </c>
    </row>
    <row r="539" spans="1:20" x14ac:dyDescent="0.25">
      <c r="A539" s="5">
        <v>44054</v>
      </c>
      <c r="B539">
        <v>14.299200000000001</v>
      </c>
      <c r="C539">
        <v>14.875999999999999</v>
      </c>
      <c r="D539">
        <v>11.4069</v>
      </c>
      <c r="E539">
        <v>12.5967</v>
      </c>
      <c r="F539">
        <v>8422169.9000000004</v>
      </c>
      <c r="G539">
        <v>0</v>
      </c>
      <c r="L539" t="s">
        <v>7</v>
      </c>
      <c r="M539" t="s">
        <v>7</v>
      </c>
      <c r="N539" t="s">
        <v>7</v>
      </c>
      <c r="P539">
        <f t="shared" si="985"/>
        <v>-0.31405840131446183</v>
      </c>
      <c r="Q539">
        <f t="shared" si="986"/>
        <v>-2645053.2143927808</v>
      </c>
      <c r="R539">
        <f t="shared" si="987"/>
        <v>19056334.423496384</v>
      </c>
      <c r="S539">
        <f t="shared" si="988"/>
        <v>190.56334423496384</v>
      </c>
      <c r="T539">
        <f t="shared" si="989"/>
        <v>0.19056334423496385</v>
      </c>
    </row>
    <row r="540" spans="1:20" x14ac:dyDescent="0.25">
      <c r="A540" s="5">
        <v>44053</v>
      </c>
      <c r="B540">
        <v>14.900600000000001</v>
      </c>
      <c r="C540">
        <v>17.78</v>
      </c>
      <c r="D540">
        <v>12.192299999999999</v>
      </c>
      <c r="E540">
        <v>14.295400000000001</v>
      </c>
      <c r="F540">
        <v>11614968.289999999</v>
      </c>
      <c r="G540">
        <v>0</v>
      </c>
      <c r="L540" t="s">
        <v>8</v>
      </c>
      <c r="M540" t="s">
        <v>8</v>
      </c>
      <c r="N540" t="s">
        <v>8</v>
      </c>
      <c r="P540">
        <f t="shared" si="985"/>
        <v>-0.24723947241262034</v>
      </c>
      <c r="Q540">
        <f t="shared" si="986"/>
        <v>-2871678.6321089147</v>
      </c>
      <c r="R540">
        <f t="shared" si="987"/>
        <v>21701387.637889165</v>
      </c>
      <c r="S540">
        <f t="shared" si="988"/>
        <v>217.01387637889167</v>
      </c>
      <c r="T540">
        <f t="shared" si="989"/>
        <v>0.21701387637889166</v>
      </c>
    </row>
    <row r="541" spans="1:20" x14ac:dyDescent="0.25">
      <c r="A541" s="5">
        <v>44052</v>
      </c>
      <c r="B541">
        <v>10.82</v>
      </c>
      <c r="C541">
        <v>15.366</v>
      </c>
      <c r="D541">
        <v>10.032</v>
      </c>
      <c r="E541">
        <v>14.901899999999999</v>
      </c>
      <c r="F541">
        <v>8555751.7200000007</v>
      </c>
      <c r="G541">
        <v>0</v>
      </c>
      <c r="L541" t="s">
        <v>8</v>
      </c>
      <c r="M541" t="s">
        <v>8</v>
      </c>
      <c r="N541" t="s">
        <v>8</v>
      </c>
      <c r="P541">
        <f t="shared" si="985"/>
        <v>0.82598425196850389</v>
      </c>
      <c r="Q541">
        <f t="shared" si="986"/>
        <v>7066916.1844724407</v>
      </c>
      <c r="R541">
        <f t="shared" si="987"/>
        <v>24573066.269998081</v>
      </c>
      <c r="S541">
        <f t="shared" si="988"/>
        <v>245.7306626999808</v>
      </c>
      <c r="T541">
        <f t="shared" si="989"/>
        <v>0.24573066269998078</v>
      </c>
    </row>
    <row r="542" spans="1:20" x14ac:dyDescent="0.25">
      <c r="A542" s="5">
        <v>44051</v>
      </c>
      <c r="B542">
        <v>8.5603999999999996</v>
      </c>
      <c r="C542">
        <v>12.4475</v>
      </c>
      <c r="D542">
        <v>8.4611999999999998</v>
      </c>
      <c r="E542">
        <v>10.8226</v>
      </c>
      <c r="F542">
        <v>6646819.9299999997</v>
      </c>
      <c r="G542">
        <v>0</v>
      </c>
      <c r="L542" t="s">
        <v>8</v>
      </c>
      <c r="M542" t="s">
        <v>8</v>
      </c>
      <c r="N542" t="s">
        <v>8</v>
      </c>
      <c r="P542">
        <f t="shared" si="985"/>
        <v>0.18475779544941412</v>
      </c>
      <c r="Q542">
        <f t="shared" si="986"/>
        <v>1228051.797016029</v>
      </c>
      <c r="R542">
        <f t="shared" si="987"/>
        <v>17506150.085525639</v>
      </c>
      <c r="S542">
        <f t="shared" si="988"/>
        <v>175.06150085525638</v>
      </c>
      <c r="T542">
        <f t="shared" si="989"/>
        <v>0.17506150085525637</v>
      </c>
    </row>
    <row r="543" spans="1:20" x14ac:dyDescent="0.25">
      <c r="A543" s="5">
        <v>44050</v>
      </c>
      <c r="B543">
        <v>8.0424000000000007</v>
      </c>
      <c r="C543">
        <v>8.77</v>
      </c>
      <c r="D543">
        <v>7.5</v>
      </c>
      <c r="E543">
        <v>8.5418000000000003</v>
      </c>
      <c r="F543">
        <v>3057862.01</v>
      </c>
      <c r="G543">
        <v>0</v>
      </c>
      <c r="L543" t="s">
        <v>8</v>
      </c>
      <c r="M543" t="s">
        <v>8</v>
      </c>
      <c r="N543" t="s">
        <v>8</v>
      </c>
      <c r="P543">
        <f t="shared" si="985"/>
        <v>0.64062992125984353</v>
      </c>
      <c r="Q543">
        <f t="shared" si="986"/>
        <v>1958957.8986897666</v>
      </c>
      <c r="R543">
        <f t="shared" si="987"/>
        <v>16278098.288509611</v>
      </c>
      <c r="S543">
        <f t="shared" si="988"/>
        <v>162.78098288509611</v>
      </c>
      <c r="T543">
        <f t="shared" si="989"/>
        <v>0.1627809828850961</v>
      </c>
    </row>
    <row r="544" spans="1:20" x14ac:dyDescent="0.25">
      <c r="A544" s="5">
        <v>44049</v>
      </c>
      <c r="B544">
        <v>7.1782000000000004</v>
      </c>
      <c r="C544">
        <v>8.5858000000000008</v>
      </c>
      <c r="D544">
        <v>7.0762</v>
      </c>
      <c r="E544">
        <v>8.0299999999999994</v>
      </c>
      <c r="F544">
        <v>5502102.1699999999</v>
      </c>
      <c r="G544">
        <v>0</v>
      </c>
      <c r="L544" t="s">
        <v>8</v>
      </c>
      <c r="M544" t="s">
        <v>8</v>
      </c>
      <c r="N544" t="s">
        <v>8</v>
      </c>
      <c r="P544">
        <f t="shared" si="985"/>
        <v>0.26364599894011509</v>
      </c>
      <c r="Q544">
        <f t="shared" si="986"/>
        <v>1450607.2228802249</v>
      </c>
      <c r="R544">
        <f t="shared" si="987"/>
        <v>14319140.389819844</v>
      </c>
      <c r="S544">
        <f t="shared" si="988"/>
        <v>143.19140389819844</v>
      </c>
      <c r="T544">
        <f t="shared" si="989"/>
        <v>0.14319140389819845</v>
      </c>
    </row>
    <row r="545" spans="1:20" x14ac:dyDescent="0.25">
      <c r="A545" s="5">
        <v>44048</v>
      </c>
      <c r="B545">
        <v>4.9935999999999998</v>
      </c>
      <c r="C545">
        <v>8</v>
      </c>
      <c r="D545">
        <v>4.8250000000000002</v>
      </c>
      <c r="E545">
        <v>7.1783000000000001</v>
      </c>
      <c r="F545">
        <v>5637442.9100000001</v>
      </c>
      <c r="G545">
        <v>0</v>
      </c>
      <c r="L545" t="s">
        <v>8</v>
      </c>
      <c r="M545" t="s">
        <v>8</v>
      </c>
      <c r="N545" t="s">
        <v>8</v>
      </c>
      <c r="P545">
        <f t="shared" si="985"/>
        <v>0.48239370078740162</v>
      </c>
      <c r="Q545">
        <f t="shared" si="986"/>
        <v>2719466.9483325989</v>
      </c>
      <c r="R545">
        <f t="shared" si="987"/>
        <v>12868533.166939618</v>
      </c>
      <c r="S545">
        <f t="shared" si="988"/>
        <v>128.68533166939619</v>
      </c>
      <c r="T545">
        <f t="shared" si="989"/>
        <v>0.12868533166939619</v>
      </c>
    </row>
    <row r="546" spans="1:20" x14ac:dyDescent="0.25">
      <c r="A546" s="5">
        <v>44047</v>
      </c>
      <c r="B546">
        <v>4.2222</v>
      </c>
      <c r="C546">
        <v>5.0789999999999997</v>
      </c>
      <c r="D546">
        <v>4.1422999999999996</v>
      </c>
      <c r="E546">
        <v>4.9935999999999998</v>
      </c>
      <c r="F546">
        <v>2783022.68</v>
      </c>
      <c r="G546">
        <v>0</v>
      </c>
      <c r="L546" t="s">
        <v>8</v>
      </c>
      <c r="M546" t="s">
        <v>8</v>
      </c>
      <c r="N546" t="s">
        <v>8</v>
      </c>
      <c r="P546">
        <f t="shared" si="985"/>
        <v>0.81765773460019231</v>
      </c>
      <c r="Q546">
        <f t="shared" si="986"/>
        <v>2275560.019869756</v>
      </c>
      <c r="R546">
        <f t="shared" si="987"/>
        <v>10149066.21860702</v>
      </c>
      <c r="S546">
        <f t="shared" si="988"/>
        <v>101.4906621860702</v>
      </c>
      <c r="T546">
        <f t="shared" si="989"/>
        <v>0.1014906621860702</v>
      </c>
    </row>
    <row r="547" spans="1:20" x14ac:dyDescent="0.25">
      <c r="A547" s="5">
        <v>44046</v>
      </c>
      <c r="B547">
        <v>4.0411000000000001</v>
      </c>
      <c r="C547">
        <v>4.2453000000000003</v>
      </c>
      <c r="D547">
        <v>3.9714999999999998</v>
      </c>
      <c r="E547">
        <v>4.2222999999999997</v>
      </c>
      <c r="F547">
        <v>1128936.3600000001</v>
      </c>
      <c r="G547">
        <v>0</v>
      </c>
      <c r="L547" t="s">
        <v>8</v>
      </c>
      <c r="M547" t="s">
        <v>8</v>
      </c>
      <c r="N547" t="s">
        <v>8</v>
      </c>
      <c r="P547">
        <f t="shared" si="985"/>
        <v>0.83199415631847673</v>
      </c>
      <c r="Q547">
        <f t="shared" si="986"/>
        <v>939268.45437545225</v>
      </c>
      <c r="R547">
        <f t="shared" si="987"/>
        <v>7873506.1987372646</v>
      </c>
      <c r="S547">
        <f t="shared" si="988"/>
        <v>78.735061987372646</v>
      </c>
      <c r="T547">
        <f t="shared" si="989"/>
        <v>7.8735061987372651E-2</v>
      </c>
    </row>
    <row r="548" spans="1:20" x14ac:dyDescent="0.25">
      <c r="A548" s="5">
        <v>44045</v>
      </c>
      <c r="B548">
        <v>4.0004</v>
      </c>
      <c r="C548">
        <v>4.1481000000000003</v>
      </c>
      <c r="D548">
        <v>3.0089000000000001</v>
      </c>
      <c r="E548">
        <v>4.0536000000000003</v>
      </c>
      <c r="F548">
        <v>1814697.18</v>
      </c>
      <c r="G548">
        <v>0</v>
      </c>
      <c r="L548" t="s">
        <v>7</v>
      </c>
      <c r="M548" t="s">
        <v>7</v>
      </c>
      <c r="N548" t="s">
        <v>7</v>
      </c>
      <c r="P548">
        <f t="shared" si="985"/>
        <v>0.8340941011235955</v>
      </c>
      <c r="Q548">
        <f t="shared" si="986"/>
        <v>1513628.2131636236</v>
      </c>
      <c r="R548">
        <f t="shared" si="987"/>
        <v>6934237.7443618122</v>
      </c>
      <c r="S548">
        <f t="shared" si="988"/>
        <v>69.342377443618119</v>
      </c>
      <c r="T548">
        <f t="shared" si="989"/>
        <v>6.9342377443618125E-2</v>
      </c>
    </row>
    <row r="549" spans="1:20" x14ac:dyDescent="0.25">
      <c r="A549" s="5">
        <v>44044</v>
      </c>
      <c r="B549">
        <v>4.2225000000000001</v>
      </c>
      <c r="C549">
        <v>4.2949999999999999</v>
      </c>
      <c r="D549">
        <v>3.9327000000000001</v>
      </c>
      <c r="E549">
        <v>3.9975000000000001</v>
      </c>
      <c r="F549">
        <v>1199704.42</v>
      </c>
      <c r="G549">
        <v>0</v>
      </c>
      <c r="L549" t="s">
        <v>7</v>
      </c>
      <c r="M549" t="s">
        <v>8</v>
      </c>
      <c r="N549" t="s">
        <v>8</v>
      </c>
      <c r="P549">
        <f t="shared" si="985"/>
        <v>-0.64228539884073976</v>
      </c>
      <c r="Q549">
        <f t="shared" si="986"/>
        <v>-770552.63189069834</v>
      </c>
      <c r="R549">
        <f t="shared" si="987"/>
        <v>5420609.5311981887</v>
      </c>
      <c r="S549">
        <f t="shared" si="988"/>
        <v>54.206095311981883</v>
      </c>
      <c r="T549">
        <f t="shared" si="989"/>
        <v>5.4206095311981881E-2</v>
      </c>
    </row>
    <row r="550" spans="1:20" x14ac:dyDescent="0.25">
      <c r="A550" s="5">
        <v>44043</v>
      </c>
      <c r="B550">
        <v>3.9809999999999999</v>
      </c>
      <c r="C550">
        <v>4.3680000000000003</v>
      </c>
      <c r="D550">
        <v>3.9331999999999998</v>
      </c>
      <c r="E550">
        <v>4.2225000000000001</v>
      </c>
      <c r="F550">
        <v>1687281.65</v>
      </c>
      <c r="G550">
        <v>0</v>
      </c>
      <c r="L550" t="s">
        <v>8</v>
      </c>
      <c r="M550" t="s">
        <v>8</v>
      </c>
      <c r="N550" t="s">
        <v>8</v>
      </c>
      <c r="P550">
        <f t="shared" si="985"/>
        <v>0.33072677092916281</v>
      </c>
      <c r="Q550">
        <f t="shared" si="986"/>
        <v>558029.21175252984</v>
      </c>
      <c r="R550">
        <f t="shared" si="987"/>
        <v>6191162.163088887</v>
      </c>
      <c r="S550">
        <f t="shared" si="988"/>
        <v>61.911621630888867</v>
      </c>
      <c r="T550">
        <f t="shared" si="989"/>
        <v>6.1911621630888869E-2</v>
      </c>
    </row>
    <row r="551" spans="1:20" x14ac:dyDescent="0.25">
      <c r="A551" s="5">
        <v>44042</v>
      </c>
      <c r="B551">
        <v>3.8997000000000002</v>
      </c>
      <c r="C551">
        <v>4.3070000000000004</v>
      </c>
      <c r="D551">
        <v>3.7427000000000001</v>
      </c>
      <c r="E551">
        <v>3.9811000000000001</v>
      </c>
      <c r="F551">
        <v>1682609.49</v>
      </c>
      <c r="G551">
        <v>0</v>
      </c>
      <c r="L551" t="s">
        <v>8</v>
      </c>
      <c r="M551" t="s">
        <v>8</v>
      </c>
      <c r="N551" t="s">
        <v>8</v>
      </c>
      <c r="P551">
        <f t="shared" si="985"/>
        <v>-0.15505936558568192</v>
      </c>
      <c r="Q551">
        <f t="shared" si="986"/>
        <v>-260904.36004784782</v>
      </c>
      <c r="R551">
        <f t="shared" si="987"/>
        <v>5633132.9513363568</v>
      </c>
      <c r="S551">
        <f t="shared" si="988"/>
        <v>56.331329513363571</v>
      </c>
      <c r="T551">
        <f t="shared" si="989"/>
        <v>5.6331329513363573E-2</v>
      </c>
    </row>
    <row r="552" spans="1:20" x14ac:dyDescent="0.25">
      <c r="A552" s="5">
        <v>44041</v>
      </c>
      <c r="B552">
        <v>3.88</v>
      </c>
      <c r="C552">
        <v>4.1268000000000002</v>
      </c>
      <c r="D552">
        <v>3.7562000000000002</v>
      </c>
      <c r="E552">
        <v>3.8997000000000002</v>
      </c>
      <c r="F552">
        <v>1300223.32</v>
      </c>
      <c r="G552">
        <v>0</v>
      </c>
      <c r="L552" t="s">
        <v>7</v>
      </c>
      <c r="M552" t="s">
        <v>8</v>
      </c>
      <c r="N552" t="s">
        <v>8</v>
      </c>
      <c r="P552">
        <f t="shared" si="985"/>
        <v>-0.22558014031300624</v>
      </c>
      <c r="Q552">
        <f t="shared" si="986"/>
        <v>-293304.55896384281</v>
      </c>
      <c r="R552">
        <f t="shared" si="987"/>
        <v>5894037.3113842048</v>
      </c>
      <c r="S552">
        <f t="shared" si="988"/>
        <v>58.94037311384205</v>
      </c>
      <c r="T552">
        <f t="shared" si="989"/>
        <v>5.8940373113842051E-2</v>
      </c>
    </row>
    <row r="553" spans="1:20" x14ac:dyDescent="0.25">
      <c r="A553" s="5">
        <v>44040</v>
      </c>
      <c r="B553">
        <v>3.2858999999999998</v>
      </c>
      <c r="C553">
        <v>4.2</v>
      </c>
      <c r="D553">
        <v>3.21</v>
      </c>
      <c r="E553">
        <v>3.8851</v>
      </c>
      <c r="F553">
        <v>2299970.7200000002</v>
      </c>
      <c r="G553">
        <v>0</v>
      </c>
      <c r="L553" t="s">
        <v>8</v>
      </c>
      <c r="M553" t="s">
        <v>8</v>
      </c>
      <c r="N553" t="s">
        <v>8</v>
      </c>
      <c r="P553">
        <f t="shared" si="985"/>
        <v>0.36383838383838363</v>
      </c>
      <c r="Q553">
        <f t="shared" si="986"/>
        <v>836817.62964040367</v>
      </c>
      <c r="R553">
        <f t="shared" si="987"/>
        <v>6187341.8703480475</v>
      </c>
      <c r="S553">
        <f t="shared" si="988"/>
        <v>61.873418703480475</v>
      </c>
      <c r="T553">
        <f t="shared" si="989"/>
        <v>6.1873418703480475E-2</v>
      </c>
    </row>
    <row r="554" spans="1:20" x14ac:dyDescent="0.25">
      <c r="A554" s="5">
        <v>44039</v>
      </c>
      <c r="B554">
        <v>3.8199000000000001</v>
      </c>
      <c r="C554">
        <v>3.8673999999999999</v>
      </c>
      <c r="D554">
        <v>2.9367999999999999</v>
      </c>
      <c r="E554">
        <v>3.2919</v>
      </c>
      <c r="F554">
        <v>2637644.4900000002</v>
      </c>
      <c r="G554">
        <v>0</v>
      </c>
      <c r="L554" t="s">
        <v>7</v>
      </c>
      <c r="M554" t="s">
        <v>7</v>
      </c>
      <c r="N554" t="s">
        <v>7</v>
      </c>
      <c r="P554">
        <f t="shared" si="985"/>
        <v>-0.23683644960240671</v>
      </c>
      <c r="Q554">
        <f t="shared" si="986"/>
        <v>-624690.35632495082</v>
      </c>
      <c r="R554">
        <f t="shared" si="987"/>
        <v>5350524.2407076443</v>
      </c>
      <c r="S554">
        <f t="shared" si="988"/>
        <v>53.505242407076445</v>
      </c>
      <c r="T554">
        <f t="shared" si="989"/>
        <v>5.3505242407076443E-2</v>
      </c>
    </row>
    <row r="555" spans="1:20" x14ac:dyDescent="0.25">
      <c r="A555" s="5">
        <v>44038</v>
      </c>
      <c r="B555">
        <v>4.0647000000000002</v>
      </c>
      <c r="C555">
        <v>4.2126000000000001</v>
      </c>
      <c r="D555">
        <v>3.65</v>
      </c>
      <c r="E555">
        <v>3.8199000000000001</v>
      </c>
      <c r="F555">
        <v>1637101.91</v>
      </c>
      <c r="G555">
        <v>0</v>
      </c>
      <c r="L555" t="s">
        <v>7</v>
      </c>
      <c r="M555" t="s">
        <v>7</v>
      </c>
      <c r="N555" t="s">
        <v>7</v>
      </c>
      <c r="P555">
        <f t="shared" si="985"/>
        <v>-0.3960184856025592</v>
      </c>
      <c r="Q555">
        <f t="shared" si="986"/>
        <v>-648322.61917525716</v>
      </c>
      <c r="R555">
        <f t="shared" si="987"/>
        <v>5975214.5970325954</v>
      </c>
      <c r="S555">
        <f t="shared" si="988"/>
        <v>59.752145970325955</v>
      </c>
      <c r="T555">
        <f t="shared" si="989"/>
        <v>5.9752145970325958E-2</v>
      </c>
    </row>
    <row r="556" spans="1:20" x14ac:dyDescent="0.25">
      <c r="A556" s="5">
        <v>44037</v>
      </c>
      <c r="B556">
        <v>4.1959999999999997</v>
      </c>
      <c r="C556">
        <v>4.6626000000000003</v>
      </c>
      <c r="D556">
        <v>3.9266000000000001</v>
      </c>
      <c r="E556">
        <v>4.0701999999999998</v>
      </c>
      <c r="F556">
        <v>1766487.73</v>
      </c>
      <c r="G556">
        <v>0</v>
      </c>
      <c r="L556" t="s">
        <v>8</v>
      </c>
      <c r="M556" t="s">
        <v>7</v>
      </c>
      <c r="N556" t="s">
        <v>7</v>
      </c>
      <c r="P556">
        <f t="shared" si="985"/>
        <v>-0.60978260869565304</v>
      </c>
      <c r="Q556">
        <f t="shared" si="986"/>
        <v>-1077173.4962282623</v>
      </c>
      <c r="R556">
        <f t="shared" si="987"/>
        <v>6623537.2162078526</v>
      </c>
      <c r="S556">
        <f t="shared" si="988"/>
        <v>66.235372162078519</v>
      </c>
      <c r="T556">
        <f t="shared" si="989"/>
        <v>6.6235372162078518E-2</v>
      </c>
    </row>
    <row r="557" spans="1:20" x14ac:dyDescent="0.25">
      <c r="A557" s="5">
        <v>44036</v>
      </c>
      <c r="B557">
        <v>4.4401999999999999</v>
      </c>
      <c r="C557">
        <v>4.4996999999999998</v>
      </c>
      <c r="D557">
        <v>4.04</v>
      </c>
      <c r="E557">
        <v>4.2023000000000001</v>
      </c>
      <c r="F557">
        <v>1291811.3799999999</v>
      </c>
      <c r="G557">
        <v>0</v>
      </c>
      <c r="L557" t="s">
        <v>8</v>
      </c>
      <c r="M557" t="s">
        <v>7</v>
      </c>
      <c r="N557" t="s">
        <v>7</v>
      </c>
      <c r="P557">
        <f t="shared" si="985"/>
        <v>-0.29388731781596611</v>
      </c>
      <c r="Q557">
        <f t="shared" si="986"/>
        <v>-379646.98159234173</v>
      </c>
      <c r="R557">
        <f t="shared" si="987"/>
        <v>7700710.7124361154</v>
      </c>
      <c r="S557">
        <f t="shared" si="988"/>
        <v>77.007107124361156</v>
      </c>
      <c r="T557">
        <f t="shared" si="989"/>
        <v>7.7007107124361152E-2</v>
      </c>
    </row>
    <row r="558" spans="1:20" x14ac:dyDescent="0.25">
      <c r="A558" s="5">
        <v>44035</v>
      </c>
      <c r="B558">
        <v>4.5570000000000004</v>
      </c>
      <c r="C558">
        <v>4.9287999999999998</v>
      </c>
      <c r="D558">
        <v>4.0781999999999998</v>
      </c>
      <c r="E558">
        <v>4.4337999999999997</v>
      </c>
      <c r="F558">
        <v>1865684.28</v>
      </c>
      <c r="G558">
        <v>0</v>
      </c>
      <c r="L558" t="s">
        <v>7</v>
      </c>
      <c r="M558" t="s">
        <v>7</v>
      </c>
      <c r="N558" t="s">
        <v>7</v>
      </c>
      <c r="P558">
        <f t="shared" si="985"/>
        <v>-0.16388431695273947</v>
      </c>
      <c r="Q558">
        <f t="shared" si="986"/>
        <v>-305756.39387726353</v>
      </c>
      <c r="R558">
        <f t="shared" si="987"/>
        <v>8080357.6940284567</v>
      </c>
      <c r="S558">
        <f t="shared" si="988"/>
        <v>80.803576940284572</v>
      </c>
      <c r="T558">
        <f t="shared" si="989"/>
        <v>8.0803576940284574E-2</v>
      </c>
    </row>
    <row r="559" spans="1:20" x14ac:dyDescent="0.25">
      <c r="A559" s="5">
        <v>44034</v>
      </c>
      <c r="B559">
        <v>4.4889999999999999</v>
      </c>
      <c r="C559">
        <v>5.0498000000000003</v>
      </c>
      <c r="D559">
        <v>4.2614000000000001</v>
      </c>
      <c r="E559">
        <v>4.5500999999999996</v>
      </c>
      <c r="F559">
        <v>2888493.41</v>
      </c>
      <c r="G559">
        <v>0</v>
      </c>
      <c r="L559" t="s">
        <v>8</v>
      </c>
      <c r="M559" t="s">
        <v>8</v>
      </c>
      <c r="N559" t="s">
        <v>7</v>
      </c>
      <c r="P559">
        <f t="shared" si="985"/>
        <v>-0.26763064434297457</v>
      </c>
      <c r="Q559">
        <f t="shared" si="986"/>
        <v>-773049.35249873588</v>
      </c>
      <c r="R559">
        <f t="shared" si="987"/>
        <v>8386114.0879057199</v>
      </c>
      <c r="S559">
        <f t="shared" si="988"/>
        <v>83.861140879057203</v>
      </c>
      <c r="T559">
        <f t="shared" si="989"/>
        <v>8.3861140879057203E-2</v>
      </c>
    </row>
    <row r="560" spans="1:20" x14ac:dyDescent="0.25">
      <c r="A560" s="5">
        <v>44033</v>
      </c>
      <c r="B560">
        <v>3.9523999999999999</v>
      </c>
      <c r="C560">
        <v>4.88</v>
      </c>
      <c r="D560">
        <v>3.6042000000000001</v>
      </c>
      <c r="E560">
        <v>4.4907000000000004</v>
      </c>
      <c r="F560">
        <v>3477334.23</v>
      </c>
      <c r="G560">
        <v>0</v>
      </c>
      <c r="L560" t="s">
        <v>7</v>
      </c>
      <c r="M560" t="s">
        <v>7</v>
      </c>
      <c r="N560" t="s">
        <v>7</v>
      </c>
      <c r="P560">
        <f t="shared" si="985"/>
        <v>0.38971625646653146</v>
      </c>
      <c r="Q560">
        <f t="shared" si="986"/>
        <v>1355173.6785985287</v>
      </c>
      <c r="R560">
        <f t="shared" si="987"/>
        <v>9159163.4404044561</v>
      </c>
      <c r="S560">
        <f t="shared" si="988"/>
        <v>91.591634404044555</v>
      </c>
      <c r="T560">
        <f t="shared" si="989"/>
        <v>9.1591634404044553E-2</v>
      </c>
    </row>
    <row r="561" spans="1:104" x14ac:dyDescent="0.25">
      <c r="A561" s="5">
        <v>44032</v>
      </c>
      <c r="B561">
        <v>4.1900000000000004</v>
      </c>
      <c r="C561">
        <v>5.2525000000000004</v>
      </c>
      <c r="D561">
        <v>3.6084000000000001</v>
      </c>
      <c r="E561">
        <v>3.9691000000000001</v>
      </c>
      <c r="F561">
        <v>7085321.9199999999</v>
      </c>
      <c r="G561">
        <v>0</v>
      </c>
      <c r="L561" t="s">
        <v>8</v>
      </c>
      <c r="M561" t="s">
        <v>8</v>
      </c>
      <c r="N561" t="s">
        <v>8</v>
      </c>
      <c r="P561">
        <f t="shared" si="985"/>
        <v>-0.56121890395961327</v>
      </c>
      <c r="Q561">
        <f t="shared" si="986"/>
        <v>-3976416.6021434227</v>
      </c>
      <c r="R561">
        <f t="shared" si="987"/>
        <v>7803989.7618059264</v>
      </c>
      <c r="S561">
        <f t="shared" si="988"/>
        <v>78.039897618059271</v>
      </c>
      <c r="T561">
        <f t="shared" si="989"/>
        <v>7.8039897618059267E-2</v>
      </c>
      <c r="CZ561" t="s">
        <v>7</v>
      </c>
    </row>
    <row r="562" spans="1:104" x14ac:dyDescent="0.25">
      <c r="A562" s="5">
        <v>44031</v>
      </c>
      <c r="B562">
        <v>3.16</v>
      </c>
      <c r="C562">
        <v>4.2690000000000001</v>
      </c>
      <c r="D562">
        <v>2.9826999999999999</v>
      </c>
      <c r="E562">
        <v>4.1801000000000004</v>
      </c>
      <c r="F562">
        <v>4322700.51</v>
      </c>
      <c r="G562">
        <v>0</v>
      </c>
      <c r="L562" t="s">
        <v>8</v>
      </c>
      <c r="M562" t="s">
        <v>8</v>
      </c>
      <c r="N562" t="s">
        <v>8</v>
      </c>
      <c r="P562">
        <f t="shared" si="985"/>
        <v>0.86177408069657191</v>
      </c>
      <c r="Q562">
        <f t="shared" si="986"/>
        <v>3725191.2581318524</v>
      </c>
      <c r="R562">
        <f t="shared" si="987"/>
        <v>11780406.363949349</v>
      </c>
      <c r="S562">
        <f t="shared" si="988"/>
        <v>117.80406363949349</v>
      </c>
      <c r="T562">
        <f t="shared" si="989"/>
        <v>0.11780406363949349</v>
      </c>
      <c r="CZ562" t="s">
        <v>7</v>
      </c>
    </row>
    <row r="563" spans="1:104" x14ac:dyDescent="0.25">
      <c r="A563" s="5">
        <v>44030</v>
      </c>
      <c r="B563">
        <v>2.5615999999999999</v>
      </c>
      <c r="C563">
        <v>3.198</v>
      </c>
      <c r="D563">
        <v>2.4</v>
      </c>
      <c r="E563">
        <v>3.1669999999999998</v>
      </c>
      <c r="F563">
        <v>2444638.33</v>
      </c>
      <c r="G563">
        <v>0</v>
      </c>
      <c r="L563" t="s">
        <v>8</v>
      </c>
      <c r="M563" t="s">
        <v>8</v>
      </c>
      <c r="N563" t="s">
        <v>8</v>
      </c>
      <c r="P563">
        <f t="shared" si="985"/>
        <v>0.92230576441102718</v>
      </c>
      <c r="Q563">
        <f t="shared" si="986"/>
        <v>2254704.0236591469</v>
      </c>
      <c r="R563">
        <f t="shared" si="987"/>
        <v>8055215.1058174968</v>
      </c>
      <c r="S563">
        <f t="shared" si="988"/>
        <v>80.552151058174971</v>
      </c>
      <c r="T563">
        <f t="shared" si="989"/>
        <v>8.0552151058174967E-2</v>
      </c>
      <c r="CZ563" t="s">
        <v>7</v>
      </c>
    </row>
    <row r="564" spans="1:104" x14ac:dyDescent="0.25">
      <c r="A564" s="5">
        <v>44029</v>
      </c>
      <c r="B564">
        <v>2.4035000000000002</v>
      </c>
      <c r="C564">
        <v>2.6198000000000001</v>
      </c>
      <c r="D564">
        <v>2.3593999999999999</v>
      </c>
      <c r="E564">
        <v>2.5539999999999998</v>
      </c>
      <c r="F564">
        <v>1022470.44</v>
      </c>
      <c r="G564">
        <v>0</v>
      </c>
      <c r="L564" t="s">
        <v>8</v>
      </c>
      <c r="M564" t="s">
        <v>8</v>
      </c>
      <c r="N564" t="s">
        <v>8</v>
      </c>
      <c r="P564">
        <f t="shared" si="985"/>
        <v>0.49462365591397656</v>
      </c>
      <c r="Q564">
        <f t="shared" si="986"/>
        <v>505738.0670967722</v>
      </c>
      <c r="R564">
        <f t="shared" si="987"/>
        <v>5800511.0821583504</v>
      </c>
      <c r="S564">
        <f t="shared" si="988"/>
        <v>58.005110821583507</v>
      </c>
      <c r="T564">
        <f t="shared" si="989"/>
        <v>5.8005110821583508E-2</v>
      </c>
    </row>
    <row r="565" spans="1:104" x14ac:dyDescent="0.25">
      <c r="A565" s="5">
        <v>44028</v>
      </c>
      <c r="B565">
        <v>2.5931999999999999</v>
      </c>
      <c r="C565">
        <v>2.6459999999999999</v>
      </c>
      <c r="D565">
        <v>2.262</v>
      </c>
      <c r="E565">
        <v>2.3944999999999999</v>
      </c>
      <c r="F565">
        <v>1637553.95</v>
      </c>
      <c r="G565">
        <v>0</v>
      </c>
      <c r="L565" t="s">
        <v>7</v>
      </c>
      <c r="M565" t="s">
        <v>8</v>
      </c>
      <c r="N565" t="s">
        <v>8</v>
      </c>
      <c r="P565">
        <f t="shared" si="985"/>
        <v>-0.30989583333333398</v>
      </c>
      <c r="Q565">
        <f t="shared" si="986"/>
        <v>-507471.14596354269</v>
      </c>
      <c r="R565">
        <f t="shared" si="987"/>
        <v>5294773.0150615778</v>
      </c>
      <c r="S565">
        <f t="shared" si="988"/>
        <v>52.947730150615776</v>
      </c>
      <c r="T565">
        <f t="shared" si="989"/>
        <v>5.2947730150615775E-2</v>
      </c>
    </row>
    <row r="566" spans="1:104" x14ac:dyDescent="0.25">
      <c r="A566" s="5">
        <v>44027</v>
      </c>
      <c r="B566">
        <v>2.4397000000000002</v>
      </c>
      <c r="C566">
        <v>2.65</v>
      </c>
      <c r="D566">
        <v>2.3441999999999998</v>
      </c>
      <c r="E566">
        <v>2.5931999999999999</v>
      </c>
      <c r="F566">
        <v>1947863.94</v>
      </c>
      <c r="G566">
        <v>0</v>
      </c>
      <c r="L566" t="s">
        <v>8</v>
      </c>
      <c r="M566" t="s">
        <v>8</v>
      </c>
      <c r="N566" t="s">
        <v>8</v>
      </c>
      <c r="P566">
        <f t="shared" si="985"/>
        <v>0.62851536952256415</v>
      </c>
      <c r="Q566">
        <f t="shared" si="986"/>
        <v>1224262.4240287778</v>
      </c>
      <c r="R566">
        <f t="shared" si="987"/>
        <v>5802244.1610251209</v>
      </c>
      <c r="S566">
        <f t="shared" si="988"/>
        <v>58.022441610251207</v>
      </c>
      <c r="T566">
        <f t="shared" si="989"/>
        <v>5.8022441610251205E-2</v>
      </c>
    </row>
    <row r="567" spans="1:104" x14ac:dyDescent="0.25">
      <c r="A567" s="5">
        <v>44026</v>
      </c>
      <c r="B567">
        <v>2.1189</v>
      </c>
      <c r="C567">
        <v>2.48</v>
      </c>
      <c r="D567">
        <v>2.0699999999999998</v>
      </c>
      <c r="E567">
        <v>2.4398</v>
      </c>
      <c r="F567">
        <v>2513943.83</v>
      </c>
      <c r="G567">
        <v>0</v>
      </c>
      <c r="L567" t="s">
        <v>7</v>
      </c>
      <c r="M567" t="s">
        <v>7</v>
      </c>
      <c r="N567" t="s">
        <v>8</v>
      </c>
      <c r="P567">
        <f t="shared" si="985"/>
        <v>0.80390243902439029</v>
      </c>
      <c r="Q567">
        <f t="shared" si="986"/>
        <v>2020965.5765073174</v>
      </c>
      <c r="R567">
        <f t="shared" si="987"/>
        <v>4577981.7369963434</v>
      </c>
      <c r="S567">
        <f t="shared" si="988"/>
        <v>45.779817369963432</v>
      </c>
      <c r="T567">
        <f t="shared" si="989"/>
        <v>4.5779817369963435E-2</v>
      </c>
    </row>
    <row r="568" spans="1:104" x14ac:dyDescent="0.25">
      <c r="A568" s="5">
        <v>44025</v>
      </c>
      <c r="B568">
        <v>2.0238</v>
      </c>
      <c r="C568">
        <v>2.4950000000000001</v>
      </c>
      <c r="D568">
        <v>1.9794</v>
      </c>
      <c r="E568">
        <v>2.1164999999999998</v>
      </c>
      <c r="F568">
        <v>4283512.0999999996</v>
      </c>
      <c r="G568">
        <v>0</v>
      </c>
      <c r="L568" t="s">
        <v>8</v>
      </c>
      <c r="M568" t="s">
        <v>8</v>
      </c>
      <c r="N568" t="s">
        <v>8</v>
      </c>
      <c r="P568">
        <f t="shared" si="985"/>
        <v>-0.46819239720713823</v>
      </c>
      <c r="Q568">
        <f t="shared" si="986"/>
        <v>-2005507.7985647826</v>
      </c>
      <c r="R568">
        <f t="shared" si="987"/>
        <v>2557016.1604890255</v>
      </c>
      <c r="S568">
        <f t="shared" si="988"/>
        <v>25.570161604890256</v>
      </c>
      <c r="T568">
        <f t="shared" si="989"/>
        <v>2.5570161604890257E-2</v>
      </c>
    </row>
    <row r="569" spans="1:104" x14ac:dyDescent="0.25">
      <c r="A569" s="5">
        <v>44024</v>
      </c>
      <c r="B569">
        <v>1.8793</v>
      </c>
      <c r="C569">
        <v>2.0750000000000002</v>
      </c>
      <c r="D569">
        <v>1.7807999999999999</v>
      </c>
      <c r="E569">
        <v>2.0236999999999998</v>
      </c>
      <c r="F569">
        <v>1819231.31</v>
      </c>
      <c r="G569">
        <v>0</v>
      </c>
      <c r="L569" t="s">
        <v>8</v>
      </c>
      <c r="M569" t="s">
        <v>8</v>
      </c>
      <c r="N569" t="s">
        <v>8</v>
      </c>
      <c r="P569">
        <f t="shared" si="985"/>
        <v>0.65125764785859752</v>
      </c>
      <c r="Q569">
        <f t="shared" si="986"/>
        <v>1184788.3038613151</v>
      </c>
      <c r="R569">
        <f t="shared" si="987"/>
        <v>4562523.9590538079</v>
      </c>
      <c r="S569">
        <f t="shared" si="988"/>
        <v>45.625239590538079</v>
      </c>
      <c r="T569">
        <f t="shared" si="989"/>
        <v>4.5625239590538082E-2</v>
      </c>
    </row>
    <row r="570" spans="1:104" x14ac:dyDescent="0.25">
      <c r="A570" s="5">
        <v>44023</v>
      </c>
      <c r="B570">
        <v>1.6621999999999999</v>
      </c>
      <c r="C570">
        <v>2.0101</v>
      </c>
      <c r="D570">
        <v>1.6413</v>
      </c>
      <c r="E570">
        <v>1.8796999999999999</v>
      </c>
      <c r="F570">
        <v>1880061.8</v>
      </c>
      <c r="G570">
        <v>0</v>
      </c>
      <c r="L570" t="s">
        <v>8</v>
      </c>
      <c r="M570" t="s">
        <v>8</v>
      </c>
      <c r="N570" t="s">
        <v>8</v>
      </c>
      <c r="P570">
        <f t="shared" si="985"/>
        <v>0.29284164859002132</v>
      </c>
      <c r="Q570">
        <f t="shared" si="986"/>
        <v>550560.396963123</v>
      </c>
      <c r="R570">
        <f t="shared" si="987"/>
        <v>3377735.6551924925</v>
      </c>
      <c r="S570">
        <f t="shared" si="988"/>
        <v>33.777356551924925</v>
      </c>
      <c r="T570">
        <f t="shared" si="989"/>
        <v>3.3777356551924924E-2</v>
      </c>
    </row>
    <row r="571" spans="1:104" x14ac:dyDescent="0.25">
      <c r="A571" s="5">
        <v>44022</v>
      </c>
      <c r="B571">
        <v>1.6956</v>
      </c>
      <c r="C571">
        <v>1.7059</v>
      </c>
      <c r="D571">
        <v>1.5589999999999999</v>
      </c>
      <c r="E571">
        <v>1.6594</v>
      </c>
      <c r="F571">
        <v>984151.57</v>
      </c>
      <c r="G571">
        <v>0</v>
      </c>
      <c r="L571" t="s">
        <v>8</v>
      </c>
      <c r="M571" t="s">
        <v>8</v>
      </c>
      <c r="N571" t="s">
        <v>8</v>
      </c>
      <c r="P571">
        <f t="shared" si="985"/>
        <v>0.36691626957113715</v>
      </c>
      <c r="Q571">
        <f t="shared" si="986"/>
        <v>361101.22275697783</v>
      </c>
      <c r="R571">
        <f t="shared" si="987"/>
        <v>2827175.2582293698</v>
      </c>
      <c r="S571">
        <f t="shared" si="988"/>
        <v>28.271752582293697</v>
      </c>
      <c r="T571">
        <f t="shared" si="989"/>
        <v>2.8271752582293697E-2</v>
      </c>
    </row>
    <row r="572" spans="1:104" x14ac:dyDescent="0.25">
      <c r="A572" s="5">
        <v>44021</v>
      </c>
      <c r="B572">
        <v>1.6930000000000001</v>
      </c>
      <c r="C572">
        <v>1.7196</v>
      </c>
      <c r="D572">
        <v>1.5179</v>
      </c>
      <c r="E572">
        <v>1.6952</v>
      </c>
      <c r="F572">
        <v>1722604.39</v>
      </c>
      <c r="G572">
        <v>0</v>
      </c>
      <c r="L572" t="s">
        <v>7</v>
      </c>
      <c r="M572" t="s">
        <v>8</v>
      </c>
      <c r="N572" t="s">
        <v>8</v>
      </c>
      <c r="P572">
        <f t="shared" si="985"/>
        <v>0.75805651958354014</v>
      </c>
      <c r="Q572">
        <f t="shared" si="986"/>
        <v>1305831.4885027271</v>
      </c>
      <c r="R572">
        <f t="shared" si="987"/>
        <v>2466074.0354723921</v>
      </c>
      <c r="S572">
        <f t="shared" si="988"/>
        <v>24.66074035472392</v>
      </c>
      <c r="T572">
        <f t="shared" si="989"/>
        <v>2.4660740354723921E-2</v>
      </c>
    </row>
    <row r="573" spans="1:104" x14ac:dyDescent="0.25">
      <c r="A573" s="5">
        <v>44020</v>
      </c>
      <c r="B573">
        <v>1.3567</v>
      </c>
      <c r="C573">
        <v>1.7131000000000001</v>
      </c>
      <c r="D573">
        <v>1.3408</v>
      </c>
      <c r="E573">
        <v>1.6907000000000001</v>
      </c>
      <c r="F573">
        <v>3131750.25</v>
      </c>
      <c r="G573">
        <v>0</v>
      </c>
      <c r="L573" t="s">
        <v>8</v>
      </c>
      <c r="M573" t="s">
        <v>8</v>
      </c>
      <c r="N573" t="s">
        <v>8</v>
      </c>
      <c r="P573">
        <f t="shared" si="985"/>
        <v>0.8796669352672577</v>
      </c>
      <c r="Q573">
        <f t="shared" si="986"/>
        <v>2754897.1444399683</v>
      </c>
      <c r="R573">
        <f t="shared" si="987"/>
        <v>1160242.546969665</v>
      </c>
      <c r="S573">
        <f t="shared" si="988"/>
        <v>11.60242546969665</v>
      </c>
      <c r="T573">
        <f t="shared" si="989"/>
        <v>1.1602425469696649E-2</v>
      </c>
    </row>
    <row r="574" spans="1:104" x14ac:dyDescent="0.25">
      <c r="A574" s="5">
        <v>44019</v>
      </c>
      <c r="B574">
        <v>1.2121</v>
      </c>
      <c r="C574">
        <v>1.3576999999999999</v>
      </c>
      <c r="D574">
        <v>1.161</v>
      </c>
      <c r="E574">
        <v>1.3567</v>
      </c>
      <c r="F574">
        <v>2005155.49</v>
      </c>
      <c r="G574">
        <v>0</v>
      </c>
      <c r="L574" t="s">
        <v>8</v>
      </c>
      <c r="M574" t="s">
        <v>8</v>
      </c>
      <c r="N574" t="s">
        <v>8</v>
      </c>
      <c r="P574">
        <f t="shared" si="985"/>
        <v>0.98983223182511548</v>
      </c>
      <c r="Q574">
        <f t="shared" si="986"/>
        <v>1984767.5338230829</v>
      </c>
      <c r="R574">
        <f t="shared" si="987"/>
        <v>-1594654.5974703033</v>
      </c>
      <c r="S574">
        <f t="shared" si="988"/>
        <v>-15.946545974703033</v>
      </c>
      <c r="T574">
        <f t="shared" si="989"/>
        <v>-1.5946545974703033E-2</v>
      </c>
    </row>
    <row r="575" spans="1:104" x14ac:dyDescent="0.25">
      <c r="A575" s="5">
        <v>44018</v>
      </c>
      <c r="B575">
        <v>1.0934999999999999</v>
      </c>
      <c r="C575">
        <v>1.2157</v>
      </c>
      <c r="D575">
        <v>1.0683</v>
      </c>
      <c r="E575">
        <v>1.212</v>
      </c>
      <c r="F575">
        <v>1299540.47</v>
      </c>
      <c r="G575">
        <v>0</v>
      </c>
      <c r="L575" t="s">
        <v>8</v>
      </c>
      <c r="M575" t="s">
        <v>8</v>
      </c>
      <c r="N575" t="s">
        <v>7</v>
      </c>
      <c r="P575">
        <f t="shared" si="985"/>
        <v>0.94979647218453134</v>
      </c>
      <c r="Q575">
        <f t="shared" si="986"/>
        <v>1234298.9538670278</v>
      </c>
      <c r="R575">
        <f t="shared" si="987"/>
        <v>-3579422.1312933862</v>
      </c>
      <c r="S575">
        <f t="shared" si="988"/>
        <v>-35.794221312933864</v>
      </c>
      <c r="T575">
        <f t="shared" si="989"/>
        <v>-3.5794221312933867E-2</v>
      </c>
    </row>
    <row r="576" spans="1:104" x14ac:dyDescent="0.25">
      <c r="A576" s="5">
        <v>44017</v>
      </c>
      <c r="B576">
        <v>1.1073</v>
      </c>
      <c r="C576">
        <v>1.1389</v>
      </c>
      <c r="D576">
        <v>1.0767</v>
      </c>
      <c r="E576">
        <v>1.0931999999999999</v>
      </c>
      <c r="F576">
        <v>465301.36</v>
      </c>
      <c r="G576">
        <v>0</v>
      </c>
      <c r="L576" t="s">
        <v>8</v>
      </c>
      <c r="M576" t="s">
        <v>8</v>
      </c>
      <c r="N576" t="s">
        <v>7</v>
      </c>
      <c r="P576">
        <f t="shared" si="985"/>
        <v>-0.46945337620578936</v>
      </c>
      <c r="Q576">
        <f t="shared" si="986"/>
        <v>-218437.29440514543</v>
      </c>
      <c r="R576">
        <f t="shared" si="987"/>
        <v>-4813721.0851604138</v>
      </c>
      <c r="S576">
        <f t="shared" si="988"/>
        <v>-48.137210851604138</v>
      </c>
      <c r="T576">
        <f t="shared" si="989"/>
        <v>-4.8137210851604141E-2</v>
      </c>
    </row>
    <row r="577" spans="1:20" x14ac:dyDescent="0.25">
      <c r="A577" s="5">
        <v>44016</v>
      </c>
      <c r="B577">
        <v>1.0777000000000001</v>
      </c>
      <c r="C577">
        <v>1.145</v>
      </c>
      <c r="D577">
        <v>1.0716000000000001</v>
      </c>
      <c r="E577">
        <v>1.1073</v>
      </c>
      <c r="F577">
        <v>569664.06999999995</v>
      </c>
      <c r="G577">
        <v>0</v>
      </c>
      <c r="L577" t="s">
        <v>8</v>
      </c>
      <c r="M577" t="s">
        <v>8</v>
      </c>
      <c r="N577" t="s">
        <v>7</v>
      </c>
      <c r="P577">
        <f t="shared" si="985"/>
        <v>-2.7247956403272839E-2</v>
      </c>
      <c r="Q577">
        <f t="shared" si="986"/>
        <v>-15522.181743870966</v>
      </c>
      <c r="R577">
        <f t="shared" si="987"/>
        <v>-4595283.7907552682</v>
      </c>
      <c r="S577">
        <f t="shared" si="988"/>
        <v>-45.952837907552684</v>
      </c>
      <c r="T577">
        <f t="shared" si="989"/>
        <v>-4.5952837907552682E-2</v>
      </c>
    </row>
    <row r="578" spans="1:20" x14ac:dyDescent="0.25">
      <c r="A578" s="5">
        <v>44015</v>
      </c>
      <c r="B578">
        <v>1.1005</v>
      </c>
      <c r="C578">
        <v>1.1066</v>
      </c>
      <c r="D578">
        <v>1.0586</v>
      </c>
      <c r="E578">
        <v>1.0794999999999999</v>
      </c>
      <c r="F578">
        <v>748595.02</v>
      </c>
      <c r="G578">
        <v>0</v>
      </c>
      <c r="L578" t="s">
        <v>7</v>
      </c>
      <c r="M578" t="s">
        <v>8</v>
      </c>
      <c r="N578" t="s">
        <v>7</v>
      </c>
      <c r="P578">
        <f t="shared" si="985"/>
        <v>-0.12916666666667084</v>
      </c>
      <c r="Q578">
        <f t="shared" si="986"/>
        <v>-96693.523416669792</v>
      </c>
      <c r="R578">
        <f t="shared" si="987"/>
        <v>-4579761.6090113968</v>
      </c>
      <c r="S578">
        <f t="shared" si="988"/>
        <v>-45.797616090113969</v>
      </c>
      <c r="T578">
        <f t="shared" si="989"/>
        <v>-4.5797616090113971E-2</v>
      </c>
    </row>
    <row r="579" spans="1:20" x14ac:dyDescent="0.25">
      <c r="A579" s="5">
        <v>44014</v>
      </c>
      <c r="B579">
        <v>1.0861000000000001</v>
      </c>
      <c r="C579">
        <v>1.2296</v>
      </c>
      <c r="D579">
        <v>1.0861000000000001</v>
      </c>
      <c r="E579">
        <v>1.1006</v>
      </c>
      <c r="F579">
        <v>1164104.8700000001</v>
      </c>
      <c r="G579">
        <v>0</v>
      </c>
      <c r="L579" t="s">
        <v>8</v>
      </c>
      <c r="M579" t="s">
        <v>8</v>
      </c>
      <c r="N579" t="s">
        <v>7</v>
      </c>
      <c r="P579">
        <f t="shared" si="985"/>
        <v>-0.79790940766550578</v>
      </c>
      <c r="Q579">
        <f t="shared" si="986"/>
        <v>-928850.22728223074</v>
      </c>
      <c r="R579">
        <f t="shared" si="987"/>
        <v>-4483068.0855947267</v>
      </c>
      <c r="S579">
        <f t="shared" si="988"/>
        <v>-44.830680855947264</v>
      </c>
      <c r="T579">
        <f t="shared" si="989"/>
        <v>-4.4830680855947262E-2</v>
      </c>
    </row>
    <row r="580" spans="1:20" x14ac:dyDescent="0.25">
      <c r="A580" s="5">
        <v>44013</v>
      </c>
      <c r="B580">
        <v>1.0962000000000001</v>
      </c>
      <c r="C580">
        <v>1.1299999999999999</v>
      </c>
      <c r="D580">
        <v>1.0843</v>
      </c>
      <c r="E580">
        <v>1.0861000000000001</v>
      </c>
      <c r="F580">
        <v>414041.44</v>
      </c>
      <c r="G580">
        <v>0</v>
      </c>
      <c r="L580" t="s">
        <v>7</v>
      </c>
      <c r="M580" t="s">
        <v>8</v>
      </c>
      <c r="N580" t="s">
        <v>7</v>
      </c>
      <c r="P580">
        <f t="shared" si="985"/>
        <v>-0.92122538293216505</v>
      </c>
      <c r="Q580">
        <f t="shared" si="986"/>
        <v>-381425.48411378503</v>
      </c>
      <c r="R580">
        <f t="shared" si="987"/>
        <v>-3554217.8583124964</v>
      </c>
      <c r="S580">
        <f t="shared" si="988"/>
        <v>-35.542178583124965</v>
      </c>
      <c r="T580">
        <f t="shared" si="989"/>
        <v>-3.5542178583124966E-2</v>
      </c>
    </row>
    <row r="581" spans="1:20" x14ac:dyDescent="0.25">
      <c r="A581" s="5">
        <v>44012</v>
      </c>
      <c r="B581">
        <v>1.1508</v>
      </c>
      <c r="C581">
        <v>1.1777</v>
      </c>
      <c r="D581">
        <v>1.0929</v>
      </c>
      <c r="E581">
        <v>1.0959000000000001</v>
      </c>
      <c r="F581">
        <v>495166.1</v>
      </c>
      <c r="G581">
        <v>0</v>
      </c>
      <c r="L581" t="s">
        <v>8</v>
      </c>
      <c r="M581" t="s">
        <v>8</v>
      </c>
      <c r="N581" t="s">
        <v>7</v>
      </c>
      <c r="P581">
        <f t="shared" si="985"/>
        <v>-0.92924528301886522</v>
      </c>
      <c r="Q581">
        <f t="shared" si="986"/>
        <v>-460130.76273584767</v>
      </c>
      <c r="R581">
        <f t="shared" si="987"/>
        <v>-3172792.3741987115</v>
      </c>
      <c r="S581">
        <f t="shared" si="988"/>
        <v>-31.727923741987116</v>
      </c>
      <c r="T581">
        <f t="shared" si="989"/>
        <v>-3.1727923741987116E-2</v>
      </c>
    </row>
    <row r="582" spans="1:20" x14ac:dyDescent="0.25">
      <c r="A582" s="5">
        <v>44011</v>
      </c>
      <c r="B582">
        <v>1.1057999999999999</v>
      </c>
      <c r="C582">
        <v>1.1617</v>
      </c>
      <c r="D582">
        <v>1.0763</v>
      </c>
      <c r="E582">
        <v>1.1506000000000001</v>
      </c>
      <c r="F582">
        <v>482483.49</v>
      </c>
      <c r="G582">
        <v>0</v>
      </c>
      <c r="L582" t="s">
        <v>8</v>
      </c>
      <c r="M582" t="s">
        <v>8</v>
      </c>
      <c r="N582" t="s">
        <v>7</v>
      </c>
      <c r="P582">
        <f t="shared" ref="P582:P645" si="990">IF(C582=D582,0,((E582-D582)-(C582-E582))/(C582-D582))</f>
        <v>0.74004683840749652</v>
      </c>
      <c r="Q582">
        <f t="shared" ref="Q582:Q645" si="991">F582*P582</f>
        <v>357060.38135831495</v>
      </c>
      <c r="R582">
        <f t="shared" ref="R582:R645" si="992">R583+Q582</f>
        <v>-2712661.6114628636</v>
      </c>
      <c r="S582">
        <f t="shared" ref="S582:S645" si="993">R582/100000</f>
        <v>-27.126616114628636</v>
      </c>
      <c r="T582">
        <f t="shared" ref="T582:T645" si="994">S582/1000</f>
        <v>-2.7126616114628636E-2</v>
      </c>
    </row>
    <row r="583" spans="1:20" x14ac:dyDescent="0.25">
      <c r="A583" s="5">
        <v>44010</v>
      </c>
      <c r="B583">
        <v>1.0449999999999999</v>
      </c>
      <c r="C583">
        <v>1.1349</v>
      </c>
      <c r="D583">
        <v>1.0309999999999999</v>
      </c>
      <c r="E583">
        <v>1.1071</v>
      </c>
      <c r="F583">
        <v>483088.56</v>
      </c>
      <c r="G583">
        <v>0</v>
      </c>
      <c r="L583" t="s">
        <v>8</v>
      </c>
      <c r="M583" t="s">
        <v>7</v>
      </c>
      <c r="N583" t="s">
        <v>7</v>
      </c>
      <c r="P583">
        <f t="shared" si="990"/>
        <v>0.46487006737247316</v>
      </c>
      <c r="Q583">
        <f t="shared" si="991"/>
        <v>224573.41143407105</v>
      </c>
      <c r="R583">
        <f t="shared" si="992"/>
        <v>-3069721.9928211784</v>
      </c>
      <c r="S583">
        <f t="shared" si="993"/>
        <v>-30.697219928211783</v>
      </c>
      <c r="T583">
        <f t="shared" si="994"/>
        <v>-3.0697219928211783E-2</v>
      </c>
    </row>
    <row r="584" spans="1:20" x14ac:dyDescent="0.25">
      <c r="A584" s="5">
        <v>44009</v>
      </c>
      <c r="B584">
        <v>1.1612</v>
      </c>
      <c r="C584">
        <v>1.1859</v>
      </c>
      <c r="D584">
        <v>0.98009999999999997</v>
      </c>
      <c r="E584">
        <v>1.0448999999999999</v>
      </c>
      <c r="F584">
        <v>931999.1</v>
      </c>
      <c r="G584">
        <v>0</v>
      </c>
      <c r="L584" t="s">
        <v>7</v>
      </c>
      <c r="M584" t="s">
        <v>7</v>
      </c>
      <c r="N584" t="s">
        <v>7</v>
      </c>
      <c r="P584">
        <f t="shared" si="990"/>
        <v>-0.37026239067055416</v>
      </c>
      <c r="Q584">
        <f t="shared" si="991"/>
        <v>-345084.21486880485</v>
      </c>
      <c r="R584">
        <f t="shared" si="992"/>
        <v>-3294295.4042552495</v>
      </c>
      <c r="S584">
        <f t="shared" si="993"/>
        <v>-32.942954042552493</v>
      </c>
      <c r="T584">
        <f t="shared" si="994"/>
        <v>-3.2942954042552493E-2</v>
      </c>
    </row>
    <row r="585" spans="1:20" x14ac:dyDescent="0.25">
      <c r="A585" s="5">
        <v>44008</v>
      </c>
      <c r="B585">
        <v>1.2289000000000001</v>
      </c>
      <c r="C585">
        <v>1.2487999999999999</v>
      </c>
      <c r="D585">
        <v>1.1200000000000001</v>
      </c>
      <c r="E585">
        <v>1.1649</v>
      </c>
      <c r="F585">
        <v>1087796.03</v>
      </c>
      <c r="G585">
        <v>0</v>
      </c>
      <c r="L585" t="s">
        <v>7</v>
      </c>
      <c r="M585" t="s">
        <v>7</v>
      </c>
      <c r="N585" t="s">
        <v>7</v>
      </c>
      <c r="P585">
        <f t="shared" si="990"/>
        <v>-0.3027950310559005</v>
      </c>
      <c r="Q585">
        <f t="shared" si="991"/>
        <v>-329379.23268633528</v>
      </c>
      <c r="R585">
        <f t="shared" si="992"/>
        <v>-2949211.1893864446</v>
      </c>
      <c r="S585">
        <f t="shared" si="993"/>
        <v>-29.492111893864447</v>
      </c>
      <c r="T585">
        <f t="shared" si="994"/>
        <v>-2.9492111893864446E-2</v>
      </c>
    </row>
    <row r="586" spans="1:20" x14ac:dyDescent="0.25">
      <c r="A586" s="5">
        <v>44007</v>
      </c>
      <c r="B586">
        <v>1.2730999999999999</v>
      </c>
      <c r="C586">
        <v>1.2776000000000001</v>
      </c>
      <c r="D586">
        <v>1.2087000000000001</v>
      </c>
      <c r="E586">
        <v>1.2290000000000001</v>
      </c>
      <c r="F586">
        <v>519061.6</v>
      </c>
      <c r="G586">
        <v>0</v>
      </c>
      <c r="L586" t="s">
        <v>7</v>
      </c>
      <c r="M586" t="s">
        <v>7</v>
      </c>
      <c r="N586" t="s">
        <v>7</v>
      </c>
      <c r="P586">
        <f t="shared" si="990"/>
        <v>-0.4107402031930335</v>
      </c>
      <c r="Q586">
        <f t="shared" si="991"/>
        <v>-213199.46705370108</v>
      </c>
      <c r="R586">
        <f t="shared" si="992"/>
        <v>-2619831.9567001094</v>
      </c>
      <c r="S586">
        <f t="shared" si="993"/>
        <v>-26.198319567001093</v>
      </c>
      <c r="T586">
        <f t="shared" si="994"/>
        <v>-2.6198319567001093E-2</v>
      </c>
    </row>
    <row r="587" spans="1:20" x14ac:dyDescent="0.25">
      <c r="A587" s="5">
        <v>44006</v>
      </c>
      <c r="B587">
        <v>1.2994000000000001</v>
      </c>
      <c r="C587">
        <v>1.3299000000000001</v>
      </c>
      <c r="D587">
        <v>1.2345999999999999</v>
      </c>
      <c r="E587">
        <v>1.2733000000000001</v>
      </c>
      <c r="F587">
        <v>767759.59</v>
      </c>
      <c r="G587">
        <v>0</v>
      </c>
      <c r="L587" t="s">
        <v>7</v>
      </c>
      <c r="M587" t="s">
        <v>7</v>
      </c>
      <c r="N587" t="s">
        <v>7</v>
      </c>
      <c r="P587">
        <f t="shared" si="990"/>
        <v>-0.18782791185729039</v>
      </c>
      <c r="Q587">
        <f t="shared" si="991"/>
        <v>-144206.68059810941</v>
      </c>
      <c r="R587">
        <f t="shared" si="992"/>
        <v>-2406632.4896464082</v>
      </c>
      <c r="S587">
        <f t="shared" si="993"/>
        <v>-24.066324896464081</v>
      </c>
      <c r="T587">
        <f t="shared" si="994"/>
        <v>-2.406632489646408E-2</v>
      </c>
    </row>
    <row r="588" spans="1:20" x14ac:dyDescent="0.25">
      <c r="A588" s="5">
        <v>44005</v>
      </c>
      <c r="B588">
        <v>1.3105</v>
      </c>
      <c r="C588">
        <v>1.3769</v>
      </c>
      <c r="D588">
        <v>1.2603</v>
      </c>
      <c r="E588">
        <v>1.2994000000000001</v>
      </c>
      <c r="F588">
        <v>1039096.98</v>
      </c>
      <c r="G588">
        <v>0</v>
      </c>
      <c r="L588" t="s">
        <v>8</v>
      </c>
      <c r="M588" t="s">
        <v>7</v>
      </c>
      <c r="N588" t="s">
        <v>7</v>
      </c>
      <c r="P588">
        <f t="shared" si="990"/>
        <v>-0.3293310463121763</v>
      </c>
      <c r="Q588">
        <f t="shared" si="991"/>
        <v>-342206.89564322255</v>
      </c>
      <c r="R588">
        <f t="shared" si="992"/>
        <v>-2262425.8090482987</v>
      </c>
      <c r="S588">
        <f t="shared" si="993"/>
        <v>-22.624258090482986</v>
      </c>
      <c r="T588">
        <f t="shared" si="994"/>
        <v>-2.2624258090482987E-2</v>
      </c>
    </row>
    <row r="589" spans="1:20" x14ac:dyDescent="0.25">
      <c r="A589" s="5">
        <v>44004</v>
      </c>
      <c r="B589">
        <v>1.2383999999999999</v>
      </c>
      <c r="C589">
        <v>1.3156000000000001</v>
      </c>
      <c r="D589">
        <v>1.2376</v>
      </c>
      <c r="E589">
        <v>1.3105</v>
      </c>
      <c r="F589">
        <v>665133.18000000005</v>
      </c>
      <c r="G589">
        <v>0</v>
      </c>
      <c r="L589" t="s">
        <v>7</v>
      </c>
      <c r="M589" t="s">
        <v>7</v>
      </c>
      <c r="N589" t="s">
        <v>7</v>
      </c>
      <c r="P589">
        <f t="shared" si="990"/>
        <v>0.8692307692307667</v>
      </c>
      <c r="Q589">
        <f t="shared" si="991"/>
        <v>578154.22569230606</v>
      </c>
      <c r="R589">
        <f t="shared" si="992"/>
        <v>-1920218.9134050761</v>
      </c>
      <c r="S589">
        <f t="shared" si="993"/>
        <v>-19.202189134050762</v>
      </c>
      <c r="T589">
        <f t="shared" si="994"/>
        <v>-1.9202189134050762E-2</v>
      </c>
    </row>
    <row r="590" spans="1:20" x14ac:dyDescent="0.25">
      <c r="A590" s="5">
        <v>44003</v>
      </c>
      <c r="B590">
        <v>1.2887999999999999</v>
      </c>
      <c r="C590">
        <v>1.3008</v>
      </c>
      <c r="D590">
        <v>1.2366999999999999</v>
      </c>
      <c r="E590">
        <v>1.2439</v>
      </c>
      <c r="F590">
        <v>520955.89</v>
      </c>
      <c r="G590">
        <v>0</v>
      </c>
      <c r="L590" t="s">
        <v>7</v>
      </c>
      <c r="M590" t="s">
        <v>7</v>
      </c>
      <c r="N590" t="s">
        <v>7</v>
      </c>
      <c r="P590">
        <f t="shared" si="990"/>
        <v>-0.77535101404055884</v>
      </c>
      <c r="Q590">
        <f t="shared" si="991"/>
        <v>-403923.67758190184</v>
      </c>
      <c r="R590">
        <f t="shared" si="992"/>
        <v>-2498373.1390973823</v>
      </c>
      <c r="S590">
        <f t="shared" si="993"/>
        <v>-24.983731390973823</v>
      </c>
      <c r="T590">
        <f t="shared" si="994"/>
        <v>-2.4983731390973821E-2</v>
      </c>
    </row>
    <row r="591" spans="1:20" x14ac:dyDescent="0.25">
      <c r="A591" s="5">
        <v>44002</v>
      </c>
      <c r="B591">
        <v>1.264</v>
      </c>
      <c r="C591">
        <v>1.3340000000000001</v>
      </c>
      <c r="D591">
        <v>1.264</v>
      </c>
      <c r="E591">
        <v>1.2857000000000001</v>
      </c>
      <c r="F591">
        <v>602590.94999999995</v>
      </c>
      <c r="G591">
        <v>0</v>
      </c>
      <c r="L591" t="s">
        <v>8</v>
      </c>
      <c r="M591" t="s">
        <v>7</v>
      </c>
      <c r="N591" t="s">
        <v>7</v>
      </c>
      <c r="P591">
        <f t="shared" si="990"/>
        <v>-0.37999999999999906</v>
      </c>
      <c r="Q591">
        <f t="shared" si="991"/>
        <v>-228984.5609999994</v>
      </c>
      <c r="R591">
        <f t="shared" si="992"/>
        <v>-2094449.4615154807</v>
      </c>
      <c r="S591">
        <f t="shared" si="993"/>
        <v>-20.944494615154806</v>
      </c>
      <c r="T591">
        <f t="shared" si="994"/>
        <v>-2.0944494615154807E-2</v>
      </c>
    </row>
    <row r="592" spans="1:20" x14ac:dyDescent="0.25">
      <c r="A592" s="5">
        <v>44001</v>
      </c>
      <c r="B592">
        <v>1.3164</v>
      </c>
      <c r="C592">
        <v>1.3833</v>
      </c>
      <c r="D592">
        <v>1.23</v>
      </c>
      <c r="E592">
        <v>1.264</v>
      </c>
      <c r="F592">
        <v>1368147.11</v>
      </c>
      <c r="G592">
        <v>0</v>
      </c>
      <c r="L592" t="s">
        <v>7</v>
      </c>
      <c r="M592" t="s">
        <v>7</v>
      </c>
      <c r="N592" t="s">
        <v>7</v>
      </c>
      <c r="P592">
        <f t="shared" si="990"/>
        <v>-0.55642530984996696</v>
      </c>
      <c r="Q592">
        <f t="shared" si="991"/>
        <v>-761271.67960208689</v>
      </c>
      <c r="R592">
        <f t="shared" si="992"/>
        <v>-1865464.9005154814</v>
      </c>
      <c r="S592">
        <f t="shared" si="993"/>
        <v>-18.654649005154813</v>
      </c>
      <c r="T592">
        <f t="shared" si="994"/>
        <v>-1.8654649005154813E-2</v>
      </c>
    </row>
    <row r="593" spans="1:20" x14ac:dyDescent="0.25">
      <c r="A593" s="5">
        <v>44000</v>
      </c>
      <c r="B593">
        <v>1.2395</v>
      </c>
      <c r="C593">
        <v>1.3759999999999999</v>
      </c>
      <c r="D593">
        <v>1.1953</v>
      </c>
      <c r="E593">
        <v>1.3203</v>
      </c>
      <c r="F593">
        <v>1689781.21</v>
      </c>
      <c r="G593">
        <v>0</v>
      </c>
      <c r="L593" t="s">
        <v>8</v>
      </c>
      <c r="M593" t="s">
        <v>7</v>
      </c>
      <c r="N593" t="s">
        <v>7</v>
      </c>
      <c r="P593">
        <f t="shared" si="990"/>
        <v>0.38350857775318314</v>
      </c>
      <c r="Q593">
        <f t="shared" si="991"/>
        <v>648045.58856115292</v>
      </c>
      <c r="R593">
        <f t="shared" si="992"/>
        <v>-1104193.2209133944</v>
      </c>
      <c r="S593">
        <f t="shared" si="993"/>
        <v>-11.041932209133943</v>
      </c>
      <c r="T593">
        <f t="shared" si="994"/>
        <v>-1.1041932209133944E-2</v>
      </c>
    </row>
    <row r="594" spans="1:20" x14ac:dyDescent="0.25">
      <c r="A594" s="5">
        <v>43999</v>
      </c>
      <c r="B594">
        <v>1.2673000000000001</v>
      </c>
      <c r="C594">
        <v>1.3026</v>
      </c>
      <c r="D594">
        <v>1.2051000000000001</v>
      </c>
      <c r="E594">
        <v>1.2395</v>
      </c>
      <c r="F594">
        <v>832914.04</v>
      </c>
      <c r="G594">
        <v>0</v>
      </c>
      <c r="L594" t="s">
        <v>7</v>
      </c>
      <c r="M594" t="s">
        <v>7</v>
      </c>
      <c r="N594" t="s">
        <v>7</v>
      </c>
      <c r="P594">
        <f t="shared" si="990"/>
        <v>-0.29435897435897407</v>
      </c>
      <c r="Q594">
        <f t="shared" si="991"/>
        <v>-245175.72254358951</v>
      </c>
      <c r="R594">
        <f t="shared" si="992"/>
        <v>-1752238.8094745472</v>
      </c>
      <c r="S594">
        <f t="shared" si="993"/>
        <v>-17.522388094745473</v>
      </c>
      <c r="T594">
        <f t="shared" si="994"/>
        <v>-1.7522388094745472E-2</v>
      </c>
    </row>
    <row r="595" spans="1:20" x14ac:dyDescent="0.25">
      <c r="A595" s="5">
        <v>43998</v>
      </c>
      <c r="B595">
        <v>1.3143</v>
      </c>
      <c r="C595">
        <v>1.3409</v>
      </c>
      <c r="D595">
        <v>1.25</v>
      </c>
      <c r="E595">
        <v>1.2673000000000001</v>
      </c>
      <c r="F595">
        <v>848956.9</v>
      </c>
      <c r="G595">
        <v>0</v>
      </c>
      <c r="L595" t="s">
        <v>8</v>
      </c>
      <c r="M595" t="s">
        <v>7</v>
      </c>
      <c r="N595" t="s">
        <v>7</v>
      </c>
      <c r="P595">
        <f t="shared" si="990"/>
        <v>-0.61936193619361724</v>
      </c>
      <c r="Q595">
        <f t="shared" si="991"/>
        <v>-525811.58932893106</v>
      </c>
      <c r="R595">
        <f t="shared" si="992"/>
        <v>-1507063.0869309576</v>
      </c>
      <c r="S595">
        <f t="shared" si="993"/>
        <v>-15.070630869309577</v>
      </c>
      <c r="T595">
        <f t="shared" si="994"/>
        <v>-1.5070630869309577E-2</v>
      </c>
    </row>
    <row r="596" spans="1:20" x14ac:dyDescent="0.25">
      <c r="A596" s="5">
        <v>43997</v>
      </c>
      <c r="B596">
        <v>1.3441000000000001</v>
      </c>
      <c r="C596">
        <v>1.35</v>
      </c>
      <c r="D596">
        <v>1.1599999999999999</v>
      </c>
      <c r="E596">
        <v>1.3143</v>
      </c>
      <c r="F596">
        <v>2249716.75</v>
      </c>
      <c r="G596">
        <v>0</v>
      </c>
      <c r="L596" t="s">
        <v>7</v>
      </c>
      <c r="M596" t="s">
        <v>7</v>
      </c>
      <c r="N596" t="s">
        <v>7</v>
      </c>
      <c r="P596">
        <f t="shared" si="990"/>
        <v>0.6242105263157891</v>
      </c>
      <c r="Q596">
        <f t="shared" si="991"/>
        <v>1404296.8765789466</v>
      </c>
      <c r="R596">
        <f t="shared" si="992"/>
        <v>-981251.49760202644</v>
      </c>
      <c r="S596">
        <f t="shared" si="993"/>
        <v>-9.8125149760202639</v>
      </c>
      <c r="T596">
        <f t="shared" si="994"/>
        <v>-9.8125149760202642E-3</v>
      </c>
    </row>
    <row r="597" spans="1:20" x14ac:dyDescent="0.25">
      <c r="A597" s="5">
        <v>43996</v>
      </c>
      <c r="B597">
        <v>1.3958999999999999</v>
      </c>
      <c r="C597">
        <v>1.4756</v>
      </c>
      <c r="D597">
        <v>1.3349</v>
      </c>
      <c r="E597">
        <v>1.343</v>
      </c>
      <c r="F597">
        <v>1081601.73</v>
      </c>
      <c r="G597">
        <v>0</v>
      </c>
      <c r="L597" t="s">
        <v>8</v>
      </c>
      <c r="M597" t="s">
        <v>8</v>
      </c>
      <c r="N597" t="s">
        <v>7</v>
      </c>
      <c r="P597">
        <f t="shared" si="990"/>
        <v>-0.88486140724946705</v>
      </c>
      <c r="Q597">
        <f t="shared" si="991"/>
        <v>-957067.62889125803</v>
      </c>
      <c r="R597">
        <f t="shared" si="992"/>
        <v>-2385548.374180973</v>
      </c>
      <c r="S597">
        <f t="shared" si="993"/>
        <v>-23.855483741809731</v>
      </c>
      <c r="T597">
        <f t="shared" si="994"/>
        <v>-2.3855483741809732E-2</v>
      </c>
    </row>
    <row r="598" spans="1:20" x14ac:dyDescent="0.25">
      <c r="A598" s="5">
        <v>43995</v>
      </c>
      <c r="B598">
        <v>1.2968999999999999</v>
      </c>
      <c r="C598">
        <v>1.4499</v>
      </c>
      <c r="D598">
        <v>1.2632000000000001</v>
      </c>
      <c r="E598">
        <v>1.3959999999999999</v>
      </c>
      <c r="F598">
        <v>1702326.86</v>
      </c>
      <c r="G598">
        <v>0</v>
      </c>
      <c r="L598" t="s">
        <v>8</v>
      </c>
      <c r="M598" t="s">
        <v>8</v>
      </c>
      <c r="N598" t="s">
        <v>7</v>
      </c>
      <c r="P598">
        <f t="shared" si="990"/>
        <v>0.42260310658810823</v>
      </c>
      <c r="Q598">
        <f t="shared" si="991"/>
        <v>719408.61946437962</v>
      </c>
      <c r="R598">
        <f t="shared" si="992"/>
        <v>-1428480.745289715</v>
      </c>
      <c r="S598">
        <f t="shared" si="993"/>
        <v>-14.28480745289715</v>
      </c>
      <c r="T598">
        <f t="shared" si="994"/>
        <v>-1.428480745289715E-2</v>
      </c>
    </row>
    <row r="599" spans="1:20" x14ac:dyDescent="0.25">
      <c r="A599" s="5">
        <v>43994</v>
      </c>
      <c r="B599">
        <v>1.181</v>
      </c>
      <c r="C599">
        <v>1.3476999999999999</v>
      </c>
      <c r="D599">
        <v>1.145</v>
      </c>
      <c r="E599">
        <v>1.296</v>
      </c>
      <c r="F599">
        <v>2150655.65</v>
      </c>
      <c r="G599">
        <v>0</v>
      </c>
      <c r="L599" t="s">
        <v>8</v>
      </c>
      <c r="M599" t="s">
        <v>8</v>
      </c>
      <c r="N599" t="s">
        <v>7</v>
      </c>
      <c r="P599">
        <f t="shared" si="990"/>
        <v>0.48988653182042535</v>
      </c>
      <c r="Q599">
        <f t="shared" si="991"/>
        <v>1053577.2375185026</v>
      </c>
      <c r="R599">
        <f t="shared" si="992"/>
        <v>-2147889.3647540947</v>
      </c>
      <c r="S599">
        <f t="shared" si="993"/>
        <v>-21.478893647540946</v>
      </c>
      <c r="T599">
        <f t="shared" si="994"/>
        <v>-2.1478893647540947E-2</v>
      </c>
    </row>
    <row r="600" spans="1:20" x14ac:dyDescent="0.25">
      <c r="A600" s="5">
        <v>43993</v>
      </c>
      <c r="B600">
        <v>1.4418</v>
      </c>
      <c r="C600">
        <v>1.4919</v>
      </c>
      <c r="D600">
        <v>1.1444000000000001</v>
      </c>
      <c r="E600">
        <v>1.18</v>
      </c>
      <c r="F600">
        <v>2869426.63</v>
      </c>
      <c r="G600">
        <v>0</v>
      </c>
      <c r="L600" t="s">
        <v>7</v>
      </c>
      <c r="M600" t="s">
        <v>7</v>
      </c>
      <c r="N600" t="s">
        <v>7</v>
      </c>
      <c r="P600">
        <f t="shared" si="990"/>
        <v>-0.79510791366906552</v>
      </c>
      <c r="Q600">
        <f t="shared" si="991"/>
        <v>-2281503.8212057576</v>
      </c>
      <c r="R600">
        <f t="shared" si="992"/>
        <v>-3201466.6022725976</v>
      </c>
      <c r="S600">
        <f t="shared" si="993"/>
        <v>-32.014666022725976</v>
      </c>
      <c r="T600">
        <f t="shared" si="994"/>
        <v>-3.2014666022725978E-2</v>
      </c>
    </row>
    <row r="601" spans="1:20" x14ac:dyDescent="0.25">
      <c r="A601" s="5">
        <v>43992</v>
      </c>
      <c r="B601">
        <v>1.5436000000000001</v>
      </c>
      <c r="C601">
        <v>1.5743</v>
      </c>
      <c r="D601">
        <v>1.409</v>
      </c>
      <c r="E601">
        <v>1.4442999999999999</v>
      </c>
      <c r="F601">
        <v>2172258.0299999998</v>
      </c>
      <c r="G601">
        <v>0</v>
      </c>
      <c r="L601" t="s">
        <v>7</v>
      </c>
      <c r="M601" t="s">
        <v>7</v>
      </c>
      <c r="N601" t="s">
        <v>7</v>
      </c>
      <c r="P601">
        <f t="shared" si="990"/>
        <v>-0.57289776164549444</v>
      </c>
      <c r="Q601">
        <f t="shared" si="991"/>
        <v>-1244481.7631034511</v>
      </c>
      <c r="R601">
        <f t="shared" si="992"/>
        <v>-919962.78106684005</v>
      </c>
      <c r="S601">
        <f t="shared" si="993"/>
        <v>-9.1996278106684013</v>
      </c>
      <c r="T601">
        <f t="shared" si="994"/>
        <v>-9.1996278106684006E-3</v>
      </c>
    </row>
    <row r="602" spans="1:20" x14ac:dyDescent="0.25">
      <c r="A602" s="5">
        <v>43991</v>
      </c>
      <c r="B602">
        <v>1.6660999999999999</v>
      </c>
      <c r="C602">
        <v>1.6739999999999999</v>
      </c>
      <c r="D602">
        <v>1.52</v>
      </c>
      <c r="E602">
        <v>1.5439000000000001</v>
      </c>
      <c r="F602">
        <v>2055343.6</v>
      </c>
      <c r="G602">
        <v>0</v>
      </c>
      <c r="L602" t="s">
        <v>7</v>
      </c>
      <c r="M602" t="s">
        <v>7</v>
      </c>
      <c r="N602" t="s">
        <v>8</v>
      </c>
      <c r="P602">
        <f t="shared" si="990"/>
        <v>-0.68961038961038901</v>
      </c>
      <c r="Q602">
        <f t="shared" si="991"/>
        <v>-1417386.3007792197</v>
      </c>
      <c r="R602">
        <f t="shared" si="992"/>
        <v>324518.98203661107</v>
      </c>
      <c r="S602">
        <f t="shared" si="993"/>
        <v>3.2451898203661105</v>
      </c>
      <c r="T602">
        <f t="shared" si="994"/>
        <v>3.2451898203661104E-3</v>
      </c>
    </row>
    <row r="603" spans="1:20" x14ac:dyDescent="0.25">
      <c r="A603" s="5">
        <v>43990</v>
      </c>
      <c r="B603">
        <v>1.5797000000000001</v>
      </c>
      <c r="C603">
        <v>1.7199</v>
      </c>
      <c r="D603">
        <v>1.57</v>
      </c>
      <c r="E603">
        <v>1.6677999999999999</v>
      </c>
      <c r="F603">
        <v>1512952.02</v>
      </c>
      <c r="G603">
        <v>0</v>
      </c>
      <c r="L603" t="s">
        <v>8</v>
      </c>
      <c r="M603" t="s">
        <v>7</v>
      </c>
      <c r="N603" t="s">
        <v>8</v>
      </c>
      <c r="P603">
        <f t="shared" si="990"/>
        <v>0.30486991327551616</v>
      </c>
      <c r="Q603">
        <f t="shared" si="991"/>
        <v>461253.55112741701</v>
      </c>
      <c r="R603">
        <f t="shared" si="992"/>
        <v>1741905.2828158308</v>
      </c>
      <c r="S603">
        <f t="shared" si="993"/>
        <v>17.419052828158307</v>
      </c>
      <c r="T603">
        <f t="shared" si="994"/>
        <v>1.7419052828158307E-2</v>
      </c>
    </row>
    <row r="604" spans="1:20" x14ac:dyDescent="0.25">
      <c r="A604" s="5">
        <v>43989</v>
      </c>
      <c r="B604">
        <v>1.6501999999999999</v>
      </c>
      <c r="C604">
        <v>1.6978</v>
      </c>
      <c r="D604">
        <v>1.51</v>
      </c>
      <c r="E604">
        <v>1.5797000000000001</v>
      </c>
      <c r="F604">
        <v>1415659.24</v>
      </c>
      <c r="G604">
        <v>0</v>
      </c>
      <c r="L604" t="s">
        <v>7</v>
      </c>
      <c r="M604" t="s">
        <v>7</v>
      </c>
      <c r="N604" t="s">
        <v>8</v>
      </c>
      <c r="P604">
        <f t="shared" si="990"/>
        <v>-0.25772097976570707</v>
      </c>
      <c r="Q604">
        <f t="shared" si="991"/>
        <v>-364845.08634717623</v>
      </c>
      <c r="R604">
        <f t="shared" si="992"/>
        <v>1280651.7316884138</v>
      </c>
      <c r="S604">
        <f t="shared" si="993"/>
        <v>12.806517316884138</v>
      </c>
      <c r="T604">
        <f t="shared" si="994"/>
        <v>1.2806517316884139E-2</v>
      </c>
    </row>
    <row r="605" spans="1:20" x14ac:dyDescent="0.25">
      <c r="A605" s="5">
        <v>43988</v>
      </c>
      <c r="B605">
        <v>1.7282</v>
      </c>
      <c r="C605">
        <v>1.758</v>
      </c>
      <c r="D605">
        <v>1.6214999999999999</v>
      </c>
      <c r="E605">
        <v>1.6457999999999999</v>
      </c>
      <c r="F605">
        <v>1450874.48</v>
      </c>
      <c r="G605">
        <v>0</v>
      </c>
      <c r="L605" t="s">
        <v>7</v>
      </c>
      <c r="M605" t="s">
        <v>7</v>
      </c>
      <c r="N605" t="s">
        <v>8</v>
      </c>
      <c r="P605">
        <f t="shared" si="990"/>
        <v>-0.64395604395604433</v>
      </c>
      <c r="Q605">
        <f t="shared" si="991"/>
        <v>-934299.39041758294</v>
      </c>
      <c r="R605">
        <f t="shared" si="992"/>
        <v>1645496.81803559</v>
      </c>
      <c r="S605">
        <f t="shared" si="993"/>
        <v>16.454968180355898</v>
      </c>
      <c r="T605">
        <f t="shared" si="994"/>
        <v>1.6454968180355897E-2</v>
      </c>
    </row>
    <row r="606" spans="1:20" x14ac:dyDescent="0.25">
      <c r="A606" s="5">
        <v>43987</v>
      </c>
      <c r="B606">
        <v>1.8347</v>
      </c>
      <c r="C606">
        <v>1.89</v>
      </c>
      <c r="D606">
        <v>1.6900999999999999</v>
      </c>
      <c r="E606">
        <v>1.7294</v>
      </c>
      <c r="F606">
        <v>1427305.08</v>
      </c>
      <c r="G606">
        <v>0</v>
      </c>
      <c r="L606" t="s">
        <v>7</v>
      </c>
      <c r="M606" t="s">
        <v>8</v>
      </c>
      <c r="N606" t="s">
        <v>8</v>
      </c>
      <c r="P606">
        <f t="shared" si="990"/>
        <v>-0.60680340170084923</v>
      </c>
      <c r="Q606">
        <f t="shared" si="991"/>
        <v>-866093.57780890283</v>
      </c>
      <c r="R606">
        <f t="shared" si="992"/>
        <v>2579796.2084531728</v>
      </c>
      <c r="S606">
        <f t="shared" si="993"/>
        <v>25.797962084531729</v>
      </c>
      <c r="T606">
        <f t="shared" si="994"/>
        <v>2.579796208453173E-2</v>
      </c>
    </row>
    <row r="607" spans="1:20" x14ac:dyDescent="0.25">
      <c r="A607" s="5">
        <v>43986</v>
      </c>
      <c r="B607">
        <v>1.8144</v>
      </c>
      <c r="C607">
        <v>1.9650000000000001</v>
      </c>
      <c r="D607">
        <v>1.8026</v>
      </c>
      <c r="E607">
        <v>1.8402000000000001</v>
      </c>
      <c r="F607">
        <v>1587257.57</v>
      </c>
      <c r="G607">
        <v>0</v>
      </c>
      <c r="L607" t="s">
        <v>8</v>
      </c>
      <c r="M607" t="s">
        <v>8</v>
      </c>
      <c r="N607" t="s">
        <v>8</v>
      </c>
      <c r="P607">
        <f t="shared" si="990"/>
        <v>-0.53694581280788112</v>
      </c>
      <c r="Q607">
        <f t="shared" si="991"/>
        <v>-852271.30605911231</v>
      </c>
      <c r="R607">
        <f t="shared" si="992"/>
        <v>3445889.7862620759</v>
      </c>
      <c r="S607">
        <f t="shared" si="993"/>
        <v>34.458897862620759</v>
      </c>
      <c r="T607">
        <f t="shared" si="994"/>
        <v>3.4458897862620762E-2</v>
      </c>
    </row>
    <row r="608" spans="1:20" x14ac:dyDescent="0.25">
      <c r="A608" s="5">
        <v>43985</v>
      </c>
      <c r="B608">
        <v>1.6811</v>
      </c>
      <c r="C608">
        <v>1.8837999999999999</v>
      </c>
      <c r="D608">
        <v>1.6652</v>
      </c>
      <c r="E608">
        <v>1.8140000000000001</v>
      </c>
      <c r="F608">
        <v>1945308.53</v>
      </c>
      <c r="G608">
        <v>0</v>
      </c>
      <c r="L608" t="s">
        <v>8</v>
      </c>
      <c r="M608" t="s">
        <v>8</v>
      </c>
      <c r="N608" t="s">
        <v>8</v>
      </c>
      <c r="P608">
        <f t="shared" si="990"/>
        <v>0.36139066788655178</v>
      </c>
      <c r="Q608">
        <f t="shared" si="991"/>
        <v>703016.34890210629</v>
      </c>
      <c r="R608">
        <f t="shared" si="992"/>
        <v>4298161.0923211882</v>
      </c>
      <c r="S608">
        <f t="shared" si="993"/>
        <v>42.981610923211882</v>
      </c>
      <c r="T608">
        <f t="shared" si="994"/>
        <v>4.2981610923211885E-2</v>
      </c>
    </row>
    <row r="609" spans="1:20" x14ac:dyDescent="0.25">
      <c r="A609" s="5">
        <v>43984</v>
      </c>
      <c r="B609">
        <v>1.631</v>
      </c>
      <c r="C609">
        <v>1.76</v>
      </c>
      <c r="D609">
        <v>1.5544</v>
      </c>
      <c r="E609">
        <v>1.6870000000000001</v>
      </c>
      <c r="F609">
        <v>1551521.39</v>
      </c>
      <c r="G609">
        <v>0</v>
      </c>
      <c r="L609" t="s">
        <v>8</v>
      </c>
      <c r="M609" t="s">
        <v>8</v>
      </c>
      <c r="N609" t="s">
        <v>7</v>
      </c>
      <c r="P609">
        <f t="shared" si="990"/>
        <v>0.28988326848249074</v>
      </c>
      <c r="Q609">
        <f t="shared" si="991"/>
        <v>449760.09165369719</v>
      </c>
      <c r="R609">
        <f t="shared" si="992"/>
        <v>3595144.7434190819</v>
      </c>
      <c r="S609">
        <f t="shared" si="993"/>
        <v>35.951447434190818</v>
      </c>
      <c r="T609">
        <f t="shared" si="994"/>
        <v>3.595144743419082E-2</v>
      </c>
    </row>
    <row r="610" spans="1:20" x14ac:dyDescent="0.25">
      <c r="A610" s="5">
        <v>43983</v>
      </c>
      <c r="B610">
        <v>1.5044999999999999</v>
      </c>
      <c r="C610">
        <v>1.6498999999999999</v>
      </c>
      <c r="D610">
        <v>1.5043</v>
      </c>
      <c r="E610">
        <v>1.631</v>
      </c>
      <c r="F610">
        <v>1096928.8899999999</v>
      </c>
      <c r="G610">
        <v>0</v>
      </c>
      <c r="L610" t="s">
        <v>8</v>
      </c>
      <c r="M610" t="s">
        <v>8</v>
      </c>
      <c r="N610" t="s">
        <v>7</v>
      </c>
      <c r="P610">
        <f t="shared" si="990"/>
        <v>0.74038461538461642</v>
      </c>
      <c r="Q610">
        <f t="shared" si="991"/>
        <v>812149.27432692412</v>
      </c>
      <c r="R610">
        <f t="shared" si="992"/>
        <v>3145384.6517653847</v>
      </c>
      <c r="S610">
        <f t="shared" si="993"/>
        <v>31.453846517653847</v>
      </c>
      <c r="T610">
        <f t="shared" si="994"/>
        <v>3.1453846517653844E-2</v>
      </c>
    </row>
    <row r="611" spans="1:20" x14ac:dyDescent="0.25">
      <c r="A611" s="5">
        <v>43982</v>
      </c>
      <c r="B611">
        <v>1.6002000000000001</v>
      </c>
      <c r="C611">
        <v>1.696</v>
      </c>
      <c r="D611">
        <v>1.4842</v>
      </c>
      <c r="E611">
        <v>1.5111000000000001</v>
      </c>
      <c r="F611">
        <v>1960626.2</v>
      </c>
      <c r="G611">
        <v>0</v>
      </c>
      <c r="L611" t="s">
        <v>7</v>
      </c>
      <c r="M611" t="s">
        <v>8</v>
      </c>
      <c r="N611" t="s">
        <v>7</v>
      </c>
      <c r="P611">
        <f t="shared" si="990"/>
        <v>-0.74598677998111285</v>
      </c>
      <c r="Q611">
        <f t="shared" si="991"/>
        <v>-1462601.2256846053</v>
      </c>
      <c r="R611">
        <f t="shared" si="992"/>
        <v>2333235.3774384605</v>
      </c>
      <c r="S611">
        <f t="shared" si="993"/>
        <v>23.332353774384604</v>
      </c>
      <c r="T611">
        <f t="shared" si="994"/>
        <v>2.3332353774384605E-2</v>
      </c>
    </row>
    <row r="612" spans="1:20" x14ac:dyDescent="0.25">
      <c r="A612" s="5">
        <v>43981</v>
      </c>
      <c r="B612">
        <v>1.3934</v>
      </c>
      <c r="C612">
        <v>1.6941999999999999</v>
      </c>
      <c r="D612">
        <v>1.355</v>
      </c>
      <c r="E612">
        <v>1.6003000000000001</v>
      </c>
      <c r="F612">
        <v>2258299.85</v>
      </c>
      <c r="G612">
        <v>0</v>
      </c>
      <c r="L612" t="s">
        <v>8</v>
      </c>
      <c r="M612" t="s">
        <v>8</v>
      </c>
      <c r="N612" t="s">
        <v>7</v>
      </c>
      <c r="P612">
        <f t="shared" si="990"/>
        <v>0.44634433962264219</v>
      </c>
      <c r="Q612">
        <f t="shared" si="991"/>
        <v>1007979.3552181619</v>
      </c>
      <c r="R612">
        <f t="shared" si="992"/>
        <v>3795836.603123066</v>
      </c>
      <c r="S612">
        <f t="shared" si="993"/>
        <v>37.958366031230661</v>
      </c>
      <c r="T612">
        <f t="shared" si="994"/>
        <v>3.7958366031230657E-2</v>
      </c>
    </row>
    <row r="613" spans="1:20" x14ac:dyDescent="0.25">
      <c r="A613" s="5">
        <v>43980</v>
      </c>
      <c r="B613">
        <v>1.3341000000000001</v>
      </c>
      <c r="C613">
        <v>1.4923999999999999</v>
      </c>
      <c r="D613">
        <v>1.3320000000000001</v>
      </c>
      <c r="E613">
        <v>1.3952</v>
      </c>
      <c r="F613">
        <v>1319781.3999999999</v>
      </c>
      <c r="G613">
        <v>0</v>
      </c>
      <c r="L613" t="s">
        <v>8</v>
      </c>
      <c r="M613" t="s">
        <v>7</v>
      </c>
      <c r="N613" t="s">
        <v>7</v>
      </c>
      <c r="P613">
        <f t="shared" si="990"/>
        <v>-0.21197007481296792</v>
      </c>
      <c r="Q613">
        <f t="shared" si="991"/>
        <v>-279754.16209476354</v>
      </c>
      <c r="R613">
        <f t="shared" si="992"/>
        <v>2787857.2479049042</v>
      </c>
      <c r="S613">
        <f t="shared" si="993"/>
        <v>27.878572479049041</v>
      </c>
      <c r="T613">
        <f t="shared" si="994"/>
        <v>2.7878572479049041E-2</v>
      </c>
    </row>
    <row r="614" spans="1:20" x14ac:dyDescent="0.25">
      <c r="A614" s="5">
        <v>43979</v>
      </c>
      <c r="B614">
        <v>1.5929</v>
      </c>
      <c r="C614">
        <v>1.72</v>
      </c>
      <c r="D614">
        <v>1.2910999999999999</v>
      </c>
      <c r="E614">
        <v>1.3398000000000001</v>
      </c>
      <c r="F614">
        <v>3105027.42</v>
      </c>
      <c r="G614">
        <v>0</v>
      </c>
      <c r="L614" t="s">
        <v>7</v>
      </c>
      <c r="M614" t="s">
        <v>7</v>
      </c>
      <c r="N614" t="s">
        <v>7</v>
      </c>
      <c r="P614">
        <f t="shared" si="990"/>
        <v>-0.77290743763114866</v>
      </c>
      <c r="Q614">
        <f t="shared" si="991"/>
        <v>-2399898.7869666563</v>
      </c>
      <c r="R614">
        <f t="shared" si="992"/>
        <v>3067611.4099996677</v>
      </c>
      <c r="S614">
        <f t="shared" si="993"/>
        <v>30.676114099996678</v>
      </c>
      <c r="T614">
        <f t="shared" si="994"/>
        <v>3.0676114099996678E-2</v>
      </c>
    </row>
    <row r="615" spans="1:20" x14ac:dyDescent="0.25">
      <c r="A615" s="5">
        <v>43978</v>
      </c>
      <c r="B615">
        <v>1.1403000000000001</v>
      </c>
      <c r="C615">
        <v>1.8959999999999999</v>
      </c>
      <c r="D615">
        <v>1.1353</v>
      </c>
      <c r="E615">
        <v>1.593</v>
      </c>
      <c r="F615">
        <v>7531845.6100000003</v>
      </c>
      <c r="G615">
        <v>0</v>
      </c>
      <c r="L615" t="s">
        <v>8</v>
      </c>
      <c r="M615" t="s">
        <v>8</v>
      </c>
      <c r="N615" t="s">
        <v>8</v>
      </c>
      <c r="P615">
        <f t="shared" si="990"/>
        <v>0.20336532141448677</v>
      </c>
      <c r="Q615">
        <f t="shared" si="991"/>
        <v>1531716.2033219412</v>
      </c>
      <c r="R615">
        <f t="shared" si="992"/>
        <v>5467510.196966324</v>
      </c>
      <c r="S615">
        <f t="shared" si="993"/>
        <v>54.675101969663238</v>
      </c>
      <c r="T615">
        <f t="shared" si="994"/>
        <v>5.4675101969663235E-2</v>
      </c>
    </row>
    <row r="616" spans="1:20" x14ac:dyDescent="0.25">
      <c r="A616" s="5">
        <v>43977</v>
      </c>
      <c r="B616">
        <v>1.1617999999999999</v>
      </c>
      <c r="C616">
        <v>1.2326999999999999</v>
      </c>
      <c r="D616">
        <v>1.1000000000000001</v>
      </c>
      <c r="E616">
        <v>1.1435999999999999</v>
      </c>
      <c r="F616">
        <v>1064397.08</v>
      </c>
      <c r="G616">
        <v>0</v>
      </c>
      <c r="L616" t="s">
        <v>8</v>
      </c>
      <c r="M616" t="s">
        <v>7</v>
      </c>
      <c r="N616" t="s">
        <v>8</v>
      </c>
      <c r="P616">
        <f t="shared" si="990"/>
        <v>-0.34287867370007657</v>
      </c>
      <c r="Q616">
        <f t="shared" si="991"/>
        <v>-364959.05908063432</v>
      </c>
      <c r="R616">
        <f t="shared" si="992"/>
        <v>3935793.9936443828</v>
      </c>
      <c r="S616">
        <f t="shared" si="993"/>
        <v>39.357939936443827</v>
      </c>
      <c r="T616">
        <f t="shared" si="994"/>
        <v>3.9357939936443827E-2</v>
      </c>
    </row>
    <row r="617" spans="1:20" x14ac:dyDescent="0.25">
      <c r="A617" s="5">
        <v>43976</v>
      </c>
      <c r="B617">
        <v>1.0827</v>
      </c>
      <c r="C617">
        <v>1.1742999999999999</v>
      </c>
      <c r="D617">
        <v>1.0802</v>
      </c>
      <c r="E617">
        <v>1.1638999999999999</v>
      </c>
      <c r="F617">
        <v>1062719.74</v>
      </c>
      <c r="G617">
        <v>0</v>
      </c>
      <c r="L617" t="s">
        <v>8</v>
      </c>
      <c r="M617" t="s">
        <v>7</v>
      </c>
      <c r="N617" t="s">
        <v>8</v>
      </c>
      <c r="P617">
        <f t="shared" si="990"/>
        <v>0.7789585547290121</v>
      </c>
      <c r="Q617">
        <f t="shared" si="991"/>
        <v>827814.63275239151</v>
      </c>
      <c r="R617">
        <f t="shared" si="992"/>
        <v>4300753.0527250171</v>
      </c>
      <c r="S617">
        <f t="shared" si="993"/>
        <v>43.007530527250168</v>
      </c>
      <c r="T617">
        <f t="shared" si="994"/>
        <v>4.3007530527250169E-2</v>
      </c>
    </row>
    <row r="618" spans="1:20" x14ac:dyDescent="0.25">
      <c r="A618" s="5">
        <v>43975</v>
      </c>
      <c r="B618">
        <v>1.2404999999999999</v>
      </c>
      <c r="C618">
        <v>1.2606999999999999</v>
      </c>
      <c r="D618">
        <v>1.0654999999999999</v>
      </c>
      <c r="E618">
        <v>1.0783</v>
      </c>
      <c r="F618">
        <v>1444473</v>
      </c>
      <c r="G618">
        <v>0</v>
      </c>
      <c r="L618" t="s">
        <v>7</v>
      </c>
      <c r="M618" t="s">
        <v>7</v>
      </c>
      <c r="N618" t="s">
        <v>8</v>
      </c>
      <c r="P618">
        <f t="shared" si="990"/>
        <v>-0.86885245901639196</v>
      </c>
      <c r="Q618">
        <f t="shared" si="991"/>
        <v>-1255033.9180327847</v>
      </c>
      <c r="R618">
        <f t="shared" si="992"/>
        <v>3472938.4199726256</v>
      </c>
      <c r="S618">
        <f t="shared" si="993"/>
        <v>34.729384199726255</v>
      </c>
      <c r="T618">
        <f t="shared" si="994"/>
        <v>3.4729384199726251E-2</v>
      </c>
    </row>
    <row r="619" spans="1:20" x14ac:dyDescent="0.25">
      <c r="A619" s="5">
        <v>43974</v>
      </c>
      <c r="B619">
        <v>1.3081</v>
      </c>
      <c r="C619">
        <v>1.3109</v>
      </c>
      <c r="D619">
        <v>1.1882999999999999</v>
      </c>
      <c r="E619">
        <v>1.2444</v>
      </c>
      <c r="F619">
        <v>1306234.4099999999</v>
      </c>
      <c r="G619">
        <v>0</v>
      </c>
      <c r="L619" t="s">
        <v>7</v>
      </c>
      <c r="M619" t="s">
        <v>8</v>
      </c>
      <c r="N619" t="s">
        <v>8</v>
      </c>
      <c r="P619">
        <f t="shared" si="990"/>
        <v>-8.4828711256117142E-2</v>
      </c>
      <c r="Q619">
        <f t="shared" si="991"/>
        <v>-110806.18159869453</v>
      </c>
      <c r="R619">
        <f t="shared" si="992"/>
        <v>4727972.3380054105</v>
      </c>
      <c r="S619">
        <f t="shared" si="993"/>
        <v>47.279723380054108</v>
      </c>
      <c r="T619">
        <f t="shared" si="994"/>
        <v>4.7279723380054109E-2</v>
      </c>
    </row>
    <row r="620" spans="1:20" x14ac:dyDescent="0.25">
      <c r="A620" s="5">
        <v>43973</v>
      </c>
      <c r="B620">
        <v>1.1568000000000001</v>
      </c>
      <c r="C620">
        <v>1.35</v>
      </c>
      <c r="D620">
        <v>1.1194</v>
      </c>
      <c r="E620">
        <v>1.3052999999999999</v>
      </c>
      <c r="F620">
        <v>1449232</v>
      </c>
      <c r="G620">
        <v>0</v>
      </c>
      <c r="L620" t="s">
        <v>8</v>
      </c>
      <c r="M620" t="s">
        <v>8</v>
      </c>
      <c r="N620" t="s">
        <v>8</v>
      </c>
      <c r="P620">
        <f t="shared" si="990"/>
        <v>0.61231569817866294</v>
      </c>
      <c r="Q620">
        <f t="shared" si="991"/>
        <v>887387.5039028601</v>
      </c>
      <c r="R620">
        <f t="shared" si="992"/>
        <v>4838778.5196041046</v>
      </c>
      <c r="S620">
        <f t="shared" si="993"/>
        <v>48.387785196041044</v>
      </c>
      <c r="T620">
        <f t="shared" si="994"/>
        <v>4.8387785196041047E-2</v>
      </c>
    </row>
    <row r="621" spans="1:20" x14ac:dyDescent="0.25">
      <c r="A621" s="5">
        <v>43972</v>
      </c>
      <c r="B621">
        <v>1.1832</v>
      </c>
      <c r="C621">
        <v>1.268</v>
      </c>
      <c r="D621">
        <v>1.079</v>
      </c>
      <c r="E621">
        <v>1.1568000000000001</v>
      </c>
      <c r="F621">
        <v>2170843.59</v>
      </c>
      <c r="G621">
        <v>0</v>
      </c>
      <c r="L621" t="s">
        <v>7</v>
      </c>
      <c r="M621" t="s">
        <v>7</v>
      </c>
      <c r="N621" t="s">
        <v>8</v>
      </c>
      <c r="P621">
        <f t="shared" si="990"/>
        <v>-0.176719576719576</v>
      </c>
      <c r="Q621">
        <f t="shared" si="991"/>
        <v>-383630.56034920475</v>
      </c>
      <c r="R621">
        <f t="shared" si="992"/>
        <v>3951391.0157012446</v>
      </c>
      <c r="S621">
        <f t="shared" si="993"/>
        <v>39.513910157012447</v>
      </c>
      <c r="T621">
        <f t="shared" si="994"/>
        <v>3.9513910157012444E-2</v>
      </c>
    </row>
    <row r="622" spans="1:20" x14ac:dyDescent="0.25">
      <c r="A622" s="5">
        <v>43971</v>
      </c>
      <c r="B622">
        <v>1.0732999999999999</v>
      </c>
      <c r="C622">
        <v>1.2773000000000001</v>
      </c>
      <c r="D622">
        <v>1.0419</v>
      </c>
      <c r="E622">
        <v>1.1841999999999999</v>
      </c>
      <c r="F622">
        <v>3180107.9</v>
      </c>
      <c r="G622">
        <v>0</v>
      </c>
      <c r="L622" t="s">
        <v>8</v>
      </c>
      <c r="M622" t="s">
        <v>8</v>
      </c>
      <c r="N622" t="s">
        <v>8</v>
      </c>
      <c r="P622">
        <f t="shared" si="990"/>
        <v>0.20900594732370295</v>
      </c>
      <c r="Q622">
        <f t="shared" si="991"/>
        <v>664661.46423109155</v>
      </c>
      <c r="R622">
        <f t="shared" si="992"/>
        <v>4335021.5760504492</v>
      </c>
      <c r="S622">
        <f t="shared" si="993"/>
        <v>43.35021576050449</v>
      </c>
      <c r="T622">
        <f t="shared" si="994"/>
        <v>4.335021576050449E-2</v>
      </c>
    </row>
    <row r="623" spans="1:20" x14ac:dyDescent="0.25">
      <c r="A623" s="5">
        <v>43970</v>
      </c>
      <c r="B623">
        <v>1.032</v>
      </c>
      <c r="C623">
        <v>1.0767</v>
      </c>
      <c r="D623">
        <v>1.0048999999999999</v>
      </c>
      <c r="E623">
        <v>1.0730999999999999</v>
      </c>
      <c r="F623">
        <v>1650217.23</v>
      </c>
      <c r="G623">
        <v>0</v>
      </c>
      <c r="L623" t="s">
        <v>8</v>
      </c>
      <c r="M623" t="s">
        <v>8</v>
      </c>
      <c r="N623" t="s">
        <v>8</v>
      </c>
      <c r="P623">
        <f t="shared" si="990"/>
        <v>0.89972144846796531</v>
      </c>
      <c r="Q623">
        <f t="shared" si="991"/>
        <v>1484735.8364623934</v>
      </c>
      <c r="R623">
        <f t="shared" si="992"/>
        <v>3670360.1118193571</v>
      </c>
      <c r="S623">
        <f t="shared" si="993"/>
        <v>36.703601118193575</v>
      </c>
      <c r="T623">
        <f t="shared" si="994"/>
        <v>3.6703601118193575E-2</v>
      </c>
    </row>
    <row r="624" spans="1:20" x14ac:dyDescent="0.25">
      <c r="A624" s="5">
        <v>43969</v>
      </c>
      <c r="B624">
        <v>1.0116000000000001</v>
      </c>
      <c r="C624">
        <v>1.0429999999999999</v>
      </c>
      <c r="D624">
        <v>1.0111000000000001</v>
      </c>
      <c r="E624">
        <v>1.0299</v>
      </c>
      <c r="F624">
        <v>840510.64</v>
      </c>
      <c r="G624">
        <v>0</v>
      </c>
      <c r="L624" t="s">
        <v>8</v>
      </c>
      <c r="M624" t="s">
        <v>8</v>
      </c>
      <c r="N624" t="s">
        <v>8</v>
      </c>
      <c r="P624">
        <f t="shared" si="990"/>
        <v>0.17868338557993954</v>
      </c>
      <c r="Q624">
        <f t="shared" si="991"/>
        <v>150185.28677116174</v>
      </c>
      <c r="R624">
        <f t="shared" si="992"/>
        <v>2185624.2753569637</v>
      </c>
      <c r="S624">
        <f t="shared" si="993"/>
        <v>21.856242753569639</v>
      </c>
      <c r="T624">
        <f t="shared" si="994"/>
        <v>2.1856242753569639E-2</v>
      </c>
    </row>
    <row r="625" spans="1:20" x14ac:dyDescent="0.25">
      <c r="A625" s="5">
        <v>43968</v>
      </c>
      <c r="B625">
        <v>1.0446</v>
      </c>
      <c r="C625">
        <v>1.0673999999999999</v>
      </c>
      <c r="D625">
        <v>1.0031000000000001</v>
      </c>
      <c r="E625">
        <v>1.0112000000000001</v>
      </c>
      <c r="F625">
        <v>1311419.99</v>
      </c>
      <c r="G625">
        <v>0</v>
      </c>
      <c r="L625" t="s">
        <v>8</v>
      </c>
      <c r="M625" t="s">
        <v>8</v>
      </c>
      <c r="N625" t="s">
        <v>8</v>
      </c>
      <c r="P625">
        <f t="shared" si="990"/>
        <v>-0.7480559875583197</v>
      </c>
      <c r="Q625">
        <f t="shared" si="991"/>
        <v>-981015.5757231717</v>
      </c>
      <c r="R625">
        <f t="shared" si="992"/>
        <v>2035438.9885858018</v>
      </c>
      <c r="S625">
        <f t="shared" si="993"/>
        <v>20.354389885858019</v>
      </c>
      <c r="T625">
        <f t="shared" si="994"/>
        <v>2.0354389885858019E-2</v>
      </c>
    </row>
    <row r="626" spans="1:20" x14ac:dyDescent="0.25">
      <c r="A626" s="5">
        <v>43967</v>
      </c>
      <c r="B626">
        <v>1.0022</v>
      </c>
      <c r="C626">
        <v>1.0668</v>
      </c>
      <c r="D626">
        <v>0.97170000000000001</v>
      </c>
      <c r="E626">
        <v>1.0447</v>
      </c>
      <c r="F626">
        <v>1181556.47</v>
      </c>
      <c r="G626">
        <v>0</v>
      </c>
      <c r="L626" t="s">
        <v>7</v>
      </c>
      <c r="M626" t="s">
        <v>8</v>
      </c>
      <c r="N626" t="s">
        <v>8</v>
      </c>
      <c r="P626">
        <f t="shared" si="990"/>
        <v>0.53522607781282827</v>
      </c>
      <c r="Q626">
        <f t="shared" si="991"/>
        <v>632399.83515247062</v>
      </c>
      <c r="R626">
        <f t="shared" si="992"/>
        <v>3016454.5643089735</v>
      </c>
      <c r="S626">
        <f t="shared" si="993"/>
        <v>30.164545643089735</v>
      </c>
      <c r="T626">
        <f t="shared" si="994"/>
        <v>3.0164545643089735E-2</v>
      </c>
    </row>
    <row r="627" spans="1:20" x14ac:dyDescent="0.25">
      <c r="A627" s="5">
        <v>43966</v>
      </c>
      <c r="B627">
        <v>1.0279</v>
      </c>
      <c r="C627">
        <v>1.0900000000000001</v>
      </c>
      <c r="D627">
        <v>0.99619999999999997</v>
      </c>
      <c r="E627">
        <v>1.0054000000000001</v>
      </c>
      <c r="F627">
        <v>1210811.2</v>
      </c>
      <c r="G627">
        <v>0</v>
      </c>
      <c r="L627" t="s">
        <v>7</v>
      </c>
      <c r="M627" t="s">
        <v>8</v>
      </c>
      <c r="N627" t="s">
        <v>8</v>
      </c>
      <c r="P627">
        <f t="shared" si="990"/>
        <v>-0.8038379530916826</v>
      </c>
      <c r="Q627">
        <f t="shared" si="991"/>
        <v>-973295.99658848392</v>
      </c>
      <c r="R627">
        <f t="shared" si="992"/>
        <v>2384054.729156503</v>
      </c>
      <c r="S627">
        <f t="shared" si="993"/>
        <v>23.840547291565031</v>
      </c>
      <c r="T627">
        <f t="shared" si="994"/>
        <v>2.3840547291565029E-2</v>
      </c>
    </row>
    <row r="628" spans="1:20" x14ac:dyDescent="0.25">
      <c r="A628" s="5">
        <v>43965</v>
      </c>
      <c r="B628">
        <v>1.0669</v>
      </c>
      <c r="C628">
        <v>1.1143000000000001</v>
      </c>
      <c r="D628">
        <v>1.0101</v>
      </c>
      <c r="E628">
        <v>1.0289999999999999</v>
      </c>
      <c r="F628">
        <v>1524185.86</v>
      </c>
      <c r="G628">
        <v>0</v>
      </c>
      <c r="L628" t="s">
        <v>8</v>
      </c>
      <c r="M628" t="s">
        <v>8</v>
      </c>
      <c r="N628" t="s">
        <v>8</v>
      </c>
      <c r="P628">
        <f t="shared" si="990"/>
        <v>-0.63723608445297686</v>
      </c>
      <c r="Q628">
        <f t="shared" si="991"/>
        <v>-971266.22940499324</v>
      </c>
      <c r="R628">
        <f t="shared" si="992"/>
        <v>3357350.7257449869</v>
      </c>
      <c r="S628">
        <f t="shared" si="993"/>
        <v>33.573507257449869</v>
      </c>
      <c r="T628">
        <f t="shared" si="994"/>
        <v>3.3573507257449869E-2</v>
      </c>
    </row>
    <row r="629" spans="1:20" x14ac:dyDescent="0.25">
      <c r="A629" s="5">
        <v>43964</v>
      </c>
      <c r="B629">
        <v>1.0368999999999999</v>
      </c>
      <c r="C629">
        <v>1.0955999999999999</v>
      </c>
      <c r="D629">
        <v>0.99850000000000005</v>
      </c>
      <c r="E629">
        <v>1.0669</v>
      </c>
      <c r="F629">
        <v>2144593.0699999998</v>
      </c>
      <c r="G629">
        <v>0</v>
      </c>
      <c r="L629" t="s">
        <v>8</v>
      </c>
      <c r="M629" t="s">
        <v>8</v>
      </c>
      <c r="N629" t="s">
        <v>7</v>
      </c>
      <c r="P629">
        <f t="shared" si="990"/>
        <v>0.40885684860968091</v>
      </c>
      <c r="Q629">
        <f t="shared" si="991"/>
        <v>876831.56415036076</v>
      </c>
      <c r="R629">
        <f t="shared" si="992"/>
        <v>4328616.9551499803</v>
      </c>
      <c r="S629">
        <f t="shared" si="993"/>
        <v>43.286169551499803</v>
      </c>
      <c r="T629">
        <f t="shared" si="994"/>
        <v>4.3286169551499803E-2</v>
      </c>
    </row>
    <row r="630" spans="1:20" x14ac:dyDescent="0.25">
      <c r="A630" s="5">
        <v>43963</v>
      </c>
      <c r="B630">
        <v>0.8</v>
      </c>
      <c r="C630">
        <v>1.0702</v>
      </c>
      <c r="D630">
        <v>0.78129999999999999</v>
      </c>
      <c r="E630">
        <v>1.0376000000000001</v>
      </c>
      <c r="F630">
        <v>3722627.44</v>
      </c>
      <c r="G630">
        <v>0</v>
      </c>
      <c r="L630" t="s">
        <v>8</v>
      </c>
      <c r="M630" t="s">
        <v>8</v>
      </c>
      <c r="N630" t="s">
        <v>7</v>
      </c>
      <c r="P630">
        <f t="shared" si="990"/>
        <v>0.77431637244721385</v>
      </c>
      <c r="Q630">
        <f t="shared" si="991"/>
        <v>2882491.3753132583</v>
      </c>
      <c r="R630">
        <f t="shared" si="992"/>
        <v>3451785.3909996198</v>
      </c>
      <c r="S630">
        <f t="shared" si="993"/>
        <v>34.517853909996198</v>
      </c>
      <c r="T630">
        <f t="shared" si="994"/>
        <v>3.4517853909996198E-2</v>
      </c>
    </row>
    <row r="631" spans="1:20" x14ac:dyDescent="0.25">
      <c r="A631" s="5">
        <v>43962</v>
      </c>
      <c r="B631">
        <v>0.89359999999999995</v>
      </c>
      <c r="C631">
        <v>0.90590000000000004</v>
      </c>
      <c r="D631">
        <v>0.755</v>
      </c>
      <c r="E631">
        <v>0.80120000000000002</v>
      </c>
      <c r="F631">
        <v>2473105.58</v>
      </c>
      <c r="G631">
        <v>0</v>
      </c>
      <c r="L631" t="s">
        <v>7</v>
      </c>
      <c r="M631" t="s">
        <v>7</v>
      </c>
      <c r="N631" t="s">
        <v>7</v>
      </c>
      <c r="P631">
        <f t="shared" si="990"/>
        <v>-0.38767395626242535</v>
      </c>
      <c r="Q631">
        <f t="shared" si="991"/>
        <v>-958758.62445328012</v>
      </c>
      <c r="R631">
        <f t="shared" si="992"/>
        <v>569294.01568636158</v>
      </c>
      <c r="S631">
        <f t="shared" si="993"/>
        <v>5.6929401568636155</v>
      </c>
      <c r="T631">
        <f t="shared" si="994"/>
        <v>5.6929401568636155E-3</v>
      </c>
    </row>
    <row r="632" spans="1:20" x14ac:dyDescent="0.25">
      <c r="A632" s="5">
        <v>43961</v>
      </c>
      <c r="B632">
        <v>1.0185</v>
      </c>
      <c r="C632">
        <v>1.0225</v>
      </c>
      <c r="D632">
        <v>0.82979999999999998</v>
      </c>
      <c r="E632">
        <v>0.88959999999999995</v>
      </c>
      <c r="F632">
        <v>3018957.04</v>
      </c>
      <c r="G632">
        <v>0</v>
      </c>
      <c r="L632" t="s">
        <v>7</v>
      </c>
      <c r="M632" t="s">
        <v>7</v>
      </c>
      <c r="N632" t="s">
        <v>7</v>
      </c>
      <c r="P632">
        <f t="shared" si="990"/>
        <v>-0.37934613388687111</v>
      </c>
      <c r="Q632">
        <f t="shared" si="991"/>
        <v>-1145229.6814945522</v>
      </c>
      <c r="R632">
        <f t="shared" si="992"/>
        <v>1528052.6401396417</v>
      </c>
      <c r="S632">
        <f t="shared" si="993"/>
        <v>15.280526401396417</v>
      </c>
      <c r="T632">
        <f t="shared" si="994"/>
        <v>1.5280526401396417E-2</v>
      </c>
    </row>
    <row r="633" spans="1:20" x14ac:dyDescent="0.25">
      <c r="A633" s="5">
        <v>43960</v>
      </c>
      <c r="B633">
        <v>1.0699000000000001</v>
      </c>
      <c r="C633">
        <v>1.0822000000000001</v>
      </c>
      <c r="D633">
        <v>1.0182</v>
      </c>
      <c r="E633">
        <v>1.0188999999999999</v>
      </c>
      <c r="F633">
        <v>1359077.56</v>
      </c>
      <c r="G633">
        <v>0</v>
      </c>
      <c r="L633" t="s">
        <v>7</v>
      </c>
      <c r="M633" t="s">
        <v>7</v>
      </c>
      <c r="N633" t="s">
        <v>8</v>
      </c>
      <c r="P633">
        <f t="shared" si="990"/>
        <v>-0.97812500000000246</v>
      </c>
      <c r="Q633">
        <f t="shared" si="991"/>
        <v>-1329347.7383750034</v>
      </c>
      <c r="R633">
        <f t="shared" si="992"/>
        <v>2673282.3216341939</v>
      </c>
      <c r="S633">
        <f t="shared" si="993"/>
        <v>26.732823216341938</v>
      </c>
      <c r="T633">
        <f t="shared" si="994"/>
        <v>2.6732823216341937E-2</v>
      </c>
    </row>
    <row r="634" spans="1:20" x14ac:dyDescent="0.25">
      <c r="A634" s="5">
        <v>43959</v>
      </c>
      <c r="B634">
        <v>1.0138</v>
      </c>
      <c r="C634">
        <v>1.1325000000000001</v>
      </c>
      <c r="D634">
        <v>1.0113000000000001</v>
      </c>
      <c r="E634">
        <v>1.07</v>
      </c>
      <c r="F634">
        <v>2354001.54</v>
      </c>
      <c r="G634">
        <v>0</v>
      </c>
      <c r="L634" t="s">
        <v>8</v>
      </c>
      <c r="M634" t="s">
        <v>7</v>
      </c>
      <c r="N634" t="s">
        <v>8</v>
      </c>
      <c r="P634">
        <f t="shared" si="990"/>
        <v>-3.1353135313531573E-2</v>
      </c>
      <c r="Q634">
        <f t="shared" si="991"/>
        <v>-73805.3288118817</v>
      </c>
      <c r="R634">
        <f t="shared" si="992"/>
        <v>4002630.0600091973</v>
      </c>
      <c r="S634">
        <f t="shared" si="993"/>
        <v>40.026300600091972</v>
      </c>
      <c r="T634">
        <f t="shared" si="994"/>
        <v>4.002630060009197E-2</v>
      </c>
    </row>
    <row r="635" spans="1:20" x14ac:dyDescent="0.25">
      <c r="A635" s="5">
        <v>43958</v>
      </c>
      <c r="B635">
        <v>1.0729</v>
      </c>
      <c r="C635">
        <v>1.1047</v>
      </c>
      <c r="D635">
        <v>0.9627</v>
      </c>
      <c r="E635">
        <v>1.0135000000000001</v>
      </c>
      <c r="F635">
        <v>3386833.81</v>
      </c>
      <c r="G635">
        <v>0</v>
      </c>
      <c r="L635" t="s">
        <v>7</v>
      </c>
      <c r="M635" t="s">
        <v>7</v>
      </c>
      <c r="N635" t="s">
        <v>8</v>
      </c>
      <c r="P635">
        <f t="shared" si="990"/>
        <v>-0.28450704225352025</v>
      </c>
      <c r="Q635">
        <f t="shared" si="991"/>
        <v>-963578.06988732098</v>
      </c>
      <c r="R635">
        <f t="shared" si="992"/>
        <v>4076435.3888210789</v>
      </c>
      <c r="S635">
        <f t="shared" si="993"/>
        <v>40.764353888210792</v>
      </c>
      <c r="T635">
        <f t="shared" si="994"/>
        <v>4.0764353888210793E-2</v>
      </c>
    </row>
    <row r="636" spans="1:20" x14ac:dyDescent="0.25">
      <c r="A636" s="5">
        <v>43957</v>
      </c>
      <c r="B636">
        <v>1.0175000000000001</v>
      </c>
      <c r="C636">
        <v>1.1940999999999999</v>
      </c>
      <c r="D636">
        <v>1</v>
      </c>
      <c r="E636">
        <v>1.0765</v>
      </c>
      <c r="F636">
        <v>2995593.67</v>
      </c>
      <c r="G636">
        <v>0</v>
      </c>
      <c r="L636" t="s">
        <v>8</v>
      </c>
      <c r="M636" t="s">
        <v>8</v>
      </c>
      <c r="N636" t="s">
        <v>8</v>
      </c>
      <c r="P636">
        <f t="shared" si="990"/>
        <v>-0.2117465224111279</v>
      </c>
      <c r="Q636">
        <f t="shared" si="991"/>
        <v>-634306.54217928788</v>
      </c>
      <c r="R636">
        <f t="shared" si="992"/>
        <v>5040013.4587083999</v>
      </c>
      <c r="S636">
        <f t="shared" si="993"/>
        <v>50.400134587083997</v>
      </c>
      <c r="T636">
        <f t="shared" si="994"/>
        <v>5.0400134587083999E-2</v>
      </c>
    </row>
    <row r="637" spans="1:20" x14ac:dyDescent="0.25">
      <c r="A637" s="5">
        <v>43956</v>
      </c>
      <c r="B637">
        <v>1.0642</v>
      </c>
      <c r="C637">
        <v>1.1071</v>
      </c>
      <c r="D637">
        <v>1</v>
      </c>
      <c r="E637">
        <v>1.0174000000000001</v>
      </c>
      <c r="F637">
        <v>1711967.37</v>
      </c>
      <c r="G637">
        <v>0</v>
      </c>
      <c r="L637" t="s">
        <v>8</v>
      </c>
      <c r="M637" t="s">
        <v>8</v>
      </c>
      <c r="N637" t="s">
        <v>8</v>
      </c>
      <c r="P637">
        <f t="shared" si="990"/>
        <v>-0.67507002801120286</v>
      </c>
      <c r="Q637">
        <f t="shared" si="991"/>
        <v>-1155697.8604201654</v>
      </c>
      <c r="R637">
        <f t="shared" si="992"/>
        <v>5674320.0008876882</v>
      </c>
      <c r="S637">
        <f t="shared" si="993"/>
        <v>56.743200008876883</v>
      </c>
      <c r="T637">
        <f t="shared" si="994"/>
        <v>5.6743200008876886E-2</v>
      </c>
    </row>
    <row r="638" spans="1:20" x14ac:dyDescent="0.25">
      <c r="A638" s="5">
        <v>43955</v>
      </c>
      <c r="B638">
        <v>1.0964</v>
      </c>
      <c r="C638">
        <v>1.1024</v>
      </c>
      <c r="D638">
        <v>0.9415</v>
      </c>
      <c r="E638">
        <v>1.0643</v>
      </c>
      <c r="F638">
        <v>3367502.9</v>
      </c>
      <c r="G638">
        <v>0</v>
      </c>
      <c r="L638" t="s">
        <v>7</v>
      </c>
      <c r="M638" t="s">
        <v>7</v>
      </c>
      <c r="N638" t="s">
        <v>8</v>
      </c>
      <c r="P638">
        <f t="shared" si="990"/>
        <v>0.52641392169049084</v>
      </c>
      <c r="Q638">
        <f t="shared" si="991"/>
        <v>1772700.4078931008</v>
      </c>
      <c r="R638">
        <f t="shared" si="992"/>
        <v>6830017.8613078538</v>
      </c>
      <c r="S638">
        <f t="shared" si="993"/>
        <v>68.300178613078543</v>
      </c>
      <c r="T638">
        <f t="shared" si="994"/>
        <v>6.8300178613078549E-2</v>
      </c>
    </row>
    <row r="639" spans="1:20" x14ac:dyDescent="0.25">
      <c r="A639" s="5">
        <v>43954</v>
      </c>
      <c r="B639">
        <v>1.1343000000000001</v>
      </c>
      <c r="C639">
        <v>1.1970000000000001</v>
      </c>
      <c r="D639">
        <v>1.0622</v>
      </c>
      <c r="E639">
        <v>1.0921000000000001</v>
      </c>
      <c r="F639">
        <v>2634302.27</v>
      </c>
      <c r="G639">
        <v>0</v>
      </c>
      <c r="L639" t="s">
        <v>7</v>
      </c>
      <c r="M639" t="s">
        <v>7</v>
      </c>
      <c r="N639" t="s">
        <v>8</v>
      </c>
      <c r="P639">
        <f t="shared" si="990"/>
        <v>-0.55637982195845648</v>
      </c>
      <c r="Q639">
        <f t="shared" si="991"/>
        <v>-1465672.6279673579</v>
      </c>
      <c r="R639">
        <f t="shared" si="992"/>
        <v>5057317.4534147531</v>
      </c>
      <c r="S639">
        <f t="shared" si="993"/>
        <v>50.573174534147533</v>
      </c>
      <c r="T639">
        <f t="shared" si="994"/>
        <v>5.057317453414753E-2</v>
      </c>
    </row>
    <row r="640" spans="1:20" x14ac:dyDescent="0.25">
      <c r="A640" s="5">
        <v>43953</v>
      </c>
      <c r="B640">
        <v>1.2591000000000001</v>
      </c>
      <c r="C640">
        <v>1.2632000000000001</v>
      </c>
      <c r="D640">
        <v>1.1007</v>
      </c>
      <c r="E640">
        <v>1.1342000000000001</v>
      </c>
      <c r="F640">
        <v>4012932.81</v>
      </c>
      <c r="G640">
        <v>0</v>
      </c>
      <c r="L640" t="s">
        <v>7</v>
      </c>
      <c r="M640" t="s">
        <v>7</v>
      </c>
      <c r="N640" t="s">
        <v>8</v>
      </c>
      <c r="P640">
        <f t="shared" si="990"/>
        <v>-0.58769230769230685</v>
      </c>
      <c r="Q640">
        <f t="shared" si="991"/>
        <v>-2358369.7437230735</v>
      </c>
      <c r="R640">
        <f t="shared" si="992"/>
        <v>6522990.0813821107</v>
      </c>
      <c r="S640">
        <f t="shared" si="993"/>
        <v>65.229900813821104</v>
      </c>
      <c r="T640">
        <f t="shared" si="994"/>
        <v>6.5229900813821101E-2</v>
      </c>
    </row>
    <row r="641" spans="1:20" x14ac:dyDescent="0.25">
      <c r="A641" s="5">
        <v>43952</v>
      </c>
      <c r="B641">
        <v>1.0316000000000001</v>
      </c>
      <c r="C641">
        <v>1.2968</v>
      </c>
      <c r="D641">
        <v>1.022</v>
      </c>
      <c r="E641">
        <v>1.2591000000000001</v>
      </c>
      <c r="F641">
        <v>6743899.9900000002</v>
      </c>
      <c r="G641">
        <v>0</v>
      </c>
      <c r="L641" t="s">
        <v>8</v>
      </c>
      <c r="M641" t="s">
        <v>8</v>
      </c>
      <c r="N641" t="s">
        <v>8</v>
      </c>
      <c r="P641">
        <f t="shared" si="990"/>
        <v>0.72561863173216989</v>
      </c>
      <c r="Q641">
        <f t="shared" si="991"/>
        <v>4893499.4832823947</v>
      </c>
      <c r="R641">
        <f t="shared" si="992"/>
        <v>8881359.8251051847</v>
      </c>
      <c r="S641">
        <f t="shared" si="993"/>
        <v>88.813598251051843</v>
      </c>
      <c r="T641">
        <f t="shared" si="994"/>
        <v>8.881359825105184E-2</v>
      </c>
    </row>
    <row r="642" spans="1:20" x14ac:dyDescent="0.25">
      <c r="A642" s="5">
        <v>43951</v>
      </c>
      <c r="B642">
        <v>0.86880000000000002</v>
      </c>
      <c r="C642">
        <v>1.1729000000000001</v>
      </c>
      <c r="D642">
        <v>0.84499999999999997</v>
      </c>
      <c r="E642">
        <v>1.0316000000000001</v>
      </c>
      <c r="F642">
        <v>8721866.5600000005</v>
      </c>
      <c r="G642">
        <v>0</v>
      </c>
      <c r="L642" t="s">
        <v>8</v>
      </c>
      <c r="M642" t="s">
        <v>8</v>
      </c>
      <c r="N642" t="s">
        <v>8</v>
      </c>
      <c r="P642">
        <f t="shared" si="990"/>
        <v>0.13815187557182101</v>
      </c>
      <c r="Q642">
        <f t="shared" si="991"/>
        <v>1204942.2237511466</v>
      </c>
      <c r="R642">
        <f t="shared" si="992"/>
        <v>3987860.34182279</v>
      </c>
      <c r="S642">
        <f t="shared" si="993"/>
        <v>39.878603418227897</v>
      </c>
      <c r="T642">
        <f t="shared" si="994"/>
        <v>3.9878603418227895E-2</v>
      </c>
    </row>
    <row r="643" spans="1:20" x14ac:dyDescent="0.25">
      <c r="A643" s="5">
        <v>43950</v>
      </c>
      <c r="B643">
        <v>0.88349999999999995</v>
      </c>
      <c r="C643">
        <v>0.89990000000000003</v>
      </c>
      <c r="D643">
        <v>0.85</v>
      </c>
      <c r="E643">
        <v>0.86880000000000002</v>
      </c>
      <c r="F643">
        <v>2440631.36</v>
      </c>
      <c r="G643">
        <v>0</v>
      </c>
      <c r="L643" t="s">
        <v>7</v>
      </c>
      <c r="M643" t="s">
        <v>8</v>
      </c>
      <c r="N643" t="s">
        <v>8</v>
      </c>
      <c r="P643">
        <f t="shared" si="990"/>
        <v>-0.24649298597194316</v>
      </c>
      <c r="Q643">
        <f t="shared" si="991"/>
        <v>-601598.51158316457</v>
      </c>
      <c r="R643">
        <f t="shared" si="992"/>
        <v>2782918.1180716436</v>
      </c>
      <c r="S643">
        <f t="shared" si="993"/>
        <v>27.829181180716436</v>
      </c>
      <c r="T643">
        <f t="shared" si="994"/>
        <v>2.7829181180716436E-2</v>
      </c>
    </row>
    <row r="644" spans="1:20" x14ac:dyDescent="0.25">
      <c r="A644" s="5">
        <v>43949</v>
      </c>
      <c r="B644">
        <v>0.86899999999999999</v>
      </c>
      <c r="C644">
        <v>0.9456</v>
      </c>
      <c r="D644">
        <v>0.82599999999999996</v>
      </c>
      <c r="E644">
        <v>0.88349999999999995</v>
      </c>
      <c r="F644">
        <v>2863607.08</v>
      </c>
      <c r="G644">
        <v>0</v>
      </c>
      <c r="L644" t="s">
        <v>8</v>
      </c>
      <c r="M644" t="s">
        <v>8</v>
      </c>
      <c r="N644" t="s">
        <v>8</v>
      </c>
      <c r="P644">
        <f t="shared" si="990"/>
        <v>-3.8461538461538852E-2</v>
      </c>
      <c r="Q644">
        <f t="shared" si="991"/>
        <v>-110138.73384615497</v>
      </c>
      <c r="R644">
        <f t="shared" si="992"/>
        <v>3384516.6296548084</v>
      </c>
      <c r="S644">
        <f t="shared" si="993"/>
        <v>33.845166296548086</v>
      </c>
      <c r="T644">
        <f t="shared" si="994"/>
        <v>3.3845166296548088E-2</v>
      </c>
    </row>
    <row r="645" spans="1:20" x14ac:dyDescent="0.25">
      <c r="A645" s="5">
        <v>43948</v>
      </c>
      <c r="B645">
        <v>0.85670000000000002</v>
      </c>
      <c r="C645">
        <v>0.90680000000000005</v>
      </c>
      <c r="D645">
        <v>0.77100000000000002</v>
      </c>
      <c r="E645">
        <v>0.86899999999999999</v>
      </c>
      <c r="F645">
        <v>3290438.79</v>
      </c>
      <c r="G645">
        <v>0</v>
      </c>
      <c r="L645" t="s">
        <v>7</v>
      </c>
      <c r="M645" t="s">
        <v>7</v>
      </c>
      <c r="N645" t="s">
        <v>8</v>
      </c>
      <c r="P645">
        <f t="shared" si="990"/>
        <v>0.44329896907216426</v>
      </c>
      <c r="Q645">
        <f t="shared" si="991"/>
        <v>1458648.1234020595</v>
      </c>
      <c r="R645">
        <f t="shared" si="992"/>
        <v>3494655.3635009634</v>
      </c>
      <c r="S645">
        <f t="shared" si="993"/>
        <v>34.946553635009636</v>
      </c>
      <c r="T645">
        <f t="shared" si="994"/>
        <v>3.4946553635009633E-2</v>
      </c>
    </row>
    <row r="646" spans="1:20" x14ac:dyDescent="0.25">
      <c r="A646" s="5">
        <v>43947</v>
      </c>
      <c r="B646">
        <v>0.95450000000000002</v>
      </c>
      <c r="C646">
        <v>0.95499999999999996</v>
      </c>
      <c r="D646">
        <v>0.82330000000000003</v>
      </c>
      <c r="E646">
        <v>0.85270000000000001</v>
      </c>
      <c r="F646">
        <v>4348191.25</v>
      </c>
      <c r="G646">
        <v>0</v>
      </c>
      <c r="L646" t="s">
        <v>7</v>
      </c>
      <c r="M646" t="s">
        <v>8</v>
      </c>
      <c r="N646" t="s">
        <v>8</v>
      </c>
      <c r="P646">
        <f t="shared" ref="P646:P709" si="995">IF(C646=D646,0,((E646-D646)-(C646-E646))/(C646-D646))</f>
        <v>-0.55353075170842825</v>
      </c>
      <c r="Q646">
        <f t="shared" ref="Q646:Q709" si="996">F646*P646</f>
        <v>-2406857.5711845104</v>
      </c>
      <c r="R646">
        <f t="shared" ref="R646:R709" si="997">R647+Q646</f>
        <v>2036007.2400989039</v>
      </c>
      <c r="S646">
        <f t="shared" ref="S646:S709" si="998">R646/100000</f>
        <v>20.36007240098904</v>
      </c>
      <c r="T646">
        <f t="shared" ref="T646:T709" si="999">S646/1000</f>
        <v>2.036007240098904E-2</v>
      </c>
    </row>
    <row r="647" spans="1:20" x14ac:dyDescent="0.25">
      <c r="A647" s="5">
        <v>43946</v>
      </c>
      <c r="B647">
        <v>0.71389999999999998</v>
      </c>
      <c r="C647">
        <v>0.9597</v>
      </c>
      <c r="D647">
        <v>0.6885</v>
      </c>
      <c r="E647">
        <v>0.95479999999999998</v>
      </c>
      <c r="F647">
        <v>4433487.6100000003</v>
      </c>
      <c r="G647">
        <v>0</v>
      </c>
      <c r="L647" t="s">
        <v>8</v>
      </c>
      <c r="M647" t="s">
        <v>8</v>
      </c>
      <c r="N647" t="s">
        <v>8</v>
      </c>
      <c r="P647">
        <f t="shared" si="995"/>
        <v>0.96386430678466062</v>
      </c>
      <c r="Q647">
        <f t="shared" si="996"/>
        <v>4273280.4618510325</v>
      </c>
      <c r="R647">
        <f t="shared" si="997"/>
        <v>4442864.8112834143</v>
      </c>
      <c r="S647">
        <f t="shared" si="998"/>
        <v>44.428648112834139</v>
      </c>
      <c r="T647">
        <f t="shared" si="999"/>
        <v>4.4428648112834139E-2</v>
      </c>
    </row>
    <row r="648" spans="1:20" x14ac:dyDescent="0.25">
      <c r="A648" s="5">
        <v>43945</v>
      </c>
      <c r="B648">
        <v>0.62080000000000002</v>
      </c>
      <c r="C648">
        <v>0.75</v>
      </c>
      <c r="D648">
        <v>0.62080000000000002</v>
      </c>
      <c r="E648">
        <v>0.71389999999999998</v>
      </c>
      <c r="F648">
        <v>2374649.12</v>
      </c>
      <c r="G648">
        <v>0</v>
      </c>
      <c r="L648" t="s">
        <v>8</v>
      </c>
      <c r="M648" t="s">
        <v>8</v>
      </c>
      <c r="N648" t="s">
        <v>8</v>
      </c>
      <c r="P648">
        <f t="shared" si="995"/>
        <v>0.44117647058823489</v>
      </c>
      <c r="Q648">
        <f t="shared" si="996"/>
        <v>1047639.3176470579</v>
      </c>
      <c r="R648">
        <f t="shared" si="997"/>
        <v>169584.34943238145</v>
      </c>
      <c r="S648">
        <f t="shared" si="998"/>
        <v>1.6958434943238145</v>
      </c>
      <c r="T648">
        <f t="shared" si="999"/>
        <v>1.6958434943238146E-3</v>
      </c>
    </row>
    <row r="649" spans="1:20" x14ac:dyDescent="0.25">
      <c r="A649" s="5">
        <v>43944</v>
      </c>
      <c r="B649">
        <v>0.64929999999999999</v>
      </c>
      <c r="C649">
        <v>0.66500000000000004</v>
      </c>
      <c r="D649">
        <v>0.6</v>
      </c>
      <c r="E649">
        <v>0.62009999999999998</v>
      </c>
      <c r="F649">
        <v>1609900.72</v>
      </c>
      <c r="G649">
        <v>0</v>
      </c>
      <c r="L649" t="s">
        <v>7</v>
      </c>
      <c r="M649" t="s">
        <v>8</v>
      </c>
      <c r="N649" t="s">
        <v>8</v>
      </c>
      <c r="P649">
        <f t="shared" si="995"/>
        <v>-0.38153846153846188</v>
      </c>
      <c r="Q649">
        <f t="shared" si="996"/>
        <v>-614239.04393846204</v>
      </c>
      <c r="R649">
        <f t="shared" si="997"/>
        <v>-878054.96821467648</v>
      </c>
      <c r="S649">
        <f t="shared" si="998"/>
        <v>-8.7805496821467646</v>
      </c>
      <c r="T649">
        <f t="shared" si="999"/>
        <v>-8.7805496821467648E-3</v>
      </c>
    </row>
    <row r="650" spans="1:20" x14ac:dyDescent="0.25">
      <c r="A650" s="5">
        <v>43943</v>
      </c>
      <c r="B650">
        <v>0.62690000000000001</v>
      </c>
      <c r="C650">
        <v>0.6784</v>
      </c>
      <c r="D650">
        <v>0.59770000000000001</v>
      </c>
      <c r="E650">
        <v>0.64670000000000005</v>
      </c>
      <c r="F650">
        <v>2131377.44</v>
      </c>
      <c r="G650">
        <v>0</v>
      </c>
      <c r="L650" t="s">
        <v>8</v>
      </c>
      <c r="M650" t="s">
        <v>8</v>
      </c>
      <c r="N650" t="s">
        <v>8</v>
      </c>
      <c r="P650">
        <f t="shared" si="995"/>
        <v>0.21437422552664306</v>
      </c>
      <c r="Q650">
        <f t="shared" si="996"/>
        <v>456912.38800495915</v>
      </c>
      <c r="R650">
        <f t="shared" si="997"/>
        <v>-263815.9242762145</v>
      </c>
      <c r="S650">
        <f t="shared" si="998"/>
        <v>-2.638159242762145</v>
      </c>
      <c r="T650">
        <f t="shared" si="999"/>
        <v>-2.6381592427621452E-3</v>
      </c>
    </row>
    <row r="651" spans="1:20" x14ac:dyDescent="0.25">
      <c r="A651" s="5">
        <v>43942</v>
      </c>
      <c r="B651">
        <v>0.53949999999999998</v>
      </c>
      <c r="C651">
        <v>0.67100000000000004</v>
      </c>
      <c r="D651">
        <v>0.53769999999999996</v>
      </c>
      <c r="E651">
        <v>0.629</v>
      </c>
      <c r="F651">
        <v>4980112.62</v>
      </c>
      <c r="G651">
        <v>0</v>
      </c>
      <c r="L651" t="s">
        <v>8</v>
      </c>
      <c r="M651" t="s">
        <v>8</v>
      </c>
      <c r="N651" t="s">
        <v>8</v>
      </c>
      <c r="P651">
        <f t="shared" si="995"/>
        <v>0.36984246061515363</v>
      </c>
      <c r="Q651">
        <f t="shared" si="996"/>
        <v>1841857.1055213795</v>
      </c>
      <c r="R651">
        <f t="shared" si="997"/>
        <v>-720728.31228117365</v>
      </c>
      <c r="S651">
        <f t="shared" si="998"/>
        <v>-7.2072831228117362</v>
      </c>
      <c r="T651">
        <f t="shared" si="999"/>
        <v>-7.2072831228117366E-3</v>
      </c>
    </row>
    <row r="652" spans="1:20" x14ac:dyDescent="0.25">
      <c r="A652" s="5">
        <v>43941</v>
      </c>
      <c r="B652">
        <v>0.49640000000000001</v>
      </c>
      <c r="C652">
        <v>0.59</v>
      </c>
      <c r="D652">
        <v>0.49380000000000002</v>
      </c>
      <c r="E652">
        <v>0.5423</v>
      </c>
      <c r="F652">
        <v>3658889.47</v>
      </c>
      <c r="G652">
        <v>0</v>
      </c>
      <c r="L652" t="s">
        <v>8</v>
      </c>
      <c r="M652" t="s">
        <v>8</v>
      </c>
      <c r="N652" t="s">
        <v>8</v>
      </c>
      <c r="P652">
        <f t="shared" si="995"/>
        <v>8.3160083160085576E-3</v>
      </c>
      <c r="Q652">
        <f t="shared" si="996"/>
        <v>30427.355259876145</v>
      </c>
      <c r="R652">
        <f t="shared" si="997"/>
        <v>-2562585.4178025532</v>
      </c>
      <c r="S652">
        <f t="shared" si="998"/>
        <v>-25.625854178025531</v>
      </c>
      <c r="T652">
        <f t="shared" si="999"/>
        <v>-2.5625854178025532E-2</v>
      </c>
    </row>
    <row r="653" spans="1:20" x14ac:dyDescent="0.25">
      <c r="A653" s="5">
        <v>43940</v>
      </c>
      <c r="B653">
        <v>0.51429999999999998</v>
      </c>
      <c r="C653">
        <v>0.51800000000000002</v>
      </c>
      <c r="D653">
        <v>0.48630000000000001</v>
      </c>
      <c r="E653">
        <v>0.49990000000000001</v>
      </c>
      <c r="F653">
        <v>758079.89</v>
      </c>
      <c r="G653">
        <v>0</v>
      </c>
      <c r="L653" t="s">
        <v>8</v>
      </c>
      <c r="M653" t="s">
        <v>7</v>
      </c>
      <c r="N653" t="s">
        <v>8</v>
      </c>
      <c r="P653">
        <f t="shared" si="995"/>
        <v>-0.1419558359621452</v>
      </c>
      <c r="Q653">
        <f t="shared" si="996"/>
        <v>-107613.86451104107</v>
      </c>
      <c r="R653">
        <f t="shared" si="997"/>
        <v>-2593012.7730624294</v>
      </c>
      <c r="S653">
        <f t="shared" si="998"/>
        <v>-25.930127730624292</v>
      </c>
      <c r="T653">
        <f t="shared" si="999"/>
        <v>-2.5930127730624291E-2</v>
      </c>
    </row>
    <row r="654" spans="1:20" x14ac:dyDescent="0.25">
      <c r="A654" s="5">
        <v>43939</v>
      </c>
      <c r="B654">
        <v>0.502</v>
      </c>
      <c r="C654">
        <v>0.51849999999999996</v>
      </c>
      <c r="D654">
        <v>0.47910000000000003</v>
      </c>
      <c r="E654">
        <v>0.51429999999999998</v>
      </c>
      <c r="F654">
        <v>1308393.98</v>
      </c>
      <c r="G654">
        <v>0</v>
      </c>
      <c r="L654" t="s">
        <v>7</v>
      </c>
      <c r="M654" t="s">
        <v>7</v>
      </c>
      <c r="N654" t="s">
        <v>8</v>
      </c>
      <c r="P654">
        <f t="shared" si="995"/>
        <v>0.78680203045685337</v>
      </c>
      <c r="Q654">
        <f t="shared" si="996"/>
        <v>1029447.0401015236</v>
      </c>
      <c r="R654">
        <f t="shared" si="997"/>
        <v>-2485398.9085513884</v>
      </c>
      <c r="S654">
        <f t="shared" si="998"/>
        <v>-24.853989085513884</v>
      </c>
      <c r="T654">
        <f t="shared" si="999"/>
        <v>-2.4853989085513884E-2</v>
      </c>
    </row>
    <row r="655" spans="1:20" x14ac:dyDescent="0.25">
      <c r="A655" s="5">
        <v>43938</v>
      </c>
      <c r="B655">
        <v>0.52039999999999997</v>
      </c>
      <c r="C655">
        <v>0.52600000000000002</v>
      </c>
      <c r="D655">
        <v>0.5</v>
      </c>
      <c r="E655">
        <v>0.50349999999999995</v>
      </c>
      <c r="F655">
        <v>964144.77</v>
      </c>
      <c r="G655">
        <v>0</v>
      </c>
      <c r="L655" t="s">
        <v>8</v>
      </c>
      <c r="M655" t="s">
        <v>7</v>
      </c>
      <c r="N655" t="s">
        <v>8</v>
      </c>
      <c r="P655">
        <f t="shared" si="995"/>
        <v>-0.73076923076923506</v>
      </c>
      <c r="Q655">
        <f t="shared" si="996"/>
        <v>-704567.33192308107</v>
      </c>
      <c r="R655">
        <f t="shared" si="997"/>
        <v>-3514845.9486529119</v>
      </c>
      <c r="S655">
        <f t="shared" si="998"/>
        <v>-35.14845948652912</v>
      </c>
      <c r="T655">
        <f t="shared" si="999"/>
        <v>-3.5148459486529122E-2</v>
      </c>
    </row>
    <row r="656" spans="1:20" x14ac:dyDescent="0.25">
      <c r="A656" s="5">
        <v>43937</v>
      </c>
      <c r="B656">
        <v>0.48759999999999998</v>
      </c>
      <c r="C656">
        <v>0.53979999999999995</v>
      </c>
      <c r="D656">
        <v>0.46400000000000002</v>
      </c>
      <c r="E656">
        <v>0.52039999999999997</v>
      </c>
      <c r="F656">
        <v>3833651.59</v>
      </c>
      <c r="G656">
        <v>0</v>
      </c>
      <c r="L656" t="s">
        <v>7</v>
      </c>
      <c r="M656" t="s">
        <v>7</v>
      </c>
      <c r="N656" t="s">
        <v>8</v>
      </c>
      <c r="P656">
        <f t="shared" si="995"/>
        <v>0.48812664907651737</v>
      </c>
      <c r="Q656">
        <f t="shared" si="996"/>
        <v>1871307.5043535628</v>
      </c>
      <c r="R656">
        <f t="shared" si="997"/>
        <v>-2810278.6167298309</v>
      </c>
      <c r="S656">
        <f t="shared" si="998"/>
        <v>-28.102786167298309</v>
      </c>
      <c r="T656">
        <f t="shared" si="999"/>
        <v>-2.8102786167298308E-2</v>
      </c>
    </row>
    <row r="657" spans="1:20" x14ac:dyDescent="0.25">
      <c r="A657" s="5">
        <v>43936</v>
      </c>
      <c r="B657">
        <v>0.53349999999999997</v>
      </c>
      <c r="C657">
        <v>0.5655</v>
      </c>
      <c r="D657">
        <v>0.4844</v>
      </c>
      <c r="E657">
        <v>0.48509999999999998</v>
      </c>
      <c r="F657">
        <v>3368219.98</v>
      </c>
      <c r="G657">
        <v>0</v>
      </c>
      <c r="L657" t="s">
        <v>7</v>
      </c>
      <c r="M657" t="s">
        <v>8</v>
      </c>
      <c r="N657" t="s">
        <v>8</v>
      </c>
      <c r="P657">
        <f t="shared" si="995"/>
        <v>-0.98273736128236799</v>
      </c>
      <c r="Q657">
        <f t="shared" si="996"/>
        <v>-3310075.6153637501</v>
      </c>
      <c r="R657">
        <f t="shared" si="997"/>
        <v>-4681586.1210833937</v>
      </c>
      <c r="S657">
        <f t="shared" si="998"/>
        <v>-46.815861210833937</v>
      </c>
      <c r="T657">
        <f t="shared" si="999"/>
        <v>-4.6815861210833934E-2</v>
      </c>
    </row>
    <row r="658" spans="1:20" x14ac:dyDescent="0.25">
      <c r="A658" s="5">
        <v>43935</v>
      </c>
      <c r="B658">
        <v>0.47339999999999999</v>
      </c>
      <c r="C658">
        <v>0.57540000000000002</v>
      </c>
      <c r="D658">
        <v>0.47339999999999999</v>
      </c>
      <c r="E658">
        <v>0.53500000000000003</v>
      </c>
      <c r="F658">
        <v>5721895.9199999999</v>
      </c>
      <c r="G658">
        <v>0</v>
      </c>
      <c r="L658" t="s">
        <v>8</v>
      </c>
      <c r="M658" t="s">
        <v>8</v>
      </c>
      <c r="N658" t="s">
        <v>8</v>
      </c>
      <c r="P658">
        <f t="shared" si="995"/>
        <v>0.20784313725490239</v>
      </c>
      <c r="Q658">
        <f t="shared" si="996"/>
        <v>1189256.7990588259</v>
      </c>
      <c r="R658">
        <f t="shared" si="997"/>
        <v>-1371510.5057196438</v>
      </c>
      <c r="S658">
        <f t="shared" si="998"/>
        <v>-13.715105057196437</v>
      </c>
      <c r="T658">
        <f t="shared" si="999"/>
        <v>-1.3715105057196437E-2</v>
      </c>
    </row>
    <row r="659" spans="1:20" x14ac:dyDescent="0.25">
      <c r="A659" s="5">
        <v>43934</v>
      </c>
      <c r="B659">
        <v>0.48230000000000001</v>
      </c>
      <c r="C659">
        <v>0.48330000000000001</v>
      </c>
      <c r="D659">
        <v>0.43</v>
      </c>
      <c r="E659">
        <v>0.47310000000000002</v>
      </c>
      <c r="F659">
        <v>4743623.09</v>
      </c>
      <c r="G659">
        <v>0</v>
      </c>
      <c r="L659" t="s">
        <v>7</v>
      </c>
      <c r="M659" t="s">
        <v>7</v>
      </c>
      <c r="N659" t="s">
        <v>8</v>
      </c>
      <c r="P659">
        <f t="shared" si="995"/>
        <v>0.61726078799249595</v>
      </c>
      <c r="Q659">
        <f t="shared" si="996"/>
        <v>2928052.5264727985</v>
      </c>
      <c r="R659">
        <f t="shared" si="997"/>
        <v>-2560767.3047784697</v>
      </c>
      <c r="S659">
        <f t="shared" si="998"/>
        <v>-25.607673047784697</v>
      </c>
      <c r="T659">
        <f t="shared" si="999"/>
        <v>-2.5607673047784697E-2</v>
      </c>
    </row>
    <row r="660" spans="1:20" x14ac:dyDescent="0.25">
      <c r="A660" s="5">
        <v>43933</v>
      </c>
      <c r="B660">
        <v>0.44</v>
      </c>
      <c r="C660">
        <v>0.5222</v>
      </c>
      <c r="D660">
        <v>0.4304</v>
      </c>
      <c r="E660">
        <v>0.48499999999999999</v>
      </c>
      <c r="F660">
        <v>8053447.0199999996</v>
      </c>
      <c r="G660">
        <v>0</v>
      </c>
      <c r="L660" t="s">
        <v>8</v>
      </c>
      <c r="M660" t="s">
        <v>8</v>
      </c>
      <c r="N660" t="s">
        <v>8</v>
      </c>
      <c r="P660">
        <f t="shared" si="995"/>
        <v>0.18954248366013041</v>
      </c>
      <c r="Q660">
        <f t="shared" si="996"/>
        <v>1526470.3501960759</v>
      </c>
      <c r="R660">
        <f t="shared" si="997"/>
        <v>-5488819.8312512683</v>
      </c>
      <c r="S660">
        <f t="shared" si="998"/>
        <v>-54.888198312512685</v>
      </c>
      <c r="T660">
        <f t="shared" si="999"/>
        <v>-5.4888198312512688E-2</v>
      </c>
    </row>
    <row r="661" spans="1:20" x14ac:dyDescent="0.25">
      <c r="A661" s="5">
        <v>43932</v>
      </c>
      <c r="B661">
        <v>0.35809999999999997</v>
      </c>
      <c r="C661">
        <v>0.44750000000000001</v>
      </c>
      <c r="D661">
        <v>0.35560000000000003</v>
      </c>
      <c r="E661">
        <v>0.44</v>
      </c>
      <c r="F661">
        <v>5639677.2800000003</v>
      </c>
      <c r="G661">
        <v>0</v>
      </c>
      <c r="L661" t="s">
        <v>8</v>
      </c>
      <c r="M661" t="s">
        <v>8</v>
      </c>
      <c r="N661" t="s">
        <v>8</v>
      </c>
      <c r="P661">
        <f t="shared" si="995"/>
        <v>0.83677910772578867</v>
      </c>
      <c r="Q661">
        <f t="shared" si="996"/>
        <v>4719164.1222198028</v>
      </c>
      <c r="R661">
        <f t="shared" si="997"/>
        <v>-7015290.1814473439</v>
      </c>
      <c r="S661">
        <f t="shared" si="998"/>
        <v>-70.152901814473438</v>
      </c>
      <c r="T661">
        <f t="shared" si="999"/>
        <v>-7.0152901814473437E-2</v>
      </c>
    </row>
    <row r="662" spans="1:20" x14ac:dyDescent="0.25">
      <c r="A662" s="5">
        <v>43931</v>
      </c>
      <c r="B662">
        <v>0.38119999999999998</v>
      </c>
      <c r="C662">
        <v>0.38129999999999997</v>
      </c>
      <c r="D662">
        <v>0.33</v>
      </c>
      <c r="E662">
        <v>0.35820000000000002</v>
      </c>
      <c r="F662">
        <v>3507135.49</v>
      </c>
      <c r="G662">
        <v>0</v>
      </c>
      <c r="L662" t="s">
        <v>7</v>
      </c>
      <c r="M662" t="s">
        <v>7</v>
      </c>
      <c r="N662" t="s">
        <v>8</v>
      </c>
      <c r="P662">
        <f t="shared" si="995"/>
        <v>9.9415204678363608E-2</v>
      </c>
      <c r="Q662">
        <f t="shared" si="996"/>
        <v>348662.59257310309</v>
      </c>
      <c r="R662">
        <f t="shared" si="997"/>
        <v>-11734454.303667147</v>
      </c>
      <c r="S662">
        <f t="shared" si="998"/>
        <v>-117.34454303667147</v>
      </c>
      <c r="T662">
        <f t="shared" si="999"/>
        <v>-0.11734454303667147</v>
      </c>
    </row>
    <row r="663" spans="1:20" x14ac:dyDescent="0.25">
      <c r="A663" s="5">
        <v>43930</v>
      </c>
      <c r="B663">
        <v>0.34179999999999999</v>
      </c>
      <c r="C663">
        <v>0.40560000000000002</v>
      </c>
      <c r="D663">
        <v>0.33600000000000002</v>
      </c>
      <c r="E663">
        <v>0.37930000000000003</v>
      </c>
      <c r="F663">
        <v>3915691.48</v>
      </c>
      <c r="G663">
        <v>0</v>
      </c>
      <c r="L663" t="s">
        <v>8</v>
      </c>
      <c r="M663" t="s">
        <v>8</v>
      </c>
      <c r="N663" t="s">
        <v>8</v>
      </c>
      <c r="P663">
        <f t="shared" si="995"/>
        <v>0.24425287356321862</v>
      </c>
      <c r="Q663">
        <f t="shared" si="996"/>
        <v>956418.89597701235</v>
      </c>
      <c r="R663">
        <f t="shared" si="997"/>
        <v>-12083116.896240249</v>
      </c>
      <c r="S663">
        <f t="shared" si="998"/>
        <v>-120.83116896240249</v>
      </c>
      <c r="T663">
        <f t="shared" si="999"/>
        <v>-0.12083116896240248</v>
      </c>
    </row>
    <row r="664" spans="1:20" x14ac:dyDescent="0.25">
      <c r="A664" s="5">
        <v>43929</v>
      </c>
      <c r="B664">
        <v>0.3251</v>
      </c>
      <c r="C664">
        <v>0.35349999999999998</v>
      </c>
      <c r="D664">
        <v>0.32100000000000001</v>
      </c>
      <c r="E664">
        <v>0.34470000000000001</v>
      </c>
      <c r="F664">
        <v>1427148.35</v>
      </c>
      <c r="G664">
        <v>0</v>
      </c>
      <c r="L664" t="s">
        <v>8</v>
      </c>
      <c r="M664" t="s">
        <v>8</v>
      </c>
      <c r="N664" t="s">
        <v>8</v>
      </c>
      <c r="P664">
        <f t="shared" si="995"/>
        <v>0.45846153846153959</v>
      </c>
      <c r="Q664">
        <f t="shared" si="996"/>
        <v>654292.62815384776</v>
      </c>
      <c r="R664">
        <f t="shared" si="997"/>
        <v>-13039535.792217262</v>
      </c>
      <c r="S664">
        <f t="shared" si="998"/>
        <v>-130.39535792217262</v>
      </c>
      <c r="T664">
        <f t="shared" si="999"/>
        <v>-0.13039535792217263</v>
      </c>
    </row>
    <row r="665" spans="1:20" x14ac:dyDescent="0.25">
      <c r="A665" s="5">
        <v>43928</v>
      </c>
      <c r="B665">
        <v>0.33260000000000001</v>
      </c>
      <c r="C665">
        <v>0.34699999999999998</v>
      </c>
      <c r="D665">
        <v>0.31769999999999998</v>
      </c>
      <c r="E665">
        <v>0.32669999999999999</v>
      </c>
      <c r="F665">
        <v>1647958.09</v>
      </c>
      <c r="G665">
        <v>0</v>
      </c>
      <c r="L665" t="s">
        <v>8</v>
      </c>
      <c r="M665" t="s">
        <v>8</v>
      </c>
      <c r="N665" t="s">
        <v>7</v>
      </c>
      <c r="P665">
        <f t="shared" si="995"/>
        <v>-0.38566552901023821</v>
      </c>
      <c r="Q665">
        <f t="shared" si="996"/>
        <v>-635560.62856655172</v>
      </c>
      <c r="R665">
        <f t="shared" si="997"/>
        <v>-13693828.42037111</v>
      </c>
      <c r="S665">
        <f t="shared" si="998"/>
        <v>-136.93828420371111</v>
      </c>
      <c r="T665">
        <f t="shared" si="999"/>
        <v>-0.1369382842037111</v>
      </c>
    </row>
    <row r="666" spans="1:20" x14ac:dyDescent="0.25">
      <c r="A666" s="5">
        <v>43927</v>
      </c>
      <c r="B666">
        <v>0.30330000000000001</v>
      </c>
      <c r="C666">
        <v>0.33800000000000002</v>
      </c>
      <c r="D666">
        <v>0.30330000000000001</v>
      </c>
      <c r="E666">
        <v>0.33289999999999997</v>
      </c>
      <c r="F666">
        <v>1674696.64</v>
      </c>
      <c r="G666">
        <v>0</v>
      </c>
      <c r="L666" t="s">
        <v>8</v>
      </c>
      <c r="M666" t="s">
        <v>8</v>
      </c>
      <c r="N666" t="s">
        <v>7</v>
      </c>
      <c r="P666">
        <f t="shared" si="995"/>
        <v>0.70605187319884455</v>
      </c>
      <c r="Q666">
        <f t="shared" si="996"/>
        <v>1182422.699711811</v>
      </c>
      <c r="R666">
        <f t="shared" si="997"/>
        <v>-13058267.791804558</v>
      </c>
      <c r="S666">
        <f t="shared" si="998"/>
        <v>-130.58267791804559</v>
      </c>
      <c r="T666">
        <f t="shared" si="999"/>
        <v>-0.13058267791804559</v>
      </c>
    </row>
    <row r="667" spans="1:20" x14ac:dyDescent="0.25">
      <c r="A667" s="5">
        <v>43926</v>
      </c>
      <c r="B667">
        <v>0.313</v>
      </c>
      <c r="C667">
        <v>0.31900000000000001</v>
      </c>
      <c r="D667">
        <v>0.29709999999999998</v>
      </c>
      <c r="E667">
        <v>0.30309999999999998</v>
      </c>
      <c r="F667">
        <v>552531.46</v>
      </c>
      <c r="G667">
        <v>0</v>
      </c>
      <c r="L667" t="s">
        <v>7</v>
      </c>
      <c r="M667" t="s">
        <v>8</v>
      </c>
      <c r="N667" t="s">
        <v>7</v>
      </c>
      <c r="P667">
        <f t="shared" si="995"/>
        <v>-0.4520547945205482</v>
      </c>
      <c r="Q667">
        <f t="shared" si="996"/>
        <v>-249774.49561643848</v>
      </c>
      <c r="R667">
        <f t="shared" si="997"/>
        <v>-14240690.491516368</v>
      </c>
      <c r="S667">
        <f t="shared" si="998"/>
        <v>-142.40690491516369</v>
      </c>
      <c r="T667">
        <f t="shared" si="999"/>
        <v>-0.1424069049151637</v>
      </c>
    </row>
    <row r="668" spans="1:20" x14ac:dyDescent="0.25">
      <c r="A668" s="5">
        <v>43925</v>
      </c>
      <c r="B668">
        <v>0.32829999999999998</v>
      </c>
      <c r="C668">
        <v>0.33079999999999998</v>
      </c>
      <c r="D668">
        <v>0.3044</v>
      </c>
      <c r="E668">
        <v>0.31409999999999999</v>
      </c>
      <c r="F668">
        <v>1355601.63</v>
      </c>
      <c r="G668">
        <v>0</v>
      </c>
      <c r="L668" t="s">
        <v>7</v>
      </c>
      <c r="M668" t="s">
        <v>8</v>
      </c>
      <c r="N668" t="s">
        <v>7</v>
      </c>
      <c r="P668">
        <f t="shared" si="995"/>
        <v>-0.26515151515151558</v>
      </c>
      <c r="Q668">
        <f t="shared" si="996"/>
        <v>-359439.82613636419</v>
      </c>
      <c r="R668">
        <f t="shared" si="997"/>
        <v>-13990915.995899931</v>
      </c>
      <c r="S668">
        <f t="shared" si="998"/>
        <v>-139.90915995899931</v>
      </c>
      <c r="T668">
        <f t="shared" si="999"/>
        <v>-0.1399091599589993</v>
      </c>
    </row>
    <row r="669" spans="1:20" x14ac:dyDescent="0.25">
      <c r="A669" s="5">
        <v>43924</v>
      </c>
      <c r="B669">
        <v>0.30780000000000002</v>
      </c>
      <c r="C669">
        <v>0.34989999999999999</v>
      </c>
      <c r="D669">
        <v>0.30099999999999999</v>
      </c>
      <c r="E669">
        <v>0.32840000000000003</v>
      </c>
      <c r="F669">
        <v>2517740.79</v>
      </c>
      <c r="G669">
        <v>0</v>
      </c>
      <c r="L669" t="s">
        <v>8</v>
      </c>
      <c r="M669" t="s">
        <v>8</v>
      </c>
      <c r="N669" t="s">
        <v>7</v>
      </c>
      <c r="P669">
        <f t="shared" si="995"/>
        <v>0.12065439672801784</v>
      </c>
      <c r="Q669">
        <f t="shared" si="996"/>
        <v>303776.49613497307</v>
      </c>
      <c r="R669">
        <f t="shared" si="997"/>
        <v>-13631476.169763567</v>
      </c>
      <c r="S669">
        <f t="shared" si="998"/>
        <v>-136.31476169763567</v>
      </c>
      <c r="T669">
        <f t="shared" si="999"/>
        <v>-0.13631476169763568</v>
      </c>
    </row>
    <row r="670" spans="1:20" x14ac:dyDescent="0.25">
      <c r="A670" s="5">
        <v>43923</v>
      </c>
      <c r="B670">
        <v>0.28789999999999999</v>
      </c>
      <c r="C670">
        <v>0.31990000000000002</v>
      </c>
      <c r="D670">
        <v>0.28000000000000003</v>
      </c>
      <c r="E670">
        <v>0.30780000000000002</v>
      </c>
      <c r="F670">
        <v>1775458.26</v>
      </c>
      <c r="G670">
        <v>0</v>
      </c>
      <c r="L670" t="s">
        <v>8</v>
      </c>
      <c r="M670" t="s">
        <v>8</v>
      </c>
      <c r="N670" t="s">
        <v>7</v>
      </c>
      <c r="P670">
        <f t="shared" si="995"/>
        <v>0.39348370927318282</v>
      </c>
      <c r="Q670">
        <f t="shared" si="996"/>
        <v>698613.90180451109</v>
      </c>
      <c r="R670">
        <f t="shared" si="997"/>
        <v>-13935252.665898539</v>
      </c>
      <c r="S670">
        <f t="shared" si="998"/>
        <v>-139.3525266589854</v>
      </c>
      <c r="T670">
        <f t="shared" si="999"/>
        <v>-0.1393525266589854</v>
      </c>
    </row>
    <row r="671" spans="1:20" x14ac:dyDescent="0.25">
      <c r="A671" s="5">
        <v>43922</v>
      </c>
      <c r="B671">
        <v>0.28920000000000001</v>
      </c>
      <c r="C671">
        <v>0.29189999999999999</v>
      </c>
      <c r="D671">
        <v>0.27</v>
      </c>
      <c r="E671">
        <v>0.28789999999999999</v>
      </c>
      <c r="F671">
        <v>1006656.95</v>
      </c>
      <c r="G671">
        <v>0</v>
      </c>
      <c r="L671" t="s">
        <v>7</v>
      </c>
      <c r="M671" t="s">
        <v>7</v>
      </c>
      <c r="N671" t="s">
        <v>7</v>
      </c>
      <c r="P671">
        <f t="shared" si="995"/>
        <v>0.63470319634703121</v>
      </c>
      <c r="Q671">
        <f t="shared" si="996"/>
        <v>638928.38378995354</v>
      </c>
      <c r="R671">
        <f t="shared" si="997"/>
        <v>-14633866.56770305</v>
      </c>
      <c r="S671">
        <f t="shared" si="998"/>
        <v>-146.33866567703049</v>
      </c>
      <c r="T671">
        <f t="shared" si="999"/>
        <v>-0.14633866567703049</v>
      </c>
    </row>
    <row r="672" spans="1:20" x14ac:dyDescent="0.25">
      <c r="A672" s="5">
        <v>43921</v>
      </c>
      <c r="B672">
        <v>0.28920000000000001</v>
      </c>
      <c r="C672">
        <v>0.29480000000000001</v>
      </c>
      <c r="D672">
        <v>0.27779999999999999</v>
      </c>
      <c r="E672">
        <v>0.28970000000000001</v>
      </c>
      <c r="F672">
        <v>1161284.49</v>
      </c>
      <c r="G672">
        <v>0</v>
      </c>
      <c r="L672" t="s">
        <v>8</v>
      </c>
      <c r="M672" t="s">
        <v>7</v>
      </c>
      <c r="N672" t="s">
        <v>7</v>
      </c>
      <c r="P672">
        <f t="shared" si="995"/>
        <v>0.4000000000000013</v>
      </c>
      <c r="Q672">
        <f t="shared" si="996"/>
        <v>464513.79600000149</v>
      </c>
      <c r="R672">
        <f t="shared" si="997"/>
        <v>-15272794.951493002</v>
      </c>
      <c r="S672">
        <f t="shared" si="998"/>
        <v>-152.72794951493003</v>
      </c>
      <c r="T672">
        <f t="shared" si="999"/>
        <v>-0.15272794951493004</v>
      </c>
    </row>
    <row r="673" spans="1:20" x14ac:dyDescent="0.25">
      <c r="A673" s="5">
        <v>43920</v>
      </c>
      <c r="B673">
        <v>0.26619999999999999</v>
      </c>
      <c r="C673">
        <v>0.30470000000000003</v>
      </c>
      <c r="D673">
        <v>0.26150000000000001</v>
      </c>
      <c r="E673">
        <v>0.28920000000000001</v>
      </c>
      <c r="F673">
        <v>1828877.72</v>
      </c>
      <c r="G673">
        <v>0</v>
      </c>
      <c r="L673" t="s">
        <v>7</v>
      </c>
      <c r="M673" t="s">
        <v>7</v>
      </c>
      <c r="N673" t="s">
        <v>7</v>
      </c>
      <c r="P673">
        <f t="shared" si="995"/>
        <v>0.28240740740740705</v>
      </c>
      <c r="Q673">
        <f t="shared" si="996"/>
        <v>516488.61537036969</v>
      </c>
      <c r="R673">
        <f t="shared" si="997"/>
        <v>-15737308.747493004</v>
      </c>
      <c r="S673">
        <f t="shared" si="998"/>
        <v>-157.37308747493003</v>
      </c>
      <c r="T673">
        <f t="shared" si="999"/>
        <v>-0.15737308747493003</v>
      </c>
    </row>
    <row r="674" spans="1:20" x14ac:dyDescent="0.25">
      <c r="A674" s="5">
        <v>43919</v>
      </c>
      <c r="B674">
        <v>0.29170000000000001</v>
      </c>
      <c r="C674">
        <v>0.30309999999999998</v>
      </c>
      <c r="D674">
        <v>0.26429999999999998</v>
      </c>
      <c r="E674">
        <v>0.26429999999999998</v>
      </c>
      <c r="F674">
        <v>1187004.6100000001</v>
      </c>
      <c r="G674">
        <v>0</v>
      </c>
      <c r="L674" t="s">
        <v>8</v>
      </c>
      <c r="M674" t="s">
        <v>7</v>
      </c>
      <c r="N674" t="s">
        <v>7</v>
      </c>
      <c r="P674">
        <f t="shared" si="995"/>
        <v>-1</v>
      </c>
      <c r="Q674">
        <f t="shared" si="996"/>
        <v>-1187004.6100000001</v>
      </c>
      <c r="R674">
        <f t="shared" si="997"/>
        <v>-16253797.362863375</v>
      </c>
      <c r="S674">
        <f t="shared" si="998"/>
        <v>-162.53797362863375</v>
      </c>
      <c r="T674">
        <f t="shared" si="999"/>
        <v>-0.16253797362863376</v>
      </c>
    </row>
    <row r="675" spans="1:20" x14ac:dyDescent="0.25">
      <c r="A675" s="5">
        <v>43918</v>
      </c>
      <c r="B675">
        <v>0.28199999999999997</v>
      </c>
      <c r="C675">
        <v>0.30769999999999997</v>
      </c>
      <c r="D675">
        <v>0.26</v>
      </c>
      <c r="E675">
        <v>0.29239999999999999</v>
      </c>
      <c r="F675">
        <v>2729121.16</v>
      </c>
      <c r="G675">
        <v>0</v>
      </c>
      <c r="L675" t="s">
        <v>7</v>
      </c>
      <c r="M675" t="s">
        <v>7</v>
      </c>
      <c r="N675" t="s">
        <v>7</v>
      </c>
      <c r="P675">
        <f t="shared" si="995"/>
        <v>0.35849056603773621</v>
      </c>
      <c r="Q675">
        <f t="shared" si="996"/>
        <v>978364.18943396327</v>
      </c>
      <c r="R675">
        <f t="shared" si="997"/>
        <v>-15066792.752863375</v>
      </c>
      <c r="S675">
        <f t="shared" si="998"/>
        <v>-150.66792752863375</v>
      </c>
      <c r="T675">
        <f t="shared" si="999"/>
        <v>-0.15066792752863375</v>
      </c>
    </row>
    <row r="676" spans="1:20" x14ac:dyDescent="0.25">
      <c r="A676" s="5">
        <v>43917</v>
      </c>
      <c r="B676">
        <v>0.2999</v>
      </c>
      <c r="C676">
        <v>0.32719999999999999</v>
      </c>
      <c r="D676">
        <v>0.28000000000000003</v>
      </c>
      <c r="E676">
        <v>0.28220000000000001</v>
      </c>
      <c r="F676">
        <v>2298108.1800000002</v>
      </c>
      <c r="G676">
        <v>0</v>
      </c>
      <c r="L676" t="s">
        <v>7</v>
      </c>
      <c r="M676" t="s">
        <v>7</v>
      </c>
      <c r="N676" t="s">
        <v>8</v>
      </c>
      <c r="P676">
        <f t="shared" si="995"/>
        <v>-0.90677966101694996</v>
      </c>
      <c r="Q676">
        <f t="shared" si="996"/>
        <v>-2083877.75644068</v>
      </c>
      <c r="R676">
        <f t="shared" si="997"/>
        <v>-16045156.942297339</v>
      </c>
      <c r="S676">
        <f t="shared" si="998"/>
        <v>-160.45156942297339</v>
      </c>
      <c r="T676">
        <f t="shared" si="999"/>
        <v>-0.16045156942297339</v>
      </c>
    </row>
    <row r="677" spans="1:20" x14ac:dyDescent="0.25">
      <c r="A677" s="5">
        <v>43916</v>
      </c>
      <c r="B677">
        <v>0.31969999999999998</v>
      </c>
      <c r="C677">
        <v>0.32390000000000002</v>
      </c>
      <c r="D677">
        <v>0.29199999999999998</v>
      </c>
      <c r="E677">
        <v>0.2999</v>
      </c>
      <c r="F677">
        <v>1901902.01</v>
      </c>
      <c r="G677">
        <v>0</v>
      </c>
      <c r="L677" t="s">
        <v>7</v>
      </c>
      <c r="M677" t="s">
        <v>7</v>
      </c>
      <c r="N677" t="s">
        <v>8</v>
      </c>
      <c r="P677">
        <f t="shared" si="995"/>
        <v>-0.5047021943573663</v>
      </c>
      <c r="Q677">
        <f t="shared" si="996"/>
        <v>-959894.11789968563</v>
      </c>
      <c r="R677">
        <f t="shared" si="997"/>
        <v>-13961279.185856659</v>
      </c>
      <c r="S677">
        <f t="shared" si="998"/>
        <v>-139.6127918585666</v>
      </c>
      <c r="T677">
        <f t="shared" si="999"/>
        <v>-0.13961279185856659</v>
      </c>
    </row>
    <row r="678" spans="1:20" x14ac:dyDescent="0.25">
      <c r="A678" s="5">
        <v>43915</v>
      </c>
      <c r="B678">
        <v>0.34429999999999999</v>
      </c>
      <c r="C678">
        <v>0.3468</v>
      </c>
      <c r="D678">
        <v>0.31269999999999998</v>
      </c>
      <c r="E678">
        <v>0.31869999999999998</v>
      </c>
      <c r="F678">
        <v>679533.6</v>
      </c>
      <c r="G678">
        <v>0</v>
      </c>
      <c r="L678" t="s">
        <v>7</v>
      </c>
      <c r="M678" t="s">
        <v>8</v>
      </c>
      <c r="N678" t="s">
        <v>8</v>
      </c>
      <c r="P678">
        <f t="shared" si="995"/>
        <v>-0.64809384164222861</v>
      </c>
      <c r="Q678">
        <f t="shared" si="996"/>
        <v>-440401.54134897352</v>
      </c>
      <c r="R678">
        <f t="shared" si="997"/>
        <v>-13001385.067956973</v>
      </c>
      <c r="S678">
        <f t="shared" si="998"/>
        <v>-130.01385067956974</v>
      </c>
      <c r="T678">
        <f t="shared" si="999"/>
        <v>-0.13001385067956975</v>
      </c>
    </row>
    <row r="679" spans="1:20" x14ac:dyDescent="0.25">
      <c r="A679" s="5">
        <v>43914</v>
      </c>
      <c r="B679">
        <v>0.34499999999999997</v>
      </c>
      <c r="C679">
        <v>0.35849999999999999</v>
      </c>
      <c r="D679">
        <v>0.33479999999999999</v>
      </c>
      <c r="E679">
        <v>0.34689999999999999</v>
      </c>
      <c r="F679">
        <v>709297.13</v>
      </c>
      <c r="G679">
        <v>0</v>
      </c>
      <c r="L679" t="s">
        <v>8</v>
      </c>
      <c r="M679" t="s">
        <v>8</v>
      </c>
      <c r="N679" t="s">
        <v>8</v>
      </c>
      <c r="P679">
        <f t="shared" si="995"/>
        <v>2.109704641350213E-2</v>
      </c>
      <c r="Q679">
        <f t="shared" si="996"/>
        <v>14964.074472573853</v>
      </c>
      <c r="R679">
        <f t="shared" si="997"/>
        <v>-12560983.526608</v>
      </c>
      <c r="S679">
        <f t="shared" si="998"/>
        <v>-125.60983526608</v>
      </c>
      <c r="T679">
        <f t="shared" si="999"/>
        <v>-0.12560983526607999</v>
      </c>
    </row>
    <row r="680" spans="1:20" x14ac:dyDescent="0.25">
      <c r="A680" s="5">
        <v>43913</v>
      </c>
      <c r="B680">
        <v>0.30070000000000002</v>
      </c>
      <c r="C680">
        <v>0.35980000000000001</v>
      </c>
      <c r="D680">
        <v>0.29389999999999999</v>
      </c>
      <c r="E680">
        <v>0.34499999999999997</v>
      </c>
      <c r="F680">
        <v>1263537.3400000001</v>
      </c>
      <c r="G680">
        <v>0</v>
      </c>
      <c r="L680" t="s">
        <v>7</v>
      </c>
      <c r="M680" t="s">
        <v>7</v>
      </c>
      <c r="N680" t="s">
        <v>8</v>
      </c>
      <c r="P680">
        <f t="shared" si="995"/>
        <v>0.5508345978755681</v>
      </c>
      <c r="Q680">
        <f t="shared" si="996"/>
        <v>696000.082579665</v>
      </c>
      <c r="R680">
        <f t="shared" si="997"/>
        <v>-12575947.601080574</v>
      </c>
      <c r="S680">
        <f t="shared" si="998"/>
        <v>-125.75947601080574</v>
      </c>
      <c r="T680">
        <f t="shared" si="999"/>
        <v>-0.12575947601080575</v>
      </c>
    </row>
    <row r="681" spans="1:20" x14ac:dyDescent="0.25">
      <c r="A681" s="5">
        <v>43912</v>
      </c>
      <c r="B681">
        <v>0.31119999999999998</v>
      </c>
      <c r="C681">
        <v>0.36499999999999999</v>
      </c>
      <c r="D681">
        <v>0.29809999999999998</v>
      </c>
      <c r="E681">
        <v>0.3029</v>
      </c>
      <c r="F681">
        <v>1680688.75</v>
      </c>
      <c r="G681">
        <v>0</v>
      </c>
      <c r="L681" t="s">
        <v>8</v>
      </c>
      <c r="M681" t="s">
        <v>8</v>
      </c>
      <c r="N681" t="s">
        <v>8</v>
      </c>
      <c r="P681">
        <f t="shared" si="995"/>
        <v>-0.85650224215246562</v>
      </c>
      <c r="Q681">
        <f t="shared" si="996"/>
        <v>-1439513.6827354247</v>
      </c>
      <c r="R681">
        <f t="shared" si="997"/>
        <v>-13271947.683660239</v>
      </c>
      <c r="S681">
        <f t="shared" si="998"/>
        <v>-132.71947683660238</v>
      </c>
      <c r="T681">
        <f t="shared" si="999"/>
        <v>-0.13271947683660237</v>
      </c>
    </row>
    <row r="682" spans="1:20" x14ac:dyDescent="0.25">
      <c r="A682" s="5">
        <v>43911</v>
      </c>
      <c r="B682">
        <v>0.31719999999999998</v>
      </c>
      <c r="C682">
        <v>0.32450000000000001</v>
      </c>
      <c r="D682">
        <v>0.28889999999999999</v>
      </c>
      <c r="E682">
        <v>0.31140000000000001</v>
      </c>
      <c r="F682">
        <v>617162.32999999996</v>
      </c>
      <c r="G682">
        <v>0</v>
      </c>
      <c r="L682" t="s">
        <v>7</v>
      </c>
      <c r="M682" t="s">
        <v>7</v>
      </c>
      <c r="N682" t="s">
        <v>8</v>
      </c>
      <c r="P682">
        <f t="shared" si="995"/>
        <v>0.26404494382022509</v>
      </c>
      <c r="Q682">
        <f t="shared" si="996"/>
        <v>162958.5927528092</v>
      </c>
      <c r="R682">
        <f t="shared" si="997"/>
        <v>-11832434.000924814</v>
      </c>
      <c r="S682">
        <f t="shared" si="998"/>
        <v>-118.32434000924815</v>
      </c>
      <c r="T682">
        <f t="shared" si="999"/>
        <v>-0.11832434000924814</v>
      </c>
    </row>
    <row r="683" spans="1:20" x14ac:dyDescent="0.25">
      <c r="A683" s="5">
        <v>43910</v>
      </c>
      <c r="B683">
        <v>0.34</v>
      </c>
      <c r="C683">
        <v>0.37319999999999998</v>
      </c>
      <c r="D683">
        <v>0.28139999999999998</v>
      </c>
      <c r="E683">
        <v>0.32090000000000002</v>
      </c>
      <c r="F683">
        <v>1731107.5</v>
      </c>
      <c r="G683">
        <v>0</v>
      </c>
      <c r="L683" t="s">
        <v>8</v>
      </c>
      <c r="M683" t="s">
        <v>7</v>
      </c>
      <c r="N683" t="s">
        <v>8</v>
      </c>
      <c r="P683">
        <f t="shared" si="995"/>
        <v>-0.13943355119825626</v>
      </c>
      <c r="Q683">
        <f t="shared" si="996"/>
        <v>-241374.46623093539</v>
      </c>
      <c r="R683">
        <f t="shared" si="997"/>
        <v>-11995392.593677623</v>
      </c>
      <c r="S683">
        <f t="shared" si="998"/>
        <v>-119.95392593677623</v>
      </c>
      <c r="T683">
        <f t="shared" si="999"/>
        <v>-0.11995392593677623</v>
      </c>
    </row>
    <row r="684" spans="1:20" x14ac:dyDescent="0.25">
      <c r="A684" s="5">
        <v>43909</v>
      </c>
      <c r="B684">
        <v>0.2777</v>
      </c>
      <c r="C684">
        <v>0.36259999999999998</v>
      </c>
      <c r="D684">
        <v>0.2656</v>
      </c>
      <c r="E684">
        <v>0.33989999999999998</v>
      </c>
      <c r="F684">
        <v>2994057.19</v>
      </c>
      <c r="G684">
        <v>0</v>
      </c>
      <c r="L684" t="s">
        <v>8</v>
      </c>
      <c r="M684" t="s">
        <v>8</v>
      </c>
      <c r="N684" t="s">
        <v>8</v>
      </c>
      <c r="P684">
        <f t="shared" si="995"/>
        <v>0.53195876288659782</v>
      </c>
      <c r="Q684">
        <f t="shared" si="996"/>
        <v>1592714.9588041233</v>
      </c>
      <c r="R684">
        <f t="shared" si="997"/>
        <v>-11754018.127446689</v>
      </c>
      <c r="S684">
        <f t="shared" si="998"/>
        <v>-117.54018127446689</v>
      </c>
      <c r="T684">
        <f t="shared" si="999"/>
        <v>-0.11754018127446689</v>
      </c>
    </row>
    <row r="685" spans="1:20" x14ac:dyDescent="0.25">
      <c r="A685" s="5">
        <v>43908</v>
      </c>
      <c r="B685">
        <v>0.2676</v>
      </c>
      <c r="C685">
        <v>0.30370000000000003</v>
      </c>
      <c r="D685">
        <v>0.245</v>
      </c>
      <c r="E685">
        <v>0.2772</v>
      </c>
      <c r="F685">
        <v>1889633.41</v>
      </c>
      <c r="G685">
        <v>0</v>
      </c>
      <c r="L685" t="s">
        <v>7</v>
      </c>
      <c r="M685" t="s">
        <v>7</v>
      </c>
      <c r="N685" t="s">
        <v>8</v>
      </c>
      <c r="P685">
        <f t="shared" si="995"/>
        <v>9.7103918228279046E-2</v>
      </c>
      <c r="Q685">
        <f t="shared" si="996"/>
        <v>183490.80812606408</v>
      </c>
      <c r="R685">
        <f t="shared" si="997"/>
        <v>-13346733.086250812</v>
      </c>
      <c r="S685">
        <f t="shared" si="998"/>
        <v>-133.46733086250811</v>
      </c>
      <c r="T685">
        <f t="shared" si="999"/>
        <v>-0.13346733086250812</v>
      </c>
    </row>
    <row r="686" spans="1:20" x14ac:dyDescent="0.25">
      <c r="A686" s="5">
        <v>43907</v>
      </c>
      <c r="B686">
        <v>0.2475</v>
      </c>
      <c r="C686">
        <v>0.31</v>
      </c>
      <c r="D686">
        <v>0.2397</v>
      </c>
      <c r="E686">
        <v>0.26719999999999999</v>
      </c>
      <c r="F686">
        <v>2975411.55</v>
      </c>
      <c r="G686">
        <v>0</v>
      </c>
      <c r="L686" t="s">
        <v>8</v>
      </c>
      <c r="M686" t="s">
        <v>8</v>
      </c>
      <c r="N686" t="s">
        <v>8</v>
      </c>
      <c r="P686">
        <f t="shared" si="995"/>
        <v>-0.21763869132290195</v>
      </c>
      <c r="Q686">
        <f t="shared" si="996"/>
        <v>-647564.67588904721</v>
      </c>
      <c r="R686">
        <f t="shared" si="997"/>
        <v>-13530223.894376876</v>
      </c>
      <c r="S686">
        <f t="shared" si="998"/>
        <v>-135.30223894376877</v>
      </c>
      <c r="T686">
        <f t="shared" si="999"/>
        <v>-0.13530223894376878</v>
      </c>
    </row>
    <row r="687" spans="1:20" x14ac:dyDescent="0.25">
      <c r="A687" s="5">
        <v>43906</v>
      </c>
      <c r="B687">
        <v>0.30349999999999999</v>
      </c>
      <c r="C687">
        <v>0.30349999999999999</v>
      </c>
      <c r="D687">
        <v>0.2001</v>
      </c>
      <c r="E687">
        <v>0.24429999999999999</v>
      </c>
      <c r="F687">
        <v>3688900.01</v>
      </c>
      <c r="G687">
        <v>0</v>
      </c>
      <c r="L687" t="s">
        <v>7</v>
      </c>
      <c r="M687" t="s">
        <v>7</v>
      </c>
      <c r="N687" t="s">
        <v>7</v>
      </c>
      <c r="P687">
        <f t="shared" si="995"/>
        <v>-0.14506769825918775</v>
      </c>
      <c r="Q687">
        <f t="shared" si="996"/>
        <v>-535140.2335589946</v>
      </c>
      <c r="R687">
        <f t="shared" si="997"/>
        <v>-12882659.218487829</v>
      </c>
      <c r="S687">
        <f t="shared" si="998"/>
        <v>-128.82659218487828</v>
      </c>
      <c r="T687">
        <f t="shared" si="999"/>
        <v>-0.12882659218487827</v>
      </c>
    </row>
    <row r="688" spans="1:20" x14ac:dyDescent="0.25">
      <c r="A688" s="5">
        <v>43905</v>
      </c>
      <c r="B688">
        <v>0.3266</v>
      </c>
      <c r="C688">
        <v>0.3528</v>
      </c>
      <c r="D688">
        <v>0.30199999999999999</v>
      </c>
      <c r="E688">
        <v>0.30620000000000003</v>
      </c>
      <c r="F688">
        <v>1834615.07</v>
      </c>
      <c r="G688">
        <v>0</v>
      </c>
      <c r="L688" t="s">
        <v>7</v>
      </c>
      <c r="M688" t="s">
        <v>7</v>
      </c>
      <c r="N688" t="s">
        <v>7</v>
      </c>
      <c r="P688">
        <f t="shared" si="995"/>
        <v>-0.83464566929133721</v>
      </c>
      <c r="Q688">
        <f t="shared" si="996"/>
        <v>-1531253.5229921236</v>
      </c>
      <c r="R688">
        <f t="shared" si="997"/>
        <v>-12347518.984928835</v>
      </c>
      <c r="S688">
        <f t="shared" si="998"/>
        <v>-123.47518984928836</v>
      </c>
      <c r="T688">
        <f t="shared" si="999"/>
        <v>-0.12347518984928836</v>
      </c>
    </row>
    <row r="689" spans="1:20" x14ac:dyDescent="0.25">
      <c r="A689" s="5">
        <v>43904</v>
      </c>
      <c r="B689">
        <v>0.3725</v>
      </c>
      <c r="C689">
        <v>0.43009999999999998</v>
      </c>
      <c r="D689">
        <v>0.3115</v>
      </c>
      <c r="E689">
        <v>0.32779999999999998</v>
      </c>
      <c r="F689">
        <v>2812741.89</v>
      </c>
      <c r="G689">
        <v>0</v>
      </c>
      <c r="L689" t="s">
        <v>8</v>
      </c>
      <c r="M689" t="s">
        <v>8</v>
      </c>
      <c r="N689" t="s">
        <v>8</v>
      </c>
      <c r="P689">
        <f t="shared" si="995"/>
        <v>-0.72512647554806098</v>
      </c>
      <c r="Q689">
        <f t="shared" si="996"/>
        <v>-2039593.613322092</v>
      </c>
      <c r="R689">
        <f t="shared" si="997"/>
        <v>-10816265.461936712</v>
      </c>
      <c r="S689">
        <f t="shared" si="998"/>
        <v>-108.16265461936712</v>
      </c>
      <c r="T689">
        <f t="shared" si="999"/>
        <v>-0.10816265461936712</v>
      </c>
    </row>
    <row r="690" spans="1:20" x14ac:dyDescent="0.25">
      <c r="A690" s="5">
        <v>43903</v>
      </c>
      <c r="B690">
        <v>0.33700000000000002</v>
      </c>
      <c r="C690">
        <v>0.44990000000000002</v>
      </c>
      <c r="D690">
        <v>0.1923</v>
      </c>
      <c r="E690">
        <v>0.37269999999999998</v>
      </c>
      <c r="F690">
        <v>5352609.6399999997</v>
      </c>
      <c r="G690">
        <v>0</v>
      </c>
      <c r="L690" t="s">
        <v>7</v>
      </c>
      <c r="M690" t="s">
        <v>7</v>
      </c>
      <c r="N690" t="s">
        <v>7</v>
      </c>
      <c r="P690">
        <f t="shared" si="995"/>
        <v>0.40062111801242201</v>
      </c>
      <c r="Q690">
        <f t="shared" si="996"/>
        <v>2144368.4582608677</v>
      </c>
      <c r="R690">
        <f t="shared" si="997"/>
        <v>-8776671.84861462</v>
      </c>
      <c r="S690">
        <f t="shared" si="998"/>
        <v>-87.766718486146203</v>
      </c>
      <c r="T690">
        <f t="shared" si="999"/>
        <v>-8.77667184861462E-2</v>
      </c>
    </row>
    <row r="691" spans="1:20" x14ac:dyDescent="0.25">
      <c r="A691" s="5">
        <v>43902</v>
      </c>
      <c r="B691">
        <v>0.61990000000000001</v>
      </c>
      <c r="C691">
        <v>0.62029999999999996</v>
      </c>
      <c r="D691">
        <v>0.30740000000000001</v>
      </c>
      <c r="E691">
        <v>0.33700000000000002</v>
      </c>
      <c r="F691">
        <v>6537204</v>
      </c>
      <c r="G691">
        <v>0</v>
      </c>
      <c r="L691" t="s">
        <v>7</v>
      </c>
      <c r="M691" t="s">
        <v>7</v>
      </c>
      <c r="N691" t="s">
        <v>7</v>
      </c>
      <c r="P691">
        <f t="shared" si="995"/>
        <v>-0.81080217321828052</v>
      </c>
      <c r="Q691">
        <f t="shared" si="996"/>
        <v>-5300379.2099712361</v>
      </c>
      <c r="R691">
        <f t="shared" si="997"/>
        <v>-10921040.306875488</v>
      </c>
      <c r="S691">
        <f t="shared" si="998"/>
        <v>-109.21040306875487</v>
      </c>
      <c r="T691">
        <f t="shared" si="999"/>
        <v>-0.10921040306875487</v>
      </c>
    </row>
    <row r="692" spans="1:20" x14ac:dyDescent="0.25">
      <c r="A692" s="5">
        <v>43901</v>
      </c>
      <c r="B692">
        <v>0.65249999999999997</v>
      </c>
      <c r="C692">
        <v>0.76319999999999999</v>
      </c>
      <c r="D692">
        <v>0.5353</v>
      </c>
      <c r="E692">
        <v>0.61499999999999999</v>
      </c>
      <c r="F692">
        <v>9289908.8000000007</v>
      </c>
      <c r="G692">
        <v>0</v>
      </c>
      <c r="L692" t="s">
        <v>8</v>
      </c>
      <c r="M692" t="s">
        <v>8</v>
      </c>
      <c r="N692" t="s">
        <v>8</v>
      </c>
      <c r="P692">
        <f t="shared" si="995"/>
        <v>-0.30057042562527425</v>
      </c>
      <c r="Q692">
        <f t="shared" si="996"/>
        <v>-2792271.8420359809</v>
      </c>
      <c r="R692">
        <f t="shared" si="997"/>
        <v>-5620661.0969042517</v>
      </c>
      <c r="S692">
        <f t="shared" si="998"/>
        <v>-56.206610969042515</v>
      </c>
      <c r="T692">
        <f t="shared" si="999"/>
        <v>-5.6206610969042517E-2</v>
      </c>
    </row>
    <row r="693" spans="1:20" x14ac:dyDescent="0.25">
      <c r="A693" s="5">
        <v>43900</v>
      </c>
      <c r="B693">
        <v>0.36870000000000003</v>
      </c>
      <c r="C693">
        <v>0.69359999999999999</v>
      </c>
      <c r="D693">
        <v>0.36359999999999998</v>
      </c>
      <c r="E693">
        <v>0.65249999999999997</v>
      </c>
      <c r="F693">
        <v>8377859.79</v>
      </c>
      <c r="G693">
        <v>0</v>
      </c>
      <c r="L693" t="s">
        <v>8</v>
      </c>
      <c r="M693" t="s">
        <v>8</v>
      </c>
      <c r="N693" t="s">
        <v>8</v>
      </c>
      <c r="P693">
        <f t="shared" si="995"/>
        <v>0.75090909090909075</v>
      </c>
      <c r="Q693">
        <f t="shared" si="996"/>
        <v>6291011.0786727257</v>
      </c>
      <c r="R693">
        <f t="shared" si="997"/>
        <v>-2828389.2548682708</v>
      </c>
      <c r="S693">
        <f t="shared" si="998"/>
        <v>-28.283892548682708</v>
      </c>
      <c r="T693">
        <f t="shared" si="999"/>
        <v>-2.8283892548682708E-2</v>
      </c>
    </row>
    <row r="694" spans="1:20" x14ac:dyDescent="0.25">
      <c r="A694" s="5">
        <v>43899</v>
      </c>
      <c r="B694">
        <v>0.38650000000000001</v>
      </c>
      <c r="C694">
        <v>0.41470000000000001</v>
      </c>
      <c r="D694">
        <v>0.33910000000000001</v>
      </c>
      <c r="E694">
        <v>0.36909999999999998</v>
      </c>
      <c r="F694">
        <v>2223005.3199999998</v>
      </c>
      <c r="G694">
        <v>0</v>
      </c>
      <c r="L694" t="s">
        <v>7</v>
      </c>
      <c r="M694" t="s">
        <v>7</v>
      </c>
      <c r="N694" t="s">
        <v>7</v>
      </c>
      <c r="P694">
        <f t="shared" si="995"/>
        <v>-0.20634920634920711</v>
      </c>
      <c r="Q694">
        <f t="shared" si="996"/>
        <v>-458715.38349206519</v>
      </c>
      <c r="R694">
        <f t="shared" si="997"/>
        <v>-9119400.3335409965</v>
      </c>
      <c r="S694">
        <f t="shared" si="998"/>
        <v>-91.19400333540996</v>
      </c>
      <c r="T694">
        <f t="shared" si="999"/>
        <v>-9.1194003335409959E-2</v>
      </c>
    </row>
    <row r="695" spans="1:20" x14ac:dyDescent="0.25">
      <c r="A695" s="5">
        <v>43898</v>
      </c>
      <c r="B695">
        <v>0.48970000000000002</v>
      </c>
      <c r="C695">
        <v>0.49370000000000003</v>
      </c>
      <c r="D695">
        <v>0.38500000000000001</v>
      </c>
      <c r="E695">
        <v>0.38650000000000001</v>
      </c>
      <c r="F695">
        <v>2198472.23</v>
      </c>
      <c r="G695">
        <v>0</v>
      </c>
      <c r="L695" t="s">
        <v>7</v>
      </c>
      <c r="M695" t="s">
        <v>7</v>
      </c>
      <c r="N695" t="s">
        <v>7</v>
      </c>
      <c r="P695">
        <f t="shared" si="995"/>
        <v>-0.97240110395584178</v>
      </c>
      <c r="Q695">
        <f t="shared" si="996"/>
        <v>-2137796.8234682614</v>
      </c>
      <c r="R695">
        <f t="shared" si="997"/>
        <v>-8660684.9500489309</v>
      </c>
      <c r="S695">
        <f t="shared" si="998"/>
        <v>-86.606849500489304</v>
      </c>
      <c r="T695">
        <f t="shared" si="999"/>
        <v>-8.6606849500489302E-2</v>
      </c>
    </row>
    <row r="696" spans="1:20" x14ac:dyDescent="0.25">
      <c r="A696" s="5">
        <v>43897</v>
      </c>
      <c r="B696">
        <v>0.52229999999999999</v>
      </c>
      <c r="C696">
        <v>0.55700000000000005</v>
      </c>
      <c r="D696">
        <v>0.48859999999999998</v>
      </c>
      <c r="E696">
        <v>0.49059999999999998</v>
      </c>
      <c r="F696">
        <v>1371180.91</v>
      </c>
      <c r="G696">
        <v>0</v>
      </c>
      <c r="L696" t="s">
        <v>8</v>
      </c>
      <c r="M696" t="s">
        <v>8</v>
      </c>
      <c r="N696" t="s">
        <v>8</v>
      </c>
      <c r="P696">
        <f t="shared" si="995"/>
        <v>-0.94152046783625731</v>
      </c>
      <c r="Q696">
        <f t="shared" si="996"/>
        <v>-1290994.891871345</v>
      </c>
      <c r="R696">
        <f t="shared" si="997"/>
        <v>-6522888.1265806686</v>
      </c>
      <c r="S696">
        <f t="shared" si="998"/>
        <v>-65.228881265806692</v>
      </c>
      <c r="T696">
        <f t="shared" si="999"/>
        <v>-6.5228881265806699E-2</v>
      </c>
    </row>
    <row r="697" spans="1:20" x14ac:dyDescent="0.25">
      <c r="A697" s="5">
        <v>43896</v>
      </c>
      <c r="B697">
        <v>0.44700000000000001</v>
      </c>
      <c r="C697">
        <v>0.55910000000000004</v>
      </c>
      <c r="D697">
        <v>0.44230000000000003</v>
      </c>
      <c r="E697">
        <v>0.52370000000000005</v>
      </c>
      <c r="F697">
        <v>1364703.94</v>
      </c>
      <c r="G697">
        <v>0</v>
      </c>
      <c r="L697" t="s">
        <v>7</v>
      </c>
      <c r="M697" t="s">
        <v>8</v>
      </c>
      <c r="N697" t="s">
        <v>8</v>
      </c>
      <c r="P697">
        <f t="shared" si="995"/>
        <v>0.39383561643835646</v>
      </c>
      <c r="Q697">
        <f t="shared" si="996"/>
        <v>537469.01746575383</v>
      </c>
      <c r="R697">
        <f t="shared" si="997"/>
        <v>-5231893.2347093234</v>
      </c>
      <c r="S697">
        <f t="shared" si="998"/>
        <v>-52.318932347093231</v>
      </c>
      <c r="T697">
        <f t="shared" si="999"/>
        <v>-5.2318932347093228E-2</v>
      </c>
    </row>
    <row r="698" spans="1:20" x14ac:dyDescent="0.25">
      <c r="A698" s="5">
        <v>43895</v>
      </c>
      <c r="B698">
        <v>0.47299999999999998</v>
      </c>
      <c r="C698">
        <v>0.49020000000000002</v>
      </c>
      <c r="D698">
        <v>0.44679999999999997</v>
      </c>
      <c r="E698">
        <v>0.44719999999999999</v>
      </c>
      <c r="F698">
        <v>918636.8</v>
      </c>
      <c r="G698">
        <v>0</v>
      </c>
      <c r="L698" t="s">
        <v>7</v>
      </c>
      <c r="M698" t="s">
        <v>8</v>
      </c>
      <c r="N698" t="s">
        <v>8</v>
      </c>
      <c r="P698">
        <f t="shared" si="995"/>
        <v>-0.98156682027649722</v>
      </c>
      <c r="Q698">
        <f t="shared" si="996"/>
        <v>-901703.40276497661</v>
      </c>
      <c r="R698">
        <f t="shared" si="997"/>
        <v>-5769362.2521750769</v>
      </c>
      <c r="S698">
        <f t="shared" si="998"/>
        <v>-57.693622521750768</v>
      </c>
      <c r="T698">
        <f t="shared" si="999"/>
        <v>-5.7693622521750768E-2</v>
      </c>
    </row>
    <row r="699" spans="1:20" x14ac:dyDescent="0.25">
      <c r="A699" s="5">
        <v>43894</v>
      </c>
      <c r="B699">
        <v>0.42070000000000002</v>
      </c>
      <c r="C699">
        <v>0.48920000000000002</v>
      </c>
      <c r="D699">
        <v>0.40799999999999997</v>
      </c>
      <c r="E699">
        <v>0.4743</v>
      </c>
      <c r="F699">
        <v>1864967.99</v>
      </c>
      <c r="G699">
        <v>0</v>
      </c>
      <c r="L699" t="s">
        <v>8</v>
      </c>
      <c r="M699" t="s">
        <v>8</v>
      </c>
      <c r="N699" t="s">
        <v>8</v>
      </c>
      <c r="P699">
        <f t="shared" si="995"/>
        <v>0.633004926108374</v>
      </c>
      <c r="Q699">
        <f t="shared" si="996"/>
        <v>1180533.9247044327</v>
      </c>
      <c r="R699">
        <f t="shared" si="997"/>
        <v>-4867658.8494100999</v>
      </c>
      <c r="S699">
        <f t="shared" si="998"/>
        <v>-48.676588494100997</v>
      </c>
      <c r="T699">
        <f t="shared" si="999"/>
        <v>-4.8676588494100996E-2</v>
      </c>
    </row>
    <row r="700" spans="1:20" x14ac:dyDescent="0.25">
      <c r="A700" s="5">
        <v>43893</v>
      </c>
      <c r="B700">
        <v>0.36449999999999999</v>
      </c>
      <c r="C700">
        <v>0.45529999999999998</v>
      </c>
      <c r="D700">
        <v>0.36070000000000002</v>
      </c>
      <c r="E700">
        <v>0.41899999999999998</v>
      </c>
      <c r="F700">
        <v>1831523.03</v>
      </c>
      <c r="G700">
        <v>0</v>
      </c>
      <c r="L700" t="s">
        <v>8</v>
      </c>
      <c r="M700" t="s">
        <v>8</v>
      </c>
      <c r="N700" t="s">
        <v>8</v>
      </c>
      <c r="P700">
        <f t="shared" si="995"/>
        <v>0.23255813953488344</v>
      </c>
      <c r="Q700">
        <f t="shared" si="996"/>
        <v>425935.58837209252</v>
      </c>
      <c r="R700">
        <f t="shared" si="997"/>
        <v>-6048192.7741145324</v>
      </c>
      <c r="S700">
        <f t="shared" si="998"/>
        <v>-60.481927741145327</v>
      </c>
      <c r="T700">
        <f t="shared" si="999"/>
        <v>-6.048192774114533E-2</v>
      </c>
    </row>
    <row r="701" spans="1:20" x14ac:dyDescent="0.25">
      <c r="A701" s="5">
        <v>43892</v>
      </c>
      <c r="B701">
        <v>0.37730000000000002</v>
      </c>
      <c r="C701">
        <v>0.40600000000000003</v>
      </c>
      <c r="D701">
        <v>0.35749999999999998</v>
      </c>
      <c r="E701">
        <v>0.36230000000000001</v>
      </c>
      <c r="F701">
        <v>1560760.33</v>
      </c>
      <c r="G701">
        <v>0</v>
      </c>
      <c r="L701" t="s">
        <v>7</v>
      </c>
      <c r="M701" t="s">
        <v>8</v>
      </c>
      <c r="N701" t="s">
        <v>8</v>
      </c>
      <c r="P701">
        <f t="shared" si="995"/>
        <v>-0.80206185567010213</v>
      </c>
      <c r="Q701">
        <f t="shared" si="996"/>
        <v>-1251826.326536081</v>
      </c>
      <c r="R701">
        <f t="shared" si="997"/>
        <v>-6474128.3624866251</v>
      </c>
      <c r="S701">
        <f t="shared" si="998"/>
        <v>-64.741283624866256</v>
      </c>
      <c r="T701">
        <f t="shared" si="999"/>
        <v>-6.4741283624866253E-2</v>
      </c>
    </row>
    <row r="702" spans="1:20" x14ac:dyDescent="0.25">
      <c r="A702" s="5">
        <v>43891</v>
      </c>
      <c r="B702">
        <v>0.32329999999999998</v>
      </c>
      <c r="C702">
        <v>0.4093</v>
      </c>
      <c r="D702">
        <v>0.32329999999999998</v>
      </c>
      <c r="E702">
        <v>0.378</v>
      </c>
      <c r="F702">
        <v>1846434.23</v>
      </c>
      <c r="G702">
        <v>0</v>
      </c>
      <c r="L702" t="s">
        <v>8</v>
      </c>
      <c r="M702" t="s">
        <v>8</v>
      </c>
      <c r="N702" t="s">
        <v>8</v>
      </c>
      <c r="P702">
        <f t="shared" si="995"/>
        <v>0.27209302325581425</v>
      </c>
      <c r="Q702">
        <f t="shared" si="996"/>
        <v>502401.87188372144</v>
      </c>
      <c r="R702">
        <f t="shared" si="997"/>
        <v>-5222302.0359505443</v>
      </c>
      <c r="S702">
        <f t="shared" si="998"/>
        <v>-52.223020359505441</v>
      </c>
      <c r="T702">
        <f t="shared" si="999"/>
        <v>-5.2223020359505441E-2</v>
      </c>
    </row>
    <row r="703" spans="1:20" x14ac:dyDescent="0.25">
      <c r="A703" s="5">
        <v>43890</v>
      </c>
      <c r="B703">
        <v>0.3367</v>
      </c>
      <c r="C703">
        <v>0.34200000000000003</v>
      </c>
      <c r="D703">
        <v>0.30790000000000001</v>
      </c>
      <c r="E703">
        <v>0.32150000000000001</v>
      </c>
      <c r="F703">
        <v>915212.26</v>
      </c>
      <c r="G703">
        <v>0</v>
      </c>
      <c r="L703" t="s">
        <v>7</v>
      </c>
      <c r="M703" t="s">
        <v>7</v>
      </c>
      <c r="N703" t="s">
        <v>8</v>
      </c>
      <c r="P703">
        <f t="shared" si="995"/>
        <v>-0.20234604105571888</v>
      </c>
      <c r="Q703">
        <f t="shared" si="996"/>
        <v>-185189.57753665725</v>
      </c>
      <c r="R703">
        <f t="shared" si="997"/>
        <v>-5724703.9078342654</v>
      </c>
      <c r="S703">
        <f t="shared" si="998"/>
        <v>-57.247039078342652</v>
      </c>
      <c r="T703">
        <f t="shared" si="999"/>
        <v>-5.7247039078342651E-2</v>
      </c>
    </row>
    <row r="704" spans="1:20" x14ac:dyDescent="0.25">
      <c r="A704" s="5">
        <v>43889</v>
      </c>
      <c r="B704">
        <v>0.30299999999999999</v>
      </c>
      <c r="C704">
        <v>0.36699999999999999</v>
      </c>
      <c r="D704">
        <v>0.30299999999999999</v>
      </c>
      <c r="E704">
        <v>0.33660000000000001</v>
      </c>
      <c r="F704">
        <v>1918427.13</v>
      </c>
      <c r="G704">
        <v>0</v>
      </c>
      <c r="L704" t="s">
        <v>8</v>
      </c>
      <c r="M704" t="s">
        <v>8</v>
      </c>
      <c r="N704" t="s">
        <v>8</v>
      </c>
      <c r="P704">
        <f t="shared" si="995"/>
        <v>5.0000000000000565E-2</v>
      </c>
      <c r="Q704">
        <f t="shared" si="996"/>
        <v>95921.356500001071</v>
      </c>
      <c r="R704">
        <f t="shared" si="997"/>
        <v>-5539514.3302976079</v>
      </c>
      <c r="S704">
        <f t="shared" si="998"/>
        <v>-55.395143302976081</v>
      </c>
      <c r="T704">
        <f t="shared" si="999"/>
        <v>-5.5395143302976083E-2</v>
      </c>
    </row>
    <row r="705" spans="1:20" x14ac:dyDescent="0.25">
      <c r="A705" s="5">
        <v>43888</v>
      </c>
      <c r="B705">
        <v>0.28370000000000001</v>
      </c>
      <c r="C705">
        <v>0.3226</v>
      </c>
      <c r="D705">
        <v>0.2631</v>
      </c>
      <c r="E705">
        <v>0.30130000000000001</v>
      </c>
      <c r="F705">
        <v>888363.43</v>
      </c>
      <c r="G705">
        <v>0</v>
      </c>
      <c r="L705" t="s">
        <v>8</v>
      </c>
      <c r="M705" t="s">
        <v>8</v>
      </c>
      <c r="N705" t="s">
        <v>7</v>
      </c>
      <c r="P705">
        <f t="shared" si="995"/>
        <v>0.28403361344537859</v>
      </c>
      <c r="Q705">
        <f t="shared" si="996"/>
        <v>252325.07507563065</v>
      </c>
      <c r="R705">
        <f t="shared" si="997"/>
        <v>-5635435.6867976086</v>
      </c>
      <c r="S705">
        <f t="shared" si="998"/>
        <v>-56.354356867976087</v>
      </c>
      <c r="T705">
        <f t="shared" si="999"/>
        <v>-5.6354356867976088E-2</v>
      </c>
    </row>
    <row r="706" spans="1:20" x14ac:dyDescent="0.25">
      <c r="A706" s="5">
        <v>43887</v>
      </c>
      <c r="B706">
        <v>0.3165</v>
      </c>
      <c r="C706">
        <v>0.31809999999999999</v>
      </c>
      <c r="D706">
        <v>0.25</v>
      </c>
      <c r="E706">
        <v>0.28310000000000002</v>
      </c>
      <c r="F706">
        <v>1344111.3</v>
      </c>
      <c r="G706">
        <v>0</v>
      </c>
      <c r="L706" t="s">
        <v>7</v>
      </c>
      <c r="M706" t="s">
        <v>7</v>
      </c>
      <c r="N706" t="s">
        <v>7</v>
      </c>
      <c r="P706">
        <f t="shared" si="995"/>
        <v>-2.7900146842877494E-2</v>
      </c>
      <c r="Q706">
        <f t="shared" si="996"/>
        <v>-37500.902643170964</v>
      </c>
      <c r="R706">
        <f t="shared" si="997"/>
        <v>-5887760.7618732397</v>
      </c>
      <c r="S706">
        <f t="shared" si="998"/>
        <v>-58.877607618732398</v>
      </c>
      <c r="T706">
        <f t="shared" si="999"/>
        <v>-5.8877607618732397E-2</v>
      </c>
    </row>
    <row r="707" spans="1:20" x14ac:dyDescent="0.25">
      <c r="A707" s="5">
        <v>43886</v>
      </c>
      <c r="B707">
        <v>0.34870000000000001</v>
      </c>
      <c r="C707">
        <v>0.35149999999999998</v>
      </c>
      <c r="D707">
        <v>0.312</v>
      </c>
      <c r="E707">
        <v>0.31669999999999998</v>
      </c>
      <c r="F707">
        <v>686638.72</v>
      </c>
      <c r="G707">
        <v>0</v>
      </c>
      <c r="L707" t="s">
        <v>7</v>
      </c>
      <c r="M707" t="s">
        <v>7</v>
      </c>
      <c r="N707" t="s">
        <v>7</v>
      </c>
      <c r="P707">
        <f t="shared" si="995"/>
        <v>-0.76202531645569704</v>
      </c>
      <c r="Q707">
        <f t="shared" si="996"/>
        <v>-523236.08789873472</v>
      </c>
      <c r="R707">
        <f t="shared" si="997"/>
        <v>-5850259.8592300685</v>
      </c>
      <c r="S707">
        <f t="shared" si="998"/>
        <v>-58.502598592300686</v>
      </c>
      <c r="T707">
        <f t="shared" si="999"/>
        <v>-5.8502598592300684E-2</v>
      </c>
    </row>
    <row r="708" spans="1:20" x14ac:dyDescent="0.25">
      <c r="A708" s="5">
        <v>43885</v>
      </c>
      <c r="B708">
        <v>0.38540000000000002</v>
      </c>
      <c r="C708">
        <v>0.4</v>
      </c>
      <c r="D708">
        <v>0.34339999999999998</v>
      </c>
      <c r="E708">
        <v>0.34889999999999999</v>
      </c>
      <c r="F708">
        <v>785472.38</v>
      </c>
      <c r="G708">
        <v>0</v>
      </c>
      <c r="L708" t="s">
        <v>7</v>
      </c>
      <c r="M708" t="s">
        <v>7</v>
      </c>
      <c r="N708" t="s">
        <v>8</v>
      </c>
      <c r="P708">
        <f t="shared" si="995"/>
        <v>-0.80565371024734977</v>
      </c>
      <c r="Q708">
        <f t="shared" si="996"/>
        <v>-632818.73724381626</v>
      </c>
      <c r="R708">
        <f t="shared" si="997"/>
        <v>-5327023.7713313336</v>
      </c>
      <c r="S708">
        <f t="shared" si="998"/>
        <v>-53.270237713313335</v>
      </c>
      <c r="T708">
        <f t="shared" si="999"/>
        <v>-5.3270237713313337E-2</v>
      </c>
    </row>
    <row r="709" spans="1:20" x14ac:dyDescent="0.25">
      <c r="A709" s="5">
        <v>43884</v>
      </c>
      <c r="B709">
        <v>0.36890000000000001</v>
      </c>
      <c r="C709">
        <v>0.39</v>
      </c>
      <c r="D709">
        <v>0.36730000000000002</v>
      </c>
      <c r="E709">
        <v>0.38540000000000002</v>
      </c>
      <c r="F709">
        <v>244574.76</v>
      </c>
      <c r="G709">
        <v>0</v>
      </c>
      <c r="L709" t="s">
        <v>7</v>
      </c>
      <c r="M709" t="s">
        <v>8</v>
      </c>
      <c r="N709" t="s">
        <v>8</v>
      </c>
      <c r="P709">
        <f t="shared" si="995"/>
        <v>0.59471365638766582</v>
      </c>
      <c r="Q709">
        <f t="shared" si="996"/>
        <v>145451.94977973585</v>
      </c>
      <c r="R709">
        <f t="shared" si="997"/>
        <v>-4694205.0340875173</v>
      </c>
      <c r="S709">
        <f t="shared" si="998"/>
        <v>-46.94205034087517</v>
      </c>
      <c r="T709">
        <f t="shared" si="999"/>
        <v>-4.6942050340875167E-2</v>
      </c>
    </row>
    <row r="710" spans="1:20" x14ac:dyDescent="0.25">
      <c r="A710" s="5">
        <v>43883</v>
      </c>
      <c r="B710">
        <v>0.40260000000000001</v>
      </c>
      <c r="C710">
        <v>0.40260000000000001</v>
      </c>
      <c r="D710">
        <v>0.3654</v>
      </c>
      <c r="E710">
        <v>0.36880000000000002</v>
      </c>
      <c r="F710">
        <v>402812.6</v>
      </c>
      <c r="G710">
        <v>0</v>
      </c>
      <c r="L710" t="s">
        <v>7</v>
      </c>
      <c r="M710" t="s">
        <v>8</v>
      </c>
      <c r="N710" t="s">
        <v>8</v>
      </c>
      <c r="P710">
        <f t="shared" ref="P710:P766" si="1000">IF(C710=D710,0,((E710-D710)-(C710-E710))/(C710-D710))</f>
        <v>-0.81720430107526809</v>
      </c>
      <c r="Q710">
        <f t="shared" ref="Q710:Q766" si="1001">F710*P710</f>
        <v>-329180.1892473115</v>
      </c>
      <c r="R710">
        <f t="shared" ref="R710:R766" si="1002">R711+Q710</f>
        <v>-4839656.9838672532</v>
      </c>
      <c r="S710">
        <f t="shared" ref="S710:S766" si="1003">R710/100000</f>
        <v>-48.396569838672534</v>
      </c>
      <c r="T710">
        <f t="shared" ref="T710:T766" si="1004">S710/1000</f>
        <v>-4.8396569838672535E-2</v>
      </c>
    </row>
    <row r="711" spans="1:20" x14ac:dyDescent="0.25">
      <c r="A711" s="5">
        <v>43882</v>
      </c>
      <c r="B711">
        <v>0.36849999999999999</v>
      </c>
      <c r="C711">
        <v>0.42980000000000002</v>
      </c>
      <c r="D711">
        <v>0.36699999999999999</v>
      </c>
      <c r="E711">
        <v>0.40260000000000001</v>
      </c>
      <c r="F711">
        <v>494515.68</v>
      </c>
      <c r="G711">
        <v>0</v>
      </c>
      <c r="L711" t="s">
        <v>8</v>
      </c>
      <c r="M711" t="s">
        <v>8</v>
      </c>
      <c r="N711" t="s">
        <v>8</v>
      </c>
      <c r="P711">
        <f t="shared" si="1000"/>
        <v>0.13375796178343974</v>
      </c>
      <c r="Q711">
        <f t="shared" si="1001"/>
        <v>66145.409426751721</v>
      </c>
      <c r="R711">
        <f t="shared" si="1002"/>
        <v>-4510476.7946199421</v>
      </c>
      <c r="S711">
        <f t="shared" si="1003"/>
        <v>-45.104767946199424</v>
      </c>
      <c r="T711">
        <f t="shared" si="1004"/>
        <v>-4.5104767946199421E-2</v>
      </c>
    </row>
    <row r="712" spans="1:20" x14ac:dyDescent="0.25">
      <c r="A712" s="5">
        <v>43881</v>
      </c>
      <c r="B712">
        <v>0.34939999999999999</v>
      </c>
      <c r="C712">
        <v>0.4037</v>
      </c>
      <c r="D712">
        <v>0.34939999999999999</v>
      </c>
      <c r="E712">
        <v>0.36520000000000002</v>
      </c>
      <c r="F712">
        <v>1024298.48</v>
      </c>
      <c r="G712">
        <v>0</v>
      </c>
      <c r="L712" t="s">
        <v>7</v>
      </c>
      <c r="M712" t="s">
        <v>7</v>
      </c>
      <c r="N712" t="s">
        <v>8</v>
      </c>
      <c r="P712">
        <f t="shared" si="1000"/>
        <v>-0.41804788213627875</v>
      </c>
      <c r="Q712">
        <f t="shared" si="1001"/>
        <v>-428205.81023940945</v>
      </c>
      <c r="R712">
        <f t="shared" si="1002"/>
        <v>-4576622.2040466936</v>
      </c>
      <c r="S712">
        <f t="shared" si="1003"/>
        <v>-45.766222040466936</v>
      </c>
      <c r="T712">
        <f t="shared" si="1004"/>
        <v>-4.5766222040466938E-2</v>
      </c>
    </row>
    <row r="713" spans="1:20" x14ac:dyDescent="0.25">
      <c r="A713" s="5">
        <v>43880</v>
      </c>
      <c r="B713">
        <v>0.34260000000000002</v>
      </c>
      <c r="C713">
        <v>0.42499999999999999</v>
      </c>
      <c r="D713">
        <v>0.33289999999999997</v>
      </c>
      <c r="E713">
        <v>0.3523</v>
      </c>
      <c r="F713">
        <v>2166843.64</v>
      </c>
      <c r="G713">
        <v>0</v>
      </c>
      <c r="L713" t="s">
        <v>8</v>
      </c>
      <c r="M713" t="s">
        <v>8</v>
      </c>
      <c r="N713" t="s">
        <v>8</v>
      </c>
      <c r="P713">
        <f t="shared" si="1000"/>
        <v>-0.57871878393050979</v>
      </c>
      <c r="Q713">
        <f t="shared" si="1001"/>
        <v>-1253993.1163083594</v>
      </c>
      <c r="R713">
        <f t="shared" si="1002"/>
        <v>-4148416.3938072845</v>
      </c>
      <c r="S713">
        <f t="shared" si="1003"/>
        <v>-41.484163938072847</v>
      </c>
      <c r="T713">
        <f t="shared" si="1004"/>
        <v>-4.1484163938072846E-2</v>
      </c>
    </row>
    <row r="714" spans="1:20" x14ac:dyDescent="0.25">
      <c r="A714" s="5">
        <v>43879</v>
      </c>
      <c r="B714">
        <v>0.29730000000000001</v>
      </c>
      <c r="C714">
        <v>0.34499999999999997</v>
      </c>
      <c r="D714">
        <v>0.28960000000000002</v>
      </c>
      <c r="E714">
        <v>0.34</v>
      </c>
      <c r="F714">
        <v>810782.47</v>
      </c>
      <c r="G714">
        <v>0</v>
      </c>
      <c r="L714" t="s">
        <v>8</v>
      </c>
      <c r="M714" t="s">
        <v>8</v>
      </c>
      <c r="N714" t="s">
        <v>7</v>
      </c>
      <c r="P714">
        <f t="shared" si="1000"/>
        <v>0.81949458483754678</v>
      </c>
      <c r="Q714">
        <f t="shared" si="1001"/>
        <v>664431.84364621073</v>
      </c>
      <c r="R714">
        <f t="shared" si="1002"/>
        <v>-2894423.2774989251</v>
      </c>
      <c r="S714">
        <f t="shared" si="1003"/>
        <v>-28.944232774989253</v>
      </c>
      <c r="T714">
        <f t="shared" si="1004"/>
        <v>-2.8944232774989254E-2</v>
      </c>
    </row>
    <row r="715" spans="1:20" x14ac:dyDescent="0.25">
      <c r="A715" s="5">
        <v>43878</v>
      </c>
      <c r="B715">
        <v>0.31</v>
      </c>
      <c r="C715">
        <v>0.31080000000000002</v>
      </c>
      <c r="D715">
        <v>0.27539999999999998</v>
      </c>
      <c r="E715">
        <v>0.29830000000000001</v>
      </c>
      <c r="F715">
        <v>519395.33</v>
      </c>
      <c r="G715">
        <v>0</v>
      </c>
      <c r="L715" t="s">
        <v>7</v>
      </c>
      <c r="M715" t="s">
        <v>7</v>
      </c>
      <c r="N715" t="s">
        <v>7</v>
      </c>
      <c r="P715">
        <f t="shared" si="1000"/>
        <v>0.29378531073446351</v>
      </c>
      <c r="Q715">
        <f t="shared" si="1001"/>
        <v>152590.71841807922</v>
      </c>
      <c r="R715">
        <f t="shared" si="1002"/>
        <v>-3558855.1211451357</v>
      </c>
      <c r="S715">
        <f t="shared" si="1003"/>
        <v>-35.58855121145136</v>
      </c>
      <c r="T715">
        <f t="shared" si="1004"/>
        <v>-3.5588551211451359E-2</v>
      </c>
    </row>
    <row r="716" spans="1:20" x14ac:dyDescent="0.25">
      <c r="A716" s="5">
        <v>43877</v>
      </c>
      <c r="B716">
        <v>0.32079999999999997</v>
      </c>
      <c r="C716">
        <v>0.33379999999999999</v>
      </c>
      <c r="D716">
        <v>0.2772</v>
      </c>
      <c r="E716">
        <v>0.31</v>
      </c>
      <c r="F716">
        <v>543667.26</v>
      </c>
      <c r="G716">
        <v>0</v>
      </c>
      <c r="L716" t="s">
        <v>7</v>
      </c>
      <c r="M716" t="s">
        <v>7</v>
      </c>
      <c r="N716" t="s">
        <v>7</v>
      </c>
      <c r="P716">
        <f t="shared" si="1000"/>
        <v>0.15901060070671397</v>
      </c>
      <c r="Q716">
        <f t="shared" si="1001"/>
        <v>86448.85759717325</v>
      </c>
      <c r="R716">
        <f t="shared" si="1002"/>
        <v>-3711445.8395632152</v>
      </c>
      <c r="S716">
        <f t="shared" si="1003"/>
        <v>-37.114458395632148</v>
      </c>
      <c r="T716">
        <f t="shared" si="1004"/>
        <v>-3.7114458395632148E-2</v>
      </c>
    </row>
    <row r="717" spans="1:20" x14ac:dyDescent="0.25">
      <c r="A717" s="5">
        <v>43876</v>
      </c>
      <c r="B717">
        <v>0.35759999999999997</v>
      </c>
      <c r="C717">
        <v>0.36220000000000002</v>
      </c>
      <c r="D717">
        <v>0.28420000000000001</v>
      </c>
      <c r="E717">
        <v>0.32079999999999997</v>
      </c>
      <c r="F717">
        <v>1266188.93</v>
      </c>
      <c r="G717">
        <v>0</v>
      </c>
      <c r="L717" t="s">
        <v>7</v>
      </c>
      <c r="M717" t="s">
        <v>7</v>
      </c>
      <c r="N717" t="s">
        <v>7</v>
      </c>
      <c r="P717">
        <f t="shared" si="1000"/>
        <v>-6.1538461538462576E-2</v>
      </c>
      <c r="Q717">
        <f t="shared" si="1001"/>
        <v>-77919.318769232079</v>
      </c>
      <c r="R717">
        <f t="shared" si="1002"/>
        <v>-3797894.6971603883</v>
      </c>
      <c r="S717">
        <f t="shared" si="1003"/>
        <v>-37.978946971603882</v>
      </c>
      <c r="T717">
        <f t="shared" si="1004"/>
        <v>-3.797894697160388E-2</v>
      </c>
    </row>
    <row r="718" spans="1:20" x14ac:dyDescent="0.25">
      <c r="A718" s="5">
        <v>43875</v>
      </c>
      <c r="B718">
        <v>0.36980000000000002</v>
      </c>
      <c r="C718">
        <v>0.37930000000000003</v>
      </c>
      <c r="D718">
        <v>0.34920000000000001</v>
      </c>
      <c r="E718">
        <v>0.35759999999999997</v>
      </c>
      <c r="F718">
        <v>839325.15</v>
      </c>
      <c r="G718">
        <v>0</v>
      </c>
      <c r="L718" t="s">
        <v>8</v>
      </c>
      <c r="M718" t="s">
        <v>7</v>
      </c>
      <c r="N718" t="s">
        <v>8</v>
      </c>
      <c r="P718">
        <f t="shared" si="1000"/>
        <v>-0.4418604651162818</v>
      </c>
      <c r="Q718">
        <f t="shared" si="1001"/>
        <v>-370864.601162793</v>
      </c>
      <c r="R718">
        <f t="shared" si="1002"/>
        <v>-3719975.3783911564</v>
      </c>
      <c r="S718">
        <f t="shared" si="1003"/>
        <v>-37.199753783911561</v>
      </c>
      <c r="T718">
        <f t="shared" si="1004"/>
        <v>-3.7199753783911563E-2</v>
      </c>
    </row>
    <row r="719" spans="1:20" x14ac:dyDescent="0.25">
      <c r="A719" s="5">
        <v>43874</v>
      </c>
      <c r="B719">
        <v>0.3775</v>
      </c>
      <c r="C719">
        <v>0.38829999999999998</v>
      </c>
      <c r="D719">
        <v>0.3468</v>
      </c>
      <c r="E719">
        <v>0.36849999999999999</v>
      </c>
      <c r="F719">
        <v>908501.78</v>
      </c>
      <c r="G719">
        <v>0</v>
      </c>
      <c r="L719" t="s">
        <v>7</v>
      </c>
      <c r="M719" t="s">
        <v>7</v>
      </c>
      <c r="N719" t="s">
        <v>8</v>
      </c>
      <c r="P719">
        <f t="shared" si="1000"/>
        <v>4.5783132530120813E-2</v>
      </c>
      <c r="Q719">
        <f t="shared" si="1001"/>
        <v>41594.057397590666</v>
      </c>
      <c r="R719">
        <f t="shared" si="1002"/>
        <v>-3349110.7772283633</v>
      </c>
      <c r="S719">
        <f t="shared" si="1003"/>
        <v>-33.491107772283634</v>
      </c>
      <c r="T719">
        <f t="shared" si="1004"/>
        <v>-3.3491107772283632E-2</v>
      </c>
    </row>
    <row r="720" spans="1:20" x14ac:dyDescent="0.25">
      <c r="A720" s="5">
        <v>43873</v>
      </c>
      <c r="B720">
        <v>0.36109999999999998</v>
      </c>
      <c r="C720">
        <v>0.44</v>
      </c>
      <c r="D720">
        <v>0.35680000000000001</v>
      </c>
      <c r="E720">
        <v>0.3775</v>
      </c>
      <c r="F720">
        <v>1762803.78</v>
      </c>
      <c r="G720">
        <v>0</v>
      </c>
      <c r="L720" t="s">
        <v>8</v>
      </c>
      <c r="M720" t="s">
        <v>8</v>
      </c>
      <c r="N720" t="s">
        <v>8</v>
      </c>
      <c r="P720">
        <f t="shared" si="1000"/>
        <v>-0.50240384615384626</v>
      </c>
      <c r="Q720">
        <f t="shared" si="1001"/>
        <v>-885639.3990865387</v>
      </c>
      <c r="R720">
        <f t="shared" si="1002"/>
        <v>-3390704.8346259538</v>
      </c>
      <c r="S720">
        <f t="shared" si="1003"/>
        <v>-33.907048346259536</v>
      </c>
      <c r="T720">
        <f t="shared" si="1004"/>
        <v>-3.3907048346259537E-2</v>
      </c>
    </row>
    <row r="721" spans="1:20" x14ac:dyDescent="0.25">
      <c r="A721" s="5">
        <v>43872</v>
      </c>
      <c r="B721">
        <v>0.3498</v>
      </c>
      <c r="C721">
        <v>0.36409999999999998</v>
      </c>
      <c r="D721">
        <v>0.32969999999999999</v>
      </c>
      <c r="E721">
        <v>0.36109999999999998</v>
      </c>
      <c r="F721">
        <v>772794.79</v>
      </c>
      <c r="G721">
        <v>0</v>
      </c>
      <c r="L721" t="s">
        <v>8</v>
      </c>
      <c r="M721" t="s">
        <v>7</v>
      </c>
      <c r="N721" t="s">
        <v>8</v>
      </c>
      <c r="P721">
        <f t="shared" si="1000"/>
        <v>0.82558139534883701</v>
      </c>
      <c r="Q721">
        <f t="shared" si="1001"/>
        <v>638005.00104651146</v>
      </c>
      <c r="R721">
        <f t="shared" si="1002"/>
        <v>-2505065.4355394151</v>
      </c>
      <c r="S721">
        <f t="shared" si="1003"/>
        <v>-25.050654355394151</v>
      </c>
      <c r="T721">
        <f t="shared" si="1004"/>
        <v>-2.505065435539415E-2</v>
      </c>
    </row>
    <row r="722" spans="1:20" x14ac:dyDescent="0.25">
      <c r="A722" s="5">
        <v>43871</v>
      </c>
      <c r="B722">
        <v>0.3584</v>
      </c>
      <c r="C722">
        <v>0.37490000000000001</v>
      </c>
      <c r="D722">
        <v>0.3226</v>
      </c>
      <c r="E722">
        <v>0.35239999999999999</v>
      </c>
      <c r="F722">
        <v>1331088.79</v>
      </c>
      <c r="G722">
        <v>0</v>
      </c>
      <c r="L722" t="s">
        <v>7</v>
      </c>
      <c r="M722" t="s">
        <v>7</v>
      </c>
      <c r="N722" t="s">
        <v>8</v>
      </c>
      <c r="P722">
        <f t="shared" si="1000"/>
        <v>0.13957934990439716</v>
      </c>
      <c r="Q722">
        <f t="shared" si="1001"/>
        <v>185792.50797323065</v>
      </c>
      <c r="R722">
        <f t="shared" si="1002"/>
        <v>-3143070.4365859265</v>
      </c>
      <c r="S722">
        <f t="shared" si="1003"/>
        <v>-31.430704365859263</v>
      </c>
      <c r="T722">
        <f t="shared" si="1004"/>
        <v>-3.1430704365859263E-2</v>
      </c>
    </row>
    <row r="723" spans="1:20" x14ac:dyDescent="0.25">
      <c r="A723" s="5">
        <v>43870</v>
      </c>
      <c r="B723">
        <v>0.30230000000000001</v>
      </c>
      <c r="C723">
        <v>0.39439999999999997</v>
      </c>
      <c r="D723">
        <v>0.2989</v>
      </c>
      <c r="E723">
        <v>0.35830000000000001</v>
      </c>
      <c r="F723">
        <v>2771270.15</v>
      </c>
      <c r="G723">
        <v>0</v>
      </c>
      <c r="L723" t="s">
        <v>8</v>
      </c>
      <c r="M723" t="s">
        <v>8</v>
      </c>
      <c r="N723" t="s">
        <v>8</v>
      </c>
      <c r="P723">
        <f t="shared" si="1000"/>
        <v>0.24397905759162355</v>
      </c>
      <c r="Q723">
        <f t="shared" si="1001"/>
        <v>676131.87952879723</v>
      </c>
      <c r="R723">
        <f t="shared" si="1002"/>
        <v>-3328862.9445591569</v>
      </c>
      <c r="S723">
        <f t="shared" si="1003"/>
        <v>-33.288629445591567</v>
      </c>
      <c r="T723">
        <f t="shared" si="1004"/>
        <v>-3.3288629445591571E-2</v>
      </c>
    </row>
    <row r="724" spans="1:20" x14ac:dyDescent="0.25">
      <c r="A724" s="5">
        <v>43869</v>
      </c>
      <c r="B724">
        <v>0.31690000000000002</v>
      </c>
      <c r="C724">
        <v>0.33279999999999998</v>
      </c>
      <c r="D724">
        <v>0.29320000000000002</v>
      </c>
      <c r="E724">
        <v>0.3</v>
      </c>
      <c r="F724">
        <v>1154501.47</v>
      </c>
      <c r="G724">
        <v>0</v>
      </c>
      <c r="L724" t="s">
        <v>8</v>
      </c>
      <c r="M724" t="s">
        <v>8</v>
      </c>
      <c r="N724" t="s">
        <v>8</v>
      </c>
      <c r="P724">
        <f t="shared" si="1000"/>
        <v>-0.65656565656565768</v>
      </c>
      <c r="Q724">
        <f t="shared" si="1001"/>
        <v>-758006.01565656695</v>
      </c>
      <c r="R724">
        <f t="shared" si="1002"/>
        <v>-4004994.8240879541</v>
      </c>
      <c r="S724">
        <f t="shared" si="1003"/>
        <v>-40.049948240879544</v>
      </c>
      <c r="T724">
        <f t="shared" si="1004"/>
        <v>-4.0049948240879547E-2</v>
      </c>
    </row>
    <row r="725" spans="1:20" x14ac:dyDescent="0.25">
      <c r="A725" s="5">
        <v>43868</v>
      </c>
      <c r="B725">
        <v>0.28370000000000001</v>
      </c>
      <c r="C725">
        <v>0.33350000000000002</v>
      </c>
      <c r="D725">
        <v>0.28039999999999998</v>
      </c>
      <c r="E725">
        <v>0.31940000000000002</v>
      </c>
      <c r="F725">
        <v>1723399.86</v>
      </c>
      <c r="G725">
        <v>0</v>
      </c>
      <c r="L725" t="s">
        <v>7</v>
      </c>
      <c r="M725" t="s">
        <v>7</v>
      </c>
      <c r="N725" t="s">
        <v>8</v>
      </c>
      <c r="P725">
        <f t="shared" si="1000"/>
        <v>0.46892655367231667</v>
      </c>
      <c r="Q725">
        <f t="shared" si="1001"/>
        <v>808147.9569491531</v>
      </c>
      <c r="R725">
        <f t="shared" si="1002"/>
        <v>-3246988.8084313869</v>
      </c>
      <c r="S725">
        <f t="shared" si="1003"/>
        <v>-32.469888084313872</v>
      </c>
      <c r="T725">
        <f t="shared" si="1004"/>
        <v>-3.2469888084313871E-2</v>
      </c>
    </row>
    <row r="726" spans="1:20" x14ac:dyDescent="0.25">
      <c r="A726" s="5">
        <v>43867</v>
      </c>
      <c r="B726">
        <v>0.26140000000000002</v>
      </c>
      <c r="C726">
        <v>0.33</v>
      </c>
      <c r="D726">
        <v>0.26140000000000002</v>
      </c>
      <c r="E726">
        <v>0.28599999999999998</v>
      </c>
      <c r="F726">
        <v>1957720.8</v>
      </c>
      <c r="G726">
        <v>0</v>
      </c>
      <c r="L726" t="s">
        <v>8</v>
      </c>
      <c r="M726" t="s">
        <v>8</v>
      </c>
      <c r="N726" t="s">
        <v>8</v>
      </c>
      <c r="P726">
        <f t="shared" si="1000"/>
        <v>-0.2827988338192432</v>
      </c>
      <c r="Q726">
        <f t="shared" si="1001"/>
        <v>-553641.15918367589</v>
      </c>
      <c r="R726">
        <f t="shared" si="1002"/>
        <v>-4055136.7653805399</v>
      </c>
      <c r="S726">
        <f t="shared" si="1003"/>
        <v>-40.5513676538054</v>
      </c>
      <c r="T726">
        <f t="shared" si="1004"/>
        <v>-4.0551367653805397E-2</v>
      </c>
    </row>
    <row r="727" spans="1:20" x14ac:dyDescent="0.25">
      <c r="A727" s="5">
        <v>43866</v>
      </c>
      <c r="B727">
        <v>0.26819999999999999</v>
      </c>
      <c r="C727">
        <v>0.26950000000000002</v>
      </c>
      <c r="D727">
        <v>0.2535</v>
      </c>
      <c r="E727">
        <v>0.2626</v>
      </c>
      <c r="F727">
        <v>1104120.3400000001</v>
      </c>
      <c r="G727">
        <v>0</v>
      </c>
      <c r="L727" t="s">
        <v>7</v>
      </c>
      <c r="M727" t="s">
        <v>8</v>
      </c>
      <c r="N727" t="s">
        <v>8</v>
      </c>
      <c r="P727">
        <f t="shared" si="1000"/>
        <v>0.13749999999999862</v>
      </c>
      <c r="Q727">
        <f t="shared" si="1001"/>
        <v>151816.5467499985</v>
      </c>
      <c r="R727">
        <f t="shared" si="1002"/>
        <v>-3501495.606196864</v>
      </c>
      <c r="S727">
        <f t="shared" si="1003"/>
        <v>-35.01495606196864</v>
      </c>
      <c r="T727">
        <f t="shared" si="1004"/>
        <v>-3.5014956061968638E-2</v>
      </c>
    </row>
    <row r="728" spans="1:20" x14ac:dyDescent="0.25">
      <c r="A728" s="5">
        <v>43865</v>
      </c>
      <c r="B728">
        <v>0.25600000000000001</v>
      </c>
      <c r="C728">
        <v>0.28000000000000003</v>
      </c>
      <c r="D728">
        <v>0.25259999999999999</v>
      </c>
      <c r="E728">
        <v>0.26939999999999997</v>
      </c>
      <c r="F728">
        <v>954134.51</v>
      </c>
      <c r="G728">
        <v>0</v>
      </c>
      <c r="L728" t="s">
        <v>8</v>
      </c>
      <c r="M728" t="s">
        <v>8</v>
      </c>
      <c r="N728" t="s">
        <v>8</v>
      </c>
      <c r="P728">
        <f t="shared" si="1000"/>
        <v>0.22627737226277078</v>
      </c>
      <c r="Q728">
        <f t="shared" si="1001"/>
        <v>215899.0497080264</v>
      </c>
      <c r="R728">
        <f t="shared" si="1002"/>
        <v>-3653312.1529468624</v>
      </c>
      <c r="S728">
        <f t="shared" si="1003"/>
        <v>-36.533121529468623</v>
      </c>
      <c r="T728">
        <f t="shared" si="1004"/>
        <v>-3.6533121529468623E-2</v>
      </c>
    </row>
    <row r="729" spans="1:20" x14ac:dyDescent="0.25">
      <c r="A729" s="5">
        <v>43864</v>
      </c>
      <c r="B729">
        <v>0.25140000000000001</v>
      </c>
      <c r="C729">
        <v>0.25869999999999999</v>
      </c>
      <c r="D729">
        <v>0.2462</v>
      </c>
      <c r="E729">
        <v>0.25679999999999997</v>
      </c>
      <c r="F729">
        <v>423030.31</v>
      </c>
      <c r="G729">
        <v>0</v>
      </c>
      <c r="L729" t="s">
        <v>7</v>
      </c>
      <c r="M729" t="s">
        <v>7</v>
      </c>
      <c r="N729" t="s">
        <v>8</v>
      </c>
      <c r="P729">
        <f t="shared" si="1000"/>
        <v>0.69599999999999751</v>
      </c>
      <c r="Q729">
        <f t="shared" si="1001"/>
        <v>294429.09575999895</v>
      </c>
      <c r="R729">
        <f t="shared" si="1002"/>
        <v>-3869211.2026548889</v>
      </c>
      <c r="S729">
        <f t="shared" si="1003"/>
        <v>-38.692112026548891</v>
      </c>
      <c r="T729">
        <f t="shared" si="1004"/>
        <v>-3.8692112026548889E-2</v>
      </c>
    </row>
    <row r="730" spans="1:20" x14ac:dyDescent="0.25">
      <c r="A730" s="5">
        <v>43863</v>
      </c>
      <c r="B730">
        <v>0.24979999999999999</v>
      </c>
      <c r="C730">
        <v>0.26</v>
      </c>
      <c r="D730">
        <v>0.2467</v>
      </c>
      <c r="E730">
        <v>0.2525</v>
      </c>
      <c r="F730">
        <v>656136.97</v>
      </c>
      <c r="G730">
        <v>0</v>
      </c>
      <c r="L730" t="s">
        <v>7</v>
      </c>
      <c r="M730" t="s">
        <v>7</v>
      </c>
      <c r="N730" t="s">
        <v>8</v>
      </c>
      <c r="P730">
        <f t="shared" si="1000"/>
        <v>-0.12781954887218092</v>
      </c>
      <c r="Q730">
        <f t="shared" si="1001"/>
        <v>-83867.131503759694</v>
      </c>
      <c r="R730">
        <f t="shared" si="1002"/>
        <v>-4163640.2984148879</v>
      </c>
      <c r="S730">
        <f t="shared" si="1003"/>
        <v>-41.63640298414888</v>
      </c>
      <c r="T730">
        <f t="shared" si="1004"/>
        <v>-4.1636402984148883E-2</v>
      </c>
    </row>
    <row r="731" spans="1:20" x14ac:dyDescent="0.25">
      <c r="A731" s="5">
        <v>43862</v>
      </c>
      <c r="B731">
        <v>0.25580000000000003</v>
      </c>
      <c r="C731">
        <v>0.25580000000000003</v>
      </c>
      <c r="D731">
        <v>0.24460000000000001</v>
      </c>
      <c r="E731">
        <v>0.24979999999999999</v>
      </c>
      <c r="F731">
        <v>482597.01</v>
      </c>
      <c r="G731">
        <v>0</v>
      </c>
      <c r="L731" t="s">
        <v>7</v>
      </c>
      <c r="M731" t="s">
        <v>7</v>
      </c>
      <c r="N731" t="s">
        <v>8</v>
      </c>
      <c r="P731">
        <f t="shared" si="1000"/>
        <v>-7.1428571428575852E-2</v>
      </c>
      <c r="Q731">
        <f t="shared" si="1001"/>
        <v>-34471.215000002136</v>
      </c>
      <c r="R731">
        <f t="shared" si="1002"/>
        <v>-4079773.166911128</v>
      </c>
      <c r="S731">
        <f t="shared" si="1003"/>
        <v>-40.797731669111279</v>
      </c>
      <c r="T731">
        <f t="shared" si="1004"/>
        <v>-4.0797731669111277E-2</v>
      </c>
    </row>
    <row r="732" spans="1:20" x14ac:dyDescent="0.25">
      <c r="A732" s="5">
        <v>43861</v>
      </c>
      <c r="B732">
        <v>0.23</v>
      </c>
      <c r="C732">
        <v>0.26150000000000001</v>
      </c>
      <c r="D732">
        <v>0.22989999999999999</v>
      </c>
      <c r="E732">
        <v>0.25619999999999998</v>
      </c>
      <c r="F732">
        <v>2080784.51</v>
      </c>
      <c r="G732">
        <v>0</v>
      </c>
      <c r="L732" t="s">
        <v>8</v>
      </c>
      <c r="M732" t="s">
        <v>7</v>
      </c>
      <c r="N732" t="s">
        <v>8</v>
      </c>
      <c r="P732">
        <f t="shared" si="1000"/>
        <v>0.66455696202531489</v>
      </c>
      <c r="Q732">
        <f t="shared" si="1001"/>
        <v>1382799.8325949335</v>
      </c>
      <c r="R732">
        <f t="shared" si="1002"/>
        <v>-4045301.9519111258</v>
      </c>
      <c r="S732">
        <f t="shared" si="1003"/>
        <v>-40.453019519111258</v>
      </c>
      <c r="T732">
        <f t="shared" si="1004"/>
        <v>-4.0453019519111261E-2</v>
      </c>
    </row>
    <row r="733" spans="1:20" x14ac:dyDescent="0.25">
      <c r="A733" s="5">
        <v>43860</v>
      </c>
      <c r="B733">
        <v>0.23269999999999999</v>
      </c>
      <c r="C733">
        <v>0.24390000000000001</v>
      </c>
      <c r="D733">
        <v>0.22700000000000001</v>
      </c>
      <c r="E733">
        <v>0.23</v>
      </c>
      <c r="F733">
        <v>777019.49</v>
      </c>
      <c r="G733">
        <v>0</v>
      </c>
      <c r="L733" t="s">
        <v>7</v>
      </c>
      <c r="M733" t="s">
        <v>7</v>
      </c>
      <c r="N733" t="s">
        <v>8</v>
      </c>
      <c r="P733">
        <f t="shared" si="1000"/>
        <v>-0.64497041420118306</v>
      </c>
      <c r="Q733">
        <f t="shared" si="1001"/>
        <v>-501154.58230769204</v>
      </c>
      <c r="R733">
        <f t="shared" si="1002"/>
        <v>-5428101.7845060593</v>
      </c>
      <c r="S733">
        <f t="shared" si="1003"/>
        <v>-54.281017845060596</v>
      </c>
      <c r="T733">
        <f t="shared" si="1004"/>
        <v>-5.4281017845060599E-2</v>
      </c>
    </row>
    <row r="734" spans="1:20" x14ac:dyDescent="0.25">
      <c r="A734" s="5">
        <v>43859</v>
      </c>
      <c r="B734">
        <v>0.246</v>
      </c>
      <c r="C734">
        <v>0.246</v>
      </c>
      <c r="D734">
        <v>0.23269999999999999</v>
      </c>
      <c r="E734">
        <v>0.23269999999999999</v>
      </c>
      <c r="F734">
        <v>612475.92000000004</v>
      </c>
      <c r="G734">
        <v>0</v>
      </c>
      <c r="L734" t="s">
        <v>7</v>
      </c>
      <c r="M734" t="s">
        <v>7</v>
      </c>
      <c r="N734" t="s">
        <v>8</v>
      </c>
      <c r="P734">
        <f t="shared" si="1000"/>
        <v>-1</v>
      </c>
      <c r="Q734">
        <f t="shared" si="1001"/>
        <v>-612475.92000000004</v>
      </c>
      <c r="R734">
        <f t="shared" si="1002"/>
        <v>-4926947.2021983676</v>
      </c>
      <c r="S734">
        <f t="shared" si="1003"/>
        <v>-49.269472021983674</v>
      </c>
      <c r="T734">
        <f t="shared" si="1004"/>
        <v>-4.9269472021983673E-2</v>
      </c>
    </row>
    <row r="735" spans="1:20" x14ac:dyDescent="0.25">
      <c r="A735" s="5">
        <v>43858</v>
      </c>
      <c r="B735">
        <v>0.2482</v>
      </c>
      <c r="C735">
        <v>0.25180000000000002</v>
      </c>
      <c r="D735">
        <v>0.24030000000000001</v>
      </c>
      <c r="E735">
        <v>0.24529999999999999</v>
      </c>
      <c r="F735">
        <v>521596.76</v>
      </c>
      <c r="G735">
        <v>0</v>
      </c>
      <c r="L735" t="s">
        <v>7</v>
      </c>
      <c r="M735" t="s">
        <v>7</v>
      </c>
      <c r="N735" t="s">
        <v>8</v>
      </c>
      <c r="P735">
        <f t="shared" si="1000"/>
        <v>-0.13043478260870048</v>
      </c>
      <c r="Q735">
        <f t="shared" si="1001"/>
        <v>-68034.360000002518</v>
      </c>
      <c r="R735">
        <f t="shared" si="1002"/>
        <v>-4314471.2821983676</v>
      </c>
      <c r="S735">
        <f t="shared" si="1003"/>
        <v>-43.144712821983674</v>
      </c>
      <c r="T735">
        <f t="shared" si="1004"/>
        <v>-4.3144712821983677E-2</v>
      </c>
    </row>
    <row r="736" spans="1:20" x14ac:dyDescent="0.25">
      <c r="A736" s="5">
        <v>43857</v>
      </c>
      <c r="B736">
        <v>0.25119999999999998</v>
      </c>
      <c r="C736">
        <v>0.26490000000000002</v>
      </c>
      <c r="D736">
        <v>0.24510000000000001</v>
      </c>
      <c r="E736">
        <v>0.24779999999999999</v>
      </c>
      <c r="F736">
        <v>520045.93</v>
      </c>
      <c r="G736">
        <v>0</v>
      </c>
      <c r="L736" t="s">
        <v>7</v>
      </c>
      <c r="M736" t="s">
        <v>7</v>
      </c>
      <c r="N736" t="s">
        <v>8</v>
      </c>
      <c r="P736">
        <f t="shared" si="1000"/>
        <v>-0.7272727272727294</v>
      </c>
      <c r="Q736">
        <f t="shared" si="1001"/>
        <v>-378215.22181818291</v>
      </c>
      <c r="R736">
        <f t="shared" si="1002"/>
        <v>-4246436.9221983654</v>
      </c>
      <c r="S736">
        <f t="shared" si="1003"/>
        <v>-42.464369221983652</v>
      </c>
      <c r="T736">
        <f t="shared" si="1004"/>
        <v>-4.2464369221983655E-2</v>
      </c>
    </row>
    <row r="737" spans="1:20" x14ac:dyDescent="0.25">
      <c r="A737" s="5">
        <v>43856</v>
      </c>
      <c r="B737">
        <v>0.24929999999999999</v>
      </c>
      <c r="C737">
        <v>0.25779999999999997</v>
      </c>
      <c r="D737">
        <v>0.24690000000000001</v>
      </c>
      <c r="E737">
        <v>0.25</v>
      </c>
      <c r="F737">
        <v>432854.99</v>
      </c>
      <c r="G737">
        <v>0</v>
      </c>
      <c r="L737" t="s">
        <v>7</v>
      </c>
      <c r="M737" t="s">
        <v>7</v>
      </c>
      <c r="N737" t="s">
        <v>8</v>
      </c>
      <c r="P737">
        <f t="shared" si="1000"/>
        <v>-0.43119266055045846</v>
      </c>
      <c r="Q737">
        <f t="shared" si="1001"/>
        <v>-186643.8947706421</v>
      </c>
      <c r="R737">
        <f t="shared" si="1002"/>
        <v>-3868221.7003801824</v>
      </c>
      <c r="S737">
        <f t="shared" si="1003"/>
        <v>-38.682217003801824</v>
      </c>
      <c r="T737">
        <f t="shared" si="1004"/>
        <v>-3.8682217003801825E-2</v>
      </c>
    </row>
    <row r="738" spans="1:20" x14ac:dyDescent="0.25">
      <c r="A738" s="5">
        <v>43855</v>
      </c>
      <c r="B738">
        <v>0.23369999999999999</v>
      </c>
      <c r="C738">
        <v>0.2671</v>
      </c>
      <c r="D738">
        <v>0.23</v>
      </c>
      <c r="E738">
        <v>0.24940000000000001</v>
      </c>
      <c r="F738">
        <v>2356288.4900000002</v>
      </c>
      <c r="G738">
        <v>0</v>
      </c>
      <c r="L738" t="s">
        <v>8</v>
      </c>
      <c r="M738" t="s">
        <v>7</v>
      </c>
      <c r="N738" t="s">
        <v>8</v>
      </c>
      <c r="P738">
        <f t="shared" si="1000"/>
        <v>4.5822102425876206E-2</v>
      </c>
      <c r="Q738">
        <f t="shared" si="1001"/>
        <v>107970.0925336932</v>
      </c>
      <c r="R738">
        <f t="shared" si="1002"/>
        <v>-3681577.8056095401</v>
      </c>
      <c r="S738">
        <f t="shared" si="1003"/>
        <v>-36.815778056095404</v>
      </c>
      <c r="T738">
        <f t="shared" si="1004"/>
        <v>-3.6815778056095406E-2</v>
      </c>
    </row>
    <row r="739" spans="1:20" x14ac:dyDescent="0.25">
      <c r="A739" s="5">
        <v>43854</v>
      </c>
      <c r="B739">
        <v>0.23699999999999999</v>
      </c>
      <c r="C739">
        <v>0.2382</v>
      </c>
      <c r="D739">
        <v>0.22320000000000001</v>
      </c>
      <c r="E739">
        <v>0.2339</v>
      </c>
      <c r="F739">
        <v>468136.79</v>
      </c>
      <c r="G739">
        <v>0</v>
      </c>
      <c r="L739" t="s">
        <v>7</v>
      </c>
      <c r="M739" t="s">
        <v>7</v>
      </c>
      <c r="N739" t="s">
        <v>8</v>
      </c>
      <c r="P739">
        <f t="shared" si="1000"/>
        <v>0.42666666666666636</v>
      </c>
      <c r="Q739">
        <f t="shared" si="1001"/>
        <v>199738.36373333319</v>
      </c>
      <c r="R739">
        <f t="shared" si="1002"/>
        <v>-3789547.8981432333</v>
      </c>
      <c r="S739">
        <f t="shared" si="1003"/>
        <v>-37.895478981432333</v>
      </c>
      <c r="T739">
        <f t="shared" si="1004"/>
        <v>-3.7895478981432335E-2</v>
      </c>
    </row>
    <row r="740" spans="1:20" x14ac:dyDescent="0.25">
      <c r="A740" s="5">
        <v>43853</v>
      </c>
      <c r="B740">
        <v>0.25040000000000001</v>
      </c>
      <c r="C740">
        <v>0.25559999999999999</v>
      </c>
      <c r="D740">
        <v>0.23580000000000001</v>
      </c>
      <c r="E740">
        <v>0.23649999999999999</v>
      </c>
      <c r="F740">
        <v>661130.68999999994</v>
      </c>
      <c r="G740">
        <v>0</v>
      </c>
      <c r="L740" t="s">
        <v>8</v>
      </c>
      <c r="M740" t="s">
        <v>7</v>
      </c>
      <c r="N740" t="s">
        <v>8</v>
      </c>
      <c r="P740">
        <f t="shared" si="1000"/>
        <v>-0.92929292929293139</v>
      </c>
      <c r="Q740">
        <f t="shared" si="1001"/>
        <v>-614384.07555555692</v>
      </c>
      <c r="R740">
        <f t="shared" si="1002"/>
        <v>-3989286.2618765663</v>
      </c>
      <c r="S740">
        <f t="shared" si="1003"/>
        <v>-39.892862618765662</v>
      </c>
      <c r="T740">
        <f t="shared" si="1004"/>
        <v>-3.9892862618765665E-2</v>
      </c>
    </row>
    <row r="741" spans="1:20" x14ac:dyDescent="0.25">
      <c r="A741" s="5">
        <v>43852</v>
      </c>
      <c r="B741">
        <v>0.2399</v>
      </c>
      <c r="C741">
        <v>0.25459999999999999</v>
      </c>
      <c r="D741">
        <v>0.23780000000000001</v>
      </c>
      <c r="E741">
        <v>0.24759999999999999</v>
      </c>
      <c r="F741">
        <v>677032.38</v>
      </c>
      <c r="G741">
        <v>0</v>
      </c>
      <c r="L741" t="s">
        <v>8</v>
      </c>
      <c r="M741" t="s">
        <v>7</v>
      </c>
      <c r="N741" t="s">
        <v>8</v>
      </c>
      <c r="P741">
        <f t="shared" si="1000"/>
        <v>0.16666666666666502</v>
      </c>
      <c r="Q741">
        <f t="shared" si="1001"/>
        <v>112838.72999999889</v>
      </c>
      <c r="R741">
        <f t="shared" si="1002"/>
        <v>-3374902.1863210094</v>
      </c>
      <c r="S741">
        <f t="shared" si="1003"/>
        <v>-33.749021863210096</v>
      </c>
      <c r="T741">
        <f t="shared" si="1004"/>
        <v>-3.3749021863210098E-2</v>
      </c>
    </row>
    <row r="742" spans="1:20" x14ac:dyDescent="0.25">
      <c r="A742" s="5">
        <v>43851</v>
      </c>
      <c r="B742">
        <v>0.23330000000000001</v>
      </c>
      <c r="C742">
        <v>0.2424</v>
      </c>
      <c r="D742">
        <v>0.23330000000000001</v>
      </c>
      <c r="E742">
        <v>0.2399</v>
      </c>
      <c r="F742">
        <v>302873.11</v>
      </c>
      <c r="G742">
        <v>0</v>
      </c>
      <c r="L742" t="s">
        <v>7</v>
      </c>
      <c r="M742" t="s">
        <v>7</v>
      </c>
      <c r="N742" t="s">
        <v>8</v>
      </c>
      <c r="P742">
        <f t="shared" si="1000"/>
        <v>0.45054945054944989</v>
      </c>
      <c r="Q742">
        <f t="shared" si="1001"/>
        <v>136459.3132967031</v>
      </c>
      <c r="R742">
        <f t="shared" si="1002"/>
        <v>-3487740.9163210085</v>
      </c>
      <c r="S742">
        <f t="shared" si="1003"/>
        <v>-34.877409163210082</v>
      </c>
      <c r="T742">
        <f t="shared" si="1004"/>
        <v>-3.4877409163210082E-2</v>
      </c>
    </row>
    <row r="743" spans="1:20" x14ac:dyDescent="0.25">
      <c r="A743" s="5">
        <v>43850</v>
      </c>
      <c r="B743">
        <v>0.2379</v>
      </c>
      <c r="C743">
        <v>0.2387</v>
      </c>
      <c r="D743">
        <v>0.23</v>
      </c>
      <c r="E743">
        <v>0.23519999999999999</v>
      </c>
      <c r="F743">
        <v>247956.55</v>
      </c>
      <c r="G743">
        <v>0</v>
      </c>
      <c r="L743" t="s">
        <v>7</v>
      </c>
      <c r="M743" t="s">
        <v>7</v>
      </c>
      <c r="N743" t="s">
        <v>8</v>
      </c>
      <c r="P743">
        <f t="shared" si="1000"/>
        <v>0.19540229885057267</v>
      </c>
      <c r="Q743">
        <f t="shared" si="1001"/>
        <v>48451.27988505696</v>
      </c>
      <c r="R743">
        <f t="shared" si="1002"/>
        <v>-3624200.2296177116</v>
      </c>
      <c r="S743">
        <f t="shared" si="1003"/>
        <v>-36.24200229617712</v>
      </c>
      <c r="T743">
        <f t="shared" si="1004"/>
        <v>-3.624200229617712E-2</v>
      </c>
    </row>
    <row r="744" spans="1:20" x14ac:dyDescent="0.25">
      <c r="A744" s="5">
        <v>43849</v>
      </c>
      <c r="B744">
        <v>0.2419</v>
      </c>
      <c r="C744">
        <v>0.246</v>
      </c>
      <c r="D744">
        <v>0.2311</v>
      </c>
      <c r="E744">
        <v>0.2379</v>
      </c>
      <c r="F744">
        <v>898897</v>
      </c>
      <c r="G744">
        <v>0</v>
      </c>
      <c r="L744" t="s">
        <v>7</v>
      </c>
      <c r="M744" t="s">
        <v>7</v>
      </c>
      <c r="N744" t="s">
        <v>8</v>
      </c>
      <c r="P744">
        <f t="shared" si="1000"/>
        <v>-8.7248322147650728E-2</v>
      </c>
      <c r="Q744">
        <f t="shared" si="1001"/>
        <v>-78427.255033556794</v>
      </c>
      <c r="R744">
        <f t="shared" si="1002"/>
        <v>-3672651.5095027685</v>
      </c>
      <c r="S744">
        <f t="shared" si="1003"/>
        <v>-36.726515095027686</v>
      </c>
      <c r="T744">
        <f t="shared" si="1004"/>
        <v>-3.6726515095027688E-2</v>
      </c>
    </row>
    <row r="745" spans="1:20" x14ac:dyDescent="0.25">
      <c r="A745" s="5">
        <v>43848</v>
      </c>
      <c r="B745">
        <v>0.2419</v>
      </c>
      <c r="C745">
        <v>0.24859999999999999</v>
      </c>
      <c r="D745">
        <v>0.2379</v>
      </c>
      <c r="E745">
        <v>0.2414</v>
      </c>
      <c r="F745">
        <v>697137.19</v>
      </c>
      <c r="G745">
        <v>0</v>
      </c>
      <c r="L745" t="s">
        <v>7</v>
      </c>
      <c r="M745" t="s">
        <v>7</v>
      </c>
      <c r="N745" t="s">
        <v>8</v>
      </c>
      <c r="P745">
        <f t="shared" si="1000"/>
        <v>-0.34579439252336314</v>
      </c>
      <c r="Q745">
        <f t="shared" si="1001"/>
        <v>-241066.13112149437</v>
      </c>
      <c r="R745">
        <f t="shared" si="1002"/>
        <v>-3594224.2544692117</v>
      </c>
      <c r="S745">
        <f t="shared" si="1003"/>
        <v>-35.942242544692114</v>
      </c>
      <c r="T745">
        <f t="shared" si="1004"/>
        <v>-3.5942242544692117E-2</v>
      </c>
    </row>
    <row r="746" spans="1:20" x14ac:dyDescent="0.25">
      <c r="A746" s="5">
        <v>43847</v>
      </c>
      <c r="B746">
        <v>0.24329999999999999</v>
      </c>
      <c r="C746">
        <v>0.2467</v>
      </c>
      <c r="D746">
        <v>0.23400000000000001</v>
      </c>
      <c r="E746">
        <v>0.2417</v>
      </c>
      <c r="F746">
        <v>508294.66</v>
      </c>
      <c r="G746">
        <v>0</v>
      </c>
      <c r="L746" t="s">
        <v>7</v>
      </c>
      <c r="M746" t="s">
        <v>7</v>
      </c>
      <c r="N746" t="s">
        <v>8</v>
      </c>
      <c r="P746">
        <f t="shared" si="1000"/>
        <v>0.21259842519684902</v>
      </c>
      <c r="Q746">
        <f t="shared" si="1001"/>
        <v>108062.64425196779</v>
      </c>
      <c r="R746">
        <f t="shared" si="1002"/>
        <v>-3353158.1233477173</v>
      </c>
      <c r="S746">
        <f t="shared" si="1003"/>
        <v>-33.531581233477176</v>
      </c>
      <c r="T746">
        <f t="shared" si="1004"/>
        <v>-3.3531581233477173E-2</v>
      </c>
    </row>
    <row r="747" spans="1:20" x14ac:dyDescent="0.25">
      <c r="A747" s="5">
        <v>43846</v>
      </c>
      <c r="B747">
        <v>0.2414</v>
      </c>
      <c r="C747">
        <v>0.24940000000000001</v>
      </c>
      <c r="D747">
        <v>0.23150000000000001</v>
      </c>
      <c r="E747">
        <v>0.24329999999999999</v>
      </c>
      <c r="F747">
        <v>849899.12</v>
      </c>
      <c r="G747">
        <v>0</v>
      </c>
      <c r="L747" t="s">
        <v>7</v>
      </c>
      <c r="M747" t="s">
        <v>7</v>
      </c>
      <c r="N747" t="s">
        <v>8</v>
      </c>
      <c r="P747">
        <f t="shared" si="1000"/>
        <v>0.31843575418994163</v>
      </c>
      <c r="Q747">
        <f t="shared" si="1001"/>
        <v>270638.26726256771</v>
      </c>
      <c r="R747">
        <f t="shared" si="1002"/>
        <v>-3461220.7675996851</v>
      </c>
      <c r="S747">
        <f t="shared" si="1003"/>
        <v>-34.612207675996849</v>
      </c>
      <c r="T747">
        <f t="shared" si="1004"/>
        <v>-3.4612207675996848E-2</v>
      </c>
    </row>
    <row r="748" spans="1:20" x14ac:dyDescent="0.25">
      <c r="A748" s="5">
        <v>43845</v>
      </c>
      <c r="B748">
        <v>0.25080000000000002</v>
      </c>
      <c r="C748">
        <v>0.31690000000000002</v>
      </c>
      <c r="D748">
        <v>0.2389</v>
      </c>
      <c r="E748">
        <v>0.24049999999999999</v>
      </c>
      <c r="F748">
        <v>5019953.5</v>
      </c>
      <c r="G748">
        <v>0</v>
      </c>
      <c r="L748" t="s">
        <v>8</v>
      </c>
      <c r="M748" t="s">
        <v>8</v>
      </c>
      <c r="N748" t="s">
        <v>8</v>
      </c>
      <c r="P748">
        <f t="shared" si="1000"/>
        <v>-0.95897435897435923</v>
      </c>
      <c r="Q748">
        <f t="shared" si="1001"/>
        <v>-4814006.6897435915</v>
      </c>
      <c r="R748">
        <f t="shared" si="1002"/>
        <v>-3731859.0348622529</v>
      </c>
      <c r="S748">
        <f t="shared" si="1003"/>
        <v>-37.318590348622529</v>
      </c>
      <c r="T748">
        <f t="shared" si="1004"/>
        <v>-3.7318590348622525E-2</v>
      </c>
    </row>
    <row r="749" spans="1:20" x14ac:dyDescent="0.25">
      <c r="A749" s="5">
        <v>43844</v>
      </c>
      <c r="B749">
        <v>0.23499999999999999</v>
      </c>
      <c r="C749">
        <v>0.25600000000000001</v>
      </c>
      <c r="D749">
        <v>0.22900000000000001</v>
      </c>
      <c r="E749">
        <v>0.25130000000000002</v>
      </c>
      <c r="F749">
        <v>1582271.54</v>
      </c>
      <c r="G749">
        <v>0</v>
      </c>
      <c r="L749" t="s">
        <v>7</v>
      </c>
      <c r="M749" t="s">
        <v>8</v>
      </c>
      <c r="N749" t="s">
        <v>7</v>
      </c>
      <c r="P749">
        <f t="shared" si="1000"/>
        <v>0.65185185185185313</v>
      </c>
      <c r="Q749">
        <f t="shared" si="1001"/>
        <v>1031406.6334814836</v>
      </c>
      <c r="R749">
        <f t="shared" si="1002"/>
        <v>1082147.6548813386</v>
      </c>
      <c r="S749">
        <f t="shared" si="1003"/>
        <v>10.821476548813386</v>
      </c>
      <c r="T749">
        <f t="shared" si="1004"/>
        <v>1.0821476548813387E-2</v>
      </c>
    </row>
    <row r="750" spans="1:20" x14ac:dyDescent="0.25">
      <c r="A750" s="5">
        <v>43843</v>
      </c>
      <c r="B750">
        <v>0.2432</v>
      </c>
      <c r="C750">
        <v>0.2666</v>
      </c>
      <c r="D750">
        <v>0.22900000000000001</v>
      </c>
      <c r="E750">
        <v>0.2349</v>
      </c>
      <c r="F750">
        <v>815496.75</v>
      </c>
      <c r="G750">
        <v>0</v>
      </c>
      <c r="L750" t="s">
        <v>8</v>
      </c>
      <c r="M750" t="s">
        <v>8</v>
      </c>
      <c r="N750" t="s">
        <v>7</v>
      </c>
      <c r="P750">
        <f t="shared" si="1000"/>
        <v>-0.68617021276595802</v>
      </c>
      <c r="Q750">
        <f t="shared" si="1001"/>
        <v>-559569.57845744723</v>
      </c>
      <c r="R750">
        <f t="shared" si="1002"/>
        <v>50741.021399855148</v>
      </c>
      <c r="S750">
        <f t="shared" si="1003"/>
        <v>0.50741021399855146</v>
      </c>
      <c r="T750">
        <f t="shared" si="1004"/>
        <v>5.0741021399855143E-4</v>
      </c>
    </row>
    <row r="751" spans="1:20" x14ac:dyDescent="0.25">
      <c r="A751" s="5">
        <v>43842</v>
      </c>
      <c r="B751">
        <v>0.23169999999999999</v>
      </c>
      <c r="C751">
        <v>0.24629999999999999</v>
      </c>
      <c r="D751">
        <v>0.23100000000000001</v>
      </c>
      <c r="E751">
        <v>0.2432</v>
      </c>
      <c r="F751">
        <v>212718.52</v>
      </c>
      <c r="G751">
        <v>0</v>
      </c>
      <c r="L751" t="s">
        <v>8</v>
      </c>
      <c r="M751" t="s">
        <v>7</v>
      </c>
      <c r="N751" t="s">
        <v>7</v>
      </c>
      <c r="P751">
        <f t="shared" si="1000"/>
        <v>0.59477124183006591</v>
      </c>
      <c r="Q751">
        <f t="shared" si="1001"/>
        <v>126518.85830065371</v>
      </c>
      <c r="R751">
        <f t="shared" si="1002"/>
        <v>610310.59985730238</v>
      </c>
      <c r="S751">
        <f t="shared" si="1003"/>
        <v>6.1031059985730236</v>
      </c>
      <c r="T751">
        <f t="shared" si="1004"/>
        <v>6.1031059985730239E-3</v>
      </c>
    </row>
    <row r="752" spans="1:20" x14ac:dyDescent="0.25">
      <c r="A752" s="5">
        <v>43841</v>
      </c>
      <c r="B752">
        <v>0.23369999999999999</v>
      </c>
      <c r="C752">
        <v>0.2366</v>
      </c>
      <c r="D752">
        <v>0.22750000000000001</v>
      </c>
      <c r="E752">
        <v>0.23300000000000001</v>
      </c>
      <c r="F752">
        <v>123794.38</v>
      </c>
      <c r="G752">
        <v>0</v>
      </c>
      <c r="L752" t="s">
        <v>8</v>
      </c>
      <c r="M752" t="s">
        <v>7</v>
      </c>
      <c r="N752" t="s">
        <v>7</v>
      </c>
      <c r="P752">
        <f t="shared" si="1000"/>
        <v>0.20879120879121027</v>
      </c>
      <c r="Q752">
        <f t="shared" si="1001"/>
        <v>25847.178241758425</v>
      </c>
      <c r="R752">
        <f t="shared" si="1002"/>
        <v>483791.74155664869</v>
      </c>
      <c r="S752">
        <f t="shared" si="1003"/>
        <v>4.837917415566487</v>
      </c>
      <c r="T752">
        <f t="shared" si="1004"/>
        <v>4.8379174155664872E-3</v>
      </c>
    </row>
    <row r="753" spans="1:20" x14ac:dyDescent="0.25">
      <c r="A753" s="5">
        <v>43840</v>
      </c>
      <c r="B753">
        <v>0.2326</v>
      </c>
      <c r="C753">
        <v>0.2334</v>
      </c>
      <c r="D753">
        <v>0.22</v>
      </c>
      <c r="E753">
        <v>0.2329</v>
      </c>
      <c r="F753">
        <v>591493.44999999995</v>
      </c>
      <c r="G753">
        <v>0</v>
      </c>
      <c r="L753" t="s">
        <v>7</v>
      </c>
      <c r="M753" t="s">
        <v>7</v>
      </c>
      <c r="N753" t="s">
        <v>7</v>
      </c>
      <c r="P753">
        <f t="shared" si="1000"/>
        <v>0.9253731343283581</v>
      </c>
      <c r="Q753">
        <f t="shared" si="1001"/>
        <v>547352.14776119392</v>
      </c>
      <c r="R753">
        <f t="shared" si="1002"/>
        <v>457944.56331489026</v>
      </c>
      <c r="S753">
        <f t="shared" si="1003"/>
        <v>4.5794456331489028</v>
      </c>
      <c r="T753">
        <f t="shared" si="1004"/>
        <v>4.5794456331489028E-3</v>
      </c>
    </row>
    <row r="754" spans="1:20" x14ac:dyDescent="0.25">
      <c r="A754" s="5">
        <v>43839</v>
      </c>
      <c r="B754">
        <v>0.2266</v>
      </c>
      <c r="C754">
        <v>0.24079999999999999</v>
      </c>
      <c r="D754">
        <v>0.2203</v>
      </c>
      <c r="E754">
        <v>0.23200000000000001</v>
      </c>
      <c r="F754">
        <v>570133.49</v>
      </c>
      <c r="G754">
        <v>0</v>
      </c>
      <c r="L754" t="s">
        <v>8</v>
      </c>
      <c r="M754" t="s">
        <v>7</v>
      </c>
      <c r="N754" t="s">
        <v>7</v>
      </c>
      <c r="P754">
        <f t="shared" si="1000"/>
        <v>0.14146341463414844</v>
      </c>
      <c r="Q754">
        <f t="shared" si="1001"/>
        <v>80653.030292684125</v>
      </c>
      <c r="R754">
        <f t="shared" si="1002"/>
        <v>-89407.584446303634</v>
      </c>
      <c r="S754">
        <f t="shared" si="1003"/>
        <v>-0.89407584446303634</v>
      </c>
      <c r="T754">
        <f t="shared" si="1004"/>
        <v>-8.9407584446303632E-4</v>
      </c>
    </row>
    <row r="755" spans="1:20" x14ac:dyDescent="0.25">
      <c r="A755" s="5">
        <v>43838</v>
      </c>
      <c r="B755">
        <v>0.22770000000000001</v>
      </c>
      <c r="C755">
        <v>0.23419999999999999</v>
      </c>
      <c r="D755">
        <v>0.2195</v>
      </c>
      <c r="E755">
        <v>0.22700000000000001</v>
      </c>
      <c r="F755">
        <v>411522.84</v>
      </c>
      <c r="G755">
        <v>0</v>
      </c>
      <c r="L755" t="s">
        <v>7</v>
      </c>
      <c r="M755" t="s">
        <v>7</v>
      </c>
      <c r="N755" t="s">
        <v>7</v>
      </c>
      <c r="P755">
        <f t="shared" si="1000"/>
        <v>2.0408163265307665E-2</v>
      </c>
      <c r="Q755">
        <f t="shared" si="1001"/>
        <v>8398.4253061230847</v>
      </c>
      <c r="R755">
        <f t="shared" si="1002"/>
        <v>-170060.61473898776</v>
      </c>
      <c r="S755">
        <f t="shared" si="1003"/>
        <v>-1.7006061473898777</v>
      </c>
      <c r="T755">
        <f t="shared" si="1004"/>
        <v>-1.7006061473898778E-3</v>
      </c>
    </row>
    <row r="756" spans="1:20" x14ac:dyDescent="0.25">
      <c r="A756" s="5">
        <v>43837</v>
      </c>
      <c r="B756">
        <v>0.23980000000000001</v>
      </c>
      <c r="C756">
        <v>0.2409</v>
      </c>
      <c r="D756">
        <v>0.2266</v>
      </c>
      <c r="E756">
        <v>0.2298</v>
      </c>
      <c r="F756">
        <v>482349.33</v>
      </c>
      <c r="G756">
        <v>0</v>
      </c>
      <c r="L756" t="s">
        <v>7</v>
      </c>
      <c r="M756" t="s">
        <v>7</v>
      </c>
      <c r="N756" t="s">
        <v>7</v>
      </c>
      <c r="P756">
        <f t="shared" si="1000"/>
        <v>-0.5524475524475515</v>
      </c>
      <c r="Q756">
        <f t="shared" si="1001"/>
        <v>-266472.70678321633</v>
      </c>
      <c r="R756">
        <f t="shared" si="1002"/>
        <v>-178459.04004511086</v>
      </c>
      <c r="S756">
        <f t="shared" si="1003"/>
        <v>-1.7845904004511086</v>
      </c>
      <c r="T756">
        <f t="shared" si="1004"/>
        <v>-1.7845904004511086E-3</v>
      </c>
    </row>
    <row r="757" spans="1:20" x14ac:dyDescent="0.25">
      <c r="A757" s="5">
        <v>43836</v>
      </c>
      <c r="B757">
        <v>0.23219999999999999</v>
      </c>
      <c r="C757">
        <v>0.246</v>
      </c>
      <c r="D757">
        <v>0.23219999999999999</v>
      </c>
      <c r="E757">
        <v>0.23980000000000001</v>
      </c>
      <c r="F757">
        <v>376611.22</v>
      </c>
      <c r="G757">
        <v>0</v>
      </c>
      <c r="L757" t="s">
        <v>8</v>
      </c>
      <c r="M757" t="s">
        <v>7</v>
      </c>
      <c r="N757" t="s">
        <v>7</v>
      </c>
      <c r="P757">
        <f t="shared" si="1000"/>
        <v>0.10144927536232169</v>
      </c>
      <c r="Q757">
        <f t="shared" si="1001"/>
        <v>38206.935362319913</v>
      </c>
      <c r="R757">
        <f t="shared" si="1002"/>
        <v>88013.666738105487</v>
      </c>
      <c r="S757">
        <f t="shared" si="1003"/>
        <v>0.88013666738105489</v>
      </c>
      <c r="T757">
        <f t="shared" si="1004"/>
        <v>8.8013666738105494E-4</v>
      </c>
    </row>
    <row r="758" spans="1:20" x14ac:dyDescent="0.25">
      <c r="A758" s="5">
        <v>43835</v>
      </c>
      <c r="B758">
        <v>0.23080000000000001</v>
      </c>
      <c r="C758">
        <v>0.2366</v>
      </c>
      <c r="D758">
        <v>0.22969999999999999</v>
      </c>
      <c r="E758">
        <v>0.2321</v>
      </c>
      <c r="F758">
        <v>206455.71</v>
      </c>
      <c r="G758">
        <v>0</v>
      </c>
      <c r="L758" t="s">
        <v>8</v>
      </c>
      <c r="M758" t="s">
        <v>7</v>
      </c>
      <c r="N758" t="s">
        <v>7</v>
      </c>
      <c r="P758">
        <f t="shared" si="1000"/>
        <v>-0.30434782608695443</v>
      </c>
      <c r="Q758">
        <f t="shared" si="1001"/>
        <v>-62834.346521738698</v>
      </c>
      <c r="R758">
        <f t="shared" si="1002"/>
        <v>49806.731375785574</v>
      </c>
      <c r="S758">
        <f t="shared" si="1003"/>
        <v>0.49806731375785573</v>
      </c>
      <c r="T758">
        <f t="shared" si="1004"/>
        <v>4.9806731375785578E-4</v>
      </c>
    </row>
    <row r="759" spans="1:20" x14ac:dyDescent="0.25">
      <c r="A759" s="5">
        <v>43834</v>
      </c>
      <c r="B759">
        <v>0.23200000000000001</v>
      </c>
      <c r="C759">
        <v>0.23230000000000001</v>
      </c>
      <c r="D759">
        <v>0.22570000000000001</v>
      </c>
      <c r="E759">
        <v>0.23080000000000001</v>
      </c>
      <c r="F759">
        <v>146026</v>
      </c>
      <c r="G759">
        <v>0</v>
      </c>
      <c r="L759" t="s">
        <v>8</v>
      </c>
      <c r="M759" t="s">
        <v>7</v>
      </c>
      <c r="N759" t="s">
        <v>7</v>
      </c>
      <c r="P759">
        <f t="shared" si="1000"/>
        <v>0.54545454545454464</v>
      </c>
      <c r="Q759">
        <f t="shared" si="1001"/>
        <v>79650.545454545339</v>
      </c>
      <c r="R759">
        <f t="shared" si="1002"/>
        <v>112641.07789752427</v>
      </c>
      <c r="S759">
        <f t="shared" si="1003"/>
        <v>1.1264107789752427</v>
      </c>
      <c r="T759">
        <f t="shared" si="1004"/>
        <v>1.1264107789752426E-3</v>
      </c>
    </row>
    <row r="760" spans="1:20" x14ac:dyDescent="0.25">
      <c r="A760" s="5">
        <v>43833</v>
      </c>
      <c r="B760">
        <v>0.21790000000000001</v>
      </c>
      <c r="C760">
        <v>0.24199999999999999</v>
      </c>
      <c r="D760">
        <v>0.21160000000000001</v>
      </c>
      <c r="E760">
        <v>0.23180000000000001</v>
      </c>
      <c r="F760">
        <v>427011.63</v>
      </c>
      <c r="G760">
        <v>0</v>
      </c>
      <c r="L760" t="s">
        <v>7</v>
      </c>
      <c r="M760" t="s">
        <v>7</v>
      </c>
      <c r="N760" t="s">
        <v>7</v>
      </c>
      <c r="P760">
        <f t="shared" si="1000"/>
        <v>0.3289473684210531</v>
      </c>
      <c r="Q760">
        <f t="shared" si="1001"/>
        <v>140464.35197368442</v>
      </c>
      <c r="R760">
        <f t="shared" si="1002"/>
        <v>32990.532442978933</v>
      </c>
      <c r="S760">
        <f t="shared" si="1003"/>
        <v>0.32990532442978932</v>
      </c>
      <c r="T760">
        <f t="shared" si="1004"/>
        <v>3.2990532442978931E-4</v>
      </c>
    </row>
    <row r="761" spans="1:20" x14ac:dyDescent="0.25">
      <c r="A761" s="5">
        <v>43832</v>
      </c>
      <c r="B761">
        <v>0.23699999999999999</v>
      </c>
      <c r="C761">
        <v>0.24460000000000001</v>
      </c>
      <c r="D761">
        <v>0.2107</v>
      </c>
      <c r="E761">
        <v>0.21890000000000001</v>
      </c>
      <c r="F761">
        <v>603330.01</v>
      </c>
      <c r="G761">
        <v>0</v>
      </c>
      <c r="L761" t="s">
        <v>8</v>
      </c>
      <c r="M761" t="s">
        <v>7</v>
      </c>
      <c r="N761" t="s">
        <v>7</v>
      </c>
      <c r="P761">
        <f t="shared" si="1000"/>
        <v>-0.51622418879055987</v>
      </c>
      <c r="Q761">
        <f t="shared" si="1001"/>
        <v>-311453.5449852504</v>
      </c>
      <c r="R761">
        <f t="shared" si="1002"/>
        <v>-107473.81953070548</v>
      </c>
      <c r="S761">
        <f t="shared" si="1003"/>
        <v>-1.0747381953070549</v>
      </c>
      <c r="T761">
        <f t="shared" si="1004"/>
        <v>-1.074738195307055E-3</v>
      </c>
    </row>
    <row r="762" spans="1:20" x14ac:dyDescent="0.25">
      <c r="A762" s="5">
        <v>43831</v>
      </c>
      <c r="B762">
        <v>0.22109999999999999</v>
      </c>
      <c r="C762">
        <v>0.23830000000000001</v>
      </c>
      <c r="D762">
        <v>0.2185</v>
      </c>
      <c r="E762">
        <v>0.23699999999999999</v>
      </c>
      <c r="F762">
        <v>234813.87</v>
      </c>
      <c r="G762">
        <v>0</v>
      </c>
      <c r="L762" t="s">
        <v>8</v>
      </c>
      <c r="M762" t="s">
        <v>7</v>
      </c>
      <c r="P762">
        <f t="shared" si="1000"/>
        <v>0.8686868686868664</v>
      </c>
      <c r="Q762">
        <f t="shared" si="1001"/>
        <v>203979.72545454491</v>
      </c>
      <c r="R762">
        <f t="shared" si="1002"/>
        <v>203979.72545454491</v>
      </c>
      <c r="S762">
        <f t="shared" si="1003"/>
        <v>2.0397972545454492</v>
      </c>
      <c r="T762">
        <f t="shared" si="1004"/>
        <v>2.0397972545454493E-3</v>
      </c>
    </row>
    <row r="763" spans="1:20" x14ac:dyDescent="0.25">
      <c r="A763" s="5"/>
      <c r="C763"/>
      <c r="D763"/>
      <c r="P763">
        <f t="shared" si="1000"/>
        <v>0</v>
      </c>
      <c r="Q763">
        <f t="shared" si="1001"/>
        <v>0</v>
      </c>
      <c r="R763">
        <f t="shared" si="1002"/>
        <v>0</v>
      </c>
      <c r="S763">
        <f t="shared" si="1003"/>
        <v>0</v>
      </c>
      <c r="T763">
        <f t="shared" si="1004"/>
        <v>0</v>
      </c>
    </row>
    <row r="764" spans="1:20" x14ac:dyDescent="0.25">
      <c r="A764" s="5"/>
      <c r="C764"/>
      <c r="D764"/>
      <c r="P764">
        <f t="shared" si="1000"/>
        <v>0</v>
      </c>
      <c r="Q764">
        <f t="shared" si="1001"/>
        <v>0</v>
      </c>
      <c r="R764">
        <f t="shared" si="1002"/>
        <v>0</v>
      </c>
      <c r="S764">
        <f t="shared" si="1003"/>
        <v>0</v>
      </c>
      <c r="T764">
        <f t="shared" si="1004"/>
        <v>0</v>
      </c>
    </row>
    <row r="765" spans="1:20" x14ac:dyDescent="0.25">
      <c r="A765" s="5"/>
      <c r="C765"/>
      <c r="D765"/>
      <c r="P765">
        <f t="shared" si="1000"/>
        <v>0</v>
      </c>
      <c r="Q765">
        <f t="shared" si="1001"/>
        <v>0</v>
      </c>
      <c r="R765">
        <f t="shared" si="1002"/>
        <v>0</v>
      </c>
      <c r="S765">
        <f t="shared" si="1003"/>
        <v>0</v>
      </c>
      <c r="T765">
        <f t="shared" si="1004"/>
        <v>0</v>
      </c>
    </row>
    <row r="766" spans="1:20" x14ac:dyDescent="0.25">
      <c r="A766" s="5"/>
      <c r="C766"/>
      <c r="D766"/>
      <c r="P766">
        <f t="shared" si="1000"/>
        <v>0</v>
      </c>
      <c r="Q766">
        <f t="shared" si="1001"/>
        <v>0</v>
      </c>
      <c r="R766">
        <f t="shared" si="1002"/>
        <v>0</v>
      </c>
      <c r="S766">
        <f t="shared" si="1003"/>
        <v>0</v>
      </c>
      <c r="T766">
        <f t="shared" si="1004"/>
        <v>0</v>
      </c>
    </row>
    <row r="767" spans="1:20" x14ac:dyDescent="0.25">
      <c r="A767" s="5"/>
      <c r="C767"/>
      <c r="D767"/>
    </row>
    <row r="768" spans="1:20" x14ac:dyDescent="0.25">
      <c r="A768" s="5"/>
      <c r="C768"/>
      <c r="D768"/>
    </row>
    <row r="769" spans="1:4" x14ac:dyDescent="0.25">
      <c r="A769" s="5"/>
      <c r="C769"/>
      <c r="D769"/>
    </row>
    <row r="770" spans="1:4" x14ac:dyDescent="0.25">
      <c r="A770" s="5"/>
      <c r="C770"/>
      <c r="D770"/>
    </row>
    <row r="771" spans="1:4" x14ac:dyDescent="0.25">
      <c r="A771" s="5"/>
      <c r="C771"/>
      <c r="D771"/>
    </row>
    <row r="772" spans="1:4" x14ac:dyDescent="0.25">
      <c r="A772" s="5"/>
      <c r="C772"/>
      <c r="D772"/>
    </row>
    <row r="773" spans="1:4" x14ac:dyDescent="0.25">
      <c r="A773" s="5"/>
      <c r="C773"/>
      <c r="D773"/>
    </row>
    <row r="774" spans="1:4" x14ac:dyDescent="0.25">
      <c r="A774" s="5"/>
      <c r="C774"/>
      <c r="D774"/>
    </row>
    <row r="775" spans="1:4" x14ac:dyDescent="0.25">
      <c r="A775" s="5"/>
      <c r="C775"/>
      <c r="D775"/>
    </row>
    <row r="776" spans="1:4" x14ac:dyDescent="0.25">
      <c r="A776" s="5"/>
      <c r="C776"/>
      <c r="D776"/>
    </row>
    <row r="777" spans="1:4" x14ac:dyDescent="0.25">
      <c r="A777" s="5"/>
      <c r="C777"/>
      <c r="D777"/>
    </row>
    <row r="778" spans="1:4" x14ac:dyDescent="0.25">
      <c r="A778" s="5"/>
      <c r="C778"/>
      <c r="D778"/>
    </row>
    <row r="779" spans="1:4" x14ac:dyDescent="0.25">
      <c r="A779" s="5"/>
      <c r="C779"/>
      <c r="D779"/>
    </row>
    <row r="780" spans="1:4" x14ac:dyDescent="0.25">
      <c r="A780" s="5"/>
      <c r="C780"/>
      <c r="D780"/>
    </row>
    <row r="781" spans="1:4" x14ac:dyDescent="0.25">
      <c r="A781" s="5"/>
      <c r="C781"/>
      <c r="D781"/>
    </row>
    <row r="782" spans="1:4" x14ac:dyDescent="0.25">
      <c r="A782" s="5"/>
      <c r="C782"/>
      <c r="D782"/>
    </row>
    <row r="783" spans="1:4" x14ac:dyDescent="0.25">
      <c r="A783" s="5"/>
      <c r="C783"/>
      <c r="D783"/>
    </row>
    <row r="784" spans="1:4" x14ac:dyDescent="0.25">
      <c r="A784" s="5"/>
      <c r="C784"/>
      <c r="D784"/>
    </row>
    <row r="785" spans="1:4" x14ac:dyDescent="0.25">
      <c r="A785" s="5"/>
      <c r="C785"/>
      <c r="D785"/>
    </row>
    <row r="786" spans="1:4" x14ac:dyDescent="0.25">
      <c r="A786" s="5"/>
      <c r="C786"/>
      <c r="D786"/>
    </row>
    <row r="787" spans="1:4" x14ac:dyDescent="0.25">
      <c r="A787" s="5"/>
      <c r="C787"/>
      <c r="D787"/>
    </row>
    <row r="788" spans="1:4" x14ac:dyDescent="0.25">
      <c r="A788" s="5"/>
      <c r="C788"/>
      <c r="D788"/>
    </row>
    <row r="789" spans="1:4" x14ac:dyDescent="0.25">
      <c r="A789" s="5"/>
      <c r="C789"/>
      <c r="D789"/>
    </row>
    <row r="790" spans="1:4" x14ac:dyDescent="0.25">
      <c r="A790" s="5"/>
      <c r="C790"/>
      <c r="D790"/>
    </row>
    <row r="791" spans="1:4" x14ac:dyDescent="0.25">
      <c r="A791" s="5"/>
      <c r="C791"/>
      <c r="D791"/>
    </row>
    <row r="792" spans="1:4" x14ac:dyDescent="0.25">
      <c r="A792" s="5"/>
      <c r="C792"/>
      <c r="D792"/>
    </row>
    <row r="793" spans="1:4" x14ac:dyDescent="0.25">
      <c r="A793" s="5"/>
      <c r="C793"/>
      <c r="D793"/>
    </row>
    <row r="794" spans="1:4" x14ac:dyDescent="0.25">
      <c r="A794" s="5"/>
      <c r="C794"/>
      <c r="D794"/>
    </row>
    <row r="795" spans="1:4" x14ac:dyDescent="0.25">
      <c r="A795" s="5"/>
      <c r="C795"/>
      <c r="D795"/>
    </row>
    <row r="796" spans="1:4" x14ac:dyDescent="0.25">
      <c r="A796" s="5"/>
      <c r="C796"/>
      <c r="D796"/>
    </row>
    <row r="797" spans="1:4" x14ac:dyDescent="0.25">
      <c r="A797" s="5"/>
      <c r="C797"/>
      <c r="D797"/>
    </row>
    <row r="798" spans="1:4" x14ac:dyDescent="0.25">
      <c r="A798" s="5"/>
      <c r="C798"/>
      <c r="D798"/>
    </row>
    <row r="799" spans="1:4" x14ac:dyDescent="0.25">
      <c r="A799" s="5"/>
      <c r="C799"/>
      <c r="D799"/>
    </row>
    <row r="800" spans="1:4" x14ac:dyDescent="0.25">
      <c r="A800" s="5"/>
      <c r="C800"/>
      <c r="D800"/>
    </row>
    <row r="801" spans="1:4" x14ac:dyDescent="0.25">
      <c r="A801" s="5"/>
      <c r="C801"/>
      <c r="D801"/>
    </row>
    <row r="802" spans="1:4" x14ac:dyDescent="0.25">
      <c r="A802" s="5"/>
      <c r="C802"/>
      <c r="D802"/>
    </row>
    <row r="803" spans="1:4" x14ac:dyDescent="0.25">
      <c r="A803" s="5"/>
      <c r="C803"/>
      <c r="D803"/>
    </row>
    <row r="804" spans="1:4" x14ac:dyDescent="0.25">
      <c r="A804" s="5"/>
      <c r="C804"/>
      <c r="D804"/>
    </row>
    <row r="805" spans="1:4" x14ac:dyDescent="0.25">
      <c r="A805" s="5"/>
      <c r="C805"/>
      <c r="D805"/>
    </row>
    <row r="806" spans="1:4" x14ac:dyDescent="0.25">
      <c r="A806" s="5"/>
      <c r="C806"/>
      <c r="D806"/>
    </row>
    <row r="807" spans="1:4" x14ac:dyDescent="0.25">
      <c r="A807" s="5"/>
      <c r="C807"/>
      <c r="D807"/>
    </row>
    <row r="808" spans="1:4" x14ac:dyDescent="0.25">
      <c r="A808" s="5"/>
      <c r="C808"/>
      <c r="D808"/>
    </row>
    <row r="809" spans="1:4" x14ac:dyDescent="0.25">
      <c r="A809" s="5"/>
      <c r="C809"/>
      <c r="D809"/>
    </row>
    <row r="810" spans="1:4" x14ac:dyDescent="0.25">
      <c r="A810" s="5"/>
      <c r="C810"/>
      <c r="D810"/>
    </row>
    <row r="811" spans="1:4" x14ac:dyDescent="0.25">
      <c r="A811" s="5"/>
      <c r="C811"/>
      <c r="D811"/>
    </row>
    <row r="812" spans="1:4" x14ac:dyDescent="0.25">
      <c r="A812" s="5"/>
      <c r="C812"/>
      <c r="D812"/>
    </row>
    <row r="813" spans="1:4" x14ac:dyDescent="0.25">
      <c r="A813" s="5"/>
      <c r="C813"/>
      <c r="D813"/>
    </row>
    <row r="814" spans="1:4" x14ac:dyDescent="0.25">
      <c r="A814" s="5"/>
      <c r="C814"/>
      <c r="D814"/>
    </row>
    <row r="815" spans="1:4" x14ac:dyDescent="0.25">
      <c r="A815" s="5"/>
      <c r="C815"/>
      <c r="D815"/>
    </row>
    <row r="816" spans="1:4" x14ac:dyDescent="0.25">
      <c r="A816" s="5"/>
      <c r="C816"/>
      <c r="D816"/>
    </row>
    <row r="817" spans="1:4" x14ac:dyDescent="0.25">
      <c r="A817" s="5"/>
      <c r="C817"/>
      <c r="D817"/>
    </row>
    <row r="818" spans="1:4" x14ac:dyDescent="0.25">
      <c r="A818" s="5"/>
      <c r="C818"/>
      <c r="D818"/>
    </row>
    <row r="819" spans="1:4" x14ac:dyDescent="0.25">
      <c r="A819" s="5"/>
      <c r="C819"/>
      <c r="D819"/>
    </row>
    <row r="820" spans="1:4" x14ac:dyDescent="0.25">
      <c r="A820" s="5"/>
      <c r="C820"/>
      <c r="D820"/>
    </row>
    <row r="821" spans="1:4" x14ac:dyDescent="0.25">
      <c r="A821" s="5"/>
      <c r="C821"/>
      <c r="D821"/>
    </row>
    <row r="822" spans="1:4" x14ac:dyDescent="0.25">
      <c r="A822" s="5"/>
      <c r="C822"/>
      <c r="D822"/>
    </row>
    <row r="823" spans="1:4" x14ac:dyDescent="0.25">
      <c r="A823" s="5"/>
      <c r="C823"/>
      <c r="D823"/>
    </row>
    <row r="824" spans="1:4" x14ac:dyDescent="0.25">
      <c r="A824" s="5"/>
      <c r="C824"/>
      <c r="D824"/>
    </row>
    <row r="825" spans="1:4" x14ac:dyDescent="0.25">
      <c r="A825" s="5"/>
      <c r="C825"/>
      <c r="D825"/>
    </row>
    <row r="826" spans="1:4" x14ac:dyDescent="0.25">
      <c r="A826" s="5"/>
      <c r="C826"/>
      <c r="D826"/>
    </row>
    <row r="827" spans="1:4" x14ac:dyDescent="0.25">
      <c r="A827" s="5"/>
      <c r="C827"/>
      <c r="D827"/>
    </row>
    <row r="828" spans="1:4" x14ac:dyDescent="0.25">
      <c r="A828" s="5"/>
      <c r="C828"/>
      <c r="D828"/>
    </row>
    <row r="829" spans="1:4" x14ac:dyDescent="0.25">
      <c r="A829" s="5"/>
      <c r="C829"/>
      <c r="D829"/>
    </row>
    <row r="830" spans="1:4" x14ac:dyDescent="0.25">
      <c r="A830" s="5"/>
      <c r="C830"/>
      <c r="D830"/>
    </row>
    <row r="831" spans="1:4" x14ac:dyDescent="0.25">
      <c r="A831" s="5"/>
      <c r="C831"/>
      <c r="D831"/>
    </row>
    <row r="832" spans="1:4" x14ac:dyDescent="0.25">
      <c r="A832" s="5"/>
      <c r="C832"/>
      <c r="D832"/>
    </row>
    <row r="833" spans="1:4" x14ac:dyDescent="0.25">
      <c r="A833" s="5"/>
      <c r="C833"/>
      <c r="D833"/>
    </row>
    <row r="834" spans="1:4" x14ac:dyDescent="0.25">
      <c r="A834" s="5"/>
      <c r="C834"/>
      <c r="D834"/>
    </row>
    <row r="835" spans="1:4" x14ac:dyDescent="0.25">
      <c r="A835" s="5"/>
      <c r="C835"/>
      <c r="D835"/>
    </row>
    <row r="836" spans="1:4" x14ac:dyDescent="0.25">
      <c r="A836" s="5"/>
      <c r="C836"/>
      <c r="D836"/>
    </row>
    <row r="837" spans="1:4" x14ac:dyDescent="0.25">
      <c r="A837" s="5"/>
      <c r="C837"/>
      <c r="D837"/>
    </row>
    <row r="838" spans="1:4" x14ac:dyDescent="0.25">
      <c r="A838" s="5"/>
      <c r="C838"/>
      <c r="D838"/>
    </row>
    <row r="839" spans="1:4" x14ac:dyDescent="0.25">
      <c r="A839" s="5"/>
      <c r="C839"/>
      <c r="D839"/>
    </row>
    <row r="840" spans="1:4" x14ac:dyDescent="0.25">
      <c r="A840" s="5"/>
      <c r="C840"/>
      <c r="D840"/>
    </row>
    <row r="841" spans="1:4" x14ac:dyDescent="0.25">
      <c r="A841" s="5"/>
      <c r="C841"/>
      <c r="D841"/>
    </row>
    <row r="842" spans="1:4" x14ac:dyDescent="0.25">
      <c r="A842" s="5"/>
      <c r="C842"/>
      <c r="D842"/>
    </row>
    <row r="843" spans="1:4" x14ac:dyDescent="0.25">
      <c r="A843" s="5"/>
      <c r="C843"/>
      <c r="D843"/>
    </row>
    <row r="844" spans="1:4" x14ac:dyDescent="0.25">
      <c r="A844" s="5"/>
      <c r="C844"/>
      <c r="D844"/>
    </row>
    <row r="845" spans="1:4" x14ac:dyDescent="0.25">
      <c r="A845" s="5"/>
      <c r="C845"/>
      <c r="D845"/>
    </row>
    <row r="846" spans="1:4" x14ac:dyDescent="0.25">
      <c r="A846" s="5"/>
      <c r="C846"/>
      <c r="D846"/>
    </row>
    <row r="847" spans="1:4" x14ac:dyDescent="0.25">
      <c r="A847" s="5"/>
      <c r="C847"/>
      <c r="D847"/>
    </row>
    <row r="848" spans="1:4" x14ac:dyDescent="0.25">
      <c r="A848" s="5"/>
      <c r="C848"/>
      <c r="D848"/>
    </row>
    <row r="849" spans="1:4" x14ac:dyDescent="0.25">
      <c r="A849" s="5"/>
      <c r="C849"/>
      <c r="D849"/>
    </row>
    <row r="850" spans="1:4" x14ac:dyDescent="0.25">
      <c r="A850" s="5"/>
      <c r="C850"/>
      <c r="D850"/>
    </row>
    <row r="851" spans="1:4" x14ac:dyDescent="0.25">
      <c r="A851" s="5"/>
      <c r="C851"/>
      <c r="D851"/>
    </row>
    <row r="852" spans="1:4" x14ac:dyDescent="0.25">
      <c r="A852" s="5"/>
      <c r="C852"/>
      <c r="D852"/>
    </row>
    <row r="853" spans="1:4" x14ac:dyDescent="0.25">
      <c r="A853" s="5"/>
      <c r="C853"/>
      <c r="D853"/>
    </row>
    <row r="854" spans="1:4" x14ac:dyDescent="0.25">
      <c r="A854" s="5"/>
      <c r="C854"/>
      <c r="D854"/>
    </row>
    <row r="855" spans="1:4" x14ac:dyDescent="0.25">
      <c r="A855" s="5"/>
      <c r="C855"/>
      <c r="D855"/>
    </row>
    <row r="856" spans="1:4" x14ac:dyDescent="0.25">
      <c r="A856" s="5"/>
      <c r="C856"/>
      <c r="D856"/>
    </row>
    <row r="857" spans="1:4" x14ac:dyDescent="0.25">
      <c r="A857" s="5"/>
      <c r="C857"/>
      <c r="D857"/>
    </row>
    <row r="858" spans="1:4" x14ac:dyDescent="0.25">
      <c r="A858" s="5"/>
      <c r="C858"/>
      <c r="D858"/>
    </row>
    <row r="859" spans="1:4" x14ac:dyDescent="0.25">
      <c r="A859" s="5"/>
      <c r="C859"/>
      <c r="D859"/>
    </row>
    <row r="860" spans="1:4" x14ac:dyDescent="0.25">
      <c r="A860" s="5"/>
      <c r="C860"/>
      <c r="D860"/>
    </row>
    <row r="861" spans="1:4" x14ac:dyDescent="0.25">
      <c r="A861" s="5"/>
      <c r="C861"/>
      <c r="D861"/>
    </row>
    <row r="862" spans="1:4" x14ac:dyDescent="0.25">
      <c r="A862" s="5"/>
      <c r="C862"/>
      <c r="D862"/>
    </row>
    <row r="863" spans="1:4" x14ac:dyDescent="0.25">
      <c r="A863" s="5"/>
      <c r="C863"/>
      <c r="D863"/>
    </row>
    <row r="864" spans="1:4" x14ac:dyDescent="0.25">
      <c r="A864" s="5"/>
      <c r="C864"/>
      <c r="D864"/>
    </row>
    <row r="865" spans="1:7" x14ac:dyDescent="0.25">
      <c r="A865" s="5"/>
      <c r="C865"/>
      <c r="D865"/>
    </row>
    <row r="866" spans="1:7" x14ac:dyDescent="0.25">
      <c r="A866" s="5"/>
      <c r="C866"/>
      <c r="D866"/>
    </row>
    <row r="867" spans="1:7" x14ac:dyDescent="0.25">
      <c r="A867" s="5">
        <v>43726</v>
      </c>
      <c r="B867">
        <v>2.3650000000000002</v>
      </c>
      <c r="C867">
        <v>2.3650000000000002</v>
      </c>
      <c r="D867">
        <v>0.6</v>
      </c>
      <c r="E867">
        <v>0.63829999999999998</v>
      </c>
      <c r="F867">
        <v>8801778.5999999996</v>
      </c>
      <c r="G867">
        <v>0</v>
      </c>
    </row>
    <row r="868" spans="1:7" x14ac:dyDescent="0.25">
      <c r="A868" s="5"/>
      <c r="C868" s="4"/>
      <c r="D868" s="4"/>
    </row>
    <row r="869" spans="1:7" x14ac:dyDescent="0.25">
      <c r="A869" s="5"/>
      <c r="C869" s="4"/>
      <c r="D869" s="4"/>
    </row>
    <row r="870" spans="1:7" x14ac:dyDescent="0.25">
      <c r="A870" s="5"/>
      <c r="C870" s="4"/>
      <c r="D870" s="4"/>
    </row>
    <row r="871" spans="1:7" x14ac:dyDescent="0.25">
      <c r="A871" s="5"/>
      <c r="C871" s="4"/>
      <c r="D871" s="4"/>
    </row>
    <row r="872" spans="1:7" x14ac:dyDescent="0.25">
      <c r="A872" s="5"/>
      <c r="C872" s="4"/>
      <c r="D872" s="4"/>
    </row>
    <row r="873" spans="1:7" x14ac:dyDescent="0.25">
      <c r="A873" s="5"/>
      <c r="C873" s="4"/>
      <c r="D873" s="4"/>
    </row>
    <row r="874" spans="1:7" x14ac:dyDescent="0.25">
      <c r="A874" s="5"/>
      <c r="C874" s="4"/>
      <c r="D874" s="4"/>
    </row>
    <row r="875" spans="1:7" x14ac:dyDescent="0.25">
      <c r="A875" s="5"/>
      <c r="C875" s="4"/>
      <c r="D875" s="4"/>
    </row>
    <row r="876" spans="1:7" x14ac:dyDescent="0.25">
      <c r="A876" s="5"/>
      <c r="C876" s="4"/>
      <c r="D876" s="4"/>
    </row>
    <row r="877" spans="1:7" x14ac:dyDescent="0.25">
      <c r="A877" s="5"/>
      <c r="C877" s="4"/>
      <c r="D877" s="4"/>
    </row>
    <row r="878" spans="1:7" x14ac:dyDescent="0.25">
      <c r="A878" s="5"/>
      <c r="C878" s="4"/>
      <c r="D878" s="4"/>
    </row>
    <row r="879" spans="1:7" x14ac:dyDescent="0.25">
      <c r="A879" s="5"/>
      <c r="C879" s="4"/>
      <c r="D879" s="4"/>
    </row>
    <row r="880" spans="1:7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QN525" sqref="QN525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$A$524</v>
      </c>
      <c r="D111" s="1" t="str">
        <f>ADDRESS(C121-1,D121,1,1)</f>
        <v>$QN$524</v>
      </c>
      <c r="E111"/>
    </row>
    <row r="112" spans="1:5" x14ac:dyDescent="0.25">
      <c r="A112" s="7">
        <v>12164.144957890772</v>
      </c>
      <c r="C112" s="1" t="str">
        <f>ADDRESS(C121,1,1,1)</f>
        <v>$A$525</v>
      </c>
      <c r="D112" s="1" t="str">
        <f>ADDRESS(C121,D121-1,1,1)</f>
        <v>$QM$525</v>
      </c>
      <c r="E112"/>
    </row>
    <row r="113" spans="1:5" x14ac:dyDescent="0.25">
      <c r="A113" s="7">
        <v>11925.63231165762</v>
      </c>
      <c r="C113" s="1" t="str">
        <f>ADDRESS(C121+1,1,1,1)</f>
        <v>$A$526</v>
      </c>
      <c r="D113" s="1" t="str">
        <f>ADDRESS(C121-1,D121+1,1,1)</f>
        <v>$QO$524</v>
      </c>
    </row>
    <row r="114" spans="1:5" x14ac:dyDescent="0.25">
      <c r="A114" s="7">
        <v>11691.796383978059</v>
      </c>
      <c r="C114" s="1" t="str">
        <f>ADDRESS(C121,D121,1,1)</f>
        <v>$QN$525</v>
      </c>
      <c r="D114" s="1" t="str">
        <f>ADDRESS(C121+1,D121+1,1,1)</f>
        <v>$QO$526</v>
      </c>
    </row>
    <row r="115" spans="1:5" x14ac:dyDescent="0.25">
      <c r="A115" s="7">
        <v>11462.545474488292</v>
      </c>
      <c r="C115" s="1" t="str">
        <f>ADDRESS(C121+1,D121,1,1)</f>
        <v>$QN$526</v>
      </c>
    </row>
    <row r="116" spans="1:5" x14ac:dyDescent="0.25">
      <c r="A116" s="7">
        <v>11237.789680870874</v>
      </c>
      <c r="C116" s="1">
        <f>C117-1</f>
        <v>524</v>
      </c>
    </row>
    <row r="117" spans="1:5" x14ac:dyDescent="0.25">
      <c r="A117" s="7">
        <v>11017.440863598895</v>
      </c>
      <c r="C117" s="1">
        <f>C121</f>
        <v>525</v>
      </c>
      <c r="D117" s="1">
        <f>D121</f>
        <v>456</v>
      </c>
    </row>
    <row r="118" spans="1:5" x14ac:dyDescent="0.25">
      <c r="A118" s="7">
        <v>10801.412611371465</v>
      </c>
      <c r="C118" s="1">
        <f>C117+1</f>
        <v>526</v>
      </c>
      <c r="D118" s="1">
        <f>D117+1</f>
        <v>457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525</v>
      </c>
      <c r="D121" s="19">
        <v>456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R525</v>
      </c>
      <c r="D123" s="1" t="str">
        <f>"C"&amp;D121</f>
        <v>C456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3.4135844322153761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314" x14ac:dyDescent="0.25">
      <c r="A417" s="7">
        <v>28.975383953883185</v>
      </c>
      <c r="B417"/>
      <c r="C417"/>
      <c r="D417"/>
      <c r="E417"/>
    </row>
    <row r="418" spans="1:314" x14ac:dyDescent="0.25">
      <c r="A418" s="7">
        <v>28.407239170473709</v>
      </c>
      <c r="B418"/>
      <c r="C418"/>
      <c r="D418"/>
      <c r="E418"/>
    </row>
    <row r="419" spans="1:314" x14ac:dyDescent="0.25">
      <c r="A419" s="7">
        <v>27.850234480856578</v>
      </c>
      <c r="B419"/>
      <c r="C419"/>
      <c r="D419"/>
      <c r="E419"/>
    </row>
    <row r="420" spans="1:314" x14ac:dyDescent="0.25">
      <c r="A420" s="7">
        <v>27.304151451820175</v>
      </c>
      <c r="B420"/>
      <c r="C420"/>
      <c r="D420"/>
      <c r="E420"/>
    </row>
    <row r="421" spans="1:314" x14ac:dyDescent="0.25">
      <c r="A421" s="7">
        <v>26.768775933157034</v>
      </c>
      <c r="B421"/>
      <c r="C421"/>
      <c r="D421"/>
      <c r="E421"/>
    </row>
    <row r="422" spans="1:314" x14ac:dyDescent="0.25">
      <c r="A422" s="7">
        <v>26.243897973683367</v>
      </c>
      <c r="B422"/>
      <c r="C422"/>
      <c r="D422"/>
      <c r="E422"/>
    </row>
    <row r="423" spans="1:314" x14ac:dyDescent="0.25">
      <c r="A423" s="7">
        <v>25.729311738905263</v>
      </c>
      <c r="B423"/>
      <c r="C423"/>
      <c r="D423"/>
      <c r="E423"/>
    </row>
    <row r="424" spans="1:314" x14ac:dyDescent="0.25">
      <c r="A424" s="7">
        <v>25.224815430299277</v>
      </c>
      <c r="B424"/>
      <c r="C424"/>
      <c r="D424"/>
      <c r="E424"/>
    </row>
    <row r="425" spans="1:314" x14ac:dyDescent="0.25">
      <c r="A425" s="7">
        <v>24.73021120617576</v>
      </c>
      <c r="B425"/>
      <c r="C425"/>
      <c r="D425"/>
      <c r="E425"/>
    </row>
    <row r="426" spans="1:314" x14ac:dyDescent="0.25">
      <c r="A426" s="7">
        <v>24.24530510409388</v>
      </c>
      <c r="B426"/>
      <c r="C426"/>
      <c r="D426"/>
      <c r="E426"/>
    </row>
    <row r="427" spans="1:314" x14ac:dyDescent="0.25">
      <c r="A427" s="7">
        <v>23.769906964797922</v>
      </c>
      <c r="B427"/>
      <c r="C427"/>
      <c r="D427"/>
      <c r="E427"/>
    </row>
    <row r="428" spans="1:314" x14ac:dyDescent="0.25">
      <c r="A428" s="7">
        <v>23.303830357645023</v>
      </c>
      <c r="B428"/>
      <c r="C428"/>
      <c r="D428"/>
      <c r="E428"/>
      <c r="LA428" s="27" t="s">
        <v>8</v>
      </c>
    </row>
    <row r="429" spans="1:314" x14ac:dyDescent="0.25">
      <c r="A429" s="7">
        <v>22.84689250749512</v>
      </c>
      <c r="B429"/>
      <c r="C429"/>
      <c r="D429"/>
      <c r="E429"/>
      <c r="LA429" s="27" t="s">
        <v>8</v>
      </c>
      <c r="LB429" s="27" t="s">
        <v>7</v>
      </c>
    </row>
    <row r="430" spans="1:314" x14ac:dyDescent="0.25">
      <c r="A430" s="7">
        <v>22.398914223034431</v>
      </c>
      <c r="B430"/>
      <c r="C430"/>
      <c r="D430"/>
      <c r="E430"/>
      <c r="LA430" s="27" t="s">
        <v>8</v>
      </c>
      <c r="LB430" s="27" t="s">
        <v>7</v>
      </c>
    </row>
    <row r="431" spans="1:314" x14ac:dyDescent="0.25">
      <c r="A431" s="7">
        <v>21.959719826504344</v>
      </c>
      <c r="B431"/>
      <c r="C431"/>
      <c r="D431"/>
      <c r="E431"/>
      <c r="LA431" s="27" t="s">
        <v>8</v>
      </c>
      <c r="LB431" s="27" t="s">
        <v>7</v>
      </c>
    </row>
    <row r="432" spans="1:314" x14ac:dyDescent="0.25">
      <c r="A432" s="7">
        <v>21.52913708480818</v>
      </c>
      <c r="B432"/>
      <c r="C432"/>
      <c r="D432"/>
      <c r="E432"/>
      <c r="LA432" s="27" t="s">
        <v>8</v>
      </c>
      <c r="LB432" s="27" t="s">
        <v>7</v>
      </c>
    </row>
    <row r="433" spans="1:329" x14ac:dyDescent="0.25">
      <c r="A433" s="7">
        <v>21.106997141968804</v>
      </c>
      <c r="B433"/>
      <c r="C433"/>
      <c r="D433"/>
      <c r="E433"/>
      <c r="LA433" s="27" t="s">
        <v>8</v>
      </c>
      <c r="LB433" s="27" t="s">
        <v>7</v>
      </c>
    </row>
    <row r="434" spans="1:329" x14ac:dyDescent="0.25">
      <c r="A434" s="7">
        <v>20.693134452910591</v>
      </c>
      <c r="B434"/>
      <c r="C434"/>
      <c r="D434"/>
      <c r="E434"/>
      <c r="LA434" s="27" t="s">
        <v>8</v>
      </c>
      <c r="LB434" s="27" t="s">
        <v>7</v>
      </c>
    </row>
    <row r="435" spans="1:329" x14ac:dyDescent="0.25">
      <c r="A435" s="7">
        <v>20.287386718539796</v>
      </c>
      <c r="B435"/>
      <c r="C435"/>
      <c r="D435"/>
      <c r="E435"/>
      <c r="JS435" s="27" t="s">
        <v>8</v>
      </c>
      <c r="LA435" s="27" t="s">
        <v>8</v>
      </c>
      <c r="LB435" s="27" t="s">
        <v>7</v>
      </c>
      <c r="LM435" s="27" t="s">
        <v>8</v>
      </c>
    </row>
    <row r="436" spans="1:329" x14ac:dyDescent="0.25">
      <c r="A436" s="7">
        <v>19.889594822097838</v>
      </c>
      <c r="B436"/>
      <c r="C436"/>
      <c r="D436"/>
      <c r="E436"/>
      <c r="JS436" s="27" t="s">
        <v>8</v>
      </c>
      <c r="JT436" s="27" t="s">
        <v>7</v>
      </c>
      <c r="LA436" s="27" t="s">
        <v>8</v>
      </c>
      <c r="LB436" s="27" t="s">
        <v>7</v>
      </c>
      <c r="LM436" s="27" t="s">
        <v>8</v>
      </c>
      <c r="LN436" s="27" t="s">
        <v>7</v>
      </c>
    </row>
    <row r="437" spans="1:329" x14ac:dyDescent="0.25">
      <c r="A437" s="7">
        <v>19.499602766762585</v>
      </c>
      <c r="B437"/>
      <c r="C437"/>
      <c r="D437"/>
      <c r="E437"/>
      <c r="JS437" s="27" t="s">
        <v>8</v>
      </c>
      <c r="JT437" s="27" t="s">
        <v>7</v>
      </c>
      <c r="LA437" s="27" t="s">
        <v>8</v>
      </c>
      <c r="LB437" s="27" t="s">
        <v>7</v>
      </c>
      <c r="LM437" s="27" t="s">
        <v>8</v>
      </c>
      <c r="LN437" s="27" t="s">
        <v>7</v>
      </c>
    </row>
    <row r="438" spans="1:329" x14ac:dyDescent="0.25">
      <c r="A438" s="7">
        <v>19.117257614473122</v>
      </c>
      <c r="B438"/>
      <c r="C438"/>
      <c r="D438"/>
      <c r="E438"/>
      <c r="JS438" s="27" t="s">
        <v>8</v>
      </c>
      <c r="JT438" s="27" t="s">
        <v>7</v>
      </c>
      <c r="LA438" s="27" t="s">
        <v>8</v>
      </c>
      <c r="LB438" s="27" t="s">
        <v>7</v>
      </c>
      <c r="LE438" s="27" t="s">
        <v>8</v>
      </c>
      <c r="LM438" s="27" t="s">
        <v>8</v>
      </c>
      <c r="LN438" s="27" t="s">
        <v>7</v>
      </c>
    </row>
    <row r="439" spans="1:329" x14ac:dyDescent="0.25">
      <c r="A439" s="7">
        <v>18.74240942595404</v>
      </c>
      <c r="B439"/>
      <c r="C439"/>
      <c r="D439"/>
      <c r="E439"/>
      <c r="JS439" s="27" t="s">
        <v>8</v>
      </c>
      <c r="JT439" s="27" t="s">
        <v>7</v>
      </c>
      <c r="JW439" s="27" t="s">
        <v>8</v>
      </c>
      <c r="KU439" s="27" t="s">
        <v>8</v>
      </c>
      <c r="LA439" s="27" t="s">
        <v>8</v>
      </c>
      <c r="LB439" s="27" t="s">
        <v>7</v>
      </c>
      <c r="LE439" s="27" t="s">
        <v>8</v>
      </c>
      <c r="LF439" s="27" t="s">
        <v>7</v>
      </c>
      <c r="LK439" s="27" t="s">
        <v>8</v>
      </c>
      <c r="LM439" s="27" t="s">
        <v>8</v>
      </c>
      <c r="LN439" s="27" t="s">
        <v>7</v>
      </c>
    </row>
    <row r="440" spans="1:329" x14ac:dyDescent="0.25">
      <c r="A440" s="7">
        <v>18.374911201915726</v>
      </c>
      <c r="B440"/>
      <c r="C440"/>
      <c r="D440"/>
      <c r="E440"/>
      <c r="JS440" s="27" t="s">
        <v>8</v>
      </c>
      <c r="JT440" s="27" t="s">
        <v>7</v>
      </c>
      <c r="JU440" s="27" t="s">
        <v>8</v>
      </c>
      <c r="JW440" s="27" t="s">
        <v>8</v>
      </c>
      <c r="JX440" s="27" t="s">
        <v>7</v>
      </c>
      <c r="KU440" s="27" t="s">
        <v>8</v>
      </c>
      <c r="KV440" s="27" t="s">
        <v>7</v>
      </c>
      <c r="KY440" s="27" t="s">
        <v>8</v>
      </c>
      <c r="LA440" s="27" t="s">
        <v>8</v>
      </c>
      <c r="LB440" s="27" t="s">
        <v>7</v>
      </c>
      <c r="LE440" s="27" t="s">
        <v>8</v>
      </c>
      <c r="LF440" s="27" t="s">
        <v>7</v>
      </c>
      <c r="LK440" s="27" t="s">
        <v>8</v>
      </c>
      <c r="LL440" s="27" t="s">
        <v>7</v>
      </c>
      <c r="LM440" s="27" t="s">
        <v>8</v>
      </c>
      <c r="LN440" s="27" t="s">
        <v>7</v>
      </c>
    </row>
    <row r="441" spans="1:329" x14ac:dyDescent="0.25">
      <c r="A441" s="7">
        <v>18.014618825407574</v>
      </c>
      <c r="B441"/>
      <c r="C441"/>
      <c r="D441"/>
      <c r="E441"/>
      <c r="JS441" s="27" t="s">
        <v>8</v>
      </c>
      <c r="JT441" s="27" t="s">
        <v>7</v>
      </c>
      <c r="JU441" s="27" t="s">
        <v>8</v>
      </c>
      <c r="JV441" s="27" t="s">
        <v>7</v>
      </c>
      <c r="JW441" s="27" t="s">
        <v>8</v>
      </c>
      <c r="JX441" s="27" t="s">
        <v>7</v>
      </c>
      <c r="KU441" s="27" t="s">
        <v>8</v>
      </c>
      <c r="KV441" s="27" t="s">
        <v>7</v>
      </c>
      <c r="KY441" s="27" t="s">
        <v>8</v>
      </c>
      <c r="KZ441" s="27" t="s">
        <v>7</v>
      </c>
      <c r="LA441" s="27" t="s">
        <v>8</v>
      </c>
      <c r="LB441" s="27" t="s">
        <v>7</v>
      </c>
      <c r="LC441" s="27" t="s">
        <v>8</v>
      </c>
      <c r="LE441" s="27" t="s">
        <v>8</v>
      </c>
      <c r="LF441" s="27" t="s">
        <v>7</v>
      </c>
      <c r="LK441" s="27" t="s">
        <v>8</v>
      </c>
      <c r="LL441" s="27" t="s">
        <v>7</v>
      </c>
      <c r="LM441" s="27" t="s">
        <v>8</v>
      </c>
      <c r="LN441" s="27" t="s">
        <v>7</v>
      </c>
    </row>
    <row r="442" spans="1:329" x14ac:dyDescent="0.25">
      <c r="A442" s="7">
        <v>17.661391005301542</v>
      </c>
      <c r="B442"/>
      <c r="C442"/>
      <c r="D442"/>
      <c r="E442"/>
      <c r="FY442" s="27" t="s">
        <v>8</v>
      </c>
      <c r="JS442" s="27" t="s">
        <v>8</v>
      </c>
      <c r="JT442" s="27" t="s">
        <v>7</v>
      </c>
      <c r="JU442" s="27" t="s">
        <v>8</v>
      </c>
      <c r="JV442" s="27" t="s">
        <v>7</v>
      </c>
      <c r="JW442" s="27" t="s">
        <v>8</v>
      </c>
      <c r="JX442" s="27" t="s">
        <v>7</v>
      </c>
      <c r="JY442" s="27" t="s">
        <v>8</v>
      </c>
      <c r="KS442" s="27" t="s">
        <v>8</v>
      </c>
      <c r="KU442" s="27" t="s">
        <v>8</v>
      </c>
      <c r="KV442" s="27" t="s">
        <v>7</v>
      </c>
      <c r="KW442" s="27" t="s">
        <v>8</v>
      </c>
      <c r="KY442" s="27" t="s">
        <v>8</v>
      </c>
      <c r="KZ442" s="27" t="s">
        <v>7</v>
      </c>
      <c r="LA442" s="27" t="s">
        <v>8</v>
      </c>
      <c r="LB442" s="27" t="s">
        <v>7</v>
      </c>
      <c r="LC442" s="27" t="s">
        <v>8</v>
      </c>
      <c r="LD442" s="27" t="s">
        <v>7</v>
      </c>
      <c r="LE442" s="27" t="s">
        <v>8</v>
      </c>
      <c r="LF442" s="27" t="s">
        <v>7</v>
      </c>
      <c r="LI442" s="27" t="s">
        <v>8</v>
      </c>
      <c r="LK442" s="27" t="s">
        <v>8</v>
      </c>
      <c r="LL442" s="27" t="s">
        <v>7</v>
      </c>
      <c r="LM442" s="27" t="s">
        <v>8</v>
      </c>
      <c r="LN442" s="27" t="s">
        <v>7</v>
      </c>
      <c r="LO442" s="27" t="s">
        <v>8</v>
      </c>
    </row>
    <row r="443" spans="1:329" x14ac:dyDescent="0.25">
      <c r="A443" s="7">
        <v>17.315089220883866</v>
      </c>
      <c r="B443"/>
      <c r="C443"/>
      <c r="D443"/>
      <c r="E443"/>
      <c r="FY443" s="27" t="s">
        <v>8</v>
      </c>
      <c r="FZ443" s="27" t="s">
        <v>7</v>
      </c>
      <c r="JS443" s="27" t="s">
        <v>8</v>
      </c>
      <c r="JT443" s="27" t="s">
        <v>7</v>
      </c>
      <c r="JU443" s="27" t="s">
        <v>8</v>
      </c>
      <c r="JV443" s="27" t="s">
        <v>7</v>
      </c>
      <c r="JW443" s="27" t="s">
        <v>8</v>
      </c>
      <c r="JX443" s="27" t="s">
        <v>7</v>
      </c>
      <c r="JY443" s="27" t="s">
        <v>8</v>
      </c>
      <c r="JZ443" s="27" t="s">
        <v>7</v>
      </c>
      <c r="KS443" s="27" t="s">
        <v>8</v>
      </c>
      <c r="KT443" s="27" t="s">
        <v>7</v>
      </c>
      <c r="KU443" s="27" t="s">
        <v>8</v>
      </c>
      <c r="KV443" s="27" t="s">
        <v>7</v>
      </c>
      <c r="KW443" s="27" t="s">
        <v>8</v>
      </c>
      <c r="KX443" s="27" t="s">
        <v>7</v>
      </c>
      <c r="KY443" s="27" t="s">
        <v>8</v>
      </c>
      <c r="KZ443" s="27" t="s">
        <v>7</v>
      </c>
      <c r="LA443" s="27" t="s">
        <v>8</v>
      </c>
      <c r="LB443" s="27" t="s">
        <v>7</v>
      </c>
      <c r="LC443" s="27" t="s">
        <v>8</v>
      </c>
      <c r="LD443" s="27" t="s">
        <v>7</v>
      </c>
      <c r="LE443" s="27" t="s">
        <v>8</v>
      </c>
      <c r="LF443" s="27" t="s">
        <v>7</v>
      </c>
      <c r="LI443" s="27" t="s">
        <v>8</v>
      </c>
      <c r="LJ443" s="27" t="s">
        <v>7</v>
      </c>
      <c r="LK443" s="27" t="s">
        <v>8</v>
      </c>
      <c r="LL443" s="27" t="s">
        <v>7</v>
      </c>
      <c r="LN443" s="27" t="s">
        <v>7</v>
      </c>
      <c r="LO443" s="27" t="s">
        <v>8</v>
      </c>
      <c r="LP443" s="27" t="s">
        <v>7</v>
      </c>
    </row>
    <row r="444" spans="1:329" x14ac:dyDescent="0.25">
      <c r="A444" s="7">
        <v>16.975577667533202</v>
      </c>
      <c r="B444"/>
      <c r="C444"/>
      <c r="D444"/>
      <c r="E444"/>
      <c r="FY444" s="27" t="s">
        <v>8</v>
      </c>
      <c r="FZ444" s="27" t="s">
        <v>7</v>
      </c>
      <c r="GM444" s="27" t="s">
        <v>8</v>
      </c>
      <c r="JS444" s="27" t="s">
        <v>8</v>
      </c>
      <c r="JT444" s="27" t="s">
        <v>7</v>
      </c>
      <c r="JU444" s="27" t="s">
        <v>8</v>
      </c>
      <c r="JV444" s="27" t="s">
        <v>7</v>
      </c>
      <c r="JW444" s="27" t="s">
        <v>8</v>
      </c>
      <c r="JX444" s="27" t="s">
        <v>7</v>
      </c>
      <c r="JY444" s="27" t="s">
        <v>8</v>
      </c>
      <c r="JZ444" s="27" t="s">
        <v>7</v>
      </c>
      <c r="KS444" s="27" t="s">
        <v>8</v>
      </c>
      <c r="KT444" s="27" t="s">
        <v>7</v>
      </c>
      <c r="KU444" s="27" t="s">
        <v>8</v>
      </c>
      <c r="KV444" s="27" t="s">
        <v>7</v>
      </c>
      <c r="KW444" s="27" t="s">
        <v>8</v>
      </c>
      <c r="KX444" s="27" t="s">
        <v>7</v>
      </c>
      <c r="KY444" s="27" t="s">
        <v>8</v>
      </c>
      <c r="KZ444" s="27" t="s">
        <v>7</v>
      </c>
      <c r="LA444" s="27" t="s">
        <v>8</v>
      </c>
      <c r="LB444" s="27" t="s">
        <v>7</v>
      </c>
      <c r="LC444" s="27" t="s">
        <v>8</v>
      </c>
      <c r="LD444" s="27" t="s">
        <v>7</v>
      </c>
      <c r="LE444" s="27" t="s">
        <v>8</v>
      </c>
      <c r="LF444" s="27" t="s">
        <v>7</v>
      </c>
      <c r="LI444" s="27" t="s">
        <v>8</v>
      </c>
      <c r="LJ444" s="27" t="s">
        <v>7</v>
      </c>
      <c r="LK444" s="27" t="s">
        <v>8</v>
      </c>
      <c r="LN444" s="27" t="s">
        <v>7</v>
      </c>
      <c r="LO444" s="27" t="s">
        <v>8</v>
      </c>
      <c r="LP444" s="27" t="s">
        <v>7</v>
      </c>
    </row>
    <row r="445" spans="1:329" x14ac:dyDescent="0.25">
      <c r="A445" s="7">
        <v>16.642723203463923</v>
      </c>
      <c r="B445"/>
      <c r="C445"/>
      <c r="D445"/>
      <c r="E445"/>
      <c r="FY445" s="27" t="s">
        <v>8</v>
      </c>
      <c r="FZ445" s="27" t="s">
        <v>7</v>
      </c>
      <c r="GM445" s="27" t="s">
        <v>8</v>
      </c>
      <c r="GN445" s="27" t="s">
        <v>7</v>
      </c>
      <c r="JS445" s="27" t="s">
        <v>8</v>
      </c>
      <c r="JT445" s="27" t="s">
        <v>7</v>
      </c>
      <c r="JU445" s="27" t="s">
        <v>8</v>
      </c>
      <c r="JV445" s="27" t="s">
        <v>7</v>
      </c>
      <c r="JW445" s="27" t="s">
        <v>8</v>
      </c>
      <c r="JX445" s="27" t="s">
        <v>7</v>
      </c>
      <c r="JY445" s="27" t="s">
        <v>8</v>
      </c>
      <c r="JZ445" s="27" t="s">
        <v>7</v>
      </c>
      <c r="KS445" s="27" t="s">
        <v>8</v>
      </c>
      <c r="KT445" s="27" t="s">
        <v>7</v>
      </c>
      <c r="KU445" s="27" t="s">
        <v>8</v>
      </c>
      <c r="KV445" s="27" t="s">
        <v>7</v>
      </c>
      <c r="KW445" s="27" t="s">
        <v>8</v>
      </c>
      <c r="KX445" s="27" t="s">
        <v>7</v>
      </c>
      <c r="KZ445" s="27" t="s">
        <v>7</v>
      </c>
      <c r="LA445" s="27" t="s">
        <v>8</v>
      </c>
      <c r="LB445" s="27" t="s">
        <v>7</v>
      </c>
      <c r="LC445" s="27" t="s">
        <v>8</v>
      </c>
      <c r="LD445" s="27" t="s">
        <v>7</v>
      </c>
      <c r="LE445" s="27" t="s">
        <v>8</v>
      </c>
      <c r="LF445" s="27" t="s">
        <v>7</v>
      </c>
      <c r="LI445" s="27" t="s">
        <v>8</v>
      </c>
      <c r="LJ445" s="27" t="s">
        <v>7</v>
      </c>
      <c r="LK445" s="27" t="s">
        <v>8</v>
      </c>
      <c r="LN445" s="27" t="s">
        <v>7</v>
      </c>
      <c r="LO445" s="27" t="s">
        <v>8</v>
      </c>
      <c r="LP445" s="27" t="s">
        <v>7</v>
      </c>
    </row>
    <row r="446" spans="1:329" x14ac:dyDescent="0.25">
      <c r="A446" s="7">
        <v>16.316395297513651</v>
      </c>
      <c r="B446"/>
      <c r="C446"/>
      <c r="D446"/>
      <c r="E446"/>
      <c r="FY446" s="27" t="s">
        <v>8</v>
      </c>
      <c r="FZ446" s="27" t="s">
        <v>7</v>
      </c>
      <c r="GM446" s="27" t="s">
        <v>8</v>
      </c>
      <c r="GN446" s="27" t="s">
        <v>7</v>
      </c>
      <c r="JS446" s="27" t="s">
        <v>8</v>
      </c>
      <c r="JT446" s="27" t="s">
        <v>7</v>
      </c>
      <c r="JU446" s="27" t="s">
        <v>8</v>
      </c>
      <c r="JV446" s="27" t="s">
        <v>7</v>
      </c>
      <c r="JW446" s="27" t="s">
        <v>8</v>
      </c>
      <c r="JX446" s="27" t="s">
        <v>7</v>
      </c>
      <c r="JY446" s="27" t="s">
        <v>8</v>
      </c>
      <c r="JZ446" s="27" t="s">
        <v>7</v>
      </c>
      <c r="KS446" s="27" t="s">
        <v>8</v>
      </c>
      <c r="KT446" s="27" t="s">
        <v>7</v>
      </c>
      <c r="KU446" s="27" t="s">
        <v>8</v>
      </c>
      <c r="KV446" s="27" t="s">
        <v>7</v>
      </c>
      <c r="KW446" s="27" t="s">
        <v>8</v>
      </c>
      <c r="KZ446" s="27" t="s">
        <v>7</v>
      </c>
      <c r="LA446" s="27" t="s">
        <v>8</v>
      </c>
      <c r="LB446" s="27" t="s">
        <v>7</v>
      </c>
      <c r="LC446" s="27" t="s">
        <v>8</v>
      </c>
      <c r="LD446" s="27" t="s">
        <v>7</v>
      </c>
      <c r="LE446" s="27" t="s">
        <v>8</v>
      </c>
      <c r="LF446" s="27" t="s">
        <v>7</v>
      </c>
      <c r="LI446" s="27" t="s">
        <v>8</v>
      </c>
      <c r="LJ446" s="27" t="s">
        <v>7</v>
      </c>
      <c r="LK446" s="27" t="s">
        <v>8</v>
      </c>
      <c r="LN446" s="27" t="s">
        <v>7</v>
      </c>
      <c r="LO446" s="27" t="s">
        <v>8</v>
      </c>
      <c r="LP446" s="27" t="s">
        <v>7</v>
      </c>
    </row>
    <row r="447" spans="1:329" x14ac:dyDescent="0.25">
      <c r="A447" s="7">
        <v>15.996465977954561</v>
      </c>
      <c r="B447"/>
      <c r="C447"/>
      <c r="D447"/>
      <c r="E447"/>
      <c r="FY447" s="27" t="s">
        <v>8</v>
      </c>
      <c r="FZ447" s="27" t="s">
        <v>7</v>
      </c>
      <c r="GM447" s="27" t="s">
        <v>8</v>
      </c>
      <c r="GN447" s="27" t="s">
        <v>7</v>
      </c>
      <c r="JS447" s="27" t="s">
        <v>8</v>
      </c>
      <c r="JT447" s="27" t="s">
        <v>7</v>
      </c>
      <c r="JU447" s="27" t="s">
        <v>8</v>
      </c>
      <c r="JV447" s="27" t="s">
        <v>7</v>
      </c>
      <c r="JW447" s="27" t="s">
        <v>8</v>
      </c>
      <c r="JX447" s="27" t="s">
        <v>7</v>
      </c>
      <c r="JY447" s="27" t="s">
        <v>8</v>
      </c>
      <c r="JZ447" s="27" t="s">
        <v>7</v>
      </c>
      <c r="KS447" s="27" t="s">
        <v>8</v>
      </c>
      <c r="KT447" s="27" t="s">
        <v>7</v>
      </c>
      <c r="KU447" s="27" t="s">
        <v>8</v>
      </c>
      <c r="KV447" s="27" t="s">
        <v>7</v>
      </c>
      <c r="KW447" s="27" t="s">
        <v>8</v>
      </c>
      <c r="KZ447" s="27" t="s">
        <v>7</v>
      </c>
      <c r="LB447" s="27" t="s">
        <v>7</v>
      </c>
      <c r="LC447" s="27" t="s">
        <v>8</v>
      </c>
      <c r="LD447" s="27" t="s">
        <v>7</v>
      </c>
      <c r="LE447" s="27" t="s">
        <v>8</v>
      </c>
      <c r="LF447" s="27" t="s">
        <v>7</v>
      </c>
      <c r="LI447" s="27" t="s">
        <v>8</v>
      </c>
      <c r="LJ447" s="27" t="s">
        <v>7</v>
      </c>
      <c r="LN447" s="27" t="s">
        <v>7</v>
      </c>
      <c r="LO447" s="27" t="s">
        <v>8</v>
      </c>
      <c r="LP447" s="27" t="s">
        <v>7</v>
      </c>
    </row>
    <row r="448" spans="1:329" x14ac:dyDescent="0.25">
      <c r="A448" s="7">
        <v>15.682809782308393</v>
      </c>
      <c r="B448"/>
      <c r="C448"/>
      <c r="D448"/>
      <c r="E448"/>
      <c r="FY448" s="27" t="s">
        <v>8</v>
      </c>
      <c r="FZ448" s="27" t="s">
        <v>7</v>
      </c>
      <c r="GM448" s="27" t="s">
        <v>8</v>
      </c>
      <c r="GN448" s="27" t="s">
        <v>7</v>
      </c>
      <c r="JS448" s="27" t="s">
        <v>8</v>
      </c>
      <c r="JT448" s="27" t="s">
        <v>7</v>
      </c>
      <c r="JU448" s="27" t="s">
        <v>8</v>
      </c>
      <c r="JV448" s="27" t="s">
        <v>7</v>
      </c>
      <c r="JW448" s="27" t="s">
        <v>8</v>
      </c>
      <c r="JX448" s="27" t="s">
        <v>7</v>
      </c>
      <c r="JZ448" s="27" t="s">
        <v>7</v>
      </c>
      <c r="KS448" s="27" t="s">
        <v>8</v>
      </c>
      <c r="KT448" s="27" t="s">
        <v>7</v>
      </c>
      <c r="KV448" s="27" t="s">
        <v>7</v>
      </c>
      <c r="KW448" s="27" t="s">
        <v>8</v>
      </c>
      <c r="LB448" s="27" t="s">
        <v>7</v>
      </c>
      <c r="LC448" s="27" t="s">
        <v>8</v>
      </c>
      <c r="LD448" s="27" t="s">
        <v>7</v>
      </c>
      <c r="LE448" s="27" t="s">
        <v>8</v>
      </c>
      <c r="LF448" s="27" t="s">
        <v>7</v>
      </c>
      <c r="LI448" s="27" t="s">
        <v>8</v>
      </c>
      <c r="LN448" s="27" t="s">
        <v>7</v>
      </c>
      <c r="LO448" s="27" t="s">
        <v>8</v>
      </c>
      <c r="LP448" s="27" t="s">
        <v>7</v>
      </c>
      <c r="LQ448" s="27" t="s">
        <v>8</v>
      </c>
    </row>
    <row r="449" spans="1:381" x14ac:dyDescent="0.25">
      <c r="A449" s="7">
        <v>15.375303708145482</v>
      </c>
      <c r="B449"/>
      <c r="C449"/>
      <c r="D449"/>
      <c r="E449"/>
      <c r="FY449" s="27" t="s">
        <v>8</v>
      </c>
      <c r="FZ449" s="27" t="s">
        <v>7</v>
      </c>
      <c r="GA449" s="27" t="s">
        <v>8</v>
      </c>
      <c r="GC449" s="27" t="s">
        <v>8</v>
      </c>
      <c r="GM449" s="27" t="s">
        <v>8</v>
      </c>
      <c r="GN449" s="27" t="s">
        <v>7</v>
      </c>
      <c r="JS449" s="27" t="s">
        <v>8</v>
      </c>
      <c r="JT449" s="27" t="s">
        <v>7</v>
      </c>
      <c r="JU449" s="27" t="s">
        <v>8</v>
      </c>
      <c r="JV449" s="27" t="s">
        <v>7</v>
      </c>
      <c r="JW449" s="27" t="s">
        <v>8</v>
      </c>
      <c r="JZ449" s="27" t="s">
        <v>7</v>
      </c>
      <c r="KO449" s="27" t="s">
        <v>8</v>
      </c>
      <c r="KS449" s="27" t="s">
        <v>8</v>
      </c>
      <c r="KV449" s="27" t="s">
        <v>7</v>
      </c>
      <c r="KW449" s="27" t="s">
        <v>8</v>
      </c>
      <c r="LB449" s="27" t="s">
        <v>7</v>
      </c>
      <c r="LC449" s="27" t="s">
        <v>8</v>
      </c>
      <c r="LD449" s="27" t="s">
        <v>7</v>
      </c>
      <c r="LE449" s="27" t="s">
        <v>8</v>
      </c>
      <c r="LF449" s="27" t="s">
        <v>7</v>
      </c>
      <c r="LI449" s="27" t="s">
        <v>8</v>
      </c>
      <c r="LN449" s="27" t="s">
        <v>7</v>
      </c>
      <c r="LP449" s="27" t="s">
        <v>7</v>
      </c>
      <c r="LQ449" s="27" t="s">
        <v>8</v>
      </c>
      <c r="LR449" s="27" t="s">
        <v>7</v>
      </c>
    </row>
    <row r="450" spans="1:381" x14ac:dyDescent="0.25">
      <c r="A450" s="7">
        <v>15.073827164848511</v>
      </c>
      <c r="B450"/>
      <c r="C450"/>
      <c r="D450"/>
      <c r="E450"/>
      <c r="FY450" s="27" t="s">
        <v>8</v>
      </c>
      <c r="FZ450" s="27" t="s">
        <v>7</v>
      </c>
      <c r="GA450" s="27" t="s">
        <v>8</v>
      </c>
      <c r="GB450" s="27" t="s">
        <v>7</v>
      </c>
      <c r="GC450" s="27" t="s">
        <v>8</v>
      </c>
      <c r="GD450" s="27" t="s">
        <v>7</v>
      </c>
      <c r="GM450" s="27" t="s">
        <v>8</v>
      </c>
      <c r="GN450" s="27" t="s">
        <v>7</v>
      </c>
      <c r="JS450" s="27" t="s">
        <v>8</v>
      </c>
      <c r="JT450" s="27" t="s">
        <v>7</v>
      </c>
      <c r="JU450" s="27" t="s">
        <v>8</v>
      </c>
      <c r="JV450" s="27" t="s">
        <v>7</v>
      </c>
      <c r="JZ450" s="27" t="s">
        <v>7</v>
      </c>
      <c r="KI450" s="27" t="s">
        <v>8</v>
      </c>
      <c r="KO450" s="27" t="s">
        <v>8</v>
      </c>
      <c r="KP450" s="27" t="s">
        <v>7</v>
      </c>
      <c r="KS450" s="27" t="s">
        <v>8</v>
      </c>
      <c r="KV450" s="27" t="s">
        <v>7</v>
      </c>
      <c r="LB450" s="27" t="s">
        <v>7</v>
      </c>
      <c r="LC450" s="27" t="s">
        <v>8</v>
      </c>
      <c r="LD450" s="27" t="s">
        <v>7</v>
      </c>
      <c r="LE450" s="27" t="s">
        <v>8</v>
      </c>
      <c r="LF450" s="27" t="s">
        <v>7</v>
      </c>
      <c r="LG450" s="27" t="s">
        <v>8</v>
      </c>
      <c r="LI450" s="27" t="s">
        <v>8</v>
      </c>
      <c r="LP450" s="27" t="s">
        <v>7</v>
      </c>
      <c r="LQ450" s="27" t="s">
        <v>8</v>
      </c>
      <c r="LR450" s="27" t="s">
        <v>7</v>
      </c>
    </row>
    <row r="451" spans="1:381" x14ac:dyDescent="0.25">
      <c r="A451" s="7">
        <v>14.77826192632207</v>
      </c>
      <c r="B451"/>
      <c r="C451"/>
      <c r="D451"/>
      <c r="E451"/>
      <c r="FY451" s="27" t="s">
        <v>8</v>
      </c>
      <c r="FZ451" s="27" t="s">
        <v>7</v>
      </c>
      <c r="GA451" s="27" t="s">
        <v>8</v>
      </c>
      <c r="GB451" s="27" t="s">
        <v>7</v>
      </c>
      <c r="GC451" s="27" t="s">
        <v>8</v>
      </c>
      <c r="GD451" s="27" t="s">
        <v>7</v>
      </c>
      <c r="GM451" s="27" t="s">
        <v>8</v>
      </c>
      <c r="GN451" s="27" t="s">
        <v>7</v>
      </c>
      <c r="JS451" s="27" t="s">
        <v>8</v>
      </c>
      <c r="JT451" s="27" t="s">
        <v>7</v>
      </c>
      <c r="JU451" s="27" t="s">
        <v>8</v>
      </c>
      <c r="JZ451" s="27" t="s">
        <v>7</v>
      </c>
      <c r="KI451" s="27" t="s">
        <v>8</v>
      </c>
      <c r="KJ451" s="27" t="s">
        <v>7</v>
      </c>
      <c r="KM451" s="27" t="s">
        <v>8</v>
      </c>
      <c r="KO451" s="27" t="s">
        <v>8</v>
      </c>
      <c r="KP451" s="27" t="s">
        <v>7</v>
      </c>
      <c r="KQ451" s="27" t="s">
        <v>8</v>
      </c>
      <c r="KS451" s="27" t="s">
        <v>8</v>
      </c>
      <c r="LB451" s="27" t="s">
        <v>7</v>
      </c>
      <c r="LC451" s="27" t="s">
        <v>8</v>
      </c>
      <c r="LD451" s="27" t="s">
        <v>7</v>
      </c>
      <c r="LE451" s="27" t="s">
        <v>8</v>
      </c>
      <c r="LF451" s="27" t="s">
        <v>7</v>
      </c>
      <c r="LG451" s="27" t="s">
        <v>8</v>
      </c>
      <c r="LH451" s="27" t="s">
        <v>7</v>
      </c>
      <c r="LI451" s="27" t="s">
        <v>8</v>
      </c>
      <c r="LP451" s="27" t="s">
        <v>7</v>
      </c>
      <c r="LQ451" s="27" t="s">
        <v>8</v>
      </c>
      <c r="LR451" s="27" t="s">
        <v>7</v>
      </c>
    </row>
    <row r="452" spans="1:381" x14ac:dyDescent="0.25">
      <c r="A452" s="7">
        <v>14.488492084629481</v>
      </c>
      <c r="B452"/>
      <c r="C452"/>
      <c r="D452"/>
      <c r="E452"/>
      <c r="FY452" s="27" t="s">
        <v>8</v>
      </c>
      <c r="FZ452" s="27" t="s">
        <v>7</v>
      </c>
      <c r="GA452" s="27" t="s">
        <v>8</v>
      </c>
      <c r="GB452" s="27" t="s">
        <v>7</v>
      </c>
      <c r="GC452" s="27" t="s">
        <v>8</v>
      </c>
      <c r="GD452" s="27" t="s">
        <v>7</v>
      </c>
      <c r="GM452" s="27" t="s">
        <v>8</v>
      </c>
      <c r="GN452" s="27" t="s">
        <v>7</v>
      </c>
      <c r="JS452" s="27" t="s">
        <v>8</v>
      </c>
      <c r="JT452" s="27" t="s">
        <v>7</v>
      </c>
      <c r="JU452" s="27" t="s">
        <v>8</v>
      </c>
      <c r="JZ452" s="27" t="s">
        <v>7</v>
      </c>
      <c r="KA452" s="27" t="s">
        <v>8</v>
      </c>
      <c r="KI452" s="27" t="s">
        <v>8</v>
      </c>
      <c r="KJ452" s="27" t="s">
        <v>7</v>
      </c>
      <c r="KK452" s="27" t="s">
        <v>8</v>
      </c>
      <c r="KM452" s="27" t="s">
        <v>8</v>
      </c>
      <c r="KN452" s="27" t="s">
        <v>7</v>
      </c>
      <c r="KO452" s="27" t="s">
        <v>8</v>
      </c>
      <c r="KP452" s="27" t="s">
        <v>7</v>
      </c>
      <c r="KQ452" s="27" t="s">
        <v>8</v>
      </c>
      <c r="KR452" s="27" t="s">
        <v>7</v>
      </c>
      <c r="KS452" s="27" t="s">
        <v>8</v>
      </c>
      <c r="LB452" s="27" t="s">
        <v>7</v>
      </c>
      <c r="LC452" s="27" t="s">
        <v>8</v>
      </c>
      <c r="LD452" s="27" t="s">
        <v>7</v>
      </c>
      <c r="LE452" s="27" t="s">
        <v>8</v>
      </c>
      <c r="LF452" s="27" t="s">
        <v>7</v>
      </c>
      <c r="LG452" s="27" t="s">
        <v>8</v>
      </c>
      <c r="LH452" s="27" t="s">
        <v>7</v>
      </c>
      <c r="LI452" s="27" t="s">
        <v>8</v>
      </c>
      <c r="LP452" s="27" t="s">
        <v>7</v>
      </c>
      <c r="LQ452" s="27" t="s">
        <v>8</v>
      </c>
      <c r="LR452" s="27" t="s">
        <v>7</v>
      </c>
    </row>
    <row r="453" spans="1:381" x14ac:dyDescent="0.25">
      <c r="A453" s="7">
        <v>14.204404004538707</v>
      </c>
      <c r="B453"/>
      <c r="C453"/>
      <c r="D453"/>
      <c r="E453"/>
      <c r="FY453" s="27" t="s">
        <v>8</v>
      </c>
      <c r="FZ453" s="27" t="s">
        <v>7</v>
      </c>
      <c r="GA453" s="27" t="s">
        <v>8</v>
      </c>
      <c r="GB453" s="27" t="s">
        <v>7</v>
      </c>
      <c r="GC453" s="27" t="s">
        <v>8</v>
      </c>
      <c r="GD453" s="27" t="s">
        <v>7</v>
      </c>
      <c r="GK453" s="27" t="s">
        <v>8</v>
      </c>
      <c r="GM453" s="27" t="s">
        <v>8</v>
      </c>
      <c r="GN453" s="27" t="s">
        <v>7</v>
      </c>
      <c r="JQ453" s="27" t="s">
        <v>8</v>
      </c>
      <c r="JS453" s="27" t="s">
        <v>8</v>
      </c>
      <c r="JT453" s="27" t="s">
        <v>7</v>
      </c>
      <c r="JU453" s="27" t="s">
        <v>8</v>
      </c>
      <c r="JZ453" s="27" t="s">
        <v>7</v>
      </c>
      <c r="KA453" s="27" t="s">
        <v>8</v>
      </c>
      <c r="KB453" s="27" t="s">
        <v>7</v>
      </c>
      <c r="KE453" s="27" t="s">
        <v>8</v>
      </c>
      <c r="KI453" s="27" t="s">
        <v>8</v>
      </c>
      <c r="KJ453" s="27" t="s">
        <v>7</v>
      </c>
      <c r="KK453" s="27" t="s">
        <v>8</v>
      </c>
      <c r="KL453" s="27" t="s">
        <v>7</v>
      </c>
      <c r="KM453" s="27" t="s">
        <v>8</v>
      </c>
      <c r="KN453" s="27" t="s">
        <v>7</v>
      </c>
      <c r="KO453" s="27" t="s">
        <v>8</v>
      </c>
      <c r="KP453" s="27" t="s">
        <v>7</v>
      </c>
      <c r="KQ453" s="27" t="s">
        <v>8</v>
      </c>
      <c r="KR453" s="27" t="s">
        <v>7</v>
      </c>
      <c r="KS453" s="27" t="s">
        <v>8</v>
      </c>
      <c r="LB453" s="27" t="s">
        <v>7</v>
      </c>
      <c r="LC453" s="27" t="s">
        <v>8</v>
      </c>
      <c r="LD453" s="27" t="s">
        <v>7</v>
      </c>
      <c r="LE453" s="27" t="s">
        <v>8</v>
      </c>
      <c r="LF453" s="27" t="s">
        <v>7</v>
      </c>
      <c r="LG453" s="27" t="s">
        <v>8</v>
      </c>
      <c r="LH453" s="27" t="s">
        <v>7</v>
      </c>
      <c r="LI453" s="27" t="s">
        <v>8</v>
      </c>
      <c r="LP453" s="27" t="s">
        <v>7</v>
      </c>
      <c r="LQ453" s="27" t="s">
        <v>8</v>
      </c>
      <c r="LR453" s="27" t="s">
        <v>7</v>
      </c>
      <c r="LS453" s="27" t="s">
        <v>8</v>
      </c>
    </row>
    <row r="454" spans="1:381" x14ac:dyDescent="0.25">
      <c r="A454" s="7">
        <v>13.925886278959517</v>
      </c>
      <c r="B454"/>
      <c r="C454"/>
      <c r="D454"/>
      <c r="E454"/>
      <c r="FY454" s="27" t="s">
        <v>8</v>
      </c>
      <c r="FZ454" s="27" t="s">
        <v>7</v>
      </c>
      <c r="GA454" s="27" t="s">
        <v>8</v>
      </c>
      <c r="GB454" s="27" t="s">
        <v>7</v>
      </c>
      <c r="GC454" s="27" t="s">
        <v>8</v>
      </c>
      <c r="GD454" s="27" t="s">
        <v>7</v>
      </c>
      <c r="GI454" s="27" t="s">
        <v>8</v>
      </c>
      <c r="GK454" s="27" t="s">
        <v>8</v>
      </c>
      <c r="GL454" s="27" t="s">
        <v>7</v>
      </c>
      <c r="GM454" s="27" t="s">
        <v>8</v>
      </c>
      <c r="GN454" s="27" t="s">
        <v>7</v>
      </c>
      <c r="JQ454" s="27" t="s">
        <v>8</v>
      </c>
      <c r="JR454" s="27" t="s">
        <v>7</v>
      </c>
      <c r="JS454" s="27" t="s">
        <v>8</v>
      </c>
      <c r="JT454" s="27" t="s">
        <v>7</v>
      </c>
      <c r="JZ454" s="27" t="s">
        <v>7</v>
      </c>
      <c r="KA454" s="27" t="s">
        <v>8</v>
      </c>
      <c r="KB454" s="27" t="s">
        <v>7</v>
      </c>
      <c r="KE454" s="27" t="s">
        <v>8</v>
      </c>
      <c r="KF454" s="27" t="s">
        <v>7</v>
      </c>
      <c r="KI454" s="27" t="s">
        <v>8</v>
      </c>
      <c r="KJ454" s="27" t="s">
        <v>7</v>
      </c>
      <c r="KK454" s="27" t="s">
        <v>8</v>
      </c>
      <c r="KL454" s="27" t="s">
        <v>7</v>
      </c>
      <c r="KM454" s="27" t="s">
        <v>8</v>
      </c>
      <c r="KN454" s="27" t="s">
        <v>7</v>
      </c>
      <c r="KO454" s="27" t="s">
        <v>8</v>
      </c>
      <c r="KP454" s="27" t="s">
        <v>7</v>
      </c>
      <c r="KQ454" s="27" t="s">
        <v>8</v>
      </c>
      <c r="KR454" s="27" t="s">
        <v>7</v>
      </c>
      <c r="LB454" s="27" t="s">
        <v>7</v>
      </c>
      <c r="LC454" s="27" t="s">
        <v>8</v>
      </c>
      <c r="LD454" s="27" t="s">
        <v>7</v>
      </c>
      <c r="LE454" s="27" t="s">
        <v>8</v>
      </c>
      <c r="LF454" s="27" t="s">
        <v>7</v>
      </c>
      <c r="LG454" s="27" t="s">
        <v>8</v>
      </c>
      <c r="LH454" s="27" t="s">
        <v>7</v>
      </c>
      <c r="LI454" s="27" t="s">
        <v>8</v>
      </c>
      <c r="LP454" s="27" t="s">
        <v>7</v>
      </c>
      <c r="LQ454" s="27" t="s">
        <v>8</v>
      </c>
      <c r="LR454" s="27" t="s">
        <v>7</v>
      </c>
      <c r="LS454" s="27" t="s">
        <v>8</v>
      </c>
      <c r="LT454" s="27" t="s">
        <v>7</v>
      </c>
    </row>
    <row r="455" spans="1:381" x14ac:dyDescent="0.25">
      <c r="A455" s="7">
        <v>13.652829685254428</v>
      </c>
      <c r="B455"/>
      <c r="C455"/>
      <c r="D455"/>
      <c r="E455"/>
      <c r="FY455" s="27" t="s">
        <v>8</v>
      </c>
      <c r="FZ455" s="27" t="s">
        <v>7</v>
      </c>
      <c r="GA455" s="27" t="s">
        <v>8</v>
      </c>
      <c r="GB455" s="27" t="s">
        <v>7</v>
      </c>
      <c r="GC455" s="27" t="s">
        <v>8</v>
      </c>
      <c r="GD455" s="27" t="s">
        <v>7</v>
      </c>
      <c r="GI455" s="27" t="s">
        <v>8</v>
      </c>
      <c r="GJ455" s="27" t="s">
        <v>7</v>
      </c>
      <c r="GK455" s="27" t="s">
        <v>8</v>
      </c>
      <c r="GL455" s="27" t="s">
        <v>7</v>
      </c>
      <c r="GM455" s="27" t="s">
        <v>8</v>
      </c>
      <c r="GN455" s="27" t="s">
        <v>7</v>
      </c>
      <c r="JQ455" s="27" t="s">
        <v>8</v>
      </c>
      <c r="JR455" s="27" t="s">
        <v>7</v>
      </c>
      <c r="JS455" s="27" t="s">
        <v>8</v>
      </c>
      <c r="JZ455" s="27" t="s">
        <v>7</v>
      </c>
      <c r="KA455" s="27" t="s">
        <v>8</v>
      </c>
      <c r="KB455" s="27" t="s">
        <v>7</v>
      </c>
      <c r="KE455" s="27" t="s">
        <v>8</v>
      </c>
      <c r="KF455" s="27" t="s">
        <v>7</v>
      </c>
      <c r="KI455" s="27" t="s">
        <v>8</v>
      </c>
      <c r="KJ455" s="27" t="s">
        <v>7</v>
      </c>
      <c r="KK455" s="27" t="s">
        <v>8</v>
      </c>
      <c r="KL455" s="27" t="s">
        <v>7</v>
      </c>
      <c r="KM455" s="27" t="s">
        <v>8</v>
      </c>
      <c r="KN455" s="27" t="s">
        <v>7</v>
      </c>
      <c r="KP455" s="27" t="s">
        <v>7</v>
      </c>
      <c r="KQ455" s="27" t="s">
        <v>8</v>
      </c>
      <c r="LB455" s="27" t="s">
        <v>7</v>
      </c>
      <c r="LC455" s="27" t="s">
        <v>8</v>
      </c>
      <c r="LD455" s="27" t="s">
        <v>7</v>
      </c>
      <c r="LF455" s="27" t="s">
        <v>7</v>
      </c>
      <c r="LH455" s="27" t="s">
        <v>7</v>
      </c>
      <c r="LI455" s="27" t="s">
        <v>8</v>
      </c>
      <c r="LP455" s="27" t="s">
        <v>7</v>
      </c>
      <c r="LQ455" s="27" t="s">
        <v>8</v>
      </c>
      <c r="LR455" s="27" t="s">
        <v>7</v>
      </c>
      <c r="LS455" s="27" t="s">
        <v>8</v>
      </c>
      <c r="LT455" s="27" t="s">
        <v>7</v>
      </c>
    </row>
    <row r="456" spans="1:381" x14ac:dyDescent="0.25">
      <c r="A456" s="7">
        <v>13.385127142406303</v>
      </c>
      <c r="B456"/>
      <c r="C456"/>
      <c r="D456"/>
      <c r="E456"/>
      <c r="FY456" s="27" t="s">
        <v>8</v>
      </c>
      <c r="FZ456" s="27" t="s">
        <v>7</v>
      </c>
      <c r="GA456" s="27" t="s">
        <v>8</v>
      </c>
      <c r="GB456" s="27" t="s">
        <v>7</v>
      </c>
      <c r="GC456" s="27" t="s">
        <v>8</v>
      </c>
      <c r="GD456" s="27" t="s">
        <v>7</v>
      </c>
      <c r="GI456" s="27" t="s">
        <v>8</v>
      </c>
      <c r="GJ456" s="27" t="s">
        <v>7</v>
      </c>
      <c r="GK456" s="27" t="s">
        <v>8</v>
      </c>
      <c r="GL456" s="27" t="s">
        <v>7</v>
      </c>
      <c r="GM456" s="27" t="s">
        <v>8</v>
      </c>
      <c r="GN456" s="27" t="s">
        <v>7</v>
      </c>
      <c r="JQ456" s="27" t="s">
        <v>8</v>
      </c>
      <c r="JR456" s="27" t="s">
        <v>7</v>
      </c>
      <c r="JS456" s="27" t="s">
        <v>8</v>
      </c>
      <c r="JZ456" s="27" t="s">
        <v>7</v>
      </c>
      <c r="KA456" s="27" t="s">
        <v>8</v>
      </c>
      <c r="KB456" s="27" t="s">
        <v>7</v>
      </c>
      <c r="KC456" s="27" t="s">
        <v>8</v>
      </c>
      <c r="KE456" s="27" t="s">
        <v>8</v>
      </c>
      <c r="KF456" s="27" t="s">
        <v>7</v>
      </c>
      <c r="KI456" s="27" t="s">
        <v>8</v>
      </c>
      <c r="KJ456" s="27" t="s">
        <v>7</v>
      </c>
      <c r="KK456" s="27" t="s">
        <v>8</v>
      </c>
      <c r="KL456" s="27" t="s">
        <v>7</v>
      </c>
      <c r="KM456" s="27" t="s">
        <v>8</v>
      </c>
      <c r="KP456" s="27" t="s">
        <v>7</v>
      </c>
      <c r="KQ456" s="27" t="s">
        <v>8</v>
      </c>
      <c r="LB456" s="27" t="s">
        <v>7</v>
      </c>
      <c r="LC456" s="27" t="s">
        <v>8</v>
      </c>
      <c r="LH456" s="27" t="s">
        <v>7</v>
      </c>
      <c r="LI456" s="27" t="s">
        <v>8</v>
      </c>
      <c r="LP456" s="27" t="s">
        <v>7</v>
      </c>
      <c r="LR456" s="27" t="s">
        <v>7</v>
      </c>
      <c r="LS456" s="27" t="s">
        <v>8</v>
      </c>
      <c r="LT456" s="27" t="s">
        <v>7</v>
      </c>
    </row>
    <row r="457" spans="1:381" x14ac:dyDescent="0.25">
      <c r="A457" s="7">
        <v>13.122673669025787</v>
      </c>
      <c r="B457"/>
      <c r="C457"/>
      <c r="D457"/>
      <c r="E457"/>
      <c r="FY457" s="27" t="s">
        <v>8</v>
      </c>
      <c r="FZ457" s="27" t="s">
        <v>7</v>
      </c>
      <c r="GA457" s="27" t="s">
        <v>8</v>
      </c>
      <c r="GB457" s="27" t="s">
        <v>7</v>
      </c>
      <c r="GD457" s="27" t="s">
        <v>7</v>
      </c>
      <c r="GI457" s="27" t="s">
        <v>8</v>
      </c>
      <c r="GJ457" s="27" t="s">
        <v>7</v>
      </c>
      <c r="GK457" s="27" t="s">
        <v>8</v>
      </c>
      <c r="GL457" s="27" t="s">
        <v>7</v>
      </c>
      <c r="GM457" s="27" t="s">
        <v>8</v>
      </c>
      <c r="GN457" s="27" t="s">
        <v>7</v>
      </c>
      <c r="JO457" s="27" t="s">
        <v>8</v>
      </c>
      <c r="JQ457" s="27" t="s">
        <v>8</v>
      </c>
      <c r="JR457" s="27" t="s">
        <v>7</v>
      </c>
      <c r="JS457" s="27" t="s">
        <v>8</v>
      </c>
      <c r="JZ457" s="27" t="s">
        <v>7</v>
      </c>
      <c r="KA457" s="27" t="s">
        <v>8</v>
      </c>
      <c r="KB457" s="27" t="s">
        <v>7</v>
      </c>
      <c r="KC457" s="27" t="s">
        <v>8</v>
      </c>
      <c r="KD457" s="27" t="s">
        <v>7</v>
      </c>
      <c r="KE457" s="27" t="s">
        <v>8</v>
      </c>
      <c r="KF457" s="27" t="s">
        <v>7</v>
      </c>
      <c r="KI457" s="27" t="s">
        <v>8</v>
      </c>
      <c r="KJ457" s="27" t="s">
        <v>7</v>
      </c>
      <c r="KK457" s="27" t="s">
        <v>8</v>
      </c>
      <c r="KL457" s="27" t="s">
        <v>7</v>
      </c>
      <c r="KM457" s="27" t="s">
        <v>8</v>
      </c>
      <c r="KP457" s="27" t="s">
        <v>7</v>
      </c>
      <c r="KQ457" s="27" t="s">
        <v>8</v>
      </c>
      <c r="LB457" s="27" t="s">
        <v>7</v>
      </c>
      <c r="LC457" s="27" t="s">
        <v>8</v>
      </c>
      <c r="LH457" s="27" t="s">
        <v>7</v>
      </c>
      <c r="LI457" s="27" t="s">
        <v>8</v>
      </c>
      <c r="LR457" s="27" t="s">
        <v>7</v>
      </c>
      <c r="LS457" s="27" t="s">
        <v>8</v>
      </c>
      <c r="LT457" s="27" t="s">
        <v>7</v>
      </c>
    </row>
    <row r="458" spans="1:381" x14ac:dyDescent="0.25">
      <c r="A458" s="7">
        <v>12.865366342182144</v>
      </c>
      <c r="B458"/>
      <c r="C458"/>
      <c r="D458"/>
      <c r="E458"/>
      <c r="FY458" s="27" t="s">
        <v>8</v>
      </c>
      <c r="FZ458" s="27" t="s">
        <v>7</v>
      </c>
      <c r="GA458" s="27" t="s">
        <v>8</v>
      </c>
      <c r="GD458" s="27" t="s">
        <v>7</v>
      </c>
      <c r="GE458" s="27" t="s">
        <v>8</v>
      </c>
      <c r="GI458" s="27" t="s">
        <v>8</v>
      </c>
      <c r="GJ458" s="27" t="s">
        <v>7</v>
      </c>
      <c r="GK458" s="27" t="s">
        <v>8</v>
      </c>
      <c r="GL458" s="27" t="s">
        <v>7</v>
      </c>
      <c r="GN458" s="27" t="s">
        <v>7</v>
      </c>
      <c r="JM458" s="27" t="s">
        <v>8</v>
      </c>
      <c r="JO458" s="27" t="s">
        <v>8</v>
      </c>
      <c r="JP458" s="27" t="s">
        <v>7</v>
      </c>
      <c r="JQ458" s="27" t="s">
        <v>8</v>
      </c>
      <c r="JR458" s="27" t="s">
        <v>7</v>
      </c>
      <c r="JS458" s="27" t="s">
        <v>8</v>
      </c>
      <c r="JZ458" s="27" t="s">
        <v>7</v>
      </c>
      <c r="KA458" s="27" t="s">
        <v>8</v>
      </c>
      <c r="KB458" s="27" t="s">
        <v>7</v>
      </c>
      <c r="KC458" s="27" t="s">
        <v>8</v>
      </c>
      <c r="KD458" s="27" t="s">
        <v>7</v>
      </c>
      <c r="KE458" s="27" t="s">
        <v>8</v>
      </c>
      <c r="KF458" s="27" t="s">
        <v>7</v>
      </c>
      <c r="KG458" s="27" t="s">
        <v>8</v>
      </c>
      <c r="KI458" s="27" t="s">
        <v>8</v>
      </c>
      <c r="KJ458" s="27" t="s">
        <v>7</v>
      </c>
      <c r="KL458" s="27" t="s">
        <v>7</v>
      </c>
      <c r="KM458" s="27" t="s">
        <v>8</v>
      </c>
      <c r="KP458" s="27" t="s">
        <v>7</v>
      </c>
      <c r="KQ458" s="27" t="s">
        <v>8</v>
      </c>
      <c r="LB458" s="27" t="s">
        <v>7</v>
      </c>
      <c r="LC458" s="27" t="s">
        <v>8</v>
      </c>
      <c r="LH458" s="27" t="s">
        <v>7</v>
      </c>
      <c r="LI458" s="27" t="s">
        <v>8</v>
      </c>
      <c r="LR458" s="27" t="s">
        <v>7</v>
      </c>
      <c r="LS458" s="27" t="s">
        <v>8</v>
      </c>
      <c r="LT458" s="27" t="s">
        <v>7</v>
      </c>
    </row>
    <row r="459" spans="1:381" x14ac:dyDescent="0.25">
      <c r="A459" s="7">
        <v>12.613104257041318</v>
      </c>
      <c r="B459"/>
      <c r="C459"/>
      <c r="D459"/>
      <c r="E459"/>
      <c r="FY459" s="27" t="s">
        <v>8</v>
      </c>
      <c r="FZ459" s="27" t="s">
        <v>7</v>
      </c>
      <c r="GA459" s="27" t="s">
        <v>8</v>
      </c>
      <c r="GD459" s="27" t="s">
        <v>7</v>
      </c>
      <c r="GE459" s="27" t="s">
        <v>8</v>
      </c>
      <c r="GF459" s="27" t="s">
        <v>7</v>
      </c>
      <c r="GI459" s="27" t="s">
        <v>8</v>
      </c>
      <c r="GJ459" s="27" t="s">
        <v>7</v>
      </c>
      <c r="GK459" s="27" t="s">
        <v>8</v>
      </c>
      <c r="GN459" s="27" t="s">
        <v>7</v>
      </c>
      <c r="JM459" s="27" t="s">
        <v>8</v>
      </c>
      <c r="JN459" s="27" t="s">
        <v>7</v>
      </c>
      <c r="JO459" s="27" t="s">
        <v>8</v>
      </c>
      <c r="JP459" s="27" t="s">
        <v>7</v>
      </c>
      <c r="JQ459" s="27" t="s">
        <v>8</v>
      </c>
      <c r="JR459" s="27" t="s">
        <v>7</v>
      </c>
      <c r="JS459" s="27" t="s">
        <v>8</v>
      </c>
      <c r="JZ459" s="27" t="s">
        <v>7</v>
      </c>
      <c r="KA459" s="27" t="s">
        <v>8</v>
      </c>
      <c r="KB459" s="27" t="s">
        <v>7</v>
      </c>
      <c r="KC459" s="27" t="s">
        <v>8</v>
      </c>
      <c r="KD459" s="27" t="s">
        <v>7</v>
      </c>
      <c r="KE459" s="27" t="s">
        <v>8</v>
      </c>
      <c r="KF459" s="27" t="s">
        <v>7</v>
      </c>
      <c r="KG459" s="27" t="s">
        <v>8</v>
      </c>
      <c r="KH459" s="27" t="s">
        <v>7</v>
      </c>
      <c r="KI459" s="27" t="s">
        <v>8</v>
      </c>
      <c r="KL459" s="27" t="s">
        <v>7</v>
      </c>
      <c r="KM459" s="27" t="s">
        <v>8</v>
      </c>
      <c r="KP459" s="27" t="s">
        <v>7</v>
      </c>
      <c r="KQ459" s="27" t="s">
        <v>8</v>
      </c>
      <c r="LB459" s="27" t="s">
        <v>7</v>
      </c>
      <c r="LC459" s="27" t="s">
        <v>8</v>
      </c>
      <c r="LH459" s="27" t="s">
        <v>7</v>
      </c>
      <c r="LR459" s="27" t="s">
        <v>7</v>
      </c>
      <c r="LS459" s="27" t="s">
        <v>8</v>
      </c>
      <c r="LT459" s="27" t="s">
        <v>7</v>
      </c>
    </row>
    <row r="460" spans="1:381" x14ac:dyDescent="0.25">
      <c r="A460" s="7">
        <v>12.36578848729541</v>
      </c>
      <c r="B460"/>
      <c r="C460"/>
      <c r="D460"/>
      <c r="E460"/>
      <c r="FY460" s="27" t="s">
        <v>8</v>
      </c>
      <c r="FZ460" s="27" t="s">
        <v>7</v>
      </c>
      <c r="GA460" s="27" t="s">
        <v>8</v>
      </c>
      <c r="GD460" s="27" t="s">
        <v>7</v>
      </c>
      <c r="GE460" s="27" t="s">
        <v>8</v>
      </c>
      <c r="GF460" s="27" t="s">
        <v>7</v>
      </c>
      <c r="GG460" s="27" t="s">
        <v>8</v>
      </c>
      <c r="GI460" s="27" t="s">
        <v>8</v>
      </c>
      <c r="GJ460" s="27" t="s">
        <v>7</v>
      </c>
      <c r="GK460" s="27" t="s">
        <v>8</v>
      </c>
      <c r="GN460" s="27" t="s">
        <v>7</v>
      </c>
      <c r="JM460" s="27" t="s">
        <v>8</v>
      </c>
      <c r="JN460" s="27" t="s">
        <v>7</v>
      </c>
      <c r="JO460" s="27" t="s">
        <v>8</v>
      </c>
      <c r="JP460" s="27" t="s">
        <v>7</v>
      </c>
      <c r="JQ460" s="27" t="s">
        <v>8</v>
      </c>
      <c r="JR460" s="27" t="s">
        <v>7</v>
      </c>
      <c r="JS460" s="27" t="s">
        <v>8</v>
      </c>
      <c r="JZ460" s="27" t="s">
        <v>7</v>
      </c>
      <c r="KA460" s="27" t="s">
        <v>8</v>
      </c>
      <c r="KB460" s="27" t="s">
        <v>7</v>
      </c>
      <c r="KC460" s="27" t="s">
        <v>8</v>
      </c>
      <c r="KD460" s="27" t="s">
        <v>7</v>
      </c>
      <c r="KE460" s="27" t="s">
        <v>8</v>
      </c>
      <c r="KF460" s="27" t="s">
        <v>7</v>
      </c>
      <c r="KG460" s="27" t="s">
        <v>8</v>
      </c>
      <c r="KH460" s="27" t="s">
        <v>7</v>
      </c>
      <c r="KI460" s="27" t="s">
        <v>8</v>
      </c>
      <c r="KL460" s="27" t="s">
        <v>7</v>
      </c>
      <c r="KM460" s="27" t="s">
        <v>8</v>
      </c>
      <c r="KP460" s="27" t="s">
        <v>7</v>
      </c>
      <c r="KQ460" s="27" t="s">
        <v>8</v>
      </c>
      <c r="LB460" s="27" t="s">
        <v>7</v>
      </c>
      <c r="LC460" s="27" t="s">
        <v>8</v>
      </c>
      <c r="LR460" s="27" t="s">
        <v>7</v>
      </c>
      <c r="LS460" s="27" t="s">
        <v>8</v>
      </c>
      <c r="LT460" s="27" t="s">
        <v>7</v>
      </c>
    </row>
    <row r="461" spans="1:381" x14ac:dyDescent="0.25">
      <c r="A461" s="7">
        <v>12.123322046368049</v>
      </c>
      <c r="B461"/>
      <c r="C461"/>
      <c r="D461"/>
      <c r="E461"/>
      <c r="FY461" s="27" t="s">
        <v>8</v>
      </c>
      <c r="FZ461" s="27" t="s">
        <v>7</v>
      </c>
      <c r="GA461" s="27" t="s">
        <v>8</v>
      </c>
      <c r="GD461" s="27" t="s">
        <v>7</v>
      </c>
      <c r="GE461" s="27" t="s">
        <v>8</v>
      </c>
      <c r="GF461" s="27" t="s">
        <v>7</v>
      </c>
      <c r="GG461" s="27" t="s">
        <v>8</v>
      </c>
      <c r="GH461" s="27" t="s">
        <v>7</v>
      </c>
      <c r="GI461" s="27" t="s">
        <v>8</v>
      </c>
      <c r="GJ461" s="27" t="s">
        <v>7</v>
      </c>
      <c r="GN461" s="27" t="s">
        <v>7</v>
      </c>
      <c r="JM461" s="27" t="s">
        <v>8</v>
      </c>
      <c r="JN461" s="27" t="s">
        <v>7</v>
      </c>
      <c r="JO461" s="27" t="s">
        <v>8</v>
      </c>
      <c r="JP461" s="27" t="s">
        <v>7</v>
      </c>
      <c r="JQ461" s="27" t="s">
        <v>8</v>
      </c>
      <c r="JR461" s="27" t="s">
        <v>7</v>
      </c>
      <c r="JZ461" s="27" t="s">
        <v>7</v>
      </c>
      <c r="KA461" s="27" t="s">
        <v>8</v>
      </c>
      <c r="KB461" s="27" t="s">
        <v>7</v>
      </c>
      <c r="KC461" s="27" t="s">
        <v>8</v>
      </c>
      <c r="KD461" s="27" t="s">
        <v>7</v>
      </c>
      <c r="KE461" s="27" t="s">
        <v>8</v>
      </c>
      <c r="KF461" s="27" t="s">
        <v>7</v>
      </c>
      <c r="KH461" s="27" t="s">
        <v>7</v>
      </c>
      <c r="KL461" s="27" t="s">
        <v>7</v>
      </c>
      <c r="KP461" s="27" t="s">
        <v>7</v>
      </c>
      <c r="KQ461" s="27" t="s">
        <v>8</v>
      </c>
      <c r="LB461" s="27" t="s">
        <v>7</v>
      </c>
      <c r="LC461" s="27" t="s">
        <v>8</v>
      </c>
      <c r="LR461" s="27" t="s">
        <v>7</v>
      </c>
      <c r="LT461" s="27" t="s">
        <v>7</v>
      </c>
    </row>
    <row r="462" spans="1:381" x14ac:dyDescent="0.25">
      <c r="A462" s="7">
        <v>11.88560984938044</v>
      </c>
      <c r="B462"/>
      <c r="C462"/>
      <c r="D462"/>
      <c r="E462"/>
      <c r="FY462" s="27" t="s">
        <v>8</v>
      </c>
      <c r="FZ462" s="27" t="s">
        <v>7</v>
      </c>
      <c r="GA462" s="27" t="s">
        <v>8</v>
      </c>
      <c r="GD462" s="27" t="s">
        <v>7</v>
      </c>
      <c r="GE462" s="27" t="s">
        <v>8</v>
      </c>
      <c r="GF462" s="27" t="s">
        <v>7</v>
      </c>
      <c r="GG462" s="27" t="s">
        <v>8</v>
      </c>
      <c r="GH462" s="27" t="s">
        <v>7</v>
      </c>
      <c r="GI462" s="27" t="s">
        <v>8</v>
      </c>
      <c r="GN462" s="27" t="s">
        <v>7</v>
      </c>
      <c r="JM462" s="27" t="s">
        <v>8</v>
      </c>
      <c r="JN462" s="27" t="s">
        <v>7</v>
      </c>
      <c r="JO462" s="27" t="s">
        <v>8</v>
      </c>
      <c r="JP462" s="27" t="s">
        <v>7</v>
      </c>
      <c r="JQ462" s="27" t="s">
        <v>8</v>
      </c>
      <c r="JZ462" s="27" t="s">
        <v>7</v>
      </c>
      <c r="KA462" s="27" t="s">
        <v>8</v>
      </c>
      <c r="KB462" s="27" t="s">
        <v>7</v>
      </c>
      <c r="KC462" s="27" t="s">
        <v>8</v>
      </c>
      <c r="KD462" s="27" t="s">
        <v>7</v>
      </c>
      <c r="KE462" s="27" t="s">
        <v>8</v>
      </c>
      <c r="KP462" s="27" t="s">
        <v>7</v>
      </c>
      <c r="KQ462" s="27" t="s">
        <v>8</v>
      </c>
      <c r="LB462" s="27" t="s">
        <v>7</v>
      </c>
      <c r="LC462" s="27" t="s">
        <v>8</v>
      </c>
      <c r="LT462" s="27" t="s">
        <v>7</v>
      </c>
    </row>
    <row r="463" spans="1:381" x14ac:dyDescent="0.25">
      <c r="A463" s="7">
        <v>11.652558675863176</v>
      </c>
      <c r="B463"/>
      <c r="C463"/>
      <c r="D463"/>
      <c r="E463"/>
      <c r="FY463" s="27" t="s">
        <v>8</v>
      </c>
      <c r="FZ463" s="27" t="s">
        <v>7</v>
      </c>
      <c r="GA463" s="27" t="s">
        <v>8</v>
      </c>
      <c r="GD463" s="27" t="s">
        <v>7</v>
      </c>
      <c r="GF463" s="27" t="s">
        <v>7</v>
      </c>
      <c r="GG463" s="27" t="s">
        <v>8</v>
      </c>
      <c r="GH463" s="27" t="s">
        <v>7</v>
      </c>
      <c r="GI463" s="27" t="s">
        <v>8</v>
      </c>
      <c r="GN463" s="27" t="s">
        <v>7</v>
      </c>
      <c r="JM463" s="27" t="s">
        <v>8</v>
      </c>
      <c r="JN463" s="27" t="s">
        <v>7</v>
      </c>
      <c r="JO463" s="27" t="s">
        <v>8</v>
      </c>
      <c r="JP463" s="27" t="s">
        <v>7</v>
      </c>
      <c r="JQ463" s="27" t="s">
        <v>8</v>
      </c>
      <c r="JZ463" s="27" t="s">
        <v>7</v>
      </c>
      <c r="KA463" s="27" t="s">
        <v>8</v>
      </c>
      <c r="KB463" s="27" t="s">
        <v>7</v>
      </c>
      <c r="KC463" s="27" t="s">
        <v>8</v>
      </c>
      <c r="KD463" s="27" t="s">
        <v>7</v>
      </c>
      <c r="KE463" s="27" t="s">
        <v>8</v>
      </c>
      <c r="KP463" s="27" t="s">
        <v>7</v>
      </c>
      <c r="KQ463" s="27" t="s">
        <v>8</v>
      </c>
      <c r="LB463" s="27" t="s">
        <v>7</v>
      </c>
      <c r="LC463" s="27" t="s">
        <v>8</v>
      </c>
      <c r="LT463" s="27" t="s">
        <v>7</v>
      </c>
    </row>
    <row r="464" spans="1:381" x14ac:dyDescent="0.25">
      <c r="A464" s="7">
        <v>11.424077133199193</v>
      </c>
      <c r="B464"/>
      <c r="C464"/>
      <c r="D464"/>
      <c r="E464"/>
      <c r="FY464" s="27" t="s">
        <v>8</v>
      </c>
      <c r="FZ464" s="27" t="s">
        <v>7</v>
      </c>
      <c r="GF464" s="27" t="s">
        <v>7</v>
      </c>
      <c r="GG464" s="27" t="s">
        <v>8</v>
      </c>
      <c r="GH464" s="27" t="s">
        <v>7</v>
      </c>
      <c r="GI464" s="27" t="s">
        <v>8</v>
      </c>
      <c r="GN464" s="27" t="s">
        <v>7</v>
      </c>
      <c r="IY464" s="27" t="s">
        <v>8</v>
      </c>
      <c r="JC464" s="27" t="s">
        <v>8</v>
      </c>
      <c r="JM464" s="27" t="s">
        <v>8</v>
      </c>
      <c r="JN464" s="27" t="s">
        <v>7</v>
      </c>
      <c r="JO464" s="27" t="s">
        <v>8</v>
      </c>
      <c r="JP464" s="27" t="s">
        <v>7</v>
      </c>
      <c r="JQ464" s="27" t="s">
        <v>8</v>
      </c>
      <c r="JZ464" s="27" t="s">
        <v>7</v>
      </c>
      <c r="KA464" s="27" t="s">
        <v>8</v>
      </c>
      <c r="KB464" s="27" t="s">
        <v>7</v>
      </c>
      <c r="KC464" s="27" t="s">
        <v>8</v>
      </c>
      <c r="KD464" s="27" t="s">
        <v>7</v>
      </c>
      <c r="KE464" s="27" t="s">
        <v>8</v>
      </c>
      <c r="KP464" s="27" t="s">
        <v>7</v>
      </c>
      <c r="LB464" s="27" t="s">
        <v>7</v>
      </c>
      <c r="LC464" s="27" t="s">
        <v>8</v>
      </c>
      <c r="LT464" s="27" t="s">
        <v>7</v>
      </c>
      <c r="NQ464" s="27" t="s">
        <v>8</v>
      </c>
    </row>
    <row r="465" spans="1:430" x14ac:dyDescent="0.25">
      <c r="A465" s="7">
        <v>11.200075620783522</v>
      </c>
      <c r="B465"/>
      <c r="C465"/>
      <c r="D465"/>
      <c r="E465"/>
      <c r="FY465" s="27" t="s">
        <v>8</v>
      </c>
      <c r="GF465" s="27" t="s">
        <v>7</v>
      </c>
      <c r="GG465" s="27" t="s">
        <v>8</v>
      </c>
      <c r="GH465" s="27" t="s">
        <v>7</v>
      </c>
      <c r="GI465" s="27" t="s">
        <v>8</v>
      </c>
      <c r="GN465" s="27" t="s">
        <v>7</v>
      </c>
      <c r="IY465" s="27" t="s">
        <v>8</v>
      </c>
      <c r="IZ465" s="27" t="s">
        <v>7</v>
      </c>
      <c r="JC465" s="27" t="s">
        <v>8</v>
      </c>
      <c r="JD465" s="27" t="s">
        <v>7</v>
      </c>
      <c r="JM465" s="27" t="s">
        <v>8</v>
      </c>
      <c r="JN465" s="27" t="s">
        <v>7</v>
      </c>
      <c r="JO465" s="27" t="s">
        <v>8</v>
      </c>
      <c r="JP465" s="27" t="s">
        <v>7</v>
      </c>
      <c r="JQ465" s="27" t="s">
        <v>8</v>
      </c>
      <c r="JZ465" s="27" t="s">
        <v>7</v>
      </c>
      <c r="KA465" s="27" t="s">
        <v>8</v>
      </c>
      <c r="KB465" s="27" t="s">
        <v>7</v>
      </c>
      <c r="KD465" s="27" t="s">
        <v>7</v>
      </c>
      <c r="KE465" s="27" t="s">
        <v>8</v>
      </c>
      <c r="LB465" s="27" t="s">
        <v>7</v>
      </c>
      <c r="LT465" s="27" t="s">
        <v>7</v>
      </c>
      <c r="NQ465" s="27" t="s">
        <v>8</v>
      </c>
      <c r="NR465" s="27" t="s">
        <v>7</v>
      </c>
    </row>
    <row r="466" spans="1:430" x14ac:dyDescent="0.25">
      <c r="A466" s="7">
        <v>10.980466294885806</v>
      </c>
      <c r="B466"/>
      <c r="C466"/>
      <c r="D466"/>
      <c r="E466"/>
      <c r="FY466" s="27" t="s">
        <v>8</v>
      </c>
      <c r="GF466" s="27" t="s">
        <v>7</v>
      </c>
      <c r="GG466" s="27" t="s">
        <v>8</v>
      </c>
      <c r="GH466" s="27" t="s">
        <v>7</v>
      </c>
      <c r="GI466" s="27" t="s">
        <v>8</v>
      </c>
      <c r="GN466" s="27" t="s">
        <v>7</v>
      </c>
      <c r="IY466" s="27" t="s">
        <v>8</v>
      </c>
      <c r="IZ466" s="27" t="s">
        <v>7</v>
      </c>
      <c r="JC466" s="27" t="s">
        <v>8</v>
      </c>
      <c r="JD466" s="27" t="s">
        <v>7</v>
      </c>
      <c r="JM466" s="27" t="s">
        <v>8</v>
      </c>
      <c r="JN466" s="27" t="s">
        <v>7</v>
      </c>
      <c r="JO466" s="27" t="s">
        <v>8</v>
      </c>
      <c r="JP466" s="27" t="s">
        <v>7</v>
      </c>
      <c r="JQ466" s="27" t="s">
        <v>8</v>
      </c>
      <c r="JZ466" s="27" t="s">
        <v>7</v>
      </c>
      <c r="KD466" s="27" t="s">
        <v>7</v>
      </c>
      <c r="LT466" s="27" t="s">
        <v>7</v>
      </c>
      <c r="NQ466" s="27" t="s">
        <v>8</v>
      </c>
      <c r="NR466" s="27" t="s">
        <v>7</v>
      </c>
    </row>
    <row r="467" spans="1:430" x14ac:dyDescent="0.25">
      <c r="A467" s="7">
        <v>10.765163034201771</v>
      </c>
      <c r="B467"/>
      <c r="C467"/>
      <c r="D467"/>
      <c r="E467"/>
      <c r="FY467" s="27" t="s">
        <v>8</v>
      </c>
      <c r="GF467" s="27" t="s">
        <v>7</v>
      </c>
      <c r="GG467" s="27" t="s">
        <v>8</v>
      </c>
      <c r="GH467" s="27" t="s">
        <v>7</v>
      </c>
      <c r="GI467" s="27" t="s">
        <v>8</v>
      </c>
      <c r="GN467" s="27" t="s">
        <v>7</v>
      </c>
      <c r="IY467" s="27" t="s">
        <v>8</v>
      </c>
      <c r="IZ467" s="27" t="s">
        <v>7</v>
      </c>
      <c r="JC467" s="27" t="s">
        <v>8</v>
      </c>
      <c r="JD467" s="27" t="s">
        <v>7</v>
      </c>
      <c r="JE467" s="27" t="s">
        <v>8</v>
      </c>
      <c r="JM467" s="27" t="s">
        <v>8</v>
      </c>
      <c r="JN467" s="27" t="s">
        <v>7</v>
      </c>
      <c r="JP467" s="27" t="s">
        <v>7</v>
      </c>
      <c r="JQ467" s="27" t="s">
        <v>8</v>
      </c>
      <c r="LT467" s="27" t="s">
        <v>7</v>
      </c>
      <c r="LU467" s="27" t="s">
        <v>8</v>
      </c>
      <c r="NQ467" s="27" t="s">
        <v>8</v>
      </c>
      <c r="NR467" s="27" t="s">
        <v>7</v>
      </c>
    </row>
    <row r="468" spans="1:430" x14ac:dyDescent="0.25">
      <c r="A468" s="7">
        <v>10.554081406080169</v>
      </c>
      <c r="B468"/>
      <c r="C468"/>
      <c r="D468"/>
      <c r="E468"/>
      <c r="FY468" s="27" t="s">
        <v>8</v>
      </c>
      <c r="GF468" s="27" t="s">
        <v>7</v>
      </c>
      <c r="GG468" s="27" t="s">
        <v>8</v>
      </c>
      <c r="GH468" s="27" t="s">
        <v>7</v>
      </c>
      <c r="GI468" s="27" t="s">
        <v>8</v>
      </c>
      <c r="GN468" s="27" t="s">
        <v>7</v>
      </c>
      <c r="IY468" s="27" t="s">
        <v>8</v>
      </c>
      <c r="IZ468" s="27" t="s">
        <v>7</v>
      </c>
      <c r="JC468" s="27" t="s">
        <v>8</v>
      </c>
      <c r="JD468" s="27" t="s">
        <v>7</v>
      </c>
      <c r="JE468" s="27" t="s">
        <v>8</v>
      </c>
      <c r="JF468" s="27" t="s">
        <v>7</v>
      </c>
      <c r="JM468" s="27" t="s">
        <v>8</v>
      </c>
      <c r="JP468" s="27" t="s">
        <v>7</v>
      </c>
      <c r="JQ468" s="27" t="s">
        <v>8</v>
      </c>
      <c r="LT468" s="27" t="s">
        <v>7</v>
      </c>
      <c r="LU468" s="27" t="s">
        <v>8</v>
      </c>
      <c r="LV468" s="27" t="s">
        <v>7</v>
      </c>
      <c r="NQ468" s="27" t="s">
        <v>8</v>
      </c>
      <c r="NR468" s="27" t="s">
        <v>7</v>
      </c>
    </row>
    <row r="469" spans="1:430" x14ac:dyDescent="0.25">
      <c r="A469" s="7">
        <v>10.34713863341193</v>
      </c>
      <c r="B469"/>
      <c r="C469"/>
      <c r="D469"/>
      <c r="E469"/>
      <c r="FY469" s="27" t="s">
        <v>8</v>
      </c>
      <c r="GF469" s="27" t="s">
        <v>7</v>
      </c>
      <c r="GG469" s="27" t="s">
        <v>8</v>
      </c>
      <c r="GH469" s="27" t="s">
        <v>7</v>
      </c>
      <c r="GN469" s="27" t="s">
        <v>7</v>
      </c>
      <c r="IY469" s="27" t="s">
        <v>8</v>
      </c>
      <c r="IZ469" s="27" t="s">
        <v>7</v>
      </c>
      <c r="JC469" s="27" t="s">
        <v>8</v>
      </c>
      <c r="JD469" s="27" t="s">
        <v>7</v>
      </c>
      <c r="JE469" s="27" t="s">
        <v>8</v>
      </c>
      <c r="JF469" s="27" t="s">
        <v>7</v>
      </c>
      <c r="JI469" s="27" t="s">
        <v>8</v>
      </c>
      <c r="JM469" s="27" t="s">
        <v>8</v>
      </c>
      <c r="JP469" s="27" t="s">
        <v>7</v>
      </c>
      <c r="LT469" s="27" t="s">
        <v>7</v>
      </c>
      <c r="LU469" s="27" t="s">
        <v>8</v>
      </c>
      <c r="LV469" s="27" t="s">
        <v>7</v>
      </c>
      <c r="NQ469" s="27" t="s">
        <v>8</v>
      </c>
      <c r="NR469" s="27" t="s">
        <v>7</v>
      </c>
      <c r="OW469" s="27" t="s">
        <v>8</v>
      </c>
    </row>
    <row r="470" spans="1:430" x14ac:dyDescent="0.25">
      <c r="A470" s="7">
        <v>10.14425356216856</v>
      </c>
      <c r="B470"/>
      <c r="C470"/>
      <c r="D470"/>
      <c r="E470"/>
      <c r="FY470" s="27" t="s">
        <v>8</v>
      </c>
      <c r="GF470" s="27" t="s">
        <v>7</v>
      </c>
      <c r="GG470" s="27" t="s">
        <v>8</v>
      </c>
      <c r="GN470" s="27" t="s">
        <v>7</v>
      </c>
      <c r="IY470" s="27" t="s">
        <v>8</v>
      </c>
      <c r="IZ470" s="27" t="s">
        <v>7</v>
      </c>
      <c r="JC470" s="27" t="s">
        <v>8</v>
      </c>
      <c r="JD470" s="27" t="s">
        <v>7</v>
      </c>
      <c r="JE470" s="27" t="s">
        <v>8</v>
      </c>
      <c r="JF470" s="27" t="s">
        <v>7</v>
      </c>
      <c r="JG470" s="27" t="s">
        <v>8</v>
      </c>
      <c r="JI470" s="27" t="s">
        <v>8</v>
      </c>
      <c r="JJ470" s="27" t="s">
        <v>7</v>
      </c>
      <c r="JM470" s="27" t="s">
        <v>8</v>
      </c>
      <c r="LT470" s="27" t="s">
        <v>7</v>
      </c>
      <c r="LU470" s="27" t="s">
        <v>8</v>
      </c>
      <c r="LV470" s="27" t="s">
        <v>7</v>
      </c>
      <c r="NM470" s="27" t="s">
        <v>8</v>
      </c>
      <c r="NQ470" s="27" t="s">
        <v>8</v>
      </c>
      <c r="NR470" s="27" t="s">
        <v>7</v>
      </c>
      <c r="NW470" s="27" t="s">
        <v>8</v>
      </c>
      <c r="OU470" s="27" t="s">
        <v>8</v>
      </c>
      <c r="OW470" s="27" t="s">
        <v>8</v>
      </c>
      <c r="OX470" s="27" t="s">
        <v>7</v>
      </c>
    </row>
    <row r="471" spans="1:430" x14ac:dyDescent="0.25">
      <c r="A471" s="7">
        <v>9.9453466295770188</v>
      </c>
      <c r="B471"/>
      <c r="C471"/>
      <c r="D471"/>
      <c r="E471"/>
      <c r="FY471" s="27" t="s">
        <v>8</v>
      </c>
      <c r="GF471" s="27" t="s">
        <v>7</v>
      </c>
      <c r="GG471" s="27" t="s">
        <v>8</v>
      </c>
      <c r="GN471" s="27" t="s">
        <v>7</v>
      </c>
      <c r="IY471" s="27" t="s">
        <v>8</v>
      </c>
      <c r="IZ471" s="27" t="s">
        <v>7</v>
      </c>
      <c r="JC471" s="27" t="s">
        <v>8</v>
      </c>
      <c r="JD471" s="27" t="s">
        <v>7</v>
      </c>
      <c r="JE471" s="27" t="s">
        <v>8</v>
      </c>
      <c r="JF471" s="27" t="s">
        <v>7</v>
      </c>
      <c r="JG471" s="27" t="s">
        <v>8</v>
      </c>
      <c r="JH471" s="27" t="s">
        <v>7</v>
      </c>
      <c r="JI471" s="27" t="s">
        <v>8</v>
      </c>
      <c r="JJ471" s="27" t="s">
        <v>7</v>
      </c>
      <c r="JM471" s="27" t="s">
        <v>8</v>
      </c>
      <c r="LT471" s="27" t="s">
        <v>7</v>
      </c>
      <c r="LU471" s="27" t="s">
        <v>8</v>
      </c>
      <c r="LV471" s="27" t="s">
        <v>7</v>
      </c>
      <c r="MA471" s="27" t="s">
        <v>8</v>
      </c>
      <c r="NM471" s="27" t="s">
        <v>8</v>
      </c>
      <c r="NN471" s="27" t="s">
        <v>7</v>
      </c>
      <c r="NQ471" s="27" t="s">
        <v>8</v>
      </c>
      <c r="NR471" s="27" t="s">
        <v>7</v>
      </c>
      <c r="NW471" s="27" t="s">
        <v>8</v>
      </c>
      <c r="NX471" s="27" t="s">
        <v>7</v>
      </c>
      <c r="OQ471" s="27" t="s">
        <v>8</v>
      </c>
      <c r="OU471" s="27" t="s">
        <v>8</v>
      </c>
      <c r="OV471" s="27" t="s">
        <v>7</v>
      </c>
      <c r="OW471" s="27" t="s">
        <v>8</v>
      </c>
      <c r="OX471" s="27" t="s">
        <v>7</v>
      </c>
      <c r="OY471" s="27" t="s">
        <v>8</v>
      </c>
    </row>
    <row r="472" spans="1:430" x14ac:dyDescent="0.25">
      <c r="A472" s="7">
        <v>9.7503398329186464</v>
      </c>
      <c r="B472"/>
      <c r="C472"/>
      <c r="D472"/>
      <c r="E472"/>
      <c r="FY472" s="27" t="s">
        <v>8</v>
      </c>
      <c r="GF472" s="27" t="s">
        <v>7</v>
      </c>
      <c r="GN472" s="27" t="s">
        <v>7</v>
      </c>
      <c r="GO472" s="27" t="s">
        <v>8</v>
      </c>
      <c r="IY472" s="27" t="s">
        <v>8</v>
      </c>
      <c r="IZ472" s="27" t="s">
        <v>7</v>
      </c>
      <c r="JC472" s="27" t="s">
        <v>8</v>
      </c>
      <c r="JD472" s="27" t="s">
        <v>7</v>
      </c>
      <c r="JE472" s="27" t="s">
        <v>8</v>
      </c>
      <c r="JF472" s="27" t="s">
        <v>7</v>
      </c>
      <c r="JG472" s="27" t="s">
        <v>8</v>
      </c>
      <c r="JH472" s="27" t="s">
        <v>7</v>
      </c>
      <c r="JI472" s="27" t="s">
        <v>8</v>
      </c>
      <c r="JJ472" s="27" t="s">
        <v>7</v>
      </c>
      <c r="JM472" s="27" t="s">
        <v>8</v>
      </c>
      <c r="LT472" s="27" t="s">
        <v>7</v>
      </c>
      <c r="LU472" s="27" t="s">
        <v>8</v>
      </c>
      <c r="LV472" s="27" t="s">
        <v>7</v>
      </c>
      <c r="MA472" s="27" t="s">
        <v>8</v>
      </c>
      <c r="MB472" s="27" t="s">
        <v>7</v>
      </c>
      <c r="NM472" s="27" t="s">
        <v>8</v>
      </c>
      <c r="NN472" s="27" t="s">
        <v>7</v>
      </c>
      <c r="NQ472" s="27" t="s">
        <v>8</v>
      </c>
      <c r="NR472" s="27" t="s">
        <v>7</v>
      </c>
      <c r="NW472" s="27" t="s">
        <v>8</v>
      </c>
      <c r="NX472" s="27" t="s">
        <v>7</v>
      </c>
      <c r="OQ472" s="27" t="s">
        <v>8</v>
      </c>
      <c r="OR472" s="27" t="s">
        <v>7</v>
      </c>
      <c r="OU472" s="27" t="s">
        <v>8</v>
      </c>
      <c r="OV472" s="27" t="s">
        <v>7</v>
      </c>
      <c r="OW472" s="27" t="s">
        <v>8</v>
      </c>
      <c r="OX472" s="27" t="s">
        <v>7</v>
      </c>
      <c r="OY472" s="27" t="s">
        <v>8</v>
      </c>
      <c r="OZ472" s="27" t="s">
        <v>7</v>
      </c>
    </row>
    <row r="473" spans="1:430" x14ac:dyDescent="0.25">
      <c r="A473" s="7">
        <v>9.5591566989398498</v>
      </c>
      <c r="B473"/>
      <c r="C473"/>
      <c r="D473"/>
      <c r="E473"/>
      <c r="FY473" s="27" t="s">
        <v>8</v>
      </c>
      <c r="GN473" s="27" t="s">
        <v>7</v>
      </c>
      <c r="GO473" s="27" t="s">
        <v>8</v>
      </c>
      <c r="GP473" s="27" t="s">
        <v>7</v>
      </c>
      <c r="IY473" s="27" t="s">
        <v>8</v>
      </c>
      <c r="IZ473" s="27" t="s">
        <v>7</v>
      </c>
      <c r="JC473" s="27" t="s">
        <v>8</v>
      </c>
      <c r="JD473" s="27" t="s">
        <v>7</v>
      </c>
      <c r="JE473" s="27" t="s">
        <v>8</v>
      </c>
      <c r="JF473" s="27" t="s">
        <v>7</v>
      </c>
      <c r="JG473" s="27" t="s">
        <v>8</v>
      </c>
      <c r="JH473" s="27" t="s">
        <v>7</v>
      </c>
      <c r="JI473" s="27" t="s">
        <v>8</v>
      </c>
      <c r="JJ473" s="27" t="s">
        <v>7</v>
      </c>
      <c r="JM473" s="27" t="s">
        <v>8</v>
      </c>
      <c r="LT473" s="27" t="s">
        <v>7</v>
      </c>
      <c r="LU473" s="27" t="s">
        <v>8</v>
      </c>
      <c r="LV473" s="27" t="s">
        <v>7</v>
      </c>
      <c r="MA473" s="27" t="s">
        <v>8</v>
      </c>
      <c r="MB473" s="27" t="s">
        <v>7</v>
      </c>
      <c r="NM473" s="27" t="s">
        <v>8</v>
      </c>
      <c r="NN473" s="27" t="s">
        <v>7</v>
      </c>
      <c r="NO473" s="27" t="s">
        <v>8</v>
      </c>
      <c r="NQ473" s="27" t="s">
        <v>8</v>
      </c>
      <c r="NR473" s="27" t="s">
        <v>7</v>
      </c>
      <c r="NW473" s="27" t="s">
        <v>8</v>
      </c>
      <c r="NX473" s="27" t="s">
        <v>7</v>
      </c>
      <c r="NY473" s="27" t="s">
        <v>8</v>
      </c>
      <c r="OQ473" s="27" t="s">
        <v>8</v>
      </c>
      <c r="OR473" s="27" t="s">
        <v>7</v>
      </c>
      <c r="OU473" s="27" t="s">
        <v>8</v>
      </c>
      <c r="OV473" s="27" t="s">
        <v>7</v>
      </c>
      <c r="OW473" s="27" t="s">
        <v>8</v>
      </c>
      <c r="OX473" s="27" t="s">
        <v>7</v>
      </c>
      <c r="OY473" s="27" t="s">
        <v>8</v>
      </c>
      <c r="OZ473" s="27" t="s">
        <v>7</v>
      </c>
    </row>
    <row r="474" spans="1:430" x14ac:dyDescent="0.25">
      <c r="A474" s="7">
        <v>9.3717222538625968</v>
      </c>
      <c r="B474"/>
      <c r="C474"/>
      <c r="D474"/>
      <c r="E474"/>
      <c r="FY474" s="27" t="s">
        <v>8</v>
      </c>
      <c r="GN474" s="27" t="s">
        <v>7</v>
      </c>
      <c r="GO474" s="27" t="s">
        <v>8</v>
      </c>
      <c r="GP474" s="27" t="s">
        <v>7</v>
      </c>
      <c r="GQ474" s="27" t="s">
        <v>8</v>
      </c>
      <c r="GS474" s="27" t="s">
        <v>8</v>
      </c>
      <c r="IY474" s="27" t="s">
        <v>8</v>
      </c>
      <c r="IZ474" s="27" t="s">
        <v>7</v>
      </c>
      <c r="JC474" s="27" t="s">
        <v>8</v>
      </c>
      <c r="JD474" s="27" t="s">
        <v>7</v>
      </c>
      <c r="JE474" s="27" t="s">
        <v>8</v>
      </c>
      <c r="JF474" s="27" t="s">
        <v>7</v>
      </c>
      <c r="JG474" s="27" t="s">
        <v>8</v>
      </c>
      <c r="JH474" s="27" t="s">
        <v>7</v>
      </c>
      <c r="JI474" s="27" t="s">
        <v>8</v>
      </c>
      <c r="JJ474" s="27" t="s">
        <v>7</v>
      </c>
      <c r="JM474" s="27" t="s">
        <v>8</v>
      </c>
      <c r="LT474" s="27" t="s">
        <v>7</v>
      </c>
      <c r="LU474" s="27" t="s">
        <v>8</v>
      </c>
      <c r="LV474" s="27" t="s">
        <v>7</v>
      </c>
      <c r="LY474" s="27" t="s">
        <v>8</v>
      </c>
      <c r="MA474" s="27" t="s">
        <v>8</v>
      </c>
      <c r="MB474" s="27" t="s">
        <v>7</v>
      </c>
      <c r="MC474" s="27" t="s">
        <v>8</v>
      </c>
      <c r="NM474" s="27" t="s">
        <v>8</v>
      </c>
      <c r="NN474" s="27" t="s">
        <v>7</v>
      </c>
      <c r="NO474" s="27" t="s">
        <v>8</v>
      </c>
      <c r="NP474" s="27" t="s">
        <v>7</v>
      </c>
      <c r="NQ474" s="27" t="s">
        <v>8</v>
      </c>
      <c r="NR474" s="27" t="s">
        <v>7</v>
      </c>
      <c r="NS474" s="27" t="s">
        <v>8</v>
      </c>
      <c r="NU474" s="27" t="s">
        <v>8</v>
      </c>
      <c r="NW474" s="27" t="s">
        <v>8</v>
      </c>
      <c r="NX474" s="27" t="s">
        <v>7</v>
      </c>
      <c r="NY474" s="27" t="s">
        <v>8</v>
      </c>
      <c r="NZ474" s="27" t="s">
        <v>7</v>
      </c>
      <c r="OQ474" s="27" t="s">
        <v>8</v>
      </c>
      <c r="OR474" s="27" t="s">
        <v>7</v>
      </c>
      <c r="OU474" s="27" t="s">
        <v>8</v>
      </c>
      <c r="OV474" s="27" t="s">
        <v>7</v>
      </c>
      <c r="OX474" s="27" t="s">
        <v>7</v>
      </c>
      <c r="OY474" s="27" t="s">
        <v>8</v>
      </c>
      <c r="OZ474" s="27" t="s">
        <v>7</v>
      </c>
      <c r="PI474" s="27" t="s">
        <v>8</v>
      </c>
    </row>
    <row r="475" spans="1:430" x14ac:dyDescent="0.25">
      <c r="A475" s="7">
        <v>9.1879629939829375</v>
      </c>
      <c r="B475"/>
      <c r="C475"/>
      <c r="D475"/>
      <c r="E475"/>
      <c r="FY475" s="27" t="s">
        <v>8</v>
      </c>
      <c r="GN475" s="27" t="s">
        <v>7</v>
      </c>
      <c r="GO475" s="27" t="s">
        <v>8</v>
      </c>
      <c r="GP475" s="27" t="s">
        <v>7</v>
      </c>
      <c r="GQ475" s="27" t="s">
        <v>8</v>
      </c>
      <c r="GR475" s="27" t="s">
        <v>7</v>
      </c>
      <c r="GS475" s="27" t="s">
        <v>8</v>
      </c>
      <c r="GT475" s="27" t="s">
        <v>7</v>
      </c>
      <c r="IY475" s="27" t="s">
        <v>8</v>
      </c>
      <c r="IZ475" s="27" t="s">
        <v>7</v>
      </c>
      <c r="JA475" s="27" t="s">
        <v>8</v>
      </c>
      <c r="JC475" s="27" t="s">
        <v>8</v>
      </c>
      <c r="JD475" s="27" t="s">
        <v>7</v>
      </c>
      <c r="JF475" s="27" t="s">
        <v>7</v>
      </c>
      <c r="JG475" s="27" t="s">
        <v>8</v>
      </c>
      <c r="JH475" s="27" t="s">
        <v>7</v>
      </c>
      <c r="JI475" s="27" t="s">
        <v>8</v>
      </c>
      <c r="JJ475" s="27" t="s">
        <v>7</v>
      </c>
      <c r="JK475" s="27" t="s">
        <v>8</v>
      </c>
      <c r="JM475" s="27" t="s">
        <v>8</v>
      </c>
      <c r="LT475" s="27" t="s">
        <v>7</v>
      </c>
      <c r="LU475" s="27" t="s">
        <v>8</v>
      </c>
      <c r="LV475" s="27" t="s">
        <v>7</v>
      </c>
      <c r="LY475" s="27" t="s">
        <v>8</v>
      </c>
      <c r="LZ475" s="27" t="s">
        <v>7</v>
      </c>
      <c r="MA475" s="27" t="s">
        <v>8</v>
      </c>
      <c r="MB475" s="27" t="s">
        <v>7</v>
      </c>
      <c r="MC475" s="27" t="s">
        <v>8</v>
      </c>
      <c r="MD475" s="27" t="s">
        <v>7</v>
      </c>
      <c r="NM475" s="27" t="s">
        <v>8</v>
      </c>
      <c r="NN475" s="27" t="s">
        <v>7</v>
      </c>
      <c r="NO475" s="27" t="s">
        <v>8</v>
      </c>
      <c r="NP475" s="27" t="s">
        <v>7</v>
      </c>
      <c r="NQ475" s="27" t="s">
        <v>8</v>
      </c>
      <c r="NR475" s="27" t="s">
        <v>7</v>
      </c>
      <c r="NS475" s="27" t="s">
        <v>8</v>
      </c>
      <c r="NT475" s="27" t="s">
        <v>7</v>
      </c>
      <c r="NU475" s="27" t="s">
        <v>8</v>
      </c>
      <c r="NV475" s="27" t="s">
        <v>7</v>
      </c>
      <c r="NW475" s="27" t="s">
        <v>8</v>
      </c>
      <c r="NX475" s="27" t="s">
        <v>7</v>
      </c>
      <c r="NY475" s="27" t="s">
        <v>8</v>
      </c>
      <c r="NZ475" s="27" t="s">
        <v>7</v>
      </c>
      <c r="OO475" s="27" t="s">
        <v>8</v>
      </c>
      <c r="OQ475" s="27" t="s">
        <v>8</v>
      </c>
      <c r="OR475" s="27" t="s">
        <v>7</v>
      </c>
      <c r="OU475" s="27" t="s">
        <v>8</v>
      </c>
      <c r="OX475" s="27" t="s">
        <v>7</v>
      </c>
      <c r="OY475" s="27" t="s">
        <v>8</v>
      </c>
      <c r="OZ475" s="27" t="s">
        <v>7</v>
      </c>
      <c r="PC475" s="27" t="s">
        <v>8</v>
      </c>
      <c r="PI475" s="27" t="s">
        <v>8</v>
      </c>
      <c r="PJ475" s="27" t="s">
        <v>7</v>
      </c>
    </row>
    <row r="476" spans="1:430" x14ac:dyDescent="0.25">
      <c r="A476" s="7">
        <v>9.0078068568460168</v>
      </c>
      <c r="B476"/>
      <c r="C476"/>
      <c r="D476"/>
      <c r="E476"/>
      <c r="FY476" s="27" t="s">
        <v>8</v>
      </c>
      <c r="GN476" s="27" t="s">
        <v>7</v>
      </c>
      <c r="GO476" s="27" t="s">
        <v>8</v>
      </c>
      <c r="GP476" s="27" t="s">
        <v>7</v>
      </c>
      <c r="GQ476" s="27" t="s">
        <v>8</v>
      </c>
      <c r="GR476" s="27" t="s">
        <v>7</v>
      </c>
      <c r="GS476" s="27" t="s">
        <v>8</v>
      </c>
      <c r="GT476" s="27" t="s">
        <v>7</v>
      </c>
      <c r="IY476" s="27" t="s">
        <v>8</v>
      </c>
      <c r="IZ476" s="27" t="s">
        <v>7</v>
      </c>
      <c r="JA476" s="27" t="s">
        <v>8</v>
      </c>
      <c r="JB476" s="27" t="s">
        <v>7</v>
      </c>
      <c r="JC476" s="27" t="s">
        <v>8</v>
      </c>
      <c r="JF476" s="27" t="s">
        <v>7</v>
      </c>
      <c r="JG476" s="27" t="s">
        <v>8</v>
      </c>
      <c r="JH476" s="27" t="s">
        <v>7</v>
      </c>
      <c r="JI476" s="27" t="s">
        <v>8</v>
      </c>
      <c r="JJ476" s="27" t="s">
        <v>7</v>
      </c>
      <c r="JK476" s="27" t="s">
        <v>8</v>
      </c>
      <c r="JL476" s="27" t="s">
        <v>7</v>
      </c>
      <c r="JM476" s="27" t="s">
        <v>8</v>
      </c>
      <c r="LT476" s="27" t="s">
        <v>7</v>
      </c>
      <c r="LU476" s="27" t="s">
        <v>8</v>
      </c>
      <c r="LV476" s="27" t="s">
        <v>7</v>
      </c>
      <c r="LY476" s="27" t="s">
        <v>8</v>
      </c>
      <c r="LZ476" s="27" t="s">
        <v>7</v>
      </c>
      <c r="MA476" s="27" t="s">
        <v>8</v>
      </c>
      <c r="MB476" s="27" t="s">
        <v>7</v>
      </c>
      <c r="MC476" s="27" t="s">
        <v>8</v>
      </c>
      <c r="MD476" s="27" t="s">
        <v>7</v>
      </c>
      <c r="NK476" s="27" t="s">
        <v>8</v>
      </c>
      <c r="NM476" s="27" t="s">
        <v>8</v>
      </c>
      <c r="NN476" s="27" t="s">
        <v>7</v>
      </c>
      <c r="NO476" s="27" t="s">
        <v>8</v>
      </c>
      <c r="NP476" s="27" t="s">
        <v>7</v>
      </c>
      <c r="NQ476" s="27" t="s">
        <v>8</v>
      </c>
      <c r="NR476" s="27" t="s">
        <v>7</v>
      </c>
      <c r="NS476" s="27" t="s">
        <v>8</v>
      </c>
      <c r="NT476" s="27" t="s">
        <v>7</v>
      </c>
      <c r="NU476" s="27" t="s">
        <v>8</v>
      </c>
      <c r="NV476" s="27" t="s">
        <v>7</v>
      </c>
      <c r="NW476" s="27" t="s">
        <v>8</v>
      </c>
      <c r="NX476" s="27" t="s">
        <v>7</v>
      </c>
      <c r="NZ476" s="27" t="s">
        <v>7</v>
      </c>
      <c r="OI476" s="27" t="s">
        <v>8</v>
      </c>
      <c r="OK476" s="27" t="s">
        <v>8</v>
      </c>
      <c r="OM476" s="27" t="s">
        <v>8</v>
      </c>
      <c r="OO476" s="27" t="s">
        <v>8</v>
      </c>
      <c r="OP476" s="27" t="s">
        <v>7</v>
      </c>
      <c r="OQ476" s="27" t="s">
        <v>8</v>
      </c>
      <c r="OR476" s="27" t="s">
        <v>7</v>
      </c>
      <c r="OU476" s="27" t="s">
        <v>8</v>
      </c>
      <c r="OX476" s="27" t="s">
        <v>7</v>
      </c>
      <c r="OZ476" s="27" t="s">
        <v>7</v>
      </c>
      <c r="PA476" s="27" t="s">
        <v>8</v>
      </c>
      <c r="PC476" s="27" t="s">
        <v>8</v>
      </c>
      <c r="PD476" s="27" t="s">
        <v>7</v>
      </c>
      <c r="PI476" s="27" t="s">
        <v>8</v>
      </c>
      <c r="PJ476" s="27" t="s">
        <v>7</v>
      </c>
    </row>
    <row r="477" spans="1:430" x14ac:dyDescent="0.25">
      <c r="A477" s="7">
        <v>8.8311831929862912</v>
      </c>
      <c r="B477"/>
      <c r="C477"/>
      <c r="D477"/>
      <c r="E477"/>
      <c r="FY477" s="27" t="s">
        <v>8</v>
      </c>
      <c r="GN477" s="27" t="s">
        <v>7</v>
      </c>
      <c r="GO477" s="27" t="s">
        <v>8</v>
      </c>
      <c r="GP477" s="27" t="s">
        <v>7</v>
      </c>
      <c r="GQ477" s="27" t="s">
        <v>8</v>
      </c>
      <c r="GR477" s="27" t="s">
        <v>7</v>
      </c>
      <c r="GS477" s="27" t="s">
        <v>8</v>
      </c>
      <c r="GT477" s="27" t="s">
        <v>7</v>
      </c>
      <c r="IY477" s="27" t="s">
        <v>8</v>
      </c>
      <c r="IZ477" s="27" t="s">
        <v>7</v>
      </c>
      <c r="JA477" s="27" t="s">
        <v>8</v>
      </c>
      <c r="JB477" s="27" t="s">
        <v>7</v>
      </c>
      <c r="JC477" s="27" t="s">
        <v>8</v>
      </c>
      <c r="JF477" s="27" t="s">
        <v>7</v>
      </c>
      <c r="JG477" s="27" t="s">
        <v>8</v>
      </c>
      <c r="JH477" s="27" t="s">
        <v>7</v>
      </c>
      <c r="JJ477" s="27" t="s">
        <v>7</v>
      </c>
      <c r="JK477" s="27" t="s">
        <v>8</v>
      </c>
      <c r="JL477" s="27" t="s">
        <v>7</v>
      </c>
      <c r="JM477" s="27" t="s">
        <v>8</v>
      </c>
      <c r="LT477" s="27" t="s">
        <v>7</v>
      </c>
      <c r="LU477" s="27" t="s">
        <v>8</v>
      </c>
      <c r="LV477" s="27" t="s">
        <v>7</v>
      </c>
      <c r="LY477" s="27" t="s">
        <v>8</v>
      </c>
      <c r="LZ477" s="27" t="s">
        <v>7</v>
      </c>
      <c r="MA477" s="27" t="s">
        <v>8</v>
      </c>
      <c r="MB477" s="27" t="s">
        <v>7</v>
      </c>
      <c r="MC477" s="27" t="s">
        <v>8</v>
      </c>
      <c r="MD477" s="27" t="s">
        <v>7</v>
      </c>
      <c r="NK477" s="27" t="s">
        <v>8</v>
      </c>
      <c r="NL477" s="27" t="s">
        <v>7</v>
      </c>
      <c r="NM477" s="27" t="s">
        <v>8</v>
      </c>
      <c r="NN477" s="27" t="s">
        <v>7</v>
      </c>
      <c r="NO477" s="27" t="s">
        <v>8</v>
      </c>
      <c r="NP477" s="27" t="s">
        <v>7</v>
      </c>
      <c r="NQ477" s="27" t="s">
        <v>8</v>
      </c>
      <c r="NR477" s="27" t="s">
        <v>7</v>
      </c>
      <c r="NS477" s="27" t="s">
        <v>8</v>
      </c>
      <c r="NT477" s="27" t="s">
        <v>7</v>
      </c>
      <c r="NU477" s="27" t="s">
        <v>8</v>
      </c>
      <c r="NV477" s="27" t="s">
        <v>7</v>
      </c>
      <c r="NW477" s="27" t="s">
        <v>8</v>
      </c>
      <c r="NZ477" s="27" t="s">
        <v>7</v>
      </c>
      <c r="OI477" s="27" t="s">
        <v>8</v>
      </c>
      <c r="OJ477" s="27" t="s">
        <v>7</v>
      </c>
      <c r="OK477" s="27" t="s">
        <v>8</v>
      </c>
      <c r="OL477" s="27" t="s">
        <v>7</v>
      </c>
      <c r="OM477" s="27" t="s">
        <v>8</v>
      </c>
      <c r="ON477" s="27" t="s">
        <v>7</v>
      </c>
      <c r="OO477" s="27" t="s">
        <v>8</v>
      </c>
      <c r="OP477" s="27" t="s">
        <v>7</v>
      </c>
      <c r="OQ477" s="27" t="s">
        <v>8</v>
      </c>
      <c r="OR477" s="27" t="s">
        <v>7</v>
      </c>
      <c r="OS477" s="27" t="s">
        <v>8</v>
      </c>
      <c r="OU477" s="27" t="s">
        <v>8</v>
      </c>
      <c r="OZ477" s="27" t="s">
        <v>7</v>
      </c>
      <c r="PA477" s="27" t="s">
        <v>8</v>
      </c>
      <c r="PB477" s="27" t="s">
        <v>7</v>
      </c>
      <c r="PC477" s="27" t="s">
        <v>8</v>
      </c>
      <c r="PD477" s="27" t="s">
        <v>7</v>
      </c>
      <c r="PI477" s="27" t="s">
        <v>8</v>
      </c>
      <c r="PJ477" s="27" t="s">
        <v>7</v>
      </c>
    </row>
    <row r="478" spans="1:430" x14ac:dyDescent="0.25">
      <c r="A478" s="7">
        <v>8.6580227382218542</v>
      </c>
      <c r="B478"/>
      <c r="C478"/>
      <c r="D478"/>
      <c r="E478"/>
      <c r="FY478" s="27" t="s">
        <v>8</v>
      </c>
      <c r="GN478" s="27" t="s">
        <v>7</v>
      </c>
      <c r="GO478" s="27" t="s">
        <v>8</v>
      </c>
      <c r="GP478" s="27" t="s">
        <v>7</v>
      </c>
      <c r="GQ478" s="27" t="s">
        <v>8</v>
      </c>
      <c r="GR478" s="27" t="s">
        <v>7</v>
      </c>
      <c r="GS478" s="27" t="s">
        <v>8</v>
      </c>
      <c r="GT478" s="27" t="s">
        <v>7</v>
      </c>
      <c r="IY478" s="27" t="s">
        <v>8</v>
      </c>
      <c r="IZ478" s="27" t="s">
        <v>7</v>
      </c>
      <c r="JA478" s="27" t="s">
        <v>8</v>
      </c>
      <c r="JB478" s="27" t="s">
        <v>7</v>
      </c>
      <c r="JC478" s="27" t="s">
        <v>8</v>
      </c>
      <c r="JF478" s="27" t="s">
        <v>7</v>
      </c>
      <c r="JG478" s="27" t="s">
        <v>8</v>
      </c>
      <c r="JJ478" s="27" t="s">
        <v>7</v>
      </c>
      <c r="JK478" s="27" t="s">
        <v>8</v>
      </c>
      <c r="JL478" s="27" t="s">
        <v>7</v>
      </c>
      <c r="JM478" s="27" t="s">
        <v>8</v>
      </c>
      <c r="LT478" s="27" t="s">
        <v>7</v>
      </c>
      <c r="LU478" s="27" t="s">
        <v>8</v>
      </c>
      <c r="LV478" s="27" t="s">
        <v>7</v>
      </c>
      <c r="LY478" s="27" t="s">
        <v>8</v>
      </c>
      <c r="LZ478" s="27" t="s">
        <v>7</v>
      </c>
      <c r="MA478" s="27" t="s">
        <v>8</v>
      </c>
      <c r="MB478" s="27" t="s">
        <v>7</v>
      </c>
      <c r="MC478" s="27" t="s">
        <v>8</v>
      </c>
      <c r="MD478" s="27" t="s">
        <v>7</v>
      </c>
      <c r="NG478" s="27" t="s">
        <v>8</v>
      </c>
      <c r="NK478" s="27" t="s">
        <v>8</v>
      </c>
      <c r="NL478" s="27" t="s">
        <v>7</v>
      </c>
      <c r="NM478" s="27" t="s">
        <v>8</v>
      </c>
      <c r="NN478" s="27" t="s">
        <v>7</v>
      </c>
      <c r="NO478" s="27" t="s">
        <v>8</v>
      </c>
      <c r="NP478" s="27" t="s">
        <v>7</v>
      </c>
      <c r="NR478" s="27" t="s">
        <v>7</v>
      </c>
      <c r="NS478" s="27" t="s">
        <v>8</v>
      </c>
      <c r="NT478" s="27" t="s">
        <v>7</v>
      </c>
      <c r="NU478" s="27" t="s">
        <v>8</v>
      </c>
      <c r="NV478" s="27" t="s">
        <v>7</v>
      </c>
      <c r="NW478" s="27" t="s">
        <v>8</v>
      </c>
      <c r="NZ478" s="27" t="s">
        <v>7</v>
      </c>
      <c r="OE478" s="27" t="s">
        <v>8</v>
      </c>
      <c r="OG478" s="27" t="s">
        <v>8</v>
      </c>
      <c r="OI478" s="27" t="s">
        <v>8</v>
      </c>
      <c r="OJ478" s="27" t="s">
        <v>7</v>
      </c>
      <c r="OK478" s="27" t="s">
        <v>8</v>
      </c>
      <c r="OL478" s="27" t="s">
        <v>7</v>
      </c>
      <c r="OM478" s="27" t="s">
        <v>8</v>
      </c>
      <c r="ON478" s="27" t="s">
        <v>7</v>
      </c>
      <c r="OO478" s="27" t="s">
        <v>8</v>
      </c>
      <c r="OP478" s="27" t="s">
        <v>7</v>
      </c>
      <c r="OR478" s="27" t="s">
        <v>7</v>
      </c>
      <c r="OS478" s="27" t="s">
        <v>8</v>
      </c>
      <c r="OT478" s="27" t="s">
        <v>7</v>
      </c>
      <c r="OU478" s="27" t="s">
        <v>8</v>
      </c>
      <c r="OZ478" s="27" t="s">
        <v>7</v>
      </c>
      <c r="PA478" s="27" t="s">
        <v>8</v>
      </c>
      <c r="PB478" s="27" t="s">
        <v>7</v>
      </c>
      <c r="PC478" s="27" t="s">
        <v>8</v>
      </c>
      <c r="PD478" s="27" t="s">
        <v>7</v>
      </c>
      <c r="PI478" s="27" t="s">
        <v>8</v>
      </c>
      <c r="PJ478" s="27" t="s">
        <v>7</v>
      </c>
      <c r="PK478" s="27" t="s">
        <v>8</v>
      </c>
    </row>
    <row r="479" spans="1:430" x14ac:dyDescent="0.25">
      <c r="A479" s="7">
        <v>8.4882575864920131</v>
      </c>
      <c r="B479"/>
      <c r="C479"/>
      <c r="D479"/>
      <c r="E479"/>
      <c r="FY479" s="27" t="s">
        <v>8</v>
      </c>
      <c r="GN479" s="27" t="s">
        <v>7</v>
      </c>
      <c r="GO479" s="27" t="s">
        <v>8</v>
      </c>
      <c r="GP479" s="27" t="s">
        <v>7</v>
      </c>
      <c r="GQ479" s="27" t="s">
        <v>8</v>
      </c>
      <c r="GR479" s="27" t="s">
        <v>7</v>
      </c>
      <c r="GT479" s="27" t="s">
        <v>7</v>
      </c>
      <c r="IY479" s="27" t="s">
        <v>8</v>
      </c>
      <c r="IZ479" s="27" t="s">
        <v>7</v>
      </c>
      <c r="JA479" s="27" t="s">
        <v>8</v>
      </c>
      <c r="JB479" s="27" t="s">
        <v>7</v>
      </c>
      <c r="JF479" s="27" t="s">
        <v>7</v>
      </c>
      <c r="JG479" s="27" t="s">
        <v>8</v>
      </c>
      <c r="JJ479" s="27" t="s">
        <v>7</v>
      </c>
      <c r="JK479" s="27" t="s">
        <v>8</v>
      </c>
      <c r="JL479" s="27" t="s">
        <v>7</v>
      </c>
      <c r="LT479" s="27" t="s">
        <v>7</v>
      </c>
      <c r="LU479" s="27" t="s">
        <v>8</v>
      </c>
      <c r="LV479" s="27" t="s">
        <v>7</v>
      </c>
      <c r="LW479" s="27" t="s">
        <v>8</v>
      </c>
      <c r="LY479" s="27" t="s">
        <v>8</v>
      </c>
      <c r="LZ479" s="27" t="s">
        <v>7</v>
      </c>
      <c r="MA479" s="27" t="s">
        <v>8</v>
      </c>
      <c r="MB479" s="27" t="s">
        <v>7</v>
      </c>
      <c r="MC479" s="27" t="s">
        <v>8</v>
      </c>
      <c r="MD479" s="27" t="s">
        <v>7</v>
      </c>
      <c r="NG479" s="27" t="s">
        <v>8</v>
      </c>
      <c r="NH479" s="27" t="s">
        <v>7</v>
      </c>
      <c r="NK479" s="27" t="s">
        <v>8</v>
      </c>
      <c r="NL479" s="27" t="s">
        <v>7</v>
      </c>
      <c r="NM479" s="27" t="s">
        <v>8</v>
      </c>
      <c r="NN479" s="27" t="s">
        <v>7</v>
      </c>
      <c r="NO479" s="27" t="s">
        <v>8</v>
      </c>
      <c r="NR479" s="27" t="s">
        <v>7</v>
      </c>
      <c r="NS479" s="27" t="s">
        <v>8</v>
      </c>
      <c r="NT479" s="27" t="s">
        <v>7</v>
      </c>
      <c r="NU479" s="27" t="s">
        <v>8</v>
      </c>
      <c r="NV479" s="27" t="s">
        <v>7</v>
      </c>
      <c r="NW479" s="27" t="s">
        <v>8</v>
      </c>
      <c r="NZ479" s="27" t="s">
        <v>7</v>
      </c>
      <c r="OE479" s="27" t="s">
        <v>8</v>
      </c>
      <c r="OF479" s="27" t="s">
        <v>7</v>
      </c>
      <c r="OG479" s="27" t="s">
        <v>8</v>
      </c>
      <c r="OH479" s="27" t="s">
        <v>7</v>
      </c>
      <c r="OI479" s="27" t="s">
        <v>8</v>
      </c>
      <c r="OJ479" s="27" t="s">
        <v>7</v>
      </c>
      <c r="OK479" s="27" t="s">
        <v>8</v>
      </c>
      <c r="OL479" s="27" t="s">
        <v>7</v>
      </c>
      <c r="OM479" s="27" t="s">
        <v>8</v>
      </c>
      <c r="ON479" s="27" t="s">
        <v>7</v>
      </c>
      <c r="OR479" s="27" t="s">
        <v>7</v>
      </c>
      <c r="OS479" s="27" t="s">
        <v>8</v>
      </c>
      <c r="OT479" s="27" t="s">
        <v>7</v>
      </c>
      <c r="OU479" s="27" t="s">
        <v>8</v>
      </c>
      <c r="OZ479" s="27" t="s">
        <v>7</v>
      </c>
      <c r="PA479" s="27" t="s">
        <v>8</v>
      </c>
      <c r="PB479" s="27" t="s">
        <v>7</v>
      </c>
      <c r="PC479" s="27" t="s">
        <v>8</v>
      </c>
      <c r="PD479" s="27" t="s">
        <v>7</v>
      </c>
      <c r="PI479" s="27" t="s">
        <v>8</v>
      </c>
      <c r="PJ479" s="27" t="s">
        <v>7</v>
      </c>
      <c r="PK479" s="27" t="s">
        <v>8</v>
      </c>
      <c r="PL479" s="27" t="s">
        <v>7</v>
      </c>
      <c r="PM479" s="27" t="s">
        <v>8</v>
      </c>
    </row>
    <row r="480" spans="1:430" x14ac:dyDescent="0.25">
      <c r="A480" s="7">
        <v>8.3218211632274635</v>
      </c>
      <c r="B480"/>
      <c r="C480"/>
      <c r="D480"/>
      <c r="E480"/>
      <c r="FY480" s="27" t="s">
        <v>8</v>
      </c>
      <c r="GN480" s="27" t="s">
        <v>7</v>
      </c>
      <c r="GO480" s="27" t="s">
        <v>8</v>
      </c>
      <c r="GP480" s="27" t="s">
        <v>7</v>
      </c>
      <c r="GQ480" s="27" t="s">
        <v>8</v>
      </c>
      <c r="GT480" s="27" t="s">
        <v>7</v>
      </c>
      <c r="IY480" s="27" t="s">
        <v>8</v>
      </c>
      <c r="IZ480" s="27" t="s">
        <v>7</v>
      </c>
      <c r="JA480" s="27" t="s">
        <v>8</v>
      </c>
      <c r="JF480" s="27" t="s">
        <v>7</v>
      </c>
      <c r="JG480" s="27" t="s">
        <v>8</v>
      </c>
      <c r="JJ480" s="27" t="s">
        <v>7</v>
      </c>
      <c r="JK480" s="27" t="s">
        <v>8</v>
      </c>
      <c r="LT480" s="27" t="s">
        <v>7</v>
      </c>
      <c r="LU480" s="27" t="s">
        <v>8</v>
      </c>
      <c r="LV480" s="27" t="s">
        <v>7</v>
      </c>
      <c r="LW480" s="27" t="s">
        <v>8</v>
      </c>
      <c r="LX480" s="27" t="s">
        <v>7</v>
      </c>
      <c r="LY480" s="27" t="s">
        <v>8</v>
      </c>
      <c r="LZ480" s="27" t="s">
        <v>7</v>
      </c>
      <c r="MA480" s="27" t="s">
        <v>8</v>
      </c>
      <c r="MB480" s="27" t="s">
        <v>7</v>
      </c>
      <c r="MC480" s="27" t="s">
        <v>8</v>
      </c>
      <c r="MD480" s="27" t="s">
        <v>7</v>
      </c>
      <c r="NG480" s="27" t="s">
        <v>8</v>
      </c>
      <c r="NH480" s="27" t="s">
        <v>7</v>
      </c>
      <c r="NI480" s="27" t="s">
        <v>8</v>
      </c>
      <c r="NK480" s="27" t="s">
        <v>8</v>
      </c>
      <c r="NL480" s="27" t="s">
        <v>7</v>
      </c>
      <c r="NM480" s="27" t="s">
        <v>8</v>
      </c>
      <c r="NN480" s="27" t="s">
        <v>7</v>
      </c>
      <c r="NO480" s="27" t="s">
        <v>8</v>
      </c>
      <c r="NR480" s="27" t="s">
        <v>7</v>
      </c>
      <c r="NS480" s="27" t="s">
        <v>8</v>
      </c>
      <c r="NT480" s="27" t="s">
        <v>7</v>
      </c>
      <c r="NV480" s="27" t="s">
        <v>7</v>
      </c>
      <c r="NW480" s="27" t="s">
        <v>8</v>
      </c>
      <c r="NZ480" s="27" t="s">
        <v>7</v>
      </c>
      <c r="OE480" s="27" t="s">
        <v>8</v>
      </c>
      <c r="OF480" s="27" t="s">
        <v>7</v>
      </c>
      <c r="OG480" s="27" t="s">
        <v>8</v>
      </c>
      <c r="OH480" s="27" t="s">
        <v>7</v>
      </c>
      <c r="OI480" s="27" t="s">
        <v>8</v>
      </c>
      <c r="OJ480" s="27" t="s">
        <v>7</v>
      </c>
      <c r="OK480" s="27" t="s">
        <v>8</v>
      </c>
      <c r="OL480" s="27" t="s">
        <v>7</v>
      </c>
      <c r="OM480" s="27" t="s">
        <v>8</v>
      </c>
      <c r="OR480" s="27" t="s">
        <v>7</v>
      </c>
      <c r="OT480" s="27" t="s">
        <v>7</v>
      </c>
      <c r="OU480" s="27" t="s">
        <v>8</v>
      </c>
      <c r="OZ480" s="27" t="s">
        <v>7</v>
      </c>
      <c r="PB480" s="27" t="s">
        <v>7</v>
      </c>
      <c r="PD480" s="27" t="s">
        <v>7</v>
      </c>
      <c r="PI480" s="27" t="s">
        <v>8</v>
      </c>
      <c r="PJ480" s="27" t="s">
        <v>7</v>
      </c>
      <c r="PK480" s="27" t="s">
        <v>8</v>
      </c>
      <c r="PL480" s="27" t="s">
        <v>7</v>
      </c>
      <c r="PM480" s="27" t="s">
        <v>8</v>
      </c>
      <c r="PN480" s="27" t="s">
        <v>7</v>
      </c>
    </row>
    <row r="481" spans="1:451" x14ac:dyDescent="0.25">
      <c r="A481" s="7">
        <v>8.1586481992426112</v>
      </c>
      <c r="B481"/>
      <c r="C481"/>
      <c r="D481"/>
      <c r="E481"/>
      <c r="FY481" s="27" t="s">
        <v>8</v>
      </c>
      <c r="GN481" s="27" t="s">
        <v>7</v>
      </c>
      <c r="GO481" s="27" t="s">
        <v>8</v>
      </c>
      <c r="GP481" s="27" t="s">
        <v>7</v>
      </c>
      <c r="GQ481" s="27" t="s">
        <v>8</v>
      </c>
      <c r="GT481" s="27" t="s">
        <v>7</v>
      </c>
      <c r="IY481" s="27" t="s">
        <v>8</v>
      </c>
      <c r="IZ481" s="27" t="s">
        <v>7</v>
      </c>
      <c r="JA481" s="27" t="s">
        <v>8</v>
      </c>
      <c r="JF481" s="27" t="s">
        <v>7</v>
      </c>
      <c r="JG481" s="27" t="s">
        <v>8</v>
      </c>
      <c r="JJ481" s="27" t="s">
        <v>7</v>
      </c>
      <c r="JK481" s="27" t="s">
        <v>8</v>
      </c>
      <c r="LT481" s="27" t="s">
        <v>7</v>
      </c>
      <c r="LU481" s="27" t="s">
        <v>8</v>
      </c>
      <c r="LV481" s="27" t="s">
        <v>7</v>
      </c>
      <c r="LW481" s="27" t="s">
        <v>8</v>
      </c>
      <c r="LX481" s="27" t="s">
        <v>7</v>
      </c>
      <c r="LY481" s="27" t="s">
        <v>8</v>
      </c>
      <c r="LZ481" s="27" t="s">
        <v>7</v>
      </c>
      <c r="MA481" s="27" t="s">
        <v>8</v>
      </c>
      <c r="MB481" s="27" t="s">
        <v>7</v>
      </c>
      <c r="MD481" s="27" t="s">
        <v>7</v>
      </c>
      <c r="NG481" s="27" t="s">
        <v>8</v>
      </c>
      <c r="NH481" s="27" t="s">
        <v>7</v>
      </c>
      <c r="NI481" s="27" t="s">
        <v>8</v>
      </c>
      <c r="NJ481" s="27" t="s">
        <v>7</v>
      </c>
      <c r="NK481" s="27" t="s">
        <v>8</v>
      </c>
      <c r="NL481" s="27" t="s">
        <v>7</v>
      </c>
      <c r="NM481" s="27" t="s">
        <v>8</v>
      </c>
      <c r="NN481" s="27" t="s">
        <v>7</v>
      </c>
      <c r="NR481" s="27" t="s">
        <v>7</v>
      </c>
      <c r="NS481" s="27" t="s">
        <v>8</v>
      </c>
      <c r="NV481" s="27" t="s">
        <v>7</v>
      </c>
      <c r="NZ481" s="27" t="s">
        <v>7</v>
      </c>
      <c r="OA481" s="27" t="s">
        <v>8</v>
      </c>
      <c r="OE481" s="27" t="s">
        <v>8</v>
      </c>
      <c r="OF481" s="27" t="s">
        <v>7</v>
      </c>
      <c r="OG481" s="27" t="s">
        <v>8</v>
      </c>
      <c r="OH481" s="27" t="s">
        <v>7</v>
      </c>
      <c r="OI481" s="27" t="s">
        <v>8</v>
      </c>
      <c r="OJ481" s="27" t="s">
        <v>7</v>
      </c>
      <c r="OK481" s="27" t="s">
        <v>8</v>
      </c>
      <c r="OL481" s="27" t="s">
        <v>7</v>
      </c>
      <c r="OT481" s="27" t="s">
        <v>7</v>
      </c>
      <c r="PD481" s="27" t="s">
        <v>7</v>
      </c>
      <c r="PG481" s="27" t="s">
        <v>8</v>
      </c>
      <c r="PI481" s="27" t="s">
        <v>8</v>
      </c>
      <c r="PJ481" s="27" t="s">
        <v>7</v>
      </c>
      <c r="PK481" s="27" t="s">
        <v>8</v>
      </c>
      <c r="PL481" s="27" t="s">
        <v>7</v>
      </c>
      <c r="PM481" s="27" t="s">
        <v>8</v>
      </c>
      <c r="PN481" s="27" t="s">
        <v>7</v>
      </c>
    </row>
    <row r="482" spans="1:451" x14ac:dyDescent="0.25">
      <c r="A482" s="7">
        <v>7.9986747051398144</v>
      </c>
      <c r="B482"/>
      <c r="C482"/>
      <c r="D482"/>
      <c r="E482"/>
      <c r="FY482" s="27" t="s">
        <v>8</v>
      </c>
      <c r="GN482" s="27" t="s">
        <v>7</v>
      </c>
      <c r="GO482" s="27" t="s">
        <v>8</v>
      </c>
      <c r="GP482" s="27" t="s">
        <v>7</v>
      </c>
      <c r="GT482" s="27" t="s">
        <v>7</v>
      </c>
      <c r="IY482" s="27" t="s">
        <v>8</v>
      </c>
      <c r="IZ482" s="27" t="s">
        <v>7</v>
      </c>
      <c r="JA482" s="27" t="s">
        <v>8</v>
      </c>
      <c r="JF482" s="27" t="s">
        <v>7</v>
      </c>
      <c r="JG482" s="27" t="s">
        <v>8</v>
      </c>
      <c r="JJ482" s="27" t="s">
        <v>7</v>
      </c>
      <c r="LT482" s="27" t="s">
        <v>7</v>
      </c>
      <c r="LU482" s="27" t="s">
        <v>8</v>
      </c>
      <c r="LV482" s="27" t="s">
        <v>7</v>
      </c>
      <c r="LW482" s="27" t="s">
        <v>8</v>
      </c>
      <c r="LX482" s="27" t="s">
        <v>7</v>
      </c>
      <c r="LY482" s="27" t="s">
        <v>8</v>
      </c>
      <c r="LZ482" s="27" t="s">
        <v>7</v>
      </c>
      <c r="MA482" s="27" t="s">
        <v>8</v>
      </c>
      <c r="MD482" s="27" t="s">
        <v>7</v>
      </c>
      <c r="NG482" s="27" t="s">
        <v>8</v>
      </c>
      <c r="NH482" s="27" t="s">
        <v>7</v>
      </c>
      <c r="NI482" s="27" t="s">
        <v>8</v>
      </c>
      <c r="NJ482" s="27" t="s">
        <v>7</v>
      </c>
      <c r="NK482" s="27" t="s">
        <v>8</v>
      </c>
      <c r="NL482" s="27" t="s">
        <v>7</v>
      </c>
      <c r="NM482" s="27" t="s">
        <v>8</v>
      </c>
      <c r="NR482" s="27" t="s">
        <v>7</v>
      </c>
      <c r="NS482" s="27" t="s">
        <v>8</v>
      </c>
      <c r="NZ482" s="27" t="s">
        <v>7</v>
      </c>
      <c r="OA482" s="27" t="s">
        <v>8</v>
      </c>
      <c r="OB482" s="27" t="s">
        <v>7</v>
      </c>
      <c r="OE482" s="27" t="s">
        <v>8</v>
      </c>
      <c r="OF482" s="27" t="s">
        <v>7</v>
      </c>
      <c r="OH482" s="27" t="s">
        <v>7</v>
      </c>
      <c r="OJ482" s="27" t="s">
        <v>7</v>
      </c>
      <c r="OK482" s="27" t="s">
        <v>8</v>
      </c>
      <c r="PD482" s="27" t="s">
        <v>7</v>
      </c>
      <c r="PG482" s="27" t="s">
        <v>8</v>
      </c>
      <c r="PH482" s="27" t="s">
        <v>7</v>
      </c>
      <c r="PI482" s="27" t="s">
        <v>8</v>
      </c>
      <c r="PJ482" s="27" t="s">
        <v>7</v>
      </c>
      <c r="PK482" s="27" t="s">
        <v>8</v>
      </c>
      <c r="PL482" s="27" t="s">
        <v>7</v>
      </c>
      <c r="PM482" s="27" t="s">
        <v>8</v>
      </c>
      <c r="PN482" s="27" t="s">
        <v>7</v>
      </c>
    </row>
    <row r="483" spans="1:451" x14ac:dyDescent="0.25">
      <c r="A483" s="7">
        <v>7.8418379462155041</v>
      </c>
      <c r="B483"/>
      <c r="C483"/>
      <c r="D483"/>
      <c r="E483"/>
      <c r="FY483" s="27" t="s">
        <v>8</v>
      </c>
      <c r="GN483" s="27" t="s">
        <v>7</v>
      </c>
      <c r="GO483" s="27" t="s">
        <v>8</v>
      </c>
      <c r="GT483" s="27" t="s">
        <v>7</v>
      </c>
      <c r="IC483" s="27" t="s">
        <v>8</v>
      </c>
      <c r="IY483" s="27" t="s">
        <v>8</v>
      </c>
      <c r="IZ483" s="27" t="s">
        <v>7</v>
      </c>
      <c r="JA483" s="27" t="s">
        <v>8</v>
      </c>
      <c r="JF483" s="27" t="s">
        <v>7</v>
      </c>
      <c r="JG483" s="27" t="s">
        <v>8</v>
      </c>
      <c r="LT483" s="27" t="s">
        <v>7</v>
      </c>
      <c r="LU483" s="27" t="s">
        <v>8</v>
      </c>
      <c r="LV483" s="27" t="s">
        <v>7</v>
      </c>
      <c r="LW483" s="27" t="s">
        <v>8</v>
      </c>
      <c r="LX483" s="27" t="s">
        <v>7</v>
      </c>
      <c r="LY483" s="27" t="s">
        <v>8</v>
      </c>
      <c r="LZ483" s="27" t="s">
        <v>7</v>
      </c>
      <c r="MA483" s="27" t="s">
        <v>8</v>
      </c>
      <c r="MD483" s="27" t="s">
        <v>7</v>
      </c>
      <c r="ME483" s="27" t="s">
        <v>8</v>
      </c>
      <c r="MG483" s="27" t="s">
        <v>8</v>
      </c>
      <c r="NG483" s="27" t="s">
        <v>8</v>
      </c>
      <c r="NH483" s="27" t="s">
        <v>7</v>
      </c>
      <c r="NI483" s="27" t="s">
        <v>8</v>
      </c>
      <c r="NJ483" s="27" t="s">
        <v>7</v>
      </c>
      <c r="NL483" s="27" t="s">
        <v>7</v>
      </c>
      <c r="NM483" s="27" t="s">
        <v>8</v>
      </c>
      <c r="NR483" s="27" t="s">
        <v>7</v>
      </c>
      <c r="NS483" s="27" t="s">
        <v>8</v>
      </c>
      <c r="NZ483" s="27" t="s">
        <v>7</v>
      </c>
      <c r="OA483" s="27" t="s">
        <v>8</v>
      </c>
      <c r="OB483" s="27" t="s">
        <v>7</v>
      </c>
      <c r="OE483" s="27" t="s">
        <v>8</v>
      </c>
      <c r="OJ483" s="27" t="s">
        <v>7</v>
      </c>
      <c r="OK483" s="27" t="s">
        <v>8</v>
      </c>
      <c r="PD483" s="27" t="s">
        <v>7</v>
      </c>
      <c r="PE483" s="27" t="s">
        <v>8</v>
      </c>
      <c r="PG483" s="27" t="s">
        <v>8</v>
      </c>
      <c r="PH483" s="27" t="s">
        <v>7</v>
      </c>
      <c r="PI483" s="27" t="s">
        <v>8</v>
      </c>
      <c r="PJ483" s="27" t="s">
        <v>7</v>
      </c>
      <c r="PK483" s="27" t="s">
        <v>8</v>
      </c>
      <c r="PL483" s="27" t="s">
        <v>7</v>
      </c>
      <c r="PM483" s="27" t="s">
        <v>8</v>
      </c>
      <c r="PN483" s="27" t="s">
        <v>7</v>
      </c>
    </row>
    <row r="484" spans="1:451" x14ac:dyDescent="0.25">
      <c r="A484" s="7">
        <v>7.688076417858337</v>
      </c>
      <c r="B484"/>
      <c r="C484"/>
      <c r="D484"/>
      <c r="E484"/>
      <c r="FY484" s="27" t="s">
        <v>8</v>
      </c>
      <c r="GN484" s="27" t="s">
        <v>7</v>
      </c>
      <c r="GO484" s="27" t="s">
        <v>8</v>
      </c>
      <c r="GT484" s="27" t="s">
        <v>7</v>
      </c>
      <c r="IC484" s="27" t="s">
        <v>8</v>
      </c>
      <c r="ID484" s="27" t="s">
        <v>7</v>
      </c>
      <c r="IK484" s="27" t="s">
        <v>8</v>
      </c>
      <c r="IY484" s="27" t="s">
        <v>8</v>
      </c>
      <c r="IZ484" s="27" t="s">
        <v>7</v>
      </c>
      <c r="JA484" s="27" t="s">
        <v>8</v>
      </c>
      <c r="JF484" s="27" t="s">
        <v>7</v>
      </c>
      <c r="JG484" s="27" t="s">
        <v>8</v>
      </c>
      <c r="LT484" s="27" t="s">
        <v>7</v>
      </c>
      <c r="LU484" s="27" t="s">
        <v>8</v>
      </c>
      <c r="LV484" s="27" t="s">
        <v>7</v>
      </c>
      <c r="LW484" s="27" t="s">
        <v>8</v>
      </c>
      <c r="LX484" s="27" t="s">
        <v>7</v>
      </c>
      <c r="LY484" s="27" t="s">
        <v>8</v>
      </c>
      <c r="LZ484" s="27" t="s">
        <v>7</v>
      </c>
      <c r="MA484" s="27" t="s">
        <v>8</v>
      </c>
      <c r="MD484" s="27" t="s">
        <v>7</v>
      </c>
      <c r="ME484" s="27" t="s">
        <v>8</v>
      </c>
      <c r="MF484" s="27" t="s">
        <v>7</v>
      </c>
      <c r="MG484" s="27" t="s">
        <v>8</v>
      </c>
      <c r="MH484" s="27" t="s">
        <v>7</v>
      </c>
      <c r="NE484" s="27" t="s">
        <v>8</v>
      </c>
      <c r="NG484" s="27" t="s">
        <v>8</v>
      </c>
      <c r="NH484" s="27" t="s">
        <v>7</v>
      </c>
      <c r="NI484" s="27" t="s">
        <v>8</v>
      </c>
      <c r="NL484" s="27" t="s">
        <v>7</v>
      </c>
      <c r="NM484" s="27" t="s">
        <v>8</v>
      </c>
      <c r="NR484" s="27" t="s">
        <v>7</v>
      </c>
      <c r="NS484" s="27" t="s">
        <v>8</v>
      </c>
      <c r="NZ484" s="27" t="s">
        <v>7</v>
      </c>
      <c r="OA484" s="27" t="s">
        <v>8</v>
      </c>
      <c r="OB484" s="27" t="s">
        <v>7</v>
      </c>
      <c r="OC484" s="27" t="s">
        <v>8</v>
      </c>
      <c r="OE484" s="27" t="s">
        <v>8</v>
      </c>
      <c r="OJ484" s="27" t="s">
        <v>7</v>
      </c>
      <c r="OK484" s="27" t="s">
        <v>8</v>
      </c>
      <c r="PD484" s="27" t="s">
        <v>7</v>
      </c>
      <c r="PE484" s="27" t="s">
        <v>8</v>
      </c>
      <c r="PF484" s="27" t="s">
        <v>7</v>
      </c>
      <c r="PG484" s="27" t="s">
        <v>8</v>
      </c>
      <c r="PH484" s="27" t="s">
        <v>7</v>
      </c>
      <c r="PI484" s="27" t="s">
        <v>8</v>
      </c>
      <c r="PJ484" s="27" t="s">
        <v>7</v>
      </c>
      <c r="PL484" s="27" t="s">
        <v>7</v>
      </c>
      <c r="PM484" s="27" t="s">
        <v>8</v>
      </c>
      <c r="PN484" s="27" t="s">
        <v>7</v>
      </c>
    </row>
    <row r="485" spans="1:451" x14ac:dyDescent="0.25">
      <c r="A485" s="7">
        <v>7.5373298214297417</v>
      </c>
      <c r="B485"/>
      <c r="C485"/>
      <c r="D485"/>
      <c r="E485"/>
      <c r="FY485" s="27" t="s">
        <v>8</v>
      </c>
      <c r="GN485" s="27" t="s">
        <v>7</v>
      </c>
      <c r="GO485" s="27" t="s">
        <v>8</v>
      </c>
      <c r="GT485" s="27" t="s">
        <v>7</v>
      </c>
      <c r="IA485" s="27" t="s">
        <v>8</v>
      </c>
      <c r="IC485" s="27" t="s">
        <v>8</v>
      </c>
      <c r="ID485" s="27" t="s">
        <v>7</v>
      </c>
      <c r="IK485" s="27" t="s">
        <v>8</v>
      </c>
      <c r="IL485" s="27" t="s">
        <v>7</v>
      </c>
      <c r="IY485" s="27" t="s">
        <v>8</v>
      </c>
      <c r="IZ485" s="27" t="s">
        <v>7</v>
      </c>
      <c r="JA485" s="27" t="s">
        <v>8</v>
      </c>
      <c r="JF485" s="27" t="s">
        <v>7</v>
      </c>
      <c r="JG485" s="27" t="s">
        <v>8</v>
      </c>
      <c r="LT485" s="27" t="s">
        <v>7</v>
      </c>
      <c r="LU485" s="27" t="s">
        <v>8</v>
      </c>
      <c r="LV485" s="27" t="s">
        <v>7</v>
      </c>
      <c r="LW485" s="27" t="s">
        <v>8</v>
      </c>
      <c r="LX485" s="27" t="s">
        <v>7</v>
      </c>
      <c r="LY485" s="27" t="s">
        <v>8</v>
      </c>
      <c r="LZ485" s="27" t="s">
        <v>7</v>
      </c>
      <c r="MA485" s="27" t="s">
        <v>8</v>
      </c>
      <c r="MD485" s="27" t="s">
        <v>7</v>
      </c>
      <c r="ME485" s="27" t="s">
        <v>8</v>
      </c>
      <c r="MF485" s="27" t="s">
        <v>7</v>
      </c>
      <c r="MG485" s="27" t="s">
        <v>8</v>
      </c>
      <c r="MH485" s="27" t="s">
        <v>7</v>
      </c>
      <c r="NE485" s="27" t="s">
        <v>8</v>
      </c>
      <c r="NF485" s="27" t="s">
        <v>7</v>
      </c>
      <c r="NG485" s="27" t="s">
        <v>8</v>
      </c>
      <c r="NH485" s="27" t="s">
        <v>7</v>
      </c>
      <c r="NL485" s="27" t="s">
        <v>7</v>
      </c>
      <c r="NR485" s="27" t="s">
        <v>7</v>
      </c>
      <c r="NS485" s="27" t="s">
        <v>8</v>
      </c>
      <c r="NZ485" s="27" t="s">
        <v>7</v>
      </c>
      <c r="OA485" s="27" t="s">
        <v>8</v>
      </c>
      <c r="OB485" s="27" t="s">
        <v>7</v>
      </c>
      <c r="OC485" s="27" t="s">
        <v>8</v>
      </c>
      <c r="OD485" s="27" t="s">
        <v>7</v>
      </c>
      <c r="OE485" s="27" t="s">
        <v>8</v>
      </c>
      <c r="OJ485" s="27" t="s">
        <v>7</v>
      </c>
      <c r="OK485" s="27" t="s">
        <v>8</v>
      </c>
      <c r="PD485" s="27" t="s">
        <v>7</v>
      </c>
      <c r="PE485" s="27" t="s">
        <v>8</v>
      </c>
      <c r="PF485" s="27" t="s">
        <v>7</v>
      </c>
      <c r="PG485" s="27" t="s">
        <v>8</v>
      </c>
      <c r="PH485" s="27" t="s">
        <v>7</v>
      </c>
      <c r="PI485" s="27" t="s">
        <v>8</v>
      </c>
      <c r="PL485" s="27" t="s">
        <v>7</v>
      </c>
      <c r="PN485" s="27" t="s">
        <v>7</v>
      </c>
    </row>
    <row r="486" spans="1:451" x14ac:dyDescent="0.25">
      <c r="A486" s="7">
        <v>7.389539040617394</v>
      </c>
      <c r="B486"/>
      <c r="C486"/>
      <c r="D486"/>
      <c r="E486"/>
      <c r="FY486" s="27" t="s">
        <v>8</v>
      </c>
      <c r="GN486" s="27" t="s">
        <v>7</v>
      </c>
      <c r="GO486" s="27" t="s">
        <v>8</v>
      </c>
      <c r="GT486" s="27" t="s">
        <v>7</v>
      </c>
      <c r="HE486" s="27" t="s">
        <v>8</v>
      </c>
      <c r="IA486" s="27" t="s">
        <v>8</v>
      </c>
      <c r="IB486" s="27" t="s">
        <v>7</v>
      </c>
      <c r="IC486" s="27" t="s">
        <v>8</v>
      </c>
      <c r="ID486" s="27" t="s">
        <v>7</v>
      </c>
      <c r="IK486" s="27" t="s">
        <v>8</v>
      </c>
      <c r="IL486" s="27" t="s">
        <v>7</v>
      </c>
      <c r="IY486" s="27" t="s">
        <v>8</v>
      </c>
      <c r="IZ486" s="27" t="s">
        <v>7</v>
      </c>
      <c r="JA486" s="27" t="s">
        <v>8</v>
      </c>
      <c r="JF486" s="27" t="s">
        <v>7</v>
      </c>
      <c r="JG486" s="27" t="s">
        <v>8</v>
      </c>
      <c r="LT486" s="27" t="s">
        <v>7</v>
      </c>
      <c r="LU486" s="27" t="s">
        <v>8</v>
      </c>
      <c r="LV486" s="27" t="s">
        <v>7</v>
      </c>
      <c r="LW486" s="27" t="s">
        <v>8</v>
      </c>
      <c r="LX486" s="27" t="s">
        <v>7</v>
      </c>
      <c r="LY486" s="27" t="s">
        <v>8</v>
      </c>
      <c r="LZ486" s="27" t="s">
        <v>7</v>
      </c>
      <c r="MA486" s="27" t="s">
        <v>8</v>
      </c>
      <c r="MD486" s="27" t="s">
        <v>7</v>
      </c>
      <c r="ME486" s="27" t="s">
        <v>8</v>
      </c>
      <c r="MF486" s="27" t="s">
        <v>7</v>
      </c>
      <c r="MG486" s="27" t="s">
        <v>8</v>
      </c>
      <c r="MH486" s="27" t="s">
        <v>7</v>
      </c>
      <c r="NE486" s="27" t="s">
        <v>8</v>
      </c>
      <c r="NF486" s="27" t="s">
        <v>7</v>
      </c>
      <c r="NG486" s="27" t="s">
        <v>8</v>
      </c>
      <c r="NR486" s="27" t="s">
        <v>7</v>
      </c>
      <c r="NS486" s="27" t="s">
        <v>8</v>
      </c>
      <c r="NZ486" s="27" t="s">
        <v>7</v>
      </c>
      <c r="OA486" s="27" t="s">
        <v>8</v>
      </c>
      <c r="OB486" s="27" t="s">
        <v>7</v>
      </c>
      <c r="OC486" s="27" t="s">
        <v>8</v>
      </c>
      <c r="OD486" s="27" t="s">
        <v>7</v>
      </c>
      <c r="OE486" s="27" t="s">
        <v>8</v>
      </c>
      <c r="OJ486" s="27" t="s">
        <v>7</v>
      </c>
      <c r="OK486" s="27" t="s">
        <v>8</v>
      </c>
      <c r="PD486" s="27" t="s">
        <v>7</v>
      </c>
      <c r="PE486" s="27" t="s">
        <v>8</v>
      </c>
      <c r="PF486" s="27" t="s">
        <v>7</v>
      </c>
      <c r="PG486" s="27" t="s">
        <v>8</v>
      </c>
      <c r="PH486" s="27" t="s">
        <v>7</v>
      </c>
      <c r="PI486" s="27" t="s">
        <v>8</v>
      </c>
      <c r="PN486" s="27" t="s">
        <v>7</v>
      </c>
    </row>
    <row r="487" spans="1:451" x14ac:dyDescent="0.25">
      <c r="A487" s="7">
        <v>7.2446461182523469</v>
      </c>
      <c r="B487"/>
      <c r="C487"/>
      <c r="D487"/>
      <c r="E487"/>
      <c r="FY487" s="27" t="s">
        <v>8</v>
      </c>
      <c r="GN487" s="27" t="s">
        <v>7</v>
      </c>
      <c r="GO487" s="27" t="s">
        <v>8</v>
      </c>
      <c r="GT487" s="27" t="s">
        <v>7</v>
      </c>
      <c r="GU487" s="27" t="s">
        <v>8</v>
      </c>
      <c r="GW487" s="27" t="s">
        <v>8</v>
      </c>
      <c r="HE487" s="27" t="s">
        <v>8</v>
      </c>
      <c r="HF487" s="27" t="s">
        <v>7</v>
      </c>
      <c r="IA487" s="27" t="s">
        <v>8</v>
      </c>
      <c r="IB487" s="27" t="s">
        <v>7</v>
      </c>
      <c r="IC487" s="27" t="s">
        <v>8</v>
      </c>
      <c r="ID487" s="27" t="s">
        <v>7</v>
      </c>
      <c r="II487" s="27" t="s">
        <v>8</v>
      </c>
      <c r="IK487" s="27" t="s">
        <v>8</v>
      </c>
      <c r="IL487" s="27" t="s">
        <v>7</v>
      </c>
      <c r="IQ487" s="27" t="s">
        <v>8</v>
      </c>
      <c r="IY487" s="27" t="s">
        <v>8</v>
      </c>
      <c r="IZ487" s="27" t="s">
        <v>7</v>
      </c>
      <c r="JA487" s="27" t="s">
        <v>8</v>
      </c>
      <c r="JF487" s="27" t="s">
        <v>7</v>
      </c>
      <c r="LT487" s="27" t="s">
        <v>7</v>
      </c>
      <c r="LU487" s="27" t="s">
        <v>8</v>
      </c>
      <c r="LV487" s="27" t="s">
        <v>7</v>
      </c>
      <c r="LX487" s="27" t="s">
        <v>7</v>
      </c>
      <c r="LY487" s="27" t="s">
        <v>8</v>
      </c>
      <c r="LZ487" s="27" t="s">
        <v>7</v>
      </c>
      <c r="MA487" s="27" t="s">
        <v>8</v>
      </c>
      <c r="MD487" s="27" t="s">
        <v>7</v>
      </c>
      <c r="ME487" s="27" t="s">
        <v>8</v>
      </c>
      <c r="MF487" s="27" t="s">
        <v>7</v>
      </c>
      <c r="MG487" s="27" t="s">
        <v>8</v>
      </c>
      <c r="MH487" s="27" t="s">
        <v>7</v>
      </c>
      <c r="NE487" s="27" t="s">
        <v>8</v>
      </c>
      <c r="NF487" s="27" t="s">
        <v>7</v>
      </c>
      <c r="NG487" s="27" t="s">
        <v>8</v>
      </c>
      <c r="NR487" s="27" t="s">
        <v>7</v>
      </c>
      <c r="NS487" s="27" t="s">
        <v>8</v>
      </c>
      <c r="NZ487" s="27" t="s">
        <v>7</v>
      </c>
      <c r="OA487" s="27" t="s">
        <v>8</v>
      </c>
      <c r="OB487" s="27" t="s">
        <v>7</v>
      </c>
      <c r="OC487" s="27" t="s">
        <v>8</v>
      </c>
      <c r="OD487" s="27" t="s">
        <v>7</v>
      </c>
      <c r="OE487" s="27" t="s">
        <v>8</v>
      </c>
      <c r="OJ487" s="27" t="s">
        <v>7</v>
      </c>
      <c r="OK487" s="27" t="s">
        <v>8</v>
      </c>
      <c r="PD487" s="27" t="s">
        <v>7</v>
      </c>
      <c r="PF487" s="27" t="s">
        <v>7</v>
      </c>
      <c r="PG487" s="27" t="s">
        <v>8</v>
      </c>
      <c r="PH487" s="27" t="s">
        <v>7</v>
      </c>
      <c r="PI487" s="27" t="s">
        <v>8</v>
      </c>
      <c r="PN487" s="27" t="s">
        <v>7</v>
      </c>
    </row>
    <row r="488" spans="1:451" x14ac:dyDescent="0.25">
      <c r="A488" s="7">
        <v>7.1025942335807324</v>
      </c>
      <c r="B488"/>
      <c r="C488"/>
      <c r="D488"/>
      <c r="E488"/>
      <c r="FY488" s="27" t="s">
        <v>8</v>
      </c>
      <c r="GN488" s="27" t="s">
        <v>7</v>
      </c>
      <c r="GO488" s="27" t="s">
        <v>8</v>
      </c>
      <c r="GT488" s="27" t="s">
        <v>7</v>
      </c>
      <c r="GU488" s="27" t="s">
        <v>8</v>
      </c>
      <c r="GV488" s="27" t="s">
        <v>7</v>
      </c>
      <c r="GW488" s="27" t="s">
        <v>8</v>
      </c>
      <c r="GX488" s="27" t="s">
        <v>7</v>
      </c>
      <c r="HE488" s="27" t="s">
        <v>8</v>
      </c>
      <c r="HF488" s="27" t="s">
        <v>7</v>
      </c>
      <c r="IA488" s="27" t="s">
        <v>8</v>
      </c>
      <c r="IB488" s="27" t="s">
        <v>7</v>
      </c>
      <c r="IC488" s="27" t="s">
        <v>8</v>
      </c>
      <c r="ID488" s="27" t="s">
        <v>7</v>
      </c>
      <c r="II488" s="27" t="s">
        <v>8</v>
      </c>
      <c r="IJ488" s="27" t="s">
        <v>7</v>
      </c>
      <c r="IK488" s="27" t="s">
        <v>8</v>
      </c>
      <c r="IL488" s="27" t="s">
        <v>7</v>
      </c>
      <c r="IQ488" s="27" t="s">
        <v>8</v>
      </c>
      <c r="IR488" s="27" t="s">
        <v>7</v>
      </c>
      <c r="IS488" s="27" t="s">
        <v>8</v>
      </c>
      <c r="IY488" s="27" t="s">
        <v>8</v>
      </c>
      <c r="IZ488" s="27" t="s">
        <v>7</v>
      </c>
      <c r="LT488" s="27" t="s">
        <v>7</v>
      </c>
      <c r="LU488" s="27" t="s">
        <v>8</v>
      </c>
      <c r="LX488" s="27" t="s">
        <v>7</v>
      </c>
      <c r="LY488" s="27" t="s">
        <v>8</v>
      </c>
      <c r="LZ488" s="27" t="s">
        <v>7</v>
      </c>
      <c r="MA488" s="27" t="s">
        <v>8</v>
      </c>
      <c r="MD488" s="27" t="s">
        <v>7</v>
      </c>
      <c r="ME488" s="27" t="s">
        <v>8</v>
      </c>
      <c r="MF488" s="27" t="s">
        <v>7</v>
      </c>
      <c r="MG488" s="27" t="s">
        <v>8</v>
      </c>
      <c r="MH488" s="27" t="s">
        <v>7</v>
      </c>
      <c r="MO488" s="27" t="s">
        <v>8</v>
      </c>
      <c r="NE488" s="27" t="s">
        <v>8</v>
      </c>
      <c r="NF488" s="27" t="s">
        <v>7</v>
      </c>
      <c r="NG488" s="27" t="s">
        <v>8</v>
      </c>
      <c r="NR488" s="27" t="s">
        <v>7</v>
      </c>
      <c r="NZ488" s="27" t="s">
        <v>7</v>
      </c>
      <c r="OA488" s="27" t="s">
        <v>8</v>
      </c>
      <c r="OB488" s="27" t="s">
        <v>7</v>
      </c>
      <c r="OC488" s="27" t="s">
        <v>8</v>
      </c>
      <c r="OD488" s="27" t="s">
        <v>7</v>
      </c>
      <c r="OE488" s="27" t="s">
        <v>8</v>
      </c>
      <c r="OJ488" s="27" t="s">
        <v>7</v>
      </c>
      <c r="PF488" s="27" t="s">
        <v>7</v>
      </c>
      <c r="PG488" s="27" t="s">
        <v>8</v>
      </c>
      <c r="PH488" s="27" t="s">
        <v>7</v>
      </c>
      <c r="PN488" s="27" t="s">
        <v>7</v>
      </c>
    </row>
    <row r="489" spans="1:451" x14ac:dyDescent="0.25">
      <c r="A489" s="7">
        <v>6.9633276799811101</v>
      </c>
      <c r="B489"/>
      <c r="C489"/>
      <c r="D489"/>
      <c r="E489"/>
      <c r="FY489" s="27" t="s">
        <v>8</v>
      </c>
      <c r="GN489" s="27" t="s">
        <v>7</v>
      </c>
      <c r="GO489" s="27" t="s">
        <v>8</v>
      </c>
      <c r="GT489" s="27" t="s">
        <v>7</v>
      </c>
      <c r="GU489" s="27" t="s">
        <v>8</v>
      </c>
      <c r="GV489" s="27" t="s">
        <v>7</v>
      </c>
      <c r="GW489" s="27" t="s">
        <v>8</v>
      </c>
      <c r="GX489" s="27" t="s">
        <v>7</v>
      </c>
      <c r="GY489" s="27" t="s">
        <v>8</v>
      </c>
      <c r="HA489" s="27" t="s">
        <v>8</v>
      </c>
      <c r="HE489" s="27" t="s">
        <v>8</v>
      </c>
      <c r="HF489" s="27" t="s">
        <v>7</v>
      </c>
      <c r="IA489" s="27" t="s">
        <v>8</v>
      </c>
      <c r="IB489" s="27" t="s">
        <v>7</v>
      </c>
      <c r="IC489" s="27" t="s">
        <v>8</v>
      </c>
      <c r="ID489" s="27" t="s">
        <v>7</v>
      </c>
      <c r="II489" s="27" t="s">
        <v>8</v>
      </c>
      <c r="IJ489" s="27" t="s">
        <v>7</v>
      </c>
      <c r="IK489" s="27" t="s">
        <v>8</v>
      </c>
      <c r="IL489" s="27" t="s">
        <v>7</v>
      </c>
      <c r="IM489" s="27" t="s">
        <v>8</v>
      </c>
      <c r="IO489" s="27" t="s">
        <v>8</v>
      </c>
      <c r="IQ489" s="27" t="s">
        <v>8</v>
      </c>
      <c r="IR489" s="27" t="s">
        <v>7</v>
      </c>
      <c r="IS489" s="27" t="s">
        <v>8</v>
      </c>
      <c r="IT489" s="27" t="s">
        <v>7</v>
      </c>
      <c r="IY489" s="27" t="s">
        <v>8</v>
      </c>
      <c r="LT489" s="27" t="s">
        <v>7</v>
      </c>
      <c r="LU489" s="27" t="s">
        <v>8</v>
      </c>
      <c r="LX489" s="27" t="s">
        <v>7</v>
      </c>
      <c r="LY489" s="27" t="s">
        <v>8</v>
      </c>
      <c r="LZ489" s="27" t="s">
        <v>7</v>
      </c>
      <c r="MA489" s="27" t="s">
        <v>8</v>
      </c>
      <c r="MD489" s="27" t="s">
        <v>7</v>
      </c>
      <c r="ME489" s="27" t="s">
        <v>8</v>
      </c>
      <c r="MF489" s="27" t="s">
        <v>7</v>
      </c>
      <c r="MG489" s="27" t="s">
        <v>8</v>
      </c>
      <c r="MH489" s="27" t="s">
        <v>7</v>
      </c>
      <c r="MO489" s="27" t="s">
        <v>8</v>
      </c>
      <c r="MP489" s="27" t="s">
        <v>7</v>
      </c>
      <c r="NE489" s="27" t="s">
        <v>8</v>
      </c>
      <c r="NF489" s="27" t="s">
        <v>7</v>
      </c>
      <c r="NG489" s="27" t="s">
        <v>8</v>
      </c>
      <c r="NZ489" s="27" t="s">
        <v>7</v>
      </c>
      <c r="OA489" s="27" t="s">
        <v>8</v>
      </c>
      <c r="OB489" s="27" t="s">
        <v>7</v>
      </c>
      <c r="OC489" s="27" t="s">
        <v>8</v>
      </c>
      <c r="OD489" s="27" t="s">
        <v>7</v>
      </c>
      <c r="OE489" s="27" t="s">
        <v>8</v>
      </c>
      <c r="PF489" s="27" t="s">
        <v>7</v>
      </c>
      <c r="PN489" s="27" t="s">
        <v>7</v>
      </c>
      <c r="QE489" s="27" t="s">
        <v>8</v>
      </c>
    </row>
    <row r="490" spans="1:451" x14ac:dyDescent="0.25">
      <c r="A490" s="7">
        <v>6.8267918431187349</v>
      </c>
      <c r="B490"/>
      <c r="C490"/>
      <c r="D490"/>
      <c r="E490"/>
      <c r="FY490" s="27" t="s">
        <v>8</v>
      </c>
      <c r="GN490" s="27" t="s">
        <v>7</v>
      </c>
      <c r="GO490" s="27" t="s">
        <v>8</v>
      </c>
      <c r="GT490" s="27" t="s">
        <v>7</v>
      </c>
      <c r="GU490" s="27" t="s">
        <v>8</v>
      </c>
      <c r="GV490" s="27" t="s">
        <v>7</v>
      </c>
      <c r="GW490" s="27" t="s">
        <v>8</v>
      </c>
      <c r="GX490" s="27" t="s">
        <v>7</v>
      </c>
      <c r="GY490" s="27" t="s">
        <v>8</v>
      </c>
      <c r="GZ490" s="27" t="s">
        <v>7</v>
      </c>
      <c r="HA490" s="27" t="s">
        <v>8</v>
      </c>
      <c r="HB490" s="27" t="s">
        <v>7</v>
      </c>
      <c r="HE490" s="27" t="s">
        <v>8</v>
      </c>
      <c r="HF490" s="27" t="s">
        <v>7</v>
      </c>
      <c r="HY490" s="27" t="s">
        <v>8</v>
      </c>
      <c r="IA490" s="27" t="s">
        <v>8</v>
      </c>
      <c r="IB490" s="27" t="s">
        <v>7</v>
      </c>
      <c r="IC490" s="27" t="s">
        <v>8</v>
      </c>
      <c r="ID490" s="27" t="s">
        <v>7</v>
      </c>
      <c r="II490" s="27" t="s">
        <v>8</v>
      </c>
      <c r="IJ490" s="27" t="s">
        <v>7</v>
      </c>
      <c r="IK490" s="27" t="s">
        <v>8</v>
      </c>
      <c r="IL490" s="27" t="s">
        <v>7</v>
      </c>
      <c r="IM490" s="27" t="s">
        <v>8</v>
      </c>
      <c r="IN490" s="27" t="s">
        <v>7</v>
      </c>
      <c r="IO490" s="27" t="s">
        <v>8</v>
      </c>
      <c r="IP490" s="27" t="s">
        <v>7</v>
      </c>
      <c r="IQ490" s="27" t="s">
        <v>8</v>
      </c>
      <c r="IR490" s="27" t="s">
        <v>7</v>
      </c>
      <c r="IS490" s="27" t="s">
        <v>8</v>
      </c>
      <c r="IT490" s="27" t="s">
        <v>7</v>
      </c>
      <c r="IY490" s="27" t="s">
        <v>8</v>
      </c>
      <c r="LT490" s="27" t="s">
        <v>7</v>
      </c>
      <c r="LU490" s="27" t="s">
        <v>8</v>
      </c>
      <c r="LX490" s="27" t="s">
        <v>7</v>
      </c>
      <c r="LY490" s="27" t="s">
        <v>8</v>
      </c>
      <c r="LZ490" s="27" t="s">
        <v>7</v>
      </c>
      <c r="MA490" s="27" t="s">
        <v>8</v>
      </c>
      <c r="MD490" s="27" t="s">
        <v>7</v>
      </c>
      <c r="ME490" s="27" t="s">
        <v>8</v>
      </c>
      <c r="MF490" s="27" t="s">
        <v>7</v>
      </c>
      <c r="MG490" s="27" t="s">
        <v>8</v>
      </c>
      <c r="MH490" s="27" t="s">
        <v>7</v>
      </c>
      <c r="MO490" s="27" t="s">
        <v>8</v>
      </c>
      <c r="MP490" s="27" t="s">
        <v>7</v>
      </c>
      <c r="MQ490" s="27" t="s">
        <v>8</v>
      </c>
      <c r="MS490" s="27" t="s">
        <v>8</v>
      </c>
      <c r="NE490" s="27" t="s">
        <v>8</v>
      </c>
      <c r="NF490" s="27" t="s">
        <v>7</v>
      </c>
      <c r="NZ490" s="27" t="s">
        <v>7</v>
      </c>
      <c r="OB490" s="27" t="s">
        <v>7</v>
      </c>
      <c r="OD490" s="27" t="s">
        <v>7</v>
      </c>
      <c r="PN490" s="27" t="s">
        <v>7</v>
      </c>
      <c r="QE490" s="27" t="s">
        <v>8</v>
      </c>
      <c r="QF490" s="27" t="s">
        <v>7</v>
      </c>
    </row>
    <row r="491" spans="1:451" x14ac:dyDescent="0.25">
      <c r="A491" s="7">
        <v>6.692933179528171</v>
      </c>
      <c r="B491"/>
      <c r="C491"/>
      <c r="D491"/>
      <c r="E491"/>
      <c r="FY491" s="27" t="s">
        <v>8</v>
      </c>
      <c r="GN491" s="27" t="s">
        <v>7</v>
      </c>
      <c r="GO491" s="27" t="s">
        <v>8</v>
      </c>
      <c r="GT491" s="27" t="s">
        <v>7</v>
      </c>
      <c r="GU491" s="27" t="s">
        <v>8</v>
      </c>
      <c r="GV491" s="27" t="s">
        <v>7</v>
      </c>
      <c r="GW491" s="27" t="s">
        <v>8</v>
      </c>
      <c r="GX491" s="27" t="s">
        <v>7</v>
      </c>
      <c r="GY491" s="27" t="s">
        <v>8</v>
      </c>
      <c r="GZ491" s="27" t="s">
        <v>7</v>
      </c>
      <c r="HA491" s="27" t="s">
        <v>8</v>
      </c>
      <c r="HB491" s="27" t="s">
        <v>7</v>
      </c>
      <c r="HE491" s="27" t="s">
        <v>8</v>
      </c>
      <c r="HF491" s="27" t="s">
        <v>7</v>
      </c>
      <c r="HY491" s="27" t="s">
        <v>8</v>
      </c>
      <c r="HZ491" s="27" t="s">
        <v>7</v>
      </c>
      <c r="IA491" s="27" t="s">
        <v>8</v>
      </c>
      <c r="IB491" s="27" t="s">
        <v>7</v>
      </c>
      <c r="IC491" s="27" t="s">
        <v>8</v>
      </c>
      <c r="ID491" s="27" t="s">
        <v>7</v>
      </c>
      <c r="II491" s="27" t="s">
        <v>8</v>
      </c>
      <c r="IJ491" s="27" t="s">
        <v>7</v>
      </c>
      <c r="IK491" s="27" t="s">
        <v>8</v>
      </c>
      <c r="IL491" s="27" t="s">
        <v>7</v>
      </c>
      <c r="IM491" s="27" t="s">
        <v>8</v>
      </c>
      <c r="IN491" s="27" t="s">
        <v>7</v>
      </c>
      <c r="IO491" s="27" t="s">
        <v>8</v>
      </c>
      <c r="IP491" s="27" t="s">
        <v>7</v>
      </c>
      <c r="IQ491" s="27" t="s">
        <v>8</v>
      </c>
      <c r="IR491" s="27" t="s">
        <v>7</v>
      </c>
      <c r="IS491" s="27" t="s">
        <v>8</v>
      </c>
      <c r="IT491" s="27" t="s">
        <v>7</v>
      </c>
      <c r="IY491" s="27" t="s">
        <v>8</v>
      </c>
      <c r="LT491" s="27" t="s">
        <v>7</v>
      </c>
      <c r="LU491" s="27" t="s">
        <v>8</v>
      </c>
      <c r="LX491" s="27" t="s">
        <v>7</v>
      </c>
      <c r="LY491" s="27" t="s">
        <v>8</v>
      </c>
      <c r="LZ491" s="27" t="s">
        <v>7</v>
      </c>
      <c r="MA491" s="27" t="s">
        <v>8</v>
      </c>
      <c r="MD491" s="27" t="s">
        <v>7</v>
      </c>
      <c r="ME491" s="27" t="s">
        <v>8</v>
      </c>
      <c r="MF491" s="27" t="s">
        <v>7</v>
      </c>
      <c r="MG491" s="27" t="s">
        <v>8</v>
      </c>
      <c r="MH491" s="27" t="s">
        <v>7</v>
      </c>
      <c r="MO491" s="27" t="s">
        <v>8</v>
      </c>
      <c r="MP491" s="27" t="s">
        <v>7</v>
      </c>
      <c r="MQ491" s="27" t="s">
        <v>8</v>
      </c>
      <c r="MR491" s="27" t="s">
        <v>7</v>
      </c>
      <c r="MS491" s="27" t="s">
        <v>8</v>
      </c>
      <c r="MT491" s="27" t="s">
        <v>7</v>
      </c>
      <c r="NC491" s="27" t="s">
        <v>8</v>
      </c>
      <c r="NE491" s="27" t="s">
        <v>8</v>
      </c>
      <c r="PN491" s="27" t="s">
        <v>7</v>
      </c>
      <c r="QE491" s="27" t="s">
        <v>8</v>
      </c>
      <c r="QF491" s="27" t="s">
        <v>7</v>
      </c>
    </row>
    <row r="492" spans="1:451" x14ac:dyDescent="0.25">
      <c r="A492" s="7">
        <v>6.5616991956158541</v>
      </c>
      <c r="B492"/>
      <c r="C492"/>
      <c r="D492"/>
      <c r="E492"/>
      <c r="FY492" s="27" t="s">
        <v>8</v>
      </c>
      <c r="GN492" s="27" t="s">
        <v>7</v>
      </c>
      <c r="GT492" s="27" t="s">
        <v>7</v>
      </c>
      <c r="GU492" s="27" t="s">
        <v>8</v>
      </c>
      <c r="GV492" s="27" t="s">
        <v>7</v>
      </c>
      <c r="GW492" s="27" t="s">
        <v>8</v>
      </c>
      <c r="GX492" s="27" t="s">
        <v>7</v>
      </c>
      <c r="GY492" s="27" t="s">
        <v>8</v>
      </c>
      <c r="GZ492" s="27" t="s">
        <v>7</v>
      </c>
      <c r="HA492" s="27" t="s">
        <v>8</v>
      </c>
      <c r="HB492" s="27" t="s">
        <v>7</v>
      </c>
      <c r="HE492" s="27" t="s">
        <v>8</v>
      </c>
      <c r="HF492" s="27" t="s">
        <v>7</v>
      </c>
      <c r="HG492" s="27" t="s">
        <v>8</v>
      </c>
      <c r="HY492" s="27" t="s">
        <v>8</v>
      </c>
      <c r="HZ492" s="27" t="s">
        <v>7</v>
      </c>
      <c r="IA492" s="27" t="s">
        <v>8</v>
      </c>
      <c r="IB492" s="27" t="s">
        <v>7</v>
      </c>
      <c r="ID492" s="27" t="s">
        <v>7</v>
      </c>
      <c r="IG492" s="27" t="s">
        <v>8</v>
      </c>
      <c r="II492" s="27" t="s">
        <v>8</v>
      </c>
      <c r="IJ492" s="27" t="s">
        <v>7</v>
      </c>
      <c r="IK492" s="27" t="s">
        <v>8</v>
      </c>
      <c r="IL492" s="27" t="s">
        <v>7</v>
      </c>
      <c r="IM492" s="27" t="s">
        <v>8</v>
      </c>
      <c r="IN492" s="27" t="s">
        <v>7</v>
      </c>
      <c r="IO492" s="27" t="s">
        <v>8</v>
      </c>
      <c r="IP492" s="27" t="s">
        <v>7</v>
      </c>
      <c r="IQ492" s="27" t="s">
        <v>8</v>
      </c>
      <c r="IR492" s="27" t="s">
        <v>7</v>
      </c>
      <c r="IT492" s="27" t="s">
        <v>7</v>
      </c>
      <c r="IY492" s="27" t="s">
        <v>8</v>
      </c>
      <c r="LT492" s="27" t="s">
        <v>7</v>
      </c>
      <c r="LU492" s="27" t="s">
        <v>8</v>
      </c>
      <c r="LX492" s="27" t="s">
        <v>7</v>
      </c>
      <c r="LY492" s="27" t="s">
        <v>8</v>
      </c>
      <c r="LZ492" s="27" t="s">
        <v>7</v>
      </c>
      <c r="MA492" s="27" t="s">
        <v>8</v>
      </c>
      <c r="MD492" s="27" t="s">
        <v>7</v>
      </c>
      <c r="ME492" s="27" t="s">
        <v>8</v>
      </c>
      <c r="MF492" s="27" t="s">
        <v>7</v>
      </c>
      <c r="MG492" s="27" t="s">
        <v>8</v>
      </c>
      <c r="MH492" s="27" t="s">
        <v>7</v>
      </c>
      <c r="MO492" s="27" t="s">
        <v>8</v>
      </c>
      <c r="MP492" s="27" t="s">
        <v>7</v>
      </c>
      <c r="MQ492" s="27" t="s">
        <v>8</v>
      </c>
      <c r="MR492" s="27" t="s">
        <v>7</v>
      </c>
      <c r="MS492" s="27" t="s">
        <v>8</v>
      </c>
      <c r="MT492" s="27" t="s">
        <v>7</v>
      </c>
      <c r="NC492" s="27" t="s">
        <v>8</v>
      </c>
      <c r="ND492" s="27" t="s">
        <v>7</v>
      </c>
      <c r="NE492" s="27" t="s">
        <v>8</v>
      </c>
      <c r="PN492" s="27" t="s">
        <v>7</v>
      </c>
      <c r="QE492" s="27" t="s">
        <v>8</v>
      </c>
      <c r="QF492" s="27" t="s">
        <v>7</v>
      </c>
    </row>
    <row r="493" spans="1:451" x14ac:dyDescent="0.25">
      <c r="A493" s="7">
        <v>6.4330384270743668</v>
      </c>
      <c r="B493"/>
      <c r="C493"/>
      <c r="D493"/>
      <c r="E493"/>
      <c r="FY493" s="27" t="s">
        <v>8</v>
      </c>
      <c r="GT493" s="27" t="s">
        <v>7</v>
      </c>
      <c r="GU493" s="27" t="s">
        <v>8</v>
      </c>
      <c r="GV493" s="27" t="s">
        <v>7</v>
      </c>
      <c r="GW493" s="27" t="s">
        <v>8</v>
      </c>
      <c r="GX493" s="27" t="s">
        <v>7</v>
      </c>
      <c r="GY493" s="27" t="s">
        <v>8</v>
      </c>
      <c r="GZ493" s="27" t="s">
        <v>7</v>
      </c>
      <c r="HA493" s="27" t="s">
        <v>8</v>
      </c>
      <c r="HB493" s="27" t="s">
        <v>7</v>
      </c>
      <c r="HE493" s="27" t="s">
        <v>8</v>
      </c>
      <c r="HF493" s="27" t="s">
        <v>7</v>
      </c>
      <c r="HG493" s="27" t="s">
        <v>8</v>
      </c>
      <c r="HH493" s="27" t="s">
        <v>7</v>
      </c>
      <c r="HI493" s="27" t="s">
        <v>8</v>
      </c>
      <c r="HY493" s="27" t="s">
        <v>8</v>
      </c>
      <c r="HZ493" s="27" t="s">
        <v>7</v>
      </c>
      <c r="IA493" s="27" t="s">
        <v>8</v>
      </c>
      <c r="ID493" s="27" t="s">
        <v>7</v>
      </c>
      <c r="IG493" s="27" t="s">
        <v>8</v>
      </c>
      <c r="IH493" s="27" t="s">
        <v>7</v>
      </c>
      <c r="II493" s="27" t="s">
        <v>8</v>
      </c>
      <c r="IJ493" s="27" t="s">
        <v>7</v>
      </c>
      <c r="IK493" s="27" t="s">
        <v>8</v>
      </c>
      <c r="IL493" s="27" t="s">
        <v>7</v>
      </c>
      <c r="IM493" s="27" t="s">
        <v>8</v>
      </c>
      <c r="IN493" s="27" t="s">
        <v>7</v>
      </c>
      <c r="IO493" s="27" t="s">
        <v>8</v>
      </c>
      <c r="IP493" s="27" t="s">
        <v>7</v>
      </c>
      <c r="IQ493" s="27" t="s">
        <v>8</v>
      </c>
      <c r="IT493" s="27" t="s">
        <v>7</v>
      </c>
      <c r="IY493" s="27" t="s">
        <v>8</v>
      </c>
      <c r="LT493" s="27" t="s">
        <v>7</v>
      </c>
      <c r="LU493" s="27" t="s">
        <v>8</v>
      </c>
      <c r="LX493" s="27" t="s">
        <v>7</v>
      </c>
      <c r="LY493" s="27" t="s">
        <v>8</v>
      </c>
      <c r="LZ493" s="27" t="s">
        <v>7</v>
      </c>
      <c r="MD493" s="27" t="s">
        <v>7</v>
      </c>
      <c r="MF493" s="27" t="s">
        <v>7</v>
      </c>
      <c r="MG493" s="27" t="s">
        <v>8</v>
      </c>
      <c r="MH493" s="27" t="s">
        <v>7</v>
      </c>
      <c r="MM493" s="27" t="s">
        <v>8</v>
      </c>
      <c r="MO493" s="27" t="s">
        <v>8</v>
      </c>
      <c r="MP493" s="27" t="s">
        <v>7</v>
      </c>
      <c r="MQ493" s="27" t="s">
        <v>8</v>
      </c>
      <c r="MR493" s="27" t="s">
        <v>7</v>
      </c>
      <c r="MS493" s="27" t="s">
        <v>8</v>
      </c>
      <c r="MT493" s="27" t="s">
        <v>7</v>
      </c>
      <c r="NA493" s="27" t="s">
        <v>8</v>
      </c>
      <c r="NC493" s="27" t="s">
        <v>8</v>
      </c>
      <c r="ND493" s="27" t="s">
        <v>7</v>
      </c>
      <c r="NE493" s="27" t="s">
        <v>8</v>
      </c>
      <c r="PN493" s="27" t="s">
        <v>7</v>
      </c>
      <c r="QE493" s="27" t="s">
        <v>8</v>
      </c>
      <c r="QF493" s="27" t="s">
        <v>7</v>
      </c>
    </row>
    <row r="494" spans="1:451" x14ac:dyDescent="0.25">
      <c r="A494" s="7">
        <v>6.3069004187003594</v>
      </c>
      <c r="B494"/>
      <c r="C494"/>
      <c r="D494"/>
      <c r="E494"/>
      <c r="FY494" s="27" t="s">
        <v>8</v>
      </c>
      <c r="GT494" s="27" t="s">
        <v>7</v>
      </c>
      <c r="GU494" s="27" t="s">
        <v>8</v>
      </c>
      <c r="GV494" s="27" t="s">
        <v>7</v>
      </c>
      <c r="GW494" s="27" t="s">
        <v>8</v>
      </c>
      <c r="GX494" s="27" t="s">
        <v>7</v>
      </c>
      <c r="GZ494" s="27" t="s">
        <v>7</v>
      </c>
      <c r="HB494" s="27" t="s">
        <v>7</v>
      </c>
      <c r="HE494" s="27" t="s">
        <v>8</v>
      </c>
      <c r="HF494" s="27" t="s">
        <v>7</v>
      </c>
      <c r="HG494" s="27" t="s">
        <v>8</v>
      </c>
      <c r="HH494" s="27" t="s">
        <v>7</v>
      </c>
      <c r="HI494" s="27" t="s">
        <v>8</v>
      </c>
      <c r="HJ494" s="27" t="s">
        <v>7</v>
      </c>
      <c r="HU494" s="27" t="s">
        <v>8</v>
      </c>
      <c r="HY494" s="27" t="s">
        <v>8</v>
      </c>
      <c r="HZ494" s="27" t="s">
        <v>7</v>
      </c>
      <c r="IA494" s="27" t="s">
        <v>8</v>
      </c>
      <c r="ID494" s="27" t="s">
        <v>7</v>
      </c>
      <c r="IG494" s="27" t="s">
        <v>8</v>
      </c>
      <c r="IH494" s="27" t="s">
        <v>7</v>
      </c>
      <c r="II494" s="27" t="s">
        <v>8</v>
      </c>
      <c r="IJ494" s="27" t="s">
        <v>7</v>
      </c>
      <c r="IL494" s="27" t="s">
        <v>7</v>
      </c>
      <c r="IM494" s="27" t="s">
        <v>8</v>
      </c>
      <c r="IN494" s="27" t="s">
        <v>7</v>
      </c>
      <c r="IO494" s="27" t="s">
        <v>8</v>
      </c>
      <c r="IP494" s="27" t="s">
        <v>7</v>
      </c>
      <c r="IT494" s="27" t="s">
        <v>7</v>
      </c>
      <c r="IY494" s="27" t="s">
        <v>8</v>
      </c>
      <c r="LT494" s="27" t="s">
        <v>7</v>
      </c>
      <c r="LU494" s="27" t="s">
        <v>8</v>
      </c>
      <c r="LX494" s="27" t="s">
        <v>7</v>
      </c>
      <c r="LY494" s="27" t="s">
        <v>8</v>
      </c>
      <c r="MF494" s="27" t="s">
        <v>7</v>
      </c>
      <c r="MG494" s="27" t="s">
        <v>8</v>
      </c>
      <c r="MH494" s="27" t="s">
        <v>7</v>
      </c>
      <c r="MM494" s="27" t="s">
        <v>8</v>
      </c>
      <c r="MN494" s="27" t="s">
        <v>7</v>
      </c>
      <c r="MO494" s="27" t="s">
        <v>8</v>
      </c>
      <c r="MP494" s="27" t="s">
        <v>7</v>
      </c>
      <c r="MQ494" s="27" t="s">
        <v>8</v>
      </c>
      <c r="MR494" s="27" t="s">
        <v>7</v>
      </c>
      <c r="MS494" s="27" t="s">
        <v>8</v>
      </c>
      <c r="MT494" s="27" t="s">
        <v>7</v>
      </c>
      <c r="NA494" s="27" t="s">
        <v>8</v>
      </c>
      <c r="NB494" s="27" t="s">
        <v>7</v>
      </c>
      <c r="NC494" s="27" t="s">
        <v>8</v>
      </c>
      <c r="ND494" s="27" t="s">
        <v>7</v>
      </c>
      <c r="NE494" s="27" t="s">
        <v>8</v>
      </c>
      <c r="PN494" s="27" t="s">
        <v>7</v>
      </c>
      <c r="PO494" s="27" t="s">
        <v>8</v>
      </c>
      <c r="QE494" s="27" t="s">
        <v>8</v>
      </c>
      <c r="QF494" s="27" t="s">
        <v>7</v>
      </c>
    </row>
    <row r="495" spans="1:451" x14ac:dyDescent="0.25">
      <c r="A495" s="7">
        <v>6.1832357046081956</v>
      </c>
      <c r="B495"/>
      <c r="C495"/>
      <c r="D495"/>
      <c r="E495"/>
      <c r="FY495" s="27" t="s">
        <v>8</v>
      </c>
      <c r="GT495" s="27" t="s">
        <v>7</v>
      </c>
      <c r="GU495" s="27" t="s">
        <v>8</v>
      </c>
      <c r="GV495" s="27" t="s">
        <v>7</v>
      </c>
      <c r="GW495" s="27" t="s">
        <v>8</v>
      </c>
      <c r="HB495" s="27" t="s">
        <v>7</v>
      </c>
      <c r="HC495" s="27" t="s">
        <v>8</v>
      </c>
      <c r="HE495" s="27" t="s">
        <v>8</v>
      </c>
      <c r="HF495" s="27" t="s">
        <v>7</v>
      </c>
      <c r="HG495" s="27" t="s">
        <v>8</v>
      </c>
      <c r="HH495" s="27" t="s">
        <v>7</v>
      </c>
      <c r="HI495" s="27" t="s">
        <v>8</v>
      </c>
      <c r="HJ495" s="27" t="s">
        <v>7</v>
      </c>
      <c r="HS495" s="27" t="s">
        <v>8</v>
      </c>
      <c r="HU495" s="27" t="s">
        <v>8</v>
      </c>
      <c r="HV495" s="27" t="s">
        <v>7</v>
      </c>
      <c r="HY495" s="27" t="s">
        <v>8</v>
      </c>
      <c r="HZ495" s="27" t="s">
        <v>7</v>
      </c>
      <c r="IA495" s="27" t="s">
        <v>8</v>
      </c>
      <c r="ID495" s="27" t="s">
        <v>7</v>
      </c>
      <c r="IE495" s="27" t="s">
        <v>8</v>
      </c>
      <c r="IG495" s="27" t="s">
        <v>8</v>
      </c>
      <c r="IH495" s="27" t="s">
        <v>7</v>
      </c>
      <c r="II495" s="27" t="s">
        <v>8</v>
      </c>
      <c r="IL495" s="27" t="s">
        <v>7</v>
      </c>
      <c r="IM495" s="27" t="s">
        <v>8</v>
      </c>
      <c r="IN495" s="27" t="s">
        <v>7</v>
      </c>
      <c r="IO495" s="27" t="s">
        <v>8</v>
      </c>
      <c r="IT495" s="27" t="s">
        <v>7</v>
      </c>
      <c r="IY495" s="27" t="s">
        <v>8</v>
      </c>
      <c r="LT495" s="27" t="s">
        <v>7</v>
      </c>
      <c r="LU495" s="27" t="s">
        <v>8</v>
      </c>
      <c r="LX495" s="27" t="s">
        <v>7</v>
      </c>
      <c r="LY495" s="27" t="s">
        <v>8</v>
      </c>
      <c r="MF495" s="27" t="s">
        <v>7</v>
      </c>
      <c r="MH495" s="27" t="s">
        <v>7</v>
      </c>
      <c r="MM495" s="27" t="s">
        <v>8</v>
      </c>
      <c r="MN495" s="27" t="s">
        <v>7</v>
      </c>
      <c r="MO495" s="27" t="s">
        <v>8</v>
      </c>
      <c r="MP495" s="27" t="s">
        <v>7</v>
      </c>
      <c r="MQ495" s="27" t="s">
        <v>8</v>
      </c>
      <c r="MR495" s="27" t="s">
        <v>7</v>
      </c>
      <c r="MT495" s="27" t="s">
        <v>7</v>
      </c>
      <c r="NA495" s="27" t="s">
        <v>8</v>
      </c>
      <c r="NB495" s="27" t="s">
        <v>7</v>
      </c>
      <c r="NC495" s="27" t="s">
        <v>8</v>
      </c>
      <c r="ND495" s="27" t="s">
        <v>7</v>
      </c>
      <c r="NE495" s="27" t="s">
        <v>8</v>
      </c>
      <c r="PN495" s="27" t="s">
        <v>7</v>
      </c>
      <c r="PO495" s="27" t="s">
        <v>8</v>
      </c>
      <c r="PP495" s="27" t="s">
        <v>7</v>
      </c>
      <c r="PQ495" s="27" t="s">
        <v>8</v>
      </c>
      <c r="QC495" s="27" t="s">
        <v>8</v>
      </c>
      <c r="QE495" s="27" t="s">
        <v>8</v>
      </c>
      <c r="QF495" s="27" t="s">
        <v>7</v>
      </c>
    </row>
    <row r="496" spans="1:451" x14ac:dyDescent="0.25">
      <c r="A496" s="7">
        <v>6.0619957888315641</v>
      </c>
      <c r="B496"/>
      <c r="C496"/>
      <c r="D496"/>
      <c r="E496"/>
      <c r="FY496" s="27" t="s">
        <v>8</v>
      </c>
      <c r="GT496" s="27" t="s">
        <v>7</v>
      </c>
      <c r="GU496" s="27" t="s">
        <v>8</v>
      </c>
      <c r="GV496" s="27" t="s">
        <v>7</v>
      </c>
      <c r="GW496" s="27" t="s">
        <v>8</v>
      </c>
      <c r="HB496" s="27" t="s">
        <v>7</v>
      </c>
      <c r="HC496" s="27" t="s">
        <v>8</v>
      </c>
      <c r="HD496" s="27" t="s">
        <v>7</v>
      </c>
      <c r="HE496" s="27" t="s">
        <v>8</v>
      </c>
      <c r="HF496" s="27" t="s">
        <v>7</v>
      </c>
      <c r="HG496" s="27" t="s">
        <v>8</v>
      </c>
      <c r="HH496" s="27" t="s">
        <v>7</v>
      </c>
      <c r="HI496" s="27" t="s">
        <v>8</v>
      </c>
      <c r="HJ496" s="27" t="s">
        <v>7</v>
      </c>
      <c r="HK496" s="27" t="s">
        <v>8</v>
      </c>
      <c r="HS496" s="27" t="s">
        <v>8</v>
      </c>
      <c r="HT496" s="27" t="s">
        <v>7</v>
      </c>
      <c r="HU496" s="27" t="s">
        <v>8</v>
      </c>
      <c r="HV496" s="27" t="s">
        <v>7</v>
      </c>
      <c r="HW496" s="27" t="s">
        <v>8</v>
      </c>
      <c r="HY496" s="27" t="s">
        <v>8</v>
      </c>
      <c r="HZ496" s="27" t="s">
        <v>7</v>
      </c>
      <c r="IA496" s="27" t="s">
        <v>8</v>
      </c>
      <c r="ID496" s="27" t="s">
        <v>7</v>
      </c>
      <c r="IE496" s="27" t="s">
        <v>8</v>
      </c>
      <c r="IF496" s="27" t="s">
        <v>7</v>
      </c>
      <c r="IG496" s="27" t="s">
        <v>8</v>
      </c>
      <c r="IH496" s="27" t="s">
        <v>7</v>
      </c>
      <c r="II496" s="27" t="s">
        <v>8</v>
      </c>
      <c r="IL496" s="27" t="s">
        <v>7</v>
      </c>
      <c r="IN496" s="27" t="s">
        <v>7</v>
      </c>
      <c r="IO496" s="27" t="s">
        <v>8</v>
      </c>
      <c r="IT496" s="27" t="s">
        <v>7</v>
      </c>
      <c r="IW496" s="27" t="s">
        <v>8</v>
      </c>
      <c r="IY496" s="27" t="s">
        <v>8</v>
      </c>
      <c r="LT496" s="27" t="s">
        <v>7</v>
      </c>
      <c r="LU496" s="27" t="s">
        <v>8</v>
      </c>
      <c r="LX496" s="27" t="s">
        <v>7</v>
      </c>
      <c r="LY496" s="27" t="s">
        <v>8</v>
      </c>
      <c r="MH496" s="27" t="s">
        <v>7</v>
      </c>
      <c r="MK496" s="27" t="s">
        <v>8</v>
      </c>
      <c r="MM496" s="27" t="s">
        <v>8</v>
      </c>
      <c r="MN496" s="27" t="s">
        <v>7</v>
      </c>
      <c r="MO496" s="27" t="s">
        <v>8</v>
      </c>
      <c r="MP496" s="27" t="s">
        <v>7</v>
      </c>
      <c r="MQ496" s="27" t="s">
        <v>8</v>
      </c>
      <c r="MT496" s="27" t="s">
        <v>7</v>
      </c>
      <c r="MY496" s="27" t="s">
        <v>8</v>
      </c>
      <c r="NA496" s="27" t="s">
        <v>8</v>
      </c>
      <c r="NB496" s="27" t="s">
        <v>7</v>
      </c>
      <c r="NC496" s="27" t="s">
        <v>8</v>
      </c>
      <c r="ND496" s="27" t="s">
        <v>7</v>
      </c>
      <c r="PN496" s="27" t="s">
        <v>7</v>
      </c>
      <c r="PO496" s="27" t="s">
        <v>8</v>
      </c>
      <c r="PP496" s="27" t="s">
        <v>7</v>
      </c>
      <c r="PQ496" s="27" t="s">
        <v>8</v>
      </c>
      <c r="PR496" s="27" t="s">
        <v>7</v>
      </c>
      <c r="QC496" s="27" t="s">
        <v>8</v>
      </c>
      <c r="QD496" s="27" t="s">
        <v>7</v>
      </c>
      <c r="QE496" s="27" t="s">
        <v>8</v>
      </c>
      <c r="QF496" s="27" t="s">
        <v>7</v>
      </c>
      <c r="QI496" s="27" t="s">
        <v>8</v>
      </c>
    </row>
    <row r="497" spans="1:452" x14ac:dyDescent="0.25">
      <c r="A497" s="7">
        <v>5.9431331263054545</v>
      </c>
      <c r="B497"/>
      <c r="C497"/>
      <c r="D497"/>
      <c r="E497"/>
      <c r="FY497" s="27" t="s">
        <v>8</v>
      </c>
      <c r="GT497" s="27" t="s">
        <v>7</v>
      </c>
      <c r="GU497" s="27" t="s">
        <v>8</v>
      </c>
      <c r="GV497" s="27" t="s">
        <v>7</v>
      </c>
      <c r="GW497" s="27" t="s">
        <v>8</v>
      </c>
      <c r="HB497" s="27" t="s">
        <v>7</v>
      </c>
      <c r="HC497" s="27" t="s">
        <v>8</v>
      </c>
      <c r="HD497" s="27" t="s">
        <v>7</v>
      </c>
      <c r="HE497" s="27" t="s">
        <v>8</v>
      </c>
      <c r="HF497" s="27" t="s">
        <v>7</v>
      </c>
      <c r="HG497" s="27" t="s">
        <v>8</v>
      </c>
      <c r="HH497" s="27" t="s">
        <v>7</v>
      </c>
      <c r="HI497" s="27" t="s">
        <v>8</v>
      </c>
      <c r="HJ497" s="27" t="s">
        <v>7</v>
      </c>
      <c r="HK497" s="27" t="s">
        <v>8</v>
      </c>
      <c r="HL497" s="27" t="s">
        <v>7</v>
      </c>
      <c r="HS497" s="27" t="s">
        <v>8</v>
      </c>
      <c r="HT497" s="27" t="s">
        <v>7</v>
      </c>
      <c r="HU497" s="27" t="s">
        <v>8</v>
      </c>
      <c r="HV497" s="27" t="s">
        <v>7</v>
      </c>
      <c r="HW497" s="27" t="s">
        <v>8</v>
      </c>
      <c r="HX497" s="27" t="s">
        <v>7</v>
      </c>
      <c r="HY497" s="27" t="s">
        <v>8</v>
      </c>
      <c r="HZ497" s="27" t="s">
        <v>7</v>
      </c>
      <c r="IA497" s="27" t="s">
        <v>8</v>
      </c>
      <c r="ID497" s="27" t="s">
        <v>7</v>
      </c>
      <c r="IE497" s="27" t="s">
        <v>8</v>
      </c>
      <c r="IF497" s="27" t="s">
        <v>7</v>
      </c>
      <c r="IG497" s="27" t="s">
        <v>8</v>
      </c>
      <c r="IH497" s="27" t="s">
        <v>7</v>
      </c>
      <c r="IN497" s="27" t="s">
        <v>7</v>
      </c>
      <c r="IO497" s="27" t="s">
        <v>8</v>
      </c>
      <c r="IT497" s="27" t="s">
        <v>7</v>
      </c>
      <c r="IW497" s="27" t="s">
        <v>8</v>
      </c>
      <c r="IX497" s="27" t="s">
        <v>7</v>
      </c>
      <c r="IY497" s="27" t="s">
        <v>8</v>
      </c>
      <c r="LT497" s="27" t="s">
        <v>7</v>
      </c>
      <c r="LU497" s="27" t="s">
        <v>8</v>
      </c>
      <c r="LX497" s="27" t="s">
        <v>7</v>
      </c>
      <c r="LY497" s="27" t="s">
        <v>8</v>
      </c>
      <c r="MH497" s="27" t="s">
        <v>7</v>
      </c>
      <c r="MK497" s="27" t="s">
        <v>8</v>
      </c>
      <c r="ML497" s="27" t="s">
        <v>7</v>
      </c>
      <c r="MM497" s="27" t="s">
        <v>8</v>
      </c>
      <c r="MN497" s="27" t="s">
        <v>7</v>
      </c>
      <c r="MO497" s="27" t="s">
        <v>8</v>
      </c>
      <c r="MP497" s="27" t="s">
        <v>7</v>
      </c>
      <c r="MQ497" s="27" t="s">
        <v>8</v>
      </c>
      <c r="MT497" s="27" t="s">
        <v>7</v>
      </c>
      <c r="MY497" s="27" t="s">
        <v>8</v>
      </c>
      <c r="MZ497" s="27" t="s">
        <v>7</v>
      </c>
      <c r="NA497" s="27" t="s">
        <v>8</v>
      </c>
      <c r="NB497" s="27" t="s">
        <v>7</v>
      </c>
      <c r="NC497" s="27" t="s">
        <v>8</v>
      </c>
      <c r="PN497" s="27" t="s">
        <v>7</v>
      </c>
      <c r="PO497" s="27" t="s">
        <v>8</v>
      </c>
      <c r="PP497" s="27" t="s">
        <v>7</v>
      </c>
      <c r="PQ497" s="27" t="s">
        <v>8</v>
      </c>
      <c r="PR497" s="27" t="s">
        <v>7</v>
      </c>
      <c r="QC497" s="27" t="s">
        <v>8</v>
      </c>
      <c r="QD497" s="27" t="s">
        <v>7</v>
      </c>
      <c r="QE497" s="27" t="s">
        <v>8</v>
      </c>
      <c r="QF497" s="27" t="s">
        <v>7</v>
      </c>
      <c r="QI497" s="27" t="s">
        <v>8</v>
      </c>
      <c r="QJ497" s="27" t="s">
        <v>7</v>
      </c>
    </row>
    <row r="498" spans="1:452" x14ac:dyDescent="0.25">
      <c r="A498" s="7">
        <v>5.8266011042210337</v>
      </c>
      <c r="B498"/>
      <c r="C498"/>
      <c r="D498"/>
      <c r="E498"/>
      <c r="FY498" s="27" t="s">
        <v>8</v>
      </c>
      <c r="GT498" s="27" t="s">
        <v>7</v>
      </c>
      <c r="GV498" s="27" t="s">
        <v>7</v>
      </c>
      <c r="GW498" s="27" t="s">
        <v>8</v>
      </c>
      <c r="HB498" s="27" t="s">
        <v>7</v>
      </c>
      <c r="HC498" s="27" t="s">
        <v>8</v>
      </c>
      <c r="HD498" s="27" t="s">
        <v>7</v>
      </c>
      <c r="HE498" s="27" t="s">
        <v>8</v>
      </c>
      <c r="HF498" s="27" t="s">
        <v>7</v>
      </c>
      <c r="HH498" s="27" t="s">
        <v>7</v>
      </c>
      <c r="HI498" s="27" t="s">
        <v>8</v>
      </c>
      <c r="HJ498" s="27" t="s">
        <v>7</v>
      </c>
      <c r="HK498" s="27" t="s">
        <v>8</v>
      </c>
      <c r="HL498" s="27" t="s">
        <v>7</v>
      </c>
      <c r="HS498" s="27" t="s">
        <v>8</v>
      </c>
      <c r="HT498" s="27" t="s">
        <v>7</v>
      </c>
      <c r="HU498" s="27" t="s">
        <v>8</v>
      </c>
      <c r="HV498" s="27" t="s">
        <v>7</v>
      </c>
      <c r="HW498" s="27" t="s">
        <v>8</v>
      </c>
      <c r="HX498" s="27" t="s">
        <v>7</v>
      </c>
      <c r="HY498" s="27" t="s">
        <v>8</v>
      </c>
      <c r="HZ498" s="27" t="s">
        <v>7</v>
      </c>
      <c r="IA498" s="27" t="s">
        <v>8</v>
      </c>
      <c r="ID498" s="27" t="s">
        <v>7</v>
      </c>
      <c r="IE498" s="27" t="s">
        <v>8</v>
      </c>
      <c r="IF498" s="27" t="s">
        <v>7</v>
      </c>
      <c r="IG498" s="27" t="s">
        <v>8</v>
      </c>
      <c r="IN498" s="27" t="s">
        <v>7</v>
      </c>
      <c r="IT498" s="27" t="s">
        <v>7</v>
      </c>
      <c r="IU498" s="27" t="s">
        <v>8</v>
      </c>
      <c r="IW498" s="27" t="s">
        <v>8</v>
      </c>
      <c r="IX498" s="27" t="s">
        <v>7</v>
      </c>
      <c r="IY498" s="27" t="s">
        <v>8</v>
      </c>
      <c r="LT498" s="27" t="s">
        <v>7</v>
      </c>
      <c r="LU498" s="27" t="s">
        <v>8</v>
      </c>
      <c r="LX498" s="27" t="s">
        <v>7</v>
      </c>
      <c r="LY498" s="27" t="s">
        <v>8</v>
      </c>
      <c r="MH498" s="27" t="s">
        <v>7</v>
      </c>
      <c r="MK498" s="27" t="s">
        <v>8</v>
      </c>
      <c r="ML498" s="27" t="s">
        <v>7</v>
      </c>
      <c r="MM498" s="27" t="s">
        <v>8</v>
      </c>
      <c r="MN498" s="27" t="s">
        <v>7</v>
      </c>
      <c r="MP498" s="27" t="s">
        <v>7</v>
      </c>
      <c r="MT498" s="27" t="s">
        <v>7</v>
      </c>
      <c r="MY498" s="27" t="s">
        <v>8</v>
      </c>
      <c r="MZ498" s="27" t="s">
        <v>7</v>
      </c>
      <c r="NA498" s="27" t="s">
        <v>8</v>
      </c>
      <c r="NB498" s="27" t="s">
        <v>7</v>
      </c>
      <c r="PN498" s="27" t="s">
        <v>7</v>
      </c>
      <c r="PO498" s="27" t="s">
        <v>8</v>
      </c>
      <c r="PP498" s="27" t="s">
        <v>7</v>
      </c>
      <c r="PQ498" s="27" t="s">
        <v>8</v>
      </c>
      <c r="PR498" s="27" t="s">
        <v>7</v>
      </c>
      <c r="QA498" s="27" t="s">
        <v>8</v>
      </c>
      <c r="QC498" s="27" t="s">
        <v>8</v>
      </c>
      <c r="QD498" s="27" t="s">
        <v>7</v>
      </c>
      <c r="QE498" s="27" t="s">
        <v>8</v>
      </c>
      <c r="QF498" s="27" t="s">
        <v>7</v>
      </c>
      <c r="QI498" s="27" t="s">
        <v>8</v>
      </c>
      <c r="QJ498" s="27" t="s">
        <v>7</v>
      </c>
    </row>
    <row r="499" spans="1:452" x14ac:dyDescent="0.25">
      <c r="A499" s="7">
        <v>5.7123540237461112</v>
      </c>
      <c r="B499"/>
      <c r="C499"/>
      <c r="D499"/>
      <c r="E499"/>
      <c r="FY499" s="27" t="s">
        <v>8</v>
      </c>
      <c r="GV499" s="27" t="s">
        <v>7</v>
      </c>
      <c r="GW499" s="27" t="s">
        <v>8</v>
      </c>
      <c r="HB499" s="27" t="s">
        <v>7</v>
      </c>
      <c r="HD499" s="27" t="s">
        <v>7</v>
      </c>
      <c r="HE499" s="27" t="s">
        <v>8</v>
      </c>
      <c r="HH499" s="27" t="s">
        <v>7</v>
      </c>
      <c r="HI499" s="27" t="s">
        <v>8</v>
      </c>
      <c r="HJ499" s="27" t="s">
        <v>7</v>
      </c>
      <c r="HK499" s="27" t="s">
        <v>8</v>
      </c>
      <c r="HL499" s="27" t="s">
        <v>7</v>
      </c>
      <c r="HM499" s="27" t="s">
        <v>8</v>
      </c>
      <c r="HS499" s="27" t="s">
        <v>8</v>
      </c>
      <c r="HT499" s="27" t="s">
        <v>7</v>
      </c>
      <c r="HU499" s="27" t="s">
        <v>8</v>
      </c>
      <c r="HV499" s="27" t="s">
        <v>7</v>
      </c>
      <c r="HW499" s="27" t="s">
        <v>8</v>
      </c>
      <c r="HX499" s="27" t="s">
        <v>7</v>
      </c>
      <c r="HY499" s="27" t="s">
        <v>8</v>
      </c>
      <c r="HZ499" s="27" t="s">
        <v>7</v>
      </c>
      <c r="ID499" s="27" t="s">
        <v>7</v>
      </c>
      <c r="IE499" s="27" t="s">
        <v>8</v>
      </c>
      <c r="IF499" s="27" t="s">
        <v>7</v>
      </c>
      <c r="IG499" s="27" t="s">
        <v>8</v>
      </c>
      <c r="IT499" s="27" t="s">
        <v>7</v>
      </c>
      <c r="IU499" s="27" t="s">
        <v>8</v>
      </c>
      <c r="IV499" s="27" t="s">
        <v>7</v>
      </c>
      <c r="IW499" s="27" t="s">
        <v>8</v>
      </c>
      <c r="IX499" s="27" t="s">
        <v>7</v>
      </c>
      <c r="IY499" s="27" t="s">
        <v>8</v>
      </c>
      <c r="LT499" s="27" t="s">
        <v>7</v>
      </c>
      <c r="LU499" s="27" t="s">
        <v>8</v>
      </c>
      <c r="LX499" s="27" t="s">
        <v>7</v>
      </c>
      <c r="LY499" s="27" t="s">
        <v>8</v>
      </c>
      <c r="MH499" s="27" t="s">
        <v>7</v>
      </c>
      <c r="MI499" s="27" t="s">
        <v>8</v>
      </c>
      <c r="MK499" s="27" t="s">
        <v>8</v>
      </c>
      <c r="ML499" s="27" t="s">
        <v>7</v>
      </c>
      <c r="MM499" s="27" t="s">
        <v>8</v>
      </c>
      <c r="MT499" s="27" t="s">
        <v>7</v>
      </c>
      <c r="MY499" s="27" t="s">
        <v>8</v>
      </c>
      <c r="MZ499" s="27" t="s">
        <v>7</v>
      </c>
      <c r="NA499" s="27" t="s">
        <v>8</v>
      </c>
      <c r="PN499" s="27" t="s">
        <v>7</v>
      </c>
      <c r="PO499" s="27" t="s">
        <v>8</v>
      </c>
      <c r="PP499" s="27" t="s">
        <v>7</v>
      </c>
      <c r="PQ499" s="27" t="s">
        <v>8</v>
      </c>
      <c r="PR499" s="27" t="s">
        <v>7</v>
      </c>
      <c r="QA499" s="27" t="s">
        <v>8</v>
      </c>
      <c r="QB499" s="27" t="s">
        <v>7</v>
      </c>
      <c r="QC499" s="27" t="s">
        <v>8</v>
      </c>
      <c r="QD499" s="27" t="s">
        <v>7</v>
      </c>
      <c r="QE499" s="27" t="s">
        <v>8</v>
      </c>
      <c r="QF499" s="27" t="s">
        <v>7</v>
      </c>
      <c r="QI499" s="27" t="s">
        <v>8</v>
      </c>
      <c r="QJ499" s="27" t="s">
        <v>7</v>
      </c>
    </row>
    <row r="500" spans="1:452" x14ac:dyDescent="0.25">
      <c r="A500" s="7">
        <v>5.6003470821040304</v>
      </c>
      <c r="B500"/>
      <c r="C500"/>
      <c r="D500"/>
      <c r="E500"/>
      <c r="FY500" s="27" t="s">
        <v>8</v>
      </c>
      <c r="GV500" s="27" t="s">
        <v>7</v>
      </c>
      <c r="HD500" s="27" t="s">
        <v>7</v>
      </c>
      <c r="HE500" s="27" t="s">
        <v>8</v>
      </c>
      <c r="HH500" s="27" t="s">
        <v>7</v>
      </c>
      <c r="HI500" s="27" t="s">
        <v>8</v>
      </c>
      <c r="HJ500" s="27" t="s">
        <v>7</v>
      </c>
      <c r="HK500" s="27" t="s">
        <v>8</v>
      </c>
      <c r="HL500" s="27" t="s">
        <v>7</v>
      </c>
      <c r="HM500" s="27" t="s">
        <v>8</v>
      </c>
      <c r="HN500" s="27" t="s">
        <v>7</v>
      </c>
      <c r="HS500" s="27" t="s">
        <v>8</v>
      </c>
      <c r="HT500" s="27" t="s">
        <v>7</v>
      </c>
      <c r="HU500" s="27" t="s">
        <v>8</v>
      </c>
      <c r="HV500" s="27" t="s">
        <v>7</v>
      </c>
      <c r="HW500" s="27" t="s">
        <v>8</v>
      </c>
      <c r="HX500" s="27" t="s">
        <v>7</v>
      </c>
      <c r="HY500" s="27" t="s">
        <v>8</v>
      </c>
      <c r="ID500" s="27" t="s">
        <v>7</v>
      </c>
      <c r="IE500" s="27" t="s">
        <v>8</v>
      </c>
      <c r="IF500" s="27" t="s">
        <v>7</v>
      </c>
      <c r="IT500" s="27" t="s">
        <v>7</v>
      </c>
      <c r="IU500" s="27" t="s">
        <v>8</v>
      </c>
      <c r="IV500" s="27" t="s">
        <v>7</v>
      </c>
      <c r="IW500" s="27" t="s">
        <v>8</v>
      </c>
      <c r="IX500" s="27" t="s">
        <v>7</v>
      </c>
      <c r="IY500" s="27" t="s">
        <v>8</v>
      </c>
      <c r="LT500" s="27" t="s">
        <v>7</v>
      </c>
      <c r="LX500" s="27" t="s">
        <v>7</v>
      </c>
      <c r="LY500" s="27" t="s">
        <v>8</v>
      </c>
      <c r="MH500" s="27" t="s">
        <v>7</v>
      </c>
      <c r="MI500" s="27" t="s">
        <v>8</v>
      </c>
      <c r="MJ500" s="27" t="s">
        <v>7</v>
      </c>
      <c r="MK500" s="27" t="s">
        <v>8</v>
      </c>
      <c r="ML500" s="27" t="s">
        <v>7</v>
      </c>
      <c r="MM500" s="27" t="s">
        <v>8</v>
      </c>
      <c r="MT500" s="27" t="s">
        <v>7</v>
      </c>
      <c r="MW500" s="27" t="s">
        <v>8</v>
      </c>
      <c r="MY500" s="27" t="s">
        <v>8</v>
      </c>
      <c r="MZ500" s="27" t="s">
        <v>7</v>
      </c>
      <c r="NA500" s="27" t="s">
        <v>8</v>
      </c>
      <c r="PN500" s="27" t="s">
        <v>7</v>
      </c>
      <c r="PO500" s="27" t="s">
        <v>8</v>
      </c>
      <c r="PP500" s="27" t="s">
        <v>7</v>
      </c>
      <c r="PQ500" s="27" t="s">
        <v>8</v>
      </c>
      <c r="PR500" s="27" t="s">
        <v>7</v>
      </c>
      <c r="QA500" s="27" t="s">
        <v>8</v>
      </c>
      <c r="QB500" s="27" t="s">
        <v>7</v>
      </c>
      <c r="QC500" s="27" t="s">
        <v>8</v>
      </c>
      <c r="QD500" s="27" t="s">
        <v>7</v>
      </c>
      <c r="QE500" s="27" t="s">
        <v>8</v>
      </c>
      <c r="QF500" s="27" t="s">
        <v>7</v>
      </c>
      <c r="QI500" s="27" t="s">
        <v>8</v>
      </c>
      <c r="QJ500" s="27" t="s">
        <v>7</v>
      </c>
    </row>
    <row r="501" spans="1:452" x14ac:dyDescent="0.25">
      <c r="A501" s="7">
        <v>5.4905363550039512</v>
      </c>
      <c r="B501"/>
      <c r="C501"/>
      <c r="D501"/>
      <c r="E501"/>
      <c r="FY501" s="27" t="s">
        <v>8</v>
      </c>
      <c r="HD501" s="27" t="s">
        <v>7</v>
      </c>
      <c r="HE501" s="27" t="s">
        <v>8</v>
      </c>
      <c r="HH501" s="27" t="s">
        <v>7</v>
      </c>
      <c r="HI501" s="27" t="s">
        <v>8</v>
      </c>
      <c r="HJ501" s="27" t="s">
        <v>7</v>
      </c>
      <c r="HK501" s="27" t="s">
        <v>8</v>
      </c>
      <c r="HL501" s="27" t="s">
        <v>7</v>
      </c>
      <c r="HM501" s="27" t="s">
        <v>8</v>
      </c>
      <c r="HN501" s="27" t="s">
        <v>7</v>
      </c>
      <c r="HS501" s="27" t="s">
        <v>8</v>
      </c>
      <c r="HT501" s="27" t="s">
        <v>7</v>
      </c>
      <c r="HU501" s="27" t="s">
        <v>8</v>
      </c>
      <c r="HV501" s="27" t="s">
        <v>7</v>
      </c>
      <c r="HW501" s="27" t="s">
        <v>8</v>
      </c>
      <c r="HX501" s="27" t="s">
        <v>7</v>
      </c>
      <c r="HY501" s="27" t="s">
        <v>8</v>
      </c>
      <c r="ID501" s="27" t="s">
        <v>7</v>
      </c>
      <c r="IE501" s="27" t="s">
        <v>8</v>
      </c>
      <c r="IT501" s="27" t="s">
        <v>7</v>
      </c>
      <c r="IU501" s="27" t="s">
        <v>8</v>
      </c>
      <c r="IV501" s="27" t="s">
        <v>7</v>
      </c>
      <c r="IW501" s="27" t="s">
        <v>8</v>
      </c>
      <c r="IX501" s="27" t="s">
        <v>7</v>
      </c>
      <c r="IY501" s="27" t="s">
        <v>8</v>
      </c>
      <c r="LX501" s="27" t="s">
        <v>7</v>
      </c>
      <c r="LY501" s="27" t="s">
        <v>8</v>
      </c>
      <c r="MH501" s="27" t="s">
        <v>7</v>
      </c>
      <c r="MI501" s="27" t="s">
        <v>8</v>
      </c>
      <c r="MJ501" s="27" t="s">
        <v>7</v>
      </c>
      <c r="MK501" s="27" t="s">
        <v>8</v>
      </c>
      <c r="ML501" s="27" t="s">
        <v>7</v>
      </c>
      <c r="MM501" s="27" t="s">
        <v>8</v>
      </c>
      <c r="MT501" s="27" t="s">
        <v>7</v>
      </c>
      <c r="MW501" s="27" t="s">
        <v>8</v>
      </c>
      <c r="MX501" s="27" t="s">
        <v>7</v>
      </c>
      <c r="MY501" s="27" t="s">
        <v>8</v>
      </c>
      <c r="MZ501" s="27" t="s">
        <v>7</v>
      </c>
      <c r="NA501" s="27" t="s">
        <v>8</v>
      </c>
      <c r="PN501" s="27" t="s">
        <v>7</v>
      </c>
      <c r="PO501" s="27" t="s">
        <v>8</v>
      </c>
      <c r="PP501" s="27" t="s">
        <v>7</v>
      </c>
      <c r="PQ501" s="27" t="s">
        <v>8</v>
      </c>
      <c r="PR501" s="27" t="s">
        <v>7</v>
      </c>
      <c r="QA501" s="27" t="s">
        <v>8</v>
      </c>
      <c r="QB501" s="27" t="s">
        <v>7</v>
      </c>
      <c r="QD501" s="27" t="s">
        <v>7</v>
      </c>
      <c r="QE501" s="27" t="s">
        <v>8</v>
      </c>
      <c r="QF501" s="27" t="s">
        <v>7</v>
      </c>
      <c r="QG501" s="27" t="s">
        <v>8</v>
      </c>
      <c r="QI501" s="27" t="s">
        <v>8</v>
      </c>
      <c r="QJ501" s="27" t="s">
        <v>7</v>
      </c>
    </row>
    <row r="502" spans="1:452" x14ac:dyDescent="0.25">
      <c r="A502" s="7">
        <v>5.3828787794156385</v>
      </c>
      <c r="B502"/>
      <c r="C502"/>
      <c r="D502"/>
      <c r="E502"/>
      <c r="FY502" s="27" t="s">
        <v>8</v>
      </c>
      <c r="HD502" s="27" t="s">
        <v>7</v>
      </c>
      <c r="HE502" s="27" t="s">
        <v>8</v>
      </c>
      <c r="HH502" s="27" t="s">
        <v>7</v>
      </c>
      <c r="HJ502" s="27" t="s">
        <v>7</v>
      </c>
      <c r="HK502" s="27" t="s">
        <v>8</v>
      </c>
      <c r="HL502" s="27" t="s">
        <v>7</v>
      </c>
      <c r="HM502" s="27" t="s">
        <v>8</v>
      </c>
      <c r="HN502" s="27" t="s">
        <v>7</v>
      </c>
      <c r="HS502" s="27" t="s">
        <v>8</v>
      </c>
      <c r="HT502" s="27" t="s">
        <v>7</v>
      </c>
      <c r="HU502" s="27" t="s">
        <v>8</v>
      </c>
      <c r="HV502" s="27" t="s">
        <v>7</v>
      </c>
      <c r="HX502" s="27" t="s">
        <v>7</v>
      </c>
      <c r="ID502" s="27" t="s">
        <v>7</v>
      </c>
      <c r="IT502" s="27" t="s">
        <v>7</v>
      </c>
      <c r="IU502" s="27" t="s">
        <v>8</v>
      </c>
      <c r="IV502" s="27" t="s">
        <v>7</v>
      </c>
      <c r="IW502" s="27" t="s">
        <v>8</v>
      </c>
      <c r="IX502" s="27" t="s">
        <v>7</v>
      </c>
      <c r="IY502" s="27" t="s">
        <v>8</v>
      </c>
      <c r="LX502" s="27" t="s">
        <v>7</v>
      </c>
      <c r="LY502" s="27" t="s">
        <v>8</v>
      </c>
      <c r="MH502" s="27" t="s">
        <v>7</v>
      </c>
      <c r="MI502" s="27" t="s">
        <v>8</v>
      </c>
      <c r="MJ502" s="27" t="s">
        <v>7</v>
      </c>
      <c r="MK502" s="27" t="s">
        <v>8</v>
      </c>
      <c r="ML502" s="27" t="s">
        <v>7</v>
      </c>
      <c r="MM502" s="27" t="s">
        <v>8</v>
      </c>
      <c r="MT502" s="27" t="s">
        <v>7</v>
      </c>
      <c r="MW502" s="27" t="s">
        <v>8</v>
      </c>
      <c r="MX502" s="27" t="s">
        <v>7</v>
      </c>
      <c r="MY502" s="27" t="s">
        <v>8</v>
      </c>
      <c r="MZ502" s="27" t="s">
        <v>7</v>
      </c>
      <c r="NA502" s="27" t="s">
        <v>8</v>
      </c>
      <c r="PN502" s="27" t="s">
        <v>7</v>
      </c>
      <c r="PO502" s="27" t="s">
        <v>8</v>
      </c>
      <c r="PP502" s="27" t="s">
        <v>7</v>
      </c>
      <c r="PQ502" s="27" t="s">
        <v>8</v>
      </c>
      <c r="PR502" s="27" t="s">
        <v>7</v>
      </c>
      <c r="PS502" s="27" t="s">
        <v>8</v>
      </c>
      <c r="QA502" s="27" t="s">
        <v>8</v>
      </c>
      <c r="QD502" s="27" t="s">
        <v>7</v>
      </c>
      <c r="QE502" s="27" t="s">
        <v>8</v>
      </c>
      <c r="QF502" s="27" t="s">
        <v>7</v>
      </c>
      <c r="QG502" s="27" t="s">
        <v>8</v>
      </c>
      <c r="QH502" s="27" t="s">
        <v>7</v>
      </c>
      <c r="QI502" s="27" t="s">
        <v>8</v>
      </c>
      <c r="QJ502" s="27" t="s">
        <v>7</v>
      </c>
    </row>
    <row r="503" spans="1:452" x14ac:dyDescent="0.25">
      <c r="A503" s="7">
        <v>5.2773321366819985</v>
      </c>
      <c r="B503"/>
      <c r="C503"/>
      <c r="D503"/>
      <c r="E503"/>
      <c r="FY503" s="27" t="s">
        <v>8</v>
      </c>
      <c r="HD503" s="27" t="s">
        <v>7</v>
      </c>
      <c r="HE503" s="27" t="s">
        <v>8</v>
      </c>
      <c r="HJ503" s="27" t="s">
        <v>7</v>
      </c>
      <c r="HK503" s="27" t="s">
        <v>8</v>
      </c>
      <c r="HL503" s="27" t="s">
        <v>7</v>
      </c>
      <c r="HN503" s="27" t="s">
        <v>7</v>
      </c>
      <c r="HS503" s="27" t="s">
        <v>8</v>
      </c>
      <c r="HT503" s="27" t="s">
        <v>7</v>
      </c>
      <c r="HU503" s="27" t="s">
        <v>8</v>
      </c>
      <c r="IT503" s="27" t="s">
        <v>7</v>
      </c>
      <c r="IU503" s="27" t="s">
        <v>8</v>
      </c>
      <c r="IV503" s="27" t="s">
        <v>7</v>
      </c>
      <c r="IW503" s="27" t="s">
        <v>8</v>
      </c>
      <c r="IX503" s="27" t="s">
        <v>7</v>
      </c>
      <c r="LX503" s="27" t="s">
        <v>7</v>
      </c>
      <c r="MH503" s="27" t="s">
        <v>7</v>
      </c>
      <c r="MI503" s="27" t="s">
        <v>8</v>
      </c>
      <c r="MJ503" s="27" t="s">
        <v>7</v>
      </c>
      <c r="MK503" s="27" t="s">
        <v>8</v>
      </c>
      <c r="ML503" s="27" t="s">
        <v>7</v>
      </c>
      <c r="MT503" s="27" t="s">
        <v>7</v>
      </c>
      <c r="MU503" s="27" t="s">
        <v>8</v>
      </c>
      <c r="MW503" s="27" t="s">
        <v>8</v>
      </c>
      <c r="MX503" s="27" t="s">
        <v>7</v>
      </c>
      <c r="MY503" s="27" t="s">
        <v>8</v>
      </c>
      <c r="MZ503" s="27" t="s">
        <v>7</v>
      </c>
      <c r="PN503" s="27" t="s">
        <v>7</v>
      </c>
      <c r="PO503" s="27" t="s">
        <v>8</v>
      </c>
      <c r="PP503" s="27" t="s">
        <v>7</v>
      </c>
      <c r="PQ503" s="27" t="s">
        <v>8</v>
      </c>
      <c r="PR503" s="27" t="s">
        <v>7</v>
      </c>
      <c r="PS503" s="27" t="s">
        <v>8</v>
      </c>
      <c r="PT503" s="27" t="s">
        <v>7</v>
      </c>
      <c r="PW503" s="27" t="s">
        <v>8</v>
      </c>
      <c r="PY503" s="27" t="s">
        <v>8</v>
      </c>
      <c r="QA503" s="27" t="s">
        <v>8</v>
      </c>
      <c r="QD503" s="27" t="s">
        <v>7</v>
      </c>
      <c r="QE503" s="27" t="s">
        <v>8</v>
      </c>
      <c r="QF503" s="27" t="s">
        <v>7</v>
      </c>
      <c r="QG503" s="27" t="s">
        <v>8</v>
      </c>
      <c r="QH503" s="27" t="s">
        <v>7</v>
      </c>
      <c r="QI503" s="27" t="s">
        <v>8</v>
      </c>
      <c r="QJ503" s="27" t="s">
        <v>7</v>
      </c>
    </row>
    <row r="504" spans="1:452" x14ac:dyDescent="0.25">
      <c r="A504" s="7">
        <v>5.1738550359627435</v>
      </c>
      <c r="B504"/>
      <c r="C504"/>
      <c r="D504"/>
      <c r="E504"/>
      <c r="FO504" s="27" t="s">
        <v>8</v>
      </c>
      <c r="FY504" s="27" t="s">
        <v>8</v>
      </c>
      <c r="HD504" s="27" t="s">
        <v>7</v>
      </c>
      <c r="HE504" s="27" t="s">
        <v>8</v>
      </c>
      <c r="HJ504" s="27" t="s">
        <v>7</v>
      </c>
      <c r="HK504" s="27" t="s">
        <v>8</v>
      </c>
      <c r="HN504" s="27" t="s">
        <v>7</v>
      </c>
      <c r="HS504" s="27" t="s">
        <v>8</v>
      </c>
      <c r="HT504" s="27" t="s">
        <v>7</v>
      </c>
      <c r="HU504" s="27" t="s">
        <v>8</v>
      </c>
      <c r="IT504" s="27" t="s">
        <v>7</v>
      </c>
      <c r="IU504" s="27" t="s">
        <v>8</v>
      </c>
      <c r="IV504" s="27" t="s">
        <v>7</v>
      </c>
      <c r="IW504" s="27" t="s">
        <v>8</v>
      </c>
      <c r="MH504" s="27" t="s">
        <v>7</v>
      </c>
      <c r="MI504" s="27" t="s">
        <v>8</v>
      </c>
      <c r="MJ504" s="27" t="s">
        <v>7</v>
      </c>
      <c r="MK504" s="27" t="s">
        <v>8</v>
      </c>
      <c r="MT504" s="27" t="s">
        <v>7</v>
      </c>
      <c r="MU504" s="27" t="s">
        <v>8</v>
      </c>
      <c r="MV504" s="27" t="s">
        <v>7</v>
      </c>
      <c r="MW504" s="27" t="s">
        <v>8</v>
      </c>
      <c r="MX504" s="27" t="s">
        <v>7</v>
      </c>
      <c r="PN504" s="27" t="s">
        <v>7</v>
      </c>
      <c r="PO504" s="27" t="s">
        <v>8</v>
      </c>
      <c r="PP504" s="27" t="s">
        <v>7</v>
      </c>
      <c r="PR504" s="27" t="s">
        <v>7</v>
      </c>
      <c r="PS504" s="27" t="s">
        <v>8</v>
      </c>
      <c r="PT504" s="27" t="s">
        <v>7</v>
      </c>
      <c r="PU504" s="27" t="s">
        <v>8</v>
      </c>
      <c r="PW504" s="27" t="s">
        <v>8</v>
      </c>
      <c r="PX504" s="27" t="s">
        <v>7</v>
      </c>
      <c r="PY504" s="27" t="s">
        <v>8</v>
      </c>
      <c r="PZ504" s="27" t="s">
        <v>7</v>
      </c>
      <c r="QA504" s="27" t="s">
        <v>8</v>
      </c>
      <c r="QD504" s="27" t="s">
        <v>7</v>
      </c>
      <c r="QE504" s="27" t="s">
        <v>8</v>
      </c>
      <c r="QF504" s="27" t="s">
        <v>7</v>
      </c>
      <c r="QG504" s="27" t="s">
        <v>8</v>
      </c>
      <c r="QH504" s="27" t="s">
        <v>7</v>
      </c>
      <c r="QI504" s="27" t="s">
        <v>8</v>
      </c>
      <c r="QJ504" s="27" t="s">
        <v>7</v>
      </c>
    </row>
    <row r="505" spans="1:452" x14ac:dyDescent="0.25">
      <c r="A505" s="7">
        <v>5.07240689800269</v>
      </c>
      <c r="B505"/>
      <c r="C505"/>
      <c r="D505"/>
      <c r="E505"/>
      <c r="FO505" s="27" t="s">
        <v>8</v>
      </c>
      <c r="FP505" s="27" t="s">
        <v>7</v>
      </c>
      <c r="FY505" s="27" t="s">
        <v>8</v>
      </c>
      <c r="HD505" s="27" t="s">
        <v>7</v>
      </c>
      <c r="HJ505" s="27" t="s">
        <v>7</v>
      </c>
      <c r="HK505" s="27" t="s">
        <v>8</v>
      </c>
      <c r="HN505" s="27" t="s">
        <v>7</v>
      </c>
      <c r="HS505" s="27" t="s">
        <v>8</v>
      </c>
      <c r="HT505" s="27" t="s">
        <v>7</v>
      </c>
      <c r="IT505" s="27" t="s">
        <v>7</v>
      </c>
      <c r="IU505" s="27" t="s">
        <v>8</v>
      </c>
      <c r="IV505" s="27" t="s">
        <v>7</v>
      </c>
      <c r="MH505" s="27" t="s">
        <v>7</v>
      </c>
      <c r="MI505" s="27" t="s">
        <v>8</v>
      </c>
      <c r="MJ505" s="27" t="s">
        <v>7</v>
      </c>
      <c r="MK505" s="27" t="s">
        <v>8</v>
      </c>
      <c r="MT505" s="27" t="s">
        <v>7</v>
      </c>
      <c r="MU505" s="27" t="s">
        <v>8</v>
      </c>
      <c r="MV505" s="27" t="s">
        <v>7</v>
      </c>
      <c r="MW505" s="27" t="s">
        <v>8</v>
      </c>
      <c r="PN505" s="27" t="s">
        <v>7</v>
      </c>
      <c r="PO505" s="27" t="s">
        <v>8</v>
      </c>
      <c r="PR505" s="27" t="s">
        <v>7</v>
      </c>
      <c r="PS505" s="27" t="s">
        <v>8</v>
      </c>
      <c r="PT505" s="27" t="s">
        <v>7</v>
      </c>
      <c r="PU505" s="27" t="s">
        <v>8</v>
      </c>
      <c r="PV505" s="27" t="s">
        <v>7</v>
      </c>
      <c r="PW505" s="27" t="s">
        <v>8</v>
      </c>
      <c r="PX505" s="27" t="s">
        <v>7</v>
      </c>
      <c r="PY505" s="27" t="s">
        <v>8</v>
      </c>
      <c r="PZ505" s="27" t="s">
        <v>7</v>
      </c>
      <c r="QA505" s="27" t="s">
        <v>8</v>
      </c>
      <c r="QD505" s="27" t="s">
        <v>7</v>
      </c>
      <c r="QE505" s="27" t="s">
        <v>8</v>
      </c>
      <c r="QF505" s="27" t="s">
        <v>7</v>
      </c>
      <c r="QG505" s="27" t="s">
        <v>8</v>
      </c>
      <c r="QH505" s="27" t="s">
        <v>7</v>
      </c>
      <c r="QI505" s="27" t="s">
        <v>8</v>
      </c>
      <c r="QJ505" s="27" t="s">
        <v>7</v>
      </c>
    </row>
    <row r="506" spans="1:452" x14ac:dyDescent="0.25">
      <c r="A506" s="7">
        <v>4.9729479392183231</v>
      </c>
      <c r="B506"/>
      <c r="C506"/>
      <c r="D506"/>
      <c r="E506"/>
      <c r="FO506" s="27" t="s">
        <v>8</v>
      </c>
      <c r="FP506" s="27" t="s">
        <v>7</v>
      </c>
      <c r="FQ506" s="27" t="s">
        <v>8</v>
      </c>
      <c r="FY506" s="27" t="s">
        <v>8</v>
      </c>
      <c r="HJ506" s="27" t="s">
        <v>7</v>
      </c>
      <c r="HK506" s="27" t="s">
        <v>8</v>
      </c>
      <c r="HN506" s="27" t="s">
        <v>7</v>
      </c>
      <c r="HS506" s="27" t="s">
        <v>8</v>
      </c>
      <c r="IT506" s="27" t="s">
        <v>7</v>
      </c>
      <c r="IU506" s="27" t="s">
        <v>8</v>
      </c>
      <c r="MH506" s="27" t="s">
        <v>7</v>
      </c>
      <c r="MI506" s="27" t="s">
        <v>8</v>
      </c>
      <c r="MJ506" s="27" t="s">
        <v>7</v>
      </c>
      <c r="MK506" s="27" t="s">
        <v>8</v>
      </c>
      <c r="MT506" s="27" t="s">
        <v>7</v>
      </c>
      <c r="MV506" s="27" t="s">
        <v>7</v>
      </c>
      <c r="MW506" s="27" t="s">
        <v>8</v>
      </c>
      <c r="PN506" s="27" t="s">
        <v>7</v>
      </c>
      <c r="PO506" s="27" t="s">
        <v>8</v>
      </c>
      <c r="PR506" s="27" t="s">
        <v>7</v>
      </c>
      <c r="PT506" s="27" t="s">
        <v>7</v>
      </c>
      <c r="PU506" s="27" t="s">
        <v>8</v>
      </c>
      <c r="PV506" s="27" t="s">
        <v>7</v>
      </c>
      <c r="PW506" s="27" t="s">
        <v>8</v>
      </c>
      <c r="PX506" s="27" t="s">
        <v>7</v>
      </c>
      <c r="PY506" s="27" t="s">
        <v>8</v>
      </c>
      <c r="PZ506" s="27" t="s">
        <v>7</v>
      </c>
      <c r="QA506" s="27" t="s">
        <v>8</v>
      </c>
      <c r="QD506" s="27" t="s">
        <v>7</v>
      </c>
      <c r="QE506" s="27" t="s">
        <v>8</v>
      </c>
      <c r="QF506" s="27" t="s">
        <v>7</v>
      </c>
      <c r="QG506" s="27" t="s">
        <v>8</v>
      </c>
      <c r="QH506" s="27" t="s">
        <v>7</v>
      </c>
      <c r="QI506" s="27" t="s">
        <v>8</v>
      </c>
      <c r="QJ506" s="27" t="s">
        <v>7</v>
      </c>
    </row>
    <row r="507" spans="1:452" x14ac:dyDescent="0.25">
      <c r="A507" s="7">
        <v>4.8754391560963954</v>
      </c>
      <c r="B507"/>
      <c r="C507"/>
      <c r="D507"/>
      <c r="E507"/>
      <c r="FO507" s="27" t="s">
        <v>8</v>
      </c>
      <c r="FP507" s="27" t="s">
        <v>7</v>
      </c>
      <c r="FQ507" s="27" t="s">
        <v>8</v>
      </c>
      <c r="FR507" s="27" t="s">
        <v>7</v>
      </c>
      <c r="FY507" s="27" t="s">
        <v>8</v>
      </c>
      <c r="HJ507" s="27" t="s">
        <v>7</v>
      </c>
      <c r="HK507" s="27" t="s">
        <v>8</v>
      </c>
      <c r="HN507" s="27" t="s">
        <v>7</v>
      </c>
      <c r="HS507" s="27" t="s">
        <v>8</v>
      </c>
      <c r="IT507" s="27" t="s">
        <v>7</v>
      </c>
      <c r="IU507" s="27" t="s">
        <v>8</v>
      </c>
      <c r="MH507" s="27" t="s">
        <v>7</v>
      </c>
      <c r="MI507" s="27" t="s">
        <v>8</v>
      </c>
      <c r="MJ507" s="27" t="s">
        <v>7</v>
      </c>
      <c r="MK507" s="27" t="s">
        <v>8</v>
      </c>
      <c r="MV507" s="27" t="s">
        <v>7</v>
      </c>
      <c r="MW507" s="27" t="s">
        <v>8</v>
      </c>
      <c r="PN507" s="27" t="s">
        <v>7</v>
      </c>
      <c r="PO507" s="27" t="s">
        <v>8</v>
      </c>
      <c r="PT507" s="27" t="s">
        <v>7</v>
      </c>
      <c r="PU507" s="27" t="s">
        <v>8</v>
      </c>
      <c r="PV507" s="27" t="s">
        <v>7</v>
      </c>
      <c r="PW507" s="27" t="s">
        <v>8</v>
      </c>
      <c r="PX507" s="27" t="s">
        <v>7</v>
      </c>
      <c r="PZ507" s="27" t="s">
        <v>7</v>
      </c>
      <c r="QD507" s="27" t="s">
        <v>7</v>
      </c>
      <c r="QF507" s="27" t="s">
        <v>7</v>
      </c>
      <c r="QG507" s="27" t="s">
        <v>8</v>
      </c>
      <c r="QH507" s="27" t="s">
        <v>7</v>
      </c>
      <c r="QJ507" s="27" t="s">
        <v>7</v>
      </c>
    </row>
    <row r="508" spans="1:452" x14ac:dyDescent="0.25">
      <c r="A508" s="7">
        <v>4.7798423098984264</v>
      </c>
      <c r="B508"/>
      <c r="C508"/>
      <c r="D508"/>
      <c r="E508"/>
      <c r="FO508" s="27" t="s">
        <v>8</v>
      </c>
      <c r="FP508" s="27" t="s">
        <v>7</v>
      </c>
      <c r="FQ508" s="27" t="s">
        <v>8</v>
      </c>
      <c r="FR508" s="27" t="s">
        <v>7</v>
      </c>
      <c r="FY508" s="27" t="s">
        <v>8</v>
      </c>
      <c r="HJ508" s="27" t="s">
        <v>7</v>
      </c>
      <c r="HK508" s="27" t="s">
        <v>8</v>
      </c>
      <c r="HN508" s="27" t="s">
        <v>7</v>
      </c>
      <c r="HS508" s="27" t="s">
        <v>8</v>
      </c>
      <c r="IT508" s="27" t="s">
        <v>7</v>
      </c>
      <c r="IU508" s="27" t="s">
        <v>8</v>
      </c>
      <c r="MH508" s="27" t="s">
        <v>7</v>
      </c>
      <c r="MI508" s="27" t="s">
        <v>8</v>
      </c>
      <c r="MJ508" s="27" t="s">
        <v>7</v>
      </c>
      <c r="MK508" s="27" t="s">
        <v>8</v>
      </c>
      <c r="MV508" s="27" t="s">
        <v>7</v>
      </c>
      <c r="MW508" s="27" t="s">
        <v>8</v>
      </c>
      <c r="PN508" s="27" t="s">
        <v>7</v>
      </c>
      <c r="PO508" s="27" t="s">
        <v>8</v>
      </c>
      <c r="PT508" s="27" t="s">
        <v>7</v>
      </c>
      <c r="PU508" s="27" t="s">
        <v>8</v>
      </c>
      <c r="PV508" s="27" t="s">
        <v>7</v>
      </c>
      <c r="PW508" s="27" t="s">
        <v>8</v>
      </c>
      <c r="QF508" s="27" t="s">
        <v>7</v>
      </c>
      <c r="QJ508" s="27" t="s">
        <v>7</v>
      </c>
    </row>
    <row r="509" spans="1:452" x14ac:dyDescent="0.25">
      <c r="A509" s="7">
        <v>4.6861199116651235</v>
      </c>
      <c r="B509"/>
      <c r="C509"/>
      <c r="D509"/>
      <c r="E509"/>
      <c r="FO509" s="27" t="s">
        <v>8</v>
      </c>
      <c r="FP509" s="27" t="s">
        <v>7</v>
      </c>
      <c r="FQ509" s="27" t="s">
        <v>8</v>
      </c>
      <c r="FR509" s="27" t="s">
        <v>7</v>
      </c>
      <c r="FY509" s="27" t="s">
        <v>8</v>
      </c>
      <c r="HJ509" s="27" t="s">
        <v>7</v>
      </c>
      <c r="HK509" s="27" t="s">
        <v>8</v>
      </c>
      <c r="HN509" s="27" t="s">
        <v>7</v>
      </c>
      <c r="HS509" s="27" t="s">
        <v>8</v>
      </c>
      <c r="IT509" s="27" t="s">
        <v>7</v>
      </c>
      <c r="IU509" s="27" t="s">
        <v>8</v>
      </c>
      <c r="MH509" s="27" t="s">
        <v>7</v>
      </c>
      <c r="MI509" s="27" t="s">
        <v>8</v>
      </c>
      <c r="MJ509" s="27" t="s">
        <v>7</v>
      </c>
      <c r="MK509" s="27" t="s">
        <v>8</v>
      </c>
      <c r="MV509" s="18" t="s">
        <v>7</v>
      </c>
      <c r="MW509" s="27" t="s">
        <v>8</v>
      </c>
      <c r="PN509" s="27" t="s">
        <v>7</v>
      </c>
      <c r="PT509" s="27" t="s">
        <v>7</v>
      </c>
      <c r="PV509" s="27" t="s">
        <v>7</v>
      </c>
      <c r="QJ509" s="27" t="s">
        <v>7</v>
      </c>
    </row>
    <row r="510" spans="1:452" x14ac:dyDescent="0.25">
      <c r="A510" s="7">
        <v>4.5942352075148269</v>
      </c>
      <c r="B510"/>
      <c r="C510"/>
      <c r="D510"/>
      <c r="E510"/>
      <c r="FO510" s="27" t="s">
        <v>8</v>
      </c>
      <c r="FP510" s="27" t="s">
        <v>7</v>
      </c>
      <c r="FQ510" s="27" t="s">
        <v>8</v>
      </c>
      <c r="FR510" s="27" t="s">
        <v>7</v>
      </c>
      <c r="FS510" s="27" t="s">
        <v>8</v>
      </c>
      <c r="FY510" s="27" t="s">
        <v>8</v>
      </c>
      <c r="HJ510" s="27" t="s">
        <v>7</v>
      </c>
      <c r="HK510" s="27" t="s">
        <v>8</v>
      </c>
      <c r="HN510" s="27" t="s">
        <v>7</v>
      </c>
      <c r="HO510" s="27" t="s">
        <v>8</v>
      </c>
      <c r="HQ510" s="27" t="s">
        <v>8</v>
      </c>
      <c r="HS510" s="27" t="s">
        <v>8</v>
      </c>
      <c r="IT510" s="27" t="s">
        <v>7</v>
      </c>
      <c r="IU510" s="27" t="s">
        <v>8</v>
      </c>
      <c r="MH510" s="27" t="s">
        <v>7</v>
      </c>
      <c r="MI510" s="27" t="s">
        <v>8</v>
      </c>
      <c r="MJ510" s="27" t="s">
        <v>7</v>
      </c>
      <c r="MV510" s="27" t="s">
        <v>7</v>
      </c>
      <c r="MW510" s="27" t="s">
        <v>8</v>
      </c>
      <c r="QJ510" s="27" t="s">
        <v>7</v>
      </c>
    </row>
    <row r="511" spans="1:452" x14ac:dyDescent="0.25">
      <c r="A511" s="7">
        <v>4.5041521642302227</v>
      </c>
      <c r="B511"/>
      <c r="C511"/>
      <c r="D511"/>
      <c r="E511"/>
      <c r="FO511" s="27" t="s">
        <v>8</v>
      </c>
      <c r="FP511" s="27" t="s">
        <v>7</v>
      </c>
      <c r="FQ511" s="27" t="s">
        <v>8</v>
      </c>
      <c r="FR511" s="27" t="s">
        <v>7</v>
      </c>
      <c r="FS511" s="27" t="s">
        <v>8</v>
      </c>
      <c r="FT511" s="27" t="s">
        <v>7</v>
      </c>
      <c r="FY511" s="27" t="s">
        <v>8</v>
      </c>
      <c r="HJ511" s="27" t="s">
        <v>7</v>
      </c>
      <c r="HK511" s="27" t="s">
        <v>8</v>
      </c>
      <c r="HN511" s="27" t="s">
        <v>7</v>
      </c>
      <c r="HO511" s="27" t="s">
        <v>8</v>
      </c>
      <c r="HP511" s="27" t="s">
        <v>7</v>
      </c>
      <c r="HQ511" s="27" t="s">
        <v>8</v>
      </c>
      <c r="HR511" s="27" t="s">
        <v>7</v>
      </c>
      <c r="HS511" s="27" t="s">
        <v>8</v>
      </c>
      <c r="IT511" s="27" t="s">
        <v>7</v>
      </c>
      <c r="MH511" s="27" t="s">
        <v>7</v>
      </c>
      <c r="MI511" s="27" t="s">
        <v>8</v>
      </c>
      <c r="MV511" s="27" t="s">
        <v>7</v>
      </c>
      <c r="MW511" s="27" t="s">
        <v>8</v>
      </c>
      <c r="QJ511" s="27" t="s">
        <v>7</v>
      </c>
    </row>
    <row r="512" spans="1:452" x14ac:dyDescent="0.25">
      <c r="A512" s="7">
        <v>4.4158354551276693</v>
      </c>
      <c r="B512"/>
      <c r="C512"/>
      <c r="D512"/>
      <c r="E512"/>
      <c r="FO512" s="27" t="s">
        <v>8</v>
      </c>
      <c r="FP512" s="27" t="s">
        <v>7</v>
      </c>
      <c r="FQ512" s="27" t="s">
        <v>8</v>
      </c>
      <c r="FR512" s="27" t="s">
        <v>7</v>
      </c>
      <c r="FS512" s="27" t="s">
        <v>8</v>
      </c>
      <c r="FT512" s="27" t="s">
        <v>7</v>
      </c>
      <c r="FY512" s="27" t="s">
        <v>8</v>
      </c>
      <c r="HJ512" s="27" t="s">
        <v>7</v>
      </c>
      <c r="HK512" s="27" t="s">
        <v>8</v>
      </c>
      <c r="HN512" s="27" t="s">
        <v>7</v>
      </c>
      <c r="HO512" s="27" t="s">
        <v>8</v>
      </c>
      <c r="HP512" s="27" t="s">
        <v>7</v>
      </c>
      <c r="HQ512" s="27" t="s">
        <v>8</v>
      </c>
      <c r="HR512" s="27" t="s">
        <v>7</v>
      </c>
      <c r="HS512" s="27" t="s">
        <v>8</v>
      </c>
      <c r="MH512" s="27" t="s">
        <v>7</v>
      </c>
      <c r="MI512" s="27" t="s">
        <v>8</v>
      </c>
      <c r="MV512" s="27" t="s">
        <v>7</v>
      </c>
      <c r="MW512" s="27" t="s">
        <v>8</v>
      </c>
      <c r="QJ512" s="27" t="s">
        <v>7</v>
      </c>
    </row>
    <row r="513" spans="1:456" x14ac:dyDescent="0.25">
      <c r="A513" s="7">
        <v>4.3292504462035977</v>
      </c>
      <c r="B513"/>
      <c r="C513"/>
      <c r="D513"/>
      <c r="E513"/>
      <c r="FO513" s="27" t="s">
        <v>8</v>
      </c>
      <c r="FP513" s="27" t="s">
        <v>7</v>
      </c>
      <c r="FQ513" s="27" t="s">
        <v>8</v>
      </c>
      <c r="FR513" s="27" t="s">
        <v>7</v>
      </c>
      <c r="FS513" s="27" t="s">
        <v>8</v>
      </c>
      <c r="FT513" s="27" t="s">
        <v>7</v>
      </c>
      <c r="FW513" s="27" t="s">
        <v>8</v>
      </c>
      <c r="FY513" s="27" t="s">
        <v>8</v>
      </c>
      <c r="HJ513" s="27" t="s">
        <v>7</v>
      </c>
      <c r="HK513" s="27" t="s">
        <v>8</v>
      </c>
      <c r="HN513" s="27" t="s">
        <v>7</v>
      </c>
      <c r="HO513" s="27" t="s">
        <v>8</v>
      </c>
      <c r="HP513" s="27" t="s">
        <v>7</v>
      </c>
      <c r="HQ513" s="27" t="s">
        <v>8</v>
      </c>
      <c r="HR513" s="27" t="s">
        <v>7</v>
      </c>
      <c r="HS513" s="27" t="s">
        <v>8</v>
      </c>
      <c r="MH513" s="27" t="s">
        <v>7</v>
      </c>
      <c r="MI513" s="27" t="s">
        <v>8</v>
      </c>
      <c r="MV513" s="27" t="s">
        <v>7</v>
      </c>
      <c r="MW513" s="27" t="s">
        <v>8</v>
      </c>
      <c r="QJ513" s="27" t="s">
        <v>7</v>
      </c>
    </row>
    <row r="514" spans="1:456" x14ac:dyDescent="0.25">
      <c r="A514" s="7">
        <v>4.2443631825525463</v>
      </c>
      <c r="B514"/>
      <c r="C514"/>
      <c r="D514"/>
      <c r="E514"/>
      <c r="FO514" s="27" t="s">
        <v>8</v>
      </c>
      <c r="FP514" s="27" t="s">
        <v>7</v>
      </c>
      <c r="FQ514" s="27" t="s">
        <v>8</v>
      </c>
      <c r="FR514" s="27" t="s">
        <v>7</v>
      </c>
      <c r="FS514" s="27" t="s">
        <v>8</v>
      </c>
      <c r="FT514" s="27" t="s">
        <v>7</v>
      </c>
      <c r="FW514" s="27" t="s">
        <v>8</v>
      </c>
      <c r="FX514" s="27" t="s">
        <v>7</v>
      </c>
      <c r="FY514" s="27" t="s">
        <v>8</v>
      </c>
      <c r="HJ514" s="27" t="s">
        <v>7</v>
      </c>
      <c r="HK514" s="27" t="s">
        <v>8</v>
      </c>
      <c r="HN514" s="27" t="s">
        <v>7</v>
      </c>
      <c r="HO514" s="27" t="s">
        <v>8</v>
      </c>
      <c r="HP514" s="27" t="s">
        <v>7</v>
      </c>
      <c r="HR514" s="27" t="s">
        <v>7</v>
      </c>
      <c r="HS514" s="27" t="s">
        <v>8</v>
      </c>
      <c r="MH514" s="27" t="s">
        <v>7</v>
      </c>
      <c r="MI514" s="27" t="s">
        <v>8</v>
      </c>
      <c r="MV514" s="27" t="s">
        <v>7</v>
      </c>
      <c r="QJ514" s="27" t="s">
        <v>7</v>
      </c>
    </row>
    <row r="515" spans="1:456" x14ac:dyDescent="0.25">
      <c r="A515" s="7">
        <v>4.1611403750515157</v>
      </c>
      <c r="B515"/>
      <c r="C515"/>
      <c r="D515"/>
      <c r="E515"/>
      <c r="FO515" s="27" t="s">
        <v>8</v>
      </c>
      <c r="FP515" s="27" t="s">
        <v>7</v>
      </c>
      <c r="FQ515" s="27" t="s">
        <v>8</v>
      </c>
      <c r="FR515" s="27" t="s">
        <v>7</v>
      </c>
      <c r="FS515" s="27" t="s">
        <v>8</v>
      </c>
      <c r="FT515" s="27" t="s">
        <v>7</v>
      </c>
      <c r="FU515" s="27" t="s">
        <v>8</v>
      </c>
      <c r="FW515" s="27" t="s">
        <v>8</v>
      </c>
      <c r="FX515" s="27" t="s">
        <v>7</v>
      </c>
      <c r="FY515" s="27" t="s">
        <v>8</v>
      </c>
      <c r="HJ515" s="27" t="s">
        <v>7</v>
      </c>
      <c r="HK515" s="27" t="s">
        <v>8</v>
      </c>
      <c r="HN515" s="27" t="s">
        <v>7</v>
      </c>
      <c r="HR515" s="27" t="s">
        <v>7</v>
      </c>
      <c r="HS515" s="27" t="s">
        <v>8</v>
      </c>
      <c r="MH515" s="27" t="s">
        <v>7</v>
      </c>
      <c r="MI515" s="27" t="s">
        <v>8</v>
      </c>
      <c r="QJ515" s="27" t="s">
        <v>7</v>
      </c>
    </row>
    <row r="516" spans="1:456" x14ac:dyDescent="0.25">
      <c r="A516" s="7">
        <v>4.0795493873054074</v>
      </c>
      <c r="B516"/>
      <c r="C516"/>
      <c r="D516"/>
      <c r="E516"/>
      <c r="FO516" s="27" t="s">
        <v>8</v>
      </c>
      <c r="FP516" s="27" t="s">
        <v>7</v>
      </c>
      <c r="FQ516" s="27" t="s">
        <v>8</v>
      </c>
      <c r="FR516" s="27" t="s">
        <v>7</v>
      </c>
      <c r="FT516" s="27" t="s">
        <v>7</v>
      </c>
      <c r="FU516" s="27" t="s">
        <v>8</v>
      </c>
      <c r="FV516" s="27" t="s">
        <v>7</v>
      </c>
      <c r="FW516" s="27" t="s">
        <v>8</v>
      </c>
      <c r="FX516" s="27" t="s">
        <v>7</v>
      </c>
      <c r="FY516" s="27" t="s">
        <v>8</v>
      </c>
      <c r="HJ516" s="27" t="s">
        <v>7</v>
      </c>
      <c r="HK516" s="27" t="s">
        <v>8</v>
      </c>
      <c r="HR516" s="27" t="s">
        <v>7</v>
      </c>
      <c r="HS516" s="27" t="s">
        <v>8</v>
      </c>
      <c r="MH516" s="27" t="s">
        <v>7</v>
      </c>
      <c r="QJ516" s="27" t="s">
        <v>7</v>
      </c>
    </row>
    <row r="517" spans="1:456" x14ac:dyDescent="0.25">
      <c r="A517" s="7">
        <v>3.9995582228484383</v>
      </c>
      <c r="B517"/>
      <c r="C517"/>
      <c r="D517"/>
      <c r="E517"/>
      <c r="FO517" s="27" t="s">
        <v>8</v>
      </c>
      <c r="FP517" s="27" t="s">
        <v>7</v>
      </c>
      <c r="FQ517" s="27" t="s">
        <v>8</v>
      </c>
      <c r="FT517" s="27" t="s">
        <v>7</v>
      </c>
      <c r="FU517" s="27" t="s">
        <v>8</v>
      </c>
      <c r="FV517" s="27" t="s">
        <v>7</v>
      </c>
      <c r="FW517" s="27" t="s">
        <v>8</v>
      </c>
      <c r="FX517" s="27" t="s">
        <v>7</v>
      </c>
      <c r="FY517" s="27" t="s">
        <v>8</v>
      </c>
      <c r="HJ517" s="27" t="s">
        <v>7</v>
      </c>
      <c r="HK517" s="27" t="s">
        <v>8</v>
      </c>
      <c r="HR517" s="27" t="s">
        <v>7</v>
      </c>
      <c r="HS517" s="27" t="s">
        <v>8</v>
      </c>
      <c r="QJ517" s="27" t="s">
        <v>7</v>
      </c>
    </row>
    <row r="518" spans="1:456" x14ac:dyDescent="0.25">
      <c r="A518" s="7">
        <v>3.9211355125965079</v>
      </c>
      <c r="B518"/>
      <c r="C518"/>
      <c r="D518"/>
      <c r="E518"/>
      <c r="FO518" s="27" t="s">
        <v>8</v>
      </c>
      <c r="FP518" s="27" t="s">
        <v>7</v>
      </c>
      <c r="FQ518" s="27" t="s">
        <v>8</v>
      </c>
      <c r="FT518" s="27" t="s">
        <v>7</v>
      </c>
      <c r="FU518" s="27" t="s">
        <v>8</v>
      </c>
      <c r="FV518" s="27" t="s">
        <v>7</v>
      </c>
      <c r="FW518" s="27" t="s">
        <v>8</v>
      </c>
      <c r="FX518" s="27" t="s">
        <v>7</v>
      </c>
      <c r="FY518" s="27" t="s">
        <v>8</v>
      </c>
      <c r="HJ518" s="27" t="s">
        <v>7</v>
      </c>
      <c r="HK518" s="27" t="s">
        <v>8</v>
      </c>
      <c r="HR518" s="27" t="s">
        <v>7</v>
      </c>
      <c r="HS518" s="27" t="s">
        <v>8</v>
      </c>
      <c r="QJ518" s="27" t="s">
        <v>7</v>
      </c>
      <c r="QM518" s="27" t="s">
        <v>8</v>
      </c>
    </row>
    <row r="519" spans="1:456" x14ac:dyDescent="0.25">
      <c r="A519" s="7">
        <v>3.844250502545596</v>
      </c>
      <c r="B519"/>
      <c r="C519"/>
      <c r="D519"/>
      <c r="E519"/>
      <c r="FO519" s="27" t="s">
        <v>8</v>
      </c>
      <c r="FP519" s="27" t="s">
        <v>7</v>
      </c>
      <c r="FQ519" s="27" t="s">
        <v>8</v>
      </c>
      <c r="FT519" s="27" t="s">
        <v>7</v>
      </c>
      <c r="FU519" s="27" t="s">
        <v>8</v>
      </c>
      <c r="FV519" s="27" t="s">
        <v>7</v>
      </c>
      <c r="FW519" s="27" t="s">
        <v>8</v>
      </c>
      <c r="FX519" s="27" t="s">
        <v>7</v>
      </c>
      <c r="FY519" s="27" t="s">
        <v>8</v>
      </c>
      <c r="HJ519" s="27" t="s">
        <v>7</v>
      </c>
      <c r="HK519" s="27" t="s">
        <v>8</v>
      </c>
      <c r="HR519" s="27" t="s">
        <v>7</v>
      </c>
      <c r="QJ519" s="27" t="s">
        <v>7</v>
      </c>
      <c r="QM519" s="27" t="s">
        <v>8</v>
      </c>
      <c r="QN519" s="27" t="s">
        <v>7</v>
      </c>
    </row>
    <row r="520" spans="1:456" x14ac:dyDescent="0.25">
      <c r="A520" s="7">
        <v>3.7688730417113687</v>
      </c>
      <c r="B520"/>
      <c r="C520"/>
      <c r="D520"/>
      <c r="E520"/>
      <c r="FO520" s="27" t="s">
        <v>8</v>
      </c>
      <c r="FP520" s="27" t="s">
        <v>7</v>
      </c>
      <c r="FQ520" s="27" t="s">
        <v>8</v>
      </c>
      <c r="FT520" s="27" t="s">
        <v>7</v>
      </c>
      <c r="FU520" s="27" t="s">
        <v>8</v>
      </c>
      <c r="FV520" s="27" t="s">
        <v>7</v>
      </c>
      <c r="FX520" s="27" t="s">
        <v>7</v>
      </c>
      <c r="FY520" s="27" t="s">
        <v>8</v>
      </c>
      <c r="HJ520" s="27" t="s">
        <v>7</v>
      </c>
      <c r="HK520" s="27" t="s">
        <v>8</v>
      </c>
      <c r="QJ520" s="27" t="s">
        <v>7</v>
      </c>
      <c r="QM520" s="27" t="s">
        <v>8</v>
      </c>
      <c r="QN520" s="27" t="s">
        <v>7</v>
      </c>
    </row>
    <row r="521" spans="1:456" x14ac:dyDescent="0.25">
      <c r="A521" s="7">
        <v>3.6949735703052635</v>
      </c>
      <c r="B521"/>
      <c r="C521"/>
      <c r="D521"/>
      <c r="E521"/>
      <c r="FO521" s="27" t="s">
        <v>8</v>
      </c>
      <c r="FP521" s="27" t="s">
        <v>7</v>
      </c>
      <c r="FQ521" s="27" t="s">
        <v>8</v>
      </c>
      <c r="FT521" s="27" t="s">
        <v>7</v>
      </c>
      <c r="FU521" s="27" t="s">
        <v>8</v>
      </c>
      <c r="FX521" s="27" t="s">
        <v>7</v>
      </c>
      <c r="FY521" s="27" t="s">
        <v>8</v>
      </c>
      <c r="HJ521" s="27" t="s">
        <v>7</v>
      </c>
      <c r="HK521" s="27" t="s">
        <v>8</v>
      </c>
      <c r="QJ521" s="27" t="s">
        <v>7</v>
      </c>
      <c r="QK521" s="27" t="s">
        <v>8</v>
      </c>
      <c r="QM521" s="27" t="s">
        <v>8</v>
      </c>
      <c r="QN521" s="27" t="s">
        <v>7</v>
      </c>
    </row>
    <row r="522" spans="1:456" x14ac:dyDescent="0.25">
      <c r="A522" s="7">
        <v>3.6225231081424152</v>
      </c>
      <c r="B522"/>
      <c r="C522"/>
      <c r="D522"/>
      <c r="E522"/>
      <c r="FO522" s="27" t="s">
        <v>8</v>
      </c>
      <c r="FP522" s="27" t="s">
        <v>7</v>
      </c>
      <c r="FT522" s="27" t="s">
        <v>7</v>
      </c>
      <c r="FU522" s="27" t="s">
        <v>8</v>
      </c>
      <c r="FX522" s="27" t="s">
        <v>7</v>
      </c>
      <c r="FY522" s="27" t="s">
        <v>8</v>
      </c>
      <c r="HJ522" s="27" t="s">
        <v>7</v>
      </c>
      <c r="HK522" s="27" t="s">
        <v>8</v>
      </c>
      <c r="QJ522" s="27" t="s">
        <v>7</v>
      </c>
      <c r="QK522" s="27" t="s">
        <v>8</v>
      </c>
      <c r="QL522" s="27" t="s">
        <v>7</v>
      </c>
      <c r="QM522" s="27" t="s">
        <v>8</v>
      </c>
      <c r="QN522" s="27" t="s">
        <v>7</v>
      </c>
    </row>
    <row r="523" spans="1:456" x14ac:dyDescent="0.25">
      <c r="A523" s="7">
        <v>3.5514932432768775</v>
      </c>
      <c r="B523"/>
      <c r="C523"/>
      <c r="D523"/>
      <c r="E523"/>
      <c r="FO523" s="27" t="s">
        <v>8</v>
      </c>
      <c r="FT523" s="27" t="s">
        <v>7</v>
      </c>
      <c r="FU523" s="27" t="s">
        <v>8</v>
      </c>
      <c r="FX523" s="27" t="s">
        <v>7</v>
      </c>
      <c r="FY523" s="27" t="s">
        <v>8</v>
      </c>
      <c r="HJ523" s="27" t="s">
        <v>7</v>
      </c>
      <c r="HK523" s="27" t="s">
        <v>8</v>
      </c>
      <c r="QJ523" s="27" t="s">
        <v>7</v>
      </c>
      <c r="QK523" s="27" t="s">
        <v>8</v>
      </c>
      <c r="QL523" s="27" t="s">
        <v>7</v>
      </c>
      <c r="QM523" s="27" t="s">
        <v>8</v>
      </c>
      <c r="QN523" s="27" t="s">
        <v>7</v>
      </c>
    </row>
    <row r="524" spans="1:456" x14ac:dyDescent="0.25">
      <c r="A524" s="7">
        <v>3.4818561208596837</v>
      </c>
      <c r="B524"/>
      <c r="C524"/>
      <c r="D524"/>
      <c r="E524"/>
      <c r="FO524" s="27" t="s">
        <v>8</v>
      </c>
      <c r="FT524" s="27" t="s">
        <v>7</v>
      </c>
      <c r="FU524" s="27" t="s">
        <v>8</v>
      </c>
      <c r="FX524" s="27" t="s">
        <v>7</v>
      </c>
      <c r="FY524" s="27" t="s">
        <v>8</v>
      </c>
      <c r="HJ524" s="27" t="s">
        <v>7</v>
      </c>
      <c r="HK524" s="27" t="s">
        <v>8</v>
      </c>
      <c r="QJ524" s="27" t="s">
        <v>7</v>
      </c>
      <c r="QK524" s="27" t="s">
        <v>8</v>
      </c>
      <c r="QL524" s="27" t="s">
        <v>7</v>
      </c>
      <c r="QM524" s="27" t="s">
        <v>8</v>
      </c>
      <c r="QN524" s="27" t="s">
        <v>7</v>
      </c>
    </row>
    <row r="525" spans="1:456" x14ac:dyDescent="0.25">
      <c r="A525" s="7">
        <v>3.4135844322153761</v>
      </c>
      <c r="B525"/>
      <c r="C525"/>
      <c r="D525"/>
      <c r="E525"/>
      <c r="FO525" s="27" t="s">
        <v>8</v>
      </c>
      <c r="FT525" s="27" t="s">
        <v>7</v>
      </c>
      <c r="FU525" s="27" t="s">
        <v>8</v>
      </c>
      <c r="FX525" s="27" t="s">
        <v>7</v>
      </c>
      <c r="FY525" s="27" t="s">
        <v>8</v>
      </c>
      <c r="HJ525" s="27" t="s">
        <v>7</v>
      </c>
      <c r="HK525" s="27" t="s">
        <v>8</v>
      </c>
      <c r="QJ525" s="27" t="s">
        <v>7</v>
      </c>
      <c r="QK525" s="27" t="s">
        <v>8</v>
      </c>
      <c r="QL525" s="27" t="s">
        <v>7</v>
      </c>
      <c r="QM525" s="27" t="s">
        <v>8</v>
      </c>
      <c r="QN525" s="27" t="s">
        <v>7</v>
      </c>
    </row>
    <row r="526" spans="1:456" x14ac:dyDescent="0.25">
      <c r="A526" s="7">
        <v>3.3466514041327216</v>
      </c>
      <c r="B526"/>
      <c r="C526"/>
      <c r="D526"/>
      <c r="E526"/>
      <c r="FO526" s="27" t="s">
        <v>8</v>
      </c>
      <c r="FT526" s="27" t="s">
        <v>7</v>
      </c>
      <c r="FU526" s="27" t="s">
        <v>8</v>
      </c>
      <c r="FX526" s="27" t="s">
        <v>7</v>
      </c>
      <c r="FY526" s="27" t="s">
        <v>8</v>
      </c>
      <c r="HJ526" s="27" t="s">
        <v>7</v>
      </c>
      <c r="QJ526" s="27" t="s">
        <v>7</v>
      </c>
      <c r="QK526" s="27" t="s">
        <v>8</v>
      </c>
      <c r="QL526" s="27" t="s">
        <v>7</v>
      </c>
      <c r="QM526" s="27" t="s">
        <v>8</v>
      </c>
    </row>
    <row r="527" spans="1:456" x14ac:dyDescent="0.25">
      <c r="A527" s="7">
        <v>3.2810307883654133</v>
      </c>
      <c r="B527"/>
      <c r="C527"/>
      <c r="D527"/>
      <c r="E527"/>
      <c r="FO527" s="27" t="s">
        <v>8</v>
      </c>
      <c r="FT527" s="27" t="s">
        <v>7</v>
      </c>
      <c r="FU527" s="27" t="s">
        <v>8</v>
      </c>
      <c r="FX527" s="27" t="s">
        <v>7</v>
      </c>
      <c r="FY527" s="27" t="s">
        <v>8</v>
      </c>
      <c r="QJ527" s="27" t="s">
        <v>7</v>
      </c>
      <c r="QK527" s="27" t="s">
        <v>8</v>
      </c>
      <c r="QL527" s="27" t="s">
        <v>7</v>
      </c>
      <c r="QM527" s="27" t="s">
        <v>8</v>
      </c>
    </row>
    <row r="528" spans="1:456" x14ac:dyDescent="0.25">
      <c r="A528" s="7">
        <v>3.2166968513386403</v>
      </c>
      <c r="B528"/>
      <c r="C528"/>
      <c r="D528"/>
      <c r="E528"/>
      <c r="FO528" s="27" t="s">
        <v>8</v>
      </c>
      <c r="FT528" s="27" t="s">
        <v>7</v>
      </c>
      <c r="FU528" s="27" t="s">
        <v>8</v>
      </c>
      <c r="FX528" s="27" t="s">
        <v>7</v>
      </c>
      <c r="FY528" s="27" t="s">
        <v>8</v>
      </c>
      <c r="QJ528" s="27" t="s">
        <v>7</v>
      </c>
      <c r="QL528" s="27" t="s">
        <v>7</v>
      </c>
      <c r="QM528" s="27" t="s">
        <v>8</v>
      </c>
    </row>
    <row r="529" spans="1:455" x14ac:dyDescent="0.25">
      <c r="A529" s="7">
        <v>3.1536243640574906</v>
      </c>
      <c r="B529"/>
      <c r="C529"/>
      <c r="D529"/>
      <c r="E529"/>
      <c r="FO529" s="27" t="s">
        <v>8</v>
      </c>
      <c r="FT529" s="27" t="s">
        <v>7</v>
      </c>
      <c r="FU529" s="27" t="s">
        <v>8</v>
      </c>
      <c r="FX529" s="27" t="s">
        <v>7</v>
      </c>
      <c r="FY529" s="27" t="s">
        <v>8</v>
      </c>
      <c r="QL529" s="27" t="s">
        <v>7</v>
      </c>
      <c r="QM529" s="27" t="s">
        <v>8</v>
      </c>
    </row>
    <row r="530" spans="1:455" x14ac:dyDescent="0.25">
      <c r="A530" s="7">
        <v>3.0917885922132262</v>
      </c>
      <c r="B530"/>
      <c r="C530"/>
      <c r="D530"/>
      <c r="E530"/>
      <c r="FO530" s="27" t="s">
        <v>8</v>
      </c>
      <c r="FT530" s="27" t="s">
        <v>7</v>
      </c>
      <c r="FU530" s="27" t="s">
        <v>8</v>
      </c>
      <c r="FX530" s="27" t="s">
        <v>7</v>
      </c>
      <c r="FY530" s="27" t="s">
        <v>8</v>
      </c>
      <c r="QL530" s="27" t="s">
        <v>7</v>
      </c>
      <c r="QM530" s="27" t="s">
        <v>8</v>
      </c>
    </row>
    <row r="531" spans="1:455" x14ac:dyDescent="0.25">
      <c r="A531" s="7">
        <v>3.0311652864835552</v>
      </c>
      <c r="B531"/>
      <c r="C531"/>
      <c r="D531"/>
      <c r="E531"/>
      <c r="FO531" s="27" t="s">
        <v>8</v>
      </c>
      <c r="FT531" s="27" t="s">
        <v>7</v>
      </c>
      <c r="FU531" s="27" t="s">
        <v>8</v>
      </c>
      <c r="FX531" s="27" t="s">
        <v>7</v>
      </c>
      <c r="QL531" s="27" t="s">
        <v>7</v>
      </c>
    </row>
    <row r="532" spans="1:455" x14ac:dyDescent="0.25">
      <c r="A532" s="7">
        <v>2.9717306730230932</v>
      </c>
      <c r="B532"/>
      <c r="C532"/>
      <c r="D532"/>
      <c r="E532"/>
      <c r="FO532" s="27" t="s">
        <v>8</v>
      </c>
      <c r="FT532" s="27" t="s">
        <v>7</v>
      </c>
    </row>
    <row r="533" spans="1:455" x14ac:dyDescent="0.25">
      <c r="A533" s="7">
        <v>2.9134614441402875</v>
      </c>
      <c r="B533"/>
      <c r="C533"/>
      <c r="D533"/>
      <c r="E533"/>
      <c r="FO533" s="27" t="s">
        <v>8</v>
      </c>
    </row>
    <row r="534" spans="1:455" x14ac:dyDescent="0.25">
      <c r="A534" s="7">
        <v>2.8563347491571447</v>
      </c>
      <c r="B534"/>
      <c r="C534"/>
      <c r="D534"/>
      <c r="E534"/>
      <c r="FO534" s="27" t="s">
        <v>8</v>
      </c>
    </row>
    <row r="535" spans="1:455" x14ac:dyDescent="0.25">
      <c r="A535" s="7">
        <v>2.8003281854481812</v>
      </c>
      <c r="B535"/>
      <c r="C535"/>
      <c r="D535"/>
      <c r="E535"/>
      <c r="FO535" s="27" t="s">
        <v>8</v>
      </c>
    </row>
    <row r="536" spans="1:455" x14ac:dyDescent="0.25">
      <c r="A536" s="7">
        <v>2.7454197896550796</v>
      </c>
      <c r="B536"/>
      <c r="C536"/>
      <c r="D536"/>
      <c r="E536"/>
      <c r="FO536" s="27" t="s">
        <v>8</v>
      </c>
    </row>
    <row r="537" spans="1:455" x14ac:dyDescent="0.25">
      <c r="A537" s="7">
        <v>2.6915880290736074</v>
      </c>
      <c r="B537"/>
      <c r="C537"/>
      <c r="D537"/>
      <c r="E537"/>
      <c r="FO537" s="27" t="s">
        <v>8</v>
      </c>
    </row>
    <row r="538" spans="1:455" x14ac:dyDescent="0.25">
      <c r="A538" s="7">
        <v>2.6388117932094191</v>
      </c>
      <c r="B538"/>
      <c r="C538"/>
      <c r="D538"/>
      <c r="E538"/>
      <c r="FM538" s="27" t="s">
        <v>8</v>
      </c>
      <c r="FO538" s="27" t="s">
        <v>8</v>
      </c>
    </row>
    <row r="539" spans="1:455" x14ac:dyDescent="0.25">
      <c r="A539" s="7">
        <v>2.5870703854994304</v>
      </c>
      <c r="B539"/>
      <c r="C539"/>
      <c r="D539"/>
      <c r="E539"/>
      <c r="FM539" s="27" t="s">
        <v>8</v>
      </c>
      <c r="FN539" s="27" t="s">
        <v>7</v>
      </c>
      <c r="FO539" s="27" t="s">
        <v>8</v>
      </c>
    </row>
    <row r="540" spans="1:455" x14ac:dyDescent="0.25">
      <c r="A540" s="7">
        <v>2.53634351519552</v>
      </c>
      <c r="B540"/>
      <c r="C540"/>
      <c r="D540"/>
      <c r="E540"/>
      <c r="FM540" s="27" t="s">
        <v>8</v>
      </c>
      <c r="FN540" s="27" t="s">
        <v>7</v>
      </c>
      <c r="FO540" s="27" t="s">
        <v>8</v>
      </c>
    </row>
    <row r="541" spans="1:455" x14ac:dyDescent="0.25">
      <c r="A541" s="7">
        <v>2.4866112894073726</v>
      </c>
      <c r="B541"/>
      <c r="C541"/>
      <c r="D541"/>
      <c r="E541"/>
      <c r="FK541" s="27" t="s">
        <v>8</v>
      </c>
      <c r="FM541" s="27" t="s">
        <v>8</v>
      </c>
      <c r="FN541" s="27" t="s">
        <v>7</v>
      </c>
      <c r="FO541" s="27" t="s">
        <v>8</v>
      </c>
    </row>
    <row r="542" spans="1:455" x14ac:dyDescent="0.25">
      <c r="A542" s="7">
        <v>2.4378542053013459</v>
      </c>
      <c r="B542"/>
      <c r="C542"/>
      <c r="D542"/>
      <c r="E542"/>
      <c r="FK542" s="27" t="s">
        <v>8</v>
      </c>
      <c r="FL542" s="27" t="s">
        <v>7</v>
      </c>
      <c r="FM542" s="27" t="s">
        <v>8</v>
      </c>
      <c r="FN542" s="27" t="s">
        <v>7</v>
      </c>
      <c r="FO542" s="27" t="s">
        <v>8</v>
      </c>
    </row>
    <row r="543" spans="1:455" x14ac:dyDescent="0.25">
      <c r="A543" s="7">
        <v>2.3900531424522997</v>
      </c>
      <c r="B543"/>
      <c r="C543"/>
      <c r="D543"/>
      <c r="E543"/>
      <c r="FK543" s="27" t="s">
        <v>8</v>
      </c>
      <c r="FL543" s="27" t="s">
        <v>7</v>
      </c>
      <c r="FM543" s="27" t="s">
        <v>8</v>
      </c>
      <c r="FN543" s="27" t="s">
        <v>7</v>
      </c>
      <c r="FO543" s="27" t="s">
        <v>8</v>
      </c>
    </row>
    <row r="544" spans="1:455" x14ac:dyDescent="0.25">
      <c r="A544" s="7">
        <v>2.343189355345392</v>
      </c>
      <c r="B544"/>
      <c r="C544"/>
      <c r="D544"/>
      <c r="E544"/>
      <c r="FK544" s="27" t="s">
        <v>8</v>
      </c>
      <c r="FL544" s="27" t="s">
        <v>7</v>
      </c>
      <c r="FM544" s="27" t="s">
        <v>8</v>
      </c>
      <c r="FN544" s="27" t="s">
        <v>7</v>
      </c>
      <c r="FO544" s="27" t="s">
        <v>8</v>
      </c>
    </row>
    <row r="545" spans="1:170" x14ac:dyDescent="0.25">
      <c r="A545" s="7">
        <v>2.2972444660248938</v>
      </c>
      <c r="B545"/>
      <c r="C545"/>
      <c r="D545"/>
      <c r="E545"/>
      <c r="FK545" s="27" t="s">
        <v>8</v>
      </c>
      <c r="FL545" s="27" t="s">
        <v>7</v>
      </c>
      <c r="FM545" s="27" t="s">
        <v>8</v>
      </c>
      <c r="FN545" s="27" t="s">
        <v>7</v>
      </c>
    </row>
    <row r="546" spans="1:170" x14ac:dyDescent="0.25">
      <c r="A546" s="7">
        <v>2.252200456887151</v>
      </c>
      <c r="B546"/>
      <c r="C546"/>
      <c r="D546"/>
      <c r="E546"/>
      <c r="FK546" s="27" t="s">
        <v>8</v>
      </c>
      <c r="FL546" s="27" t="s">
        <v>7</v>
      </c>
      <c r="FM546" s="27" t="s">
        <v>8</v>
      </c>
    </row>
    <row r="547" spans="1:170" x14ac:dyDescent="0.25">
      <c r="A547" s="7">
        <v>2.208039663614854</v>
      </c>
      <c r="B547"/>
      <c r="C547"/>
      <c r="D547"/>
      <c r="E547"/>
      <c r="FK547" s="27" t="s">
        <v>8</v>
      </c>
      <c r="FL547" s="27" t="s">
        <v>7</v>
      </c>
      <c r="FM547" s="27" t="s">
        <v>8</v>
      </c>
    </row>
    <row r="548" spans="1:170" x14ac:dyDescent="0.25">
      <c r="A548" s="7">
        <v>2.1647447682498568</v>
      </c>
      <c r="B548"/>
      <c r="C548"/>
      <c r="D548"/>
      <c r="E548"/>
      <c r="FK548" s="27" t="s">
        <v>8</v>
      </c>
      <c r="FL548" s="27" t="s">
        <v>7</v>
      </c>
      <c r="FM548" s="27" t="s">
        <v>8</v>
      </c>
    </row>
    <row r="549" spans="1:170" x14ac:dyDescent="0.25">
      <c r="A549" s="7">
        <v>2.1222987924018204</v>
      </c>
      <c r="B549"/>
      <c r="C549"/>
      <c r="D549"/>
      <c r="E549"/>
      <c r="FK549" s="27" t="s">
        <v>8</v>
      </c>
      <c r="FL549" s="27" t="s">
        <v>7</v>
      </c>
      <c r="FM549" s="27" t="s">
        <v>8</v>
      </c>
    </row>
    <row r="550" spans="1:170" x14ac:dyDescent="0.25">
      <c r="A550" s="7">
        <v>2.0806850905900198</v>
      </c>
      <c r="B550"/>
      <c r="C550"/>
      <c r="D550"/>
      <c r="E550"/>
      <c r="FK550" s="27" t="s">
        <v>8</v>
      </c>
      <c r="FL550" s="27" t="s">
        <v>7</v>
      </c>
    </row>
    <row r="551" spans="1:170" x14ac:dyDescent="0.25">
      <c r="A551" s="7">
        <v>2.0398873437157055</v>
      </c>
      <c r="B551"/>
      <c r="C551"/>
      <c r="D551"/>
      <c r="E551"/>
      <c r="FK551" s="27" t="s">
        <v>8</v>
      </c>
    </row>
    <row r="552" spans="1:170" x14ac:dyDescent="0.25">
      <c r="A552" s="7">
        <v>1.9998895526624565</v>
      </c>
      <c r="B552"/>
      <c r="C552"/>
      <c r="D552"/>
      <c r="E552"/>
      <c r="FK552" s="27" t="s">
        <v>8</v>
      </c>
    </row>
    <row r="553" spans="1:170" x14ac:dyDescent="0.25">
      <c r="A553" s="7">
        <v>1.9606760320220162</v>
      </c>
      <c r="B553"/>
      <c r="C553"/>
      <c r="D553"/>
      <c r="E553"/>
      <c r="EQ553" s="27" t="s">
        <v>8</v>
      </c>
      <c r="FK553" s="27" t="s">
        <v>8</v>
      </c>
    </row>
    <row r="554" spans="1:170" x14ac:dyDescent="0.25">
      <c r="A554" s="7">
        <v>1.9222314039431532</v>
      </c>
      <c r="B554"/>
      <c r="C554"/>
      <c r="D554"/>
      <c r="E554"/>
      <c r="EQ554" s="27" t="s">
        <v>8</v>
      </c>
      <c r="ER554" s="27" t="s">
        <v>7</v>
      </c>
      <c r="FK554" s="27" t="s">
        <v>8</v>
      </c>
    </row>
    <row r="555" spans="1:170" x14ac:dyDescent="0.25">
      <c r="A555" s="7">
        <v>1.8845405921011305</v>
      </c>
      <c r="B555"/>
      <c r="C555"/>
      <c r="D555"/>
      <c r="E555"/>
      <c r="EM555" s="27" t="s">
        <v>8</v>
      </c>
      <c r="EQ555" s="27" t="s">
        <v>8</v>
      </c>
      <c r="ER555" s="27" t="s">
        <v>7</v>
      </c>
      <c r="FK555" s="27" t="s">
        <v>8</v>
      </c>
    </row>
    <row r="556" spans="1:170" x14ac:dyDescent="0.25">
      <c r="A556" s="7">
        <v>1.8475888157854219</v>
      </c>
      <c r="B556"/>
      <c r="C556"/>
      <c r="D556"/>
      <c r="E556"/>
      <c r="EM556" s="27" t="s">
        <v>8</v>
      </c>
      <c r="EN556" s="27" t="s">
        <v>7</v>
      </c>
      <c r="EQ556" s="27" t="s">
        <v>8</v>
      </c>
      <c r="ER556" s="27" t="s">
        <v>7</v>
      </c>
      <c r="FK556" s="27" t="s">
        <v>8</v>
      </c>
    </row>
    <row r="557" spans="1:170" x14ac:dyDescent="0.25">
      <c r="A557" s="7">
        <v>1.8113615841033548</v>
      </c>
      <c r="B557"/>
      <c r="C557"/>
      <c r="D557"/>
      <c r="E557"/>
      <c r="EM557" s="27" t="s">
        <v>8</v>
      </c>
      <c r="EN557" s="27" t="s">
        <v>7</v>
      </c>
      <c r="EQ557" s="27" t="s">
        <v>8</v>
      </c>
      <c r="ER557" s="27" t="s">
        <v>7</v>
      </c>
      <c r="FK557" s="27" t="s">
        <v>8</v>
      </c>
    </row>
    <row r="558" spans="1:170" x14ac:dyDescent="0.25">
      <c r="A558" s="7">
        <v>1.7758446902974065</v>
      </c>
      <c r="B558"/>
      <c r="C558"/>
      <c r="D558"/>
      <c r="E558"/>
      <c r="EM558" s="27" t="s">
        <v>8</v>
      </c>
      <c r="EN558" s="27" t="s">
        <v>7</v>
      </c>
      <c r="EQ558" s="27" t="s">
        <v>8</v>
      </c>
      <c r="ER558" s="27" t="s">
        <v>7</v>
      </c>
      <c r="FK558" s="27" t="s">
        <v>8</v>
      </c>
    </row>
    <row r="559" spans="1:170" x14ac:dyDescent="0.25">
      <c r="A559" s="7">
        <v>1.7410242061739281</v>
      </c>
      <c r="B559"/>
      <c r="C559"/>
      <c r="D559"/>
      <c r="E559"/>
      <c r="EM559" s="27" t="s">
        <v>8</v>
      </c>
      <c r="EN559" s="27" t="s">
        <v>7</v>
      </c>
      <c r="EQ559" s="27" t="s">
        <v>8</v>
      </c>
      <c r="ER559" s="27" t="s">
        <v>7</v>
      </c>
      <c r="FK559" s="27" t="s">
        <v>8</v>
      </c>
    </row>
    <row r="560" spans="1:170" x14ac:dyDescent="0.25">
      <c r="A560" s="7">
        <v>1.7068864766411058</v>
      </c>
      <c r="B560"/>
      <c r="C560"/>
      <c r="D560"/>
      <c r="E560"/>
      <c r="EM560" s="27" t="s">
        <v>8</v>
      </c>
      <c r="EN560" s="27" t="s">
        <v>7</v>
      </c>
      <c r="EQ560" s="27" t="s">
        <v>8</v>
      </c>
      <c r="ER560" s="27" t="s">
        <v>7</v>
      </c>
      <c r="ES560" s="27" t="s">
        <v>8</v>
      </c>
      <c r="FI560" s="27" t="s">
        <v>8</v>
      </c>
      <c r="FK560" s="27" t="s">
        <v>8</v>
      </c>
    </row>
    <row r="561" spans="1:167" x14ac:dyDescent="0.25">
      <c r="A561" s="7">
        <v>1.6734181143540252</v>
      </c>
      <c r="B561"/>
      <c r="C561"/>
      <c r="D561"/>
      <c r="E561"/>
      <c r="EM561" s="27" t="s">
        <v>8</v>
      </c>
      <c r="EN561" s="27" t="s">
        <v>7</v>
      </c>
      <c r="EO561" s="27" t="s">
        <v>8</v>
      </c>
      <c r="EQ561" s="27" t="s">
        <v>8</v>
      </c>
      <c r="ER561" s="27" t="s">
        <v>7</v>
      </c>
      <c r="ES561" s="27" t="s">
        <v>8</v>
      </c>
      <c r="ET561" s="27" t="s">
        <v>7</v>
      </c>
      <c r="FI561" s="27" t="s">
        <v>8</v>
      </c>
      <c r="FJ561" s="27" t="s">
        <v>7</v>
      </c>
      <c r="FK561" s="27" t="s">
        <v>8</v>
      </c>
    </row>
    <row r="562" spans="1:167" x14ac:dyDescent="0.25">
      <c r="A562" s="7">
        <v>1.6406059944647307</v>
      </c>
      <c r="B562"/>
      <c r="C562"/>
      <c r="D562"/>
      <c r="E562"/>
      <c r="EM562" s="27" t="s">
        <v>8</v>
      </c>
      <c r="EN562" s="27" t="s">
        <v>7</v>
      </c>
      <c r="EO562" s="27" t="s">
        <v>8</v>
      </c>
      <c r="EP562" s="27" t="s">
        <v>7</v>
      </c>
      <c r="EQ562" s="27" t="s">
        <v>8</v>
      </c>
      <c r="ER562" s="27" t="s">
        <v>7</v>
      </c>
      <c r="ES562" s="27" t="s">
        <v>8</v>
      </c>
      <c r="ET562" s="27" t="s">
        <v>7</v>
      </c>
      <c r="FI562" s="27" t="s">
        <v>8</v>
      </c>
      <c r="FJ562" s="27" t="s">
        <v>7</v>
      </c>
      <c r="FK562" s="27" t="s">
        <v>8</v>
      </c>
    </row>
    <row r="563" spans="1:167" x14ac:dyDescent="0.25">
      <c r="A563" s="7">
        <v>1.6084372494752261</v>
      </c>
      <c r="B563"/>
      <c r="C563"/>
      <c r="D563"/>
      <c r="E563"/>
      <c r="EM563" s="27" t="s">
        <v>8</v>
      </c>
      <c r="EN563" s="27" t="s">
        <v>7</v>
      </c>
      <c r="EO563" s="27" t="s">
        <v>8</v>
      </c>
      <c r="EP563" s="27" t="s">
        <v>7</v>
      </c>
      <c r="EQ563" s="27" t="s">
        <v>8</v>
      </c>
      <c r="ER563" s="27" t="s">
        <v>7</v>
      </c>
      <c r="ES563" s="27" t="s">
        <v>8</v>
      </c>
      <c r="ET563" s="27" t="s">
        <v>7</v>
      </c>
      <c r="FI563" s="27" t="s">
        <v>8</v>
      </c>
      <c r="FJ563" s="27" t="s">
        <v>7</v>
      </c>
      <c r="FK563" s="27" t="s">
        <v>8</v>
      </c>
    </row>
    <row r="564" spans="1:167" x14ac:dyDescent="0.25">
      <c r="A564" s="7">
        <v>1.5768992641913981</v>
      </c>
      <c r="B564"/>
      <c r="C564"/>
      <c r="D564"/>
      <c r="E564"/>
      <c r="EM564" s="27" t="s">
        <v>8</v>
      </c>
      <c r="EN564" s="27" t="s">
        <v>7</v>
      </c>
      <c r="EO564" s="27" t="s">
        <v>8</v>
      </c>
      <c r="EP564" s="27" t="s">
        <v>7</v>
      </c>
      <c r="EQ564" s="27" t="s">
        <v>8</v>
      </c>
      <c r="ER564" s="27" t="s">
        <v>7</v>
      </c>
      <c r="ES564" s="27" t="s">
        <v>8</v>
      </c>
      <c r="ET564" s="27" t="s">
        <v>7</v>
      </c>
      <c r="FI564" s="27" t="s">
        <v>8</v>
      </c>
      <c r="FJ564" s="27" t="s">
        <v>7</v>
      </c>
      <c r="FK564" s="27" t="s">
        <v>8</v>
      </c>
    </row>
    <row r="565" spans="1:167" x14ac:dyDescent="0.25">
      <c r="A565" s="7">
        <v>1.5459796707758806</v>
      </c>
      <c r="B565"/>
      <c r="C565"/>
      <c r="D565"/>
      <c r="E565"/>
      <c r="EM565" s="27" t="s">
        <v>8</v>
      </c>
      <c r="EN565" s="27" t="s">
        <v>7</v>
      </c>
      <c r="EO565" s="27" t="s">
        <v>8</v>
      </c>
      <c r="EP565" s="27" t="s">
        <v>7</v>
      </c>
      <c r="EQ565" s="27" t="s">
        <v>8</v>
      </c>
      <c r="ER565" s="27" t="s">
        <v>7</v>
      </c>
      <c r="ES565" s="27" t="s">
        <v>8</v>
      </c>
      <c r="ET565" s="27" t="s">
        <v>7</v>
      </c>
      <c r="FI565" s="27" t="s">
        <v>8</v>
      </c>
      <c r="FJ565" s="27" t="s">
        <v>7</v>
      </c>
    </row>
    <row r="566" spans="1:167" x14ac:dyDescent="0.25">
      <c r="A566" s="7">
        <v>1.5156663438979221</v>
      </c>
      <c r="B566"/>
      <c r="C566"/>
      <c r="D566"/>
      <c r="E566"/>
      <c r="EM566" s="27" t="s">
        <v>8</v>
      </c>
      <c r="EN566" s="27" t="s">
        <v>7</v>
      </c>
      <c r="EO566" s="27" t="s">
        <v>8</v>
      </c>
      <c r="EP566" s="27" t="s">
        <v>7</v>
      </c>
      <c r="EQ566" s="27" t="s">
        <v>8</v>
      </c>
      <c r="ER566" s="27" t="s">
        <v>7</v>
      </c>
      <c r="ET566" s="27" t="s">
        <v>7</v>
      </c>
      <c r="FI566" s="27" t="s">
        <v>8</v>
      </c>
    </row>
    <row r="567" spans="1:167" x14ac:dyDescent="0.25">
      <c r="A567" s="7">
        <v>1.4859473959783549</v>
      </c>
      <c r="B567"/>
      <c r="C567"/>
      <c r="D567"/>
      <c r="E567"/>
      <c r="EM567" s="27" t="s">
        <v>8</v>
      </c>
      <c r="EN567" s="27" t="s">
        <v>7</v>
      </c>
      <c r="EO567" s="27" t="s">
        <v>8</v>
      </c>
      <c r="EP567" s="27" t="s">
        <v>7</v>
      </c>
      <c r="ET567" s="27" t="s">
        <v>7</v>
      </c>
      <c r="FI567" s="27" t="s">
        <v>8</v>
      </c>
    </row>
    <row r="568" spans="1:167" x14ac:dyDescent="0.25">
      <c r="A568" s="7">
        <v>1.4568111725277988</v>
      </c>
      <c r="B568"/>
      <c r="C568"/>
      <c r="D568"/>
      <c r="E568"/>
      <c r="EM568" s="27" t="s">
        <v>8</v>
      </c>
      <c r="EN568" s="27" t="s">
        <v>7</v>
      </c>
      <c r="EO568" s="27" t="s">
        <v>8</v>
      </c>
      <c r="ET568" s="27" t="s">
        <v>7</v>
      </c>
      <c r="EU568" s="27" t="s">
        <v>8</v>
      </c>
      <c r="FI568" s="27" t="s">
        <v>8</v>
      </c>
    </row>
    <row r="569" spans="1:167" x14ac:dyDescent="0.25">
      <c r="A569" s="7">
        <v>1.4282462475762734</v>
      </c>
      <c r="B569"/>
      <c r="C569"/>
      <c r="D569"/>
      <c r="E569"/>
      <c r="EM569" s="27" t="s">
        <v>8</v>
      </c>
      <c r="EN569" s="27" t="s">
        <v>7</v>
      </c>
      <c r="EO569" s="27" t="s">
        <v>8</v>
      </c>
      <c r="ET569" s="27" t="s">
        <v>7</v>
      </c>
      <c r="EU569" s="27" t="s">
        <v>8</v>
      </c>
      <c r="EV569" s="27" t="s">
        <v>7</v>
      </c>
      <c r="FI569" s="27" t="s">
        <v>8</v>
      </c>
    </row>
    <row r="570" spans="1:167" x14ac:dyDescent="0.25">
      <c r="A570" s="7">
        <v>1.4002414191924248</v>
      </c>
      <c r="B570"/>
      <c r="C570"/>
      <c r="D570"/>
      <c r="E570"/>
      <c r="EM570" s="27" t="s">
        <v>8</v>
      </c>
      <c r="EN570" s="27" t="s">
        <v>7</v>
      </c>
      <c r="EO570" s="27" t="s">
        <v>8</v>
      </c>
      <c r="ET570" s="27" t="s">
        <v>7</v>
      </c>
      <c r="EU570" s="27" t="s">
        <v>8</v>
      </c>
      <c r="EV570" s="27" t="s">
        <v>7</v>
      </c>
      <c r="FI570" s="27" t="s">
        <v>8</v>
      </c>
    </row>
    <row r="571" spans="1:167" x14ac:dyDescent="0.25">
      <c r="A571" s="7">
        <v>1.3727857050906125</v>
      </c>
      <c r="B571"/>
      <c r="C571"/>
      <c r="D571"/>
      <c r="E571"/>
      <c r="EM571" s="27" t="s">
        <v>8</v>
      </c>
      <c r="EN571" s="27" t="s">
        <v>7</v>
      </c>
      <c r="EO571" s="27" t="s">
        <v>8</v>
      </c>
      <c r="ET571" s="27" t="s">
        <v>7</v>
      </c>
      <c r="EU571" s="27" t="s">
        <v>8</v>
      </c>
      <c r="EV571" s="27" t="s">
        <v>7</v>
      </c>
      <c r="EY571" s="27" t="s">
        <v>8</v>
      </c>
      <c r="FC571" s="27" t="s">
        <v>8</v>
      </c>
      <c r="FI571" s="27" t="s">
        <v>8</v>
      </c>
    </row>
    <row r="572" spans="1:167" x14ac:dyDescent="0.25">
      <c r="A572" s="7">
        <v>1.3458683383241299</v>
      </c>
      <c r="B572"/>
      <c r="C572"/>
      <c r="D572"/>
      <c r="E572"/>
      <c r="EK572" s="27" t="s">
        <v>8</v>
      </c>
      <c r="EM572" s="27" t="s">
        <v>8</v>
      </c>
      <c r="EN572" s="27" t="s">
        <v>7</v>
      </c>
      <c r="EO572" s="27" t="s">
        <v>8</v>
      </c>
      <c r="ET572" s="27" t="s">
        <v>7</v>
      </c>
      <c r="EU572" s="27" t="s">
        <v>8</v>
      </c>
      <c r="EV572" s="27" t="s">
        <v>7</v>
      </c>
      <c r="EY572" s="27" t="s">
        <v>8</v>
      </c>
      <c r="EZ572" s="27" t="s">
        <v>7</v>
      </c>
      <c r="FC572" s="27" t="s">
        <v>8</v>
      </c>
      <c r="FD572" s="27" t="s">
        <v>7</v>
      </c>
      <c r="FI572" s="27" t="s">
        <v>8</v>
      </c>
    </row>
    <row r="573" spans="1:167" x14ac:dyDescent="0.25">
      <c r="A573" s="7">
        <v>1.3194787630628724</v>
      </c>
      <c r="B573"/>
      <c r="C573"/>
      <c r="D573"/>
      <c r="E573"/>
      <c r="EK573" s="27" t="s">
        <v>8</v>
      </c>
      <c r="EL573" s="27" t="s">
        <v>7</v>
      </c>
      <c r="EM573" s="27" t="s">
        <v>8</v>
      </c>
      <c r="EN573" s="27" t="s">
        <v>7</v>
      </c>
      <c r="EO573" s="27" t="s">
        <v>8</v>
      </c>
      <c r="ET573" s="27" t="s">
        <v>7</v>
      </c>
      <c r="EU573" s="27" t="s">
        <v>8</v>
      </c>
      <c r="EV573" s="27" t="s">
        <v>7</v>
      </c>
      <c r="EW573" s="27" t="s">
        <v>8</v>
      </c>
      <c r="EY573" s="27" t="s">
        <v>8</v>
      </c>
      <c r="EZ573" s="27" t="s">
        <v>7</v>
      </c>
      <c r="FA573" s="27" t="s">
        <v>8</v>
      </c>
      <c r="FC573" s="27" t="s">
        <v>8</v>
      </c>
      <c r="FD573" s="27" t="s">
        <v>7</v>
      </c>
      <c r="FI573" s="27" t="s">
        <v>8</v>
      </c>
    </row>
    <row r="574" spans="1:167" x14ac:dyDescent="0.25">
      <c r="A574" s="7">
        <v>1.2936066304537963</v>
      </c>
      <c r="B574"/>
      <c r="C574"/>
      <c r="D574"/>
      <c r="E574"/>
      <c r="EA574" s="27" t="s">
        <v>8</v>
      </c>
      <c r="EK574" s="27" t="s">
        <v>8</v>
      </c>
      <c r="EL574" s="27" t="s">
        <v>7</v>
      </c>
      <c r="EM574" s="27" t="s">
        <v>8</v>
      </c>
      <c r="EN574" s="27" t="s">
        <v>7</v>
      </c>
      <c r="ET574" s="27" t="s">
        <v>7</v>
      </c>
      <c r="EU574" s="27" t="s">
        <v>8</v>
      </c>
      <c r="EV574" s="27" t="s">
        <v>7</v>
      </c>
      <c r="EW574" s="27" t="s">
        <v>8</v>
      </c>
      <c r="EX574" s="27" t="s">
        <v>7</v>
      </c>
      <c r="EY574" s="27" t="s">
        <v>8</v>
      </c>
      <c r="EZ574" s="27" t="s">
        <v>7</v>
      </c>
      <c r="FA574" s="27" t="s">
        <v>8</v>
      </c>
      <c r="FB574" s="27" t="s">
        <v>7</v>
      </c>
      <c r="FC574" s="27" t="s">
        <v>8</v>
      </c>
      <c r="FD574" s="27" t="s">
        <v>7</v>
      </c>
      <c r="FI574" s="27" t="s">
        <v>8</v>
      </c>
    </row>
    <row r="575" spans="1:167" x14ac:dyDescent="0.25">
      <c r="A575" s="7">
        <v>1.2682417945625455</v>
      </c>
      <c r="B575"/>
      <c r="C575"/>
      <c r="D575"/>
      <c r="E575"/>
      <c r="EA575" s="27" t="s">
        <v>8</v>
      </c>
      <c r="EB575" s="27" t="s">
        <v>7</v>
      </c>
      <c r="EI575" s="27" t="s">
        <v>8</v>
      </c>
      <c r="EK575" s="27" t="s">
        <v>8</v>
      </c>
      <c r="EL575" s="27" t="s">
        <v>7</v>
      </c>
      <c r="EM575" s="27" t="s">
        <v>8</v>
      </c>
      <c r="ET575" s="27" t="s">
        <v>7</v>
      </c>
      <c r="EU575" s="27" t="s">
        <v>8</v>
      </c>
      <c r="EV575" s="27" t="s">
        <v>7</v>
      </c>
      <c r="EW575" s="27" t="s">
        <v>8</v>
      </c>
      <c r="EX575" s="27" t="s">
        <v>7</v>
      </c>
      <c r="EY575" s="27" t="s">
        <v>8</v>
      </c>
      <c r="EZ575" s="27" t="s">
        <v>7</v>
      </c>
      <c r="FA575" s="27" t="s">
        <v>8</v>
      </c>
      <c r="FB575" s="27" t="s">
        <v>7</v>
      </c>
      <c r="FC575" s="27" t="s">
        <v>8</v>
      </c>
      <c r="FD575" s="27" t="s">
        <v>7</v>
      </c>
      <c r="FI575" s="27" t="s">
        <v>8</v>
      </c>
    </row>
    <row r="576" spans="1:167" x14ac:dyDescent="0.25">
      <c r="A576" s="7">
        <v>1.2433743083946525</v>
      </c>
      <c r="B576"/>
      <c r="C576"/>
      <c r="D576"/>
      <c r="E576"/>
      <c r="EA576" s="27" t="s">
        <v>8</v>
      </c>
      <c r="EB576" s="27" t="s">
        <v>7</v>
      </c>
      <c r="EI576" s="27" t="s">
        <v>8</v>
      </c>
      <c r="EJ576" s="27" t="s">
        <v>7</v>
      </c>
      <c r="EK576" s="27" t="s">
        <v>8</v>
      </c>
      <c r="EL576" s="27" t="s">
        <v>7</v>
      </c>
      <c r="EM576" s="27" t="s">
        <v>8</v>
      </c>
      <c r="ET576" s="27" t="s">
        <v>7</v>
      </c>
      <c r="EU576" s="27" t="s">
        <v>8</v>
      </c>
      <c r="EV576" s="27" t="s">
        <v>7</v>
      </c>
      <c r="EW576" s="27" t="s">
        <v>8</v>
      </c>
      <c r="EX576" s="27" t="s">
        <v>7</v>
      </c>
      <c r="EY576" s="27" t="s">
        <v>8</v>
      </c>
      <c r="EZ576" s="27" t="s">
        <v>7</v>
      </c>
      <c r="FB576" s="27" t="s">
        <v>7</v>
      </c>
      <c r="FD576" s="27" t="s">
        <v>7</v>
      </c>
      <c r="FI576" s="27" t="s">
        <v>8</v>
      </c>
    </row>
    <row r="577" spans="1:165" x14ac:dyDescent="0.25">
      <c r="A577" s="7">
        <v>1.2189944199947573</v>
      </c>
      <c r="B577"/>
      <c r="C577"/>
      <c r="D577"/>
      <c r="E577"/>
      <c r="EA577" s="27" t="s">
        <v>8</v>
      </c>
      <c r="EB577" s="27" t="s">
        <v>7</v>
      </c>
      <c r="EI577" s="27" t="s">
        <v>8</v>
      </c>
      <c r="EJ577" s="27" t="s">
        <v>7</v>
      </c>
      <c r="EK577" s="27" t="s">
        <v>8</v>
      </c>
      <c r="EL577" s="27" t="s">
        <v>7</v>
      </c>
      <c r="EM577" s="27" t="s">
        <v>8</v>
      </c>
      <c r="ET577" s="27" t="s">
        <v>7</v>
      </c>
      <c r="EU577" s="27" t="s">
        <v>8</v>
      </c>
      <c r="EV577" s="27" t="s">
        <v>7</v>
      </c>
      <c r="EW577" s="27" t="s">
        <v>8</v>
      </c>
      <c r="EX577" s="27" t="s">
        <v>7</v>
      </c>
      <c r="FD577" s="27" t="s">
        <v>7</v>
      </c>
      <c r="FG577" s="27" t="s">
        <v>8</v>
      </c>
      <c r="FI577" s="27" t="s">
        <v>8</v>
      </c>
    </row>
    <row r="578" spans="1:165" x14ac:dyDescent="0.25">
      <c r="A578" s="7">
        <v>1.1950925686223111</v>
      </c>
      <c r="B578"/>
      <c r="C578"/>
      <c r="D578"/>
      <c r="E578"/>
      <c r="EA578" s="27" t="s">
        <v>8</v>
      </c>
      <c r="EB578" s="27" t="s">
        <v>7</v>
      </c>
      <c r="EI578" s="27" t="s">
        <v>8</v>
      </c>
      <c r="EJ578" s="27" t="s">
        <v>7</v>
      </c>
      <c r="EK578" s="27" t="s">
        <v>8</v>
      </c>
      <c r="EL578" s="27" t="s">
        <v>7</v>
      </c>
      <c r="EM578" s="27" t="s">
        <v>8</v>
      </c>
      <c r="ET578" s="27" t="s">
        <v>7</v>
      </c>
      <c r="EU578" s="27" t="s">
        <v>8</v>
      </c>
      <c r="EV578" s="27" t="s">
        <v>7</v>
      </c>
      <c r="EW578" s="27" t="s">
        <v>8</v>
      </c>
      <c r="FD578" s="27" t="s">
        <v>7</v>
      </c>
      <c r="FG578" s="27" t="s">
        <v>8</v>
      </c>
      <c r="FH578" s="27" t="s">
        <v>7</v>
      </c>
      <c r="FI578" s="27" t="s">
        <v>8</v>
      </c>
    </row>
    <row r="579" spans="1:165" x14ac:dyDescent="0.25">
      <c r="A579" s="7">
        <v>1.1716593810022657</v>
      </c>
      <c r="B579"/>
      <c r="C579"/>
      <c r="D579"/>
      <c r="E579"/>
      <c r="EA579" s="27" t="s">
        <v>8</v>
      </c>
      <c r="EB579" s="27" t="s">
        <v>7</v>
      </c>
      <c r="EC579" s="27" t="s">
        <v>8</v>
      </c>
      <c r="EI579" s="27" t="s">
        <v>8</v>
      </c>
      <c r="EJ579" s="27" t="s">
        <v>7</v>
      </c>
      <c r="EK579" s="27" t="s">
        <v>8</v>
      </c>
      <c r="EL579" s="27" t="s">
        <v>7</v>
      </c>
      <c r="EM579" s="27" t="s">
        <v>8</v>
      </c>
      <c r="ET579" s="27" t="s">
        <v>7</v>
      </c>
      <c r="EU579" s="27" t="s">
        <v>8</v>
      </c>
      <c r="EV579" s="27" t="s">
        <v>7</v>
      </c>
      <c r="FD579" s="27" t="s">
        <v>7</v>
      </c>
      <c r="FE579" s="27" t="s">
        <v>8</v>
      </c>
      <c r="FG579" s="27" t="s">
        <v>8</v>
      </c>
      <c r="FH579" s="27" t="s">
        <v>7</v>
      </c>
      <c r="FI579" s="27" t="s">
        <v>8</v>
      </c>
    </row>
    <row r="580" spans="1:165" x14ac:dyDescent="0.25">
      <c r="A580" s="7">
        <v>1.14868566764928</v>
      </c>
      <c r="B580"/>
      <c r="C580"/>
      <c r="D580"/>
      <c r="E580"/>
      <c r="EA580" s="27" t="s">
        <v>8</v>
      </c>
      <c r="EB580" s="27" t="s">
        <v>7</v>
      </c>
      <c r="EC580" s="27" t="s">
        <v>8</v>
      </c>
      <c r="ED580" s="27" t="s">
        <v>7</v>
      </c>
      <c r="EI580" s="27" t="s">
        <v>8</v>
      </c>
      <c r="EJ580" s="27" t="s">
        <v>7</v>
      </c>
      <c r="EK580" s="27" t="s">
        <v>8</v>
      </c>
      <c r="EL580" s="27" t="s">
        <v>7</v>
      </c>
      <c r="EM580" s="27" t="s">
        <v>8</v>
      </c>
      <c r="ET580" s="27" t="s">
        <v>7</v>
      </c>
      <c r="FD580" s="27" t="s">
        <v>7</v>
      </c>
      <c r="FE580" s="27" t="s">
        <v>8</v>
      </c>
      <c r="FF580" s="27" t="s">
        <v>7</v>
      </c>
      <c r="FG580" s="27" t="s">
        <v>8</v>
      </c>
      <c r="FH580" s="27" t="s">
        <v>7</v>
      </c>
      <c r="FI580" s="27" t="s">
        <v>8</v>
      </c>
    </row>
    <row r="581" spans="1:165" x14ac:dyDescent="0.25">
      <c r="A581" s="7">
        <v>1.1261624192640001</v>
      </c>
      <c r="B581"/>
      <c r="C581"/>
      <c r="D581"/>
      <c r="E581"/>
      <c r="EA581" s="27" t="s">
        <v>8</v>
      </c>
      <c r="EB581" s="27" t="s">
        <v>7</v>
      </c>
      <c r="EC581" s="27" t="s">
        <v>8</v>
      </c>
      <c r="ED581" s="27" t="s">
        <v>7</v>
      </c>
      <c r="EE581" s="27" t="s">
        <v>8</v>
      </c>
      <c r="EI581" s="27" t="s">
        <v>8</v>
      </c>
      <c r="EJ581" s="27" t="s">
        <v>7</v>
      </c>
      <c r="EK581" s="27" t="s">
        <v>8</v>
      </c>
      <c r="EL581" s="27" t="s">
        <v>7</v>
      </c>
      <c r="EM581" s="27" t="s">
        <v>8</v>
      </c>
      <c r="FD581" s="27" t="s">
        <v>7</v>
      </c>
      <c r="FE581" s="27" t="s">
        <v>8</v>
      </c>
      <c r="FF581" s="27" t="s">
        <v>7</v>
      </c>
      <c r="FG581" s="27" t="s">
        <v>8</v>
      </c>
      <c r="FH581" s="27" t="s">
        <v>7</v>
      </c>
      <c r="FI581" s="27" t="s">
        <v>8</v>
      </c>
    </row>
    <row r="582" spans="1:165" x14ac:dyDescent="0.25">
      <c r="A582" s="7">
        <v>1.1040808032</v>
      </c>
      <c r="B582"/>
      <c r="C582"/>
      <c r="D582"/>
      <c r="E582"/>
      <c r="EA582" s="27" t="s">
        <v>8</v>
      </c>
      <c r="EB582" s="27" t="s">
        <v>7</v>
      </c>
      <c r="EC582" s="27" t="s">
        <v>8</v>
      </c>
      <c r="ED582" s="27" t="s">
        <v>7</v>
      </c>
      <c r="EE582" s="27" t="s">
        <v>8</v>
      </c>
      <c r="EF582" s="27" t="s">
        <v>7</v>
      </c>
      <c r="EG582" s="27" t="s">
        <v>8</v>
      </c>
      <c r="EI582" s="27" t="s">
        <v>8</v>
      </c>
      <c r="EJ582" s="27" t="s">
        <v>7</v>
      </c>
      <c r="EK582" s="27" t="s">
        <v>8</v>
      </c>
      <c r="EL582" s="27" t="s">
        <v>7</v>
      </c>
      <c r="EM582" s="27" t="s">
        <v>8</v>
      </c>
      <c r="FD582" s="27" t="s">
        <v>7</v>
      </c>
      <c r="FE582" s="27" t="s">
        <v>8</v>
      </c>
      <c r="FF582" s="27" t="s">
        <v>7</v>
      </c>
      <c r="FH582" s="27" t="s">
        <v>7</v>
      </c>
      <c r="FI582" s="27" t="s">
        <v>8</v>
      </c>
    </row>
    <row r="583" spans="1:165" x14ac:dyDescent="0.25">
      <c r="A583" s="7">
        <v>1.08243216</v>
      </c>
      <c r="B583"/>
      <c r="C583"/>
      <c r="D583"/>
      <c r="E583"/>
      <c r="EA583" s="27" t="s">
        <v>8</v>
      </c>
      <c r="EB583" s="27" t="s">
        <v>7</v>
      </c>
      <c r="EC583" s="27" t="s">
        <v>8</v>
      </c>
      <c r="ED583" s="27" t="s">
        <v>7</v>
      </c>
      <c r="EE583" s="27" t="s">
        <v>8</v>
      </c>
      <c r="EF583" s="27" t="s">
        <v>7</v>
      </c>
      <c r="EG583" s="27" t="s">
        <v>8</v>
      </c>
      <c r="EH583" s="27" t="s">
        <v>7</v>
      </c>
      <c r="EI583" s="27" t="s">
        <v>8</v>
      </c>
      <c r="EJ583" s="27" t="s">
        <v>7</v>
      </c>
      <c r="EL583" s="27" t="s">
        <v>7</v>
      </c>
      <c r="FD583" s="27" t="s">
        <v>7</v>
      </c>
      <c r="FE583" s="27" t="s">
        <v>8</v>
      </c>
      <c r="FH583" s="27" t="s">
        <v>7</v>
      </c>
      <c r="FI583" s="27" t="s">
        <v>8</v>
      </c>
    </row>
    <row r="584" spans="1:165" x14ac:dyDescent="0.25">
      <c r="A584" s="7">
        <v>1.0612079999999999</v>
      </c>
      <c r="B584"/>
      <c r="C584"/>
      <c r="D584"/>
      <c r="E584"/>
      <c r="EA584" s="27" t="s">
        <v>8</v>
      </c>
      <c r="EB584" s="27" t="s">
        <v>7</v>
      </c>
      <c r="EC584" s="27" t="s">
        <v>8</v>
      </c>
      <c r="ED584" s="27" t="s">
        <v>7</v>
      </c>
      <c r="EE584" s="27" t="s">
        <v>8</v>
      </c>
      <c r="EF584" s="27" t="s">
        <v>7</v>
      </c>
      <c r="EG584" s="27" t="s">
        <v>8</v>
      </c>
      <c r="EH584" s="27" t="s">
        <v>7</v>
      </c>
      <c r="EI584" s="27" t="s">
        <v>8</v>
      </c>
      <c r="FD584" s="27" t="s">
        <v>7</v>
      </c>
      <c r="FE584" s="27" t="s">
        <v>8</v>
      </c>
      <c r="FH584" s="27" t="s">
        <v>7</v>
      </c>
    </row>
    <row r="585" spans="1:165" x14ac:dyDescent="0.25">
      <c r="A585" s="7">
        <v>1.0404</v>
      </c>
      <c r="B585"/>
      <c r="C585"/>
      <c r="D585"/>
      <c r="E585"/>
      <c r="EA585" s="27" t="s">
        <v>8</v>
      </c>
      <c r="EB585" s="27" t="s">
        <v>7</v>
      </c>
      <c r="EC585" s="27" t="s">
        <v>8</v>
      </c>
      <c r="ED585" s="27" t="s">
        <v>7</v>
      </c>
      <c r="EE585" s="27" t="s">
        <v>8</v>
      </c>
      <c r="EF585" s="27" t="s">
        <v>7</v>
      </c>
      <c r="EG585" s="27" t="s">
        <v>8</v>
      </c>
      <c r="EH585" s="27" t="s">
        <v>7</v>
      </c>
      <c r="EI585" s="27" t="s">
        <v>8</v>
      </c>
      <c r="FD585" s="27" t="s">
        <v>7</v>
      </c>
      <c r="FE585" s="27" t="s">
        <v>8</v>
      </c>
    </row>
    <row r="586" spans="1:165" x14ac:dyDescent="0.25">
      <c r="A586" s="7">
        <v>1.02</v>
      </c>
      <c r="B586"/>
      <c r="C586"/>
      <c r="D586"/>
      <c r="E586"/>
      <c r="EA586" s="27" t="s">
        <v>8</v>
      </c>
      <c r="EB586" s="27" t="s">
        <v>7</v>
      </c>
      <c r="EC586" s="27" t="s">
        <v>8</v>
      </c>
      <c r="ED586" s="27" t="s">
        <v>7</v>
      </c>
      <c r="EE586" s="27" t="s">
        <v>8</v>
      </c>
      <c r="EF586" s="27" t="s">
        <v>7</v>
      </c>
      <c r="EG586" s="27" t="s">
        <v>8</v>
      </c>
      <c r="EH586" s="27" t="s">
        <v>7</v>
      </c>
      <c r="EI586" s="27" t="s">
        <v>8</v>
      </c>
      <c r="FD586" s="27" t="s">
        <v>7</v>
      </c>
      <c r="FE586" s="27" t="s">
        <v>8</v>
      </c>
    </row>
    <row r="587" spans="1:165" x14ac:dyDescent="0.25">
      <c r="A587" s="7">
        <v>1</v>
      </c>
      <c r="B587"/>
      <c r="C587"/>
      <c r="D587"/>
      <c r="E587" s="29" t="s">
        <v>8</v>
      </c>
      <c r="EA587" s="27" t="s">
        <v>8</v>
      </c>
      <c r="EB587" s="27" t="s">
        <v>7</v>
      </c>
      <c r="EC587" s="27" t="s">
        <v>8</v>
      </c>
      <c r="ED587" s="27" t="s">
        <v>7</v>
      </c>
      <c r="EE587" s="27" t="s">
        <v>8</v>
      </c>
      <c r="EF587" s="27" t="s">
        <v>7</v>
      </c>
      <c r="EG587" s="27" t="s">
        <v>8</v>
      </c>
      <c r="EH587" s="27" t="s">
        <v>7</v>
      </c>
      <c r="EI587" s="27" t="s">
        <v>8</v>
      </c>
      <c r="FD587" s="27" t="s">
        <v>7</v>
      </c>
      <c r="FE587" s="27" t="s">
        <v>8</v>
      </c>
    </row>
    <row r="588" spans="1:165" x14ac:dyDescent="0.25">
      <c r="A588" s="7">
        <v>0.98039215686274506</v>
      </c>
      <c r="B588"/>
      <c r="C588"/>
      <c r="D588"/>
      <c r="E588"/>
      <c r="F588" s="27" t="s">
        <v>7</v>
      </c>
      <c r="EA588" s="27" t="s">
        <v>8</v>
      </c>
      <c r="EB588" s="27" t="s">
        <v>7</v>
      </c>
      <c r="EC588" s="27" t="s">
        <v>8</v>
      </c>
      <c r="ED588" s="27" t="s">
        <v>7</v>
      </c>
      <c r="EF588" s="27" t="s">
        <v>7</v>
      </c>
      <c r="EG588" s="27" t="s">
        <v>8</v>
      </c>
      <c r="EH588" s="27" t="s">
        <v>7</v>
      </c>
      <c r="FD588" s="27" t="s">
        <v>7</v>
      </c>
    </row>
    <row r="589" spans="1:165" x14ac:dyDescent="0.25">
      <c r="A589" s="7">
        <v>0.96116878123798544</v>
      </c>
      <c r="B589"/>
      <c r="C589"/>
      <c r="D589"/>
      <c r="E589"/>
      <c r="F589" s="27" t="s">
        <v>7</v>
      </c>
      <c r="EA589" s="27" t="s">
        <v>8</v>
      </c>
      <c r="EB589" s="27" t="s">
        <v>7</v>
      </c>
      <c r="EC589" s="27" t="s">
        <v>8</v>
      </c>
      <c r="EF589" s="27" t="s">
        <v>7</v>
      </c>
      <c r="EG589" s="27" t="s">
        <v>8</v>
      </c>
    </row>
    <row r="590" spans="1:165" x14ac:dyDescent="0.25">
      <c r="A590" s="7">
        <v>0.94232233454704462</v>
      </c>
      <c r="B590"/>
      <c r="C590"/>
      <c r="D590"/>
      <c r="E590"/>
      <c r="F590" s="27" t="s">
        <v>7</v>
      </c>
      <c r="DW590" s="27" t="s">
        <v>8</v>
      </c>
      <c r="DY590" s="27" t="s">
        <v>8</v>
      </c>
      <c r="EA590" s="27" t="s">
        <v>8</v>
      </c>
      <c r="EB590" s="27" t="s">
        <v>7</v>
      </c>
      <c r="EF590" s="27" t="s">
        <v>7</v>
      </c>
      <c r="EG590" s="27" t="s">
        <v>8</v>
      </c>
    </row>
    <row r="591" spans="1:165" x14ac:dyDescent="0.25">
      <c r="A591" s="7">
        <v>0.92384542602651432</v>
      </c>
      <c r="B591"/>
      <c r="C591"/>
      <c r="D591"/>
      <c r="E591"/>
      <c r="F591" s="27" t="s">
        <v>7</v>
      </c>
      <c r="I591" s="27" t="s">
        <v>8</v>
      </c>
      <c r="DW591" s="27" t="s">
        <v>8</v>
      </c>
      <c r="DX591" s="27" t="s">
        <v>7</v>
      </c>
      <c r="DY591" s="27" t="s">
        <v>8</v>
      </c>
      <c r="DZ591" s="27" t="s">
        <v>7</v>
      </c>
      <c r="EA591" s="27" t="s">
        <v>8</v>
      </c>
      <c r="EF591" s="27" t="s">
        <v>7</v>
      </c>
      <c r="EG591" s="27" t="s">
        <v>8</v>
      </c>
    </row>
    <row r="592" spans="1:165" x14ac:dyDescent="0.25">
      <c r="A592" s="7">
        <v>0.90573080982991594</v>
      </c>
      <c r="B592"/>
      <c r="C592"/>
      <c r="D592"/>
      <c r="E592"/>
      <c r="F592" s="27" t="s">
        <v>7</v>
      </c>
      <c r="I592" s="27" t="s">
        <v>8</v>
      </c>
      <c r="J592" s="27" t="s">
        <v>7</v>
      </c>
      <c r="DW592" s="27" t="s">
        <v>8</v>
      </c>
      <c r="DX592" s="27" t="s">
        <v>7</v>
      </c>
      <c r="DY592" s="27" t="s">
        <v>8</v>
      </c>
      <c r="DZ592" s="27" t="s">
        <v>7</v>
      </c>
      <c r="EA592" s="27" t="s">
        <v>8</v>
      </c>
      <c r="EF592" s="27" t="s">
        <v>7</v>
      </c>
      <c r="EG592" s="27" t="s">
        <v>8</v>
      </c>
    </row>
    <row r="593" spans="1:137" x14ac:dyDescent="0.25">
      <c r="A593" s="7">
        <v>0.8879713821861922</v>
      </c>
      <c r="B593"/>
      <c r="C593"/>
      <c r="D593"/>
      <c r="E593"/>
      <c r="F593" s="27" t="s">
        <v>7</v>
      </c>
      <c r="G593" s="27" t="s">
        <v>8</v>
      </c>
      <c r="I593" s="27" t="s">
        <v>8</v>
      </c>
      <c r="J593" s="27" t="s">
        <v>7</v>
      </c>
      <c r="DW593" s="27" t="s">
        <v>8</v>
      </c>
      <c r="DX593" s="27" t="s">
        <v>7</v>
      </c>
      <c r="DY593" s="27" t="s">
        <v>8</v>
      </c>
      <c r="DZ593" s="27" t="s">
        <v>7</v>
      </c>
      <c r="EA593" s="27" t="s">
        <v>8</v>
      </c>
      <c r="EF593" s="27" t="s">
        <v>7</v>
      </c>
      <c r="EG593" s="27" t="s">
        <v>8</v>
      </c>
    </row>
    <row r="594" spans="1:137" x14ac:dyDescent="0.25">
      <c r="A594" s="7">
        <v>0.87056017861391399</v>
      </c>
      <c r="B594"/>
      <c r="C594"/>
      <c r="D594"/>
      <c r="E594"/>
      <c r="F594" s="27" t="s">
        <v>7</v>
      </c>
      <c r="G594" s="27" t="s">
        <v>8</v>
      </c>
      <c r="H594" s="27" t="s">
        <v>7</v>
      </c>
      <c r="I594" s="27" t="s">
        <v>8</v>
      </c>
      <c r="J594" s="27" t="s">
        <v>7</v>
      </c>
      <c r="DW594" s="27" t="s">
        <v>8</v>
      </c>
      <c r="DX594" s="27" t="s">
        <v>7</v>
      </c>
      <c r="DY594" s="27" t="s">
        <v>8</v>
      </c>
      <c r="DZ594" s="27" t="s">
        <v>7</v>
      </c>
      <c r="EA594" s="27" t="s">
        <v>8</v>
      </c>
      <c r="EF594" s="27" t="s">
        <v>7</v>
      </c>
      <c r="EG594" s="27" t="s">
        <v>8</v>
      </c>
    </row>
    <row r="595" spans="1:137" x14ac:dyDescent="0.25">
      <c r="A595" s="7">
        <v>0.85349037119011173</v>
      </c>
      <c r="B595"/>
      <c r="C595"/>
      <c r="D595"/>
      <c r="E595"/>
      <c r="F595" s="27" t="s">
        <v>7</v>
      </c>
      <c r="G595" s="27" t="s">
        <v>8</v>
      </c>
      <c r="H595" s="27" t="s">
        <v>7</v>
      </c>
      <c r="I595" s="27" t="s">
        <v>8</v>
      </c>
      <c r="J595" s="27" t="s">
        <v>7</v>
      </c>
      <c r="DW595" s="27" t="s">
        <v>8</v>
      </c>
      <c r="DX595" s="27" t="s">
        <v>7</v>
      </c>
      <c r="DY595" s="27" t="s">
        <v>8</v>
      </c>
      <c r="DZ595" s="27" t="s">
        <v>7</v>
      </c>
      <c r="EF595" s="27" t="s">
        <v>7</v>
      </c>
      <c r="EG595" s="27" t="s">
        <v>8</v>
      </c>
    </row>
    <row r="596" spans="1:137" x14ac:dyDescent="0.25">
      <c r="A596" s="7">
        <v>0.83675526587265858</v>
      </c>
      <c r="B596"/>
      <c r="C596"/>
      <c r="D596"/>
      <c r="E596"/>
      <c r="F596" s="27" t="s">
        <v>7</v>
      </c>
      <c r="G596" s="27" t="s">
        <v>8</v>
      </c>
      <c r="H596" s="27" t="s">
        <v>7</v>
      </c>
      <c r="I596" s="27" t="s">
        <v>8</v>
      </c>
      <c r="J596" s="27" t="s">
        <v>7</v>
      </c>
      <c r="DW596" s="27" t="s">
        <v>8</v>
      </c>
      <c r="DX596" s="27" t="s">
        <v>7</v>
      </c>
      <c r="DY596" s="27" t="s">
        <v>8</v>
      </c>
      <c r="EF596" s="27" t="s">
        <v>7</v>
      </c>
      <c r="EG596" s="27" t="s">
        <v>8</v>
      </c>
    </row>
    <row r="597" spans="1:137" x14ac:dyDescent="0.25">
      <c r="A597" s="7">
        <v>0.82034829987515545</v>
      </c>
      <c r="B597"/>
      <c r="C597"/>
      <c r="D597"/>
      <c r="E597"/>
      <c r="F597" s="27" t="s">
        <v>7</v>
      </c>
      <c r="G597" s="27" t="s">
        <v>8</v>
      </c>
      <c r="H597" s="27" t="s">
        <v>7</v>
      </c>
      <c r="I597" s="27" t="s">
        <v>8</v>
      </c>
      <c r="J597" s="27" t="s">
        <v>7</v>
      </c>
      <c r="DW597" s="27" t="s">
        <v>8</v>
      </c>
      <c r="DX597" s="27" t="s">
        <v>7</v>
      </c>
      <c r="DY597" s="27" t="s">
        <v>8</v>
      </c>
      <c r="EF597" s="27" t="s">
        <v>7</v>
      </c>
      <c r="EG597" s="27" t="s">
        <v>8</v>
      </c>
    </row>
    <row r="598" spans="1:137" x14ac:dyDescent="0.25">
      <c r="A598" s="7">
        <v>0.80426303909328967</v>
      </c>
      <c r="B598"/>
      <c r="C598"/>
      <c r="D598"/>
      <c r="E598"/>
      <c r="F598" s="27" t="s">
        <v>7</v>
      </c>
      <c r="G598" s="27" t="s">
        <v>8</v>
      </c>
      <c r="H598" s="27" t="s">
        <v>7</v>
      </c>
      <c r="I598" s="27" t="s">
        <v>8</v>
      </c>
      <c r="J598" s="27" t="s">
        <v>7</v>
      </c>
      <c r="DW598" s="27" t="s">
        <v>8</v>
      </c>
      <c r="DX598" s="27" t="s">
        <v>7</v>
      </c>
      <c r="DY598" s="27" t="s">
        <v>8</v>
      </c>
      <c r="EF598" s="27" t="s">
        <v>7</v>
      </c>
      <c r="EG598" s="27" t="s">
        <v>8</v>
      </c>
    </row>
    <row r="599" spans="1:137" x14ac:dyDescent="0.25">
      <c r="A599" s="7">
        <v>0.78849317558165644</v>
      </c>
      <c r="B599"/>
      <c r="C599"/>
      <c r="D599"/>
      <c r="E599"/>
      <c r="F599" s="27" t="s">
        <v>7</v>
      </c>
      <c r="G599" s="27" t="s">
        <v>8</v>
      </c>
      <c r="H599" s="27" t="s">
        <v>7</v>
      </c>
      <c r="I599" s="27" t="s">
        <v>8</v>
      </c>
      <c r="J599" s="27" t="s">
        <v>7</v>
      </c>
      <c r="DW599" s="27" t="s">
        <v>8</v>
      </c>
      <c r="DX599" s="27" t="s">
        <v>7</v>
      </c>
      <c r="DY599" s="27" t="s">
        <v>8</v>
      </c>
      <c r="EF599" s="27" t="s">
        <v>7</v>
      </c>
      <c r="EG599" s="27" t="s">
        <v>8</v>
      </c>
    </row>
    <row r="600" spans="1:137" x14ac:dyDescent="0.25">
      <c r="A600" s="7">
        <v>0.77303252508005538</v>
      </c>
      <c r="B600"/>
      <c r="C600"/>
      <c r="D600"/>
      <c r="E600"/>
      <c r="F600" s="27" t="s">
        <v>7</v>
      </c>
      <c r="G600" s="27" t="s">
        <v>8</v>
      </c>
      <c r="H600" s="27" t="s">
        <v>7</v>
      </c>
      <c r="I600" s="27" t="s">
        <v>8</v>
      </c>
      <c r="J600" s="27" t="s">
        <v>7</v>
      </c>
      <c r="DW600" s="27" t="s">
        <v>8</v>
      </c>
      <c r="DX600" s="27" t="s">
        <v>7</v>
      </c>
      <c r="EF600" s="27" t="s">
        <v>7</v>
      </c>
      <c r="EG600" s="27" t="s">
        <v>8</v>
      </c>
    </row>
    <row r="601" spans="1:137" x14ac:dyDescent="0.25">
      <c r="A601" s="7">
        <v>0.75787502458828959</v>
      </c>
      <c r="B601"/>
      <c r="C601"/>
      <c r="D601"/>
      <c r="E601"/>
      <c r="F601" s="27" t="s">
        <v>7</v>
      </c>
      <c r="G601" s="27" t="s">
        <v>8</v>
      </c>
      <c r="H601" s="27" t="s">
        <v>7</v>
      </c>
      <c r="I601" s="27" t="s">
        <v>8</v>
      </c>
      <c r="J601" s="27" t="s">
        <v>7</v>
      </c>
      <c r="CU601" s="27" t="s">
        <v>8</v>
      </c>
      <c r="DW601" s="27" t="s">
        <v>8</v>
      </c>
      <c r="EF601" s="27" t="s">
        <v>7</v>
      </c>
    </row>
    <row r="602" spans="1:137" x14ac:dyDescent="0.25">
      <c r="A602" s="7">
        <v>0.74301472998851925</v>
      </c>
      <c r="B602"/>
      <c r="C602"/>
      <c r="D602"/>
      <c r="E602"/>
      <c r="F602" s="27" t="s">
        <v>7</v>
      </c>
      <c r="G602" s="27" t="s">
        <v>8</v>
      </c>
      <c r="H602" s="27" t="s">
        <v>7</v>
      </c>
      <c r="I602" s="27" t="s">
        <v>8</v>
      </c>
      <c r="J602" s="27" t="s">
        <v>7</v>
      </c>
      <c r="CU602" s="27" t="s">
        <v>8</v>
      </c>
      <c r="CV602" s="27" t="s">
        <v>7</v>
      </c>
      <c r="DW602" s="27" t="s">
        <v>8</v>
      </c>
    </row>
    <row r="603" spans="1:137" x14ac:dyDescent="0.25">
      <c r="A603" s="7">
        <v>0.72844581371423456</v>
      </c>
      <c r="B603"/>
      <c r="C603"/>
      <c r="D603"/>
      <c r="E603"/>
      <c r="F603" s="27" t="s">
        <v>7</v>
      </c>
      <c r="G603" s="27" t="s">
        <v>8</v>
      </c>
      <c r="H603" s="27" t="s">
        <v>7</v>
      </c>
      <c r="I603" s="27" t="s">
        <v>8</v>
      </c>
      <c r="J603" s="27" t="s">
        <v>7</v>
      </c>
      <c r="CU603" s="27" t="s">
        <v>8</v>
      </c>
      <c r="CV603" s="27" t="s">
        <v>7</v>
      </c>
      <c r="DW603" s="27" t="s">
        <v>8</v>
      </c>
    </row>
    <row r="604" spans="1:137" x14ac:dyDescent="0.25">
      <c r="A604" s="7">
        <v>0.71416256246493581</v>
      </c>
      <c r="B604"/>
      <c r="C604"/>
      <c r="D604"/>
      <c r="E604"/>
      <c r="F604" s="27" t="s">
        <v>7</v>
      </c>
      <c r="G604" s="27" t="s">
        <v>8</v>
      </c>
      <c r="H604" s="27" t="s">
        <v>7</v>
      </c>
      <c r="I604" s="27" t="s">
        <v>8</v>
      </c>
      <c r="J604" s="27" t="s">
        <v>7</v>
      </c>
      <c r="CU604" s="27" t="s">
        <v>8</v>
      </c>
      <c r="CV604" s="27" t="s">
        <v>7</v>
      </c>
      <c r="DW604" s="27" t="s">
        <v>8</v>
      </c>
    </row>
    <row r="605" spans="1:137" x14ac:dyDescent="0.25">
      <c r="A605" s="7">
        <v>0.7001593749656233</v>
      </c>
      <c r="B605"/>
      <c r="C605"/>
      <c r="D605"/>
      <c r="E605"/>
      <c r="F605" s="27" t="s">
        <v>7</v>
      </c>
      <c r="G605" s="27" t="s">
        <v>8</v>
      </c>
      <c r="H605" s="27" t="s">
        <v>7</v>
      </c>
      <c r="I605" s="27" t="s">
        <v>8</v>
      </c>
      <c r="J605" s="27" t="s">
        <v>7</v>
      </c>
      <c r="CU605" s="27" t="s">
        <v>8</v>
      </c>
      <c r="CV605" s="27" t="s">
        <v>7</v>
      </c>
      <c r="DW605" s="27" t="s">
        <v>8</v>
      </c>
    </row>
    <row r="606" spans="1:137" x14ac:dyDescent="0.25">
      <c r="A606" s="7">
        <v>0.68643075977021883</v>
      </c>
      <c r="B606"/>
      <c r="C606"/>
      <c r="D606"/>
      <c r="E606"/>
      <c r="F606" s="27" t="s">
        <v>7</v>
      </c>
      <c r="G606" s="27" t="s">
        <v>8</v>
      </c>
      <c r="H606" s="27" t="s">
        <v>7</v>
      </c>
      <c r="J606" s="27" t="s">
        <v>7</v>
      </c>
      <c r="CU606" s="27" t="s">
        <v>8</v>
      </c>
      <c r="CV606" s="27" t="s">
        <v>7</v>
      </c>
      <c r="DW606" s="27" t="s">
        <v>8</v>
      </c>
    </row>
    <row r="607" spans="1:137" x14ac:dyDescent="0.25">
      <c r="A607" s="7">
        <v>0.67297133310805768</v>
      </c>
      <c r="B607"/>
      <c r="C607"/>
      <c r="D607"/>
      <c r="E607"/>
      <c r="F607" s="27" t="s">
        <v>7</v>
      </c>
      <c r="G607" s="27" t="s">
        <v>8</v>
      </c>
      <c r="J607" s="27" t="s">
        <v>7</v>
      </c>
      <c r="CU607" s="27" t="s">
        <v>8</v>
      </c>
      <c r="CV607" s="27" t="s">
        <v>7</v>
      </c>
      <c r="DU607" s="27" t="s">
        <v>8</v>
      </c>
      <c r="DW607" s="27" t="s">
        <v>8</v>
      </c>
    </row>
    <row r="608" spans="1:137" x14ac:dyDescent="0.25">
      <c r="A608" s="7">
        <v>0.65977581677260566</v>
      </c>
      <c r="B608"/>
      <c r="C608"/>
      <c r="D608"/>
      <c r="E608"/>
      <c r="F608" s="27" t="s">
        <v>7</v>
      </c>
      <c r="G608" s="27" t="s">
        <v>8</v>
      </c>
      <c r="J608" s="27" t="s">
        <v>7</v>
      </c>
      <c r="CU608" s="27" t="s">
        <v>8</v>
      </c>
      <c r="CV608" s="27" t="s">
        <v>7</v>
      </c>
      <c r="DU608" s="27" t="s">
        <v>8</v>
      </c>
      <c r="DV608" s="27" t="s">
        <v>7</v>
      </c>
      <c r="DW608" s="27" t="s">
        <v>8</v>
      </c>
    </row>
    <row r="609" spans="1:127" x14ac:dyDescent="0.25">
      <c r="A609" s="7">
        <v>0.64683903605157422</v>
      </c>
      <c r="B609"/>
      <c r="C609"/>
      <c r="D609"/>
      <c r="E609"/>
      <c r="F609" s="27" t="s">
        <v>7</v>
      </c>
      <c r="G609" s="27" t="s">
        <v>8</v>
      </c>
      <c r="J609" s="27" t="s">
        <v>7</v>
      </c>
      <c r="CU609" s="27" t="s">
        <v>8</v>
      </c>
      <c r="CV609" s="27" t="s">
        <v>7</v>
      </c>
      <c r="DU609" s="27" t="s">
        <v>8</v>
      </c>
      <c r="DV609" s="27" t="s">
        <v>7</v>
      </c>
      <c r="DW609" s="27" t="s">
        <v>8</v>
      </c>
    </row>
    <row r="610" spans="1:127" x14ac:dyDescent="0.25">
      <c r="A610" s="7">
        <v>0.63415591769762181</v>
      </c>
      <c r="B610"/>
      <c r="C610"/>
      <c r="D610"/>
      <c r="E610"/>
      <c r="F610" s="27" t="s">
        <v>7</v>
      </c>
      <c r="G610" s="27" t="s">
        <v>8</v>
      </c>
      <c r="J610" s="27" t="s">
        <v>7</v>
      </c>
      <c r="CU610" s="27" t="s">
        <v>8</v>
      </c>
      <c r="CV610" s="27" t="s">
        <v>7</v>
      </c>
      <c r="DU610" s="27" t="s">
        <v>8</v>
      </c>
      <c r="DV610" s="27" t="s">
        <v>7</v>
      </c>
      <c r="DW610" s="27" t="s">
        <v>8</v>
      </c>
    </row>
    <row r="611" spans="1:127" x14ac:dyDescent="0.25">
      <c r="A611" s="7">
        <v>0.62172148793884496</v>
      </c>
      <c r="B611"/>
      <c r="C611"/>
      <c r="D611"/>
      <c r="E611"/>
      <c r="F611" s="27" t="s">
        <v>7</v>
      </c>
      <c r="G611" s="27" t="s">
        <v>8</v>
      </c>
      <c r="J611" s="27" t="s">
        <v>7</v>
      </c>
      <c r="CU611" s="27" t="s">
        <v>8</v>
      </c>
      <c r="CV611" s="27" t="s">
        <v>7</v>
      </c>
      <c r="DU611" s="27" t="s">
        <v>8</v>
      </c>
      <c r="DV611" s="27" t="s">
        <v>7</v>
      </c>
      <c r="DW611" s="27" t="s">
        <v>8</v>
      </c>
    </row>
    <row r="612" spans="1:127" x14ac:dyDescent="0.25">
      <c r="A612" s="7">
        <v>0.60953087052827937</v>
      </c>
      <c r="B612"/>
      <c r="C612"/>
      <c r="D612"/>
      <c r="E612"/>
      <c r="F612" s="27" t="s">
        <v>7</v>
      </c>
      <c r="G612" s="27" t="s">
        <v>8</v>
      </c>
      <c r="J612" s="27" t="s">
        <v>7</v>
      </c>
      <c r="CU612" s="27" t="s">
        <v>8</v>
      </c>
      <c r="CV612" s="27" t="s">
        <v>7</v>
      </c>
      <c r="DU612" s="27" t="s">
        <v>8</v>
      </c>
      <c r="DV612" s="27" t="s">
        <v>7</v>
      </c>
    </row>
    <row r="613" spans="1:127" x14ac:dyDescent="0.25">
      <c r="A613" s="7">
        <v>0.59757928483164646</v>
      </c>
      <c r="B613"/>
      <c r="C613"/>
      <c r="D613"/>
      <c r="E613"/>
      <c r="F613" s="27" t="s">
        <v>7</v>
      </c>
      <c r="G613" s="27" t="s">
        <v>8</v>
      </c>
      <c r="J613" s="27" t="s">
        <v>7</v>
      </c>
      <c r="CU613" s="27" t="s">
        <v>8</v>
      </c>
      <c r="CV613" s="27" t="s">
        <v>7</v>
      </c>
      <c r="DU613" s="27" t="s">
        <v>8</v>
      </c>
    </row>
    <row r="614" spans="1:127" x14ac:dyDescent="0.25">
      <c r="A614" s="7">
        <v>0.58586204395259456</v>
      </c>
      <c r="B614"/>
      <c r="C614"/>
      <c r="D614"/>
      <c r="E614"/>
      <c r="F614" s="27" t="s">
        <v>7</v>
      </c>
      <c r="G614" s="27" t="s">
        <v>8</v>
      </c>
      <c r="J614" s="27" t="s">
        <v>7</v>
      </c>
      <c r="CU614" s="27" t="s">
        <v>8</v>
      </c>
      <c r="CV614" s="27" t="s">
        <v>7</v>
      </c>
      <c r="DU614" s="27" t="s">
        <v>8</v>
      </c>
    </row>
    <row r="615" spans="1:127" x14ac:dyDescent="0.25">
      <c r="A615" s="7">
        <v>0.57437455289470052</v>
      </c>
      <c r="B615"/>
      <c r="C615"/>
      <c r="D615"/>
      <c r="E615"/>
      <c r="F615" s="27" t="s">
        <v>7</v>
      </c>
      <c r="G615" s="27" t="s">
        <v>8</v>
      </c>
      <c r="J615" s="27" t="s">
        <v>7</v>
      </c>
      <c r="CU615" s="27" t="s">
        <v>8</v>
      </c>
      <c r="CV615" s="27" t="s">
        <v>7</v>
      </c>
      <c r="DQ615" s="27" t="s">
        <v>8</v>
      </c>
      <c r="DU615" s="27" t="s">
        <v>8</v>
      </c>
    </row>
    <row r="616" spans="1:127" x14ac:dyDescent="0.25">
      <c r="A616" s="7">
        <v>0.56311230675951029</v>
      </c>
      <c r="B616"/>
      <c r="C616"/>
      <c r="D616"/>
      <c r="E616"/>
      <c r="F616" s="27" t="s">
        <v>7</v>
      </c>
      <c r="J616" s="27" t="s">
        <v>7</v>
      </c>
      <c r="K616" s="27" t="s">
        <v>8</v>
      </c>
      <c r="CU616" s="27" t="s">
        <v>8</v>
      </c>
      <c r="CV616" s="27" t="s">
        <v>7</v>
      </c>
      <c r="DQ616" s="27" t="s">
        <v>8</v>
      </c>
      <c r="DR616" s="27" t="s">
        <v>7</v>
      </c>
      <c r="DU616" s="27" t="s">
        <v>8</v>
      </c>
    </row>
    <row r="617" spans="1:127" x14ac:dyDescent="0.25">
      <c r="A617" s="7">
        <v>0.55207088897991208</v>
      </c>
      <c r="B617"/>
      <c r="C617"/>
      <c r="D617"/>
      <c r="E617"/>
      <c r="J617" s="27" t="s">
        <v>7</v>
      </c>
      <c r="K617" s="27" t="s">
        <v>8</v>
      </c>
      <c r="L617" s="27" t="s">
        <v>7</v>
      </c>
      <c r="O617" s="27" t="s">
        <v>8</v>
      </c>
      <c r="CS617" s="27" t="s">
        <v>8</v>
      </c>
      <c r="CU617" s="27" t="s">
        <v>8</v>
      </c>
      <c r="CV617" s="27" t="s">
        <v>7</v>
      </c>
      <c r="DQ617" s="27" t="s">
        <v>8</v>
      </c>
      <c r="DR617" s="27" t="s">
        <v>7</v>
      </c>
      <c r="DU617" s="27" t="s">
        <v>8</v>
      </c>
    </row>
    <row r="618" spans="1:127" x14ac:dyDescent="0.25">
      <c r="A618" s="7">
        <v>0.54124596958814908</v>
      </c>
      <c r="B618"/>
      <c r="C618"/>
      <c r="D618"/>
      <c r="E618"/>
      <c r="J618" s="27" t="s">
        <v>7</v>
      </c>
      <c r="K618" s="27" t="s">
        <v>8</v>
      </c>
      <c r="L618" s="27" t="s">
        <v>7</v>
      </c>
      <c r="O618" s="27" t="s">
        <v>8</v>
      </c>
      <c r="P618" s="27" t="s">
        <v>7</v>
      </c>
      <c r="CS618" s="27" t="s">
        <v>8</v>
      </c>
      <c r="CT618" s="27" t="s">
        <v>7</v>
      </c>
      <c r="CU618" s="27" t="s">
        <v>8</v>
      </c>
      <c r="CV618" s="27" t="s">
        <v>7</v>
      </c>
      <c r="DQ618" s="27" t="s">
        <v>8</v>
      </c>
      <c r="DR618" s="27" t="s">
        <v>7</v>
      </c>
      <c r="DU618" s="27" t="s">
        <v>8</v>
      </c>
    </row>
    <row r="619" spans="1:127" x14ac:dyDescent="0.25">
      <c r="A619" s="7">
        <v>0.53063330351779314</v>
      </c>
      <c r="B619"/>
      <c r="C619"/>
      <c r="D619"/>
      <c r="E619"/>
      <c r="J619" s="27" t="s">
        <v>7</v>
      </c>
      <c r="K619" s="27" t="s">
        <v>8</v>
      </c>
      <c r="L619" s="27" t="s">
        <v>7</v>
      </c>
      <c r="M619" s="27" t="s">
        <v>8</v>
      </c>
      <c r="O619" s="27" t="s">
        <v>8</v>
      </c>
      <c r="P619" s="27" t="s">
        <v>7</v>
      </c>
      <c r="CS619" s="27" t="s">
        <v>8</v>
      </c>
      <c r="CT619" s="27" t="s">
        <v>7</v>
      </c>
      <c r="CU619" s="27" t="s">
        <v>8</v>
      </c>
      <c r="CV619" s="27" t="s">
        <v>7</v>
      </c>
      <c r="DQ619" s="27" t="s">
        <v>8</v>
      </c>
      <c r="DR619" s="27" t="s">
        <v>7</v>
      </c>
      <c r="DU619" s="27" t="s">
        <v>8</v>
      </c>
    </row>
    <row r="620" spans="1:127" x14ac:dyDescent="0.25">
      <c r="A620" s="7">
        <v>0.52022872893901284</v>
      </c>
      <c r="B620"/>
      <c r="C620"/>
      <c r="D620"/>
      <c r="E620"/>
      <c r="J620" s="27" t="s">
        <v>7</v>
      </c>
      <c r="K620" s="27" t="s">
        <v>8</v>
      </c>
      <c r="L620" s="27" t="s">
        <v>7</v>
      </c>
      <c r="M620" s="27" t="s">
        <v>8</v>
      </c>
      <c r="N620" s="27" t="s">
        <v>7</v>
      </c>
      <c r="O620" s="27" t="s">
        <v>8</v>
      </c>
      <c r="P620" s="27" t="s">
        <v>7</v>
      </c>
      <c r="CS620" s="27" t="s">
        <v>8</v>
      </c>
      <c r="CT620" s="27" t="s">
        <v>7</v>
      </c>
      <c r="CU620" s="27" t="s">
        <v>8</v>
      </c>
      <c r="CV620" s="27" t="s">
        <v>7</v>
      </c>
      <c r="DO620" s="27" t="s">
        <v>8</v>
      </c>
      <c r="DQ620" s="27" t="s">
        <v>8</v>
      </c>
      <c r="DR620" s="27" t="s">
        <v>7</v>
      </c>
      <c r="DS620" s="27" t="s">
        <v>8</v>
      </c>
      <c r="DU620" s="27" t="s">
        <v>8</v>
      </c>
    </row>
    <row r="621" spans="1:127" x14ac:dyDescent="0.25">
      <c r="A621" s="7">
        <v>0.51002816562648323</v>
      </c>
      <c r="B621"/>
      <c r="C621"/>
      <c r="D621"/>
      <c r="E621"/>
      <c r="J621" s="27" t="s">
        <v>7</v>
      </c>
      <c r="K621" s="27" t="s">
        <v>8</v>
      </c>
      <c r="L621" s="27" t="s">
        <v>7</v>
      </c>
      <c r="M621" s="27" t="s">
        <v>8</v>
      </c>
      <c r="N621" s="27" t="s">
        <v>7</v>
      </c>
      <c r="O621" s="27" t="s">
        <v>8</v>
      </c>
      <c r="P621" s="27" t="s">
        <v>7</v>
      </c>
      <c r="CS621" s="27" t="s">
        <v>8</v>
      </c>
      <c r="CT621" s="27" t="s">
        <v>7</v>
      </c>
      <c r="CU621" s="27" t="s">
        <v>8</v>
      </c>
      <c r="CV621" s="27" t="s">
        <v>7</v>
      </c>
      <c r="DO621" s="27" t="s">
        <v>8</v>
      </c>
      <c r="DP621" s="27" t="s">
        <v>7</v>
      </c>
      <c r="DQ621" s="27" t="s">
        <v>8</v>
      </c>
      <c r="DR621" s="27" t="s">
        <v>7</v>
      </c>
      <c r="DS621" s="27" t="s">
        <v>8</v>
      </c>
      <c r="DT621" s="27" t="s">
        <v>7</v>
      </c>
      <c r="DU621" s="27" t="s">
        <v>8</v>
      </c>
    </row>
    <row r="622" spans="1:127" x14ac:dyDescent="0.25">
      <c r="A622" s="7">
        <v>0.50002761335929735</v>
      </c>
      <c r="B622"/>
      <c r="C622"/>
      <c r="D622"/>
      <c r="E622"/>
      <c r="J622" s="27" t="s">
        <v>7</v>
      </c>
      <c r="K622" s="27" t="s">
        <v>8</v>
      </c>
      <c r="L622" s="27" t="s">
        <v>7</v>
      </c>
      <c r="M622" s="27" t="s">
        <v>8</v>
      </c>
      <c r="N622" s="27" t="s">
        <v>7</v>
      </c>
      <c r="O622" s="27" t="s">
        <v>8</v>
      </c>
      <c r="P622" s="27" t="s">
        <v>7</v>
      </c>
      <c r="Q622" s="27" t="s">
        <v>8</v>
      </c>
      <c r="CS622" s="27" t="s">
        <v>8</v>
      </c>
      <c r="CT622" s="27" t="s">
        <v>7</v>
      </c>
      <c r="CU622" s="27" t="s">
        <v>8</v>
      </c>
      <c r="CV622" s="27" t="s">
        <v>7</v>
      </c>
      <c r="DO622" s="27" t="s">
        <v>8</v>
      </c>
      <c r="DP622" s="27" t="s">
        <v>7</v>
      </c>
      <c r="DQ622" s="27" t="s">
        <v>8</v>
      </c>
      <c r="DR622" s="27" t="s">
        <v>7</v>
      </c>
      <c r="DS622" s="27" t="s">
        <v>8</v>
      </c>
      <c r="DT622" s="27" t="s">
        <v>7</v>
      </c>
      <c r="DU622" s="27" t="s">
        <v>8</v>
      </c>
    </row>
    <row r="623" spans="1:127" x14ac:dyDescent="0.25">
      <c r="A623" s="7">
        <v>0.49022315035225228</v>
      </c>
      <c r="B623"/>
      <c r="C623"/>
      <c r="D623"/>
      <c r="E623"/>
      <c r="J623" s="27" t="s">
        <v>7</v>
      </c>
      <c r="K623" s="27" t="s">
        <v>8</v>
      </c>
      <c r="L623" s="27" t="s">
        <v>7</v>
      </c>
      <c r="M623" s="27" t="s">
        <v>8</v>
      </c>
      <c r="N623" s="27" t="s">
        <v>7</v>
      </c>
      <c r="P623" s="27" t="s">
        <v>7</v>
      </c>
      <c r="Q623" s="27" t="s">
        <v>8</v>
      </c>
      <c r="R623" s="27" t="s">
        <v>7</v>
      </c>
      <c r="CS623" s="27" t="s">
        <v>8</v>
      </c>
      <c r="CT623" s="27" t="s">
        <v>7</v>
      </c>
      <c r="CU623" s="27" t="s">
        <v>8</v>
      </c>
      <c r="CV623" s="27" t="s">
        <v>7</v>
      </c>
      <c r="DO623" s="27" t="s">
        <v>8</v>
      </c>
      <c r="DP623" s="27" t="s">
        <v>7</v>
      </c>
      <c r="DQ623" s="27" t="s">
        <v>8</v>
      </c>
      <c r="DR623" s="27" t="s">
        <v>7</v>
      </c>
      <c r="DS623" s="27" t="s">
        <v>8</v>
      </c>
      <c r="DT623" s="27" t="s">
        <v>7</v>
      </c>
      <c r="DU623" s="27" t="s">
        <v>8</v>
      </c>
    </row>
    <row r="624" spans="1:127" x14ac:dyDescent="0.25">
      <c r="A624" s="7">
        <v>0.48061093171789437</v>
      </c>
      <c r="B624"/>
      <c r="C624"/>
      <c r="D624"/>
      <c r="E624"/>
      <c r="J624" s="27" t="s">
        <v>7</v>
      </c>
      <c r="K624" s="27" t="s">
        <v>8</v>
      </c>
      <c r="L624" s="27" t="s">
        <v>7</v>
      </c>
      <c r="P624" s="27" t="s">
        <v>7</v>
      </c>
      <c r="Q624" s="27" t="s">
        <v>8</v>
      </c>
      <c r="R624" s="27" t="s">
        <v>7</v>
      </c>
      <c r="S624" s="27" t="s">
        <v>8</v>
      </c>
      <c r="CQ624" s="27" t="s">
        <v>8</v>
      </c>
      <c r="CS624" s="27" t="s">
        <v>8</v>
      </c>
      <c r="CT624" s="27" t="s">
        <v>7</v>
      </c>
      <c r="CU624" s="27" t="s">
        <v>8</v>
      </c>
      <c r="CV624" s="27" t="s">
        <v>7</v>
      </c>
      <c r="DO624" s="27" t="s">
        <v>8</v>
      </c>
      <c r="DP624" s="27" t="s">
        <v>7</v>
      </c>
      <c r="DQ624" s="27" t="s">
        <v>8</v>
      </c>
      <c r="DR624" s="27" t="s">
        <v>7</v>
      </c>
      <c r="DS624" s="27" t="s">
        <v>8</v>
      </c>
      <c r="DT624" s="27" t="s">
        <v>7</v>
      </c>
    </row>
    <row r="625" spans="1:122" x14ac:dyDescent="0.25">
      <c r="A625" s="7">
        <v>0.47118718795871994</v>
      </c>
      <c r="B625"/>
      <c r="C625"/>
      <c r="D625"/>
      <c r="E625"/>
      <c r="J625" s="27" t="s">
        <v>7</v>
      </c>
      <c r="K625" s="27" t="s">
        <v>8</v>
      </c>
      <c r="P625" s="27" t="s">
        <v>7</v>
      </c>
      <c r="Q625" s="27" t="s">
        <v>8</v>
      </c>
      <c r="R625" s="27" t="s">
        <v>7</v>
      </c>
      <c r="S625" s="27" t="s">
        <v>8</v>
      </c>
      <c r="T625" s="27" t="s">
        <v>7</v>
      </c>
      <c r="CQ625" s="27" t="s">
        <v>8</v>
      </c>
      <c r="CR625" s="27" t="s">
        <v>7</v>
      </c>
      <c r="CS625" s="27" t="s">
        <v>8</v>
      </c>
      <c r="CT625" s="27" t="s">
        <v>7</v>
      </c>
      <c r="CU625" s="27" t="s">
        <v>8</v>
      </c>
      <c r="CV625" s="27" t="s">
        <v>7</v>
      </c>
      <c r="DO625" s="27" t="s">
        <v>8</v>
      </c>
      <c r="DP625" s="27" t="s">
        <v>7</v>
      </c>
      <c r="DQ625" s="27" t="s">
        <v>8</v>
      </c>
      <c r="DR625" s="27" t="s">
        <v>7</v>
      </c>
    </row>
    <row r="626" spans="1:122" x14ac:dyDescent="0.25">
      <c r="A626" s="7">
        <v>0.46194822348894116</v>
      </c>
      <c r="B626"/>
      <c r="C626"/>
      <c r="D626"/>
      <c r="E626"/>
      <c r="J626" s="27" t="s">
        <v>7</v>
      </c>
      <c r="K626" s="27" t="s">
        <v>8</v>
      </c>
      <c r="P626" s="27" t="s">
        <v>7</v>
      </c>
      <c r="R626" s="27" t="s">
        <v>7</v>
      </c>
      <c r="S626" s="27" t="s">
        <v>8</v>
      </c>
      <c r="T626" s="27" t="s">
        <v>7</v>
      </c>
      <c r="CQ626" s="27" t="s">
        <v>8</v>
      </c>
      <c r="CR626" s="27" t="s">
        <v>7</v>
      </c>
      <c r="CS626" s="27" t="s">
        <v>8</v>
      </c>
      <c r="CT626" s="27" t="s">
        <v>7</v>
      </c>
      <c r="CU626" s="27" t="s">
        <v>8</v>
      </c>
      <c r="CV626" s="27" t="s">
        <v>7</v>
      </c>
      <c r="DO626" s="27" t="s">
        <v>8</v>
      </c>
      <c r="DP626" s="27" t="s">
        <v>7</v>
      </c>
      <c r="DQ626" s="27" t="s">
        <v>8</v>
      </c>
    </row>
    <row r="627" spans="1:122" x14ac:dyDescent="0.25">
      <c r="A627" s="7">
        <v>0.45289041518523643</v>
      </c>
      <c r="B627"/>
      <c r="C627"/>
      <c r="D627"/>
      <c r="E627"/>
      <c r="J627" s="27" t="s">
        <v>7</v>
      </c>
      <c r="K627" s="27" t="s">
        <v>8</v>
      </c>
      <c r="R627" s="27" t="s">
        <v>7</v>
      </c>
      <c r="S627" s="27" t="s">
        <v>8</v>
      </c>
      <c r="T627" s="27" t="s">
        <v>7</v>
      </c>
      <c r="U627" s="27" t="s">
        <v>8</v>
      </c>
      <c r="W627" s="27" t="s">
        <v>8</v>
      </c>
      <c r="CQ627" s="27" t="s">
        <v>8</v>
      </c>
      <c r="CR627" s="27" t="s">
        <v>7</v>
      </c>
      <c r="CS627" s="27" t="s">
        <v>8</v>
      </c>
      <c r="CT627" s="27" t="s">
        <v>7</v>
      </c>
      <c r="CU627" s="27" t="s">
        <v>8</v>
      </c>
      <c r="CV627" s="27" t="s">
        <v>7</v>
      </c>
      <c r="DO627" s="27" t="s">
        <v>8</v>
      </c>
      <c r="DP627" s="27" t="s">
        <v>7</v>
      </c>
      <c r="DQ627" s="27" t="s">
        <v>8</v>
      </c>
    </row>
    <row r="628" spans="1:122" x14ac:dyDescent="0.25">
      <c r="A628" s="7">
        <v>0.44401021096591808</v>
      </c>
      <c r="B628"/>
      <c r="C628"/>
      <c r="D628"/>
      <c r="E628"/>
      <c r="J628" s="27" t="s">
        <v>7</v>
      </c>
      <c r="R628" s="27" t="s">
        <v>7</v>
      </c>
      <c r="S628" s="27" t="s">
        <v>8</v>
      </c>
      <c r="T628" s="27" t="s">
        <v>7</v>
      </c>
      <c r="U628" s="27" t="s">
        <v>8</v>
      </c>
      <c r="V628" s="27" t="s">
        <v>7</v>
      </c>
      <c r="W628" s="27" t="s">
        <v>8</v>
      </c>
      <c r="X628" s="27" t="s">
        <v>7</v>
      </c>
      <c r="CQ628" s="27" t="s">
        <v>8</v>
      </c>
      <c r="CR628" s="27" t="s">
        <v>7</v>
      </c>
      <c r="CT628" s="27" t="s">
        <v>7</v>
      </c>
      <c r="CU628" s="27" t="s">
        <v>8</v>
      </c>
      <c r="CV628" s="27" t="s">
        <v>7</v>
      </c>
      <c r="DO628" s="27" t="s">
        <v>8</v>
      </c>
      <c r="DP628" s="27" t="s">
        <v>7</v>
      </c>
      <c r="DQ628" s="27" t="s">
        <v>8</v>
      </c>
    </row>
    <row r="629" spans="1:122" x14ac:dyDescent="0.25">
      <c r="A629" s="7">
        <v>0.4353041283979589</v>
      </c>
      <c r="B629"/>
      <c r="C629"/>
      <c r="D629"/>
      <c r="E629"/>
      <c r="R629" s="27" t="s">
        <v>7</v>
      </c>
      <c r="S629" s="27" t="s">
        <v>8</v>
      </c>
      <c r="T629" s="27" t="s">
        <v>7</v>
      </c>
      <c r="U629" s="27" t="s">
        <v>8</v>
      </c>
      <c r="V629" s="27" t="s">
        <v>7</v>
      </c>
      <c r="W629" s="27" t="s">
        <v>8</v>
      </c>
      <c r="X629" s="27" t="s">
        <v>7</v>
      </c>
      <c r="CE629" s="27" t="s">
        <v>8</v>
      </c>
      <c r="CQ629" s="27" t="s">
        <v>8</v>
      </c>
      <c r="CT629" s="27" t="s">
        <v>7</v>
      </c>
      <c r="CU629" s="27" t="s">
        <v>8</v>
      </c>
      <c r="CV629" s="27" t="s">
        <v>7</v>
      </c>
      <c r="DO629" s="27" t="s">
        <v>8</v>
      </c>
      <c r="DP629" s="27" t="s">
        <v>7</v>
      </c>
    </row>
    <row r="630" spans="1:122" x14ac:dyDescent="0.25">
      <c r="A630" s="7">
        <v>0.4267687533313323</v>
      </c>
      <c r="B630"/>
      <c r="C630"/>
      <c r="D630"/>
      <c r="E630"/>
      <c r="R630" s="27" t="s">
        <v>7</v>
      </c>
      <c r="S630" s="27" t="s">
        <v>8</v>
      </c>
      <c r="T630" s="27" t="s">
        <v>7</v>
      </c>
      <c r="U630" s="27" t="s">
        <v>8</v>
      </c>
      <c r="V630" s="27" t="s">
        <v>7</v>
      </c>
      <c r="W630" s="27" t="s">
        <v>8</v>
      </c>
      <c r="X630" s="27" t="s">
        <v>7</v>
      </c>
      <c r="CE630" s="27" t="s">
        <v>8</v>
      </c>
      <c r="CF630" s="27" t="s">
        <v>7</v>
      </c>
      <c r="CK630" s="27" t="s">
        <v>8</v>
      </c>
      <c r="CQ630" s="27" t="s">
        <v>8</v>
      </c>
      <c r="CT630" s="27" t="s">
        <v>7</v>
      </c>
      <c r="CU630" s="27" t="s">
        <v>8</v>
      </c>
      <c r="CV630" s="27" t="s">
        <v>7</v>
      </c>
      <c r="CW630" s="27" t="s">
        <v>8</v>
      </c>
      <c r="DO630" s="27" t="s">
        <v>8</v>
      </c>
    </row>
    <row r="631" spans="1:122" x14ac:dyDescent="0.25">
      <c r="A631" s="7">
        <v>0.41840073856012971</v>
      </c>
      <c r="B631"/>
      <c r="C631"/>
      <c r="D631"/>
      <c r="E631"/>
      <c r="R631" s="27" t="s">
        <v>7</v>
      </c>
      <c r="S631" s="27" t="s">
        <v>8</v>
      </c>
      <c r="T631" s="27" t="s">
        <v>7</v>
      </c>
      <c r="V631" s="27" t="s">
        <v>7</v>
      </c>
      <c r="X631" s="27" t="s">
        <v>7</v>
      </c>
      <c r="CE631" s="27" t="s">
        <v>8</v>
      </c>
      <c r="CF631" s="27" t="s">
        <v>7</v>
      </c>
      <c r="CI631" s="27" t="s">
        <v>8</v>
      </c>
      <c r="CK631" s="27" t="s">
        <v>8</v>
      </c>
      <c r="CL631" s="27" t="s">
        <v>7</v>
      </c>
      <c r="CQ631" s="27" t="s">
        <v>8</v>
      </c>
      <c r="CT631" s="27" t="s">
        <v>7</v>
      </c>
      <c r="CU631" s="27" t="s">
        <v>8</v>
      </c>
      <c r="CV631" s="27" t="s">
        <v>7</v>
      </c>
      <c r="CW631" s="27" t="s">
        <v>8</v>
      </c>
      <c r="CX631" s="27" t="s">
        <v>7</v>
      </c>
      <c r="DO631" s="27" t="s">
        <v>8</v>
      </c>
    </row>
    <row r="632" spans="1:122" x14ac:dyDescent="0.25">
      <c r="A632" s="7">
        <v>0.41019680250993112</v>
      </c>
      <c r="B632"/>
      <c r="C632"/>
      <c r="D632"/>
      <c r="E632"/>
      <c r="R632" s="27" t="s">
        <v>7</v>
      </c>
      <c r="X632" s="27" t="s">
        <v>7</v>
      </c>
      <c r="CE632" s="27" t="s">
        <v>8</v>
      </c>
      <c r="CF632" s="27" t="s">
        <v>7</v>
      </c>
      <c r="CI632" s="27" t="s">
        <v>8</v>
      </c>
      <c r="CJ632" s="27" t="s">
        <v>7</v>
      </c>
      <c r="CK632" s="27" t="s">
        <v>8</v>
      </c>
      <c r="CL632" s="27" t="s">
        <v>7</v>
      </c>
      <c r="CQ632" s="27" t="s">
        <v>8</v>
      </c>
      <c r="CT632" s="27" t="s">
        <v>7</v>
      </c>
      <c r="CU632" s="27" t="s">
        <v>8</v>
      </c>
      <c r="CV632" s="27" t="s">
        <v>7</v>
      </c>
      <c r="CW632" s="27" t="s">
        <v>8</v>
      </c>
      <c r="CX632" s="27" t="s">
        <v>7</v>
      </c>
      <c r="DO632" s="27" t="s">
        <v>8</v>
      </c>
    </row>
    <row r="633" spans="1:122" x14ac:dyDescent="0.25">
      <c r="A633" s="7">
        <v>0.40215372795091286</v>
      </c>
      <c r="B633"/>
      <c r="C633"/>
      <c r="D633"/>
      <c r="E633"/>
      <c r="X633" s="27" t="s">
        <v>7</v>
      </c>
      <c r="CE633" s="27" t="s">
        <v>8</v>
      </c>
      <c r="CF633" s="27" t="s">
        <v>7</v>
      </c>
      <c r="CI633" s="27" t="s">
        <v>8</v>
      </c>
      <c r="CJ633" s="27" t="s">
        <v>7</v>
      </c>
      <c r="CK633" s="27" t="s">
        <v>8</v>
      </c>
      <c r="CL633" s="27" t="s">
        <v>7</v>
      </c>
      <c r="CO633" s="27" t="s">
        <v>8</v>
      </c>
      <c r="CQ633" s="27" t="s">
        <v>8</v>
      </c>
      <c r="CT633" s="27" t="s">
        <v>7</v>
      </c>
      <c r="CU633" s="27" t="s">
        <v>8</v>
      </c>
      <c r="CV633" s="27" t="s">
        <v>7</v>
      </c>
      <c r="CW633" s="27" t="s">
        <v>8</v>
      </c>
      <c r="CX633" s="27" t="s">
        <v>7</v>
      </c>
      <c r="DM633" s="27" t="s">
        <v>8</v>
      </c>
      <c r="DO633" s="27" t="s">
        <v>8</v>
      </c>
    </row>
    <row r="634" spans="1:122" x14ac:dyDescent="0.25">
      <c r="A634" s="7">
        <v>0.39426836073618904</v>
      </c>
      <c r="B634"/>
      <c r="C634"/>
      <c r="D634"/>
      <c r="E634"/>
      <c r="X634" s="27" t="s">
        <v>7</v>
      </c>
      <c r="AG634" s="27" t="s">
        <v>8</v>
      </c>
      <c r="CC634" s="27" t="s">
        <v>8</v>
      </c>
      <c r="CE634" s="27" t="s">
        <v>8</v>
      </c>
      <c r="CF634" s="27" t="s">
        <v>7</v>
      </c>
      <c r="CI634" s="27" t="s">
        <v>8</v>
      </c>
      <c r="CJ634" s="27" t="s">
        <v>7</v>
      </c>
      <c r="CK634" s="27" t="s">
        <v>8</v>
      </c>
      <c r="CL634" s="27" t="s">
        <v>7</v>
      </c>
      <c r="CO634" s="27" t="s">
        <v>8</v>
      </c>
      <c r="CP634" s="27" t="s">
        <v>7</v>
      </c>
      <c r="CQ634" s="27" t="s">
        <v>8</v>
      </c>
      <c r="CT634" s="27" t="s">
        <v>7</v>
      </c>
      <c r="CU634" s="27" t="s">
        <v>8</v>
      </c>
      <c r="CV634" s="27" t="s">
        <v>7</v>
      </c>
      <c r="CW634" s="27" t="s">
        <v>8</v>
      </c>
      <c r="CX634" s="27" t="s">
        <v>7</v>
      </c>
      <c r="DM634" s="27" t="s">
        <v>8</v>
      </c>
      <c r="DN634" s="27" t="s">
        <v>7</v>
      </c>
      <c r="DO634" s="27" t="s">
        <v>8</v>
      </c>
    </row>
    <row r="635" spans="1:122" x14ac:dyDescent="0.25">
      <c r="A635" s="7">
        <v>0.38653760856489122</v>
      </c>
      <c r="B635"/>
      <c r="C635"/>
      <c r="D635"/>
      <c r="E635"/>
      <c r="X635" s="27" t="s">
        <v>7</v>
      </c>
      <c r="Y635" s="27" t="s">
        <v>8</v>
      </c>
      <c r="AG635" s="27" t="s">
        <v>8</v>
      </c>
      <c r="AH635" s="27" t="s">
        <v>7</v>
      </c>
      <c r="CC635" s="27" t="s">
        <v>8</v>
      </c>
      <c r="CD635" s="27" t="s">
        <v>7</v>
      </c>
      <c r="CE635" s="27" t="s">
        <v>8</v>
      </c>
      <c r="CF635" s="27" t="s">
        <v>7</v>
      </c>
      <c r="CI635" s="27" t="s">
        <v>8</v>
      </c>
      <c r="CJ635" s="27" t="s">
        <v>7</v>
      </c>
      <c r="CK635" s="27" t="s">
        <v>8</v>
      </c>
      <c r="CL635" s="27" t="s">
        <v>7</v>
      </c>
      <c r="CO635" s="27" t="s">
        <v>8</v>
      </c>
      <c r="CP635" s="27" t="s">
        <v>7</v>
      </c>
      <c r="CQ635" s="27" t="s">
        <v>8</v>
      </c>
      <c r="CT635" s="27" t="s">
        <v>7</v>
      </c>
      <c r="CU635" s="27" t="s">
        <v>8</v>
      </c>
      <c r="CV635" s="27" t="s">
        <v>7</v>
      </c>
      <c r="CW635" s="27" t="s">
        <v>8</v>
      </c>
      <c r="CX635" s="27" t="s">
        <v>7</v>
      </c>
      <c r="DM635" s="27" t="s">
        <v>8</v>
      </c>
      <c r="DN635" s="27" t="s">
        <v>7</v>
      </c>
      <c r="DO635" s="27" t="s">
        <v>8</v>
      </c>
    </row>
    <row r="636" spans="1:122" x14ac:dyDescent="0.25">
      <c r="A636" s="7">
        <v>0.37895843976950117</v>
      </c>
      <c r="B636"/>
      <c r="C636"/>
      <c r="D636"/>
      <c r="E636"/>
      <c r="X636" s="27" t="s">
        <v>7</v>
      </c>
      <c r="Y636" s="27" t="s">
        <v>8</v>
      </c>
      <c r="Z636" s="27" t="s">
        <v>7</v>
      </c>
      <c r="AG636" s="27" t="s">
        <v>8</v>
      </c>
      <c r="AH636" s="27" t="s">
        <v>7</v>
      </c>
      <c r="CC636" s="27" t="s">
        <v>8</v>
      </c>
      <c r="CD636" s="27" t="s">
        <v>7</v>
      </c>
      <c r="CE636" s="27" t="s">
        <v>8</v>
      </c>
      <c r="CF636" s="27" t="s">
        <v>7</v>
      </c>
      <c r="CG636" s="27" t="s">
        <v>8</v>
      </c>
      <c r="CI636" s="27" t="s">
        <v>8</v>
      </c>
      <c r="CJ636" s="27" t="s">
        <v>7</v>
      </c>
      <c r="CK636" s="27" t="s">
        <v>8</v>
      </c>
      <c r="CL636" s="27" t="s">
        <v>7</v>
      </c>
      <c r="CO636" s="27" t="s">
        <v>8</v>
      </c>
      <c r="CP636" s="27" t="s">
        <v>7</v>
      </c>
      <c r="CQ636" s="27" t="s">
        <v>8</v>
      </c>
      <c r="CT636" s="27" t="s">
        <v>7</v>
      </c>
      <c r="CU636" s="27" t="s">
        <v>8</v>
      </c>
      <c r="CV636" s="27" t="s">
        <v>7</v>
      </c>
      <c r="CW636" s="27" t="s">
        <v>8</v>
      </c>
      <c r="CX636" s="27" t="s">
        <v>7</v>
      </c>
      <c r="DM636" s="27" t="s">
        <v>8</v>
      </c>
      <c r="DN636" s="27" t="s">
        <v>7</v>
      </c>
      <c r="DO636" s="27" t="s">
        <v>8</v>
      </c>
    </row>
    <row r="637" spans="1:122" x14ac:dyDescent="0.25">
      <c r="A637" s="7">
        <v>0.37152788212696197</v>
      </c>
      <c r="B637"/>
      <c r="C637"/>
      <c r="D637"/>
      <c r="E637"/>
      <c r="X637" s="27" t="s">
        <v>7</v>
      </c>
      <c r="Y637" s="27" t="s">
        <v>8</v>
      </c>
      <c r="Z637" s="27" t="s">
        <v>7</v>
      </c>
      <c r="AG637" s="27" t="s">
        <v>8</v>
      </c>
      <c r="AH637" s="27" t="s">
        <v>7</v>
      </c>
      <c r="CC637" s="27" t="s">
        <v>8</v>
      </c>
      <c r="CD637" s="27" t="s">
        <v>7</v>
      </c>
      <c r="CE637" s="27" t="s">
        <v>8</v>
      </c>
      <c r="CF637" s="27" t="s">
        <v>7</v>
      </c>
      <c r="CG637" s="27" t="s">
        <v>8</v>
      </c>
      <c r="CH637" s="27" t="s">
        <v>7</v>
      </c>
      <c r="CI637" s="27" t="s">
        <v>8</v>
      </c>
      <c r="CJ637" s="27" t="s">
        <v>7</v>
      </c>
      <c r="CK637" s="27" t="s">
        <v>8</v>
      </c>
      <c r="CL637" s="27" t="s">
        <v>7</v>
      </c>
      <c r="CO637" s="27" t="s">
        <v>8</v>
      </c>
      <c r="CP637" s="27" t="s">
        <v>7</v>
      </c>
      <c r="CQ637" s="27" t="s">
        <v>8</v>
      </c>
      <c r="CT637" s="27" t="s">
        <v>7</v>
      </c>
      <c r="CU637" s="27" t="s">
        <v>8</v>
      </c>
      <c r="CV637" s="27" t="s">
        <v>7</v>
      </c>
      <c r="CW637" s="27" t="s">
        <v>8</v>
      </c>
      <c r="CX637" s="27" t="s">
        <v>7</v>
      </c>
      <c r="DA637" s="27" t="s">
        <v>8</v>
      </c>
      <c r="DM637" s="27" t="s">
        <v>8</v>
      </c>
      <c r="DN637" s="27" t="s">
        <v>7</v>
      </c>
      <c r="DO637" s="27" t="s">
        <v>8</v>
      </c>
    </row>
    <row r="638" spans="1:122" x14ac:dyDescent="0.25">
      <c r="A638" s="7">
        <v>0.36424302169310002</v>
      </c>
      <c r="B638"/>
      <c r="C638"/>
      <c r="D638"/>
      <c r="E638"/>
      <c r="X638" s="27" t="s">
        <v>7</v>
      </c>
      <c r="Y638" s="27" t="s">
        <v>8</v>
      </c>
      <c r="Z638" s="27" t="s">
        <v>7</v>
      </c>
      <c r="AC638" s="27" t="s">
        <v>8</v>
      </c>
      <c r="AG638" s="27" t="s">
        <v>8</v>
      </c>
      <c r="AH638" s="27" t="s">
        <v>7</v>
      </c>
      <c r="AI638" s="27" t="s">
        <v>8</v>
      </c>
      <c r="CC638" s="27" t="s">
        <v>8</v>
      </c>
      <c r="CD638" s="27" t="s">
        <v>7</v>
      </c>
      <c r="CE638" s="27" t="s">
        <v>8</v>
      </c>
      <c r="CF638" s="27" t="s">
        <v>7</v>
      </c>
      <c r="CG638" s="27" t="s">
        <v>8</v>
      </c>
      <c r="CH638" s="27" t="s">
        <v>7</v>
      </c>
      <c r="CI638" s="27" t="s">
        <v>8</v>
      </c>
      <c r="CJ638" s="27" t="s">
        <v>7</v>
      </c>
      <c r="CK638" s="27" t="s">
        <v>8</v>
      </c>
      <c r="CL638" s="27" t="s">
        <v>7</v>
      </c>
      <c r="CM638" s="27" t="s">
        <v>8</v>
      </c>
      <c r="CO638" s="27" t="s">
        <v>8</v>
      </c>
      <c r="CP638" s="27" t="s">
        <v>7</v>
      </c>
      <c r="CT638" s="27" t="s">
        <v>7</v>
      </c>
      <c r="CU638" s="27" t="s">
        <v>8</v>
      </c>
      <c r="CV638" s="27" t="s">
        <v>7</v>
      </c>
      <c r="CW638" s="27" t="s">
        <v>8</v>
      </c>
      <c r="CX638" s="27" t="s">
        <v>7</v>
      </c>
      <c r="DA638" s="27" t="s">
        <v>8</v>
      </c>
      <c r="DB638" s="27" t="s">
        <v>7</v>
      </c>
      <c r="DC638" s="27" t="s">
        <v>8</v>
      </c>
      <c r="DM638" s="27" t="s">
        <v>8</v>
      </c>
      <c r="DN638" s="27" t="s">
        <v>7</v>
      </c>
      <c r="DO638" s="27" t="s">
        <v>8</v>
      </c>
    </row>
    <row r="639" spans="1:122" x14ac:dyDescent="0.25">
      <c r="A639" s="7">
        <v>0.35710100165990194</v>
      </c>
      <c r="B639"/>
      <c r="C639"/>
      <c r="D639"/>
      <c r="E639"/>
      <c r="X639" s="27" t="s">
        <v>7</v>
      </c>
      <c r="Y639" s="27" t="s">
        <v>8</v>
      </c>
      <c r="Z639" s="27" t="s">
        <v>7</v>
      </c>
      <c r="AC639" s="27" t="s">
        <v>8</v>
      </c>
      <c r="AD639" s="27" t="s">
        <v>7</v>
      </c>
      <c r="AG639" s="27" t="s">
        <v>8</v>
      </c>
      <c r="AH639" s="27" t="s">
        <v>7</v>
      </c>
      <c r="AI639" s="27" t="s">
        <v>8</v>
      </c>
      <c r="AJ639" s="27" t="s">
        <v>7</v>
      </c>
      <c r="AU639" s="27" t="s">
        <v>8</v>
      </c>
      <c r="CC639" s="27" t="s">
        <v>8</v>
      </c>
      <c r="CD639" s="27" t="s">
        <v>7</v>
      </c>
      <c r="CE639" s="27" t="s">
        <v>8</v>
      </c>
      <c r="CF639" s="27" t="s">
        <v>7</v>
      </c>
      <c r="CG639" s="27" t="s">
        <v>8</v>
      </c>
      <c r="CH639" s="27" t="s">
        <v>7</v>
      </c>
      <c r="CI639" s="27" t="s">
        <v>8</v>
      </c>
      <c r="CJ639" s="27" t="s">
        <v>7</v>
      </c>
      <c r="CK639" s="27" t="s">
        <v>8</v>
      </c>
      <c r="CL639" s="27" t="s">
        <v>7</v>
      </c>
      <c r="CM639" s="27" t="s">
        <v>8</v>
      </c>
      <c r="CN639" s="27" t="s">
        <v>7</v>
      </c>
      <c r="CO639" s="27" t="s">
        <v>8</v>
      </c>
      <c r="CT639" s="27" t="s">
        <v>7</v>
      </c>
      <c r="CU639" s="27" t="s">
        <v>8</v>
      </c>
      <c r="CV639" s="27" t="s">
        <v>7</v>
      </c>
      <c r="CW639" s="27" t="s">
        <v>8</v>
      </c>
      <c r="CX639" s="27" t="s">
        <v>7</v>
      </c>
      <c r="DA639" s="27" t="s">
        <v>8</v>
      </c>
      <c r="DB639" s="27" t="s">
        <v>7</v>
      </c>
      <c r="DC639" s="27" t="s">
        <v>8</v>
      </c>
      <c r="DD639" s="27" t="s">
        <v>7</v>
      </c>
      <c r="DE639" s="27" t="s">
        <v>8</v>
      </c>
      <c r="DM639" s="27" t="s">
        <v>8</v>
      </c>
      <c r="DN639" s="27" t="s">
        <v>7</v>
      </c>
      <c r="DO639" s="27" t="s">
        <v>8</v>
      </c>
    </row>
    <row r="640" spans="1:122" x14ac:dyDescent="0.25">
      <c r="A640" s="7">
        <v>0.35009902123519804</v>
      </c>
      <c r="B640"/>
      <c r="C640"/>
      <c r="D640"/>
      <c r="E640"/>
      <c r="X640" s="27" t="s">
        <v>7</v>
      </c>
      <c r="Y640" s="27" t="s">
        <v>8</v>
      </c>
      <c r="Z640" s="27" t="s">
        <v>7</v>
      </c>
      <c r="AC640" s="27" t="s">
        <v>8</v>
      </c>
      <c r="AD640" s="27" t="s">
        <v>7</v>
      </c>
      <c r="AG640" s="27" t="s">
        <v>8</v>
      </c>
      <c r="AH640" s="27" t="s">
        <v>7</v>
      </c>
      <c r="AI640" s="27" t="s">
        <v>8</v>
      </c>
      <c r="AJ640" s="27" t="s">
        <v>7</v>
      </c>
      <c r="AU640" s="27" t="s">
        <v>8</v>
      </c>
      <c r="AV640" s="27" t="s">
        <v>7</v>
      </c>
      <c r="CC640" s="27" t="s">
        <v>8</v>
      </c>
      <c r="CD640" s="27" t="s">
        <v>7</v>
      </c>
      <c r="CE640" s="27" t="s">
        <v>8</v>
      </c>
      <c r="CF640" s="27" t="s">
        <v>7</v>
      </c>
      <c r="CH640" s="27" t="s">
        <v>7</v>
      </c>
      <c r="CI640" s="27" t="s">
        <v>8</v>
      </c>
      <c r="CJ640" s="27" t="s">
        <v>7</v>
      </c>
      <c r="CL640" s="27" t="s">
        <v>7</v>
      </c>
      <c r="CM640" s="27" t="s">
        <v>8</v>
      </c>
      <c r="CN640" s="27" t="s">
        <v>7</v>
      </c>
      <c r="CO640" s="27" t="s">
        <v>8</v>
      </c>
      <c r="CT640" s="27" t="s">
        <v>7</v>
      </c>
      <c r="CU640" s="27" t="s">
        <v>8</v>
      </c>
      <c r="CV640" s="27" t="s">
        <v>7</v>
      </c>
      <c r="CW640" s="27" t="s">
        <v>8</v>
      </c>
      <c r="CX640" s="27" t="s">
        <v>7</v>
      </c>
      <c r="DA640" s="27" t="s">
        <v>8</v>
      </c>
      <c r="DB640" s="27" t="s">
        <v>7</v>
      </c>
      <c r="DC640" s="27" t="s">
        <v>8</v>
      </c>
      <c r="DD640" s="27" t="s">
        <v>7</v>
      </c>
      <c r="DE640" s="27" t="s">
        <v>8</v>
      </c>
      <c r="DF640" s="27" t="s">
        <v>7</v>
      </c>
      <c r="DM640" s="27" t="s">
        <v>8</v>
      </c>
      <c r="DN640" s="27" t="s">
        <v>7</v>
      </c>
      <c r="DO640" s="27" t="s">
        <v>8</v>
      </c>
    </row>
    <row r="641" spans="1:119" x14ac:dyDescent="0.25">
      <c r="A641" s="7">
        <v>0.34323433454431179</v>
      </c>
      <c r="B641"/>
      <c r="C641"/>
      <c r="D641"/>
      <c r="E641"/>
      <c r="X641" s="27" t="s">
        <v>7</v>
      </c>
      <c r="Y641" s="27" t="s">
        <v>8</v>
      </c>
      <c r="Z641" s="27" t="s">
        <v>7</v>
      </c>
      <c r="AC641" s="27" t="s">
        <v>8</v>
      </c>
      <c r="AD641" s="27" t="s">
        <v>7</v>
      </c>
      <c r="AG641" s="27" t="s">
        <v>8</v>
      </c>
      <c r="AH641" s="27" t="s">
        <v>7</v>
      </c>
      <c r="AI641" s="27" t="s">
        <v>8</v>
      </c>
      <c r="AJ641" s="27" t="s">
        <v>7</v>
      </c>
      <c r="AU641" s="27" t="s">
        <v>8</v>
      </c>
      <c r="AV641" s="27" t="s">
        <v>7</v>
      </c>
      <c r="AW641" s="27" t="s">
        <v>8</v>
      </c>
      <c r="CC641" s="27" t="s">
        <v>8</v>
      </c>
      <c r="CD641" s="27" t="s">
        <v>7</v>
      </c>
      <c r="CE641" s="27" t="s">
        <v>8</v>
      </c>
      <c r="CH641" s="27" t="s">
        <v>7</v>
      </c>
      <c r="CI641" s="27" t="s">
        <v>8</v>
      </c>
      <c r="CL641" s="27" t="s">
        <v>7</v>
      </c>
      <c r="CM641" s="27" t="s">
        <v>8</v>
      </c>
      <c r="CN641" s="27" t="s">
        <v>7</v>
      </c>
      <c r="CO641" s="27" t="s">
        <v>8</v>
      </c>
      <c r="CT641" s="27" t="s">
        <v>7</v>
      </c>
      <c r="CV641" s="27" t="s">
        <v>7</v>
      </c>
      <c r="CW641" s="27" t="s">
        <v>8</v>
      </c>
      <c r="CX641" s="27" t="s">
        <v>7</v>
      </c>
      <c r="DA641" s="27" t="s">
        <v>8</v>
      </c>
      <c r="DB641" s="27" t="s">
        <v>7</v>
      </c>
      <c r="DC641" s="27" t="s">
        <v>8</v>
      </c>
      <c r="DD641" s="27" t="s">
        <v>7</v>
      </c>
      <c r="DE641" s="27" t="s">
        <v>8</v>
      </c>
      <c r="DF641" s="27" t="s">
        <v>7</v>
      </c>
      <c r="DK641" s="27" t="s">
        <v>8</v>
      </c>
      <c r="DM641" s="27" t="s">
        <v>8</v>
      </c>
      <c r="DN641" s="27" t="s">
        <v>7</v>
      </c>
      <c r="DO641" s="27" t="s">
        <v>8</v>
      </c>
    </row>
    <row r="642" spans="1:119" x14ac:dyDescent="0.25">
      <c r="A642" s="7">
        <v>0.33650424955324681</v>
      </c>
      <c r="B642"/>
      <c r="C642"/>
      <c r="D642"/>
      <c r="E642"/>
      <c r="X642" s="27" t="s">
        <v>7</v>
      </c>
      <c r="Y642" s="27" t="s">
        <v>8</v>
      </c>
      <c r="Z642" s="27" t="s">
        <v>7</v>
      </c>
      <c r="AA642" s="27" t="s">
        <v>8</v>
      </c>
      <c r="AC642" s="27" t="s">
        <v>8</v>
      </c>
      <c r="AD642" s="27" t="s">
        <v>7</v>
      </c>
      <c r="AG642" s="27" t="s">
        <v>8</v>
      </c>
      <c r="AH642" s="27" t="s">
        <v>7</v>
      </c>
      <c r="AI642" s="27" t="s">
        <v>8</v>
      </c>
      <c r="AJ642" s="27" t="s">
        <v>7</v>
      </c>
      <c r="AU642" s="27" t="s">
        <v>8</v>
      </c>
      <c r="AV642" s="27" t="s">
        <v>7</v>
      </c>
      <c r="AW642" s="27" t="s">
        <v>8</v>
      </c>
      <c r="AX642" s="27" t="s">
        <v>7</v>
      </c>
      <c r="CC642" s="27" t="s">
        <v>8</v>
      </c>
      <c r="CD642" s="27" t="s">
        <v>7</v>
      </c>
      <c r="CE642" s="27" t="s">
        <v>8</v>
      </c>
      <c r="CH642" s="27" t="s">
        <v>7</v>
      </c>
      <c r="CI642" s="27" t="s">
        <v>8</v>
      </c>
      <c r="CL642" s="27" t="s">
        <v>7</v>
      </c>
      <c r="CM642" s="27" t="s">
        <v>8</v>
      </c>
      <c r="CN642" s="27" t="s">
        <v>7</v>
      </c>
      <c r="CO642" s="27" t="s">
        <v>8</v>
      </c>
      <c r="CV642" s="27" t="s">
        <v>7</v>
      </c>
      <c r="CW642" s="27" t="s">
        <v>8</v>
      </c>
      <c r="CX642" s="27" t="s">
        <v>7</v>
      </c>
      <c r="DA642" s="27" t="s">
        <v>8</v>
      </c>
      <c r="DB642" s="27" t="s">
        <v>7</v>
      </c>
      <c r="DC642" s="27" t="s">
        <v>8</v>
      </c>
      <c r="DD642" s="27" t="s">
        <v>7</v>
      </c>
      <c r="DE642" s="27" t="s">
        <v>8</v>
      </c>
      <c r="DF642" s="27" t="s">
        <v>7</v>
      </c>
      <c r="DK642" s="27" t="s">
        <v>8</v>
      </c>
      <c r="DL642" s="27" t="s">
        <v>7</v>
      </c>
      <c r="DM642" s="27" t="s">
        <v>8</v>
      </c>
      <c r="DN642" s="27" t="s">
        <v>7</v>
      </c>
    </row>
    <row r="643" spans="1:119" x14ac:dyDescent="0.25">
      <c r="A643" s="7">
        <v>0.3299061270129871</v>
      </c>
      <c r="B643"/>
      <c r="C643"/>
      <c r="D643"/>
      <c r="E643"/>
      <c r="X643" s="27" t="s">
        <v>7</v>
      </c>
      <c r="Y643" s="27" t="s">
        <v>8</v>
      </c>
      <c r="Z643" s="27" t="s">
        <v>7</v>
      </c>
      <c r="AA643" s="27" t="s">
        <v>8</v>
      </c>
      <c r="AB643" s="27" t="s">
        <v>7</v>
      </c>
      <c r="AC643" s="27" t="s">
        <v>8</v>
      </c>
      <c r="AD643" s="27" t="s">
        <v>7</v>
      </c>
      <c r="AE643" s="27" t="s">
        <v>8</v>
      </c>
      <c r="AG643" s="27" t="s">
        <v>8</v>
      </c>
      <c r="AH643" s="27" t="s">
        <v>7</v>
      </c>
      <c r="AI643" s="27" t="s">
        <v>8</v>
      </c>
      <c r="AJ643" s="27" t="s">
        <v>7</v>
      </c>
      <c r="AK643" s="27" t="s">
        <v>8</v>
      </c>
      <c r="AQ643" s="27" t="s">
        <v>8</v>
      </c>
      <c r="AU643" s="27" t="s">
        <v>8</v>
      </c>
      <c r="AV643" s="27" t="s">
        <v>7</v>
      </c>
      <c r="AW643" s="27" t="s">
        <v>8</v>
      </c>
      <c r="AX643" s="27" t="s">
        <v>7</v>
      </c>
      <c r="CA643" s="27" t="s">
        <v>8</v>
      </c>
      <c r="CC643" s="27" t="s">
        <v>8</v>
      </c>
      <c r="CD643" s="27" t="s">
        <v>7</v>
      </c>
      <c r="CE643" s="27" t="s">
        <v>8</v>
      </c>
      <c r="CH643" s="27" t="s">
        <v>7</v>
      </c>
      <c r="CI643" s="27" t="s">
        <v>8</v>
      </c>
      <c r="CL643" s="27" t="s">
        <v>7</v>
      </c>
      <c r="CM643" s="27" t="s">
        <v>8</v>
      </c>
      <c r="CN643" s="27" t="s">
        <v>7</v>
      </c>
      <c r="CO643" s="27" t="s">
        <v>8</v>
      </c>
      <c r="CV643" s="27" t="s">
        <v>7</v>
      </c>
      <c r="CW643" s="27" t="s">
        <v>8</v>
      </c>
      <c r="CX643" s="27" t="s">
        <v>7</v>
      </c>
      <c r="DA643" s="27" t="s">
        <v>8</v>
      </c>
      <c r="DB643" s="27" t="s">
        <v>7</v>
      </c>
      <c r="DC643" s="27" t="s">
        <v>8</v>
      </c>
      <c r="DD643" s="27" t="s">
        <v>7</v>
      </c>
      <c r="DE643" s="27" t="s">
        <v>8</v>
      </c>
      <c r="DF643" s="27" t="s">
        <v>7</v>
      </c>
      <c r="DK643" s="27" t="s">
        <v>8</v>
      </c>
      <c r="DL643" s="27" t="s">
        <v>7</v>
      </c>
      <c r="DM643" s="27" t="s">
        <v>8</v>
      </c>
    </row>
    <row r="644" spans="1:119" x14ac:dyDescent="0.25">
      <c r="A644" s="7">
        <v>0.32343737942449713</v>
      </c>
      <c r="B644"/>
      <c r="C644"/>
      <c r="D644"/>
      <c r="E644"/>
      <c r="X644" s="27" t="s">
        <v>7</v>
      </c>
      <c r="Z644" s="27" t="s">
        <v>7</v>
      </c>
      <c r="AA644" s="27" t="s">
        <v>8</v>
      </c>
      <c r="AB644" s="27" t="s">
        <v>7</v>
      </c>
      <c r="AC644" s="27" t="s">
        <v>8</v>
      </c>
      <c r="AD644" s="27" t="s">
        <v>7</v>
      </c>
      <c r="AE644" s="27" t="s">
        <v>8</v>
      </c>
      <c r="AF644" s="27" t="s">
        <v>7</v>
      </c>
      <c r="AG644" s="27" t="s">
        <v>8</v>
      </c>
      <c r="AH644" s="27" t="s">
        <v>7</v>
      </c>
      <c r="AI644" s="27" t="s">
        <v>8</v>
      </c>
      <c r="AJ644" s="27" t="s">
        <v>7</v>
      </c>
      <c r="AK644" s="27" t="s">
        <v>8</v>
      </c>
      <c r="AL644" s="27" t="s">
        <v>7</v>
      </c>
      <c r="AQ644" s="27" t="s">
        <v>8</v>
      </c>
      <c r="AR644" s="27" t="s">
        <v>7</v>
      </c>
      <c r="AU644" s="27" t="s">
        <v>8</v>
      </c>
      <c r="AV644" s="27" t="s">
        <v>7</v>
      </c>
      <c r="AW644" s="27" t="s">
        <v>8</v>
      </c>
      <c r="AX644" s="27" t="s">
        <v>7</v>
      </c>
      <c r="CA644" s="27" t="s">
        <v>8</v>
      </c>
      <c r="CB644" s="27" t="s">
        <v>7</v>
      </c>
      <c r="CC644" s="27" t="s">
        <v>8</v>
      </c>
      <c r="CD644" s="27" t="s">
        <v>7</v>
      </c>
      <c r="CH644" s="27" t="s">
        <v>7</v>
      </c>
      <c r="CI644" s="27" t="s">
        <v>8</v>
      </c>
      <c r="CL644" s="27" t="s">
        <v>7</v>
      </c>
      <c r="CM644" s="27" t="s">
        <v>8</v>
      </c>
      <c r="CN644" s="27" t="s">
        <v>7</v>
      </c>
      <c r="CO644" s="27" t="s">
        <v>8</v>
      </c>
      <c r="CV644" s="27" t="s">
        <v>7</v>
      </c>
      <c r="CW644" s="27" t="s">
        <v>8</v>
      </c>
      <c r="CX644" s="27" t="s">
        <v>7</v>
      </c>
      <c r="DA644" s="27" t="s">
        <v>8</v>
      </c>
      <c r="DB644" s="27" t="s">
        <v>7</v>
      </c>
      <c r="DC644" s="27" t="s">
        <v>8</v>
      </c>
      <c r="DD644" s="27" t="s">
        <v>7</v>
      </c>
      <c r="DE644" s="27" t="s">
        <v>8</v>
      </c>
      <c r="DF644" s="27" t="s">
        <v>7</v>
      </c>
      <c r="DK644" s="27" t="s">
        <v>8</v>
      </c>
      <c r="DL644" s="27" t="s">
        <v>7</v>
      </c>
      <c r="DM644" s="27" t="s">
        <v>8</v>
      </c>
    </row>
    <row r="645" spans="1:119" x14ac:dyDescent="0.25">
      <c r="A645" s="7">
        <v>0.31709547002401678</v>
      </c>
      <c r="B645"/>
      <c r="C645"/>
      <c r="D645"/>
      <c r="E645"/>
      <c r="Z645" s="27" t="s">
        <v>7</v>
      </c>
      <c r="AA645" s="27" t="s">
        <v>8</v>
      </c>
      <c r="AB645" s="27" t="s">
        <v>7</v>
      </c>
      <c r="AC645" s="27" t="s">
        <v>8</v>
      </c>
      <c r="AD645" s="27" t="s">
        <v>7</v>
      </c>
      <c r="AE645" s="27" t="s">
        <v>8</v>
      </c>
      <c r="AF645" s="27" t="s">
        <v>7</v>
      </c>
      <c r="AG645" s="27" t="s">
        <v>8</v>
      </c>
      <c r="AH645" s="27" t="s">
        <v>7</v>
      </c>
      <c r="AJ645" s="27" t="s">
        <v>7</v>
      </c>
      <c r="AK645" s="27" t="s">
        <v>8</v>
      </c>
      <c r="AL645" s="27" t="s">
        <v>7</v>
      </c>
      <c r="AQ645" s="27" t="s">
        <v>8</v>
      </c>
      <c r="AR645" s="27" t="s">
        <v>7</v>
      </c>
      <c r="AU645" s="27" t="s">
        <v>8</v>
      </c>
      <c r="AV645" s="27" t="s">
        <v>7</v>
      </c>
      <c r="AW645" s="27" t="s">
        <v>8</v>
      </c>
      <c r="AX645" s="27" t="s">
        <v>7</v>
      </c>
      <c r="CA645" s="27" t="s">
        <v>8</v>
      </c>
      <c r="CB645" s="27" t="s">
        <v>7</v>
      </c>
      <c r="CC645" s="27" t="s">
        <v>8</v>
      </c>
      <c r="CH645" s="27" t="s">
        <v>7</v>
      </c>
      <c r="CI645" s="27" t="s">
        <v>8</v>
      </c>
      <c r="CL645" s="27" t="s">
        <v>7</v>
      </c>
      <c r="CM645" s="27" t="s">
        <v>8</v>
      </c>
      <c r="CN645" s="27" t="s">
        <v>7</v>
      </c>
      <c r="CO645" s="27" t="s">
        <v>8</v>
      </c>
      <c r="CV645" s="27" t="s">
        <v>7</v>
      </c>
      <c r="CW645" s="27" t="s">
        <v>8</v>
      </c>
      <c r="CX645" s="27" t="s">
        <v>7</v>
      </c>
      <c r="DA645" s="27" t="s">
        <v>8</v>
      </c>
      <c r="DB645" s="27" t="s">
        <v>7</v>
      </c>
      <c r="DC645" s="27" t="s">
        <v>8</v>
      </c>
      <c r="DD645" s="27" t="s">
        <v>7</v>
      </c>
      <c r="DE645" s="27" t="s">
        <v>8</v>
      </c>
      <c r="DF645" s="27" t="s">
        <v>7</v>
      </c>
      <c r="DK645" s="27" t="s">
        <v>8</v>
      </c>
      <c r="DL645" s="27" t="s">
        <v>7</v>
      </c>
      <c r="DM645" s="27" t="s">
        <v>8</v>
      </c>
    </row>
    <row r="646" spans="1:119" x14ac:dyDescent="0.25">
      <c r="A646" s="7">
        <v>0.31087791178825175</v>
      </c>
      <c r="B646"/>
      <c r="C646"/>
      <c r="D646"/>
      <c r="E646"/>
      <c r="Z646" s="27" t="s">
        <v>7</v>
      </c>
      <c r="AA646" s="27" t="s">
        <v>8</v>
      </c>
      <c r="AB646" s="27" t="s">
        <v>7</v>
      </c>
      <c r="AC646" s="27" t="s">
        <v>8</v>
      </c>
      <c r="AD646" s="27" t="s">
        <v>7</v>
      </c>
      <c r="AE646" s="27" t="s">
        <v>8</v>
      </c>
      <c r="AF646" s="27" t="s">
        <v>7</v>
      </c>
      <c r="AG646" s="27" t="s">
        <v>8</v>
      </c>
      <c r="AJ646" s="27" t="s">
        <v>7</v>
      </c>
      <c r="AK646" s="27" t="s">
        <v>8</v>
      </c>
      <c r="AL646" s="27" t="s">
        <v>7</v>
      </c>
      <c r="AM646" s="27" t="s">
        <v>8</v>
      </c>
      <c r="AQ646" s="27" t="s">
        <v>8</v>
      </c>
      <c r="AR646" s="27" t="s">
        <v>7</v>
      </c>
      <c r="AU646" s="27" t="s">
        <v>8</v>
      </c>
      <c r="AV646" s="27" t="s">
        <v>7</v>
      </c>
      <c r="AW646" s="27" t="s">
        <v>8</v>
      </c>
      <c r="AX646" s="27" t="s">
        <v>7</v>
      </c>
      <c r="BQ646" s="27" t="s">
        <v>8</v>
      </c>
      <c r="CA646" s="27" t="s">
        <v>8</v>
      </c>
      <c r="CB646" s="27" t="s">
        <v>7</v>
      </c>
      <c r="CC646" s="27" t="s">
        <v>8</v>
      </c>
      <c r="CH646" s="27" t="s">
        <v>7</v>
      </c>
      <c r="CI646" s="27" t="s">
        <v>8</v>
      </c>
      <c r="CL646" s="27" t="s">
        <v>7</v>
      </c>
      <c r="CM646" s="27" t="s">
        <v>8</v>
      </c>
      <c r="CN646" s="27" t="s">
        <v>7</v>
      </c>
      <c r="CV646" s="27" t="s">
        <v>7</v>
      </c>
      <c r="CW646" s="27" t="s">
        <v>8</v>
      </c>
      <c r="CX646" s="27" t="s">
        <v>7</v>
      </c>
      <c r="DA646" s="27" t="s">
        <v>8</v>
      </c>
      <c r="DB646" s="27" t="s">
        <v>7</v>
      </c>
      <c r="DC646" s="27" t="s">
        <v>8</v>
      </c>
      <c r="DD646" s="27" t="s">
        <v>7</v>
      </c>
      <c r="DE646" s="27" t="s">
        <v>8</v>
      </c>
      <c r="DF646" s="27" t="s">
        <v>7</v>
      </c>
      <c r="DK646" s="27" t="s">
        <v>8</v>
      </c>
      <c r="DL646" s="27" t="s">
        <v>7</v>
      </c>
      <c r="DM646" s="27" t="s">
        <v>8</v>
      </c>
    </row>
    <row r="647" spans="1:119" x14ac:dyDescent="0.25">
      <c r="A647" s="7">
        <v>0.30478226645907036</v>
      </c>
      <c r="B647"/>
      <c r="C647"/>
      <c r="D647"/>
      <c r="E647"/>
      <c r="Z647" s="27" t="s">
        <v>7</v>
      </c>
      <c r="AA647" s="27" t="s">
        <v>8</v>
      </c>
      <c r="AB647" s="27" t="s">
        <v>7</v>
      </c>
      <c r="AC647" s="27" t="s">
        <v>8</v>
      </c>
      <c r="AD647" s="27" t="s">
        <v>7</v>
      </c>
      <c r="AE647" s="27" t="s">
        <v>8</v>
      </c>
      <c r="AF647" s="27" t="s">
        <v>7</v>
      </c>
      <c r="AG647" s="27" t="s">
        <v>8</v>
      </c>
      <c r="AJ647" s="27" t="s">
        <v>7</v>
      </c>
      <c r="AL647" s="27" t="s">
        <v>7</v>
      </c>
      <c r="AM647" s="27" t="s">
        <v>8</v>
      </c>
      <c r="AN647" s="27" t="s">
        <v>7</v>
      </c>
      <c r="AQ647" s="27" t="s">
        <v>8</v>
      </c>
      <c r="AR647" s="27" t="s">
        <v>7</v>
      </c>
      <c r="AS647" s="27" t="s">
        <v>8</v>
      </c>
      <c r="AU647" s="27" t="s">
        <v>8</v>
      </c>
      <c r="AV647" s="27" t="s">
        <v>7</v>
      </c>
      <c r="AW647" s="27" t="s">
        <v>8</v>
      </c>
      <c r="AX647" s="27" t="s">
        <v>7</v>
      </c>
      <c r="BQ647" s="27" t="s">
        <v>8</v>
      </c>
      <c r="BR647" s="27" t="s">
        <v>7</v>
      </c>
      <c r="CA647" s="27" t="s">
        <v>8</v>
      </c>
      <c r="CB647" s="27" t="s">
        <v>7</v>
      </c>
      <c r="CC647" s="27" t="s">
        <v>8</v>
      </c>
      <c r="CH647" s="27" t="s">
        <v>7</v>
      </c>
      <c r="CI647" s="27" t="s">
        <v>8</v>
      </c>
      <c r="CL647" s="27" t="s">
        <v>7</v>
      </c>
      <c r="CM647" s="27" t="s">
        <v>8</v>
      </c>
      <c r="CV647" s="27" t="s">
        <v>7</v>
      </c>
      <c r="CW647" s="27" t="s">
        <v>8</v>
      </c>
      <c r="CX647" s="27" t="s">
        <v>7</v>
      </c>
      <c r="CY647" s="27" t="s">
        <v>8</v>
      </c>
      <c r="DA647" s="27" t="s">
        <v>8</v>
      </c>
      <c r="DB647" s="27" t="s">
        <v>7</v>
      </c>
      <c r="DC647" s="27" t="s">
        <v>8</v>
      </c>
      <c r="DD647" s="27" t="s">
        <v>7</v>
      </c>
      <c r="DE647" s="27" t="s">
        <v>8</v>
      </c>
      <c r="DF647" s="27" t="s">
        <v>7</v>
      </c>
      <c r="DK647" s="27" t="s">
        <v>8</v>
      </c>
      <c r="DL647" s="27" t="s">
        <v>7</v>
      </c>
      <c r="DM647" s="27" t="s">
        <v>8</v>
      </c>
    </row>
    <row r="648" spans="1:119" x14ac:dyDescent="0.25">
      <c r="A648" s="7">
        <v>0.29880614358732388</v>
      </c>
      <c r="B648"/>
      <c r="C648"/>
      <c r="D648"/>
      <c r="E648"/>
      <c r="Z648" s="27" t="s">
        <v>7</v>
      </c>
      <c r="AA648" s="27" t="s">
        <v>8</v>
      </c>
      <c r="AB648" s="27" t="s">
        <v>7</v>
      </c>
      <c r="AC648" s="27" t="s">
        <v>8</v>
      </c>
      <c r="AD648" s="27" t="s">
        <v>7</v>
      </c>
      <c r="AF648" s="27" t="s">
        <v>7</v>
      </c>
      <c r="AL648" s="27" t="s">
        <v>7</v>
      </c>
      <c r="AM648" s="27" t="s">
        <v>8</v>
      </c>
      <c r="AN648" s="27" t="s">
        <v>7</v>
      </c>
      <c r="AQ648" s="27" t="s">
        <v>8</v>
      </c>
      <c r="AR648" s="27" t="s">
        <v>7</v>
      </c>
      <c r="AS648" s="27" t="s">
        <v>8</v>
      </c>
      <c r="AT648" s="27" t="s">
        <v>7</v>
      </c>
      <c r="AU648" s="27" t="s">
        <v>8</v>
      </c>
      <c r="AV648" s="27" t="s">
        <v>7</v>
      </c>
      <c r="AW648" s="27" t="s">
        <v>8</v>
      </c>
      <c r="AX648" s="27" t="s">
        <v>7</v>
      </c>
      <c r="BQ648" s="27" t="s">
        <v>8</v>
      </c>
      <c r="BR648" s="27" t="s">
        <v>7</v>
      </c>
      <c r="CA648" s="27" t="s">
        <v>8</v>
      </c>
      <c r="CB648" s="27" t="s">
        <v>7</v>
      </c>
      <c r="CC648" s="27" t="s">
        <v>8</v>
      </c>
      <c r="CH648" s="27" t="s">
        <v>7</v>
      </c>
      <c r="CI648" s="27" t="s">
        <v>8</v>
      </c>
      <c r="CL648" s="27" t="s">
        <v>7</v>
      </c>
      <c r="CM648" s="27" t="s">
        <v>8</v>
      </c>
      <c r="CV648" s="27" t="s">
        <v>7</v>
      </c>
      <c r="CW648" s="27" t="s">
        <v>8</v>
      </c>
      <c r="CX648" s="27" t="s">
        <v>7</v>
      </c>
      <c r="CY648" s="27" t="s">
        <v>8</v>
      </c>
      <c r="CZ648" s="27" t="s">
        <v>7</v>
      </c>
      <c r="DA648" s="27" t="s">
        <v>8</v>
      </c>
      <c r="DB648" s="27" t="s">
        <v>7</v>
      </c>
      <c r="DC648" s="27" t="s">
        <v>8</v>
      </c>
      <c r="DD648" s="27" t="s">
        <v>7</v>
      </c>
      <c r="DF648" s="27" t="s">
        <v>7</v>
      </c>
      <c r="DG648" s="27" t="s">
        <v>8</v>
      </c>
      <c r="DK648" s="27" t="s">
        <v>8</v>
      </c>
      <c r="DL648" s="27" t="s">
        <v>7</v>
      </c>
    </row>
    <row r="649" spans="1:119" x14ac:dyDescent="0.25">
      <c r="A649" s="7">
        <v>0.2929471995954156</v>
      </c>
      <c r="B649"/>
      <c r="C649"/>
      <c r="D649"/>
      <c r="E649"/>
      <c r="Z649" s="27" t="s">
        <v>7</v>
      </c>
      <c r="AB649" s="27" t="s">
        <v>7</v>
      </c>
      <c r="AC649" s="27" t="s">
        <v>8</v>
      </c>
      <c r="AL649" s="27" t="s">
        <v>7</v>
      </c>
      <c r="AN649" s="27" t="s">
        <v>7</v>
      </c>
      <c r="AQ649" s="27" t="s">
        <v>8</v>
      </c>
      <c r="AR649" s="27" t="s">
        <v>7</v>
      </c>
      <c r="AS649" s="27" t="s">
        <v>8</v>
      </c>
      <c r="AT649" s="27" t="s">
        <v>7</v>
      </c>
      <c r="AU649" s="27" t="s">
        <v>8</v>
      </c>
      <c r="AV649" s="27" t="s">
        <v>7</v>
      </c>
      <c r="AW649" s="27" t="s">
        <v>8</v>
      </c>
      <c r="AX649" s="27" t="s">
        <v>7</v>
      </c>
      <c r="BQ649" s="27" t="s">
        <v>8</v>
      </c>
      <c r="BR649" s="27" t="s">
        <v>7</v>
      </c>
      <c r="CA649" s="27" t="s">
        <v>8</v>
      </c>
      <c r="CB649" s="27" t="s">
        <v>7</v>
      </c>
      <c r="CC649" s="27" t="s">
        <v>8</v>
      </c>
      <c r="CH649" s="27" t="s">
        <v>7</v>
      </c>
      <c r="CI649" s="27" t="s">
        <v>8</v>
      </c>
      <c r="CL649" s="27" t="s">
        <v>7</v>
      </c>
      <c r="CM649" s="27" t="s">
        <v>8</v>
      </c>
      <c r="CV649" s="27" t="s">
        <v>7</v>
      </c>
      <c r="CW649" s="27" t="s">
        <v>8</v>
      </c>
      <c r="CX649" s="27" t="s">
        <v>7</v>
      </c>
      <c r="CY649" s="27" t="s">
        <v>8</v>
      </c>
      <c r="CZ649" s="27" t="s">
        <v>7</v>
      </c>
      <c r="DA649" s="27" t="s">
        <v>8</v>
      </c>
      <c r="DB649" s="27" t="s">
        <v>7</v>
      </c>
      <c r="DF649" s="27" t="s">
        <v>7</v>
      </c>
      <c r="DG649" s="27" t="s">
        <v>8</v>
      </c>
      <c r="DH649" s="27" t="s">
        <v>7</v>
      </c>
      <c r="DI649" s="27" t="s">
        <v>8</v>
      </c>
      <c r="DK649" s="27" t="s">
        <v>8</v>
      </c>
    </row>
    <row r="650" spans="1:119" x14ac:dyDescent="0.25">
      <c r="A650" s="7">
        <v>0.28720313685825055</v>
      </c>
      <c r="B650"/>
      <c r="C650"/>
      <c r="D650"/>
      <c r="E650"/>
      <c r="AB650" s="27" t="s">
        <v>7</v>
      </c>
      <c r="AC650" s="27" t="s">
        <v>8</v>
      </c>
      <c r="AN650" s="27" t="s">
        <v>7</v>
      </c>
      <c r="AQ650" s="27" t="s">
        <v>8</v>
      </c>
      <c r="AR650" s="27" t="s">
        <v>7</v>
      </c>
      <c r="AS650" s="27" t="s">
        <v>8</v>
      </c>
      <c r="AT650" s="27" t="s">
        <v>7</v>
      </c>
      <c r="AU650" s="27" t="s">
        <v>8</v>
      </c>
      <c r="AV650" s="27" t="s">
        <v>7</v>
      </c>
      <c r="AW650" s="27" t="s">
        <v>8</v>
      </c>
      <c r="AX650" s="27" t="s">
        <v>7</v>
      </c>
      <c r="AY650" s="27" t="s">
        <v>8</v>
      </c>
      <c r="BQ650" s="27" t="s">
        <v>8</v>
      </c>
      <c r="BR650" s="27" t="s">
        <v>7</v>
      </c>
      <c r="CA650" s="27" t="s">
        <v>8</v>
      </c>
      <c r="CB650" s="27" t="s">
        <v>7</v>
      </c>
      <c r="CC650" s="27" t="s">
        <v>8</v>
      </c>
      <c r="CH650" s="27" t="s">
        <v>7</v>
      </c>
      <c r="CI650" s="27" t="s">
        <v>8</v>
      </c>
      <c r="CL650" s="27" t="s">
        <v>7</v>
      </c>
      <c r="CM650" s="27" t="s">
        <v>8</v>
      </c>
      <c r="CV650" s="27" t="s">
        <v>7</v>
      </c>
      <c r="CW650" s="27" t="s">
        <v>8</v>
      </c>
      <c r="CX650" s="27" t="s">
        <v>7</v>
      </c>
      <c r="CY650" s="27" t="s">
        <v>8</v>
      </c>
      <c r="CZ650" s="27" t="s">
        <v>7</v>
      </c>
      <c r="DA650" s="27" t="s">
        <v>8</v>
      </c>
      <c r="DF650" s="27" t="s">
        <v>7</v>
      </c>
      <c r="DG650" s="27" t="s">
        <v>8</v>
      </c>
      <c r="DH650" s="27" t="s">
        <v>7</v>
      </c>
      <c r="DI650" s="27" t="s">
        <v>8</v>
      </c>
      <c r="DJ650" s="27" t="s">
        <v>7</v>
      </c>
      <c r="DK650" s="27" t="s">
        <v>8</v>
      </c>
    </row>
    <row r="651" spans="1:119" x14ac:dyDescent="0.25">
      <c r="A651" s="7">
        <v>0.28157170280220645</v>
      </c>
      <c r="B651"/>
      <c r="C651"/>
      <c r="D651"/>
      <c r="E651"/>
      <c r="AB651" s="27" t="s">
        <v>7</v>
      </c>
      <c r="AC651" s="27" t="s">
        <v>8</v>
      </c>
      <c r="AN651" s="27" t="s">
        <v>7</v>
      </c>
      <c r="AQ651" s="27" t="s">
        <v>8</v>
      </c>
      <c r="AR651" s="27" t="s">
        <v>7</v>
      </c>
      <c r="AT651" s="27" t="s">
        <v>7</v>
      </c>
      <c r="AU651" s="27" t="s">
        <v>8</v>
      </c>
      <c r="AV651" s="27" t="s">
        <v>7</v>
      </c>
      <c r="AW651" s="27" t="s">
        <v>8</v>
      </c>
      <c r="AX651" s="27" t="s">
        <v>7</v>
      </c>
      <c r="AY651" s="27" t="s">
        <v>8</v>
      </c>
      <c r="AZ651" s="27" t="s">
        <v>7</v>
      </c>
      <c r="BQ651" s="27" t="s">
        <v>8</v>
      </c>
      <c r="BR651" s="27" t="s">
        <v>7</v>
      </c>
      <c r="CA651" s="27" t="s">
        <v>8</v>
      </c>
      <c r="CB651" s="27" t="s">
        <v>7</v>
      </c>
      <c r="CH651" s="27" t="s">
        <v>7</v>
      </c>
      <c r="CI651" s="27" t="s">
        <v>8</v>
      </c>
      <c r="CL651" s="27" t="s">
        <v>7</v>
      </c>
      <c r="CM651" s="27" t="s">
        <v>8</v>
      </c>
      <c r="CV651" s="27" t="s">
        <v>7</v>
      </c>
      <c r="CW651" s="27" t="s">
        <v>8</v>
      </c>
      <c r="CX651" s="27" t="s">
        <v>7</v>
      </c>
      <c r="CY651" s="27" t="s">
        <v>8</v>
      </c>
      <c r="CZ651" s="27" t="s">
        <v>7</v>
      </c>
      <c r="DA651" s="27" t="s">
        <v>8</v>
      </c>
      <c r="DF651" s="27" t="s">
        <v>7</v>
      </c>
      <c r="DG651" s="27" t="s">
        <v>8</v>
      </c>
      <c r="DH651" s="27" t="s">
        <v>7</v>
      </c>
      <c r="DI651" s="27" t="s">
        <v>8</v>
      </c>
      <c r="DJ651" s="27" t="s">
        <v>7</v>
      </c>
      <c r="DK651" s="27" t="s">
        <v>8</v>
      </c>
    </row>
    <row r="652" spans="1:119" x14ac:dyDescent="0.25">
      <c r="A652" s="7">
        <v>0.27605068902177105</v>
      </c>
      <c r="B652"/>
      <c r="C652"/>
      <c r="D652"/>
      <c r="E652"/>
      <c r="AB652" s="27" t="s">
        <v>7</v>
      </c>
      <c r="AN652" s="27" t="s">
        <v>7</v>
      </c>
      <c r="AQ652" s="27" t="s">
        <v>8</v>
      </c>
      <c r="AT652" s="27" t="s">
        <v>7</v>
      </c>
      <c r="AU652" s="27" t="s">
        <v>8</v>
      </c>
      <c r="AV652" s="27" t="s">
        <v>7</v>
      </c>
      <c r="AW652" s="27" t="s">
        <v>8</v>
      </c>
      <c r="AX652" s="27" t="s">
        <v>7</v>
      </c>
      <c r="AY652" s="27" t="s">
        <v>8</v>
      </c>
      <c r="AZ652" s="27" t="s">
        <v>7</v>
      </c>
      <c r="BQ652" s="27" t="s">
        <v>8</v>
      </c>
      <c r="BR652" s="27" t="s">
        <v>7</v>
      </c>
      <c r="BY652" s="27" t="s">
        <v>8</v>
      </c>
      <c r="CA652" s="27" t="s">
        <v>8</v>
      </c>
      <c r="CH652" s="27" t="s">
        <v>7</v>
      </c>
      <c r="CL652" s="27" t="s">
        <v>7</v>
      </c>
      <c r="CM652" s="27" t="s">
        <v>8</v>
      </c>
      <c r="CV652" s="27" t="s">
        <v>7</v>
      </c>
      <c r="CW652" s="27" t="s">
        <v>8</v>
      </c>
      <c r="CX652" s="27" t="s">
        <v>7</v>
      </c>
      <c r="CY652" s="27" t="s">
        <v>8</v>
      </c>
      <c r="CZ652" s="27" t="s">
        <v>7</v>
      </c>
      <c r="DA652" s="27" t="s">
        <v>8</v>
      </c>
      <c r="DF652" s="27" t="s">
        <v>7</v>
      </c>
      <c r="DG652" s="27" t="s">
        <v>8</v>
      </c>
      <c r="DH652" s="27" t="s">
        <v>7</v>
      </c>
      <c r="DI652" s="27" t="s">
        <v>8</v>
      </c>
      <c r="DJ652" s="27" t="s">
        <v>7</v>
      </c>
      <c r="DK652" s="27" t="s">
        <v>8</v>
      </c>
    </row>
    <row r="653" spans="1:119" x14ac:dyDescent="0.25">
      <c r="A653" s="7">
        <v>0.27063793041350104</v>
      </c>
      <c r="B653"/>
      <c r="C653"/>
      <c r="D653"/>
      <c r="E653"/>
      <c r="AN653" s="27" t="s">
        <v>7</v>
      </c>
      <c r="AQ653" s="27" t="s">
        <v>8</v>
      </c>
      <c r="AT653" s="27" t="s">
        <v>7</v>
      </c>
      <c r="AU653" s="27" t="s">
        <v>8</v>
      </c>
      <c r="AV653" s="27" t="s">
        <v>7</v>
      </c>
      <c r="AW653" s="27" t="s">
        <v>8</v>
      </c>
      <c r="AX653" s="27" t="s">
        <v>7</v>
      </c>
      <c r="AZ653" s="27" t="s">
        <v>7</v>
      </c>
      <c r="BQ653" s="27" t="s">
        <v>8</v>
      </c>
      <c r="BR653" s="27" t="s">
        <v>7</v>
      </c>
      <c r="BY653" s="27" t="s">
        <v>8</v>
      </c>
      <c r="BZ653" s="27" t="s">
        <v>7</v>
      </c>
      <c r="CA653" s="27" t="s">
        <v>8</v>
      </c>
      <c r="CL653" s="27" t="s">
        <v>7</v>
      </c>
      <c r="CM653" s="27" t="s">
        <v>8</v>
      </c>
      <c r="CV653" s="27" t="s">
        <v>7</v>
      </c>
      <c r="CW653" s="27" t="s">
        <v>8</v>
      </c>
      <c r="CX653" s="27" t="s">
        <v>7</v>
      </c>
      <c r="CY653" s="27" t="s">
        <v>8</v>
      </c>
      <c r="CZ653" s="27" t="s">
        <v>7</v>
      </c>
      <c r="DA653" s="27" t="s">
        <v>8</v>
      </c>
      <c r="DF653" s="27" t="s">
        <v>7</v>
      </c>
      <c r="DG653" s="27" t="s">
        <v>8</v>
      </c>
      <c r="DH653" s="27" t="s">
        <v>7</v>
      </c>
      <c r="DI653" s="27" t="s">
        <v>8</v>
      </c>
      <c r="DJ653" s="27" t="s">
        <v>7</v>
      </c>
    </row>
    <row r="654" spans="1:119" x14ac:dyDescent="0.25">
      <c r="A654" s="7">
        <v>0.26533130432696184</v>
      </c>
      <c r="B654"/>
      <c r="C654"/>
      <c r="D654"/>
      <c r="E654"/>
      <c r="AN654" s="27" t="s">
        <v>7</v>
      </c>
      <c r="AQ654" s="27" t="s">
        <v>8</v>
      </c>
      <c r="AT654" s="27" t="s">
        <v>7</v>
      </c>
      <c r="AU654" s="27" t="s">
        <v>8</v>
      </c>
      <c r="AV654" s="27" t="s">
        <v>7</v>
      </c>
      <c r="AZ654" s="27" t="s">
        <v>7</v>
      </c>
      <c r="BA654" s="27" t="s">
        <v>8</v>
      </c>
      <c r="BC654" s="27" t="s">
        <v>8</v>
      </c>
      <c r="BO654" s="27" t="s">
        <v>8</v>
      </c>
      <c r="BQ654" s="27" t="s">
        <v>8</v>
      </c>
      <c r="BR654" s="27" t="s">
        <v>7</v>
      </c>
      <c r="BU654" s="27" t="s">
        <v>8</v>
      </c>
      <c r="BY654" s="27" t="s">
        <v>8</v>
      </c>
      <c r="BZ654" s="27" t="s">
        <v>7</v>
      </c>
      <c r="CA654" s="27" t="s">
        <v>8</v>
      </c>
      <c r="CL654" s="27" t="s">
        <v>7</v>
      </c>
      <c r="CM654" s="27" t="s">
        <v>8</v>
      </c>
      <c r="CV654" s="27" t="s">
        <v>7</v>
      </c>
      <c r="CW654" s="27" t="s">
        <v>8</v>
      </c>
      <c r="CX654" s="27" t="s">
        <v>7</v>
      </c>
      <c r="CY654" s="27" t="s">
        <v>8</v>
      </c>
      <c r="CZ654" s="27" t="s">
        <v>7</v>
      </c>
      <c r="DA654" s="27" t="s">
        <v>8</v>
      </c>
      <c r="DF654" s="27" t="s">
        <v>7</v>
      </c>
      <c r="DG654" s="27" t="s">
        <v>8</v>
      </c>
      <c r="DH654" s="27" t="s">
        <v>7</v>
      </c>
    </row>
    <row r="655" spans="1:119" x14ac:dyDescent="0.25">
      <c r="A655" s="7">
        <v>0.26012872973231554</v>
      </c>
      <c r="B655"/>
      <c r="C655"/>
      <c r="D655"/>
      <c r="E655"/>
      <c r="AN655" s="27" t="s">
        <v>7</v>
      </c>
      <c r="AQ655" s="27" t="s">
        <v>8</v>
      </c>
      <c r="AT655" s="27" t="s">
        <v>7</v>
      </c>
      <c r="AU655" s="27" t="s">
        <v>8</v>
      </c>
      <c r="AZ655" s="27" t="s">
        <v>7</v>
      </c>
      <c r="BA655" s="27" t="s">
        <v>8</v>
      </c>
      <c r="BB655" s="27" t="s">
        <v>7</v>
      </c>
      <c r="BC655" s="27" t="s">
        <v>8</v>
      </c>
      <c r="BD655" s="27" t="s">
        <v>7</v>
      </c>
      <c r="BE655" s="27" t="s">
        <v>8</v>
      </c>
      <c r="BO655" s="27" t="s">
        <v>8</v>
      </c>
      <c r="BP655" s="27" t="s">
        <v>7</v>
      </c>
      <c r="BQ655" s="27" t="s">
        <v>8</v>
      </c>
      <c r="BR655" s="27" t="s">
        <v>7</v>
      </c>
      <c r="BU655" s="27" t="s">
        <v>8</v>
      </c>
      <c r="BV655" s="27" t="s">
        <v>7</v>
      </c>
      <c r="BW655" s="27" t="s">
        <v>8</v>
      </c>
      <c r="BY655" s="27" t="s">
        <v>8</v>
      </c>
      <c r="BZ655" s="27" t="s">
        <v>7</v>
      </c>
      <c r="CA655" s="27" t="s">
        <v>8</v>
      </c>
      <c r="CL655" s="27" t="s">
        <v>7</v>
      </c>
      <c r="CM655" s="27" t="s">
        <v>8</v>
      </c>
      <c r="CV655" s="27" t="s">
        <v>7</v>
      </c>
      <c r="CW655" s="27" t="s">
        <v>8</v>
      </c>
      <c r="CX655" s="27" t="s">
        <v>7</v>
      </c>
      <c r="CY655" s="27" t="s">
        <v>8</v>
      </c>
      <c r="CZ655" s="27" t="s">
        <v>7</v>
      </c>
      <c r="DA655" s="27" t="s">
        <v>8</v>
      </c>
      <c r="DF655" s="27" t="s">
        <v>7</v>
      </c>
    </row>
    <row r="656" spans="1:119" x14ac:dyDescent="0.25">
      <c r="A656" s="7">
        <v>0.25502816640423093</v>
      </c>
      <c r="B656"/>
      <c r="C656"/>
      <c r="D656"/>
      <c r="E656"/>
      <c r="AN656" s="27" t="s">
        <v>7</v>
      </c>
      <c r="AQ656" s="27" t="s">
        <v>8</v>
      </c>
      <c r="AT656" s="27" t="s">
        <v>7</v>
      </c>
      <c r="AZ656" s="27" t="s">
        <v>7</v>
      </c>
      <c r="BA656" s="27" t="s">
        <v>8</v>
      </c>
      <c r="BB656" s="27" t="s">
        <v>7</v>
      </c>
      <c r="BC656" s="27" t="s">
        <v>8</v>
      </c>
      <c r="BD656" s="27" t="s">
        <v>7</v>
      </c>
      <c r="BE656" s="27" t="s">
        <v>8</v>
      </c>
      <c r="BF656" s="27" t="s">
        <v>7</v>
      </c>
      <c r="BG656" s="27" t="s">
        <v>8</v>
      </c>
      <c r="BO656" s="27" t="s">
        <v>8</v>
      </c>
      <c r="BP656" s="27" t="s">
        <v>7</v>
      </c>
      <c r="BQ656" s="27" t="s">
        <v>8</v>
      </c>
      <c r="BR656" s="27" t="s">
        <v>7</v>
      </c>
      <c r="BS656" s="27" t="s">
        <v>8</v>
      </c>
      <c r="BU656" s="27" t="s">
        <v>8</v>
      </c>
      <c r="BV656" s="27" t="s">
        <v>7</v>
      </c>
      <c r="BW656" s="27" t="s">
        <v>8</v>
      </c>
      <c r="BX656" s="27" t="s">
        <v>7</v>
      </c>
      <c r="BY656" s="27" t="s">
        <v>8</v>
      </c>
      <c r="BZ656" s="27" t="s">
        <v>7</v>
      </c>
      <c r="CL656" s="27" t="s">
        <v>7</v>
      </c>
      <c r="CM656" s="27" t="s">
        <v>8</v>
      </c>
      <c r="CV656" s="27" t="s">
        <v>7</v>
      </c>
      <c r="CW656" s="27" t="s">
        <v>8</v>
      </c>
      <c r="CX656" s="27" t="s">
        <v>7</v>
      </c>
      <c r="CY656" s="27" t="s">
        <v>8</v>
      </c>
      <c r="CZ656" s="27" t="s">
        <v>7</v>
      </c>
      <c r="DA656" s="27" t="s">
        <v>8</v>
      </c>
    </row>
    <row r="657" spans="1:105" x14ac:dyDescent="0.25">
      <c r="A657" s="7">
        <v>0.25002761412179503</v>
      </c>
      <c r="B657"/>
      <c r="C657"/>
      <c r="D657"/>
      <c r="E657"/>
      <c r="AN657" s="27" t="s">
        <v>7</v>
      </c>
      <c r="AO657" s="27" t="s">
        <v>8</v>
      </c>
      <c r="AQ657" s="27" t="s">
        <v>8</v>
      </c>
      <c r="AZ657" s="27" t="s">
        <v>7</v>
      </c>
      <c r="BA657" s="27" t="s">
        <v>8</v>
      </c>
      <c r="BB657" s="27" t="s">
        <v>7</v>
      </c>
      <c r="BC657" s="27" t="s">
        <v>8</v>
      </c>
      <c r="BD657" s="27" t="s">
        <v>7</v>
      </c>
      <c r="BE657" s="27" t="s">
        <v>8</v>
      </c>
      <c r="BF657" s="27" t="s">
        <v>7</v>
      </c>
      <c r="BG657" s="27" t="s">
        <v>8</v>
      </c>
      <c r="BH657" s="27" t="s">
        <v>7</v>
      </c>
      <c r="BO657" s="27" t="s">
        <v>8</v>
      </c>
      <c r="BP657" s="27" t="s">
        <v>7</v>
      </c>
      <c r="BQ657" s="27" t="s">
        <v>8</v>
      </c>
      <c r="BR657" s="27" t="s">
        <v>7</v>
      </c>
      <c r="BS657" s="27" t="s">
        <v>8</v>
      </c>
      <c r="BT657" s="27" t="s">
        <v>7</v>
      </c>
      <c r="BU657" s="27" t="s">
        <v>8</v>
      </c>
      <c r="BV657" s="27" t="s">
        <v>7</v>
      </c>
      <c r="BW657" s="27" t="s">
        <v>8</v>
      </c>
      <c r="BX657" s="27" t="s">
        <v>7</v>
      </c>
      <c r="BY657" s="27" t="s">
        <v>8</v>
      </c>
      <c r="CL657" s="27" t="s">
        <v>7</v>
      </c>
      <c r="CV657" s="27" t="s">
        <v>7</v>
      </c>
      <c r="CW657" s="27" t="s">
        <v>8</v>
      </c>
      <c r="CX657" s="27" t="s">
        <v>7</v>
      </c>
      <c r="CY657" s="27" t="s">
        <v>8</v>
      </c>
      <c r="CZ657" s="27" t="s">
        <v>7</v>
      </c>
      <c r="DA657" s="27" t="s">
        <v>8</v>
      </c>
    </row>
    <row r="658" spans="1:105" x14ac:dyDescent="0.25">
      <c r="A658" s="7">
        <v>0.24512511188411276</v>
      </c>
      <c r="B658"/>
      <c r="C658"/>
      <c r="D658"/>
      <c r="E658"/>
      <c r="AN658" s="27" t="s">
        <v>7</v>
      </c>
      <c r="AO658" s="27" t="s">
        <v>8</v>
      </c>
      <c r="AP658" s="27" t="s">
        <v>7</v>
      </c>
      <c r="AQ658" s="27" t="s">
        <v>8</v>
      </c>
      <c r="AZ658" s="27" t="s">
        <v>7</v>
      </c>
      <c r="BA658" s="27" t="s">
        <v>8</v>
      </c>
      <c r="BB658" s="27" t="s">
        <v>7</v>
      </c>
      <c r="BD658" s="27" t="s">
        <v>7</v>
      </c>
      <c r="BF658" s="27" t="s">
        <v>7</v>
      </c>
      <c r="BG658" s="27" t="s">
        <v>8</v>
      </c>
      <c r="BH658" s="27" t="s">
        <v>7</v>
      </c>
      <c r="BK658" s="27" t="s">
        <v>8</v>
      </c>
      <c r="BO658" s="27" t="s">
        <v>8</v>
      </c>
      <c r="BP658" s="27" t="s">
        <v>7</v>
      </c>
      <c r="BQ658" s="27" t="s">
        <v>8</v>
      </c>
      <c r="BR658" s="27" t="s">
        <v>7</v>
      </c>
      <c r="BS658" s="27" t="s">
        <v>8</v>
      </c>
      <c r="BT658" s="27" t="s">
        <v>7</v>
      </c>
      <c r="BU658" s="27" t="s">
        <v>8</v>
      </c>
      <c r="BV658" s="27" t="s">
        <v>7</v>
      </c>
      <c r="BW658" s="27" t="s">
        <v>8</v>
      </c>
      <c r="BX658" s="27" t="s">
        <v>7</v>
      </c>
      <c r="CV658" s="27" t="s">
        <v>7</v>
      </c>
      <c r="CW658" s="27" t="s">
        <v>8</v>
      </c>
      <c r="CX658" s="27" t="s">
        <v>7</v>
      </c>
      <c r="CY658" s="27" t="s">
        <v>8</v>
      </c>
      <c r="CZ658" s="27" t="s">
        <v>7</v>
      </c>
    </row>
    <row r="659" spans="1:105" x14ac:dyDescent="0.25">
      <c r="A659" s="7">
        <v>0.24031873714128701</v>
      </c>
      <c r="B659"/>
      <c r="C659"/>
      <c r="D659"/>
      <c r="E659"/>
      <c r="AN659" s="27" t="s">
        <v>7</v>
      </c>
      <c r="AO659" s="27" t="s">
        <v>8</v>
      </c>
      <c r="AP659" s="27" t="s">
        <v>7</v>
      </c>
      <c r="AQ659" s="27" t="s">
        <v>8</v>
      </c>
      <c r="AZ659" s="27" t="s">
        <v>7</v>
      </c>
      <c r="BA659" s="27" t="s">
        <v>8</v>
      </c>
      <c r="BF659" s="27" t="s">
        <v>7</v>
      </c>
      <c r="BH659" s="27" t="s">
        <v>7</v>
      </c>
      <c r="BI659" s="27" t="s">
        <v>8</v>
      </c>
      <c r="BK659" s="27" t="s">
        <v>8</v>
      </c>
      <c r="BL659" s="27" t="s">
        <v>7</v>
      </c>
      <c r="BM659" s="27" t="s">
        <v>8</v>
      </c>
      <c r="BO659" s="27" t="s">
        <v>8</v>
      </c>
      <c r="BP659" s="27" t="s">
        <v>7</v>
      </c>
      <c r="BQ659" s="27" t="s">
        <v>8</v>
      </c>
      <c r="BR659" s="27" t="s">
        <v>7</v>
      </c>
      <c r="BS659" s="27" t="s">
        <v>8</v>
      </c>
      <c r="BT659" s="27" t="s">
        <v>7</v>
      </c>
      <c r="BU659" s="27" t="s">
        <v>8</v>
      </c>
      <c r="BV659" s="27" t="s">
        <v>7</v>
      </c>
      <c r="BW659" s="27" t="s">
        <v>8</v>
      </c>
      <c r="CV659" s="27" t="s">
        <v>7</v>
      </c>
      <c r="CW659" s="27" t="s">
        <v>8</v>
      </c>
      <c r="CX659" s="27" t="s">
        <v>7</v>
      </c>
      <c r="CY659" s="27" t="s">
        <v>8</v>
      </c>
    </row>
    <row r="660" spans="1:105" x14ac:dyDescent="0.25">
      <c r="A660" s="7">
        <v>0.23560660504047748</v>
      </c>
      <c r="B660"/>
      <c r="C660"/>
      <c r="D660"/>
      <c r="E660"/>
      <c r="AN660" s="27" t="s">
        <v>7</v>
      </c>
      <c r="AO660" s="27" t="s">
        <v>8</v>
      </c>
      <c r="AP660" s="27" t="s">
        <v>7</v>
      </c>
      <c r="AQ660" s="27" t="s">
        <v>8</v>
      </c>
      <c r="AZ660" s="27" t="s">
        <v>7</v>
      </c>
      <c r="BA660" s="27" t="s">
        <v>8</v>
      </c>
      <c r="BH660" s="27" t="s">
        <v>7</v>
      </c>
      <c r="BI660" s="27" t="s">
        <v>8</v>
      </c>
      <c r="BJ660" s="27" t="s">
        <v>7</v>
      </c>
      <c r="BK660" s="27" t="s">
        <v>8</v>
      </c>
      <c r="BL660" s="27" t="s">
        <v>7</v>
      </c>
      <c r="BM660" s="27" t="s">
        <v>8</v>
      </c>
      <c r="BN660" s="27" t="s">
        <v>7</v>
      </c>
      <c r="BO660" s="27" t="s">
        <v>8</v>
      </c>
      <c r="BP660" s="27" t="s">
        <v>7</v>
      </c>
      <c r="BQ660" s="27" t="s">
        <v>8</v>
      </c>
      <c r="BR660" s="27" t="s">
        <v>7</v>
      </c>
      <c r="BS660" s="27" t="s">
        <v>8</v>
      </c>
      <c r="BT660" s="27" t="s">
        <v>7</v>
      </c>
      <c r="BU660" s="27" t="s">
        <v>8</v>
      </c>
      <c r="BV660" s="27" t="s">
        <v>7</v>
      </c>
      <c r="BW660" s="27" t="s">
        <v>8</v>
      </c>
      <c r="CV660" s="27" t="s">
        <v>7</v>
      </c>
      <c r="CW660" s="27" t="s">
        <v>8</v>
      </c>
      <c r="CX660" s="27" t="s">
        <v>7</v>
      </c>
      <c r="CY660" s="27" t="s">
        <v>8</v>
      </c>
    </row>
    <row r="661" spans="1:105" x14ac:dyDescent="0.25">
      <c r="A661" s="7">
        <v>0.23098686768674265</v>
      </c>
      <c r="B661"/>
      <c r="C661"/>
      <c r="D661"/>
      <c r="E661"/>
      <c r="AN661" s="27" t="s">
        <v>7</v>
      </c>
      <c r="AO661" s="27" t="s">
        <v>8</v>
      </c>
      <c r="AP661" s="27" t="s">
        <v>7</v>
      </c>
      <c r="AQ661" s="27" t="s">
        <v>8</v>
      </c>
      <c r="AZ661" s="27" t="s">
        <v>7</v>
      </c>
      <c r="BA661" s="27" t="s">
        <v>8</v>
      </c>
      <c r="BH661" s="27" t="s">
        <v>7</v>
      </c>
      <c r="BI661" s="27" t="s">
        <v>8</v>
      </c>
      <c r="BJ661" s="27" t="s">
        <v>7</v>
      </c>
      <c r="BK661" s="27" t="s">
        <v>8</v>
      </c>
      <c r="BL661" s="27" t="s">
        <v>7</v>
      </c>
      <c r="BM661" s="27" t="s">
        <v>8</v>
      </c>
      <c r="BN661" s="27" t="s">
        <v>7</v>
      </c>
      <c r="BO661" s="27" t="s">
        <v>8</v>
      </c>
      <c r="BP661" s="27" t="s">
        <v>7</v>
      </c>
      <c r="BR661" s="27" t="s">
        <v>7</v>
      </c>
      <c r="BT661" s="27" t="s">
        <v>7</v>
      </c>
      <c r="BU661" s="27" t="s">
        <v>8</v>
      </c>
      <c r="BV661" s="27" t="s">
        <v>7</v>
      </c>
      <c r="CV661" s="27" t="s">
        <v>7</v>
      </c>
      <c r="CW661" s="27" t="s">
        <v>8</v>
      </c>
      <c r="CX661" s="27" t="s">
        <v>7</v>
      </c>
      <c r="CY661" s="27" t="s">
        <v>8</v>
      </c>
    </row>
    <row r="662" spans="1:105" x14ac:dyDescent="0.25">
      <c r="A662" s="7">
        <v>0.22645771341837515</v>
      </c>
      <c r="B662"/>
      <c r="C662"/>
      <c r="D662"/>
      <c r="E662"/>
      <c r="AN662" s="27" t="s">
        <v>7</v>
      </c>
      <c r="AP662" s="27" t="s">
        <v>7</v>
      </c>
      <c r="AQ662" s="27" t="s">
        <v>8</v>
      </c>
      <c r="AZ662" s="27" t="s">
        <v>7</v>
      </c>
      <c r="BH662" s="27" t="s">
        <v>7</v>
      </c>
      <c r="BI662" s="27" t="s">
        <v>8</v>
      </c>
      <c r="BJ662" s="27" t="s">
        <v>7</v>
      </c>
      <c r="BK662" s="27" t="s">
        <v>8</v>
      </c>
      <c r="BL662" s="27" t="s">
        <v>7</v>
      </c>
      <c r="BM662" s="27" t="s">
        <v>8</v>
      </c>
      <c r="BN662" s="27" t="s">
        <v>7</v>
      </c>
      <c r="BO662" s="27" t="s">
        <v>8</v>
      </c>
      <c r="BT662" s="27" t="s">
        <v>7</v>
      </c>
      <c r="CV662" s="27" t="s">
        <v>7</v>
      </c>
      <c r="CW662" s="27" t="s">
        <v>8</v>
      </c>
      <c r="CX662" s="27" t="s">
        <v>7</v>
      </c>
      <c r="CY662" s="27" t="s">
        <v>8</v>
      </c>
    </row>
    <row r="663" spans="1:105" x14ac:dyDescent="0.25">
      <c r="A663" s="7">
        <v>0.22201736609644623</v>
      </c>
      <c r="B663"/>
      <c r="C663"/>
      <c r="D663"/>
      <c r="E663"/>
      <c r="AP663" s="27" t="s">
        <v>7</v>
      </c>
      <c r="AQ663" s="27" t="s">
        <v>8</v>
      </c>
      <c r="BH663" s="27" t="s">
        <v>7</v>
      </c>
      <c r="BJ663" s="27" t="s">
        <v>7</v>
      </c>
      <c r="BK663" s="27" t="s">
        <v>8</v>
      </c>
      <c r="BL663" s="27" t="s">
        <v>7</v>
      </c>
      <c r="BN663" s="27" t="s">
        <v>7</v>
      </c>
      <c r="CV663" s="27" t="s">
        <v>7</v>
      </c>
      <c r="CW663" s="27" t="s">
        <v>8</v>
      </c>
      <c r="CX663" s="27" t="s">
        <v>7</v>
      </c>
      <c r="CY663" s="27" t="s">
        <v>8</v>
      </c>
    </row>
    <row r="664" spans="1:105" x14ac:dyDescent="0.25">
      <c r="A664" s="7">
        <v>0.21766408440828061</v>
      </c>
      <c r="B664"/>
      <c r="C664"/>
      <c r="D664"/>
      <c r="E664"/>
      <c r="AP664" s="27" t="s">
        <v>7</v>
      </c>
      <c r="AQ664" s="27" t="s">
        <v>8</v>
      </c>
      <c r="BJ664" s="27" t="s">
        <v>7</v>
      </c>
      <c r="BK664" s="27" t="s">
        <v>8</v>
      </c>
      <c r="CV664" s="27" t="s">
        <v>7</v>
      </c>
      <c r="CW664" s="27" t="s">
        <v>8</v>
      </c>
      <c r="CX664" s="27" t="s">
        <v>7</v>
      </c>
      <c r="CY664" s="27" t="s">
        <v>8</v>
      </c>
    </row>
    <row r="665" spans="1:105" x14ac:dyDescent="0.25">
      <c r="A665" s="7">
        <v>0.21339616118458882</v>
      </c>
      <c r="B665"/>
      <c r="C665"/>
      <c r="D665"/>
      <c r="E665"/>
      <c r="AP665" s="27" t="s">
        <v>7</v>
      </c>
      <c r="AQ665" s="27" t="s">
        <v>8</v>
      </c>
      <c r="BJ665" s="27" t="s">
        <v>7</v>
      </c>
      <c r="CV665" s="27" t="s">
        <v>7</v>
      </c>
      <c r="CW665" s="27" t="s">
        <v>8</v>
      </c>
      <c r="CX665" s="27" t="s">
        <v>7</v>
      </c>
      <c r="CY665" s="27" t="s">
        <v>8</v>
      </c>
    </row>
    <row r="666" spans="1:105" x14ac:dyDescent="0.25">
      <c r="A666" s="7">
        <v>0.20921192272998904</v>
      </c>
      <c r="B666"/>
      <c r="C666"/>
      <c r="D666"/>
      <c r="E666"/>
      <c r="AP666" s="27" t="s">
        <v>7</v>
      </c>
      <c r="AQ666" s="27" t="s">
        <v>8</v>
      </c>
      <c r="CV666" s="27" t="s">
        <v>7</v>
      </c>
      <c r="CW666" s="27" t="s">
        <v>8</v>
      </c>
      <c r="CX666" s="27" t="s">
        <v>7</v>
      </c>
      <c r="CY666" s="27" t="s">
        <v>8</v>
      </c>
    </row>
    <row r="667" spans="1:105" x14ac:dyDescent="0.25">
      <c r="A667" s="7">
        <v>0.20510972816665593</v>
      </c>
      <c r="B667"/>
      <c r="C667"/>
      <c r="D667"/>
      <c r="E667"/>
      <c r="AP667" s="27" t="s">
        <v>7</v>
      </c>
      <c r="AQ667" s="27" t="s">
        <v>8</v>
      </c>
      <c r="CV667" s="27" t="s">
        <v>7</v>
      </c>
      <c r="CW667" s="27" t="s">
        <v>8</v>
      </c>
      <c r="CX667" s="27" t="s">
        <v>7</v>
      </c>
      <c r="CY667" s="27" t="s">
        <v>8</v>
      </c>
    </row>
    <row r="668" spans="1:105" x14ac:dyDescent="0.25">
      <c r="A668" s="7">
        <v>0.20108796879083912</v>
      </c>
      <c r="B668"/>
      <c r="C668"/>
      <c r="D668"/>
      <c r="E668"/>
      <c r="AP668" s="27" t="s">
        <v>7</v>
      </c>
      <c r="AQ668" s="27" t="s">
        <v>8</v>
      </c>
      <c r="CV668" s="27" t="s">
        <v>7</v>
      </c>
      <c r="CW668" s="27" t="s">
        <v>8</v>
      </c>
      <c r="CX668" s="27" t="s">
        <v>7</v>
      </c>
    </row>
    <row r="669" spans="1:105" x14ac:dyDescent="0.25">
      <c r="A669" s="7">
        <v>0.19714506744199917</v>
      </c>
      <c r="B669"/>
      <c r="C669"/>
      <c r="D669"/>
      <c r="E669"/>
      <c r="AP669" s="27" t="s">
        <v>7</v>
      </c>
      <c r="CV669" s="27" t="s">
        <v>7</v>
      </c>
      <c r="CW669" s="27" t="s">
        <v>8</v>
      </c>
    </row>
    <row r="670" spans="1:105" x14ac:dyDescent="0.25">
      <c r="A670" s="7">
        <v>0.19327947788431293</v>
      </c>
      <c r="B670"/>
      <c r="C670"/>
      <c r="D670"/>
      <c r="E670"/>
      <c r="CV670" s="27" t="s">
        <v>7</v>
      </c>
    </row>
    <row r="671" spans="1:105" x14ac:dyDescent="0.25">
      <c r="A671" s="7">
        <v>0.18948968420030682</v>
      </c>
      <c r="B671"/>
      <c r="C671"/>
      <c r="D671"/>
      <c r="E671"/>
    </row>
    <row r="672" spans="1:10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268" operator="equal">
      <formula>$U$1</formula>
    </cfRule>
    <cfRule type="cellIs" dxfId="89" priority="1269" operator="equal">
      <formula>$S$1</formula>
    </cfRule>
  </conditionalFormatting>
  <conditionalFormatting sqref="D27">
    <cfRule type="cellIs" dxfId="88" priority="1266" operator="equal">
      <formula>$S$1</formula>
    </cfRule>
    <cfRule type="cellIs" dxfId="87" priority="1267" operator="equal">
      <formula>$U$1</formula>
    </cfRule>
  </conditionalFormatting>
  <conditionalFormatting sqref="C164">
    <cfRule type="cellIs" dxfId="86" priority="1264" operator="equal">
      <formula>$U$1</formula>
    </cfRule>
    <cfRule type="cellIs" dxfId="85" priority="1265" operator="equal">
      <formula>$S$1</formula>
    </cfRule>
  </conditionalFormatting>
  <conditionalFormatting sqref="D164">
    <cfRule type="cellIs" dxfId="84" priority="1262" operator="equal">
      <formula>$S$1</formula>
    </cfRule>
    <cfRule type="cellIs" dxfId="83" priority="1263" operator="equal">
      <formula>$U$1</formula>
    </cfRule>
  </conditionalFormatting>
  <conditionalFormatting sqref="C55">
    <cfRule type="cellIs" dxfId="82" priority="1260" operator="equal">
      <formula>$U$1</formula>
    </cfRule>
    <cfRule type="cellIs" dxfId="81" priority="1261" operator="equal">
      <formula>$S$1</formula>
    </cfRule>
  </conditionalFormatting>
  <conditionalFormatting sqref="D55">
    <cfRule type="cellIs" dxfId="80" priority="1258" operator="equal">
      <formula>$S$1</formula>
    </cfRule>
    <cfRule type="cellIs" dxfId="79" priority="1259" operator="equal">
      <formula>$U$1</formula>
    </cfRule>
  </conditionalFormatting>
  <conditionalFormatting sqref="C89">
    <cfRule type="cellIs" dxfId="78" priority="1256" operator="equal">
      <formula>$U$1</formula>
    </cfRule>
    <cfRule type="cellIs" dxfId="77" priority="1257" operator="equal">
      <formula>$S$1</formula>
    </cfRule>
  </conditionalFormatting>
  <conditionalFormatting sqref="D89">
    <cfRule type="cellIs" dxfId="76" priority="1254" operator="equal">
      <formula>$S$1</formula>
    </cfRule>
    <cfRule type="cellIs" dxfId="75" priority="1255" operator="equal">
      <formula>$U$1</formula>
    </cfRule>
  </conditionalFormatting>
  <conditionalFormatting sqref="C136">
    <cfRule type="cellIs" dxfId="74" priority="1252" operator="equal">
      <formula>$U$1</formula>
    </cfRule>
    <cfRule type="cellIs" dxfId="73" priority="1253" operator="equal">
      <formula>$S$1</formula>
    </cfRule>
  </conditionalFormatting>
  <conditionalFormatting sqref="D136">
    <cfRule type="cellIs" dxfId="72" priority="1250" operator="equal">
      <formula>$S$1</formula>
    </cfRule>
    <cfRule type="cellIs" dxfId="71" priority="1251" operator="equal">
      <formula>$U$1</formula>
    </cfRule>
  </conditionalFormatting>
  <conditionalFormatting sqref="C1">
    <cfRule type="cellIs" dxfId="70" priority="1249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78" zoomScale="85" zoomScaleNormal="85" workbookViewId="0">
      <pane xSplit="4" topLeftCell="FJ1" activePane="topRight" state="frozen"/>
      <selection activeCell="A109" sqref="A109"/>
      <selection pane="topRight" activeCell="HV215" sqref="HV215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$A$214</v>
      </c>
      <c r="D111" s="1" t="str">
        <f>ADDRESS(C121-1,D121,1,1)</f>
        <v>$HV$214</v>
      </c>
      <c r="E111"/>
    </row>
    <row r="112" spans="1:5" x14ac:dyDescent="0.25">
      <c r="A112" s="30">
        <v>515.50191262726139</v>
      </c>
      <c r="C112" s="1" t="str">
        <f>ADDRESS(C121,1,1,1)</f>
        <v>$A$215</v>
      </c>
      <c r="D112" s="1" t="str">
        <f>ADDRESS(C121,D121-1,1,1)</f>
        <v>$HU$215</v>
      </c>
      <c r="E112"/>
    </row>
    <row r="113" spans="1:5" x14ac:dyDescent="0.25">
      <c r="A113" s="30">
        <v>490.95420250215363</v>
      </c>
      <c r="C113" s="1" t="str">
        <f>ADDRESS(C121+1,1,1,1)</f>
        <v>$A$216</v>
      </c>
      <c r="D113" s="1" t="str">
        <f>ADDRESS(C121-1,D121+1,1,1)</f>
        <v>$HW$214</v>
      </c>
    </row>
    <row r="114" spans="1:5" x14ac:dyDescent="0.25">
      <c r="A114" s="30">
        <v>467.57543095443202</v>
      </c>
      <c r="C114" s="1" t="str">
        <f>ADDRESS(C121,D121,1,1)</f>
        <v>$HV$215</v>
      </c>
      <c r="D114" s="1" t="str">
        <f>ADDRESS(C121+1,D121+1,1,1)</f>
        <v>$HW$216</v>
      </c>
    </row>
    <row r="115" spans="1:5" x14ac:dyDescent="0.25">
      <c r="A115" s="30">
        <v>445.30993424231622</v>
      </c>
      <c r="C115" s="1" t="str">
        <f>ADDRESS(C121+1,D121,1,1)</f>
        <v>$HV$216</v>
      </c>
    </row>
    <row r="116" spans="1:5" x14ac:dyDescent="0.25">
      <c r="A116" s="30">
        <v>424.10469927839637</v>
      </c>
      <c r="C116" s="1">
        <f>C117-1</f>
        <v>214</v>
      </c>
    </row>
    <row r="117" spans="1:5" x14ac:dyDescent="0.25">
      <c r="A117" s="30">
        <v>403.9092374079965</v>
      </c>
      <c r="C117" s="1">
        <f>C121</f>
        <v>215</v>
      </c>
      <c r="D117" s="1">
        <f>D121</f>
        <v>230</v>
      </c>
    </row>
    <row r="118" spans="1:5" x14ac:dyDescent="0.25">
      <c r="A118" s="30">
        <v>384.6754641980919</v>
      </c>
      <c r="C118" s="1">
        <f>C117+1</f>
        <v>216</v>
      </c>
      <c r="D118" s="1">
        <f>D117+1</f>
        <v>231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215</v>
      </c>
      <c r="D121" s="19">
        <v>230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R215</v>
      </c>
      <c r="D123" s="1" t="str">
        <f>"C"&amp;D121</f>
        <v>C230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3.3863549408993889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167" x14ac:dyDescent="0.25">
      <c r="A161" s="30">
        <v>47.201372444612005</v>
      </c>
      <c r="E161"/>
    </row>
    <row r="162" spans="1:167" x14ac:dyDescent="0.25">
      <c r="A162" s="30">
        <v>44.95368804248762</v>
      </c>
      <c r="E162"/>
    </row>
    <row r="163" spans="1:167" x14ac:dyDescent="0.25">
      <c r="A163" s="30">
        <v>42.81303623094059</v>
      </c>
      <c r="E163"/>
    </row>
    <row r="164" spans="1:167" x14ac:dyDescent="0.25">
      <c r="A164" s="30">
        <v>40.774320219943419</v>
      </c>
      <c r="E164"/>
    </row>
    <row r="165" spans="1:167" x14ac:dyDescent="0.25">
      <c r="A165" s="30">
        <v>38.832685923755633</v>
      </c>
      <c r="E165"/>
    </row>
    <row r="166" spans="1:167" x14ac:dyDescent="0.25">
      <c r="A166" s="30">
        <v>36.983510403576794</v>
      </c>
      <c r="E166"/>
    </row>
    <row r="167" spans="1:167" x14ac:dyDescent="0.25">
      <c r="A167" s="30">
        <v>35.222390860549325</v>
      </c>
      <c r="E167"/>
    </row>
    <row r="168" spans="1:167" x14ac:dyDescent="0.25">
      <c r="A168" s="30">
        <v>33.545134152904119</v>
      </c>
      <c r="E168"/>
    </row>
    <row r="169" spans="1:167" x14ac:dyDescent="0.25">
      <c r="A169" s="30">
        <v>31.947746812289637</v>
      </c>
      <c r="E169"/>
    </row>
    <row r="170" spans="1:167" x14ac:dyDescent="0.25">
      <c r="A170" s="30">
        <v>30.426425535513939</v>
      </c>
      <c r="E170"/>
    </row>
    <row r="171" spans="1:167" x14ac:dyDescent="0.25">
      <c r="A171" s="30">
        <v>28.977548129060892</v>
      </c>
      <c r="E171"/>
    </row>
    <row r="172" spans="1:167" x14ac:dyDescent="0.25">
      <c r="A172" s="30">
        <v>27.597664884819896</v>
      </c>
      <c r="E172"/>
    </row>
    <row r="173" spans="1:167" x14ac:dyDescent="0.25">
      <c r="A173" s="30">
        <v>26.283490366495137</v>
      </c>
      <c r="E173"/>
    </row>
    <row r="174" spans="1:167" x14ac:dyDescent="0.25">
      <c r="A174" s="30">
        <v>25.031895587138223</v>
      </c>
      <c r="E174"/>
    </row>
    <row r="175" spans="1:167" x14ac:dyDescent="0.25">
      <c r="A175" s="30">
        <v>23.839900559179259</v>
      </c>
      <c r="E175"/>
    </row>
    <row r="176" spans="1:167" x14ac:dyDescent="0.25">
      <c r="A176" s="30">
        <v>22.704667199218342</v>
      </c>
      <c r="E176"/>
      <c r="FK176" s="27" t="s">
        <v>8</v>
      </c>
    </row>
    <row r="177" spans="1:213" x14ac:dyDescent="0.25">
      <c r="A177" s="30">
        <v>21.623492570684135</v>
      </c>
      <c r="E177"/>
      <c r="FK177" s="27" t="s">
        <v>8</v>
      </c>
      <c r="FL177" s="27" t="s">
        <v>7</v>
      </c>
    </row>
    <row r="178" spans="1:213" x14ac:dyDescent="0.25">
      <c r="A178" s="30">
        <v>20.593802448270605</v>
      </c>
      <c r="C178" s="7"/>
      <c r="D178"/>
      <c r="E178"/>
      <c r="ES178" s="27" t="s">
        <v>8</v>
      </c>
      <c r="FK178" s="27" t="s">
        <v>8</v>
      </c>
      <c r="FL178" s="27" t="s">
        <v>7</v>
      </c>
      <c r="FQ178" s="31" t="s">
        <v>8</v>
      </c>
    </row>
    <row r="179" spans="1:213" x14ac:dyDescent="0.25">
      <c r="A179" s="30">
        <v>19.613145188829147</v>
      </c>
      <c r="E179"/>
      <c r="ES179" s="27" t="s">
        <v>8</v>
      </c>
      <c r="ET179" s="27" t="s">
        <v>7</v>
      </c>
      <c r="EW179" s="27" t="s">
        <v>8</v>
      </c>
      <c r="FK179" s="27" t="s">
        <v>8</v>
      </c>
      <c r="FL179" s="27" t="s">
        <v>7</v>
      </c>
      <c r="FQ179" s="34" t="s">
        <v>8</v>
      </c>
      <c r="FR179" s="31" t="s">
        <v>7</v>
      </c>
    </row>
    <row r="180" spans="1:213" x14ac:dyDescent="0.25">
      <c r="A180" s="30">
        <v>18.679185894122998</v>
      </c>
      <c r="E180"/>
      <c r="ES180" s="27" t="s">
        <v>8</v>
      </c>
      <c r="ET180" s="27" t="s">
        <v>7</v>
      </c>
      <c r="EW180" s="27" t="s">
        <v>8</v>
      </c>
      <c r="EX180" s="27" t="s">
        <v>7</v>
      </c>
      <c r="FI180" s="27" t="s">
        <v>8</v>
      </c>
      <c r="FK180" s="27" t="s">
        <v>8</v>
      </c>
      <c r="FL180" s="27" t="s">
        <v>7</v>
      </c>
      <c r="FO180" s="34" t="s">
        <v>8</v>
      </c>
      <c r="FQ180" s="27" t="s">
        <v>8</v>
      </c>
      <c r="FR180" s="27" t="s">
        <v>7</v>
      </c>
      <c r="FS180" s="31"/>
    </row>
    <row r="181" spans="1:213" x14ac:dyDescent="0.25">
      <c r="A181" s="30">
        <v>17.78970085154571</v>
      </c>
      <c r="C181"/>
      <c r="D181"/>
      <c r="E181"/>
      <c r="ES181" s="27" t="s">
        <v>8</v>
      </c>
      <c r="ET181" s="27" t="s">
        <v>7</v>
      </c>
      <c r="EU181" s="27" t="s">
        <v>8</v>
      </c>
      <c r="EW181" s="27" t="s">
        <v>8</v>
      </c>
      <c r="EX181" s="27" t="s">
        <v>7</v>
      </c>
      <c r="FI181" s="27" t="s">
        <v>8</v>
      </c>
      <c r="FJ181" s="27" t="s">
        <v>7</v>
      </c>
      <c r="FK181" s="27" t="s">
        <v>8</v>
      </c>
      <c r="FL181" s="27" t="s">
        <v>7</v>
      </c>
      <c r="FM181" s="27" t="s">
        <v>8</v>
      </c>
      <c r="FO181" s="27" t="s">
        <v>8</v>
      </c>
      <c r="FP181" s="27" t="s">
        <v>7</v>
      </c>
      <c r="FQ181" s="27" t="s">
        <v>8</v>
      </c>
      <c r="FR181" s="27" t="s">
        <v>7</v>
      </c>
      <c r="FT181" s="31"/>
    </row>
    <row r="182" spans="1:213" x14ac:dyDescent="0.25">
      <c r="A182" s="30">
        <v>16.942572239567344</v>
      </c>
      <c r="E182"/>
      <c r="CM182" s="27" t="s">
        <v>8</v>
      </c>
      <c r="CW182" s="27" t="s">
        <v>8</v>
      </c>
      <c r="ES182" s="27" t="s">
        <v>8</v>
      </c>
      <c r="ET182" s="27" t="s">
        <v>7</v>
      </c>
      <c r="EU182" s="27" t="s">
        <v>8</v>
      </c>
      <c r="EV182" s="27" t="s">
        <v>7</v>
      </c>
      <c r="EW182" s="27" t="s">
        <v>8</v>
      </c>
      <c r="EX182" s="27" t="s">
        <v>7</v>
      </c>
      <c r="FI182" s="27" t="s">
        <v>8</v>
      </c>
      <c r="FJ182" s="27" t="s">
        <v>7</v>
      </c>
      <c r="FK182" s="27" t="s">
        <v>8</v>
      </c>
      <c r="FL182" s="27" t="s">
        <v>7</v>
      </c>
      <c r="FM182" s="27" t="s">
        <v>8</v>
      </c>
      <c r="FN182" s="27" t="s">
        <v>7</v>
      </c>
      <c r="FO182" s="27" t="s">
        <v>8</v>
      </c>
      <c r="FP182" s="27" t="s">
        <v>7</v>
      </c>
      <c r="FQ182" s="27" t="s">
        <v>8</v>
      </c>
      <c r="FR182" s="27" t="s">
        <v>7</v>
      </c>
      <c r="FU182" s="31"/>
    </row>
    <row r="183" spans="1:213" x14ac:dyDescent="0.25">
      <c r="A183" s="30">
        <v>16.135783085302233</v>
      </c>
      <c r="E183"/>
      <c r="CM183" s="27" t="s">
        <v>8</v>
      </c>
      <c r="CN183" s="27" t="s">
        <v>7</v>
      </c>
      <c r="CW183" s="27" t="s">
        <v>8</v>
      </c>
      <c r="CX183" s="27" t="s">
        <v>7</v>
      </c>
      <c r="ES183" s="27" t="s">
        <v>8</v>
      </c>
      <c r="ET183" s="27" t="s">
        <v>7</v>
      </c>
      <c r="EU183" s="27" t="s">
        <v>8</v>
      </c>
      <c r="EV183" s="27" t="s">
        <v>7</v>
      </c>
      <c r="EW183" s="27" t="s">
        <v>8</v>
      </c>
      <c r="EX183" s="27" t="s">
        <v>7</v>
      </c>
      <c r="FI183" s="34" t="s">
        <v>8</v>
      </c>
      <c r="FJ183" s="27" t="s">
        <v>7</v>
      </c>
      <c r="FK183" s="27" t="s">
        <v>8</v>
      </c>
      <c r="FL183" s="27" t="s">
        <v>7</v>
      </c>
      <c r="FM183" s="27" t="s">
        <v>8</v>
      </c>
      <c r="FN183" s="27" t="s">
        <v>7</v>
      </c>
      <c r="FO183" s="27" t="s">
        <v>8</v>
      </c>
      <c r="FP183" s="27" t="s">
        <v>7</v>
      </c>
      <c r="FQ183" s="27" t="s">
        <v>8</v>
      </c>
      <c r="FR183" s="27" t="s">
        <v>7</v>
      </c>
      <c r="FV183" s="31"/>
    </row>
    <row r="184" spans="1:213" x14ac:dyDescent="0.25">
      <c r="A184" s="30">
        <v>15.367412462192602</v>
      </c>
      <c r="E184"/>
      <c r="CM184" s="27" t="s">
        <v>8</v>
      </c>
      <c r="CN184" s="27" t="s">
        <v>7</v>
      </c>
      <c r="CO184" s="27" t="s">
        <v>8</v>
      </c>
      <c r="CQ184" s="27" t="s">
        <v>8</v>
      </c>
      <c r="CW184" s="27" t="s">
        <v>8</v>
      </c>
      <c r="CX184" s="27" t="s">
        <v>7</v>
      </c>
      <c r="ES184" s="27" t="s">
        <v>8</v>
      </c>
      <c r="ET184" s="27" t="s">
        <v>7</v>
      </c>
      <c r="EU184" s="27" t="s">
        <v>8</v>
      </c>
      <c r="EV184" s="27" t="s">
        <v>7</v>
      </c>
      <c r="EX184" s="27" t="s">
        <v>7</v>
      </c>
      <c r="FG184" s="27" t="s">
        <v>8</v>
      </c>
      <c r="FI184" s="27" t="s">
        <v>8</v>
      </c>
      <c r="FJ184" s="27" t="s">
        <v>7</v>
      </c>
      <c r="FL184" s="27" t="s">
        <v>7</v>
      </c>
      <c r="FM184" s="27" t="s">
        <v>8</v>
      </c>
      <c r="FN184" s="27" t="s">
        <v>7</v>
      </c>
      <c r="FO184" s="27" t="s">
        <v>8</v>
      </c>
      <c r="FP184" s="27" t="s">
        <v>7</v>
      </c>
      <c r="FQ184" s="27" t="s">
        <v>8</v>
      </c>
      <c r="FR184" s="27" t="s">
        <v>7</v>
      </c>
      <c r="FS184" s="27" t="s">
        <v>8</v>
      </c>
      <c r="FW184" s="31"/>
    </row>
    <row r="185" spans="1:213" x14ac:dyDescent="0.25">
      <c r="A185" s="30">
        <v>14.635630916373906</v>
      </c>
      <c r="C185"/>
      <c r="E185"/>
      <c r="CM185" s="27" t="s">
        <v>8</v>
      </c>
      <c r="CN185" s="27" t="s">
        <v>7</v>
      </c>
      <c r="CO185" s="27" t="s">
        <v>8</v>
      </c>
      <c r="CP185" s="27" t="s">
        <v>7</v>
      </c>
      <c r="CQ185" s="27" t="s">
        <v>8</v>
      </c>
      <c r="CR185" s="27" t="s">
        <v>7</v>
      </c>
      <c r="CW185" s="27" t="s">
        <v>8</v>
      </c>
      <c r="CX185" s="27" t="s">
        <v>7</v>
      </c>
      <c r="ES185" s="34" t="s">
        <v>8</v>
      </c>
      <c r="ET185" s="27" t="s">
        <v>7</v>
      </c>
      <c r="EU185" s="27" t="s">
        <v>8</v>
      </c>
      <c r="EX185" s="33" t="s">
        <v>7</v>
      </c>
      <c r="FE185" s="27" t="s">
        <v>8</v>
      </c>
      <c r="FG185" s="27" t="s">
        <v>8</v>
      </c>
      <c r="FH185" s="27" t="s">
        <v>7</v>
      </c>
      <c r="FI185" s="27" t="s">
        <v>8</v>
      </c>
      <c r="FL185" s="33" t="s">
        <v>7</v>
      </c>
      <c r="FM185" s="27" t="s">
        <v>8</v>
      </c>
      <c r="FN185" s="27" t="s">
        <v>7</v>
      </c>
      <c r="FO185" s="27" t="s">
        <v>8</v>
      </c>
      <c r="FP185" s="27" t="s">
        <v>7</v>
      </c>
      <c r="FQ185" s="27" t="s">
        <v>8</v>
      </c>
      <c r="FR185" s="27" t="s">
        <v>7</v>
      </c>
      <c r="FS185" s="27" t="s">
        <v>8</v>
      </c>
      <c r="FT185" s="27" t="s">
        <v>7</v>
      </c>
      <c r="FX185" s="31"/>
    </row>
    <row r="186" spans="1:213" x14ac:dyDescent="0.25">
      <c r="A186" s="30">
        <v>13.938696110832291</v>
      </c>
      <c r="E186"/>
      <c r="CM186" s="27" t="s">
        <v>8</v>
      </c>
      <c r="CN186" s="27" t="s">
        <v>7</v>
      </c>
      <c r="CO186" s="27" t="s">
        <v>8</v>
      </c>
      <c r="CP186" s="27" t="s">
        <v>7</v>
      </c>
      <c r="CQ186" s="27" t="s">
        <v>8</v>
      </c>
      <c r="CR186" s="27" t="s">
        <v>7</v>
      </c>
      <c r="CU186" s="27" t="s">
        <v>8</v>
      </c>
      <c r="CW186" s="27" t="s">
        <v>8</v>
      </c>
      <c r="CX186" s="27" t="s">
        <v>7</v>
      </c>
      <c r="EQ186" s="27" t="s">
        <v>8</v>
      </c>
      <c r="ES186" s="27" t="s">
        <v>8</v>
      </c>
      <c r="ET186" s="27" t="s">
        <v>7</v>
      </c>
      <c r="EX186" s="27" t="s">
        <v>7</v>
      </c>
      <c r="EY186" s="27" t="s">
        <v>8</v>
      </c>
      <c r="FC186" s="34" t="s">
        <v>8</v>
      </c>
      <c r="FE186" s="27" t="s">
        <v>8</v>
      </c>
      <c r="FF186" s="27" t="s">
        <v>7</v>
      </c>
      <c r="FG186" s="27" t="s">
        <v>8</v>
      </c>
      <c r="FH186" s="27" t="s">
        <v>7</v>
      </c>
      <c r="FI186" s="27" t="s">
        <v>8</v>
      </c>
      <c r="FL186" s="27" t="s">
        <v>7</v>
      </c>
      <c r="FM186" s="27" t="s">
        <v>8</v>
      </c>
      <c r="FN186" s="27" t="s">
        <v>7</v>
      </c>
      <c r="FP186" s="27" t="s">
        <v>7</v>
      </c>
      <c r="FQ186" s="27" t="s">
        <v>8</v>
      </c>
      <c r="FR186" s="27" t="s">
        <v>7</v>
      </c>
      <c r="FS186" s="27" t="s">
        <v>8</v>
      </c>
      <c r="FT186" s="27" t="s">
        <v>7</v>
      </c>
      <c r="FY186" s="31"/>
    </row>
    <row r="187" spans="1:213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CM187" s="27" t="s">
        <v>8</v>
      </c>
      <c r="CN187" s="27" t="s">
        <v>7</v>
      </c>
      <c r="CO187" s="27" t="s">
        <v>8</v>
      </c>
      <c r="CP187" s="27" t="s">
        <v>7</v>
      </c>
      <c r="CR187" s="27" t="s">
        <v>7</v>
      </c>
      <c r="CU187" s="27" t="s">
        <v>8</v>
      </c>
      <c r="CV187" s="27" t="s">
        <v>7</v>
      </c>
      <c r="CW187" s="27" t="s">
        <v>8</v>
      </c>
      <c r="CX187" s="27" t="s">
        <v>7</v>
      </c>
      <c r="EQ187" s="27" t="s">
        <v>8</v>
      </c>
      <c r="ER187" s="27" t="s">
        <v>7</v>
      </c>
      <c r="ES187" s="27" t="s">
        <v>8</v>
      </c>
      <c r="EX187" s="31" t="s">
        <v>7</v>
      </c>
      <c r="EY187" s="27" t="s">
        <v>8</v>
      </c>
      <c r="EZ187" s="27" t="s">
        <v>7</v>
      </c>
      <c r="FA187" s="27" t="s">
        <v>8</v>
      </c>
      <c r="FC187" s="27" t="s">
        <v>8</v>
      </c>
      <c r="FD187" s="27" t="s">
        <v>7</v>
      </c>
      <c r="FE187" s="27" t="s">
        <v>8</v>
      </c>
      <c r="FF187" s="27" t="s">
        <v>7</v>
      </c>
      <c r="FG187" s="27" t="s">
        <v>8</v>
      </c>
      <c r="FH187" s="27" t="s">
        <v>7</v>
      </c>
      <c r="FI187" s="27" t="s">
        <v>8</v>
      </c>
      <c r="FL187" s="27" t="s">
        <v>7</v>
      </c>
      <c r="FM187" s="27" t="s">
        <v>8</v>
      </c>
      <c r="FP187" s="33" t="s">
        <v>7</v>
      </c>
      <c r="FQ187" s="27" t="s">
        <v>8</v>
      </c>
      <c r="FR187" s="27" t="s">
        <v>7</v>
      </c>
      <c r="FT187" s="27" t="s">
        <v>7</v>
      </c>
      <c r="FZ187" s="31"/>
    </row>
    <row r="188" spans="1:213" x14ac:dyDescent="0.25">
      <c r="A188" s="30">
        <v>12.64280826379346</v>
      </c>
      <c r="E188"/>
      <c r="CM188" s="27" t="s">
        <v>8</v>
      </c>
      <c r="CN188" s="27" t="s">
        <v>7</v>
      </c>
      <c r="CO188" s="27" t="s">
        <v>8</v>
      </c>
      <c r="CR188" s="27" t="s">
        <v>7</v>
      </c>
      <c r="CU188" s="27" t="s">
        <v>8</v>
      </c>
      <c r="CV188" s="27" t="s">
        <v>7</v>
      </c>
      <c r="CW188" s="27" t="s">
        <v>8</v>
      </c>
      <c r="CX188" s="27" t="s">
        <v>7</v>
      </c>
      <c r="EM188" s="32" t="s">
        <v>8</v>
      </c>
      <c r="EO188" s="32" t="s">
        <v>8</v>
      </c>
      <c r="EQ188" s="27" t="s">
        <v>8</v>
      </c>
      <c r="ER188" s="27" t="s">
        <v>7</v>
      </c>
      <c r="ES188" s="27" t="s">
        <v>8</v>
      </c>
      <c r="EW188" s="31"/>
      <c r="EX188" s="27" t="s">
        <v>7</v>
      </c>
      <c r="EY188" s="27" t="s">
        <v>8</v>
      </c>
      <c r="EZ188" s="27" t="s">
        <v>7</v>
      </c>
      <c r="FA188" s="27" t="s">
        <v>8</v>
      </c>
      <c r="FB188" s="27" t="s">
        <v>7</v>
      </c>
      <c r="FC188" s="27" t="s">
        <v>8</v>
      </c>
      <c r="FD188" s="27" t="s">
        <v>7</v>
      </c>
      <c r="FE188" s="27" t="s">
        <v>8</v>
      </c>
      <c r="FF188" s="27" t="s">
        <v>7</v>
      </c>
      <c r="FG188" s="27" t="s">
        <v>8</v>
      </c>
      <c r="FH188" s="27" t="s">
        <v>7</v>
      </c>
      <c r="FI188" s="27" t="s">
        <v>8</v>
      </c>
      <c r="FL188" s="27" t="s">
        <v>7</v>
      </c>
      <c r="FM188" s="27" t="s">
        <v>8</v>
      </c>
      <c r="FP188" s="27" t="s">
        <v>7</v>
      </c>
      <c r="FT188" s="33" t="s">
        <v>7</v>
      </c>
      <c r="GA188" s="31"/>
    </row>
    <row r="189" spans="1:213" x14ac:dyDescent="0.25">
      <c r="A189" s="30">
        <v>12.04076977504139</v>
      </c>
      <c r="E189"/>
      <c r="CM189" s="27" t="s">
        <v>8</v>
      </c>
      <c r="CN189" s="27" t="s">
        <v>7</v>
      </c>
      <c r="CO189" s="27" t="s">
        <v>8</v>
      </c>
      <c r="CR189" s="27" t="s">
        <v>7</v>
      </c>
      <c r="CS189" s="27" t="s">
        <v>8</v>
      </c>
      <c r="CU189" s="27" t="s">
        <v>8</v>
      </c>
      <c r="CV189" s="27" t="s">
        <v>7</v>
      </c>
      <c r="CX189" s="27" t="s">
        <v>7</v>
      </c>
      <c r="EM189" s="27" t="s">
        <v>8</v>
      </c>
      <c r="EN189" s="27" t="s">
        <v>7</v>
      </c>
      <c r="EO189" s="27" t="s">
        <v>8</v>
      </c>
      <c r="EP189" s="27" t="s">
        <v>7</v>
      </c>
      <c r="EQ189" s="27" t="s">
        <v>8</v>
      </c>
      <c r="ER189" s="27" t="s">
        <v>7</v>
      </c>
      <c r="EV189" s="31"/>
      <c r="EX189" s="27" t="s">
        <v>7</v>
      </c>
      <c r="EY189" s="27" t="s">
        <v>8</v>
      </c>
      <c r="EZ189" s="27" t="s">
        <v>7</v>
      </c>
      <c r="FA189" s="27" t="s">
        <v>8</v>
      </c>
      <c r="FB189" s="27" t="s">
        <v>7</v>
      </c>
      <c r="FC189" s="27" t="s">
        <v>8</v>
      </c>
      <c r="FD189" s="32" t="s">
        <v>7</v>
      </c>
      <c r="FF189" s="32" t="s">
        <v>7</v>
      </c>
      <c r="FH189" s="27" t="s">
        <v>7</v>
      </c>
      <c r="FI189" s="27" t="s">
        <v>8</v>
      </c>
      <c r="FL189" s="27" t="s">
        <v>7</v>
      </c>
      <c r="FM189" s="27" t="s">
        <v>8</v>
      </c>
      <c r="FT189" s="27" t="s">
        <v>7</v>
      </c>
      <c r="GB189" s="31"/>
    </row>
    <row r="190" spans="1:213" x14ac:dyDescent="0.25">
      <c r="A190" s="30">
        <v>11.467399785753704</v>
      </c>
      <c r="E190"/>
      <c r="CM190" s="27" t="s">
        <v>8</v>
      </c>
      <c r="CN190" s="27" t="s">
        <v>7</v>
      </c>
      <c r="CR190" s="27" t="s">
        <v>7</v>
      </c>
      <c r="CS190" s="27" t="s">
        <v>8</v>
      </c>
      <c r="CT190" s="27" t="s">
        <v>7</v>
      </c>
      <c r="CU190" s="27" t="s">
        <v>8</v>
      </c>
      <c r="CX190" s="27" t="s">
        <v>7</v>
      </c>
      <c r="EI190" s="27" t="s">
        <v>8</v>
      </c>
      <c r="EM190" s="27" t="s">
        <v>8</v>
      </c>
      <c r="EN190" s="27" t="s">
        <v>7</v>
      </c>
      <c r="EO190" s="27" t="s">
        <v>8</v>
      </c>
      <c r="EP190" s="27" t="s">
        <v>7</v>
      </c>
      <c r="EQ190" s="27" t="s">
        <v>8</v>
      </c>
      <c r="EU190" s="31"/>
      <c r="EX190" s="27" t="s">
        <v>7</v>
      </c>
      <c r="EY190" s="27" t="s">
        <v>8</v>
      </c>
      <c r="EZ190" s="27" t="s">
        <v>7</v>
      </c>
      <c r="FB190" s="27" t="s">
        <v>7</v>
      </c>
      <c r="FC190" s="27" t="s">
        <v>8</v>
      </c>
      <c r="FH190" s="33" t="s">
        <v>7</v>
      </c>
      <c r="FL190" s="27" t="s">
        <v>7</v>
      </c>
      <c r="FT190" s="27" t="s">
        <v>7</v>
      </c>
      <c r="GC190" s="31"/>
    </row>
    <row r="191" spans="1:213" x14ac:dyDescent="0.25">
      <c r="A191" s="30">
        <v>10.921333129289241</v>
      </c>
      <c r="E191"/>
      <c r="CM191" s="27" t="s">
        <v>8</v>
      </c>
      <c r="CR191" s="27" t="s">
        <v>7</v>
      </c>
      <c r="CS191" s="27" t="s">
        <v>8</v>
      </c>
      <c r="CT191" s="27" t="s">
        <v>7</v>
      </c>
      <c r="CU191" s="27" t="s">
        <v>8</v>
      </c>
      <c r="CX191" s="27" t="s">
        <v>7</v>
      </c>
      <c r="EG191" s="27" t="s">
        <v>8</v>
      </c>
      <c r="EI191" s="27" t="s">
        <v>8</v>
      </c>
      <c r="EJ191" s="27" t="s">
        <v>7</v>
      </c>
      <c r="EM191" s="27" t="s">
        <v>8</v>
      </c>
      <c r="EN191" s="27" t="s">
        <v>7</v>
      </c>
      <c r="EP191" s="27" t="s">
        <v>7</v>
      </c>
      <c r="EQ191" s="27" t="s">
        <v>8</v>
      </c>
      <c r="ET191" s="31"/>
      <c r="EX191" s="27" t="s">
        <v>7</v>
      </c>
      <c r="FB191" s="27" t="s">
        <v>7</v>
      </c>
      <c r="FT191" s="27" t="s">
        <v>7</v>
      </c>
      <c r="GD191" s="31"/>
      <c r="GS191" s="27" t="s">
        <v>8</v>
      </c>
    </row>
    <row r="192" spans="1:213" x14ac:dyDescent="0.25">
      <c r="A192" s="30">
        <v>10.401269646942135</v>
      </c>
      <c r="E192"/>
      <c r="CM192" s="27" t="s">
        <v>8</v>
      </c>
      <c r="CR192" s="27" t="s">
        <v>7</v>
      </c>
      <c r="CS192" s="27" t="s">
        <v>8</v>
      </c>
      <c r="CT192" s="27" t="s">
        <v>7</v>
      </c>
      <c r="CX192" s="27" t="s">
        <v>7</v>
      </c>
      <c r="EG192" s="27" t="s">
        <v>8</v>
      </c>
      <c r="EH192" s="27" t="s">
        <v>7</v>
      </c>
      <c r="EI192" s="27" t="s">
        <v>8</v>
      </c>
      <c r="EJ192" s="27" t="s">
        <v>7</v>
      </c>
      <c r="EM192" s="27" t="s">
        <v>8</v>
      </c>
      <c r="EP192" s="33" t="s">
        <v>7</v>
      </c>
      <c r="ES192" s="31"/>
      <c r="FT192" s="27" t="s">
        <v>7</v>
      </c>
      <c r="FU192" s="27" t="s">
        <v>8</v>
      </c>
      <c r="GE192" s="31"/>
      <c r="GS192" s="27" t="s">
        <v>8</v>
      </c>
      <c r="GT192" s="27" t="s">
        <v>7</v>
      </c>
      <c r="HE192" s="27" t="s">
        <v>8</v>
      </c>
    </row>
    <row r="193" spans="1:226" x14ac:dyDescent="0.25">
      <c r="A193" s="30">
        <v>9.9059710923258422</v>
      </c>
      <c r="E193"/>
      <c r="CM193" s="27" t="s">
        <v>8</v>
      </c>
      <c r="CR193" s="27" t="s">
        <v>7</v>
      </c>
      <c r="CX193" s="27" t="s">
        <v>7</v>
      </c>
      <c r="EG193" s="27" t="s">
        <v>8</v>
      </c>
      <c r="EH193" s="27" t="s">
        <v>7</v>
      </c>
      <c r="EI193" s="27" t="s">
        <v>8</v>
      </c>
      <c r="EJ193" s="27" t="s">
        <v>7</v>
      </c>
      <c r="EK193" s="27" t="s">
        <v>8</v>
      </c>
      <c r="EM193" s="27" t="s">
        <v>8</v>
      </c>
      <c r="ER193" s="31"/>
      <c r="FT193" s="27" t="s">
        <v>7</v>
      </c>
      <c r="FU193" s="27" t="s">
        <v>8</v>
      </c>
      <c r="FV193" s="27" t="s">
        <v>7</v>
      </c>
      <c r="GA193" s="27" t="s">
        <v>8</v>
      </c>
      <c r="GF193" s="31"/>
      <c r="GQ193" s="27" t="s">
        <v>8</v>
      </c>
      <c r="GS193" s="27" t="s">
        <v>8</v>
      </c>
      <c r="GT193" s="27" t="s">
        <v>7</v>
      </c>
      <c r="GW193" s="27" t="s">
        <v>8</v>
      </c>
      <c r="HC193" s="27" t="s">
        <v>8</v>
      </c>
      <c r="HE193" s="27" t="s">
        <v>8</v>
      </c>
      <c r="HF193" s="27" t="s">
        <v>7</v>
      </c>
    </row>
    <row r="194" spans="1:226" x14ac:dyDescent="0.25">
      <c r="A194" s="30">
        <v>9.4342581831674686</v>
      </c>
      <c r="E194"/>
      <c r="CM194" s="27" t="s">
        <v>8</v>
      </c>
      <c r="CX194" s="27" t="s">
        <v>7</v>
      </c>
      <c r="CY194" s="27" t="s">
        <v>8</v>
      </c>
      <c r="DA194" s="27" t="s">
        <v>8</v>
      </c>
      <c r="EE194" s="27" t="s">
        <v>8</v>
      </c>
      <c r="EG194" s="27" t="s">
        <v>8</v>
      </c>
      <c r="EH194" s="27" t="s">
        <v>7</v>
      </c>
      <c r="EI194" s="27" t="s">
        <v>8</v>
      </c>
      <c r="EJ194" s="27" t="s">
        <v>7</v>
      </c>
      <c r="EK194" s="27" t="s">
        <v>8</v>
      </c>
      <c r="EL194" s="27" t="s">
        <v>7</v>
      </c>
      <c r="EM194" s="27" t="s">
        <v>8</v>
      </c>
      <c r="EQ194" s="31"/>
      <c r="FT194" s="27" t="s">
        <v>7</v>
      </c>
      <c r="FU194" s="27" t="s">
        <v>8</v>
      </c>
      <c r="FV194" s="27" t="s">
        <v>7</v>
      </c>
      <c r="FY194" s="27" t="s">
        <v>8</v>
      </c>
      <c r="GA194" s="27" t="s">
        <v>8</v>
      </c>
      <c r="GB194" s="27" t="s">
        <v>7</v>
      </c>
      <c r="GC194" s="27" t="s">
        <v>8</v>
      </c>
      <c r="GG194" s="31"/>
      <c r="GQ194" s="27" t="s">
        <v>8</v>
      </c>
      <c r="GR194" s="27" t="s">
        <v>7</v>
      </c>
      <c r="GS194" s="27" t="s">
        <v>8</v>
      </c>
      <c r="GT194" s="27" t="s">
        <v>7</v>
      </c>
      <c r="GU194" s="27" t="s">
        <v>8</v>
      </c>
      <c r="GW194" s="27" t="s">
        <v>8</v>
      </c>
      <c r="GX194" s="27" t="s">
        <v>7</v>
      </c>
      <c r="HC194" s="27" t="s">
        <v>8</v>
      </c>
      <c r="HD194" s="27" t="s">
        <v>7</v>
      </c>
      <c r="HE194" s="27" t="s">
        <v>8</v>
      </c>
      <c r="HF194" s="27" t="s">
        <v>7</v>
      </c>
      <c r="HI194" s="27" t="s">
        <v>8</v>
      </c>
    </row>
    <row r="195" spans="1:226" x14ac:dyDescent="0.25">
      <c r="A195" s="30">
        <v>8.9850077934928265</v>
      </c>
      <c r="E195"/>
      <c r="CM195" s="27" t="s">
        <v>8</v>
      </c>
      <c r="CX195" s="27" t="s">
        <v>7</v>
      </c>
      <c r="CY195" s="27" t="s">
        <v>8</v>
      </c>
      <c r="CZ195" s="27" t="s">
        <v>7</v>
      </c>
      <c r="DA195" s="27" t="s">
        <v>8</v>
      </c>
      <c r="DB195" s="27" t="s">
        <v>7</v>
      </c>
      <c r="EE195" s="27" t="s">
        <v>8</v>
      </c>
      <c r="EF195" s="27" t="s">
        <v>7</v>
      </c>
      <c r="EG195" s="27" t="s">
        <v>8</v>
      </c>
      <c r="EH195" s="27" t="s">
        <v>7</v>
      </c>
      <c r="EI195" s="27" t="s">
        <v>8</v>
      </c>
      <c r="EJ195" s="27" t="s">
        <v>7</v>
      </c>
      <c r="EK195" s="27" t="s">
        <v>8</v>
      </c>
      <c r="EL195" s="27" t="s">
        <v>7</v>
      </c>
      <c r="EM195" s="27" t="s">
        <v>8</v>
      </c>
      <c r="EP195" s="31"/>
      <c r="FT195" s="27" t="s">
        <v>7</v>
      </c>
      <c r="FU195" s="27" t="s">
        <v>8</v>
      </c>
      <c r="FV195" s="27" t="s">
        <v>7</v>
      </c>
      <c r="FY195" s="34" t="s">
        <v>8</v>
      </c>
      <c r="FZ195" s="27" t="s">
        <v>7</v>
      </c>
      <c r="GA195" s="27" t="s">
        <v>8</v>
      </c>
      <c r="GB195" s="27" t="s">
        <v>7</v>
      </c>
      <c r="GC195" s="27" t="s">
        <v>8</v>
      </c>
      <c r="GD195" s="27" t="s">
        <v>7</v>
      </c>
      <c r="GH195" s="31"/>
      <c r="GO195" s="27" t="s">
        <v>8</v>
      </c>
      <c r="GQ195" s="27" t="s">
        <v>8</v>
      </c>
      <c r="GR195" s="27" t="s">
        <v>7</v>
      </c>
      <c r="GS195" s="27" t="s">
        <v>8</v>
      </c>
      <c r="GT195" s="27" t="s">
        <v>7</v>
      </c>
      <c r="GU195" s="27" t="s">
        <v>8</v>
      </c>
      <c r="GV195" s="27" t="s">
        <v>7</v>
      </c>
      <c r="GW195" s="27" t="s">
        <v>8</v>
      </c>
      <c r="GX195" s="27" t="s">
        <v>7</v>
      </c>
      <c r="HA195" s="27" t="s">
        <v>8</v>
      </c>
      <c r="HC195" s="27" t="s">
        <v>8</v>
      </c>
      <c r="HD195" s="27" t="s">
        <v>7</v>
      </c>
      <c r="HE195" s="27" t="s">
        <v>8</v>
      </c>
      <c r="HF195" s="27" t="s">
        <v>7</v>
      </c>
      <c r="HI195" s="27" t="s">
        <v>8</v>
      </c>
      <c r="HJ195" s="27" t="s">
        <v>7</v>
      </c>
    </row>
    <row r="196" spans="1:226" x14ac:dyDescent="0.25">
      <c r="A196" s="30">
        <v>8.5571502795169767</v>
      </c>
      <c r="E196"/>
      <c r="CM196" s="27" t="s">
        <v>8</v>
      </c>
      <c r="CX196" s="27" t="s">
        <v>7</v>
      </c>
      <c r="CY196" s="27" t="s">
        <v>8</v>
      </c>
      <c r="CZ196" s="27" t="s">
        <v>7</v>
      </c>
      <c r="DA196" s="27" t="s">
        <v>8</v>
      </c>
      <c r="DB196" s="27" t="s">
        <v>7</v>
      </c>
      <c r="EE196" s="27" t="s">
        <v>8</v>
      </c>
      <c r="EF196" s="27" t="s">
        <v>7</v>
      </c>
      <c r="EG196" s="27" t="s">
        <v>8</v>
      </c>
      <c r="EH196" s="27" t="s">
        <v>7</v>
      </c>
      <c r="EI196" s="27" t="s">
        <v>8</v>
      </c>
      <c r="EJ196" s="27" t="s">
        <v>7</v>
      </c>
      <c r="EK196" s="27" t="s">
        <v>8</v>
      </c>
      <c r="EL196" s="27" t="s">
        <v>7</v>
      </c>
      <c r="EM196" s="27" t="s">
        <v>8</v>
      </c>
      <c r="EO196" s="31"/>
      <c r="FT196" s="27" t="s">
        <v>7</v>
      </c>
      <c r="FU196" s="27" t="s">
        <v>8</v>
      </c>
      <c r="FV196" s="27" t="s">
        <v>7</v>
      </c>
      <c r="FW196" s="27" t="s">
        <v>8</v>
      </c>
      <c r="FY196" s="27" t="s">
        <v>8</v>
      </c>
      <c r="FZ196" s="27" t="s">
        <v>7</v>
      </c>
      <c r="GA196" s="27" t="s">
        <v>8</v>
      </c>
      <c r="GB196" s="27" t="s">
        <v>7</v>
      </c>
      <c r="GC196" s="27" t="s">
        <v>8</v>
      </c>
      <c r="GD196" s="27" t="s">
        <v>7</v>
      </c>
      <c r="GI196" s="31"/>
      <c r="GO196" s="27" t="s">
        <v>8</v>
      </c>
      <c r="GP196" s="27" t="s">
        <v>7</v>
      </c>
      <c r="GQ196" s="27" t="s">
        <v>8</v>
      </c>
      <c r="GR196" s="27" t="s">
        <v>7</v>
      </c>
      <c r="GS196" s="27" t="s">
        <v>8</v>
      </c>
      <c r="GT196" s="27" t="s">
        <v>7</v>
      </c>
      <c r="GU196" s="27" t="s">
        <v>8</v>
      </c>
      <c r="GV196" s="27" t="s">
        <v>7</v>
      </c>
      <c r="GW196" s="27" t="s">
        <v>8</v>
      </c>
      <c r="GX196" s="27" t="s">
        <v>7</v>
      </c>
      <c r="HA196" s="27" t="s">
        <v>8</v>
      </c>
      <c r="HB196" s="27" t="s">
        <v>7</v>
      </c>
      <c r="HC196" s="27" t="s">
        <v>8</v>
      </c>
      <c r="HD196" s="27" t="s">
        <v>7</v>
      </c>
      <c r="HE196" s="27" t="s">
        <v>8</v>
      </c>
      <c r="HF196" s="27" t="s">
        <v>7</v>
      </c>
      <c r="HI196" s="27" t="s">
        <v>8</v>
      </c>
      <c r="HJ196" s="27" t="s">
        <v>7</v>
      </c>
    </row>
    <row r="197" spans="1:226" x14ac:dyDescent="0.25">
      <c r="A197" s="30">
        <v>8.1496669328733109</v>
      </c>
      <c r="E197"/>
      <c r="CM197" s="27" t="s">
        <v>8</v>
      </c>
      <c r="CX197" s="27" t="s">
        <v>7</v>
      </c>
      <c r="CY197" s="27" t="s">
        <v>8</v>
      </c>
      <c r="CZ197" s="27" t="s">
        <v>7</v>
      </c>
      <c r="DB197" s="27" t="s">
        <v>7</v>
      </c>
      <c r="EE197" s="27" t="s">
        <v>8</v>
      </c>
      <c r="EF197" s="27" t="s">
        <v>7</v>
      </c>
      <c r="EG197" s="27" t="s">
        <v>8</v>
      </c>
      <c r="EH197" s="27" t="s">
        <v>7</v>
      </c>
      <c r="EI197" s="27" t="s">
        <v>8</v>
      </c>
      <c r="EJ197" s="27" t="s">
        <v>7</v>
      </c>
      <c r="EK197" s="27" t="s">
        <v>8</v>
      </c>
      <c r="EL197" s="27" t="s">
        <v>7</v>
      </c>
      <c r="EN197" s="31"/>
      <c r="FT197" s="27" t="s">
        <v>7</v>
      </c>
      <c r="FU197" s="27" t="s">
        <v>8</v>
      </c>
      <c r="FV197" s="27" t="s">
        <v>7</v>
      </c>
      <c r="FW197" s="27" t="s">
        <v>8</v>
      </c>
      <c r="FX197" s="27" t="s">
        <v>7</v>
      </c>
      <c r="FY197" s="27" t="s">
        <v>8</v>
      </c>
      <c r="FZ197" s="27" t="s">
        <v>7</v>
      </c>
      <c r="GA197" s="27" t="s">
        <v>8</v>
      </c>
      <c r="GB197" s="27" t="s">
        <v>7</v>
      </c>
      <c r="GD197" s="27" t="s">
        <v>7</v>
      </c>
      <c r="GJ197" s="31"/>
      <c r="GO197" s="27" t="s">
        <v>8</v>
      </c>
      <c r="GP197" s="27" t="s">
        <v>7</v>
      </c>
      <c r="GQ197" s="27" t="s">
        <v>8</v>
      </c>
      <c r="GR197" s="27" t="s">
        <v>7</v>
      </c>
      <c r="GT197" s="27" t="s">
        <v>7</v>
      </c>
      <c r="GU197" s="27" t="s">
        <v>8</v>
      </c>
      <c r="GV197" s="27" t="s">
        <v>7</v>
      </c>
      <c r="GX197" s="27" t="s">
        <v>7</v>
      </c>
      <c r="GY197" s="27" t="s">
        <v>8</v>
      </c>
      <c r="HA197" s="27" t="s">
        <v>8</v>
      </c>
      <c r="HB197" s="27" t="s">
        <v>7</v>
      </c>
      <c r="HC197" s="27" t="s">
        <v>8</v>
      </c>
      <c r="HD197" s="27" t="s">
        <v>7</v>
      </c>
      <c r="HF197" s="27" t="s">
        <v>7</v>
      </c>
      <c r="HG197" s="27" t="s">
        <v>8</v>
      </c>
      <c r="HI197" s="27" t="s">
        <v>8</v>
      </c>
      <c r="HJ197" s="27" t="s">
        <v>7</v>
      </c>
    </row>
    <row r="198" spans="1:226" x14ac:dyDescent="0.25">
      <c r="A198" s="30">
        <v>7.7615875551174378</v>
      </c>
      <c r="E198"/>
      <c r="CM198" s="27" t="s">
        <v>8</v>
      </c>
      <c r="CX198" s="27" t="s">
        <v>7</v>
      </c>
      <c r="CY198" s="27" t="s">
        <v>8</v>
      </c>
      <c r="DB198" s="27" t="s">
        <v>7</v>
      </c>
      <c r="DU198" s="27" t="s">
        <v>8</v>
      </c>
      <c r="DW198" s="27" t="s">
        <v>8</v>
      </c>
      <c r="EE198" s="27" t="s">
        <v>8</v>
      </c>
      <c r="EF198" s="27" t="s">
        <v>7</v>
      </c>
      <c r="EH198" s="27" t="s">
        <v>7</v>
      </c>
      <c r="EI198" s="27" t="s">
        <v>8</v>
      </c>
      <c r="EJ198" s="27" t="s">
        <v>7</v>
      </c>
      <c r="EK198" s="27" t="s">
        <v>8</v>
      </c>
      <c r="EM198" s="31"/>
      <c r="FT198" s="27" t="s">
        <v>7</v>
      </c>
      <c r="FU198" s="27" t="s">
        <v>8</v>
      </c>
      <c r="FV198" s="27" t="s">
        <v>7</v>
      </c>
      <c r="FW198" s="27" t="s">
        <v>8</v>
      </c>
      <c r="FX198" s="27" t="s">
        <v>7</v>
      </c>
      <c r="FY198" s="27" t="s">
        <v>8</v>
      </c>
      <c r="FZ198" s="27" t="s">
        <v>7</v>
      </c>
      <c r="GA198" s="27" t="s">
        <v>8</v>
      </c>
      <c r="GD198" s="33" t="s">
        <v>7</v>
      </c>
      <c r="GE198" s="32" t="s">
        <v>8</v>
      </c>
      <c r="GG198" s="32" t="s">
        <v>8</v>
      </c>
      <c r="GK198" s="31"/>
      <c r="GO198" s="27" t="s">
        <v>8</v>
      </c>
      <c r="GP198" s="27" t="s">
        <v>7</v>
      </c>
      <c r="GT198" s="27" t="s">
        <v>7</v>
      </c>
      <c r="GU198" s="27" t="s">
        <v>8</v>
      </c>
      <c r="GX198" s="27" t="s">
        <v>7</v>
      </c>
      <c r="GY198" s="27" t="s">
        <v>8</v>
      </c>
      <c r="GZ198" s="27" t="s">
        <v>7</v>
      </c>
      <c r="HA198" s="27" t="s">
        <v>8</v>
      </c>
      <c r="HB198" s="27" t="s">
        <v>7</v>
      </c>
      <c r="HC198" s="27" t="s">
        <v>8</v>
      </c>
      <c r="HF198" s="27" t="s">
        <v>7</v>
      </c>
      <c r="HG198" s="27" t="s">
        <v>8</v>
      </c>
      <c r="HH198" s="27" t="s">
        <v>7</v>
      </c>
      <c r="HI198" s="27" t="s">
        <v>8</v>
      </c>
      <c r="HJ198" s="27" t="s">
        <v>7</v>
      </c>
    </row>
    <row r="199" spans="1:226" x14ac:dyDescent="0.25">
      <c r="A199" s="30">
        <v>7.3919881477308929</v>
      </c>
      <c r="E199"/>
      <c r="CM199" s="27" t="s">
        <v>8</v>
      </c>
      <c r="CX199" s="27" t="s">
        <v>7</v>
      </c>
      <c r="CY199" s="27" t="s">
        <v>8</v>
      </c>
      <c r="DB199" s="27" t="s">
        <v>7</v>
      </c>
      <c r="DG199" s="27" t="s">
        <v>8</v>
      </c>
      <c r="DS199" s="27" t="s">
        <v>8</v>
      </c>
      <c r="DU199" s="27" t="s">
        <v>8</v>
      </c>
      <c r="DV199" s="27" t="s">
        <v>7</v>
      </c>
      <c r="DW199" s="27" t="s">
        <v>8</v>
      </c>
      <c r="DX199" s="27" t="s">
        <v>7</v>
      </c>
      <c r="EC199" s="27" t="s">
        <v>8</v>
      </c>
      <c r="EE199" s="27" t="s">
        <v>8</v>
      </c>
      <c r="EH199" s="27" t="s">
        <v>7</v>
      </c>
      <c r="EI199" s="27" t="s">
        <v>8</v>
      </c>
      <c r="EJ199" s="27" t="s">
        <v>7</v>
      </c>
      <c r="EL199" s="31"/>
      <c r="FT199" s="27" t="s">
        <v>7</v>
      </c>
      <c r="FU199" s="27" t="s">
        <v>8</v>
      </c>
      <c r="FV199" s="27" t="s">
        <v>7</v>
      </c>
      <c r="FX199" s="27" t="s">
        <v>7</v>
      </c>
      <c r="FY199" s="27" t="s">
        <v>8</v>
      </c>
      <c r="FZ199" s="27" t="s">
        <v>7</v>
      </c>
      <c r="GA199" s="27" t="s">
        <v>8</v>
      </c>
      <c r="GD199" s="27" t="s">
        <v>7</v>
      </c>
      <c r="GE199" s="27" t="s">
        <v>8</v>
      </c>
      <c r="GF199" s="27" t="s">
        <v>7</v>
      </c>
      <c r="GG199" s="27" t="s">
        <v>8</v>
      </c>
      <c r="GH199" s="27" t="s">
        <v>7</v>
      </c>
      <c r="GL199" s="31"/>
      <c r="GO199" s="34" t="s">
        <v>8</v>
      </c>
      <c r="GT199" s="27" t="s">
        <v>7</v>
      </c>
      <c r="GU199" s="27" t="s">
        <v>8</v>
      </c>
      <c r="GX199" s="27" t="s">
        <v>7</v>
      </c>
      <c r="GY199" s="35" t="s">
        <v>8</v>
      </c>
      <c r="GZ199" s="27" t="s">
        <v>7</v>
      </c>
      <c r="HA199" s="27" t="s">
        <v>8</v>
      </c>
      <c r="HB199" s="27" t="s">
        <v>7</v>
      </c>
      <c r="HF199" s="27" t="s">
        <v>7</v>
      </c>
      <c r="HG199" s="27" t="s">
        <v>8</v>
      </c>
      <c r="HH199" s="27" t="s">
        <v>7</v>
      </c>
      <c r="HI199" s="27" t="s">
        <v>8</v>
      </c>
      <c r="HJ199" s="27" t="s">
        <v>7</v>
      </c>
    </row>
    <row r="200" spans="1:226" x14ac:dyDescent="0.25">
      <c r="A200" s="30">
        <v>7.0399887121246598</v>
      </c>
      <c r="E200"/>
      <c r="CM200" s="27" t="s">
        <v>8</v>
      </c>
      <c r="CX200" s="27" t="s">
        <v>7</v>
      </c>
      <c r="CY200" s="27" t="s">
        <v>8</v>
      </c>
      <c r="DB200" s="27" t="s">
        <v>7</v>
      </c>
      <c r="DC200" s="27" t="s">
        <v>8</v>
      </c>
      <c r="DE200" s="27" t="s">
        <v>8</v>
      </c>
      <c r="DG200" s="27" t="s">
        <v>8</v>
      </c>
      <c r="DH200" s="27" t="s">
        <v>7</v>
      </c>
      <c r="DS200" s="27" t="s">
        <v>8</v>
      </c>
      <c r="DT200" s="27" t="s">
        <v>7</v>
      </c>
      <c r="DU200" s="27" t="s">
        <v>8</v>
      </c>
      <c r="DV200" s="27" t="s">
        <v>7</v>
      </c>
      <c r="DW200" s="27" t="s">
        <v>8</v>
      </c>
      <c r="DX200" s="27" t="s">
        <v>7</v>
      </c>
      <c r="DY200" s="27" t="s">
        <v>8</v>
      </c>
      <c r="EA200" s="27" t="s">
        <v>8</v>
      </c>
      <c r="EC200" s="27" t="s">
        <v>8</v>
      </c>
      <c r="ED200" s="27" t="s">
        <v>7</v>
      </c>
      <c r="EE200" s="27" t="s">
        <v>8</v>
      </c>
      <c r="EH200" s="27" t="s">
        <v>7</v>
      </c>
      <c r="EK200" s="31"/>
      <c r="FT200" s="27" t="s">
        <v>7</v>
      </c>
      <c r="FU200" s="27" t="s">
        <v>8</v>
      </c>
      <c r="FX200" s="27" t="s">
        <v>7</v>
      </c>
      <c r="FY200" s="27" t="s">
        <v>8</v>
      </c>
      <c r="FZ200" s="27" t="s">
        <v>7</v>
      </c>
      <c r="GA200" s="27" t="s">
        <v>8</v>
      </c>
      <c r="GD200" s="27" t="s">
        <v>7</v>
      </c>
      <c r="GE200" s="27" t="s">
        <v>8</v>
      </c>
      <c r="GF200" s="27" t="s">
        <v>7</v>
      </c>
      <c r="GG200" s="27" t="s">
        <v>8</v>
      </c>
      <c r="GH200" s="27" t="s">
        <v>7</v>
      </c>
      <c r="GM200" s="31" t="s">
        <v>8</v>
      </c>
      <c r="GO200" s="27" t="s">
        <v>8</v>
      </c>
      <c r="GT200" s="27" t="s">
        <v>7</v>
      </c>
      <c r="GX200" s="35" t="s">
        <v>7</v>
      </c>
      <c r="GZ200" s="27" t="s">
        <v>7</v>
      </c>
      <c r="HF200" s="27" t="s">
        <v>7</v>
      </c>
      <c r="HH200" s="27" t="s">
        <v>7</v>
      </c>
      <c r="HI200" s="27" t="s">
        <v>8</v>
      </c>
      <c r="HJ200" s="27" t="s">
        <v>7</v>
      </c>
    </row>
    <row r="201" spans="1:226" x14ac:dyDescent="0.25">
      <c r="A201" s="30">
        <v>6.7047511544044376</v>
      </c>
      <c r="E201"/>
      <c r="CM201" s="27" t="s">
        <v>8</v>
      </c>
      <c r="CX201" s="27" t="s">
        <v>7</v>
      </c>
      <c r="DB201" s="27" t="s">
        <v>7</v>
      </c>
      <c r="DC201" s="27" t="s">
        <v>8</v>
      </c>
      <c r="DD201" s="27" t="s">
        <v>7</v>
      </c>
      <c r="DE201" s="27" t="s">
        <v>8</v>
      </c>
      <c r="DF201" s="27" t="s">
        <v>7</v>
      </c>
      <c r="DG201" s="27" t="s">
        <v>8</v>
      </c>
      <c r="DH201" s="27" t="s">
        <v>7</v>
      </c>
      <c r="DQ201" s="27" t="s">
        <v>8</v>
      </c>
      <c r="DS201" s="27" t="s">
        <v>8</v>
      </c>
      <c r="DT201" s="27" t="s">
        <v>7</v>
      </c>
      <c r="DU201" s="27" t="s">
        <v>8</v>
      </c>
      <c r="DV201" s="27" t="s">
        <v>7</v>
      </c>
      <c r="DW201" s="27" t="s">
        <v>8</v>
      </c>
      <c r="DX201" s="27" t="s">
        <v>7</v>
      </c>
      <c r="DY201" s="27" t="s">
        <v>8</v>
      </c>
      <c r="DZ201" s="27" t="s">
        <v>7</v>
      </c>
      <c r="EA201" s="27" t="s">
        <v>8</v>
      </c>
      <c r="EB201" s="27" t="s">
        <v>7</v>
      </c>
      <c r="EC201" s="27" t="s">
        <v>8</v>
      </c>
      <c r="ED201" s="27" t="s">
        <v>7</v>
      </c>
      <c r="EE201" s="27" t="s">
        <v>8</v>
      </c>
      <c r="EJ201" s="31"/>
      <c r="FT201" s="27" t="s">
        <v>7</v>
      </c>
      <c r="FU201" s="27" t="s">
        <v>8</v>
      </c>
      <c r="FX201" s="27" t="s">
        <v>7</v>
      </c>
      <c r="FY201" s="27" t="s">
        <v>8</v>
      </c>
      <c r="FZ201" s="27" t="s">
        <v>7</v>
      </c>
      <c r="GA201" s="27" t="s">
        <v>8</v>
      </c>
      <c r="GD201" s="27" t="s">
        <v>7</v>
      </c>
      <c r="GF201" s="27" t="s">
        <v>7</v>
      </c>
      <c r="GG201" s="27" t="s">
        <v>8</v>
      </c>
      <c r="GH201" s="27" t="s">
        <v>7</v>
      </c>
      <c r="GM201" s="27" t="s">
        <v>8</v>
      </c>
      <c r="GN201" s="31" t="s">
        <v>7</v>
      </c>
      <c r="GO201" s="27" t="s">
        <v>8</v>
      </c>
      <c r="GW201" s="35"/>
      <c r="HH201" s="27" t="s">
        <v>7</v>
      </c>
      <c r="HJ201" s="27" t="s">
        <v>7</v>
      </c>
      <c r="HO201" s="27" t="s">
        <v>8</v>
      </c>
    </row>
    <row r="202" spans="1:226" x14ac:dyDescent="0.25">
      <c r="A202" s="30">
        <v>6.3854772899089882</v>
      </c>
      <c r="E202"/>
      <c r="CM202" s="27" t="s">
        <v>8</v>
      </c>
      <c r="DB202" s="27" t="s">
        <v>7</v>
      </c>
      <c r="DC202" s="27" t="s">
        <v>8</v>
      </c>
      <c r="DD202" s="27" t="s">
        <v>7</v>
      </c>
      <c r="DE202" s="27" t="s">
        <v>8</v>
      </c>
      <c r="DF202" s="27" t="s">
        <v>7</v>
      </c>
      <c r="DG202" s="27" t="s">
        <v>8</v>
      </c>
      <c r="DH202" s="27" t="s">
        <v>7</v>
      </c>
      <c r="DI202" s="27" t="s">
        <v>8</v>
      </c>
      <c r="DO202" s="27" t="s">
        <v>8</v>
      </c>
      <c r="DQ202" s="27" t="s">
        <v>8</v>
      </c>
      <c r="DR202" s="27" t="s">
        <v>7</v>
      </c>
      <c r="DS202" s="27" t="s">
        <v>8</v>
      </c>
      <c r="DT202" s="27" t="s">
        <v>7</v>
      </c>
      <c r="DV202" s="27" t="s">
        <v>7</v>
      </c>
      <c r="DW202" s="27" t="s">
        <v>8</v>
      </c>
      <c r="DX202" s="27" t="s">
        <v>7</v>
      </c>
      <c r="DY202" s="27" t="s">
        <v>8</v>
      </c>
      <c r="DZ202" s="27" t="s">
        <v>7</v>
      </c>
      <c r="EA202" s="27" t="s">
        <v>8</v>
      </c>
      <c r="EB202" s="27" t="s">
        <v>7</v>
      </c>
      <c r="EC202" s="27" t="s">
        <v>8</v>
      </c>
      <c r="ED202" s="27" t="s">
        <v>7</v>
      </c>
      <c r="EI202" s="31"/>
      <c r="FT202" s="27" t="s">
        <v>7</v>
      </c>
      <c r="FU202" s="27" t="s">
        <v>8</v>
      </c>
      <c r="FX202" s="27" t="s">
        <v>7</v>
      </c>
      <c r="FY202" s="27" t="s">
        <v>8</v>
      </c>
      <c r="FZ202" s="27" t="s">
        <v>7</v>
      </c>
      <c r="GF202" s="27" t="s">
        <v>7</v>
      </c>
      <c r="GG202" s="27" t="s">
        <v>8</v>
      </c>
      <c r="GH202" s="27" t="s">
        <v>7</v>
      </c>
      <c r="GM202" s="27" t="s">
        <v>8</v>
      </c>
      <c r="GN202" s="27" t="s">
        <v>7</v>
      </c>
      <c r="GO202" s="31" t="s">
        <v>8</v>
      </c>
      <c r="GV202" s="35"/>
      <c r="HJ202" s="27" t="s">
        <v>7</v>
      </c>
      <c r="HK202" s="27" t="s">
        <v>8</v>
      </c>
      <c r="HO202" s="27" t="s">
        <v>8</v>
      </c>
      <c r="HP202" s="27" t="s">
        <v>7</v>
      </c>
    </row>
    <row r="203" spans="1:226" x14ac:dyDescent="0.25">
      <c r="A203" s="30">
        <v>6.0814069427704647</v>
      </c>
      <c r="C203" s="7"/>
      <c r="D203"/>
      <c r="E203"/>
      <c r="CM203" s="27" t="s">
        <v>8</v>
      </c>
      <c r="DB203" s="27" t="s">
        <v>7</v>
      </c>
      <c r="DC203" s="27" t="s">
        <v>8</v>
      </c>
      <c r="DD203" s="27" t="s">
        <v>7</v>
      </c>
      <c r="DE203" s="27" t="s">
        <v>8</v>
      </c>
      <c r="DF203" s="27" t="s">
        <v>7</v>
      </c>
      <c r="DG203" s="27" t="s">
        <v>8</v>
      </c>
      <c r="DH203" s="27" t="s">
        <v>7</v>
      </c>
      <c r="DI203" s="27" t="s">
        <v>8</v>
      </c>
      <c r="DJ203" s="27" t="s">
        <v>7</v>
      </c>
      <c r="DK203" s="27" t="s">
        <v>8</v>
      </c>
      <c r="DM203" s="27" t="s">
        <v>8</v>
      </c>
      <c r="DO203" s="27" t="s">
        <v>8</v>
      </c>
      <c r="DP203" s="27" t="s">
        <v>7</v>
      </c>
      <c r="DQ203" s="27" t="s">
        <v>8</v>
      </c>
      <c r="DR203" s="27" t="s">
        <v>7</v>
      </c>
      <c r="DS203" s="27" t="s">
        <v>8</v>
      </c>
      <c r="DV203" s="27" t="s">
        <v>7</v>
      </c>
      <c r="DW203" s="27" t="s">
        <v>8</v>
      </c>
      <c r="DX203" s="27" t="s">
        <v>7</v>
      </c>
      <c r="DZ203" s="27" t="s">
        <v>7</v>
      </c>
      <c r="EB203" s="27" t="s">
        <v>7</v>
      </c>
      <c r="EC203" s="27" t="s">
        <v>8</v>
      </c>
      <c r="EH203" s="31"/>
      <c r="FT203" s="27" t="s">
        <v>7</v>
      </c>
      <c r="FU203" s="27" t="s">
        <v>8</v>
      </c>
      <c r="FX203" s="27" t="s">
        <v>7</v>
      </c>
      <c r="FY203" s="27" t="s">
        <v>8</v>
      </c>
      <c r="GF203" s="27" t="s">
        <v>7</v>
      </c>
      <c r="GH203" s="27" t="s">
        <v>7</v>
      </c>
      <c r="GK203" s="27" t="s">
        <v>8</v>
      </c>
      <c r="GM203" s="27" t="s">
        <v>8</v>
      </c>
      <c r="GN203" s="27" t="s">
        <v>7</v>
      </c>
      <c r="GO203" s="27" t="s">
        <v>8</v>
      </c>
      <c r="GP203" s="31"/>
      <c r="GU203" s="35"/>
      <c r="HJ203" s="27" t="s">
        <v>7</v>
      </c>
      <c r="HK203" s="27" t="s">
        <v>8</v>
      </c>
      <c r="HL203" s="27" t="s">
        <v>7</v>
      </c>
      <c r="HM203" s="27" t="s">
        <v>8</v>
      </c>
      <c r="HO203" s="27" t="s">
        <v>8</v>
      </c>
      <c r="HP203" s="27" t="s">
        <v>7</v>
      </c>
      <c r="HQ203" s="27" t="s">
        <v>8</v>
      </c>
    </row>
    <row r="204" spans="1:226" x14ac:dyDescent="0.25">
      <c r="A204" s="30">
        <v>5.7918161359718709</v>
      </c>
      <c r="E204"/>
      <c r="CM204" s="27" t="s">
        <v>8</v>
      </c>
      <c r="DB204" s="27" t="s">
        <v>7</v>
      </c>
      <c r="DD204" s="27" t="s">
        <v>7</v>
      </c>
      <c r="DF204" s="27" t="s">
        <v>7</v>
      </c>
      <c r="DG204" s="27" t="s">
        <v>8</v>
      </c>
      <c r="DH204" s="27" t="s">
        <v>7</v>
      </c>
      <c r="DI204" s="27" t="s">
        <v>8</v>
      </c>
      <c r="DJ204" s="27" t="s">
        <v>7</v>
      </c>
      <c r="DK204" s="27" t="s">
        <v>8</v>
      </c>
      <c r="DL204" s="27" t="s">
        <v>7</v>
      </c>
      <c r="DM204" s="27" t="s">
        <v>8</v>
      </c>
      <c r="DN204" s="27" t="s">
        <v>7</v>
      </c>
      <c r="DO204" s="27" t="s">
        <v>8</v>
      </c>
      <c r="DP204" s="27" t="s">
        <v>7</v>
      </c>
      <c r="DQ204" s="27" t="s">
        <v>8</v>
      </c>
      <c r="DR204" s="27" t="s">
        <v>7</v>
      </c>
      <c r="DV204" s="27" t="s">
        <v>7</v>
      </c>
      <c r="DW204" s="27" t="s">
        <v>8</v>
      </c>
      <c r="EB204" s="27" t="s">
        <v>7</v>
      </c>
      <c r="EC204" s="27" t="s">
        <v>8</v>
      </c>
      <c r="EG204" s="31"/>
      <c r="FT204" s="27" t="s">
        <v>7</v>
      </c>
      <c r="FU204" s="27" t="s">
        <v>8</v>
      </c>
      <c r="FX204" s="27" t="s">
        <v>7</v>
      </c>
      <c r="FY204" s="27" t="s">
        <v>8</v>
      </c>
      <c r="GH204" s="27" t="s">
        <v>7</v>
      </c>
      <c r="GK204" s="34" t="s">
        <v>8</v>
      </c>
      <c r="GL204" s="27" t="s">
        <v>7</v>
      </c>
      <c r="GM204" s="27" t="s">
        <v>8</v>
      </c>
      <c r="GN204" s="27" t="s">
        <v>7</v>
      </c>
      <c r="GO204" s="27" t="s">
        <v>8</v>
      </c>
      <c r="GQ204" s="31"/>
      <c r="GT204" s="35"/>
      <c r="HJ204" s="27" t="s">
        <v>7</v>
      </c>
      <c r="HK204" s="27" t="s">
        <v>8</v>
      </c>
      <c r="HL204" s="27" t="s">
        <v>7</v>
      </c>
      <c r="HM204" s="27" t="s">
        <v>8</v>
      </c>
      <c r="HN204" s="27" t="s">
        <v>7</v>
      </c>
      <c r="HO204" s="27" t="s">
        <v>8</v>
      </c>
      <c r="HP204" s="27" t="s">
        <v>7</v>
      </c>
      <c r="HQ204" s="27" t="s">
        <v>8</v>
      </c>
      <c r="HR204" s="27" t="s">
        <v>7</v>
      </c>
    </row>
    <row r="205" spans="1:226" x14ac:dyDescent="0.25">
      <c r="A205" s="30">
        <v>5.5160153675922574</v>
      </c>
      <c r="E205"/>
      <c r="CM205" s="27" t="s">
        <v>8</v>
      </c>
      <c r="DF205" s="27" t="s">
        <v>7</v>
      </c>
      <c r="DG205" s="27" t="s">
        <v>8</v>
      </c>
      <c r="DH205" s="27" t="s">
        <v>7</v>
      </c>
      <c r="DJ205" s="27" t="s">
        <v>7</v>
      </c>
      <c r="DK205" s="27" t="s">
        <v>8</v>
      </c>
      <c r="DL205" s="27" t="s">
        <v>7</v>
      </c>
      <c r="DM205" s="27" t="s">
        <v>8</v>
      </c>
      <c r="DN205" s="27" t="s">
        <v>7</v>
      </c>
      <c r="DO205" s="27" t="s">
        <v>8</v>
      </c>
      <c r="DP205" s="27" t="s">
        <v>7</v>
      </c>
      <c r="DV205" s="27" t="s">
        <v>7</v>
      </c>
      <c r="EB205" s="27" t="s">
        <v>7</v>
      </c>
      <c r="EC205" s="27" t="s">
        <v>8</v>
      </c>
      <c r="EF205" s="31"/>
      <c r="FT205" s="27" t="s">
        <v>7</v>
      </c>
      <c r="FX205" s="27" t="s">
        <v>7</v>
      </c>
      <c r="FY205" s="27" t="s">
        <v>8</v>
      </c>
      <c r="GH205" s="27" t="s">
        <v>7</v>
      </c>
      <c r="GI205" s="27" t="s">
        <v>8</v>
      </c>
      <c r="GK205" s="27" t="s">
        <v>8</v>
      </c>
      <c r="GL205" s="27" t="s">
        <v>7</v>
      </c>
      <c r="GM205" s="27" t="s">
        <v>8</v>
      </c>
      <c r="GN205" s="27" t="s">
        <v>7</v>
      </c>
      <c r="GO205" s="27" t="s">
        <v>8</v>
      </c>
      <c r="GS205" s="35"/>
      <c r="HJ205" s="27" t="s">
        <v>7</v>
      </c>
      <c r="HK205" s="27" t="s">
        <v>8</v>
      </c>
      <c r="HL205" s="27" t="s">
        <v>7</v>
      </c>
      <c r="HM205" s="27" t="s">
        <v>8</v>
      </c>
      <c r="HN205" s="27" t="s">
        <v>7</v>
      </c>
      <c r="HO205" s="27" t="s">
        <v>8</v>
      </c>
      <c r="HP205" s="27" t="s">
        <v>7</v>
      </c>
      <c r="HQ205" s="27" t="s">
        <v>8</v>
      </c>
      <c r="HR205" s="27" t="s">
        <v>7</v>
      </c>
    </row>
    <row r="206" spans="1:226" x14ac:dyDescent="0.25">
      <c r="A206" s="30">
        <v>5.2533479691354827</v>
      </c>
      <c r="C206"/>
      <c r="D206"/>
      <c r="E206"/>
      <c r="CM206" s="27" t="s">
        <v>8</v>
      </c>
      <c r="DF206" s="27" t="s">
        <v>7</v>
      </c>
      <c r="DJ206" s="27" t="s">
        <v>7</v>
      </c>
      <c r="DK206" s="27" t="s">
        <v>8</v>
      </c>
      <c r="DL206" s="27" t="s">
        <v>7</v>
      </c>
      <c r="DM206" s="27" t="s">
        <v>8</v>
      </c>
      <c r="DN206" s="27" t="s">
        <v>7</v>
      </c>
      <c r="EB206" s="27" t="s">
        <v>7</v>
      </c>
      <c r="EC206" s="27" t="s">
        <v>8</v>
      </c>
      <c r="EE206" s="31"/>
      <c r="FX206" s="27" t="s">
        <v>7</v>
      </c>
      <c r="GH206" s="27" t="s">
        <v>7</v>
      </c>
      <c r="GI206" s="27" t="s">
        <v>8</v>
      </c>
      <c r="GJ206" s="27" t="s">
        <v>7</v>
      </c>
      <c r="GK206" s="27" t="s">
        <v>8</v>
      </c>
      <c r="GL206" s="27" t="s">
        <v>7</v>
      </c>
      <c r="GN206" s="27" t="s">
        <v>7</v>
      </c>
      <c r="GO206" s="27" t="s">
        <v>8</v>
      </c>
      <c r="GR206" s="35"/>
      <c r="HJ206" s="27" t="s">
        <v>7</v>
      </c>
      <c r="HK206" s="27" t="s">
        <v>8</v>
      </c>
      <c r="HL206" s="27" t="s">
        <v>7</v>
      </c>
      <c r="HM206" s="27" t="s">
        <v>8</v>
      </c>
      <c r="HN206" s="27" t="s">
        <v>7</v>
      </c>
      <c r="HO206" s="27" t="s">
        <v>8</v>
      </c>
      <c r="HP206" s="27" t="s">
        <v>7</v>
      </c>
      <c r="HQ206" s="27" t="s">
        <v>8</v>
      </c>
      <c r="HR206" s="27" t="s">
        <v>7</v>
      </c>
    </row>
    <row r="207" spans="1:226" x14ac:dyDescent="0.25">
      <c r="A207" s="30">
        <v>5.0031885420337927</v>
      </c>
      <c r="E207"/>
      <c r="CG207" s="27" t="s">
        <v>8</v>
      </c>
      <c r="CI207" s="27" t="s">
        <v>8</v>
      </c>
      <c r="CM207" s="27" t="s">
        <v>8</v>
      </c>
      <c r="DJ207" s="27" t="s">
        <v>7</v>
      </c>
      <c r="DK207" s="27" t="s">
        <v>8</v>
      </c>
      <c r="DL207" s="27" t="s">
        <v>7</v>
      </c>
      <c r="DM207" s="27" t="s">
        <v>8</v>
      </c>
      <c r="EB207" s="27" t="s">
        <v>7</v>
      </c>
      <c r="EC207" s="27" t="s">
        <v>8</v>
      </c>
      <c r="ED207" s="31"/>
      <c r="GH207" s="27" t="s">
        <v>7</v>
      </c>
      <c r="GI207" s="27" t="s">
        <v>8</v>
      </c>
      <c r="GJ207" s="27" t="s">
        <v>7</v>
      </c>
      <c r="GK207" s="27" t="s">
        <v>8</v>
      </c>
      <c r="GN207" s="33" t="s">
        <v>7</v>
      </c>
      <c r="GO207" s="27" t="s">
        <v>8</v>
      </c>
      <c r="GQ207" s="35"/>
      <c r="HJ207" s="27" t="s">
        <v>7</v>
      </c>
      <c r="HK207" s="27" t="s">
        <v>8</v>
      </c>
      <c r="HL207" s="27" t="s">
        <v>7</v>
      </c>
      <c r="HM207" s="27" t="s">
        <v>8</v>
      </c>
      <c r="HN207" s="27" t="s">
        <v>7</v>
      </c>
      <c r="HP207" s="27" t="s">
        <v>7</v>
      </c>
      <c r="HQ207" s="27" t="s">
        <v>8</v>
      </c>
      <c r="HR207" s="27" t="s">
        <v>7</v>
      </c>
    </row>
    <row r="208" spans="1:226" x14ac:dyDescent="0.25">
      <c r="A208" s="30">
        <v>4.7649414686036122</v>
      </c>
      <c r="E208"/>
      <c r="CG208" s="27" t="s">
        <v>8</v>
      </c>
      <c r="CH208" s="27" t="s">
        <v>7</v>
      </c>
      <c r="CI208" s="27" t="s">
        <v>8</v>
      </c>
      <c r="CJ208" s="27" t="s">
        <v>7</v>
      </c>
      <c r="CM208" s="27" t="s">
        <v>8</v>
      </c>
      <c r="DJ208" s="27" t="s">
        <v>7</v>
      </c>
      <c r="DK208" s="27" t="s">
        <v>8</v>
      </c>
      <c r="DL208" s="27" t="s">
        <v>7</v>
      </c>
      <c r="DM208" s="27" t="s">
        <v>8</v>
      </c>
      <c r="EB208" s="27" t="s">
        <v>7</v>
      </c>
      <c r="EC208" s="31" t="s">
        <v>8</v>
      </c>
      <c r="GH208" s="27" t="s">
        <v>7</v>
      </c>
      <c r="GI208" s="27" t="s">
        <v>8</v>
      </c>
      <c r="GJ208" s="27" t="s">
        <v>7</v>
      </c>
      <c r="GN208" s="18" t="s">
        <v>7</v>
      </c>
      <c r="GO208" s="27" t="s">
        <v>8</v>
      </c>
      <c r="GP208" s="35"/>
      <c r="HJ208" s="27" t="s">
        <v>7</v>
      </c>
      <c r="HL208" s="27" t="s">
        <v>7</v>
      </c>
      <c r="HP208" s="27" t="s">
        <v>7</v>
      </c>
      <c r="HR208" s="27" t="s">
        <v>7</v>
      </c>
    </row>
    <row r="209" spans="1:230" x14ac:dyDescent="0.25">
      <c r="A209" s="30">
        <v>4.5380394939082018</v>
      </c>
      <c r="E209"/>
      <c r="CG209" s="27" t="s">
        <v>8</v>
      </c>
      <c r="CH209" s="27" t="s">
        <v>7</v>
      </c>
      <c r="CI209" s="27" t="s">
        <v>8</v>
      </c>
      <c r="CJ209" s="27" t="s">
        <v>7</v>
      </c>
      <c r="CM209" s="27" t="s">
        <v>8</v>
      </c>
      <c r="DJ209" s="27" t="s">
        <v>7</v>
      </c>
      <c r="DK209" s="27" t="s">
        <v>8</v>
      </c>
      <c r="DL209" s="27" t="s">
        <v>7</v>
      </c>
      <c r="DM209" s="27" t="s">
        <v>8</v>
      </c>
      <c r="EB209" s="31" t="s">
        <v>7</v>
      </c>
      <c r="GH209" s="27" t="s">
        <v>7</v>
      </c>
      <c r="GI209" s="27" t="s">
        <v>8</v>
      </c>
      <c r="GN209" s="27" t="s">
        <v>7</v>
      </c>
      <c r="GO209" s="35" t="s">
        <v>8</v>
      </c>
      <c r="HR209" s="27" t="s">
        <v>7</v>
      </c>
    </row>
    <row r="210" spans="1:230" x14ac:dyDescent="0.25">
      <c r="A210" s="30">
        <v>4.3219423751506678</v>
      </c>
      <c r="C210"/>
      <c r="E210"/>
      <c r="CG210" s="27" t="s">
        <v>8</v>
      </c>
      <c r="CH210" s="27" t="s">
        <v>7</v>
      </c>
      <c r="CI210" s="27" t="s">
        <v>8</v>
      </c>
      <c r="CJ210" s="27" t="s">
        <v>7</v>
      </c>
      <c r="CK210" s="27" t="s">
        <v>8</v>
      </c>
      <c r="CM210" s="27" t="s">
        <v>8</v>
      </c>
      <c r="DJ210" s="27" t="s">
        <v>7</v>
      </c>
      <c r="DK210" s="27" t="s">
        <v>8</v>
      </c>
      <c r="DL210" s="27" t="s">
        <v>7</v>
      </c>
      <c r="DM210" s="27" t="s">
        <v>8</v>
      </c>
      <c r="GH210" s="27" t="s">
        <v>7</v>
      </c>
      <c r="GI210" s="27" t="s">
        <v>8</v>
      </c>
      <c r="GN210" s="35" t="s">
        <v>7</v>
      </c>
      <c r="HR210" s="27" t="s">
        <v>7</v>
      </c>
    </row>
    <row r="211" spans="1:230" x14ac:dyDescent="0.25">
      <c r="A211" s="30">
        <v>4.1161355953815884</v>
      </c>
      <c r="E211"/>
      <c r="CG211" s="27" t="s">
        <v>8</v>
      </c>
      <c r="CH211" s="27" t="s">
        <v>7</v>
      </c>
      <c r="CI211" s="27" t="s">
        <v>8</v>
      </c>
      <c r="CJ211" s="27" t="s">
        <v>7</v>
      </c>
      <c r="CK211" s="27" t="s">
        <v>8</v>
      </c>
      <c r="CL211" s="27" t="s">
        <v>7</v>
      </c>
      <c r="CM211" s="27" t="s">
        <v>8</v>
      </c>
      <c r="DJ211" s="27" t="s">
        <v>7</v>
      </c>
      <c r="DK211" s="27" t="s">
        <v>8</v>
      </c>
      <c r="DL211" s="27" t="s">
        <v>7</v>
      </c>
      <c r="DM211" s="27" t="s">
        <v>8</v>
      </c>
      <c r="GH211" s="27" t="s">
        <v>7</v>
      </c>
      <c r="HR211" s="27" t="s">
        <v>7</v>
      </c>
    </row>
    <row r="212" spans="1:230" x14ac:dyDescent="0.25">
      <c r="A212" s="30">
        <v>3.9201291384586554</v>
      </c>
      <c r="E212"/>
      <c r="CG212" s="27" t="s">
        <v>8</v>
      </c>
      <c r="CH212" s="27" t="s">
        <v>7</v>
      </c>
      <c r="CI212" s="27" t="s">
        <v>8</v>
      </c>
      <c r="CJ212" s="27" t="s">
        <v>7</v>
      </c>
      <c r="CK212" s="27" t="s">
        <v>8</v>
      </c>
      <c r="CL212" s="27" t="s">
        <v>7</v>
      </c>
      <c r="CM212" s="27" t="s">
        <v>8</v>
      </c>
      <c r="DJ212" s="27" t="s">
        <v>7</v>
      </c>
      <c r="DK212" s="27" t="s">
        <v>8</v>
      </c>
      <c r="DL212" s="27" t="s">
        <v>7</v>
      </c>
      <c r="HR212" s="27" t="s">
        <v>7</v>
      </c>
      <c r="HU212" s="27" t="s">
        <v>8</v>
      </c>
    </row>
    <row r="213" spans="1:230" x14ac:dyDescent="0.25">
      <c r="A213" s="30">
        <v>3.7334563223415764</v>
      </c>
      <c r="E213"/>
      <c r="CG213" s="27" t="s">
        <v>8</v>
      </c>
      <c r="CH213" s="27" t="s">
        <v>7</v>
      </c>
      <c r="CJ213" s="27" t="s">
        <v>7</v>
      </c>
      <c r="CK213" s="27" t="s">
        <v>8</v>
      </c>
      <c r="CL213" s="27" t="s">
        <v>7</v>
      </c>
      <c r="CM213" s="27" t="s">
        <v>8</v>
      </c>
      <c r="DJ213" s="27" t="s">
        <v>7</v>
      </c>
      <c r="DK213" s="27" t="s">
        <v>8</v>
      </c>
      <c r="HR213" s="27" t="s">
        <v>7</v>
      </c>
      <c r="HS213" s="27" t="s">
        <v>8</v>
      </c>
      <c r="HU213" s="27" t="s">
        <v>8</v>
      </c>
      <c r="HV213" s="27" t="s">
        <v>7</v>
      </c>
    </row>
    <row r="214" spans="1:230" x14ac:dyDescent="0.25">
      <c r="A214" s="30">
        <v>3.5556726879443583</v>
      </c>
      <c r="E214"/>
      <c r="CG214" s="27" t="s">
        <v>8</v>
      </c>
      <c r="CJ214" s="27" t="s">
        <v>7</v>
      </c>
      <c r="CK214" s="27" t="s">
        <v>8</v>
      </c>
      <c r="CL214" s="27" t="s">
        <v>7</v>
      </c>
      <c r="CM214" s="27" t="s">
        <v>8</v>
      </c>
      <c r="DJ214" s="27" t="s">
        <v>7</v>
      </c>
      <c r="DK214" s="27" t="s">
        <v>8</v>
      </c>
      <c r="HR214" s="27" t="s">
        <v>7</v>
      </c>
      <c r="HS214" s="27" t="s">
        <v>8</v>
      </c>
      <c r="HT214" s="27" t="s">
        <v>7</v>
      </c>
      <c r="HU214" s="27" t="s">
        <v>8</v>
      </c>
      <c r="HV214" s="27" t="s">
        <v>7</v>
      </c>
    </row>
    <row r="215" spans="1:230" x14ac:dyDescent="0.25">
      <c r="A215" s="30">
        <v>3.3863549408993889</v>
      </c>
      <c r="E215"/>
      <c r="CG215" s="27" t="s">
        <v>8</v>
      </c>
      <c r="CJ215" s="27" t="s">
        <v>7</v>
      </c>
      <c r="CK215" s="27" t="s">
        <v>8</v>
      </c>
      <c r="CL215" s="27" t="s">
        <v>7</v>
      </c>
      <c r="CM215" s="27" t="s">
        <v>8</v>
      </c>
      <c r="DJ215" s="27" t="s">
        <v>7</v>
      </c>
      <c r="HR215" s="27" t="s">
        <v>7</v>
      </c>
      <c r="HS215" s="27" t="s">
        <v>8</v>
      </c>
      <c r="HT215" s="27" t="s">
        <v>7</v>
      </c>
      <c r="HU215" s="27" t="s">
        <v>8</v>
      </c>
      <c r="HV215" s="27" t="s">
        <v>7</v>
      </c>
    </row>
    <row r="216" spans="1:230" x14ac:dyDescent="0.25">
      <c r="A216" s="30">
        <v>3.2250999437137038</v>
      </c>
      <c r="E216"/>
      <c r="CG216" s="27" t="s">
        <v>8</v>
      </c>
      <c r="CJ216" s="27" t="s">
        <v>7</v>
      </c>
      <c r="CK216" s="27" t="s">
        <v>8</v>
      </c>
      <c r="CL216" s="27" t="s">
        <v>7</v>
      </c>
      <c r="CM216" s="27" t="s">
        <v>8</v>
      </c>
      <c r="HR216" s="27" t="s">
        <v>7</v>
      </c>
      <c r="HT216" s="27" t="s">
        <v>7</v>
      </c>
      <c r="HU216" s="27" t="s">
        <v>8</v>
      </c>
    </row>
    <row r="217" spans="1:230" x14ac:dyDescent="0.25">
      <c r="A217" s="30">
        <v>3.0715237559178128</v>
      </c>
      <c r="E217"/>
      <c r="CG217" s="27" t="s">
        <v>8</v>
      </c>
      <c r="CJ217" s="27" t="s">
        <v>7</v>
      </c>
      <c r="CL217" s="27" t="s">
        <v>7</v>
      </c>
      <c r="HT217" s="27" t="s">
        <v>7</v>
      </c>
    </row>
    <row r="218" spans="1:230" x14ac:dyDescent="0.25">
      <c r="A218" s="30">
        <v>2.9252607199217264</v>
      </c>
      <c r="E218"/>
      <c r="CG218" s="27" t="s">
        <v>8</v>
      </c>
    </row>
    <row r="219" spans="1:230" x14ac:dyDescent="0.25">
      <c r="A219" s="30">
        <v>2.7859625904016441</v>
      </c>
      <c r="E219"/>
      <c r="CG219" s="27" t="s">
        <v>8</v>
      </c>
    </row>
    <row r="220" spans="1:230" x14ac:dyDescent="0.25">
      <c r="A220" s="30">
        <v>2.6532977051444226</v>
      </c>
      <c r="E220"/>
      <c r="CG220" s="27" t="s">
        <v>8</v>
      </c>
    </row>
    <row r="221" spans="1:230" x14ac:dyDescent="0.25">
      <c r="A221" s="30">
        <v>2.5269501953756404</v>
      </c>
      <c r="E221"/>
      <c r="CG221" s="27" t="s">
        <v>8</v>
      </c>
    </row>
    <row r="222" spans="1:230" x14ac:dyDescent="0.25">
      <c r="A222" s="30">
        <v>2.4066192336910861</v>
      </c>
      <c r="E222"/>
      <c r="CE222" s="27" t="s">
        <v>8</v>
      </c>
      <c r="CG222" s="27" t="s">
        <v>8</v>
      </c>
    </row>
    <row r="223" spans="1:230" x14ac:dyDescent="0.25">
      <c r="A223" s="30">
        <v>2.2920183178010345</v>
      </c>
      <c r="E223"/>
      <c r="CE223" s="27" t="s">
        <v>8</v>
      </c>
      <c r="CF223" s="27" t="s">
        <v>7</v>
      </c>
      <c r="CG223" s="27" t="s">
        <v>8</v>
      </c>
    </row>
    <row r="224" spans="1:230" x14ac:dyDescent="0.25">
      <c r="A224" s="30">
        <v>2.1828745883819374</v>
      </c>
      <c r="E224"/>
      <c r="CE224" s="27" t="s">
        <v>8</v>
      </c>
      <c r="CF224" s="27" t="s">
        <v>7</v>
      </c>
      <c r="CG224" s="27" t="s">
        <v>8</v>
      </c>
    </row>
    <row r="225" spans="1:84" x14ac:dyDescent="0.25">
      <c r="A225" s="30">
        <v>2.0789281794113688</v>
      </c>
      <c r="E225"/>
      <c r="CE225" s="27" t="s">
        <v>8</v>
      </c>
      <c r="CF225" s="27" t="s">
        <v>7</v>
      </c>
    </row>
    <row r="226" spans="1:84" x14ac:dyDescent="0.25">
      <c r="A226" s="30">
        <v>1.9799315994393987</v>
      </c>
      <c r="E226"/>
      <c r="CE226" s="27" t="s">
        <v>8</v>
      </c>
    </row>
    <row r="227" spans="1:84" x14ac:dyDescent="0.25">
      <c r="A227" s="30">
        <v>1.8856491423232367</v>
      </c>
      <c r="E227"/>
      <c r="BY227" s="27" t="s">
        <v>8</v>
      </c>
      <c r="CA227" s="27" t="s">
        <v>8</v>
      </c>
      <c r="CE227" s="27" t="s">
        <v>8</v>
      </c>
    </row>
    <row r="228" spans="1:84" x14ac:dyDescent="0.25">
      <c r="A228" s="30">
        <v>1.7958563260221301</v>
      </c>
      <c r="C228" s="7"/>
      <c r="D228"/>
      <c r="E228"/>
      <c r="BY228" s="27" t="s">
        <v>8</v>
      </c>
      <c r="BZ228" s="27" t="s">
        <v>7</v>
      </c>
      <c r="CA228" s="27" t="s">
        <v>8</v>
      </c>
      <c r="CB228" s="27" t="s">
        <v>7</v>
      </c>
      <c r="CE228" s="27" t="s">
        <v>8</v>
      </c>
    </row>
    <row r="229" spans="1:84" x14ac:dyDescent="0.25">
      <c r="A229" s="30">
        <v>1.7103393581163142</v>
      </c>
      <c r="E229"/>
      <c r="BY229" s="27" t="s">
        <v>8</v>
      </c>
      <c r="BZ229" s="27" t="s">
        <v>7</v>
      </c>
      <c r="CA229" s="27" t="s">
        <v>8</v>
      </c>
      <c r="CB229" s="27" t="s">
        <v>7</v>
      </c>
      <c r="CE229" s="27" t="s">
        <v>8</v>
      </c>
    </row>
    <row r="230" spans="1:84" x14ac:dyDescent="0.25">
      <c r="A230" s="30">
        <v>1.628894626777442</v>
      </c>
      <c r="E230"/>
      <c r="BY230" s="27" t="s">
        <v>8</v>
      </c>
      <c r="BZ230" s="27" t="s">
        <v>7</v>
      </c>
      <c r="CA230" s="27" t="s">
        <v>8</v>
      </c>
      <c r="CB230" s="27" t="s">
        <v>7</v>
      </c>
      <c r="CE230" s="27" t="s">
        <v>8</v>
      </c>
    </row>
    <row r="231" spans="1:84" x14ac:dyDescent="0.25">
      <c r="A231" s="30">
        <v>1.5513282159785162</v>
      </c>
      <c r="C231"/>
      <c r="D231"/>
      <c r="E231"/>
      <c r="BY231" s="27" t="s">
        <v>8</v>
      </c>
      <c r="BZ231" s="27" t="s">
        <v>7</v>
      </c>
      <c r="CA231" s="27" t="s">
        <v>8</v>
      </c>
      <c r="CB231" s="27" t="s">
        <v>7</v>
      </c>
      <c r="CE231" s="27" t="s">
        <v>8</v>
      </c>
    </row>
    <row r="232" spans="1:84" x14ac:dyDescent="0.25">
      <c r="A232" s="30">
        <v>1.477455443789063</v>
      </c>
      <c r="E232"/>
      <c r="BY232" s="27" t="s">
        <v>8</v>
      </c>
      <c r="BZ232" s="27" t="s">
        <v>7</v>
      </c>
      <c r="CA232" s="27" t="s">
        <v>8</v>
      </c>
      <c r="CB232" s="27" t="s">
        <v>7</v>
      </c>
      <c r="CE232" s="27" t="s">
        <v>8</v>
      </c>
    </row>
    <row r="233" spans="1:84" x14ac:dyDescent="0.25">
      <c r="A233" s="30">
        <v>1.4071004226562505</v>
      </c>
      <c r="E233"/>
      <c r="BY233" s="27" t="s">
        <v>8</v>
      </c>
      <c r="BZ233" s="27" t="s">
        <v>7</v>
      </c>
      <c r="CA233" s="27" t="s">
        <v>8</v>
      </c>
      <c r="CB233" s="27" t="s">
        <v>7</v>
      </c>
      <c r="CC233" s="27" t="s">
        <v>8</v>
      </c>
      <c r="CE233" s="27" t="s">
        <v>8</v>
      </c>
    </row>
    <row r="234" spans="1:84" x14ac:dyDescent="0.25">
      <c r="A234" s="30">
        <v>1.3400956406250004</v>
      </c>
      <c r="E234"/>
      <c r="BW234" s="27" t="s">
        <v>8</v>
      </c>
      <c r="BY234" s="27" t="s">
        <v>8</v>
      </c>
      <c r="BZ234" s="27" t="s">
        <v>7</v>
      </c>
      <c r="CB234" s="27" t="s">
        <v>7</v>
      </c>
      <c r="CC234" s="27" t="s">
        <v>8</v>
      </c>
      <c r="CD234" s="27" t="s">
        <v>7</v>
      </c>
      <c r="CE234" s="27" t="s">
        <v>8</v>
      </c>
    </row>
    <row r="235" spans="1:84" x14ac:dyDescent="0.25">
      <c r="A235" s="30">
        <v>1.2762815625000004</v>
      </c>
      <c r="C235"/>
      <c r="E235"/>
      <c r="BQ235" s="27" t="s">
        <v>8</v>
      </c>
      <c r="BU235" s="27" t="s">
        <v>8</v>
      </c>
      <c r="BW235" s="27" t="s">
        <v>8</v>
      </c>
      <c r="BX235" s="27" t="s">
        <v>7</v>
      </c>
      <c r="BY235" s="27" t="s">
        <v>8</v>
      </c>
      <c r="CB235" s="27" t="s">
        <v>7</v>
      </c>
      <c r="CC235" s="27" t="s">
        <v>8</v>
      </c>
      <c r="CD235" s="27" t="s">
        <v>7</v>
      </c>
      <c r="CE235" s="27" t="s">
        <v>8</v>
      </c>
    </row>
    <row r="236" spans="1:84" x14ac:dyDescent="0.25">
      <c r="A236" s="30">
        <v>1.2155062500000002</v>
      </c>
      <c r="E236"/>
      <c r="BQ236" s="27" t="s">
        <v>8</v>
      </c>
      <c r="BR236" s="27" t="s">
        <v>7</v>
      </c>
      <c r="BU236" s="27" t="s">
        <v>8</v>
      </c>
      <c r="BV236" s="27" t="s">
        <v>7</v>
      </c>
      <c r="BW236" s="27" t="s">
        <v>8</v>
      </c>
      <c r="BX236" s="27" t="s">
        <v>7</v>
      </c>
      <c r="BY236" s="27" t="s">
        <v>8</v>
      </c>
      <c r="CB236" s="27" t="s">
        <v>7</v>
      </c>
      <c r="CC236" s="27" t="s">
        <v>8</v>
      </c>
      <c r="CD236" s="27" t="s">
        <v>7</v>
      </c>
      <c r="CE236" s="27" t="s">
        <v>8</v>
      </c>
    </row>
    <row r="237" spans="1:84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BQ237" s="27" t="s">
        <v>8</v>
      </c>
      <c r="BR237" s="27" t="s">
        <v>7</v>
      </c>
      <c r="BS237" s="27" t="s">
        <v>8</v>
      </c>
      <c r="BU237" s="27" t="s">
        <v>8</v>
      </c>
      <c r="BV237" s="27" t="s">
        <v>7</v>
      </c>
      <c r="BW237" s="27" t="s">
        <v>8</v>
      </c>
      <c r="BX237" s="27" t="s">
        <v>7</v>
      </c>
      <c r="BY237" s="27" t="s">
        <v>8</v>
      </c>
      <c r="CB237" s="27" t="s">
        <v>7</v>
      </c>
      <c r="CD237" s="27" t="s">
        <v>7</v>
      </c>
      <c r="CE237" s="27" t="s">
        <v>8</v>
      </c>
    </row>
    <row r="238" spans="1:84" x14ac:dyDescent="0.25">
      <c r="A238" s="30">
        <v>1.1025</v>
      </c>
      <c r="E238"/>
      <c r="BQ238" s="27" t="s">
        <v>8</v>
      </c>
      <c r="BR238" s="27" t="s">
        <v>7</v>
      </c>
      <c r="BS238" s="27" t="s">
        <v>8</v>
      </c>
      <c r="BT238" s="27" t="s">
        <v>7</v>
      </c>
      <c r="BU238" s="27" t="s">
        <v>8</v>
      </c>
      <c r="BV238" s="27" t="s">
        <v>7</v>
      </c>
      <c r="BX238" s="27" t="s">
        <v>7</v>
      </c>
      <c r="CD238" s="27" t="s">
        <v>7</v>
      </c>
      <c r="CE238" s="27" t="s">
        <v>8</v>
      </c>
    </row>
    <row r="239" spans="1:84" x14ac:dyDescent="0.25">
      <c r="A239" s="30">
        <v>1.05</v>
      </c>
      <c r="E239"/>
      <c r="BQ239" s="27" t="s">
        <v>8</v>
      </c>
      <c r="BR239" s="27" t="s">
        <v>7</v>
      </c>
      <c r="BS239" s="27" t="s">
        <v>8</v>
      </c>
      <c r="BT239" s="27" t="s">
        <v>7</v>
      </c>
      <c r="BU239" s="27" t="s">
        <v>8</v>
      </c>
      <c r="CD239" s="27" t="s">
        <v>7</v>
      </c>
      <c r="CE239" s="27" t="s">
        <v>8</v>
      </c>
    </row>
    <row r="240" spans="1:84" x14ac:dyDescent="0.25">
      <c r="A240" s="30">
        <v>1</v>
      </c>
      <c r="E240" s="29" t="s">
        <v>8</v>
      </c>
      <c r="BQ240" s="27" t="s">
        <v>8</v>
      </c>
      <c r="BR240" s="27" t="s">
        <v>7</v>
      </c>
      <c r="BS240" s="27" t="s">
        <v>8</v>
      </c>
      <c r="BT240" s="27" t="s">
        <v>7</v>
      </c>
      <c r="BU240" s="27" t="s">
        <v>8</v>
      </c>
      <c r="CD240" s="27" t="s">
        <v>7</v>
      </c>
    </row>
    <row r="241" spans="1:73" x14ac:dyDescent="0.25">
      <c r="A241" s="30">
        <v>0.952380952380952</v>
      </c>
      <c r="B241"/>
      <c r="C241"/>
      <c r="D241"/>
      <c r="E241"/>
      <c r="F241" s="27" t="s">
        <v>7</v>
      </c>
      <c r="BO241" s="27" t="s">
        <v>8</v>
      </c>
      <c r="BQ241" s="27" t="s">
        <v>8</v>
      </c>
      <c r="BR241" s="27" t="s">
        <v>7</v>
      </c>
      <c r="BT241" s="27" t="s">
        <v>7</v>
      </c>
      <c r="BU241" s="27" t="s">
        <v>8</v>
      </c>
    </row>
    <row r="242" spans="1:73" x14ac:dyDescent="0.25">
      <c r="A242" s="30">
        <v>0.90702947845804915</v>
      </c>
      <c r="B242"/>
      <c r="C242"/>
      <c r="D242"/>
      <c r="E242"/>
      <c r="F242" s="27" t="s">
        <v>7</v>
      </c>
      <c r="I242" s="27" t="s">
        <v>8</v>
      </c>
      <c r="BO242" s="27" t="s">
        <v>8</v>
      </c>
      <c r="BP242" s="27" t="s">
        <v>7</v>
      </c>
      <c r="BQ242" s="27" t="s">
        <v>8</v>
      </c>
      <c r="BT242" s="27" t="s">
        <v>7</v>
      </c>
      <c r="BU242" s="27" t="s">
        <v>8</v>
      </c>
    </row>
    <row r="243" spans="1:73" x14ac:dyDescent="0.25">
      <c r="A243" s="30">
        <v>0.86383759853147501</v>
      </c>
      <c r="B243"/>
      <c r="C243"/>
      <c r="D243"/>
      <c r="E243"/>
      <c r="F243" s="27" t="s">
        <v>7</v>
      </c>
      <c r="G243" s="27" t="s">
        <v>8</v>
      </c>
      <c r="I243" s="27" t="s">
        <v>8</v>
      </c>
      <c r="J243" s="27" t="s">
        <v>7</v>
      </c>
      <c r="BO243" s="27" t="s">
        <v>8</v>
      </c>
      <c r="BP243" s="27" t="s">
        <v>7</v>
      </c>
      <c r="BQ243" s="27" t="s">
        <v>8</v>
      </c>
      <c r="BT243" s="27" t="s">
        <v>7</v>
      </c>
      <c r="BU243" s="27" t="s">
        <v>8</v>
      </c>
    </row>
    <row r="244" spans="1:73" x14ac:dyDescent="0.25">
      <c r="A244" s="30">
        <v>0.82270247479188063</v>
      </c>
      <c r="B244"/>
      <c r="C244"/>
      <c r="D244"/>
      <c r="E244"/>
      <c r="F244" s="27" t="s">
        <v>7</v>
      </c>
      <c r="G244" s="27" t="s">
        <v>8</v>
      </c>
      <c r="H244" s="27" t="s">
        <v>7</v>
      </c>
      <c r="I244" s="27" t="s">
        <v>8</v>
      </c>
      <c r="J244" s="27" t="s">
        <v>7</v>
      </c>
      <c r="BO244" s="27" t="s">
        <v>8</v>
      </c>
      <c r="BP244" s="27" t="s">
        <v>7</v>
      </c>
      <c r="BQ244" s="27" t="s">
        <v>8</v>
      </c>
      <c r="BT244" s="27" t="s">
        <v>7</v>
      </c>
      <c r="BU244" s="27" t="s">
        <v>8</v>
      </c>
    </row>
    <row r="245" spans="1:73" x14ac:dyDescent="0.25">
      <c r="A245" s="30">
        <v>0.78352616646845741</v>
      </c>
      <c r="B245"/>
      <c r="C245"/>
      <c r="D245"/>
      <c r="E245"/>
      <c r="F245" s="27" t="s">
        <v>7</v>
      </c>
      <c r="G245" s="27" t="s">
        <v>8</v>
      </c>
      <c r="H245" s="27" t="s">
        <v>7</v>
      </c>
      <c r="I245" s="27" t="s">
        <v>8</v>
      </c>
      <c r="J245" s="27" t="s">
        <v>7</v>
      </c>
      <c r="BO245" s="27" t="s">
        <v>8</v>
      </c>
      <c r="BP245" s="27" t="s">
        <v>7</v>
      </c>
      <c r="BT245" s="27" t="s">
        <v>7</v>
      </c>
    </row>
    <row r="246" spans="1:73" x14ac:dyDescent="0.25">
      <c r="A246" s="30">
        <v>0.74621539663662584</v>
      </c>
      <c r="B246"/>
      <c r="C246"/>
      <c r="D246"/>
      <c r="E246"/>
      <c r="F246" s="27" t="s">
        <v>7</v>
      </c>
      <c r="G246" s="27" t="s">
        <v>8</v>
      </c>
      <c r="H246" s="27" t="s">
        <v>7</v>
      </c>
      <c r="I246" s="27" t="s">
        <v>8</v>
      </c>
      <c r="J246" s="27" t="s">
        <v>7</v>
      </c>
      <c r="AW246" s="27" t="s">
        <v>8</v>
      </c>
      <c r="BO246" s="27" t="s">
        <v>8</v>
      </c>
    </row>
    <row r="247" spans="1:73" x14ac:dyDescent="0.25">
      <c r="A247" s="30">
        <v>0.71068133013011958</v>
      </c>
      <c r="B247"/>
      <c r="C247"/>
      <c r="D247"/>
      <c r="E247"/>
      <c r="F247" s="27" t="s">
        <v>7</v>
      </c>
      <c r="G247" s="27" t="s">
        <v>8</v>
      </c>
      <c r="H247" s="27" t="s">
        <v>7</v>
      </c>
      <c r="J247" s="27" t="s">
        <v>7</v>
      </c>
      <c r="AW247" s="27" t="s">
        <v>8</v>
      </c>
      <c r="AX247" s="27" t="s">
        <v>7</v>
      </c>
      <c r="BO247" s="27" t="s">
        <v>8</v>
      </c>
    </row>
    <row r="248" spans="1:73" x14ac:dyDescent="0.25">
      <c r="A248" s="30">
        <v>0.676839362028685</v>
      </c>
      <c r="B248"/>
      <c r="C248"/>
      <c r="D248"/>
      <c r="E248"/>
      <c r="F248" s="27" t="s">
        <v>7</v>
      </c>
      <c r="G248" s="27" t="s">
        <v>8</v>
      </c>
      <c r="J248" s="27" t="s">
        <v>7</v>
      </c>
      <c r="AW248" s="27" t="s">
        <v>8</v>
      </c>
      <c r="AX248" s="27" t="s">
        <v>7</v>
      </c>
      <c r="BO248" s="27" t="s">
        <v>8</v>
      </c>
    </row>
    <row r="249" spans="1:73" x14ac:dyDescent="0.25">
      <c r="A249" s="30">
        <v>0.64460891621779492</v>
      </c>
      <c r="B249"/>
      <c r="C249"/>
      <c r="D249"/>
      <c r="E249"/>
      <c r="F249" s="27" t="s">
        <v>7</v>
      </c>
      <c r="G249" s="27" t="s">
        <v>8</v>
      </c>
      <c r="J249" s="27" t="s">
        <v>7</v>
      </c>
      <c r="AW249" s="27" t="s">
        <v>8</v>
      </c>
      <c r="AX249" s="27" t="s">
        <v>7</v>
      </c>
      <c r="BO249" s="27" t="s">
        <v>8</v>
      </c>
    </row>
    <row r="250" spans="1:73" x14ac:dyDescent="0.25">
      <c r="A250" s="30">
        <v>0.61391325354075688</v>
      </c>
      <c r="B250"/>
      <c r="C250"/>
      <c r="D250"/>
      <c r="E250"/>
      <c r="F250" s="27" t="s">
        <v>7</v>
      </c>
      <c r="G250" s="27" t="s">
        <v>8</v>
      </c>
      <c r="J250" s="27" t="s">
        <v>7</v>
      </c>
      <c r="AW250" s="27" t="s">
        <v>8</v>
      </c>
      <c r="AX250" s="27" t="s">
        <v>7</v>
      </c>
      <c r="BO250" s="27" t="s">
        <v>8</v>
      </c>
    </row>
    <row r="251" spans="1:73" x14ac:dyDescent="0.25">
      <c r="A251" s="30">
        <v>0.58467928908643485</v>
      </c>
      <c r="B251"/>
      <c r="C251"/>
      <c r="D251"/>
      <c r="E251"/>
      <c r="F251" s="27" t="s">
        <v>7</v>
      </c>
      <c r="J251" s="27" t="s">
        <v>7</v>
      </c>
      <c r="AW251" s="27" t="s">
        <v>8</v>
      </c>
      <c r="AX251" s="27" t="s">
        <v>7</v>
      </c>
      <c r="BO251" s="27" t="s">
        <v>8</v>
      </c>
    </row>
    <row r="252" spans="1:73" x14ac:dyDescent="0.25">
      <c r="A252" s="30">
        <v>0.55683741817755672</v>
      </c>
      <c r="B252"/>
      <c r="C252"/>
      <c r="D252"/>
      <c r="E252"/>
      <c r="J252" s="27" t="s">
        <v>7</v>
      </c>
      <c r="K252" s="27" t="s">
        <v>8</v>
      </c>
      <c r="M252" s="27" t="s">
        <v>8</v>
      </c>
      <c r="AU252" s="27" t="s">
        <v>8</v>
      </c>
      <c r="AW252" s="27" t="s">
        <v>8</v>
      </c>
      <c r="AX252" s="27" t="s">
        <v>7</v>
      </c>
      <c r="BM252" s="27" t="s">
        <v>8</v>
      </c>
      <c r="BO252" s="27" t="s">
        <v>8</v>
      </c>
    </row>
    <row r="253" spans="1:73" x14ac:dyDescent="0.25">
      <c r="A253" s="30">
        <v>0.53032135064529184</v>
      </c>
      <c r="B253"/>
      <c r="C253"/>
      <c r="D253"/>
      <c r="E253"/>
      <c r="J253" s="27" t="s">
        <v>7</v>
      </c>
      <c r="K253" s="27" t="s">
        <v>8</v>
      </c>
      <c r="L253" s="27" t="s">
        <v>7</v>
      </c>
      <c r="M253" s="27" t="s">
        <v>8</v>
      </c>
      <c r="N253" s="27" t="s">
        <v>7</v>
      </c>
      <c r="AU253" s="27" t="s">
        <v>8</v>
      </c>
      <c r="AV253" s="27" t="s">
        <v>7</v>
      </c>
      <c r="AW253" s="27" t="s">
        <v>8</v>
      </c>
      <c r="AX253" s="27" t="s">
        <v>7</v>
      </c>
      <c r="BM253" s="27" t="s">
        <v>8</v>
      </c>
      <c r="BN253" s="27" t="s">
        <v>7</v>
      </c>
      <c r="BO253" s="27" t="s">
        <v>8</v>
      </c>
    </row>
    <row r="254" spans="1:73" x14ac:dyDescent="0.25">
      <c r="A254" s="30">
        <v>0.50506795299551588</v>
      </c>
      <c r="B254"/>
      <c r="C254"/>
      <c r="D254"/>
      <c r="E254"/>
      <c r="J254" s="27" t="s">
        <v>7</v>
      </c>
      <c r="K254" s="27" t="s">
        <v>8</v>
      </c>
      <c r="L254" s="27" t="s">
        <v>7</v>
      </c>
      <c r="M254" s="27" t="s">
        <v>8</v>
      </c>
      <c r="N254" s="27" t="s">
        <v>7</v>
      </c>
      <c r="AU254" s="27" t="s">
        <v>8</v>
      </c>
      <c r="AV254" s="27" t="s">
        <v>7</v>
      </c>
      <c r="AW254" s="27" t="s">
        <v>8</v>
      </c>
      <c r="AX254" s="27" t="s">
        <v>7</v>
      </c>
      <c r="BK254" s="27" t="s">
        <v>8</v>
      </c>
      <c r="BM254" s="27" t="s">
        <v>8</v>
      </c>
      <c r="BN254" s="27" t="s">
        <v>7</v>
      </c>
      <c r="BO254" s="27" t="s">
        <v>8</v>
      </c>
    </row>
    <row r="255" spans="1:73" x14ac:dyDescent="0.25">
      <c r="A255" s="30">
        <v>0.48101709809096732</v>
      </c>
      <c r="E255"/>
      <c r="J255" s="27" t="s">
        <v>7</v>
      </c>
      <c r="K255" s="27" t="s">
        <v>8</v>
      </c>
      <c r="L255" s="27" t="s">
        <v>7</v>
      </c>
      <c r="N255" s="27" t="s">
        <v>7</v>
      </c>
      <c r="O255" s="27" t="s">
        <v>8</v>
      </c>
      <c r="AU255" s="27" t="s">
        <v>8</v>
      </c>
      <c r="AV255" s="27" t="s">
        <v>7</v>
      </c>
      <c r="AW255" s="27" t="s">
        <v>8</v>
      </c>
      <c r="AX255" s="27" t="s">
        <v>7</v>
      </c>
      <c r="BK255" s="27" t="s">
        <v>8</v>
      </c>
      <c r="BL255" s="27" t="s">
        <v>7</v>
      </c>
      <c r="BM255" s="27" t="s">
        <v>8</v>
      </c>
      <c r="BN255" s="27" t="s">
        <v>7</v>
      </c>
    </row>
    <row r="256" spans="1:73" x14ac:dyDescent="0.25">
      <c r="A256" s="30">
        <v>0.45811152199139726</v>
      </c>
      <c r="E256"/>
      <c r="J256" s="27" t="s">
        <v>7</v>
      </c>
      <c r="K256" s="27" t="s">
        <v>8</v>
      </c>
      <c r="N256" s="27" t="s">
        <v>7</v>
      </c>
      <c r="O256" s="27" t="s">
        <v>8</v>
      </c>
      <c r="P256" s="27" t="s">
        <v>7</v>
      </c>
      <c r="AU256" s="27" t="s">
        <v>8</v>
      </c>
      <c r="AV256" s="27" t="s">
        <v>7</v>
      </c>
      <c r="AW256" s="27" t="s">
        <v>8</v>
      </c>
      <c r="AX256" s="27" t="s">
        <v>7</v>
      </c>
      <c r="BK256" s="27" t="s">
        <v>8</v>
      </c>
      <c r="BL256" s="27" t="s">
        <v>7</v>
      </c>
      <c r="BM256" s="27" t="s">
        <v>8</v>
      </c>
    </row>
    <row r="257" spans="1:64" x14ac:dyDescent="0.25">
      <c r="A257" s="30">
        <v>0.43629668761085438</v>
      </c>
      <c r="B257"/>
      <c r="C257"/>
      <c r="D257"/>
      <c r="E257"/>
      <c r="J257" s="27" t="s">
        <v>7</v>
      </c>
      <c r="N257" s="27" t="s">
        <v>7</v>
      </c>
      <c r="O257" s="27" t="s">
        <v>8</v>
      </c>
      <c r="P257" s="27" t="s">
        <v>7</v>
      </c>
      <c r="AM257" s="27" t="s">
        <v>8</v>
      </c>
      <c r="AU257" s="27" t="s">
        <v>8</v>
      </c>
      <c r="AV257" s="27" t="s">
        <v>7</v>
      </c>
      <c r="AW257" s="27" t="s">
        <v>8</v>
      </c>
      <c r="AX257" s="27" t="s">
        <v>7</v>
      </c>
      <c r="BK257" s="27" t="s">
        <v>8</v>
      </c>
      <c r="BL257" s="27" t="s">
        <v>7</v>
      </c>
    </row>
    <row r="258" spans="1:64" x14ac:dyDescent="0.25">
      <c r="A258" s="30">
        <v>0.41552065486748019</v>
      </c>
      <c r="B258"/>
      <c r="C258"/>
      <c r="D258"/>
      <c r="E258"/>
      <c r="N258" s="27" t="s">
        <v>7</v>
      </c>
      <c r="P258" s="27" t="s">
        <v>7</v>
      </c>
      <c r="AM258" s="27" t="s">
        <v>8</v>
      </c>
      <c r="AN258" s="27" t="s">
        <v>7</v>
      </c>
      <c r="AO258" s="27" t="s">
        <v>8</v>
      </c>
      <c r="AQ258" s="27" t="s">
        <v>8</v>
      </c>
      <c r="AU258" s="27" t="s">
        <v>8</v>
      </c>
      <c r="AV258" s="27" t="s">
        <v>7</v>
      </c>
      <c r="AW258" s="27" t="s">
        <v>8</v>
      </c>
      <c r="AX258" s="27" t="s">
        <v>7</v>
      </c>
      <c r="AY258" s="27" t="s">
        <v>8</v>
      </c>
      <c r="BK258" s="27" t="s">
        <v>8</v>
      </c>
    </row>
    <row r="259" spans="1:64" x14ac:dyDescent="0.25">
      <c r="A259" s="30">
        <v>0.39573395701664765</v>
      </c>
      <c r="B259"/>
      <c r="C259"/>
      <c r="D259"/>
      <c r="E259"/>
      <c r="P259" s="27" t="s">
        <v>7</v>
      </c>
      <c r="AM259" s="27" t="s">
        <v>8</v>
      </c>
      <c r="AN259" s="27" t="s">
        <v>7</v>
      </c>
      <c r="AO259" s="27" t="s">
        <v>8</v>
      </c>
      <c r="AP259" s="27" t="s">
        <v>7</v>
      </c>
      <c r="AQ259" s="27" t="s">
        <v>8</v>
      </c>
      <c r="AR259" s="27" t="s">
        <v>7</v>
      </c>
      <c r="AU259" s="27" t="s">
        <v>8</v>
      </c>
      <c r="AV259" s="27" t="s">
        <v>7</v>
      </c>
      <c r="AW259" s="27" t="s">
        <v>8</v>
      </c>
      <c r="AX259" s="27" t="s">
        <v>7</v>
      </c>
      <c r="AY259" s="27" t="s">
        <v>8</v>
      </c>
      <c r="AZ259" s="27" t="s">
        <v>7</v>
      </c>
      <c r="BI259" s="27" t="s">
        <v>8</v>
      </c>
      <c r="BK259" s="27" t="s">
        <v>8</v>
      </c>
    </row>
    <row r="260" spans="1:64" x14ac:dyDescent="0.25">
      <c r="A260" s="30">
        <v>0.37688948287299762</v>
      </c>
      <c r="B260"/>
      <c r="C260"/>
      <c r="D260"/>
      <c r="E260"/>
      <c r="P260" s="27" t="s">
        <v>7</v>
      </c>
      <c r="Q260" s="27" t="s">
        <v>8</v>
      </c>
      <c r="W260" s="27" t="s">
        <v>8</v>
      </c>
      <c r="AK260" s="27" t="s">
        <v>8</v>
      </c>
      <c r="AM260" s="27" t="s">
        <v>8</v>
      </c>
      <c r="AN260" s="27" t="s">
        <v>7</v>
      </c>
      <c r="AO260" s="27" t="s">
        <v>8</v>
      </c>
      <c r="AP260" s="27" t="s">
        <v>7</v>
      </c>
      <c r="AQ260" s="27" t="s">
        <v>8</v>
      </c>
      <c r="AR260" s="27" t="s">
        <v>7</v>
      </c>
      <c r="AU260" s="27" t="s">
        <v>8</v>
      </c>
      <c r="AV260" s="27" t="s">
        <v>7</v>
      </c>
      <c r="AW260" s="27" t="s">
        <v>8</v>
      </c>
      <c r="AX260" s="27" t="s">
        <v>7</v>
      </c>
      <c r="AY260" s="27" t="s">
        <v>8</v>
      </c>
      <c r="AZ260" s="27" t="s">
        <v>7</v>
      </c>
      <c r="BI260" s="27" t="s">
        <v>8</v>
      </c>
      <c r="BJ260" s="27" t="s">
        <v>7</v>
      </c>
      <c r="BK260" s="27" t="s">
        <v>8</v>
      </c>
    </row>
    <row r="261" spans="1:64" x14ac:dyDescent="0.25">
      <c r="A261" s="30">
        <v>0.35894236464094997</v>
      </c>
      <c r="B261"/>
      <c r="C261"/>
      <c r="D261"/>
      <c r="E261"/>
      <c r="P261" s="27" t="s">
        <v>7</v>
      </c>
      <c r="Q261" s="27" t="s">
        <v>8</v>
      </c>
      <c r="R261" s="27" t="s">
        <v>7</v>
      </c>
      <c r="U261" s="27" t="s">
        <v>8</v>
      </c>
      <c r="W261" s="27" t="s">
        <v>8</v>
      </c>
      <c r="X261" s="27" t="s">
        <v>7</v>
      </c>
      <c r="AA261" s="27" t="s">
        <v>8</v>
      </c>
      <c r="AK261" s="27" t="s">
        <v>8</v>
      </c>
      <c r="AL261" s="27" t="s">
        <v>7</v>
      </c>
      <c r="AM261" s="27" t="s">
        <v>8</v>
      </c>
      <c r="AN261" s="27" t="s">
        <v>7</v>
      </c>
      <c r="AO261" s="27" t="s">
        <v>8</v>
      </c>
      <c r="AP261" s="27" t="s">
        <v>7</v>
      </c>
      <c r="AR261" s="27" t="s">
        <v>7</v>
      </c>
      <c r="AS261" s="27" t="s">
        <v>8</v>
      </c>
      <c r="AU261" s="27" t="s">
        <v>8</v>
      </c>
      <c r="AV261" s="27" t="s">
        <v>7</v>
      </c>
      <c r="AW261" s="27" t="s">
        <v>8</v>
      </c>
      <c r="AX261" s="27" t="s">
        <v>7</v>
      </c>
      <c r="AY261" s="27" t="s">
        <v>8</v>
      </c>
      <c r="AZ261" s="27" t="s">
        <v>7</v>
      </c>
      <c r="BC261" s="27" t="s">
        <v>8</v>
      </c>
      <c r="BE261" s="27" t="s">
        <v>8</v>
      </c>
      <c r="BI261" s="27" t="s">
        <v>8</v>
      </c>
      <c r="BJ261" s="27" t="s">
        <v>7</v>
      </c>
      <c r="BK261" s="27" t="s">
        <v>8</v>
      </c>
    </row>
    <row r="262" spans="1:64" x14ac:dyDescent="0.25">
      <c r="A262" s="30">
        <v>0.34184987108661891</v>
      </c>
      <c r="B262"/>
      <c r="C262"/>
      <c r="D262"/>
      <c r="E262"/>
      <c r="P262" s="27" t="s">
        <v>7</v>
      </c>
      <c r="Q262" s="27" t="s">
        <v>8</v>
      </c>
      <c r="R262" s="27" t="s">
        <v>7</v>
      </c>
      <c r="S262" s="27" t="s">
        <v>8</v>
      </c>
      <c r="U262" s="27" t="s">
        <v>8</v>
      </c>
      <c r="V262" s="27" t="s">
        <v>7</v>
      </c>
      <c r="W262" s="27" t="s">
        <v>8</v>
      </c>
      <c r="X262" s="27" t="s">
        <v>7</v>
      </c>
      <c r="AA262" s="27" t="s">
        <v>8</v>
      </c>
      <c r="AB262" s="27" t="s">
        <v>7</v>
      </c>
      <c r="AC262" s="27" t="s">
        <v>8</v>
      </c>
      <c r="AK262" s="27" t="s">
        <v>8</v>
      </c>
      <c r="AL262" s="27" t="s">
        <v>7</v>
      </c>
      <c r="AM262" s="27" t="s">
        <v>8</v>
      </c>
      <c r="AN262" s="27" t="s">
        <v>7</v>
      </c>
      <c r="AO262" s="27" t="s">
        <v>8</v>
      </c>
      <c r="AR262" s="27" t="s">
        <v>7</v>
      </c>
      <c r="AS262" s="27" t="s">
        <v>8</v>
      </c>
      <c r="AT262" s="27" t="s">
        <v>7</v>
      </c>
      <c r="AU262" s="27" t="s">
        <v>8</v>
      </c>
      <c r="AV262" s="27" t="s">
        <v>7</v>
      </c>
      <c r="AX262" s="27" t="s">
        <v>7</v>
      </c>
      <c r="AY262" s="27" t="s">
        <v>8</v>
      </c>
      <c r="AZ262" s="27" t="s">
        <v>7</v>
      </c>
      <c r="BC262" s="27" t="s">
        <v>8</v>
      </c>
      <c r="BD262" s="27" t="s">
        <v>7</v>
      </c>
      <c r="BE262" s="27" t="s">
        <v>8</v>
      </c>
      <c r="BF262" s="27" t="s">
        <v>7</v>
      </c>
      <c r="BG262" s="27" t="s">
        <v>8</v>
      </c>
      <c r="BI262" s="27" t="s">
        <v>8</v>
      </c>
      <c r="BJ262" s="27" t="s">
        <v>7</v>
      </c>
    </row>
    <row r="263" spans="1:64" x14ac:dyDescent="0.25">
      <c r="A263" s="30">
        <v>0.32557130579677979</v>
      </c>
      <c r="B263"/>
      <c r="C263"/>
      <c r="D263"/>
      <c r="E263"/>
      <c r="P263" s="27" t="s">
        <v>7</v>
      </c>
      <c r="R263" s="27" t="s">
        <v>7</v>
      </c>
      <c r="S263" s="27" t="s">
        <v>8</v>
      </c>
      <c r="T263" s="27" t="s">
        <v>7</v>
      </c>
      <c r="U263" s="27" t="s">
        <v>8</v>
      </c>
      <c r="V263" s="27" t="s">
        <v>7</v>
      </c>
      <c r="W263" s="27" t="s">
        <v>8</v>
      </c>
      <c r="X263" s="27" t="s">
        <v>7</v>
      </c>
      <c r="Y263" s="27" t="s">
        <v>8</v>
      </c>
      <c r="AA263" s="27" t="s">
        <v>8</v>
      </c>
      <c r="AB263" s="27" t="s">
        <v>7</v>
      </c>
      <c r="AC263" s="27" t="s">
        <v>8</v>
      </c>
      <c r="AD263" s="27" t="s">
        <v>7</v>
      </c>
      <c r="AI263" s="27" t="s">
        <v>8</v>
      </c>
      <c r="AK263" s="27" t="s">
        <v>8</v>
      </c>
      <c r="AL263" s="27" t="s">
        <v>7</v>
      </c>
      <c r="AN263" s="27" t="s">
        <v>7</v>
      </c>
      <c r="AO263" s="27" t="s">
        <v>8</v>
      </c>
      <c r="AR263" s="27" t="s">
        <v>7</v>
      </c>
      <c r="AS263" s="27" t="s">
        <v>8</v>
      </c>
      <c r="AT263" s="27" t="s">
        <v>7</v>
      </c>
      <c r="AU263" s="27" t="s">
        <v>8</v>
      </c>
      <c r="AX263" s="27" t="s">
        <v>7</v>
      </c>
      <c r="AY263" s="27" t="s">
        <v>8</v>
      </c>
      <c r="AZ263" s="27" t="s">
        <v>7</v>
      </c>
      <c r="BC263" s="27" t="s">
        <v>8</v>
      </c>
      <c r="BD263" s="27" t="s">
        <v>7</v>
      </c>
      <c r="BE263" s="27" t="s">
        <v>8</v>
      </c>
      <c r="BF263" s="27" t="s">
        <v>7</v>
      </c>
      <c r="BG263" s="27" t="s">
        <v>8</v>
      </c>
      <c r="BH263" s="27" t="s">
        <v>7</v>
      </c>
      <c r="BI263" s="27" t="s">
        <v>8</v>
      </c>
    </row>
    <row r="264" spans="1:64" x14ac:dyDescent="0.25">
      <c r="A264" s="30">
        <v>0.3100679102826473</v>
      </c>
      <c r="B264"/>
      <c r="C264"/>
      <c r="D264"/>
      <c r="E264"/>
      <c r="R264" s="27" t="s">
        <v>7</v>
      </c>
      <c r="S264" s="27" t="s">
        <v>8</v>
      </c>
      <c r="T264" s="27" t="s">
        <v>7</v>
      </c>
      <c r="U264" s="27" t="s">
        <v>8</v>
      </c>
      <c r="V264" s="27" t="s">
        <v>7</v>
      </c>
      <c r="W264" s="27" t="s">
        <v>8</v>
      </c>
      <c r="X264" s="27" t="s">
        <v>7</v>
      </c>
      <c r="Y264" s="27" t="s">
        <v>8</v>
      </c>
      <c r="Z264" s="27" t="s">
        <v>7</v>
      </c>
      <c r="AA264" s="27" t="s">
        <v>8</v>
      </c>
      <c r="AB264" s="27" t="s">
        <v>7</v>
      </c>
      <c r="AC264" s="27" t="s">
        <v>8</v>
      </c>
      <c r="AD264" s="27" t="s">
        <v>7</v>
      </c>
      <c r="AG264" s="27" t="s">
        <v>8</v>
      </c>
      <c r="AI264" s="27" t="s">
        <v>8</v>
      </c>
      <c r="AJ264" s="27" t="s">
        <v>7</v>
      </c>
      <c r="AK264" s="27" t="s">
        <v>8</v>
      </c>
      <c r="AN264" s="27" t="s">
        <v>7</v>
      </c>
      <c r="AO264" s="27" t="s">
        <v>8</v>
      </c>
      <c r="AR264" s="27" t="s">
        <v>7</v>
      </c>
      <c r="AS264" s="27" t="s">
        <v>8</v>
      </c>
      <c r="AT264" s="27" t="s">
        <v>7</v>
      </c>
      <c r="AX264" s="27" t="s">
        <v>7</v>
      </c>
      <c r="AY264" s="27" t="s">
        <v>8</v>
      </c>
      <c r="AZ264" s="27" t="s">
        <v>7</v>
      </c>
      <c r="BC264" s="27" t="s">
        <v>8</v>
      </c>
      <c r="BD264" s="27" t="s">
        <v>7</v>
      </c>
      <c r="BE264" s="27" t="s">
        <v>8</v>
      </c>
      <c r="BF264" s="27" t="s">
        <v>7</v>
      </c>
      <c r="BG264" s="27" t="s">
        <v>8</v>
      </c>
      <c r="BH264" s="27" t="s">
        <v>7</v>
      </c>
      <c r="BI264" s="27" t="s">
        <v>8</v>
      </c>
    </row>
    <row r="265" spans="1:64" x14ac:dyDescent="0.25">
      <c r="A265" s="30">
        <v>0.2953027716977592</v>
      </c>
      <c r="B265"/>
      <c r="C265"/>
      <c r="D265"/>
      <c r="E265"/>
      <c r="R265" s="27" t="s">
        <v>7</v>
      </c>
      <c r="T265" s="27" t="s">
        <v>7</v>
      </c>
      <c r="U265" s="27" t="s">
        <v>8</v>
      </c>
      <c r="V265" s="27" t="s">
        <v>7</v>
      </c>
      <c r="X265" s="27" t="s">
        <v>7</v>
      </c>
      <c r="Y265" s="27" t="s">
        <v>8</v>
      </c>
      <c r="Z265" s="27" t="s">
        <v>7</v>
      </c>
      <c r="AA265" s="27" t="s">
        <v>8</v>
      </c>
      <c r="AB265" s="27" t="s">
        <v>7</v>
      </c>
      <c r="AC265" s="27" t="s">
        <v>8</v>
      </c>
      <c r="AD265" s="27" t="s">
        <v>7</v>
      </c>
      <c r="AG265" s="27" t="s">
        <v>8</v>
      </c>
      <c r="AH265" s="27" t="s">
        <v>7</v>
      </c>
      <c r="AI265" s="27" t="s">
        <v>8</v>
      </c>
      <c r="AJ265" s="27" t="s">
        <v>7</v>
      </c>
      <c r="AK265" s="27" t="s">
        <v>8</v>
      </c>
      <c r="AN265" s="27" t="s">
        <v>7</v>
      </c>
      <c r="AO265" s="27" t="s">
        <v>8</v>
      </c>
      <c r="AR265" s="27" t="s">
        <v>7</v>
      </c>
      <c r="AS265" s="27" t="s">
        <v>8</v>
      </c>
      <c r="AX265" s="27" t="s">
        <v>7</v>
      </c>
      <c r="AY265" s="27" t="s">
        <v>8</v>
      </c>
      <c r="AZ265" s="27" t="s">
        <v>7</v>
      </c>
      <c r="BA265" s="27" t="s">
        <v>8</v>
      </c>
      <c r="BC265" s="27" t="s">
        <v>8</v>
      </c>
      <c r="BD265" s="27" t="s">
        <v>7</v>
      </c>
      <c r="BF265" s="27" t="s">
        <v>7</v>
      </c>
      <c r="BH265" s="27" t="s">
        <v>7</v>
      </c>
      <c r="BI265" s="27" t="s">
        <v>8</v>
      </c>
    </row>
    <row r="266" spans="1:64" x14ac:dyDescent="0.25">
      <c r="A266" s="30">
        <v>0.28124073495024676</v>
      </c>
      <c r="B266"/>
      <c r="C266"/>
      <c r="D266"/>
      <c r="E266"/>
      <c r="T266" s="27" t="s">
        <v>7</v>
      </c>
      <c r="X266" s="27" t="s">
        <v>7</v>
      </c>
      <c r="Y266" s="27" t="s">
        <v>8</v>
      </c>
      <c r="Z266" s="27" t="s">
        <v>7</v>
      </c>
      <c r="AA266" s="27" t="s">
        <v>8</v>
      </c>
      <c r="AB266" s="27" t="s">
        <v>7</v>
      </c>
      <c r="AC266" s="27" t="s">
        <v>8</v>
      </c>
      <c r="AD266" s="27" t="s">
        <v>7</v>
      </c>
      <c r="AG266" s="27" t="s">
        <v>8</v>
      </c>
      <c r="AH266" s="27" t="s">
        <v>7</v>
      </c>
      <c r="AI266" s="27" t="s">
        <v>8</v>
      </c>
      <c r="AJ266" s="27" t="s">
        <v>7</v>
      </c>
      <c r="AN266" s="27" t="s">
        <v>7</v>
      </c>
      <c r="AR266" s="27" t="s">
        <v>7</v>
      </c>
      <c r="AS266" s="27" t="s">
        <v>8</v>
      </c>
      <c r="AX266" s="27" t="s">
        <v>7</v>
      </c>
      <c r="AY266" s="27" t="s">
        <v>8</v>
      </c>
      <c r="AZ266" s="27" t="s">
        <v>7</v>
      </c>
      <c r="BA266" s="27" t="s">
        <v>8</v>
      </c>
      <c r="BB266" s="27" t="s">
        <v>7</v>
      </c>
      <c r="BC266" s="27" t="s">
        <v>8</v>
      </c>
      <c r="BH266" s="27" t="s">
        <v>7</v>
      </c>
      <c r="BI266" s="27" t="s">
        <v>8</v>
      </c>
    </row>
    <row r="267" spans="1:64" x14ac:dyDescent="0.25">
      <c r="A267" s="30">
        <v>0.26784831900023492</v>
      </c>
      <c r="B267"/>
      <c r="C267"/>
      <c r="D267"/>
      <c r="E267"/>
      <c r="X267" s="27" t="s">
        <v>7</v>
      </c>
      <c r="Y267" s="27" t="s">
        <v>8</v>
      </c>
      <c r="Z267" s="27" t="s">
        <v>7</v>
      </c>
      <c r="AA267" s="27" t="s">
        <v>8</v>
      </c>
      <c r="AB267" s="27" t="s">
        <v>7</v>
      </c>
      <c r="AD267" s="27" t="s">
        <v>7</v>
      </c>
      <c r="AE267" s="27" t="s">
        <v>8</v>
      </c>
      <c r="AG267" s="27" t="s">
        <v>8</v>
      </c>
      <c r="AH267" s="27" t="s">
        <v>7</v>
      </c>
      <c r="AI267" s="27" t="s">
        <v>8</v>
      </c>
      <c r="AR267" s="27" t="s">
        <v>7</v>
      </c>
      <c r="AS267" s="27" t="s">
        <v>8</v>
      </c>
      <c r="AX267" s="27" t="s">
        <v>7</v>
      </c>
      <c r="AY267" s="27" t="s">
        <v>8</v>
      </c>
      <c r="AZ267" s="27" t="s">
        <v>7</v>
      </c>
      <c r="BA267" s="27" t="s">
        <v>8</v>
      </c>
      <c r="BB267" s="27" t="s">
        <v>7</v>
      </c>
      <c r="BC267" s="27" t="s">
        <v>8</v>
      </c>
      <c r="BH267" s="27" t="s">
        <v>7</v>
      </c>
    </row>
    <row r="268" spans="1:64" x14ac:dyDescent="0.25">
      <c r="A268" s="30">
        <v>0.25509363714308075</v>
      </c>
      <c r="B268"/>
      <c r="C268"/>
      <c r="D268"/>
      <c r="E268"/>
      <c r="X268" s="27" t="s">
        <v>7</v>
      </c>
      <c r="Y268" s="27" t="s">
        <v>8</v>
      </c>
      <c r="Z268" s="27" t="s">
        <v>7</v>
      </c>
      <c r="AD268" s="27" t="s">
        <v>7</v>
      </c>
      <c r="AE268" s="27" t="s">
        <v>8</v>
      </c>
      <c r="AF268" s="27" t="s">
        <v>7</v>
      </c>
      <c r="AG268" s="27" t="s">
        <v>8</v>
      </c>
      <c r="AH268" s="27" t="s">
        <v>7</v>
      </c>
      <c r="AI268" s="27" t="s">
        <v>8</v>
      </c>
      <c r="AR268" s="27" t="s">
        <v>7</v>
      </c>
      <c r="AX268" s="27" t="s">
        <v>7</v>
      </c>
      <c r="AY268" s="27" t="s">
        <v>8</v>
      </c>
      <c r="AZ268" s="27" t="s">
        <v>7</v>
      </c>
      <c r="BA268" s="27" t="s">
        <v>8</v>
      </c>
      <c r="BB268" s="27" t="s">
        <v>7</v>
      </c>
    </row>
    <row r="269" spans="1:64" x14ac:dyDescent="0.25">
      <c r="A269" s="30">
        <v>0.24294632108864825</v>
      </c>
      <c r="B269"/>
      <c r="C269"/>
      <c r="D269"/>
      <c r="E269"/>
      <c r="X269" s="27" t="s">
        <v>7</v>
      </c>
      <c r="Y269" s="27" t="s">
        <v>8</v>
      </c>
      <c r="AD269" s="27" t="s">
        <v>7</v>
      </c>
      <c r="AE269" s="27" t="s">
        <v>8</v>
      </c>
      <c r="AF269" s="27" t="s">
        <v>7</v>
      </c>
      <c r="AG269" s="27" t="s">
        <v>8</v>
      </c>
      <c r="AH269" s="27" t="s">
        <v>7</v>
      </c>
      <c r="AI269" s="27" t="s">
        <v>8</v>
      </c>
      <c r="AX269" s="27" t="s">
        <v>7</v>
      </c>
      <c r="AY269" s="27" t="s">
        <v>8</v>
      </c>
      <c r="AZ269" s="27" t="s">
        <v>7</v>
      </c>
      <c r="BA269" s="27" t="s">
        <v>8</v>
      </c>
    </row>
    <row r="270" spans="1:64" x14ac:dyDescent="0.25">
      <c r="A270" s="30">
        <v>0.23137744865585538</v>
      </c>
      <c r="B270"/>
      <c r="C270"/>
      <c r="D270"/>
      <c r="E270"/>
      <c r="X270" s="27" t="s">
        <v>7</v>
      </c>
      <c r="Y270" s="27" t="s">
        <v>8</v>
      </c>
      <c r="AD270" s="27" t="s">
        <v>7</v>
      </c>
      <c r="AF270" s="27" t="s">
        <v>7</v>
      </c>
      <c r="AG270" s="27" t="s">
        <v>8</v>
      </c>
      <c r="AH270" s="27" t="s">
        <v>7</v>
      </c>
      <c r="AX270" s="27" t="s">
        <v>7</v>
      </c>
      <c r="AY270" s="27" t="s">
        <v>8</v>
      </c>
      <c r="AZ270" s="27" t="s">
        <v>7</v>
      </c>
      <c r="BA270" s="27" t="s">
        <v>8</v>
      </c>
    </row>
    <row r="271" spans="1:64" x14ac:dyDescent="0.25">
      <c r="A271" s="30">
        <v>0.22035947491033836</v>
      </c>
      <c r="B271"/>
      <c r="C271"/>
      <c r="D271"/>
      <c r="E271"/>
      <c r="X271" s="27" t="s">
        <v>7</v>
      </c>
      <c r="Y271" s="27" t="s">
        <v>8</v>
      </c>
      <c r="AF271" s="27" t="s">
        <v>7</v>
      </c>
      <c r="AX271" s="27" t="s">
        <v>7</v>
      </c>
      <c r="AY271" s="27" t="s">
        <v>8</v>
      </c>
      <c r="AZ271" s="27" t="s">
        <v>7</v>
      </c>
      <c r="BA271" s="27" t="s">
        <v>8</v>
      </c>
    </row>
    <row r="272" spans="1:64" x14ac:dyDescent="0.25">
      <c r="A272" s="30">
        <v>0.20986616658127455</v>
      </c>
      <c r="B272"/>
      <c r="C272"/>
      <c r="D272"/>
      <c r="E272"/>
      <c r="X272" s="27" t="s">
        <v>7</v>
      </c>
      <c r="Y272" s="27" t="s">
        <v>8</v>
      </c>
      <c r="AX272" s="27" t="s">
        <v>7</v>
      </c>
      <c r="AY272" s="27" t="s">
        <v>8</v>
      </c>
      <c r="AZ272" s="27" t="s">
        <v>7</v>
      </c>
    </row>
    <row r="273" spans="1:50" x14ac:dyDescent="0.25">
      <c r="A273" s="30">
        <v>0.19987253960121379</v>
      </c>
      <c r="B273"/>
      <c r="C273"/>
      <c r="D273"/>
      <c r="E273"/>
      <c r="X273" s="27" t="s">
        <v>7</v>
      </c>
      <c r="AX273" s="27" t="s">
        <v>7</v>
      </c>
    </row>
    <row r="274" spans="1:50" x14ac:dyDescent="0.25">
      <c r="A274" s="30">
        <v>0.19035479962020352</v>
      </c>
      <c r="B274"/>
      <c r="C274"/>
      <c r="D274"/>
      <c r="E274"/>
    </row>
    <row r="275" spans="1:50" x14ac:dyDescent="0.25">
      <c r="A275" s="30">
        <v>0.18129028535257471</v>
      </c>
      <c r="B275"/>
      <c r="C275"/>
      <c r="D275"/>
      <c r="E275"/>
    </row>
    <row r="276" spans="1:50" x14ac:dyDescent="0.25">
      <c r="A276" s="30">
        <v>0.17265741462149967</v>
      </c>
      <c r="B276"/>
      <c r="C276"/>
      <c r="D276"/>
      <c r="E276"/>
    </row>
    <row r="277" spans="1:50" x14ac:dyDescent="0.25">
      <c r="A277" s="30">
        <v>0.16443563297285677</v>
      </c>
      <c r="B277"/>
      <c r="C277"/>
      <c r="D277"/>
      <c r="E277"/>
    </row>
    <row r="278" spans="1:50" x14ac:dyDescent="0.25">
      <c r="A278" s="30">
        <v>0.15660536473605399</v>
      </c>
      <c r="B278"/>
      <c r="C278"/>
      <c r="D278"/>
      <c r="E278"/>
    </row>
    <row r="279" spans="1:50" x14ac:dyDescent="0.25">
      <c r="A279" s="30">
        <v>0.14914796641528946</v>
      </c>
      <c r="B279"/>
      <c r="C279"/>
      <c r="D279"/>
      <c r="E279"/>
    </row>
    <row r="280" spans="1:50" x14ac:dyDescent="0.25">
      <c r="A280" s="30">
        <v>0.14204568230027562</v>
      </c>
      <c r="B280"/>
      <c r="C280"/>
      <c r="D280"/>
      <c r="E280"/>
    </row>
    <row r="281" spans="1:50" x14ac:dyDescent="0.25">
      <c r="A281" s="30">
        <v>0.13528160219073862</v>
      </c>
      <c r="B281"/>
      <c r="C281"/>
      <c r="D281"/>
      <c r="E281"/>
    </row>
    <row r="282" spans="1:50" x14ac:dyDescent="0.25">
      <c r="A282" s="30">
        <v>0.12883962113403674</v>
      </c>
      <c r="B282"/>
      <c r="C282"/>
      <c r="D282"/>
      <c r="E282"/>
    </row>
    <row r="283" spans="1:50" x14ac:dyDescent="0.25">
      <c r="A283" s="30">
        <v>0.12270440108003494</v>
      </c>
      <c r="B283"/>
      <c r="C283"/>
      <c r="D283"/>
      <c r="E283"/>
    </row>
    <row r="284" spans="1:50" x14ac:dyDescent="0.25">
      <c r="A284" s="30">
        <v>0.11686133436193799</v>
      </c>
      <c r="B284"/>
      <c r="C284"/>
      <c r="D284"/>
      <c r="E284"/>
    </row>
    <row r="285" spans="1:50" x14ac:dyDescent="0.25">
      <c r="A285" s="30">
        <v>0.11129650891613138</v>
      </c>
      <c r="B285"/>
      <c r="C285"/>
      <c r="D285"/>
      <c r="E285"/>
    </row>
    <row r="286" spans="1:50" x14ac:dyDescent="0.25">
      <c r="A286" s="30">
        <v>0.10599667515822032</v>
      </c>
      <c r="B286"/>
      <c r="C286"/>
      <c r="D286"/>
      <c r="E286"/>
    </row>
    <row r="287" spans="1:50" x14ac:dyDescent="0.25">
      <c r="A287" s="30">
        <v>0.10094921443640027</v>
      </c>
      <c r="B287"/>
      <c r="C287"/>
      <c r="D287"/>
      <c r="E287"/>
    </row>
    <row r="288" spans="1:50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283" operator="equal">
      <formula>$U$1</formula>
    </cfRule>
    <cfRule type="cellIs" dxfId="67" priority="1284" operator="equal">
      <formula>$S$1</formula>
    </cfRule>
  </conditionalFormatting>
  <conditionalFormatting sqref="D136">
    <cfRule type="cellIs" dxfId="66" priority="1281" operator="equal">
      <formula>$S$1</formula>
    </cfRule>
    <cfRule type="cellIs" dxfId="65" priority="1282" operator="equal">
      <formula>$U$1</formula>
    </cfRule>
  </conditionalFormatting>
  <conditionalFormatting sqref="C162">
    <cfRule type="cellIs" dxfId="64" priority="1279" operator="equal">
      <formula>$U$1</formula>
    </cfRule>
    <cfRule type="cellIs" dxfId="63" priority="1280" operator="equal">
      <formula>$S$1</formula>
    </cfRule>
  </conditionalFormatting>
  <conditionalFormatting sqref="D162">
    <cfRule type="cellIs" dxfId="62" priority="1277" operator="equal">
      <formula>$S$1</formula>
    </cfRule>
    <cfRule type="cellIs" dxfId="61" priority="1278" operator="equal">
      <formula>$U$1</formula>
    </cfRule>
  </conditionalFormatting>
  <conditionalFormatting sqref="C187">
    <cfRule type="cellIs" dxfId="60" priority="1275" operator="equal">
      <formula>$U$1</formula>
    </cfRule>
    <cfRule type="cellIs" dxfId="59" priority="1276" operator="equal">
      <formula>$S$1</formula>
    </cfRule>
  </conditionalFormatting>
  <conditionalFormatting sqref="D187">
    <cfRule type="cellIs" dxfId="58" priority="1273" operator="equal">
      <formula>$S$1</formula>
    </cfRule>
    <cfRule type="cellIs" dxfId="57" priority="1274" operator="equal">
      <formula>$U$1</formula>
    </cfRule>
  </conditionalFormatting>
  <conditionalFormatting sqref="C212">
    <cfRule type="cellIs" dxfId="56" priority="1271" operator="equal">
      <formula>$U$1</formula>
    </cfRule>
    <cfRule type="cellIs" dxfId="55" priority="1272" operator="equal">
      <formula>$S$1</formula>
    </cfRule>
  </conditionalFormatting>
  <conditionalFormatting sqref="D212">
    <cfRule type="cellIs" dxfId="54" priority="1269" operator="equal">
      <formula>$S$1</formula>
    </cfRule>
    <cfRule type="cellIs" dxfId="53" priority="1270" operator="equal">
      <formula>$U$1</formula>
    </cfRule>
  </conditionalFormatting>
  <conditionalFormatting sqref="C237">
    <cfRule type="cellIs" dxfId="52" priority="1267" operator="equal">
      <formula>$U$1</formula>
    </cfRule>
    <cfRule type="cellIs" dxfId="51" priority="1268" operator="equal">
      <formula>$S$1</formula>
    </cfRule>
  </conditionalFormatting>
  <conditionalFormatting sqref="D237">
    <cfRule type="cellIs" dxfId="50" priority="1265" operator="equal">
      <formula>$S$1</formula>
    </cfRule>
    <cfRule type="cellIs" dxfId="49" priority="1266" operator="equal">
      <formula>$U$1</formula>
    </cfRule>
  </conditionalFormatting>
  <conditionalFormatting sqref="C106">
    <cfRule type="cellIs" dxfId="48" priority="1263" operator="equal">
      <formula>$U$1</formula>
    </cfRule>
    <cfRule type="cellIs" dxfId="47" priority="1264" operator="equal">
      <formula>$S$1</formula>
    </cfRule>
  </conditionalFormatting>
  <conditionalFormatting sqref="D106">
    <cfRule type="cellIs" dxfId="46" priority="1261" operator="equal">
      <formula>$S$1</formula>
    </cfRule>
    <cfRule type="cellIs" dxfId="45" priority="1262" operator="equal">
      <formula>$U$1</formula>
    </cfRule>
  </conditionalFormatting>
  <conditionalFormatting sqref="C81">
    <cfRule type="cellIs" dxfId="44" priority="1259" operator="equal">
      <formula>$U$1</formula>
    </cfRule>
    <cfRule type="cellIs" dxfId="43" priority="1260" operator="equal">
      <formula>$S$1</formula>
    </cfRule>
  </conditionalFormatting>
  <conditionalFormatting sqref="D81">
    <cfRule type="cellIs" dxfId="42" priority="1257" operator="equal">
      <formula>$S$1</formula>
    </cfRule>
    <cfRule type="cellIs" dxfId="41" priority="1258" operator="equal">
      <formula>$U$1</formula>
    </cfRule>
  </conditionalFormatting>
  <conditionalFormatting sqref="C56">
    <cfRule type="cellIs" dxfId="40" priority="1255" operator="equal">
      <formula>$U$1</formula>
    </cfRule>
    <cfRule type="cellIs" dxfId="39" priority="1256" operator="equal">
      <formula>$S$1</formula>
    </cfRule>
  </conditionalFormatting>
  <conditionalFormatting sqref="D56">
    <cfRule type="cellIs" dxfId="38" priority="1253" operator="equal">
      <formula>$S$1</formula>
    </cfRule>
    <cfRule type="cellIs" dxfId="37" priority="1254" operator="equal">
      <formula>$U$1</formula>
    </cfRule>
  </conditionalFormatting>
  <conditionalFormatting sqref="C31">
    <cfRule type="cellIs" dxfId="36" priority="1251" operator="equal">
      <formula>$U$1</formula>
    </cfRule>
    <cfRule type="cellIs" dxfId="35" priority="1252" operator="equal">
      <formula>$S$1</formula>
    </cfRule>
  </conditionalFormatting>
  <conditionalFormatting sqref="D31">
    <cfRule type="cellIs" dxfId="34" priority="1249" operator="equal">
      <formula>$S$1</formula>
    </cfRule>
    <cfRule type="cellIs" dxfId="33" priority="1250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82" zoomScale="90" zoomScaleNormal="90" workbookViewId="0">
      <pane xSplit="4" topLeftCell="AA1" activePane="topRight" state="frozen"/>
      <selection activeCell="A109" sqref="A109"/>
      <selection pane="topRight" activeCell="BV109" sqref="BV109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65" x14ac:dyDescent="0.25">
      <c r="A81" s="30">
        <v>45.259255568176073</v>
      </c>
      <c r="E81"/>
    </row>
    <row r="82" spans="1:65" x14ac:dyDescent="0.25">
      <c r="A82" s="30">
        <v>41.144777789250973</v>
      </c>
      <c r="E82"/>
    </row>
    <row r="83" spans="1:65" x14ac:dyDescent="0.25">
      <c r="A83" s="30">
        <v>37.404343444773609</v>
      </c>
      <c r="E83"/>
    </row>
    <row r="84" spans="1:65" x14ac:dyDescent="0.25">
      <c r="A84" s="30">
        <v>34.003948586157826</v>
      </c>
      <c r="E84"/>
    </row>
    <row r="85" spans="1:65" x14ac:dyDescent="0.25">
      <c r="A85" s="30">
        <v>30.912680532870748</v>
      </c>
      <c r="E85"/>
    </row>
    <row r="86" spans="1:65" x14ac:dyDescent="0.25">
      <c r="A86" s="30">
        <v>28.102436848064315</v>
      </c>
      <c r="E86"/>
    </row>
    <row r="87" spans="1:65" x14ac:dyDescent="0.25">
      <c r="A87" s="30">
        <v>25.547669861876649</v>
      </c>
      <c r="E87"/>
    </row>
    <row r="88" spans="1:65" x14ac:dyDescent="0.25">
      <c r="A88" s="30">
        <v>23.225154419887861</v>
      </c>
      <c r="E88"/>
      <c r="AY88" s="27" t="s">
        <v>8</v>
      </c>
    </row>
    <row r="89" spans="1:65" x14ac:dyDescent="0.25">
      <c r="A89" s="30">
        <v>21.113776745352599</v>
      </c>
      <c r="E89"/>
      <c r="AY89" s="34" t="s">
        <v>8</v>
      </c>
      <c r="AZ89" s="27" t="s">
        <v>7</v>
      </c>
    </row>
    <row r="90" spans="1:65" x14ac:dyDescent="0.25">
      <c r="A90" s="30">
        <v>19.194342495775089</v>
      </c>
      <c r="E90"/>
      <c r="AU90" s="32" t="s">
        <v>8</v>
      </c>
      <c r="AW90" s="32" t="s">
        <v>8</v>
      </c>
      <c r="AY90" s="27" t="s">
        <v>8</v>
      </c>
      <c r="AZ90" s="27" t="s">
        <v>7</v>
      </c>
      <c r="BA90" s="32" t="s">
        <v>8</v>
      </c>
      <c r="BC90" s="32" t="s">
        <v>8</v>
      </c>
    </row>
    <row r="91" spans="1:65" x14ac:dyDescent="0.25">
      <c r="A91" s="30">
        <v>17.449402268886445</v>
      </c>
      <c r="E91"/>
      <c r="AC91" s="27" t="s">
        <v>8</v>
      </c>
      <c r="AU91" s="27" t="s">
        <v>8</v>
      </c>
      <c r="AV91" s="27" t="s">
        <v>7</v>
      </c>
      <c r="AW91" s="27" t="s">
        <v>8</v>
      </c>
      <c r="AX91" s="27" t="s">
        <v>7</v>
      </c>
      <c r="AY91" s="27" t="s">
        <v>8</v>
      </c>
      <c r="AZ91" s="27" t="s">
        <v>7</v>
      </c>
      <c r="BA91" s="27" t="s">
        <v>8</v>
      </c>
      <c r="BB91" s="27" t="s">
        <v>7</v>
      </c>
      <c r="BC91" s="27" t="s">
        <v>8</v>
      </c>
      <c r="BD91" s="31" t="s">
        <v>7</v>
      </c>
    </row>
    <row r="92" spans="1:65" x14ac:dyDescent="0.25">
      <c r="A92" s="30">
        <v>15.863092971714948</v>
      </c>
      <c r="C92" s="1" t="s">
        <v>15</v>
      </c>
      <c r="E92"/>
      <c r="AC92" s="27" t="s">
        <v>8</v>
      </c>
      <c r="AD92" s="27" t="s">
        <v>7</v>
      </c>
      <c r="AE92" s="27" t="s">
        <v>8</v>
      </c>
      <c r="AU92" s="27" t="s">
        <v>8</v>
      </c>
      <c r="AV92" s="27" t="s">
        <v>7</v>
      </c>
      <c r="AW92" s="27" t="s">
        <v>8</v>
      </c>
      <c r="AX92" s="27" t="s">
        <v>7</v>
      </c>
      <c r="AY92" s="27" t="s">
        <v>8</v>
      </c>
      <c r="AZ92" s="27" t="s">
        <v>7</v>
      </c>
      <c r="BA92" s="27" t="s">
        <v>8</v>
      </c>
      <c r="BB92" s="27" t="s">
        <v>7</v>
      </c>
      <c r="BC92" s="27" t="s">
        <v>8</v>
      </c>
      <c r="BD92" s="27" t="s">
        <v>7</v>
      </c>
      <c r="BE92" s="31"/>
    </row>
    <row r="93" spans="1:65" x14ac:dyDescent="0.25">
      <c r="A93" s="30">
        <v>14.420993610649951</v>
      </c>
      <c r="C93" s="7">
        <v>0.11167815779424731</v>
      </c>
      <c r="D93"/>
      <c r="E93"/>
      <c r="AC93" s="27" t="s">
        <v>8</v>
      </c>
      <c r="AD93" s="27" t="s">
        <v>7</v>
      </c>
      <c r="AE93" s="27" t="s">
        <v>8</v>
      </c>
      <c r="AF93" s="27" t="s">
        <v>7</v>
      </c>
      <c r="AU93" s="27" t="s">
        <v>8</v>
      </c>
      <c r="AV93" s="27" t="s">
        <v>7</v>
      </c>
      <c r="AX93" s="27" t="s">
        <v>7</v>
      </c>
      <c r="AY93" s="27" t="s">
        <v>8</v>
      </c>
      <c r="AZ93" s="27" t="s">
        <v>7</v>
      </c>
      <c r="BA93" s="27" t="s">
        <v>8</v>
      </c>
      <c r="BB93" s="27" t="s">
        <v>7</v>
      </c>
      <c r="BC93" s="27" t="s">
        <v>8</v>
      </c>
      <c r="BD93" s="27" t="s">
        <v>7</v>
      </c>
      <c r="BF93" s="31"/>
    </row>
    <row r="94" spans="1:65" x14ac:dyDescent="0.25">
      <c r="A94" s="30">
        <v>13.109994191499954</v>
      </c>
      <c r="E94"/>
      <c r="AC94" s="27" t="s">
        <v>8</v>
      </c>
      <c r="AD94" s="27" t="s">
        <v>7</v>
      </c>
      <c r="AE94" s="27" t="s">
        <v>8</v>
      </c>
      <c r="AF94" s="27" t="s">
        <v>7</v>
      </c>
      <c r="AU94" s="27" t="s">
        <v>8</v>
      </c>
      <c r="AX94" s="33" t="s">
        <v>7</v>
      </c>
      <c r="AY94" s="27" t="s">
        <v>8</v>
      </c>
      <c r="AZ94" s="27" t="s">
        <v>7</v>
      </c>
      <c r="BA94" s="27" t="s">
        <v>8</v>
      </c>
      <c r="BB94" s="27" t="s">
        <v>7</v>
      </c>
      <c r="BD94" s="27" t="s">
        <v>7</v>
      </c>
      <c r="BG94" s="31"/>
    </row>
    <row r="95" spans="1:65" x14ac:dyDescent="0.25">
      <c r="A95" s="30">
        <v>11.918176537727231</v>
      </c>
      <c r="C95" s="1" t="s">
        <v>11</v>
      </c>
      <c r="D95" s="1" t="s">
        <v>12</v>
      </c>
      <c r="E95"/>
      <c r="AC95" s="27" t="s">
        <v>8</v>
      </c>
      <c r="AD95" s="27" t="s">
        <v>7</v>
      </c>
      <c r="AE95" s="27" t="s">
        <v>8</v>
      </c>
      <c r="AF95" s="27" t="s">
        <v>7</v>
      </c>
      <c r="AU95" s="27" t="s">
        <v>8</v>
      </c>
      <c r="AX95" s="27" t="s">
        <v>7</v>
      </c>
      <c r="AY95" s="27" t="s">
        <v>8</v>
      </c>
      <c r="AZ95" s="27" t="s">
        <v>7</v>
      </c>
      <c r="BD95" s="33" t="s">
        <v>7</v>
      </c>
      <c r="BH95" s="31"/>
    </row>
    <row r="96" spans="1:65" x14ac:dyDescent="0.25">
      <c r="A96" s="30">
        <v>10.834705943388391</v>
      </c>
      <c r="C96"/>
      <c r="D96"/>
      <c r="E96"/>
      <c r="AC96" s="27" t="s">
        <v>8</v>
      </c>
      <c r="AD96" s="27" t="s">
        <v>7</v>
      </c>
      <c r="AE96" s="27" t="s">
        <v>8</v>
      </c>
      <c r="AF96" s="27" t="s">
        <v>7</v>
      </c>
      <c r="AQ96" s="32" t="s">
        <v>8</v>
      </c>
      <c r="AS96" s="32" t="s">
        <v>8</v>
      </c>
      <c r="AU96" s="27" t="s">
        <v>8</v>
      </c>
      <c r="AX96" s="27" t="s">
        <v>7</v>
      </c>
      <c r="BD96" s="27" t="s">
        <v>7</v>
      </c>
      <c r="BE96" s="27" t="s">
        <v>8</v>
      </c>
      <c r="BI96" s="31"/>
      <c r="BM96" s="27" t="s">
        <v>8</v>
      </c>
    </row>
    <row r="97" spans="1:74" x14ac:dyDescent="0.25">
      <c r="A97" s="30">
        <v>9.849732675807628</v>
      </c>
      <c r="E97"/>
      <c r="AC97" s="27" t="s">
        <v>8</v>
      </c>
      <c r="AD97" s="27" t="s">
        <v>7</v>
      </c>
      <c r="AF97" s="27" t="s">
        <v>7</v>
      </c>
      <c r="AG97" s="27" t="s">
        <v>8</v>
      </c>
      <c r="AQ97" s="27" t="s">
        <v>8</v>
      </c>
      <c r="AR97" s="27" t="s">
        <v>7</v>
      </c>
      <c r="AS97" s="27" t="s">
        <v>8</v>
      </c>
      <c r="AT97" s="27" t="s">
        <v>7</v>
      </c>
      <c r="AU97" s="27" t="s">
        <v>8</v>
      </c>
      <c r="BD97" s="31" t="s">
        <v>7</v>
      </c>
      <c r="BE97" s="27" t="s">
        <v>8</v>
      </c>
      <c r="BF97" s="27" t="s">
        <v>7</v>
      </c>
      <c r="BI97" s="34" t="s">
        <v>8</v>
      </c>
      <c r="BJ97" s="31"/>
      <c r="BM97" s="27" t="s">
        <v>8</v>
      </c>
      <c r="BN97" s="27" t="s">
        <v>7</v>
      </c>
      <c r="BO97" s="27" t="s">
        <v>8</v>
      </c>
      <c r="BQ97" s="27" t="s">
        <v>8</v>
      </c>
    </row>
    <row r="98" spans="1:74" x14ac:dyDescent="0.25">
      <c r="A98" s="30">
        <v>8.9543024325523888</v>
      </c>
      <c r="C98" s="1" t="s">
        <v>13</v>
      </c>
      <c r="E98"/>
      <c r="AC98" s="27" t="s">
        <v>8</v>
      </c>
      <c r="AF98" s="33" t="s">
        <v>7</v>
      </c>
      <c r="AG98" s="27" t="s">
        <v>8</v>
      </c>
      <c r="AH98" s="27" t="s">
        <v>7</v>
      </c>
      <c r="AQ98" s="27" t="s">
        <v>8</v>
      </c>
      <c r="AR98" s="27" t="s">
        <v>7</v>
      </c>
      <c r="AS98" s="27" t="s">
        <v>8</v>
      </c>
      <c r="AT98" s="27" t="s">
        <v>7</v>
      </c>
      <c r="AU98" s="27" t="s">
        <v>8</v>
      </c>
      <c r="BC98" s="31"/>
      <c r="BD98" s="27" t="s">
        <v>7</v>
      </c>
      <c r="BE98" s="27" t="s">
        <v>8</v>
      </c>
      <c r="BF98" s="27" t="s">
        <v>7</v>
      </c>
      <c r="BG98" s="27" t="s">
        <v>8</v>
      </c>
      <c r="BI98" s="27" t="s">
        <v>8</v>
      </c>
      <c r="BJ98" s="27" t="s">
        <v>7</v>
      </c>
      <c r="BK98" s="31"/>
      <c r="BM98" s="27" t="s">
        <v>8</v>
      </c>
      <c r="BN98" s="27" t="s">
        <v>7</v>
      </c>
      <c r="BO98" s="27" t="s">
        <v>8</v>
      </c>
      <c r="BP98" s="27" t="s">
        <v>7</v>
      </c>
      <c r="BQ98" s="27" t="s">
        <v>8</v>
      </c>
      <c r="BR98" s="27" t="s">
        <v>7</v>
      </c>
      <c r="BS98" s="27" t="s">
        <v>8</v>
      </c>
    </row>
    <row r="99" spans="1:74" x14ac:dyDescent="0.25">
      <c r="A99" s="30">
        <v>8.140274938683989</v>
      </c>
      <c r="C99" s="1">
        <f>C88</f>
        <v>0</v>
      </c>
      <c r="E99"/>
      <c r="AC99" s="27" t="s">
        <v>8</v>
      </c>
      <c r="AF99" s="27" t="s">
        <v>7</v>
      </c>
      <c r="AG99" s="27" t="s">
        <v>8</v>
      </c>
      <c r="AH99" s="27" t="s">
        <v>7</v>
      </c>
      <c r="AQ99" s="34" t="s">
        <v>8</v>
      </c>
      <c r="AR99" s="27" t="s">
        <v>7</v>
      </c>
      <c r="AS99" s="27" t="s">
        <v>8</v>
      </c>
      <c r="AT99" s="27" t="s">
        <v>7</v>
      </c>
      <c r="AU99" s="27" t="s">
        <v>8</v>
      </c>
      <c r="BB99" s="31"/>
      <c r="BD99" s="27" t="s">
        <v>7</v>
      </c>
      <c r="BE99" s="27" t="s">
        <v>8</v>
      </c>
      <c r="BF99" s="27" t="s">
        <v>7</v>
      </c>
      <c r="BG99" s="27" t="s">
        <v>8</v>
      </c>
      <c r="BH99" s="27" t="s">
        <v>7</v>
      </c>
      <c r="BI99" s="27" t="s">
        <v>8</v>
      </c>
      <c r="BJ99" s="27" t="s">
        <v>7</v>
      </c>
      <c r="BL99" s="31"/>
      <c r="BM99" s="27" t="s">
        <v>8</v>
      </c>
      <c r="BN99" s="27" t="s">
        <v>7</v>
      </c>
      <c r="BO99" s="27" t="s">
        <v>8</v>
      </c>
      <c r="BP99" s="27" t="s">
        <v>7</v>
      </c>
      <c r="BQ99" s="27" t="s">
        <v>8</v>
      </c>
      <c r="BR99" s="27" t="s">
        <v>7</v>
      </c>
      <c r="BS99" s="27" t="s">
        <v>8</v>
      </c>
      <c r="BT99" s="27" t="s">
        <v>7</v>
      </c>
    </row>
    <row r="100" spans="1:74" x14ac:dyDescent="0.25">
      <c r="A100" s="30">
        <v>7.4002499442581717</v>
      </c>
      <c r="C100"/>
      <c r="D100"/>
      <c r="E100"/>
      <c r="AC100" s="27" t="s">
        <v>8</v>
      </c>
      <c r="AF100" s="27" t="s">
        <v>7</v>
      </c>
      <c r="AG100" s="27" t="s">
        <v>8</v>
      </c>
      <c r="AH100" s="27" t="s">
        <v>7</v>
      </c>
      <c r="AI100" s="27" t="s">
        <v>8</v>
      </c>
      <c r="AM100" s="32" t="s">
        <v>8</v>
      </c>
      <c r="AO100" s="32" t="s">
        <v>8</v>
      </c>
      <c r="AQ100" s="27" t="s">
        <v>8</v>
      </c>
      <c r="AR100" s="32" t="s">
        <v>7</v>
      </c>
      <c r="AT100" s="32" t="s">
        <v>7</v>
      </c>
      <c r="BA100" s="31"/>
      <c r="BD100" s="27" t="s">
        <v>7</v>
      </c>
      <c r="BE100" s="27" t="s">
        <v>8</v>
      </c>
      <c r="BF100" s="27" t="s">
        <v>7</v>
      </c>
      <c r="BG100" s="27" t="s">
        <v>8</v>
      </c>
      <c r="BH100" s="27" t="s">
        <v>7</v>
      </c>
      <c r="BI100" s="27" t="s">
        <v>8</v>
      </c>
      <c r="BJ100" s="27" t="s">
        <v>7</v>
      </c>
      <c r="BM100" s="31" t="s">
        <v>8</v>
      </c>
      <c r="BN100" s="27" t="s">
        <v>7</v>
      </c>
      <c r="BP100" s="27" t="s">
        <v>7</v>
      </c>
      <c r="BQ100" s="31" t="s">
        <v>8</v>
      </c>
      <c r="BR100" s="27" t="s">
        <v>7</v>
      </c>
      <c r="BS100" s="27" t="s">
        <v>8</v>
      </c>
      <c r="BT100" s="27" t="s">
        <v>7</v>
      </c>
    </row>
    <row r="101" spans="1:74" x14ac:dyDescent="0.25">
      <c r="A101" s="30">
        <v>6.72749994932561</v>
      </c>
      <c r="C101" s="1" t="s">
        <v>14</v>
      </c>
      <c r="E101"/>
      <c r="AC101" s="27" t="s">
        <v>8</v>
      </c>
      <c r="AF101" s="27" t="s">
        <v>7</v>
      </c>
      <c r="AH101" s="27" t="s">
        <v>7</v>
      </c>
      <c r="AI101" s="27" t="s">
        <v>8</v>
      </c>
      <c r="AJ101" s="27" t="s">
        <v>7</v>
      </c>
      <c r="AM101" s="27" t="s">
        <v>8</v>
      </c>
      <c r="AN101" s="27" t="s">
        <v>7</v>
      </c>
      <c r="AO101" s="27" t="s">
        <v>8</v>
      </c>
      <c r="AP101" s="27" t="s">
        <v>7</v>
      </c>
      <c r="AQ101" s="27" t="s">
        <v>8</v>
      </c>
      <c r="AZ101" s="31"/>
      <c r="BD101" s="27" t="s">
        <v>7</v>
      </c>
      <c r="BE101" s="27" t="s">
        <v>8</v>
      </c>
      <c r="BF101" s="27" t="s">
        <v>7</v>
      </c>
      <c r="BG101" s="27" t="s">
        <v>8</v>
      </c>
      <c r="BH101" s="27" t="s">
        <v>7</v>
      </c>
      <c r="BJ101" s="27" t="s">
        <v>7</v>
      </c>
      <c r="BK101" s="27" t="s">
        <v>8</v>
      </c>
      <c r="BM101" s="27" t="s">
        <v>8</v>
      </c>
      <c r="BN101" s="31"/>
      <c r="BP101" s="31" t="s">
        <v>7</v>
      </c>
      <c r="BR101" s="27" t="s">
        <v>7</v>
      </c>
      <c r="BT101" s="27" t="s">
        <v>7</v>
      </c>
      <c r="BU101" s="27" t="s">
        <v>8</v>
      </c>
    </row>
    <row r="102" spans="1:74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AC102" s="27" t="s">
        <v>8</v>
      </c>
      <c r="AH102" s="27" t="s">
        <v>7</v>
      </c>
      <c r="AI102" s="27" t="s">
        <v>8</v>
      </c>
      <c r="AJ102" s="27" t="s">
        <v>7</v>
      </c>
      <c r="AM102" s="34" t="s">
        <v>8</v>
      </c>
      <c r="AN102" s="27" t="s">
        <v>7</v>
      </c>
      <c r="AO102" s="27" t="s">
        <v>8</v>
      </c>
      <c r="AP102" s="27" t="s">
        <v>7</v>
      </c>
      <c r="AQ102" s="27" t="s">
        <v>8</v>
      </c>
      <c r="AY102" s="31"/>
      <c r="BD102" s="27" t="s">
        <v>7</v>
      </c>
      <c r="BE102" s="27" t="s">
        <v>8</v>
      </c>
      <c r="BF102" s="27" t="s">
        <v>7</v>
      </c>
      <c r="BG102" s="27" t="s">
        <v>8</v>
      </c>
      <c r="BJ102" s="33" t="s">
        <v>7</v>
      </c>
      <c r="BK102" s="27" t="s">
        <v>8</v>
      </c>
      <c r="BL102" s="27" t="s">
        <v>7</v>
      </c>
      <c r="BM102" s="27" t="s">
        <v>8</v>
      </c>
      <c r="BO102" s="31"/>
      <c r="BT102" s="27" t="s">
        <v>7</v>
      </c>
      <c r="BU102" s="27" t="s">
        <v>8</v>
      </c>
      <c r="BV102" s="27" t="s">
        <v>7</v>
      </c>
    </row>
    <row r="103" spans="1:74" x14ac:dyDescent="0.25">
      <c r="A103" s="30">
        <v>5.5599173134922388</v>
      </c>
      <c r="E103"/>
      <c r="AC103" s="27" t="s">
        <v>8</v>
      </c>
      <c r="AH103" s="27" t="s">
        <v>7</v>
      </c>
      <c r="AI103" s="27" t="s">
        <v>8</v>
      </c>
      <c r="AJ103" s="27" t="s">
        <v>7</v>
      </c>
      <c r="AK103" s="27" t="s">
        <v>8</v>
      </c>
      <c r="AM103" s="27" t="s">
        <v>8</v>
      </c>
      <c r="AN103" s="27" t="s">
        <v>7</v>
      </c>
      <c r="AP103" s="27" t="s">
        <v>7</v>
      </c>
      <c r="AQ103" s="27" t="s">
        <v>8</v>
      </c>
      <c r="AX103" s="31"/>
      <c r="BD103" s="32" t="s">
        <v>7</v>
      </c>
      <c r="BF103" s="32" t="s">
        <v>7</v>
      </c>
      <c r="BJ103" s="27" t="s">
        <v>7</v>
      </c>
      <c r="BK103" s="27" t="s">
        <v>8</v>
      </c>
      <c r="BL103" s="27" t="s">
        <v>7</v>
      </c>
      <c r="BM103" s="27" t="s">
        <v>8</v>
      </c>
      <c r="BN103" s="31"/>
      <c r="BT103" s="27" t="s">
        <v>7</v>
      </c>
      <c r="BU103" s="27" t="s">
        <v>8</v>
      </c>
      <c r="BV103" s="27" t="s">
        <v>7</v>
      </c>
    </row>
    <row r="104" spans="1:74" x14ac:dyDescent="0.25">
      <c r="A104" s="30">
        <v>5.0544702849929442</v>
      </c>
      <c r="E104"/>
      <c r="Y104" s="27" t="s">
        <v>8</v>
      </c>
      <c r="AC104" s="27" t="s">
        <v>8</v>
      </c>
      <c r="AH104" s="27" t="s">
        <v>7</v>
      </c>
      <c r="AJ104" s="27" t="s">
        <v>7</v>
      </c>
      <c r="AK104" s="27" t="s">
        <v>8</v>
      </c>
      <c r="AL104" s="27" t="s">
        <v>7</v>
      </c>
      <c r="AM104" s="27" t="s">
        <v>8</v>
      </c>
      <c r="AP104" s="33" t="s">
        <v>7</v>
      </c>
      <c r="AQ104" s="27" t="s">
        <v>8</v>
      </c>
      <c r="AW104" s="31"/>
      <c r="BJ104" s="27" t="s">
        <v>7</v>
      </c>
      <c r="BK104" s="27" t="s">
        <v>8</v>
      </c>
      <c r="BL104" s="19" t="s">
        <v>7</v>
      </c>
      <c r="BM104" s="31" t="s">
        <v>8</v>
      </c>
      <c r="BT104" s="27" t="s">
        <v>7</v>
      </c>
      <c r="BV104" s="27" t="s">
        <v>7</v>
      </c>
    </row>
    <row r="105" spans="1:74" x14ac:dyDescent="0.25">
      <c r="A105" s="30">
        <v>4.594972986357222</v>
      </c>
      <c r="E105"/>
      <c r="Y105" s="27" t="s">
        <v>8</v>
      </c>
      <c r="Z105" s="27" t="s">
        <v>7</v>
      </c>
      <c r="AC105" s="27" t="s">
        <v>8</v>
      </c>
      <c r="AJ105" s="27" t="s">
        <v>7</v>
      </c>
      <c r="AK105" s="27" t="s">
        <v>8</v>
      </c>
      <c r="AL105" s="27" t="s">
        <v>7</v>
      </c>
      <c r="AM105" s="27" t="s">
        <v>8</v>
      </c>
      <c r="AP105" s="27" t="s">
        <v>7</v>
      </c>
      <c r="AV105" s="31"/>
      <c r="BJ105" s="27" t="s">
        <v>7</v>
      </c>
      <c r="BK105" s="27" t="s">
        <v>8</v>
      </c>
      <c r="BL105" s="31" t="s">
        <v>7</v>
      </c>
      <c r="BV105" s="27" t="s">
        <v>7</v>
      </c>
    </row>
    <row r="106" spans="1:74" x14ac:dyDescent="0.25">
      <c r="A106" s="30">
        <v>4.1772481694156562</v>
      </c>
      <c r="E106"/>
      <c r="Y106" s="27" t="s">
        <v>8</v>
      </c>
      <c r="Z106" s="27" t="s">
        <v>7</v>
      </c>
      <c r="AA106" s="27" t="s">
        <v>8</v>
      </c>
      <c r="AC106" s="27" t="s">
        <v>8</v>
      </c>
      <c r="AJ106" s="27" t="s">
        <v>7</v>
      </c>
      <c r="AK106" s="27" t="s">
        <v>8</v>
      </c>
      <c r="AL106" s="27" t="s">
        <v>7</v>
      </c>
      <c r="AU106" s="31"/>
      <c r="BJ106" s="27" t="s">
        <v>7</v>
      </c>
      <c r="BV106" s="27" t="s">
        <v>7</v>
      </c>
    </row>
    <row r="107" spans="1:74" x14ac:dyDescent="0.25">
      <c r="A107" s="30">
        <v>3.7974983358324148</v>
      </c>
      <c r="E107"/>
      <c r="Y107" s="27" t="s">
        <v>8</v>
      </c>
      <c r="Z107" s="27" t="s">
        <v>7</v>
      </c>
      <c r="AA107" s="27" t="s">
        <v>8</v>
      </c>
      <c r="AB107" s="27" t="s">
        <v>7</v>
      </c>
      <c r="AC107" s="27" t="s">
        <v>8</v>
      </c>
      <c r="AJ107" s="27" t="s">
        <v>7</v>
      </c>
      <c r="AK107" s="27" t="s">
        <v>8</v>
      </c>
      <c r="AT107" s="31"/>
      <c r="BV107" s="27" t="s">
        <v>7</v>
      </c>
    </row>
    <row r="108" spans="1:74" x14ac:dyDescent="0.25">
      <c r="A108" s="30">
        <v>3.4522712143931042</v>
      </c>
      <c r="E108"/>
      <c r="Y108" s="27" t="s">
        <v>8</v>
      </c>
      <c r="Z108" s="27" t="s">
        <v>7</v>
      </c>
      <c r="AA108" s="27" t="s">
        <v>8</v>
      </c>
      <c r="AB108" s="27" t="s">
        <v>7</v>
      </c>
      <c r="AC108" s="27" t="s">
        <v>8</v>
      </c>
      <c r="AJ108" s="27" t="s">
        <v>7</v>
      </c>
      <c r="AS108" s="31"/>
      <c r="BV108" s="27" t="s">
        <v>7</v>
      </c>
    </row>
    <row r="109" spans="1:74" x14ac:dyDescent="0.25">
      <c r="A109" s="30">
        <v>3.1384283767210035</v>
      </c>
      <c r="E109"/>
      <c r="Y109" s="27" t="s">
        <v>8</v>
      </c>
      <c r="Z109" s="32" t="s">
        <v>7</v>
      </c>
      <c r="AA109" s="19"/>
      <c r="AB109" s="32" t="s">
        <v>7</v>
      </c>
      <c r="AR109" s="31"/>
      <c r="BV109" s="27" t="s">
        <v>7</v>
      </c>
    </row>
    <row r="110" spans="1:74" x14ac:dyDescent="0.25">
      <c r="A110" s="30">
        <v>2.8531167061100029</v>
      </c>
      <c r="E110"/>
      <c r="Y110" s="27" t="s">
        <v>8</v>
      </c>
      <c r="AQ110" s="31"/>
    </row>
    <row r="111" spans="1:74" x14ac:dyDescent="0.25">
      <c r="A111" s="30">
        <v>2.5937424601000023</v>
      </c>
      <c r="C111" s="1" t="str">
        <f>ADDRESS(C121-1,1,1,1)</f>
        <v>$A$108</v>
      </c>
      <c r="D111" s="1" t="str">
        <f>ADDRESS(C121-1,D121,1,1)</f>
        <v>$BV$108</v>
      </c>
      <c r="E111"/>
      <c r="Y111" s="27" t="s">
        <v>8</v>
      </c>
      <c r="AP111" s="31"/>
    </row>
    <row r="112" spans="1:74" x14ac:dyDescent="0.25">
      <c r="A112" s="30">
        <v>2.3579476910000019</v>
      </c>
      <c r="C112" s="1" t="str">
        <f>ADDRESS(C121,1,1,1)</f>
        <v>$A$109</v>
      </c>
      <c r="D112" s="1" t="str">
        <f>ADDRESS(C121,D121-1,1,1)</f>
        <v>$BU$109</v>
      </c>
      <c r="E112"/>
      <c r="Y112" s="27" t="s">
        <v>8</v>
      </c>
      <c r="AO112" s="31"/>
    </row>
    <row r="113" spans="1:40" x14ac:dyDescent="0.25">
      <c r="A113" s="30">
        <v>2.1435888100000016</v>
      </c>
      <c r="C113" s="1" t="str">
        <f>ADDRESS(C121+1,1,1,1)</f>
        <v>$A$110</v>
      </c>
      <c r="D113" s="1" t="str">
        <f>ADDRESS(C121-1,D121+1,1,1)</f>
        <v>$BW$108</v>
      </c>
      <c r="Y113" s="27" t="s">
        <v>8</v>
      </c>
      <c r="AN113" s="31"/>
    </row>
    <row r="114" spans="1:40" x14ac:dyDescent="0.25">
      <c r="A114" s="30">
        <v>1.9487171000000014</v>
      </c>
      <c r="C114" s="1" t="str">
        <f>ADDRESS(C121,D121,1,1)</f>
        <v>$BV$109</v>
      </c>
      <c r="D114" s="1" t="str">
        <f>ADDRESS(C121+1,D121+1,1,1)</f>
        <v>$BW$110</v>
      </c>
      <c r="W114" s="27" t="s">
        <v>8</v>
      </c>
      <c r="Y114" s="27" t="s">
        <v>8</v>
      </c>
      <c r="AM114" s="31"/>
    </row>
    <row r="115" spans="1:40" x14ac:dyDescent="0.25">
      <c r="A115" s="30">
        <v>1.7715610000000011</v>
      </c>
      <c r="C115" s="1" t="str">
        <f>ADDRESS(C121+1,D121,1,1)</f>
        <v>$BV$110</v>
      </c>
      <c r="U115" s="27" t="s">
        <v>8</v>
      </c>
      <c r="W115" s="27" t="s">
        <v>8</v>
      </c>
      <c r="X115" s="27" t="s">
        <v>7</v>
      </c>
      <c r="Y115" s="27" t="s">
        <v>8</v>
      </c>
      <c r="AL115" s="31"/>
    </row>
    <row r="116" spans="1:40" x14ac:dyDescent="0.25">
      <c r="A116" s="30">
        <v>1.6105100000000008</v>
      </c>
      <c r="C116" s="1">
        <f>C117-1</f>
        <v>108</v>
      </c>
      <c r="U116" s="27" t="s">
        <v>8</v>
      </c>
      <c r="V116" s="27" t="s">
        <v>7</v>
      </c>
      <c r="W116" s="27" t="s">
        <v>8</v>
      </c>
      <c r="X116" s="27" t="s">
        <v>7</v>
      </c>
      <c r="Y116" s="27" t="s">
        <v>8</v>
      </c>
      <c r="AK116" s="31"/>
    </row>
    <row r="117" spans="1:40" x14ac:dyDescent="0.25">
      <c r="A117" s="30">
        <v>1.4641000000000006</v>
      </c>
      <c r="C117" s="1">
        <f>C121</f>
        <v>109</v>
      </c>
      <c r="D117" s="1">
        <f>D121</f>
        <v>74</v>
      </c>
      <c r="U117" s="27" t="s">
        <v>8</v>
      </c>
      <c r="V117" s="27" t="s">
        <v>7</v>
      </c>
      <c r="W117" s="27" t="s">
        <v>8</v>
      </c>
      <c r="X117" s="27" t="s">
        <v>7</v>
      </c>
      <c r="Y117" s="27" t="s">
        <v>8</v>
      </c>
      <c r="AJ117" s="31"/>
    </row>
    <row r="118" spans="1:40" x14ac:dyDescent="0.25">
      <c r="A118" s="30">
        <v>1.3310000000000004</v>
      </c>
      <c r="C118" s="1">
        <f>C117+1</f>
        <v>110</v>
      </c>
      <c r="D118" s="1">
        <f>D117+1</f>
        <v>75</v>
      </c>
      <c r="U118" s="27" t="s">
        <v>8</v>
      </c>
      <c r="V118" s="27" t="s">
        <v>7</v>
      </c>
      <c r="X118" s="27" t="s">
        <v>7</v>
      </c>
      <c r="Y118" s="27" t="s">
        <v>8</v>
      </c>
      <c r="AI118" s="31"/>
    </row>
    <row r="119" spans="1:40" x14ac:dyDescent="0.25">
      <c r="A119" s="30">
        <v>1.2100000000000002</v>
      </c>
      <c r="S119" s="27" t="s">
        <v>8</v>
      </c>
      <c r="U119" s="27" t="s">
        <v>8</v>
      </c>
      <c r="X119" s="27" t="s">
        <v>7</v>
      </c>
      <c r="Y119" s="27" t="s">
        <v>8</v>
      </c>
      <c r="AH119" s="31"/>
    </row>
    <row r="120" spans="1:40" x14ac:dyDescent="0.25">
      <c r="A120" s="30">
        <v>1.1000000000000001</v>
      </c>
      <c r="C120" s="1" t="s">
        <v>9</v>
      </c>
      <c r="S120" s="27" t="s">
        <v>8</v>
      </c>
      <c r="T120" s="27" t="s">
        <v>7</v>
      </c>
      <c r="U120" s="27" t="s">
        <v>8</v>
      </c>
      <c r="X120" s="27" t="s">
        <v>7</v>
      </c>
      <c r="Y120" s="27" t="s">
        <v>8</v>
      </c>
      <c r="AG120" s="31"/>
    </row>
    <row r="121" spans="1:40" x14ac:dyDescent="0.25">
      <c r="A121" s="30">
        <v>1</v>
      </c>
      <c r="C121" s="18">
        <v>109</v>
      </c>
      <c r="D121" s="19">
        <v>74</v>
      </c>
      <c r="E121" s="18" t="s">
        <v>8</v>
      </c>
      <c r="S121" s="27" t="s">
        <v>8</v>
      </c>
      <c r="T121" s="27" t="s">
        <v>7</v>
      </c>
      <c r="U121" s="27" t="s">
        <v>8</v>
      </c>
      <c r="X121" s="27" t="s">
        <v>7</v>
      </c>
      <c r="AF121" s="31"/>
    </row>
    <row r="122" spans="1:40" x14ac:dyDescent="0.25">
      <c r="A122" s="30">
        <v>0.90909090909090895</v>
      </c>
      <c r="C122" s="1" t="str">
        <f>INDEX(1:1048576,C117,D117)</f>
        <v>O</v>
      </c>
      <c r="F122" s="27" t="s">
        <v>7</v>
      </c>
      <c r="S122" s="27" t="s">
        <v>8</v>
      </c>
      <c r="T122" s="27" t="s">
        <v>7</v>
      </c>
      <c r="U122" s="27" t="s">
        <v>8</v>
      </c>
      <c r="AE122" s="31"/>
    </row>
    <row r="123" spans="1:40" x14ac:dyDescent="0.25">
      <c r="A123" s="30">
        <v>0.82644628099173523</v>
      </c>
      <c r="C123" s="1" t="str">
        <f>"R"&amp;C121</f>
        <v>R109</v>
      </c>
      <c r="D123" s="1" t="str">
        <f>"C"&amp;D121</f>
        <v>C74</v>
      </c>
      <c r="F123" s="27" t="s">
        <v>7</v>
      </c>
      <c r="S123" s="27" t="s">
        <v>8</v>
      </c>
      <c r="T123" s="27" t="s">
        <v>7</v>
      </c>
      <c r="AD123" s="31"/>
    </row>
    <row r="124" spans="1:40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M124" s="27" t="s">
        <v>8</v>
      </c>
      <c r="S124" s="27" t="s">
        <v>8</v>
      </c>
      <c r="AC124" s="31"/>
    </row>
    <row r="125" spans="1:40" x14ac:dyDescent="0.25">
      <c r="A125" s="30">
        <v>0.68301345536507019</v>
      </c>
      <c r="F125" s="27" t="s">
        <v>7</v>
      </c>
      <c r="M125" s="27" t="s">
        <v>8</v>
      </c>
      <c r="N125" s="27" t="s">
        <v>7</v>
      </c>
      <c r="S125" s="27" t="s">
        <v>8</v>
      </c>
      <c r="AB125" s="31"/>
    </row>
    <row r="126" spans="1:40" x14ac:dyDescent="0.25">
      <c r="A126" s="30">
        <v>0.6209213230591546</v>
      </c>
      <c r="C126" s="1" t="s">
        <v>10</v>
      </c>
      <c r="F126" s="27" t="s">
        <v>7</v>
      </c>
      <c r="M126" s="27" t="s">
        <v>8</v>
      </c>
      <c r="N126" s="27" t="s">
        <v>7</v>
      </c>
      <c r="S126" s="27" t="s">
        <v>8</v>
      </c>
      <c r="AA126" s="31"/>
    </row>
    <row r="127" spans="1:40" x14ac:dyDescent="0.25">
      <c r="A127" s="30">
        <v>0.56447393005377677</v>
      </c>
      <c r="C127" s="30">
        <v>3.1384283767210035</v>
      </c>
      <c r="D127"/>
      <c r="F127" s="27" t="s">
        <v>7</v>
      </c>
      <c r="M127" s="27" t="s">
        <v>8</v>
      </c>
      <c r="N127" s="27" t="s">
        <v>7</v>
      </c>
      <c r="S127" s="27" t="s">
        <v>8</v>
      </c>
      <c r="Z127" s="31"/>
    </row>
    <row r="128" spans="1:40" x14ac:dyDescent="0.25">
      <c r="A128" s="30">
        <v>0.51315811823070612</v>
      </c>
      <c r="F128" s="27" t="s">
        <v>7</v>
      </c>
      <c r="K128" s="27" t="s">
        <v>8</v>
      </c>
      <c r="M128" s="27" t="s">
        <v>8</v>
      </c>
      <c r="N128" s="27" t="s">
        <v>7</v>
      </c>
      <c r="S128" s="27" t="s">
        <v>8</v>
      </c>
      <c r="Y128" s="31"/>
    </row>
    <row r="129" spans="1:24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K129" s="27" t="s">
        <v>8</v>
      </c>
      <c r="L129" s="27" t="s">
        <v>7</v>
      </c>
      <c r="M129" s="27" t="s">
        <v>8</v>
      </c>
      <c r="N129" s="27" t="s">
        <v>7</v>
      </c>
      <c r="S129" s="27" t="s">
        <v>8</v>
      </c>
      <c r="X129" s="31"/>
    </row>
    <row r="130" spans="1:24" x14ac:dyDescent="0.25">
      <c r="A130" s="30">
        <v>0.42409761837248428</v>
      </c>
      <c r="C130" s="6"/>
      <c r="D130" s="6"/>
      <c r="E130"/>
      <c r="F130" s="27" t="s">
        <v>7</v>
      </c>
      <c r="G130" s="27" t="s">
        <v>8</v>
      </c>
      <c r="I130" s="27" t="s">
        <v>8</v>
      </c>
      <c r="K130" s="27" t="s">
        <v>8</v>
      </c>
      <c r="L130" s="27" t="s">
        <v>7</v>
      </c>
      <c r="M130" s="27" t="s">
        <v>8</v>
      </c>
      <c r="N130" s="27" t="s">
        <v>7</v>
      </c>
      <c r="O130" s="27" t="s">
        <v>8</v>
      </c>
      <c r="S130" s="27" t="s">
        <v>8</v>
      </c>
      <c r="W130" s="31"/>
    </row>
    <row r="131" spans="1:24" x14ac:dyDescent="0.25">
      <c r="A131" s="30">
        <v>0.38554328942953109</v>
      </c>
      <c r="E131"/>
      <c r="F131" s="27" t="s">
        <v>7</v>
      </c>
      <c r="G131" s="27" t="s">
        <v>8</v>
      </c>
      <c r="H131" s="27" t="s">
        <v>7</v>
      </c>
      <c r="I131" s="27" t="s">
        <v>8</v>
      </c>
      <c r="J131" s="27" t="s">
        <v>7</v>
      </c>
      <c r="K131" s="27" t="s">
        <v>8</v>
      </c>
      <c r="L131" s="27" t="s">
        <v>7</v>
      </c>
      <c r="M131" s="27" t="s">
        <v>8</v>
      </c>
      <c r="N131" s="27" t="s">
        <v>7</v>
      </c>
      <c r="O131" s="27" t="s">
        <v>8</v>
      </c>
      <c r="P131" s="27" t="s">
        <v>7</v>
      </c>
      <c r="S131" s="27" t="s">
        <v>8</v>
      </c>
      <c r="V131" s="31"/>
    </row>
    <row r="132" spans="1:24" x14ac:dyDescent="0.25">
      <c r="A132" s="30">
        <v>0.35049389948139187</v>
      </c>
      <c r="C132" s="1" t="s">
        <v>13</v>
      </c>
      <c r="E132"/>
      <c r="F132" s="27" t="s">
        <v>7</v>
      </c>
      <c r="G132" s="27" t="s">
        <v>8</v>
      </c>
      <c r="H132" s="27" t="s">
        <v>7</v>
      </c>
      <c r="I132" s="27" t="s">
        <v>8</v>
      </c>
      <c r="J132" s="27" t="s">
        <v>7</v>
      </c>
      <c r="K132" s="27" t="s">
        <v>8</v>
      </c>
      <c r="L132" s="27" t="s">
        <v>7</v>
      </c>
      <c r="N132" s="27" t="s">
        <v>7</v>
      </c>
      <c r="O132" s="27" t="s">
        <v>8</v>
      </c>
      <c r="P132" s="27" t="s">
        <v>7</v>
      </c>
      <c r="Q132" s="27" t="s">
        <v>8</v>
      </c>
      <c r="S132" s="27" t="s">
        <v>8</v>
      </c>
      <c r="U132" s="31"/>
    </row>
    <row r="133" spans="1:24" x14ac:dyDescent="0.25">
      <c r="A133" s="30">
        <v>0.31863081771035617</v>
      </c>
      <c r="C133" s="1" t="str">
        <f>C122</f>
        <v>O</v>
      </c>
      <c r="E133"/>
      <c r="F133" s="27" t="s">
        <v>7</v>
      </c>
      <c r="G133" s="27" t="s">
        <v>8</v>
      </c>
      <c r="H133" s="27" t="s">
        <v>7</v>
      </c>
      <c r="I133" s="27" t="s">
        <v>8</v>
      </c>
      <c r="J133" s="27" t="s">
        <v>7</v>
      </c>
      <c r="K133" s="27" t="s">
        <v>8</v>
      </c>
      <c r="N133" s="27" t="s">
        <v>7</v>
      </c>
      <c r="O133" s="27" t="s">
        <v>8</v>
      </c>
      <c r="P133" s="27" t="s">
        <v>7</v>
      </c>
      <c r="Q133" s="27" t="s">
        <v>8</v>
      </c>
      <c r="R133" s="27" t="s">
        <v>7</v>
      </c>
      <c r="S133" s="27" t="s">
        <v>8</v>
      </c>
      <c r="T133" s="31"/>
    </row>
    <row r="134" spans="1:24" x14ac:dyDescent="0.25">
      <c r="A134" s="30">
        <v>0.28966437973668741</v>
      </c>
      <c r="C134"/>
      <c r="D134"/>
      <c r="E134"/>
      <c r="F134" s="27" t="s">
        <v>7</v>
      </c>
      <c r="G134" s="27" t="s">
        <v>8</v>
      </c>
      <c r="H134" s="27" t="s">
        <v>7</v>
      </c>
      <c r="J134" s="27" t="s">
        <v>7</v>
      </c>
      <c r="K134" s="27" t="s">
        <v>8</v>
      </c>
      <c r="N134" s="27" t="s">
        <v>7</v>
      </c>
      <c r="O134" s="27" t="s">
        <v>8</v>
      </c>
      <c r="P134" s="27" t="s">
        <v>7</v>
      </c>
      <c r="Q134" s="27" t="s">
        <v>8</v>
      </c>
      <c r="R134" s="27" t="s">
        <v>7</v>
      </c>
      <c r="S134" s="31" t="s">
        <v>8</v>
      </c>
    </row>
    <row r="135" spans="1:24" x14ac:dyDescent="0.25">
      <c r="A135" s="30">
        <v>0.2633312543060794</v>
      </c>
      <c r="C135" s="1" t="s">
        <v>14</v>
      </c>
      <c r="E135"/>
      <c r="F135" s="27" t="s">
        <v>7</v>
      </c>
      <c r="G135" s="27" t="s">
        <v>8</v>
      </c>
      <c r="J135" s="27" t="s">
        <v>7</v>
      </c>
      <c r="N135" s="27" t="s">
        <v>7</v>
      </c>
      <c r="O135" s="27" t="s">
        <v>8</v>
      </c>
      <c r="P135" s="27" t="s">
        <v>7</v>
      </c>
      <c r="Q135" s="27" t="s">
        <v>8</v>
      </c>
      <c r="R135" s="31" t="s">
        <v>7</v>
      </c>
    </row>
    <row r="136" spans="1:24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G136" s="27" t="s">
        <v>8</v>
      </c>
      <c r="N136" s="27" t="s">
        <v>7</v>
      </c>
      <c r="O136" s="27" t="s">
        <v>8</v>
      </c>
      <c r="P136" s="27" t="s">
        <v>7</v>
      </c>
      <c r="Q136" s="31" t="s">
        <v>8</v>
      </c>
    </row>
    <row r="137" spans="1:24" x14ac:dyDescent="0.25">
      <c r="A137" s="30">
        <v>0.2176291357901482</v>
      </c>
      <c r="E137"/>
      <c r="F137" s="27" t="s">
        <v>7</v>
      </c>
      <c r="N137" s="27" t="s">
        <v>7</v>
      </c>
      <c r="O137" s="27" t="s">
        <v>8</v>
      </c>
      <c r="P137" s="31" t="s">
        <v>7</v>
      </c>
    </row>
    <row r="138" spans="1:24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N138" s="27" t="s">
        <v>7</v>
      </c>
    </row>
    <row r="139" spans="1:24" x14ac:dyDescent="0.25">
      <c r="A139" s="30">
        <v>0.17985878990921333</v>
      </c>
      <c r="E139"/>
    </row>
    <row r="140" spans="1:24" x14ac:dyDescent="0.25">
      <c r="A140" s="30">
        <v>0.16350799082655756</v>
      </c>
      <c r="C140" s="1">
        <v>0</v>
      </c>
      <c r="E140"/>
    </row>
    <row r="141" spans="1:24" x14ac:dyDescent="0.25">
      <c r="A141" s="30">
        <v>0.14864362802414322</v>
      </c>
      <c r="C141" s="1">
        <v>1</v>
      </c>
      <c r="E141"/>
    </row>
    <row r="142" spans="1:24" x14ac:dyDescent="0.25">
      <c r="A142" s="30">
        <v>0.13513057093103928</v>
      </c>
      <c r="C142" s="1">
        <v>2</v>
      </c>
      <c r="E142"/>
    </row>
    <row r="143" spans="1:24" x14ac:dyDescent="0.25">
      <c r="A143" s="30">
        <v>0.12284597357367205</v>
      </c>
      <c r="C143" s="1">
        <v>3</v>
      </c>
      <c r="E143"/>
    </row>
    <row r="144" spans="1:24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162" operator="equal">
      <formula>$U$1</formula>
    </cfRule>
    <cfRule type="cellIs" dxfId="30" priority="1163" operator="equal">
      <formula>$S$1</formula>
    </cfRule>
  </conditionalFormatting>
  <conditionalFormatting sqref="D136">
    <cfRule type="cellIs" dxfId="29" priority="1160" operator="equal">
      <formula>$S$1</formula>
    </cfRule>
    <cfRule type="cellIs" dxfId="28" priority="1161" operator="equal">
      <formula>$U$1</formula>
    </cfRule>
  </conditionalFormatting>
  <conditionalFormatting sqref="C102">
    <cfRule type="cellIs" dxfId="27" priority="1158" operator="equal">
      <formula>$U$1</formula>
    </cfRule>
    <cfRule type="cellIs" dxfId="26" priority="1159" operator="equal">
      <formula>$S$1</formula>
    </cfRule>
  </conditionalFormatting>
  <conditionalFormatting sqref="D102">
    <cfRule type="cellIs" dxfId="25" priority="1156" operator="equal">
      <formula>$S$1</formula>
    </cfRule>
    <cfRule type="cellIs" dxfId="24" priority="1157" operator="equal">
      <formula>$U$1</formula>
    </cfRule>
  </conditionalFormatting>
  <conditionalFormatting sqref="C77">
    <cfRule type="cellIs" dxfId="23" priority="1154" operator="equal">
      <formula>$U$1</formula>
    </cfRule>
    <cfRule type="cellIs" dxfId="22" priority="1155" operator="equal">
      <formula>$S$1</formula>
    </cfRule>
  </conditionalFormatting>
  <conditionalFormatting sqref="D77">
    <cfRule type="cellIs" dxfId="21" priority="1152" operator="equal">
      <formula>$S$1</formula>
    </cfRule>
    <cfRule type="cellIs" dxfId="20" priority="1153" operator="equal">
      <formula>$U$1</formula>
    </cfRule>
  </conditionalFormatting>
  <conditionalFormatting sqref="C52">
    <cfRule type="cellIs" dxfId="19" priority="1150" operator="equal">
      <formula>$U$1</formula>
    </cfRule>
    <cfRule type="cellIs" dxfId="18" priority="1151" operator="equal">
      <formula>$S$1</formula>
    </cfRule>
  </conditionalFormatting>
  <conditionalFormatting sqref="D52">
    <cfRule type="cellIs" dxfId="17" priority="1148" operator="equal">
      <formula>$S$1</formula>
    </cfRule>
    <cfRule type="cellIs" dxfId="16" priority="1149" operator="equal">
      <formula>$U$1</formula>
    </cfRule>
  </conditionalFormatting>
  <conditionalFormatting sqref="C26">
    <cfRule type="cellIs" dxfId="15" priority="1146" operator="equal">
      <formula>$U$1</formula>
    </cfRule>
    <cfRule type="cellIs" dxfId="14" priority="1147" operator="equal">
      <formula>$S$1</formula>
    </cfRule>
  </conditionalFormatting>
  <conditionalFormatting sqref="D26">
    <cfRule type="cellIs" dxfId="13" priority="1144" operator="equal">
      <formula>$S$1</formula>
    </cfRule>
    <cfRule type="cellIs" dxfId="12" priority="1145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6" t="s">
        <v>17</v>
      </c>
      <c r="C1" s="36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4.3219423751506678</v>
      </c>
      <c r="F3" s="30">
        <v>4.5380394939082018</v>
      </c>
      <c r="G3" s="30">
        <v>8.9850077934928265</v>
      </c>
      <c r="H3" s="25">
        <f>IF(G3="","",(3*(G3-F3))+E3)</f>
        <v>17.662847273904539</v>
      </c>
      <c r="I3" s="7"/>
      <c r="J3" s="7">
        <f>(E3+G3)/2</f>
        <v>6.6534750843217472</v>
      </c>
      <c r="K3" s="7">
        <f>H3/2</f>
        <v>8.8314236369522696</v>
      </c>
      <c r="M3" s="26">
        <f>IF(OR(J3="",H3=""),"",H3/J3)</f>
        <v>2.6546800055696131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2022-01-28T01:14:12Z</dcterms:modified>
</cp:coreProperties>
</file>