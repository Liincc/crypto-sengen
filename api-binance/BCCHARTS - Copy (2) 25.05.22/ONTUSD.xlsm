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4C8AC75-8C84-45DA-A363-956067942A89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1195" i="1"/>
  <c r="Q1195" i="1" s="1"/>
  <c r="R1195" i="1" s="1"/>
  <c r="P1194" i="1"/>
  <c r="Q1194" i="1" s="1"/>
  <c r="P1193" i="1"/>
  <c r="Q1193" i="1" s="1"/>
  <c r="P1192" i="1"/>
  <c r="Q1192" i="1" s="1"/>
  <c r="P1191" i="1"/>
  <c r="Q1191" i="1" s="1"/>
  <c r="P1190" i="1"/>
  <c r="Q1190" i="1" s="1"/>
  <c r="P1189" i="1"/>
  <c r="Q1189" i="1" s="1"/>
  <c r="P1188" i="1"/>
  <c r="Q1188" i="1" s="1"/>
  <c r="P1187" i="1"/>
  <c r="Q1187" i="1" s="1"/>
  <c r="P1186" i="1"/>
  <c r="Q1186" i="1" s="1"/>
  <c r="P1185" i="1"/>
  <c r="Q1185" i="1" s="1"/>
  <c r="P1184" i="1"/>
  <c r="Q1184" i="1" s="1"/>
  <c r="P1183" i="1"/>
  <c r="Q1183" i="1" s="1"/>
  <c r="P1182" i="1"/>
  <c r="Q1182" i="1" s="1"/>
  <c r="P1181" i="1"/>
  <c r="Q1181" i="1" s="1"/>
  <c r="P1180" i="1"/>
  <c r="Q1180" i="1" s="1"/>
  <c r="P1179" i="1"/>
  <c r="Q1179" i="1" s="1"/>
  <c r="P1178" i="1"/>
  <c r="Q1178" i="1" s="1"/>
  <c r="P1177" i="1"/>
  <c r="Q1177" i="1" s="1"/>
  <c r="P1176" i="1"/>
  <c r="Q1176" i="1" s="1"/>
  <c r="P1175" i="1"/>
  <c r="Q1175" i="1" s="1"/>
  <c r="P1174" i="1"/>
  <c r="Q1174" i="1" s="1"/>
  <c r="P1173" i="1"/>
  <c r="Q1173" i="1" s="1"/>
  <c r="P1172" i="1"/>
  <c r="Q1172" i="1" s="1"/>
  <c r="P1171" i="1"/>
  <c r="Q1171" i="1" s="1"/>
  <c r="P1170" i="1"/>
  <c r="Q1170" i="1" s="1"/>
  <c r="P1169" i="1"/>
  <c r="Q1169" i="1" s="1"/>
  <c r="P1168" i="1"/>
  <c r="Q1168" i="1" s="1"/>
  <c r="P1167" i="1"/>
  <c r="Q1167" i="1" s="1"/>
  <c r="P1166" i="1"/>
  <c r="Q1166" i="1" s="1"/>
  <c r="P1165" i="1"/>
  <c r="Q1165" i="1" s="1"/>
  <c r="P1164" i="1"/>
  <c r="Q1164" i="1" s="1"/>
  <c r="P1163" i="1"/>
  <c r="Q1163" i="1" s="1"/>
  <c r="P1162" i="1"/>
  <c r="Q1162" i="1" s="1"/>
  <c r="P1161" i="1"/>
  <c r="Q1161" i="1" s="1"/>
  <c r="P1160" i="1"/>
  <c r="Q1160" i="1" s="1"/>
  <c r="P1159" i="1"/>
  <c r="Q1159" i="1" s="1"/>
  <c r="P1158" i="1"/>
  <c r="Q1158" i="1" s="1"/>
  <c r="P1157" i="1"/>
  <c r="Q1157" i="1" s="1"/>
  <c r="P1156" i="1"/>
  <c r="Q1156" i="1" s="1"/>
  <c r="P1155" i="1"/>
  <c r="Q1155" i="1" s="1"/>
  <c r="P1154" i="1"/>
  <c r="Q1154" i="1" s="1"/>
  <c r="P1153" i="1"/>
  <c r="Q1153" i="1" s="1"/>
  <c r="P1152" i="1"/>
  <c r="Q1152" i="1" s="1"/>
  <c r="P1151" i="1"/>
  <c r="Q1151" i="1" s="1"/>
  <c r="P1150" i="1"/>
  <c r="Q1150" i="1" s="1"/>
  <c r="P1149" i="1"/>
  <c r="Q1149" i="1" s="1"/>
  <c r="P1148" i="1"/>
  <c r="Q1148" i="1" s="1"/>
  <c r="P1147" i="1"/>
  <c r="Q1147" i="1" s="1"/>
  <c r="P1146" i="1"/>
  <c r="Q1146" i="1" s="1"/>
  <c r="P1145" i="1"/>
  <c r="Q1145" i="1" s="1"/>
  <c r="P1144" i="1"/>
  <c r="Q1144" i="1" s="1"/>
  <c r="P1143" i="1"/>
  <c r="Q1143" i="1" s="1"/>
  <c r="P1142" i="1"/>
  <c r="Q1142" i="1" s="1"/>
  <c r="P1141" i="1"/>
  <c r="Q1141" i="1" s="1"/>
  <c r="P1140" i="1"/>
  <c r="Q1140" i="1" s="1"/>
  <c r="P1139" i="1"/>
  <c r="Q1139" i="1" s="1"/>
  <c r="P1138" i="1"/>
  <c r="Q1138" i="1" s="1"/>
  <c r="P1137" i="1"/>
  <c r="Q1137" i="1" s="1"/>
  <c r="P1136" i="1"/>
  <c r="Q1136" i="1" s="1"/>
  <c r="P1135" i="1"/>
  <c r="Q1135" i="1" s="1"/>
  <c r="P1134" i="1"/>
  <c r="Q1134" i="1" s="1"/>
  <c r="P1133" i="1"/>
  <c r="Q1133" i="1" s="1"/>
  <c r="P1132" i="1"/>
  <c r="Q1132" i="1" s="1"/>
  <c r="P1131" i="1"/>
  <c r="Q1131" i="1" s="1"/>
  <c r="P1130" i="1"/>
  <c r="Q1130" i="1" s="1"/>
  <c r="P1129" i="1"/>
  <c r="Q1129" i="1" s="1"/>
  <c r="P1128" i="1"/>
  <c r="Q1128" i="1" s="1"/>
  <c r="P1127" i="1"/>
  <c r="Q1127" i="1" s="1"/>
  <c r="P1126" i="1"/>
  <c r="Q1126" i="1" s="1"/>
  <c r="P1125" i="1"/>
  <c r="Q1125" i="1" s="1"/>
  <c r="P1124" i="1"/>
  <c r="Q1124" i="1" s="1"/>
  <c r="P1123" i="1"/>
  <c r="Q1123" i="1" s="1"/>
  <c r="P1122" i="1"/>
  <c r="Q1122" i="1" s="1"/>
  <c r="P1121" i="1"/>
  <c r="Q1121" i="1" s="1"/>
  <c r="P1120" i="1"/>
  <c r="Q1120" i="1" s="1"/>
  <c r="P1119" i="1"/>
  <c r="Q1119" i="1" s="1"/>
  <c r="P1118" i="1"/>
  <c r="Q1118" i="1" s="1"/>
  <c r="P1117" i="1"/>
  <c r="Q1117" i="1" s="1"/>
  <c r="P1116" i="1"/>
  <c r="Q1116" i="1" s="1"/>
  <c r="P1115" i="1"/>
  <c r="Q1115" i="1" s="1"/>
  <c r="P1114" i="1"/>
  <c r="Q1114" i="1" s="1"/>
  <c r="P1113" i="1"/>
  <c r="Q1113" i="1" s="1"/>
  <c r="P1112" i="1"/>
  <c r="Q1112" i="1" s="1"/>
  <c r="P1111" i="1"/>
  <c r="Q1111" i="1" s="1"/>
  <c r="P1110" i="1"/>
  <c r="Q1110" i="1" s="1"/>
  <c r="P1109" i="1"/>
  <c r="Q1109" i="1" s="1"/>
  <c r="P1108" i="1"/>
  <c r="Q1108" i="1" s="1"/>
  <c r="P1107" i="1"/>
  <c r="Q1107" i="1" s="1"/>
  <c r="P1106" i="1"/>
  <c r="Q1106" i="1" s="1"/>
  <c r="P1105" i="1"/>
  <c r="Q1105" i="1" s="1"/>
  <c r="P1104" i="1"/>
  <c r="Q1104" i="1" s="1"/>
  <c r="P1103" i="1"/>
  <c r="Q1103" i="1" s="1"/>
  <c r="P1102" i="1"/>
  <c r="Q1102" i="1" s="1"/>
  <c r="P1101" i="1"/>
  <c r="Q1101" i="1" s="1"/>
  <c r="P1100" i="1"/>
  <c r="Q1100" i="1" s="1"/>
  <c r="P1099" i="1"/>
  <c r="Q1099" i="1" s="1"/>
  <c r="P1098" i="1"/>
  <c r="Q1098" i="1" s="1"/>
  <c r="P1097" i="1"/>
  <c r="Q1097" i="1" s="1"/>
  <c r="P1096" i="1"/>
  <c r="Q1096" i="1" s="1"/>
  <c r="P1095" i="1"/>
  <c r="Q1095" i="1" s="1"/>
  <c r="P1094" i="1"/>
  <c r="Q1094" i="1" s="1"/>
  <c r="P1093" i="1"/>
  <c r="Q1093" i="1" s="1"/>
  <c r="P1092" i="1"/>
  <c r="Q1092" i="1" s="1"/>
  <c r="P1091" i="1"/>
  <c r="Q1091" i="1" s="1"/>
  <c r="P1090" i="1"/>
  <c r="Q1090" i="1" s="1"/>
  <c r="P1089" i="1"/>
  <c r="Q1089" i="1" s="1"/>
  <c r="P1088" i="1"/>
  <c r="Q1088" i="1" s="1"/>
  <c r="P1087" i="1"/>
  <c r="Q1087" i="1" s="1"/>
  <c r="P1086" i="1"/>
  <c r="Q1086" i="1" s="1"/>
  <c r="P1085" i="1"/>
  <c r="Q1085" i="1" s="1"/>
  <c r="P1084" i="1"/>
  <c r="Q1084" i="1" s="1"/>
  <c r="P1083" i="1"/>
  <c r="Q1083" i="1" s="1"/>
  <c r="P1082" i="1"/>
  <c r="Q1082" i="1" s="1"/>
  <c r="P1081" i="1"/>
  <c r="Q1081" i="1" s="1"/>
  <c r="P1080" i="1"/>
  <c r="Q1080" i="1" s="1"/>
  <c r="P1079" i="1"/>
  <c r="Q1079" i="1" s="1"/>
  <c r="P1078" i="1"/>
  <c r="Q1078" i="1" s="1"/>
  <c r="P1077" i="1"/>
  <c r="Q1077" i="1" s="1"/>
  <c r="P1076" i="1"/>
  <c r="Q1076" i="1" s="1"/>
  <c r="P1075" i="1"/>
  <c r="Q1075" i="1" s="1"/>
  <c r="P1074" i="1"/>
  <c r="Q1074" i="1" s="1"/>
  <c r="P1073" i="1"/>
  <c r="Q1073" i="1" s="1"/>
  <c r="P1072" i="1"/>
  <c r="Q1072" i="1" s="1"/>
  <c r="P1071" i="1"/>
  <c r="Q1071" i="1" s="1"/>
  <c r="P1070" i="1"/>
  <c r="Q1070" i="1" s="1"/>
  <c r="P1069" i="1"/>
  <c r="Q1069" i="1" s="1"/>
  <c r="P1068" i="1"/>
  <c r="Q1068" i="1" s="1"/>
  <c r="P1067" i="1"/>
  <c r="Q1067" i="1" s="1"/>
  <c r="P1066" i="1"/>
  <c r="Q1066" i="1" s="1"/>
  <c r="P1065" i="1"/>
  <c r="Q1065" i="1" s="1"/>
  <c r="P1064" i="1"/>
  <c r="Q1064" i="1" s="1"/>
  <c r="P1063" i="1"/>
  <c r="Q1063" i="1" s="1"/>
  <c r="P1062" i="1"/>
  <c r="Q1062" i="1" s="1"/>
  <c r="P1061" i="1"/>
  <c r="Q1061" i="1" s="1"/>
  <c r="P1060" i="1"/>
  <c r="Q1060" i="1" s="1"/>
  <c r="P1059" i="1"/>
  <c r="Q1059" i="1" s="1"/>
  <c r="P1058" i="1"/>
  <c r="Q1058" i="1" s="1"/>
  <c r="P1057" i="1"/>
  <c r="Q1057" i="1" s="1"/>
  <c r="P1056" i="1"/>
  <c r="Q1056" i="1" s="1"/>
  <c r="P1055" i="1"/>
  <c r="Q1055" i="1" s="1"/>
  <c r="P1054" i="1"/>
  <c r="Q1054" i="1" s="1"/>
  <c r="P1053" i="1"/>
  <c r="Q1053" i="1" s="1"/>
  <c r="P1052" i="1"/>
  <c r="Q1052" i="1" s="1"/>
  <c r="P1051" i="1"/>
  <c r="Q1051" i="1" s="1"/>
  <c r="P1050" i="1"/>
  <c r="Q1050" i="1" s="1"/>
  <c r="P1049" i="1"/>
  <c r="Q1049" i="1" s="1"/>
  <c r="P1048" i="1"/>
  <c r="Q1048" i="1" s="1"/>
  <c r="P1047" i="1"/>
  <c r="Q1047" i="1" s="1"/>
  <c r="P1046" i="1"/>
  <c r="Q1046" i="1" s="1"/>
  <c r="P1045" i="1"/>
  <c r="Q1045" i="1" s="1"/>
  <c r="P1044" i="1"/>
  <c r="Q1044" i="1" s="1"/>
  <c r="P1043" i="1"/>
  <c r="Q1043" i="1" s="1"/>
  <c r="P1042" i="1"/>
  <c r="Q1042" i="1" s="1"/>
  <c r="P1041" i="1"/>
  <c r="Q1041" i="1" s="1"/>
  <c r="P1040" i="1"/>
  <c r="Q1040" i="1" s="1"/>
  <c r="P1039" i="1"/>
  <c r="Q1039" i="1" s="1"/>
  <c r="P1038" i="1"/>
  <c r="Q1038" i="1" s="1"/>
  <c r="P1037" i="1"/>
  <c r="Q1037" i="1" s="1"/>
  <c r="P1036" i="1"/>
  <c r="Q1036" i="1" s="1"/>
  <c r="P1035" i="1"/>
  <c r="Q1035" i="1" s="1"/>
  <c r="P1034" i="1"/>
  <c r="Q1034" i="1" s="1"/>
  <c r="P1033" i="1"/>
  <c r="Q1033" i="1" s="1"/>
  <c r="P1032" i="1"/>
  <c r="Q1032" i="1" s="1"/>
  <c r="P1031" i="1"/>
  <c r="Q1031" i="1" s="1"/>
  <c r="P1030" i="1"/>
  <c r="Q1030" i="1" s="1"/>
  <c r="P1029" i="1"/>
  <c r="Q1029" i="1" s="1"/>
  <c r="P1028" i="1"/>
  <c r="Q1028" i="1" s="1"/>
  <c r="P1027" i="1"/>
  <c r="Q1027" i="1" s="1"/>
  <c r="P1026" i="1"/>
  <c r="Q1026" i="1" s="1"/>
  <c r="P1025" i="1"/>
  <c r="Q1025" i="1" s="1"/>
  <c r="P1024" i="1"/>
  <c r="Q1024" i="1" s="1"/>
  <c r="P1023" i="1"/>
  <c r="Q1023" i="1" s="1"/>
  <c r="P1022" i="1"/>
  <c r="Q1022" i="1" s="1"/>
  <c r="P1021" i="1"/>
  <c r="Q1021" i="1" s="1"/>
  <c r="P1020" i="1"/>
  <c r="Q1020" i="1" s="1"/>
  <c r="P1019" i="1"/>
  <c r="Q1019" i="1" s="1"/>
  <c r="P1018" i="1"/>
  <c r="Q1018" i="1" s="1"/>
  <c r="P1017" i="1"/>
  <c r="Q1017" i="1" s="1"/>
  <c r="P1016" i="1"/>
  <c r="Q1016" i="1" s="1"/>
  <c r="P1015" i="1"/>
  <c r="Q1015" i="1" s="1"/>
  <c r="P1014" i="1"/>
  <c r="Q1014" i="1" s="1"/>
  <c r="P1013" i="1"/>
  <c r="Q1013" i="1" s="1"/>
  <c r="P1012" i="1"/>
  <c r="Q1012" i="1" s="1"/>
  <c r="P1011" i="1"/>
  <c r="Q1011" i="1" s="1"/>
  <c r="P1010" i="1"/>
  <c r="Q1010" i="1" s="1"/>
  <c r="P1009" i="1"/>
  <c r="Q1009" i="1" s="1"/>
  <c r="P1008" i="1"/>
  <c r="Q1008" i="1" s="1"/>
  <c r="P1007" i="1"/>
  <c r="Q1007" i="1" s="1"/>
  <c r="P1006" i="1"/>
  <c r="Q1006" i="1" s="1"/>
  <c r="P1005" i="1"/>
  <c r="Q1005" i="1" s="1"/>
  <c r="P1004" i="1"/>
  <c r="Q1004" i="1" s="1"/>
  <c r="P1003" i="1"/>
  <c r="Q1003" i="1" s="1"/>
  <c r="P1002" i="1"/>
  <c r="Q1002" i="1" s="1"/>
  <c r="P1001" i="1"/>
  <c r="Q1001" i="1" s="1"/>
  <c r="P1000" i="1"/>
  <c r="Q1000" i="1" s="1"/>
  <c r="P999" i="1"/>
  <c r="Q999" i="1" s="1"/>
  <c r="P998" i="1"/>
  <c r="Q998" i="1" s="1"/>
  <c r="P997" i="1"/>
  <c r="Q997" i="1" s="1"/>
  <c r="P996" i="1"/>
  <c r="Q996" i="1" s="1"/>
  <c r="P995" i="1"/>
  <c r="Q995" i="1" s="1"/>
  <c r="P994" i="1"/>
  <c r="Q994" i="1" s="1"/>
  <c r="P993" i="1"/>
  <c r="Q993" i="1" s="1"/>
  <c r="P992" i="1"/>
  <c r="Q992" i="1" s="1"/>
  <c r="P991" i="1"/>
  <c r="Q991" i="1" s="1"/>
  <c r="P990" i="1"/>
  <c r="Q990" i="1" s="1"/>
  <c r="P989" i="1"/>
  <c r="Q989" i="1" s="1"/>
  <c r="P988" i="1"/>
  <c r="Q988" i="1" s="1"/>
  <c r="P987" i="1"/>
  <c r="Q987" i="1" s="1"/>
  <c r="P986" i="1"/>
  <c r="Q986" i="1" s="1"/>
  <c r="P985" i="1"/>
  <c r="Q985" i="1" s="1"/>
  <c r="P984" i="1"/>
  <c r="Q984" i="1" s="1"/>
  <c r="P983" i="1"/>
  <c r="Q983" i="1" s="1"/>
  <c r="P982" i="1"/>
  <c r="Q982" i="1" s="1"/>
  <c r="P981" i="1"/>
  <c r="Q981" i="1" s="1"/>
  <c r="P980" i="1"/>
  <c r="Q980" i="1" s="1"/>
  <c r="P979" i="1"/>
  <c r="Q979" i="1" s="1"/>
  <c r="P978" i="1"/>
  <c r="Q978" i="1" s="1"/>
  <c r="P977" i="1"/>
  <c r="Q977" i="1" s="1"/>
  <c r="P976" i="1"/>
  <c r="Q976" i="1" s="1"/>
  <c r="P975" i="1"/>
  <c r="Q975" i="1" s="1"/>
  <c r="P974" i="1"/>
  <c r="Q974" i="1" s="1"/>
  <c r="P973" i="1"/>
  <c r="Q973" i="1" s="1"/>
  <c r="P972" i="1"/>
  <c r="Q972" i="1" s="1"/>
  <c r="P971" i="1"/>
  <c r="Q971" i="1" s="1"/>
  <c r="P970" i="1"/>
  <c r="Q970" i="1" s="1"/>
  <c r="P969" i="1"/>
  <c r="Q969" i="1" s="1"/>
  <c r="P968" i="1"/>
  <c r="Q968" i="1" s="1"/>
  <c r="P967" i="1"/>
  <c r="Q967" i="1" s="1"/>
  <c r="P966" i="1"/>
  <c r="Q966" i="1" s="1"/>
  <c r="P965" i="1"/>
  <c r="Q965" i="1" s="1"/>
  <c r="P964" i="1"/>
  <c r="Q964" i="1" s="1"/>
  <c r="P963" i="1"/>
  <c r="Q963" i="1" s="1"/>
  <c r="P962" i="1"/>
  <c r="Q962" i="1" s="1"/>
  <c r="P961" i="1"/>
  <c r="Q961" i="1" s="1"/>
  <c r="P960" i="1"/>
  <c r="Q960" i="1" s="1"/>
  <c r="P959" i="1"/>
  <c r="Q959" i="1" s="1"/>
  <c r="P958" i="1"/>
  <c r="Q958" i="1" s="1"/>
  <c r="P957" i="1"/>
  <c r="Q957" i="1" s="1"/>
  <c r="P956" i="1"/>
  <c r="Q956" i="1" s="1"/>
  <c r="P955" i="1"/>
  <c r="Q955" i="1" s="1"/>
  <c r="P954" i="1"/>
  <c r="Q954" i="1" s="1"/>
  <c r="P953" i="1"/>
  <c r="Q953" i="1" s="1"/>
  <c r="P952" i="1"/>
  <c r="Q952" i="1" s="1"/>
  <c r="P951" i="1"/>
  <c r="Q951" i="1" s="1"/>
  <c r="P950" i="1"/>
  <c r="Q950" i="1" s="1"/>
  <c r="P949" i="1"/>
  <c r="Q949" i="1" s="1"/>
  <c r="P948" i="1"/>
  <c r="Q948" i="1" s="1"/>
  <c r="P947" i="1"/>
  <c r="Q947" i="1" s="1"/>
  <c r="P946" i="1"/>
  <c r="Q946" i="1" s="1"/>
  <c r="P945" i="1"/>
  <c r="Q945" i="1" s="1"/>
  <c r="P944" i="1"/>
  <c r="Q944" i="1" s="1"/>
  <c r="P943" i="1"/>
  <c r="Q943" i="1" s="1"/>
  <c r="P942" i="1"/>
  <c r="Q942" i="1" s="1"/>
  <c r="P941" i="1"/>
  <c r="Q941" i="1" s="1"/>
  <c r="P940" i="1"/>
  <c r="Q940" i="1" s="1"/>
  <c r="P939" i="1"/>
  <c r="Q939" i="1" s="1"/>
  <c r="P938" i="1"/>
  <c r="Q938" i="1" s="1"/>
  <c r="P937" i="1"/>
  <c r="Q937" i="1" s="1"/>
  <c r="P936" i="1"/>
  <c r="Q936" i="1" s="1"/>
  <c r="P935" i="1"/>
  <c r="Q935" i="1" s="1"/>
  <c r="P934" i="1"/>
  <c r="Q934" i="1" s="1"/>
  <c r="P933" i="1"/>
  <c r="Q933" i="1" s="1"/>
  <c r="P932" i="1"/>
  <c r="Q932" i="1" s="1"/>
  <c r="P931" i="1"/>
  <c r="Q931" i="1" s="1"/>
  <c r="P930" i="1"/>
  <c r="Q930" i="1" s="1"/>
  <c r="P929" i="1"/>
  <c r="Q929" i="1" s="1"/>
  <c r="P928" i="1"/>
  <c r="Q928" i="1" s="1"/>
  <c r="P927" i="1"/>
  <c r="Q927" i="1" s="1"/>
  <c r="P926" i="1"/>
  <c r="Q926" i="1" s="1"/>
  <c r="P925" i="1"/>
  <c r="Q925" i="1" s="1"/>
  <c r="P924" i="1"/>
  <c r="Q924" i="1" s="1"/>
  <c r="P923" i="1"/>
  <c r="Q923" i="1" s="1"/>
  <c r="P922" i="1"/>
  <c r="Q922" i="1" s="1"/>
  <c r="P921" i="1"/>
  <c r="Q921" i="1" s="1"/>
  <c r="P920" i="1"/>
  <c r="Q920" i="1" s="1"/>
  <c r="P919" i="1"/>
  <c r="Q919" i="1" s="1"/>
  <c r="P918" i="1"/>
  <c r="Q918" i="1" s="1"/>
  <c r="P917" i="1"/>
  <c r="Q917" i="1" s="1"/>
  <c r="P916" i="1"/>
  <c r="Q916" i="1" s="1"/>
  <c r="P915" i="1"/>
  <c r="Q915" i="1" s="1"/>
  <c r="P914" i="1"/>
  <c r="Q914" i="1" s="1"/>
  <c r="P913" i="1"/>
  <c r="Q913" i="1" s="1"/>
  <c r="P912" i="1"/>
  <c r="Q912" i="1" s="1"/>
  <c r="P911" i="1"/>
  <c r="Q911" i="1" s="1"/>
  <c r="P910" i="1"/>
  <c r="Q910" i="1" s="1"/>
  <c r="P909" i="1"/>
  <c r="Q909" i="1" s="1"/>
  <c r="P908" i="1"/>
  <c r="Q908" i="1" s="1"/>
  <c r="P907" i="1"/>
  <c r="Q907" i="1" s="1"/>
  <c r="P906" i="1"/>
  <c r="Q906" i="1" s="1"/>
  <c r="P905" i="1"/>
  <c r="Q905" i="1" s="1"/>
  <c r="P904" i="1"/>
  <c r="Q904" i="1" s="1"/>
  <c r="P903" i="1"/>
  <c r="Q903" i="1" s="1"/>
  <c r="P902" i="1"/>
  <c r="Q902" i="1" s="1"/>
  <c r="P901" i="1"/>
  <c r="Q901" i="1" s="1"/>
  <c r="P900" i="1"/>
  <c r="Q900" i="1" s="1"/>
  <c r="P899" i="1"/>
  <c r="Q899" i="1" s="1"/>
  <c r="P898" i="1"/>
  <c r="Q898" i="1" s="1"/>
  <c r="P897" i="1"/>
  <c r="Q897" i="1" s="1"/>
  <c r="P896" i="1"/>
  <c r="Q896" i="1" s="1"/>
  <c r="P895" i="1"/>
  <c r="Q895" i="1" s="1"/>
  <c r="P894" i="1"/>
  <c r="Q894" i="1" s="1"/>
  <c r="P893" i="1"/>
  <c r="Q893" i="1" s="1"/>
  <c r="P892" i="1"/>
  <c r="Q892" i="1" s="1"/>
  <c r="P891" i="1"/>
  <c r="Q891" i="1" s="1"/>
  <c r="P890" i="1"/>
  <c r="Q890" i="1" s="1"/>
  <c r="P889" i="1"/>
  <c r="Q889" i="1" s="1"/>
  <c r="P888" i="1"/>
  <c r="Q888" i="1" s="1"/>
  <c r="P887" i="1"/>
  <c r="Q887" i="1" s="1"/>
  <c r="P886" i="1"/>
  <c r="Q886" i="1" s="1"/>
  <c r="P885" i="1"/>
  <c r="Q885" i="1" s="1"/>
  <c r="P884" i="1"/>
  <c r="Q884" i="1" s="1"/>
  <c r="P883" i="1"/>
  <c r="Q883" i="1" s="1"/>
  <c r="P882" i="1"/>
  <c r="Q882" i="1" s="1"/>
  <c r="P881" i="1"/>
  <c r="Q881" i="1" s="1"/>
  <c r="P880" i="1"/>
  <c r="Q880" i="1" s="1"/>
  <c r="P879" i="1"/>
  <c r="Q879" i="1" s="1"/>
  <c r="P878" i="1"/>
  <c r="Q878" i="1" s="1"/>
  <c r="P877" i="1"/>
  <c r="Q877" i="1" s="1"/>
  <c r="P876" i="1"/>
  <c r="Q876" i="1" s="1"/>
  <c r="P875" i="1"/>
  <c r="Q875" i="1" s="1"/>
  <c r="P874" i="1"/>
  <c r="Q874" i="1" s="1"/>
  <c r="P873" i="1"/>
  <c r="Q873" i="1" s="1"/>
  <c r="P872" i="1"/>
  <c r="Q872" i="1" s="1"/>
  <c r="P871" i="1"/>
  <c r="Q871" i="1" s="1"/>
  <c r="P870" i="1"/>
  <c r="Q870" i="1" s="1"/>
  <c r="P869" i="1"/>
  <c r="Q869" i="1" s="1"/>
  <c r="P868" i="1"/>
  <c r="Q868" i="1" s="1"/>
  <c r="P867" i="1"/>
  <c r="Q867" i="1" s="1"/>
  <c r="P866" i="1"/>
  <c r="Q866" i="1" s="1"/>
  <c r="P865" i="1"/>
  <c r="Q865" i="1" s="1"/>
  <c r="P864" i="1"/>
  <c r="Q864" i="1" s="1"/>
  <c r="P863" i="1"/>
  <c r="Q863" i="1" s="1"/>
  <c r="P862" i="1"/>
  <c r="Q862" i="1" s="1"/>
  <c r="P861" i="1"/>
  <c r="Q861" i="1" s="1"/>
  <c r="P860" i="1"/>
  <c r="Q860" i="1" s="1"/>
  <c r="P859" i="1"/>
  <c r="Q859" i="1" s="1"/>
  <c r="P858" i="1"/>
  <c r="Q858" i="1" s="1"/>
  <c r="P857" i="1"/>
  <c r="Q857" i="1" s="1"/>
  <c r="P856" i="1"/>
  <c r="Q856" i="1" s="1"/>
  <c r="P855" i="1"/>
  <c r="Q855" i="1" s="1"/>
  <c r="P854" i="1"/>
  <c r="Q854" i="1" s="1"/>
  <c r="P853" i="1"/>
  <c r="Q853" i="1" s="1"/>
  <c r="P852" i="1"/>
  <c r="Q852" i="1" s="1"/>
  <c r="P851" i="1"/>
  <c r="Q851" i="1" s="1"/>
  <c r="P850" i="1"/>
  <c r="Q850" i="1" s="1"/>
  <c r="P849" i="1"/>
  <c r="Q849" i="1" s="1"/>
  <c r="P848" i="1"/>
  <c r="Q848" i="1" s="1"/>
  <c r="P847" i="1"/>
  <c r="Q847" i="1" s="1"/>
  <c r="P846" i="1"/>
  <c r="Q846" i="1" s="1"/>
  <c r="P845" i="1"/>
  <c r="Q845" i="1" s="1"/>
  <c r="P844" i="1"/>
  <c r="Q844" i="1" s="1"/>
  <c r="P843" i="1"/>
  <c r="Q843" i="1" s="1"/>
  <c r="P842" i="1"/>
  <c r="Q842" i="1" s="1"/>
  <c r="P841" i="1"/>
  <c r="Q841" i="1" s="1"/>
  <c r="P840" i="1"/>
  <c r="Q840" i="1" s="1"/>
  <c r="P839" i="1"/>
  <c r="Q839" i="1" s="1"/>
  <c r="P838" i="1"/>
  <c r="Q838" i="1" s="1"/>
  <c r="P837" i="1"/>
  <c r="Q837" i="1" s="1"/>
  <c r="P836" i="1"/>
  <c r="Q836" i="1" s="1"/>
  <c r="P835" i="1"/>
  <c r="Q835" i="1" s="1"/>
  <c r="P834" i="1"/>
  <c r="Q834" i="1" s="1"/>
  <c r="P833" i="1"/>
  <c r="Q833" i="1" s="1"/>
  <c r="P832" i="1"/>
  <c r="Q832" i="1" s="1"/>
  <c r="P831" i="1"/>
  <c r="Q831" i="1" s="1"/>
  <c r="P830" i="1"/>
  <c r="Q830" i="1" s="1"/>
  <c r="P829" i="1"/>
  <c r="Q829" i="1" s="1"/>
  <c r="P828" i="1"/>
  <c r="Q828" i="1" s="1"/>
  <c r="P827" i="1"/>
  <c r="Q827" i="1" s="1"/>
  <c r="P826" i="1"/>
  <c r="Q826" i="1" s="1"/>
  <c r="P825" i="1"/>
  <c r="Q825" i="1" s="1"/>
  <c r="P824" i="1"/>
  <c r="Q824" i="1" s="1"/>
  <c r="P823" i="1"/>
  <c r="Q823" i="1" s="1"/>
  <c r="P822" i="1"/>
  <c r="Q822" i="1" s="1"/>
  <c r="P821" i="1"/>
  <c r="Q821" i="1" s="1"/>
  <c r="P820" i="1"/>
  <c r="Q820" i="1" s="1"/>
  <c r="P819" i="1"/>
  <c r="Q819" i="1" s="1"/>
  <c r="P818" i="1"/>
  <c r="Q818" i="1" s="1"/>
  <c r="P817" i="1"/>
  <c r="Q817" i="1" s="1"/>
  <c r="P816" i="1"/>
  <c r="Q816" i="1" s="1"/>
  <c r="P815" i="1"/>
  <c r="Q815" i="1" s="1"/>
  <c r="P814" i="1"/>
  <c r="Q814" i="1" s="1"/>
  <c r="P813" i="1"/>
  <c r="Q813" i="1" s="1"/>
  <c r="P812" i="1"/>
  <c r="Q812" i="1" s="1"/>
  <c r="P811" i="1"/>
  <c r="Q811" i="1" s="1"/>
  <c r="P810" i="1"/>
  <c r="Q810" i="1" s="1"/>
  <c r="P809" i="1"/>
  <c r="Q809" i="1" s="1"/>
  <c r="P808" i="1"/>
  <c r="Q808" i="1" s="1"/>
  <c r="P807" i="1"/>
  <c r="Q807" i="1" s="1"/>
  <c r="P806" i="1"/>
  <c r="Q806" i="1" s="1"/>
  <c r="P805" i="1"/>
  <c r="Q805" i="1" s="1"/>
  <c r="P804" i="1"/>
  <c r="Q804" i="1" s="1"/>
  <c r="P803" i="1"/>
  <c r="Q803" i="1" s="1"/>
  <c r="P802" i="1"/>
  <c r="Q802" i="1" s="1"/>
  <c r="P801" i="1"/>
  <c r="Q801" i="1" s="1"/>
  <c r="P800" i="1"/>
  <c r="Q800" i="1" s="1"/>
  <c r="P799" i="1"/>
  <c r="Q799" i="1" s="1"/>
  <c r="P798" i="1"/>
  <c r="Q798" i="1" s="1"/>
  <c r="P797" i="1"/>
  <c r="Q797" i="1" s="1"/>
  <c r="P796" i="1"/>
  <c r="Q796" i="1" s="1"/>
  <c r="P795" i="1"/>
  <c r="Q795" i="1" s="1"/>
  <c r="P794" i="1"/>
  <c r="Q794" i="1" s="1"/>
  <c r="P793" i="1"/>
  <c r="Q793" i="1" s="1"/>
  <c r="P792" i="1"/>
  <c r="Q792" i="1" s="1"/>
  <c r="P791" i="1"/>
  <c r="Q791" i="1" s="1"/>
  <c r="P790" i="1"/>
  <c r="Q790" i="1" s="1"/>
  <c r="P789" i="1"/>
  <c r="Q789" i="1" s="1"/>
  <c r="P788" i="1"/>
  <c r="Q788" i="1" s="1"/>
  <c r="P787" i="1"/>
  <c r="Q787" i="1" s="1"/>
  <c r="P786" i="1"/>
  <c r="Q786" i="1" s="1"/>
  <c r="P785" i="1"/>
  <c r="Q785" i="1" s="1"/>
  <c r="P784" i="1"/>
  <c r="Q784" i="1" s="1"/>
  <c r="P783" i="1"/>
  <c r="Q783" i="1" s="1"/>
  <c r="P782" i="1"/>
  <c r="Q782" i="1" s="1"/>
  <c r="P781" i="1"/>
  <c r="Q781" i="1" s="1"/>
  <c r="P780" i="1"/>
  <c r="Q780" i="1" s="1"/>
  <c r="P779" i="1"/>
  <c r="Q779" i="1" s="1"/>
  <c r="P778" i="1"/>
  <c r="Q778" i="1" s="1"/>
  <c r="P777" i="1"/>
  <c r="Q777" i="1" s="1"/>
  <c r="P776" i="1"/>
  <c r="Q776" i="1" s="1"/>
  <c r="P775" i="1"/>
  <c r="Q775" i="1" s="1"/>
  <c r="P774" i="1"/>
  <c r="Q774" i="1" s="1"/>
  <c r="P773" i="1"/>
  <c r="Q773" i="1" s="1"/>
  <c r="P772" i="1"/>
  <c r="Q772" i="1" s="1"/>
  <c r="P771" i="1"/>
  <c r="Q771" i="1" s="1"/>
  <c r="P770" i="1"/>
  <c r="Q770" i="1" s="1"/>
  <c r="P769" i="1"/>
  <c r="Q769" i="1" s="1"/>
  <c r="P768" i="1"/>
  <c r="Q768" i="1" s="1"/>
  <c r="P767" i="1"/>
  <c r="Q767" i="1" s="1"/>
  <c r="P766" i="1"/>
  <c r="Q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1195" i="1"/>
  <c r="T1195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16" i="4"/>
  <c r="C118" i="4"/>
  <c r="C136" i="4"/>
  <c r="D136" i="4"/>
  <c r="C122" i="3"/>
  <c r="C133" i="3" s="1"/>
  <c r="C136" i="3" s="1"/>
  <c r="C116" i="3"/>
  <c r="C118" i="3"/>
  <c r="R1194" i="1"/>
  <c r="D136" i="5" l="1"/>
  <c r="C138" i="5" s="1"/>
  <c r="C138" i="4"/>
  <c r="D136" i="3"/>
  <c r="C138" i="3" s="1"/>
  <c r="R1193" i="1"/>
  <c r="S1194" i="1"/>
  <c r="T1194" i="1" s="1"/>
  <c r="R1192" i="1" l="1"/>
  <c r="S1193" i="1"/>
  <c r="T1193" i="1" s="1"/>
  <c r="R1191" i="1" l="1"/>
  <c r="S1192" i="1"/>
  <c r="T1192" i="1" s="1"/>
  <c r="R1190" i="1" l="1"/>
  <c r="S1191" i="1"/>
  <c r="T1191" i="1" s="1"/>
  <c r="R1189" i="1" l="1"/>
  <c r="S1190" i="1"/>
  <c r="T1190" i="1" s="1"/>
  <c r="R1188" i="1" l="1"/>
  <c r="S1189" i="1"/>
  <c r="T1189" i="1" s="1"/>
  <c r="R1187" i="1" l="1"/>
  <c r="S1188" i="1"/>
  <c r="T1188" i="1" s="1"/>
  <c r="R1186" i="1" l="1"/>
  <c r="S1187" i="1"/>
  <c r="T1187" i="1" s="1"/>
  <c r="R1185" i="1" l="1"/>
  <c r="S1186" i="1"/>
  <c r="T1186" i="1" s="1"/>
  <c r="R1184" i="1" l="1"/>
  <c r="S1185" i="1"/>
  <c r="T1185" i="1" s="1"/>
  <c r="R1183" i="1" l="1"/>
  <c r="S1184" i="1"/>
  <c r="T1184" i="1" s="1"/>
  <c r="R1182" i="1" l="1"/>
  <c r="S1183" i="1"/>
  <c r="T1183" i="1" s="1"/>
  <c r="R1181" i="1" l="1"/>
  <c r="S1182" i="1"/>
  <c r="T1182" i="1" s="1"/>
  <c r="R1180" i="1" l="1"/>
  <c r="S1181" i="1"/>
  <c r="T1181" i="1" s="1"/>
  <c r="R1179" i="1" l="1"/>
  <c r="S1180" i="1"/>
  <c r="T1180" i="1" s="1"/>
  <c r="R1178" i="1" l="1"/>
  <c r="S1179" i="1"/>
  <c r="T1179" i="1" s="1"/>
  <c r="R1177" i="1" l="1"/>
  <c r="S1178" i="1"/>
  <c r="T1178" i="1" s="1"/>
  <c r="R1176" i="1" l="1"/>
  <c r="S1177" i="1"/>
  <c r="T1177" i="1" s="1"/>
  <c r="R1175" i="1" l="1"/>
  <c r="S1176" i="1"/>
  <c r="T1176" i="1" s="1"/>
  <c r="R1174" i="1" l="1"/>
  <c r="S1175" i="1"/>
  <c r="T1175" i="1" s="1"/>
  <c r="R1173" i="1" l="1"/>
  <c r="S1174" i="1"/>
  <c r="T1174" i="1" s="1"/>
  <c r="R1172" i="1" l="1"/>
  <c r="S1173" i="1"/>
  <c r="T1173" i="1" s="1"/>
  <c r="R1171" i="1" l="1"/>
  <c r="S1172" i="1"/>
  <c r="T1172" i="1" s="1"/>
  <c r="R1170" i="1" l="1"/>
  <c r="S1171" i="1"/>
  <c r="T1171" i="1" s="1"/>
  <c r="R1169" i="1" l="1"/>
  <c r="S1170" i="1"/>
  <c r="T1170" i="1" s="1"/>
  <c r="R1168" i="1" l="1"/>
  <c r="S1169" i="1"/>
  <c r="T1169" i="1" s="1"/>
  <c r="R1167" i="1" l="1"/>
  <c r="S1168" i="1"/>
  <c r="T1168" i="1" s="1"/>
  <c r="R1166" i="1" l="1"/>
  <c r="S1167" i="1"/>
  <c r="T1167" i="1" s="1"/>
  <c r="R1165" i="1" l="1"/>
  <c r="S1166" i="1"/>
  <c r="T1166" i="1" s="1"/>
  <c r="R1164" i="1" l="1"/>
  <c r="S1165" i="1"/>
  <c r="T1165" i="1" s="1"/>
  <c r="R1163" i="1" l="1"/>
  <c r="S1164" i="1"/>
  <c r="T1164" i="1" s="1"/>
  <c r="R1162" i="1" l="1"/>
  <c r="S1163" i="1"/>
  <c r="T1163" i="1" s="1"/>
  <c r="R1161" i="1" l="1"/>
  <c r="S1162" i="1"/>
  <c r="T1162" i="1" s="1"/>
  <c r="R1160" i="1" l="1"/>
  <c r="S1161" i="1"/>
  <c r="T1161" i="1" s="1"/>
  <c r="R1159" i="1" l="1"/>
  <c r="S1160" i="1"/>
  <c r="T1160" i="1" s="1"/>
  <c r="R1158" i="1" l="1"/>
  <c r="S1159" i="1"/>
  <c r="T1159" i="1" s="1"/>
  <c r="R1157" i="1" l="1"/>
  <c r="S1158" i="1"/>
  <c r="T1158" i="1" s="1"/>
  <c r="R1156" i="1" l="1"/>
  <c r="S1157" i="1"/>
  <c r="T1157" i="1" s="1"/>
  <c r="R1155" i="1" l="1"/>
  <c r="S1156" i="1"/>
  <c r="T1156" i="1" s="1"/>
  <c r="R1154" i="1" l="1"/>
  <c r="S1155" i="1"/>
  <c r="T1155" i="1" s="1"/>
  <c r="R1153" i="1" l="1"/>
  <c r="S1154" i="1"/>
  <c r="T1154" i="1" s="1"/>
  <c r="R1152" i="1" l="1"/>
  <c r="S1153" i="1"/>
  <c r="T1153" i="1" s="1"/>
  <c r="R1151" i="1" l="1"/>
  <c r="S1152" i="1"/>
  <c r="T1152" i="1" s="1"/>
  <c r="R1150" i="1" l="1"/>
  <c r="S1151" i="1"/>
  <c r="T1151" i="1" s="1"/>
  <c r="R1149" i="1" l="1"/>
  <c r="S1150" i="1"/>
  <c r="T1150" i="1" s="1"/>
  <c r="R1148" i="1" l="1"/>
  <c r="S1149" i="1"/>
  <c r="T1149" i="1" s="1"/>
  <c r="R1147" i="1" l="1"/>
  <c r="S1148" i="1"/>
  <c r="T1148" i="1" s="1"/>
  <c r="R1146" i="1" l="1"/>
  <c r="S1147" i="1"/>
  <c r="T1147" i="1" s="1"/>
  <c r="R1145" i="1" l="1"/>
  <c r="S1146" i="1"/>
  <c r="T1146" i="1" s="1"/>
  <c r="R1144" i="1" l="1"/>
  <c r="S1145" i="1"/>
  <c r="T1145" i="1" s="1"/>
  <c r="R1143" i="1" l="1"/>
  <c r="S1144" i="1"/>
  <c r="T1144" i="1" s="1"/>
  <c r="R1142" i="1" l="1"/>
  <c r="S1143" i="1"/>
  <c r="T1143" i="1" s="1"/>
  <c r="R1141" i="1" l="1"/>
  <c r="S1142" i="1"/>
  <c r="T1142" i="1" s="1"/>
  <c r="R1140" i="1" l="1"/>
  <c r="S1141" i="1"/>
  <c r="T1141" i="1" s="1"/>
  <c r="R1139" i="1" l="1"/>
  <c r="S1140" i="1"/>
  <c r="T1140" i="1" s="1"/>
  <c r="R1138" i="1" l="1"/>
  <c r="S1139" i="1"/>
  <c r="T1139" i="1" s="1"/>
  <c r="R1137" i="1" l="1"/>
  <c r="S1138" i="1"/>
  <c r="T1138" i="1" s="1"/>
  <c r="R1136" i="1" l="1"/>
  <c r="S1137" i="1"/>
  <c r="T1137" i="1" s="1"/>
  <c r="R1135" i="1" l="1"/>
  <c r="S1136" i="1"/>
  <c r="T1136" i="1" s="1"/>
  <c r="R1134" i="1" l="1"/>
  <c r="S1135" i="1"/>
  <c r="T1135" i="1" s="1"/>
  <c r="R1133" i="1" l="1"/>
  <c r="S1134" i="1"/>
  <c r="T1134" i="1" s="1"/>
  <c r="R1132" i="1" l="1"/>
  <c r="S1133" i="1"/>
  <c r="T1133" i="1" s="1"/>
  <c r="R1131" i="1" l="1"/>
  <c r="S1132" i="1"/>
  <c r="T1132" i="1" s="1"/>
  <c r="R1130" i="1" l="1"/>
  <c r="S1131" i="1"/>
  <c r="T1131" i="1" s="1"/>
  <c r="R1129" i="1" l="1"/>
  <c r="S1130" i="1"/>
  <c r="T1130" i="1" s="1"/>
  <c r="R1128" i="1" l="1"/>
  <c r="S1129" i="1"/>
  <c r="T1129" i="1" s="1"/>
  <c r="R1127" i="1" l="1"/>
  <c r="S1128" i="1"/>
  <c r="T1128" i="1" s="1"/>
  <c r="R1126" i="1" l="1"/>
  <c r="S1127" i="1"/>
  <c r="T1127" i="1" s="1"/>
  <c r="R1125" i="1" l="1"/>
  <c r="S1126" i="1"/>
  <c r="T1126" i="1" s="1"/>
  <c r="R1124" i="1" l="1"/>
  <c r="S1125" i="1"/>
  <c r="T1125" i="1" s="1"/>
  <c r="R1123" i="1" l="1"/>
  <c r="S1124" i="1"/>
  <c r="T1124" i="1" s="1"/>
  <c r="R1122" i="1" l="1"/>
  <c r="S1123" i="1"/>
  <c r="T1123" i="1" s="1"/>
  <c r="R1121" i="1" l="1"/>
  <c r="S1122" i="1"/>
  <c r="T1122" i="1" s="1"/>
  <c r="R1120" i="1" l="1"/>
  <c r="S1121" i="1"/>
  <c r="T1121" i="1" s="1"/>
  <c r="R1119" i="1" l="1"/>
  <c r="S1120" i="1"/>
  <c r="T1120" i="1" s="1"/>
  <c r="R1118" i="1" l="1"/>
  <c r="S1119" i="1"/>
  <c r="T1119" i="1" s="1"/>
  <c r="R1117" i="1" l="1"/>
  <c r="S1118" i="1"/>
  <c r="T1118" i="1" s="1"/>
  <c r="R1116" i="1" l="1"/>
  <c r="S1117" i="1"/>
  <c r="T1117" i="1" s="1"/>
  <c r="R1115" i="1" l="1"/>
  <c r="S1116" i="1"/>
  <c r="T1116" i="1" s="1"/>
  <c r="R1114" i="1" l="1"/>
  <c r="S1115" i="1"/>
  <c r="T1115" i="1" s="1"/>
  <c r="R1113" i="1" l="1"/>
  <c r="S1114" i="1"/>
  <c r="T1114" i="1" s="1"/>
  <c r="R1112" i="1" l="1"/>
  <c r="S1113" i="1"/>
  <c r="T1113" i="1" s="1"/>
  <c r="R1111" i="1" l="1"/>
  <c r="S1112" i="1"/>
  <c r="T1112" i="1" s="1"/>
  <c r="R1110" i="1" l="1"/>
  <c r="S1111" i="1"/>
  <c r="T1111" i="1" s="1"/>
  <c r="R1109" i="1" l="1"/>
  <c r="S1110" i="1"/>
  <c r="T1110" i="1" s="1"/>
  <c r="R1108" i="1" l="1"/>
  <c r="S1109" i="1"/>
  <c r="T1109" i="1" s="1"/>
  <c r="R1107" i="1" l="1"/>
  <c r="S1108" i="1"/>
  <c r="T1108" i="1" s="1"/>
  <c r="R1106" i="1" l="1"/>
  <c r="S1107" i="1"/>
  <c r="T1107" i="1" s="1"/>
  <c r="R1105" i="1" l="1"/>
  <c r="S1106" i="1"/>
  <c r="T1106" i="1" s="1"/>
  <c r="R1104" i="1" l="1"/>
  <c r="S1105" i="1"/>
  <c r="T1105" i="1" s="1"/>
  <c r="R1103" i="1" l="1"/>
  <c r="S1104" i="1"/>
  <c r="T1104" i="1" s="1"/>
  <c r="R1102" i="1" l="1"/>
  <c r="S1103" i="1"/>
  <c r="T1103" i="1" s="1"/>
  <c r="R1101" i="1" l="1"/>
  <c r="S1102" i="1"/>
  <c r="T1102" i="1" s="1"/>
  <c r="R1100" i="1" l="1"/>
  <c r="S1101" i="1"/>
  <c r="T1101" i="1" s="1"/>
  <c r="R1099" i="1" l="1"/>
  <c r="S1100" i="1"/>
  <c r="T1100" i="1" s="1"/>
  <c r="R1098" i="1" l="1"/>
  <c r="S1099" i="1"/>
  <c r="T1099" i="1" s="1"/>
  <c r="R1097" i="1" l="1"/>
  <c r="S1098" i="1"/>
  <c r="T1098" i="1" s="1"/>
  <c r="R1096" i="1" l="1"/>
  <c r="S1097" i="1"/>
  <c r="T1097" i="1" s="1"/>
  <c r="R1095" i="1" l="1"/>
  <c r="S1096" i="1"/>
  <c r="T1096" i="1" s="1"/>
  <c r="R1094" i="1" l="1"/>
  <c r="S1095" i="1"/>
  <c r="T1095" i="1" s="1"/>
  <c r="R1093" i="1" l="1"/>
  <c r="S1094" i="1"/>
  <c r="T1094" i="1" s="1"/>
  <c r="R1092" i="1" l="1"/>
  <c r="S1093" i="1"/>
  <c r="T1093" i="1" s="1"/>
  <c r="R1091" i="1" l="1"/>
  <c r="S1092" i="1"/>
  <c r="T1092" i="1" s="1"/>
  <c r="R1090" i="1" l="1"/>
  <c r="S1091" i="1"/>
  <c r="T1091" i="1" s="1"/>
  <c r="R1089" i="1" l="1"/>
  <c r="S1090" i="1"/>
  <c r="T1090" i="1" s="1"/>
  <c r="R1088" i="1" l="1"/>
  <c r="S1089" i="1"/>
  <c r="T1089" i="1" s="1"/>
  <c r="R1087" i="1" l="1"/>
  <c r="S1088" i="1"/>
  <c r="T1088" i="1" s="1"/>
  <c r="R1086" i="1" l="1"/>
  <c r="S1087" i="1"/>
  <c r="T1087" i="1" s="1"/>
  <c r="R1085" i="1" l="1"/>
  <c r="S1086" i="1"/>
  <c r="T1086" i="1" s="1"/>
  <c r="R1084" i="1" l="1"/>
  <c r="S1085" i="1"/>
  <c r="T1085" i="1" s="1"/>
  <c r="R1083" i="1" l="1"/>
  <c r="S1084" i="1"/>
  <c r="T1084" i="1" s="1"/>
  <c r="R1082" i="1" l="1"/>
  <c r="S1083" i="1"/>
  <c r="T1083" i="1" s="1"/>
  <c r="R1081" i="1" l="1"/>
  <c r="S1082" i="1"/>
  <c r="T1082" i="1" s="1"/>
  <c r="R1080" i="1" l="1"/>
  <c r="S1081" i="1"/>
  <c r="T1081" i="1" s="1"/>
  <c r="R1079" i="1" l="1"/>
  <c r="S1080" i="1"/>
  <c r="T1080" i="1" s="1"/>
  <c r="R1078" i="1" l="1"/>
  <c r="S1079" i="1"/>
  <c r="T1079" i="1" s="1"/>
  <c r="R1077" i="1" l="1"/>
  <c r="S1078" i="1"/>
  <c r="T1078" i="1" s="1"/>
  <c r="R1076" i="1" l="1"/>
  <c r="S1077" i="1"/>
  <c r="T1077" i="1" s="1"/>
  <c r="R1075" i="1" l="1"/>
  <c r="S1076" i="1"/>
  <c r="T1076" i="1" s="1"/>
  <c r="R1074" i="1" l="1"/>
  <c r="S1075" i="1"/>
  <c r="T1075" i="1" s="1"/>
  <c r="R1073" i="1" l="1"/>
  <c r="S1074" i="1"/>
  <c r="T1074" i="1" s="1"/>
  <c r="R1072" i="1" l="1"/>
  <c r="S1073" i="1"/>
  <c r="T1073" i="1" s="1"/>
  <c r="R1071" i="1" l="1"/>
  <c r="S1072" i="1"/>
  <c r="T1072" i="1" s="1"/>
  <c r="R1070" i="1" l="1"/>
  <c r="S1071" i="1"/>
  <c r="T1071" i="1" s="1"/>
  <c r="R1069" i="1" l="1"/>
  <c r="S1070" i="1"/>
  <c r="T1070" i="1" s="1"/>
  <c r="R1068" i="1" l="1"/>
  <c r="S1069" i="1"/>
  <c r="T1069" i="1" s="1"/>
  <c r="R1067" i="1" l="1"/>
  <c r="S1068" i="1"/>
  <c r="T1068" i="1" s="1"/>
  <c r="R1066" i="1" l="1"/>
  <c r="S1067" i="1"/>
  <c r="T1067" i="1" s="1"/>
  <c r="R1065" i="1" l="1"/>
  <c r="S1066" i="1"/>
  <c r="T1066" i="1" s="1"/>
  <c r="R1064" i="1" l="1"/>
  <c r="S1065" i="1"/>
  <c r="T1065" i="1" s="1"/>
  <c r="R1063" i="1" l="1"/>
  <c r="S1064" i="1"/>
  <c r="T1064" i="1" s="1"/>
  <c r="R1062" i="1" l="1"/>
  <c r="S1063" i="1"/>
  <c r="T1063" i="1" s="1"/>
  <c r="R1061" i="1" l="1"/>
  <c r="S1062" i="1"/>
  <c r="T1062" i="1" s="1"/>
  <c r="R1060" i="1" l="1"/>
  <c r="S1061" i="1"/>
  <c r="T1061" i="1" s="1"/>
  <c r="R1059" i="1" l="1"/>
  <c r="S1060" i="1"/>
  <c r="T1060" i="1" s="1"/>
  <c r="R1058" i="1" l="1"/>
  <c r="S1059" i="1"/>
  <c r="T1059" i="1" s="1"/>
  <c r="R1057" i="1" l="1"/>
  <c r="S1058" i="1"/>
  <c r="T1058" i="1" s="1"/>
  <c r="R1056" i="1" l="1"/>
  <c r="S1057" i="1"/>
  <c r="T1057" i="1" s="1"/>
  <c r="R1055" i="1" l="1"/>
  <c r="S1056" i="1"/>
  <c r="T1056" i="1" s="1"/>
  <c r="R1054" i="1" l="1"/>
  <c r="S1055" i="1"/>
  <c r="T1055" i="1" s="1"/>
  <c r="R1053" i="1" l="1"/>
  <c r="S1054" i="1"/>
  <c r="T1054" i="1" s="1"/>
  <c r="R1052" i="1" l="1"/>
  <c r="S1053" i="1"/>
  <c r="T1053" i="1" s="1"/>
  <c r="R1051" i="1" l="1"/>
  <c r="S1052" i="1"/>
  <c r="T1052" i="1" s="1"/>
  <c r="R1050" i="1" l="1"/>
  <c r="S1051" i="1"/>
  <c r="T1051" i="1" s="1"/>
  <c r="R1049" i="1" l="1"/>
  <c r="S1050" i="1"/>
  <c r="T1050" i="1" s="1"/>
  <c r="R1048" i="1" l="1"/>
  <c r="S1049" i="1"/>
  <c r="T1049" i="1" s="1"/>
  <c r="R1047" i="1" l="1"/>
  <c r="S1048" i="1"/>
  <c r="T1048" i="1" s="1"/>
  <c r="R1046" i="1" l="1"/>
  <c r="S1047" i="1"/>
  <c r="T1047" i="1" s="1"/>
  <c r="R1045" i="1" l="1"/>
  <c r="S1046" i="1"/>
  <c r="T1046" i="1" s="1"/>
  <c r="R1044" i="1" l="1"/>
  <c r="S1045" i="1"/>
  <c r="T1045" i="1" s="1"/>
  <c r="R1043" i="1" l="1"/>
  <c r="S1044" i="1"/>
  <c r="T1044" i="1" s="1"/>
  <c r="R1042" i="1" l="1"/>
  <c r="S1043" i="1"/>
  <c r="T1043" i="1" s="1"/>
  <c r="R1041" i="1" l="1"/>
  <c r="S1042" i="1"/>
  <c r="T1042" i="1" s="1"/>
  <c r="R1040" i="1" l="1"/>
  <c r="S1041" i="1"/>
  <c r="T1041" i="1" s="1"/>
  <c r="R1039" i="1" l="1"/>
  <c r="S1040" i="1"/>
  <c r="T1040" i="1" s="1"/>
  <c r="R1038" i="1" l="1"/>
  <c r="S1039" i="1"/>
  <c r="T1039" i="1" s="1"/>
  <c r="R1037" i="1" l="1"/>
  <c r="S1038" i="1"/>
  <c r="T1038" i="1" s="1"/>
  <c r="R1036" i="1" l="1"/>
  <c r="S1037" i="1"/>
  <c r="T1037" i="1" s="1"/>
  <c r="R1035" i="1" l="1"/>
  <c r="S1036" i="1"/>
  <c r="T1036" i="1" s="1"/>
  <c r="R1034" i="1" l="1"/>
  <c r="S1035" i="1"/>
  <c r="T1035" i="1" s="1"/>
  <c r="R1033" i="1" l="1"/>
  <c r="S1034" i="1"/>
  <c r="T1034" i="1" s="1"/>
  <c r="R1032" i="1" l="1"/>
  <c r="S1033" i="1"/>
  <c r="T1033" i="1" s="1"/>
  <c r="R1031" i="1" l="1"/>
  <c r="S1032" i="1"/>
  <c r="T1032" i="1" s="1"/>
  <c r="R1030" i="1" l="1"/>
  <c r="S1031" i="1"/>
  <c r="T1031" i="1" s="1"/>
  <c r="R1029" i="1" l="1"/>
  <c r="S1030" i="1"/>
  <c r="T1030" i="1" s="1"/>
  <c r="R1028" i="1" l="1"/>
  <c r="S1029" i="1"/>
  <c r="T1029" i="1" s="1"/>
  <c r="R1027" i="1" l="1"/>
  <c r="S1028" i="1"/>
  <c r="T1028" i="1" s="1"/>
  <c r="R1026" i="1" l="1"/>
  <c r="S1027" i="1"/>
  <c r="T1027" i="1" s="1"/>
  <c r="R1025" i="1" l="1"/>
  <c r="S1026" i="1"/>
  <c r="T1026" i="1" s="1"/>
  <c r="R1024" i="1" l="1"/>
  <c r="S1025" i="1"/>
  <c r="T1025" i="1" s="1"/>
  <c r="R1023" i="1" l="1"/>
  <c r="S1024" i="1"/>
  <c r="T1024" i="1" s="1"/>
  <c r="R1022" i="1" l="1"/>
  <c r="S1023" i="1"/>
  <c r="T1023" i="1" s="1"/>
  <c r="R1021" i="1" l="1"/>
  <c r="S1022" i="1"/>
  <c r="T1022" i="1" s="1"/>
  <c r="R1020" i="1" l="1"/>
  <c r="S1021" i="1"/>
  <c r="T1021" i="1" s="1"/>
  <c r="R1019" i="1" l="1"/>
  <c r="S1020" i="1"/>
  <c r="T1020" i="1" s="1"/>
  <c r="R1018" i="1" l="1"/>
  <c r="S1019" i="1"/>
  <c r="T1019" i="1" s="1"/>
  <c r="R1017" i="1" l="1"/>
  <c r="S1018" i="1"/>
  <c r="T1018" i="1" s="1"/>
  <c r="R1016" i="1" l="1"/>
  <c r="S1017" i="1"/>
  <c r="T1017" i="1" s="1"/>
  <c r="R1015" i="1" l="1"/>
  <c r="S1016" i="1"/>
  <c r="T1016" i="1" s="1"/>
  <c r="R1014" i="1" l="1"/>
  <c r="S1015" i="1"/>
  <c r="T1015" i="1" s="1"/>
  <c r="R1013" i="1" l="1"/>
  <c r="S1014" i="1"/>
  <c r="T1014" i="1" s="1"/>
  <c r="R1012" i="1" l="1"/>
  <c r="S1013" i="1"/>
  <c r="T1013" i="1" s="1"/>
  <c r="R1011" i="1" l="1"/>
  <c r="S1012" i="1"/>
  <c r="T1012" i="1" s="1"/>
  <c r="R1010" i="1" l="1"/>
  <c r="S1011" i="1"/>
  <c r="T1011" i="1" s="1"/>
  <c r="R1009" i="1" l="1"/>
  <c r="S1010" i="1"/>
  <c r="T1010" i="1" s="1"/>
  <c r="R1008" i="1" l="1"/>
  <c r="S1009" i="1"/>
  <c r="T1009" i="1" s="1"/>
  <c r="R1007" i="1" l="1"/>
  <c r="S1008" i="1"/>
  <c r="T1008" i="1" s="1"/>
  <c r="R1006" i="1" l="1"/>
  <c r="S1007" i="1"/>
  <c r="T1007" i="1" s="1"/>
  <c r="R1005" i="1" l="1"/>
  <c r="S1006" i="1"/>
  <c r="T1006" i="1" s="1"/>
  <c r="R1004" i="1" l="1"/>
  <c r="S1005" i="1"/>
  <c r="T1005" i="1" s="1"/>
  <c r="R1003" i="1" l="1"/>
  <c r="S1004" i="1"/>
  <c r="T1004" i="1" s="1"/>
  <c r="R1002" i="1" l="1"/>
  <c r="S1003" i="1"/>
  <c r="T1003" i="1" s="1"/>
  <c r="R1001" i="1" l="1"/>
  <c r="S1002" i="1"/>
  <c r="T1002" i="1" s="1"/>
  <c r="R1000" i="1" l="1"/>
  <c r="S1001" i="1"/>
  <c r="T1001" i="1" s="1"/>
  <c r="R999" i="1" l="1"/>
  <c r="S1000" i="1"/>
  <c r="T1000" i="1" s="1"/>
  <c r="R998" i="1" l="1"/>
  <c r="S999" i="1"/>
  <c r="T999" i="1" s="1"/>
  <c r="R997" i="1" l="1"/>
  <c r="S998" i="1"/>
  <c r="T998" i="1" s="1"/>
  <c r="R996" i="1" l="1"/>
  <c r="S997" i="1"/>
  <c r="T997" i="1" s="1"/>
  <c r="R995" i="1" l="1"/>
  <c r="S996" i="1"/>
  <c r="T996" i="1" s="1"/>
  <c r="R994" i="1" l="1"/>
  <c r="S995" i="1"/>
  <c r="T995" i="1" s="1"/>
  <c r="R993" i="1" l="1"/>
  <c r="S994" i="1"/>
  <c r="T994" i="1" s="1"/>
  <c r="R992" i="1" l="1"/>
  <c r="S993" i="1"/>
  <c r="T993" i="1" s="1"/>
  <c r="R991" i="1" l="1"/>
  <c r="S992" i="1"/>
  <c r="T992" i="1" s="1"/>
  <c r="R990" i="1" l="1"/>
  <c r="S991" i="1"/>
  <c r="T991" i="1" s="1"/>
  <c r="R989" i="1" l="1"/>
  <c r="S990" i="1"/>
  <c r="T990" i="1" s="1"/>
  <c r="R988" i="1" l="1"/>
  <c r="S989" i="1"/>
  <c r="T989" i="1" s="1"/>
  <c r="R987" i="1" l="1"/>
  <c r="S988" i="1"/>
  <c r="T988" i="1" s="1"/>
  <c r="R986" i="1" l="1"/>
  <c r="S987" i="1"/>
  <c r="T987" i="1" s="1"/>
  <c r="R985" i="1" l="1"/>
  <c r="S986" i="1"/>
  <c r="T986" i="1" s="1"/>
  <c r="R984" i="1" l="1"/>
  <c r="S985" i="1"/>
  <c r="T985" i="1" s="1"/>
  <c r="R983" i="1" l="1"/>
  <c r="S984" i="1"/>
  <c r="T984" i="1" s="1"/>
  <c r="R982" i="1" l="1"/>
  <c r="S983" i="1"/>
  <c r="T983" i="1" s="1"/>
  <c r="R981" i="1" l="1"/>
  <c r="S982" i="1"/>
  <c r="T982" i="1" s="1"/>
  <c r="R980" i="1" l="1"/>
  <c r="S981" i="1"/>
  <c r="T981" i="1" s="1"/>
  <c r="R979" i="1" l="1"/>
  <c r="S980" i="1"/>
  <c r="T980" i="1" s="1"/>
  <c r="R978" i="1" l="1"/>
  <c r="S979" i="1"/>
  <c r="T979" i="1" s="1"/>
  <c r="R977" i="1" l="1"/>
  <c r="S978" i="1"/>
  <c r="T978" i="1" s="1"/>
  <c r="R976" i="1" l="1"/>
  <c r="S977" i="1"/>
  <c r="T977" i="1" s="1"/>
  <c r="R975" i="1" l="1"/>
  <c r="S976" i="1"/>
  <c r="T976" i="1" s="1"/>
  <c r="R974" i="1" l="1"/>
  <c r="S975" i="1"/>
  <c r="T975" i="1" s="1"/>
  <c r="R973" i="1" l="1"/>
  <c r="S974" i="1"/>
  <c r="T974" i="1" s="1"/>
  <c r="R972" i="1" l="1"/>
  <c r="S973" i="1"/>
  <c r="T973" i="1" s="1"/>
  <c r="R971" i="1" l="1"/>
  <c r="S972" i="1"/>
  <c r="T972" i="1" s="1"/>
  <c r="R970" i="1" l="1"/>
  <c r="S971" i="1"/>
  <c r="T971" i="1" s="1"/>
  <c r="R969" i="1" l="1"/>
  <c r="S970" i="1"/>
  <c r="T970" i="1" s="1"/>
  <c r="R968" i="1" l="1"/>
  <c r="S969" i="1"/>
  <c r="T969" i="1" s="1"/>
  <c r="R967" i="1" l="1"/>
  <c r="S968" i="1"/>
  <c r="T968" i="1" s="1"/>
  <c r="R966" i="1" l="1"/>
  <c r="S967" i="1"/>
  <c r="T967" i="1" s="1"/>
  <c r="R965" i="1" l="1"/>
  <c r="S966" i="1"/>
  <c r="T966" i="1" s="1"/>
  <c r="R964" i="1" l="1"/>
  <c r="S965" i="1"/>
  <c r="T965" i="1" s="1"/>
  <c r="R963" i="1" l="1"/>
  <c r="S964" i="1"/>
  <c r="T964" i="1" s="1"/>
  <c r="R962" i="1" l="1"/>
  <c r="S963" i="1"/>
  <c r="T963" i="1" s="1"/>
  <c r="R961" i="1" l="1"/>
  <c r="S962" i="1"/>
  <c r="T962" i="1" s="1"/>
  <c r="R960" i="1" l="1"/>
  <c r="S961" i="1"/>
  <c r="T961" i="1" s="1"/>
  <c r="R959" i="1" l="1"/>
  <c r="S960" i="1"/>
  <c r="T960" i="1" s="1"/>
  <c r="R958" i="1" l="1"/>
  <c r="S959" i="1"/>
  <c r="T959" i="1" s="1"/>
  <c r="R957" i="1" l="1"/>
  <c r="S958" i="1"/>
  <c r="T958" i="1" s="1"/>
  <c r="R956" i="1" l="1"/>
  <c r="S957" i="1"/>
  <c r="T957" i="1" s="1"/>
  <c r="R955" i="1" l="1"/>
  <c r="S956" i="1"/>
  <c r="T956" i="1" s="1"/>
  <c r="R954" i="1" l="1"/>
  <c r="S955" i="1"/>
  <c r="T955" i="1" s="1"/>
  <c r="R953" i="1" l="1"/>
  <c r="S954" i="1"/>
  <c r="T954" i="1" s="1"/>
  <c r="R952" i="1" l="1"/>
  <c r="S953" i="1"/>
  <c r="T953" i="1" s="1"/>
  <c r="R951" i="1" l="1"/>
  <c r="S952" i="1"/>
  <c r="T952" i="1" s="1"/>
  <c r="R950" i="1" l="1"/>
  <c r="S951" i="1"/>
  <c r="T951" i="1" s="1"/>
  <c r="R949" i="1" l="1"/>
  <c r="S950" i="1"/>
  <c r="T950" i="1" s="1"/>
  <c r="R948" i="1" l="1"/>
  <c r="S949" i="1"/>
  <c r="T949" i="1" s="1"/>
  <c r="R947" i="1" l="1"/>
  <c r="S948" i="1"/>
  <c r="T948" i="1" s="1"/>
  <c r="R946" i="1" l="1"/>
  <c r="S947" i="1"/>
  <c r="T947" i="1" s="1"/>
  <c r="R945" i="1" l="1"/>
  <c r="S946" i="1"/>
  <c r="T946" i="1" s="1"/>
  <c r="R944" i="1" l="1"/>
  <c r="S945" i="1"/>
  <c r="T945" i="1" s="1"/>
  <c r="R943" i="1" l="1"/>
  <c r="S944" i="1"/>
  <c r="T944" i="1" s="1"/>
  <c r="R942" i="1" l="1"/>
  <c r="S943" i="1"/>
  <c r="T943" i="1" s="1"/>
  <c r="R941" i="1" l="1"/>
  <c r="S942" i="1"/>
  <c r="T942" i="1" s="1"/>
  <c r="R940" i="1" l="1"/>
  <c r="S941" i="1"/>
  <c r="T941" i="1" s="1"/>
  <c r="R939" i="1" l="1"/>
  <c r="S940" i="1"/>
  <c r="T940" i="1" s="1"/>
  <c r="R938" i="1" l="1"/>
  <c r="S939" i="1"/>
  <c r="T939" i="1" s="1"/>
  <c r="R937" i="1" l="1"/>
  <c r="S938" i="1"/>
  <c r="T938" i="1" s="1"/>
  <c r="R936" i="1" l="1"/>
  <c r="S937" i="1"/>
  <c r="T937" i="1" s="1"/>
  <c r="R935" i="1" l="1"/>
  <c r="S936" i="1"/>
  <c r="T936" i="1" s="1"/>
  <c r="R934" i="1" l="1"/>
  <c r="S935" i="1"/>
  <c r="T935" i="1" s="1"/>
  <c r="R933" i="1" l="1"/>
  <c r="S934" i="1"/>
  <c r="T934" i="1" s="1"/>
  <c r="R932" i="1" l="1"/>
  <c r="S933" i="1"/>
  <c r="T933" i="1" s="1"/>
  <c r="R931" i="1" l="1"/>
  <c r="S932" i="1"/>
  <c r="T932" i="1" s="1"/>
  <c r="R930" i="1" l="1"/>
  <c r="S931" i="1"/>
  <c r="T931" i="1" s="1"/>
  <c r="R929" i="1" l="1"/>
  <c r="S930" i="1"/>
  <c r="T930" i="1" s="1"/>
  <c r="R928" i="1" l="1"/>
  <c r="S929" i="1"/>
  <c r="T929" i="1" s="1"/>
  <c r="R927" i="1" l="1"/>
  <c r="S928" i="1"/>
  <c r="T928" i="1" s="1"/>
  <c r="R926" i="1" l="1"/>
  <c r="S927" i="1"/>
  <c r="T927" i="1" s="1"/>
  <c r="R925" i="1" l="1"/>
  <c r="S926" i="1"/>
  <c r="T926" i="1" s="1"/>
  <c r="R924" i="1" l="1"/>
  <c r="S925" i="1"/>
  <c r="T925" i="1" s="1"/>
  <c r="R923" i="1" l="1"/>
  <c r="S924" i="1"/>
  <c r="T924" i="1" s="1"/>
  <c r="R922" i="1" l="1"/>
  <c r="S923" i="1"/>
  <c r="T923" i="1" s="1"/>
  <c r="R921" i="1" l="1"/>
  <c r="S922" i="1"/>
  <c r="T922" i="1" s="1"/>
  <c r="R920" i="1" l="1"/>
  <c r="S921" i="1"/>
  <c r="T921" i="1" s="1"/>
  <c r="R919" i="1" l="1"/>
  <c r="S920" i="1"/>
  <c r="T920" i="1" s="1"/>
  <c r="R918" i="1" l="1"/>
  <c r="S919" i="1"/>
  <c r="T919" i="1" s="1"/>
  <c r="R917" i="1" l="1"/>
  <c r="S918" i="1"/>
  <c r="T918" i="1" s="1"/>
  <c r="R916" i="1" l="1"/>
  <c r="S917" i="1"/>
  <c r="T917" i="1" s="1"/>
  <c r="R915" i="1" l="1"/>
  <c r="S916" i="1"/>
  <c r="T916" i="1" s="1"/>
  <c r="R914" i="1" l="1"/>
  <c r="S915" i="1"/>
  <c r="T915" i="1" s="1"/>
  <c r="R913" i="1" l="1"/>
  <c r="S914" i="1"/>
  <c r="T914" i="1" s="1"/>
  <c r="R912" i="1" l="1"/>
  <c r="S913" i="1"/>
  <c r="T913" i="1" s="1"/>
  <c r="R911" i="1" l="1"/>
  <c r="S912" i="1"/>
  <c r="T912" i="1" s="1"/>
  <c r="R910" i="1" l="1"/>
  <c r="S911" i="1"/>
  <c r="T911" i="1" s="1"/>
  <c r="R909" i="1" l="1"/>
  <c r="S910" i="1"/>
  <c r="T910" i="1" s="1"/>
  <c r="R908" i="1" l="1"/>
  <c r="S909" i="1"/>
  <c r="T909" i="1" s="1"/>
  <c r="R907" i="1" l="1"/>
  <c r="S908" i="1"/>
  <c r="T908" i="1" s="1"/>
  <c r="R906" i="1" l="1"/>
  <c r="S907" i="1"/>
  <c r="T907" i="1" s="1"/>
  <c r="R905" i="1" l="1"/>
  <c r="S906" i="1"/>
  <c r="T906" i="1" s="1"/>
  <c r="R904" i="1" l="1"/>
  <c r="S905" i="1"/>
  <c r="T905" i="1" s="1"/>
  <c r="R903" i="1" l="1"/>
  <c r="S904" i="1"/>
  <c r="T904" i="1" s="1"/>
  <c r="R902" i="1" l="1"/>
  <c r="S903" i="1"/>
  <c r="T903" i="1" s="1"/>
  <c r="R901" i="1" l="1"/>
  <c r="S902" i="1"/>
  <c r="T902" i="1" s="1"/>
  <c r="R900" i="1" l="1"/>
  <c r="S901" i="1"/>
  <c r="T901" i="1" s="1"/>
  <c r="R899" i="1" l="1"/>
  <c r="S900" i="1"/>
  <c r="T900" i="1" s="1"/>
  <c r="R898" i="1" l="1"/>
  <c r="S899" i="1"/>
  <c r="T899" i="1" s="1"/>
  <c r="R897" i="1" l="1"/>
  <c r="S898" i="1"/>
  <c r="T898" i="1" s="1"/>
  <c r="R896" i="1" l="1"/>
  <c r="S897" i="1"/>
  <c r="T897" i="1" s="1"/>
  <c r="R895" i="1" l="1"/>
  <c r="S896" i="1"/>
  <c r="T896" i="1" s="1"/>
  <c r="R894" i="1" l="1"/>
  <c r="S895" i="1"/>
  <c r="T895" i="1" s="1"/>
  <c r="R893" i="1" l="1"/>
  <c r="S894" i="1"/>
  <c r="T894" i="1" s="1"/>
  <c r="R892" i="1" l="1"/>
  <c r="S893" i="1"/>
  <c r="T893" i="1" s="1"/>
  <c r="R891" i="1" l="1"/>
  <c r="S892" i="1"/>
  <c r="T892" i="1" s="1"/>
  <c r="R890" i="1" l="1"/>
  <c r="S891" i="1"/>
  <c r="T891" i="1" s="1"/>
  <c r="R889" i="1" l="1"/>
  <c r="S890" i="1"/>
  <c r="T890" i="1" s="1"/>
  <c r="R888" i="1" l="1"/>
  <c r="S889" i="1"/>
  <c r="T889" i="1" s="1"/>
  <c r="R887" i="1" l="1"/>
  <c r="S888" i="1"/>
  <c r="T888" i="1" s="1"/>
  <c r="R886" i="1" l="1"/>
  <c r="S887" i="1"/>
  <c r="T887" i="1" s="1"/>
  <c r="R885" i="1" l="1"/>
  <c r="S886" i="1"/>
  <c r="T886" i="1" s="1"/>
  <c r="R884" i="1" l="1"/>
  <c r="S885" i="1"/>
  <c r="T885" i="1" s="1"/>
  <c r="R883" i="1" l="1"/>
  <c r="S884" i="1"/>
  <c r="T884" i="1" s="1"/>
  <c r="R882" i="1" l="1"/>
  <c r="S883" i="1"/>
  <c r="T883" i="1" s="1"/>
  <c r="R881" i="1" l="1"/>
  <c r="S882" i="1"/>
  <c r="T882" i="1" s="1"/>
  <c r="R880" i="1" l="1"/>
  <c r="S881" i="1"/>
  <c r="T881" i="1" s="1"/>
  <c r="R879" i="1" l="1"/>
  <c r="S880" i="1"/>
  <c r="T880" i="1" s="1"/>
  <c r="R878" i="1" l="1"/>
  <c r="S879" i="1"/>
  <c r="T879" i="1" s="1"/>
  <c r="R877" i="1" l="1"/>
  <c r="S878" i="1"/>
  <c r="T878" i="1" s="1"/>
  <c r="R876" i="1" l="1"/>
  <c r="S877" i="1"/>
  <c r="T877" i="1" s="1"/>
  <c r="R875" i="1" l="1"/>
  <c r="S876" i="1"/>
  <c r="T876" i="1" s="1"/>
  <c r="R874" i="1" l="1"/>
  <c r="S875" i="1"/>
  <c r="T875" i="1" s="1"/>
  <c r="R873" i="1" l="1"/>
  <c r="S874" i="1"/>
  <c r="T874" i="1" s="1"/>
  <c r="R872" i="1" l="1"/>
  <c r="S873" i="1"/>
  <c r="T873" i="1" s="1"/>
  <c r="R871" i="1" l="1"/>
  <c r="S872" i="1"/>
  <c r="T872" i="1" s="1"/>
  <c r="R870" i="1" l="1"/>
  <c r="S871" i="1"/>
  <c r="T871" i="1" s="1"/>
  <c r="R869" i="1" l="1"/>
  <c r="S870" i="1"/>
  <c r="T870" i="1" s="1"/>
  <c r="R868" i="1" l="1"/>
  <c r="S869" i="1"/>
  <c r="T869" i="1" s="1"/>
  <c r="R867" i="1" l="1"/>
  <c r="S868" i="1"/>
  <c r="T868" i="1" s="1"/>
  <c r="R866" i="1" l="1"/>
  <c r="S867" i="1"/>
  <c r="T867" i="1" s="1"/>
  <c r="R865" i="1" l="1"/>
  <c r="S866" i="1"/>
  <c r="T866" i="1" s="1"/>
  <c r="R864" i="1" l="1"/>
  <c r="S865" i="1"/>
  <c r="T865" i="1" s="1"/>
  <c r="R863" i="1" l="1"/>
  <c r="S864" i="1"/>
  <c r="T864" i="1" s="1"/>
  <c r="R862" i="1" l="1"/>
  <c r="S863" i="1"/>
  <c r="T863" i="1" s="1"/>
  <c r="R861" i="1" l="1"/>
  <c r="S862" i="1"/>
  <c r="T862" i="1" s="1"/>
  <c r="R860" i="1" l="1"/>
  <c r="S861" i="1"/>
  <c r="T861" i="1" s="1"/>
  <c r="R859" i="1" l="1"/>
  <c r="S860" i="1"/>
  <c r="T860" i="1" s="1"/>
  <c r="R858" i="1" l="1"/>
  <c r="S859" i="1"/>
  <c r="T859" i="1" s="1"/>
  <c r="R857" i="1" l="1"/>
  <c r="S858" i="1"/>
  <c r="T858" i="1" s="1"/>
  <c r="R856" i="1" l="1"/>
  <c r="S857" i="1"/>
  <c r="T857" i="1" s="1"/>
  <c r="R855" i="1" l="1"/>
  <c r="S856" i="1"/>
  <c r="T856" i="1" s="1"/>
  <c r="R854" i="1" l="1"/>
  <c r="S855" i="1"/>
  <c r="T855" i="1" s="1"/>
  <c r="R853" i="1" l="1"/>
  <c r="S854" i="1"/>
  <c r="T854" i="1" s="1"/>
  <c r="R852" i="1" l="1"/>
  <c r="S853" i="1"/>
  <c r="T853" i="1" s="1"/>
  <c r="R851" i="1" l="1"/>
  <c r="S852" i="1"/>
  <c r="T852" i="1" s="1"/>
  <c r="R850" i="1" l="1"/>
  <c r="S851" i="1"/>
  <c r="T851" i="1" s="1"/>
  <c r="R849" i="1" l="1"/>
  <c r="S850" i="1"/>
  <c r="T850" i="1" s="1"/>
  <c r="R848" i="1" l="1"/>
  <c r="S849" i="1"/>
  <c r="T849" i="1" s="1"/>
  <c r="R847" i="1" l="1"/>
  <c r="S848" i="1"/>
  <c r="T848" i="1" s="1"/>
  <c r="R846" i="1" l="1"/>
  <c r="S847" i="1"/>
  <c r="T847" i="1" s="1"/>
  <c r="R845" i="1" l="1"/>
  <c r="S846" i="1"/>
  <c r="T846" i="1" s="1"/>
  <c r="R844" i="1" l="1"/>
  <c r="S845" i="1"/>
  <c r="T845" i="1" s="1"/>
  <c r="R843" i="1" l="1"/>
  <c r="S844" i="1"/>
  <c r="T844" i="1" s="1"/>
  <c r="R842" i="1" l="1"/>
  <c r="S843" i="1"/>
  <c r="T843" i="1" s="1"/>
  <c r="R841" i="1" l="1"/>
  <c r="S842" i="1"/>
  <c r="T842" i="1" s="1"/>
  <c r="R840" i="1" l="1"/>
  <c r="S841" i="1"/>
  <c r="T841" i="1" s="1"/>
  <c r="R839" i="1" l="1"/>
  <c r="S840" i="1"/>
  <c r="T840" i="1" s="1"/>
  <c r="R838" i="1" l="1"/>
  <c r="S839" i="1"/>
  <c r="T839" i="1" s="1"/>
  <c r="R837" i="1" l="1"/>
  <c r="S838" i="1"/>
  <c r="T838" i="1" s="1"/>
  <c r="R836" i="1" l="1"/>
  <c r="S837" i="1"/>
  <c r="T837" i="1" s="1"/>
  <c r="R835" i="1" l="1"/>
  <c r="S836" i="1"/>
  <c r="T836" i="1" s="1"/>
  <c r="R834" i="1" l="1"/>
  <c r="S835" i="1"/>
  <c r="T835" i="1" s="1"/>
  <c r="R833" i="1" l="1"/>
  <c r="S834" i="1"/>
  <c r="T834" i="1" s="1"/>
  <c r="R832" i="1" l="1"/>
  <c r="S833" i="1"/>
  <c r="T833" i="1" s="1"/>
  <c r="R831" i="1" l="1"/>
  <c r="S832" i="1"/>
  <c r="T832" i="1" s="1"/>
  <c r="R830" i="1" l="1"/>
  <c r="S831" i="1"/>
  <c r="T831" i="1" s="1"/>
  <c r="R829" i="1" l="1"/>
  <c r="S830" i="1"/>
  <c r="T830" i="1" s="1"/>
  <c r="R828" i="1" l="1"/>
  <c r="S829" i="1"/>
  <c r="T829" i="1" s="1"/>
  <c r="R827" i="1" l="1"/>
  <c r="S828" i="1"/>
  <c r="T828" i="1" s="1"/>
  <c r="R826" i="1" l="1"/>
  <c r="S827" i="1"/>
  <c r="T827" i="1" s="1"/>
  <c r="R825" i="1" l="1"/>
  <c r="S826" i="1"/>
  <c r="T826" i="1" s="1"/>
  <c r="R824" i="1" l="1"/>
  <c r="S825" i="1"/>
  <c r="T825" i="1" s="1"/>
  <c r="R823" i="1" l="1"/>
  <c r="S824" i="1"/>
  <c r="T824" i="1" s="1"/>
  <c r="R822" i="1" l="1"/>
  <c r="S823" i="1"/>
  <c r="T823" i="1" s="1"/>
  <c r="R821" i="1" l="1"/>
  <c r="S822" i="1"/>
  <c r="T822" i="1" s="1"/>
  <c r="R820" i="1" l="1"/>
  <c r="S821" i="1"/>
  <c r="T821" i="1" s="1"/>
  <c r="R819" i="1" l="1"/>
  <c r="S820" i="1"/>
  <c r="T820" i="1" s="1"/>
  <c r="R818" i="1" l="1"/>
  <c r="S819" i="1"/>
  <c r="T819" i="1" s="1"/>
  <c r="R817" i="1" l="1"/>
  <c r="S818" i="1"/>
  <c r="T818" i="1" s="1"/>
  <c r="R816" i="1" l="1"/>
  <c r="S817" i="1"/>
  <c r="T817" i="1" s="1"/>
  <c r="R815" i="1" l="1"/>
  <c r="S816" i="1"/>
  <c r="T816" i="1" s="1"/>
  <c r="R814" i="1" l="1"/>
  <c r="S815" i="1"/>
  <c r="T815" i="1" s="1"/>
  <c r="R813" i="1" l="1"/>
  <c r="S814" i="1"/>
  <c r="T814" i="1" s="1"/>
  <c r="R812" i="1" l="1"/>
  <c r="S813" i="1"/>
  <c r="T813" i="1" s="1"/>
  <c r="R811" i="1" l="1"/>
  <c r="S812" i="1"/>
  <c r="T812" i="1" s="1"/>
  <c r="R810" i="1" l="1"/>
  <c r="S811" i="1"/>
  <c r="T811" i="1" s="1"/>
  <c r="R809" i="1" l="1"/>
  <c r="S810" i="1"/>
  <c r="T810" i="1" s="1"/>
  <c r="R808" i="1" l="1"/>
  <c r="S809" i="1"/>
  <c r="T809" i="1" s="1"/>
  <c r="R807" i="1" l="1"/>
  <c r="S808" i="1"/>
  <c r="T808" i="1" s="1"/>
  <c r="R806" i="1" l="1"/>
  <c r="S807" i="1"/>
  <c r="T807" i="1" s="1"/>
  <c r="R805" i="1" l="1"/>
  <c r="S806" i="1"/>
  <c r="T806" i="1" s="1"/>
  <c r="R804" i="1" l="1"/>
  <c r="S805" i="1"/>
  <c r="T805" i="1" s="1"/>
  <c r="R803" i="1" l="1"/>
  <c r="S804" i="1"/>
  <c r="T804" i="1" s="1"/>
  <c r="R802" i="1" l="1"/>
  <c r="S803" i="1"/>
  <c r="T803" i="1" s="1"/>
  <c r="R801" i="1" l="1"/>
  <c r="S802" i="1"/>
  <c r="T802" i="1" s="1"/>
  <c r="R800" i="1" l="1"/>
  <c r="S801" i="1"/>
  <c r="T801" i="1" s="1"/>
  <c r="R799" i="1" l="1"/>
  <c r="S800" i="1"/>
  <c r="T800" i="1" s="1"/>
  <c r="R798" i="1" l="1"/>
  <c r="S799" i="1"/>
  <c r="T799" i="1" s="1"/>
  <c r="R797" i="1" l="1"/>
  <c r="S798" i="1"/>
  <c r="T798" i="1" s="1"/>
  <c r="R796" i="1" l="1"/>
  <c r="S797" i="1"/>
  <c r="T797" i="1" s="1"/>
  <c r="R795" i="1" l="1"/>
  <c r="S796" i="1"/>
  <c r="T796" i="1" s="1"/>
  <c r="R794" i="1" l="1"/>
  <c r="S795" i="1"/>
  <c r="T795" i="1" s="1"/>
  <c r="R793" i="1" l="1"/>
  <c r="S794" i="1"/>
  <c r="T794" i="1" s="1"/>
  <c r="R792" i="1" l="1"/>
  <c r="S793" i="1"/>
  <c r="T793" i="1" s="1"/>
  <c r="R791" i="1" l="1"/>
  <c r="S792" i="1"/>
  <c r="T792" i="1" s="1"/>
  <c r="R790" i="1" l="1"/>
  <c r="S791" i="1"/>
  <c r="T791" i="1" s="1"/>
  <c r="R789" i="1" l="1"/>
  <c r="S790" i="1"/>
  <c r="T790" i="1" s="1"/>
  <c r="R788" i="1" l="1"/>
  <c r="S789" i="1"/>
  <c r="T789" i="1" s="1"/>
  <c r="R787" i="1" l="1"/>
  <c r="S788" i="1"/>
  <c r="T788" i="1" s="1"/>
  <c r="R786" i="1" l="1"/>
  <c r="S787" i="1"/>
  <c r="T787" i="1" s="1"/>
  <c r="R785" i="1" l="1"/>
  <c r="S786" i="1"/>
  <c r="T786" i="1" s="1"/>
  <c r="R784" i="1" l="1"/>
  <c r="S785" i="1"/>
  <c r="T785" i="1" s="1"/>
  <c r="R783" i="1" l="1"/>
  <c r="S784" i="1"/>
  <c r="T784" i="1" s="1"/>
  <c r="R782" i="1" l="1"/>
  <c r="S783" i="1"/>
  <c r="T783" i="1" s="1"/>
  <c r="R781" i="1" l="1"/>
  <c r="S782" i="1"/>
  <c r="T782" i="1" s="1"/>
  <c r="R780" i="1" l="1"/>
  <c r="S781" i="1"/>
  <c r="T781" i="1" s="1"/>
  <c r="R779" i="1" l="1"/>
  <c r="S780" i="1"/>
  <c r="T780" i="1" s="1"/>
  <c r="R778" i="1" l="1"/>
  <c r="S779" i="1"/>
  <c r="T779" i="1" s="1"/>
  <c r="R777" i="1" l="1"/>
  <c r="S778" i="1"/>
  <c r="T778" i="1" s="1"/>
  <c r="R776" i="1" l="1"/>
  <c r="S777" i="1"/>
  <c r="T777" i="1" s="1"/>
  <c r="R775" i="1" l="1"/>
  <c r="S776" i="1"/>
  <c r="T776" i="1" s="1"/>
  <c r="R774" i="1" l="1"/>
  <c r="S775" i="1"/>
  <c r="T775" i="1" s="1"/>
  <c r="R773" i="1" l="1"/>
  <c r="S774" i="1"/>
  <c r="T774" i="1" s="1"/>
  <c r="R772" i="1" l="1"/>
  <c r="S773" i="1"/>
  <c r="T773" i="1" s="1"/>
  <c r="R771" i="1" l="1"/>
  <c r="S772" i="1"/>
  <c r="T772" i="1" s="1"/>
  <c r="R770" i="1" l="1"/>
  <c r="S771" i="1"/>
  <c r="T771" i="1" s="1"/>
  <c r="R769" i="1" l="1"/>
  <c r="S770" i="1"/>
  <c r="T770" i="1" s="1"/>
  <c r="R768" i="1" l="1"/>
  <c r="S769" i="1"/>
  <c r="T769" i="1" s="1"/>
  <c r="R767" i="1" l="1"/>
  <c r="S768" i="1"/>
  <c r="T768" i="1" s="1"/>
  <c r="R766" i="1" l="1"/>
  <c r="S767" i="1"/>
  <c r="T767" i="1" s="1"/>
  <c r="R765" i="1" l="1"/>
  <c r="S766" i="1"/>
  <c r="T766" i="1" s="1"/>
  <c r="R764" i="1" l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R131" i="1" l="1"/>
  <c r="S132" i="1"/>
  <c r="T132" i="1" s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R107" i="1" l="1"/>
  <c r="S108" i="1"/>
  <c r="T108" i="1" s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R84" i="1" l="1"/>
  <c r="S85" i="1"/>
  <c r="T85" i="1" s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R71" i="1" l="1"/>
  <c r="S72" i="1"/>
  <c r="T72" i="1" s="1"/>
  <c r="R70" i="1" l="1"/>
  <c r="S71" i="1"/>
  <c r="T71" i="1" s="1"/>
  <c r="R69" i="1" l="1"/>
  <c r="S70" i="1"/>
  <c r="T70" i="1" s="1"/>
  <c r="R68" i="1" l="1"/>
  <c r="S69" i="1"/>
  <c r="T69" i="1" s="1"/>
  <c r="R67" i="1" l="1"/>
  <c r="S68" i="1"/>
  <c r="T68" i="1" s="1"/>
  <c r="R66" i="1" l="1"/>
  <c r="S67" i="1"/>
  <c r="T67" i="1" s="1"/>
  <c r="R65" i="1" l="1"/>
  <c r="S66" i="1"/>
  <c r="T66" i="1" s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R60" i="1" l="1"/>
  <c r="S61" i="1"/>
  <c r="T61" i="1" s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R47" i="1" l="1"/>
  <c r="S48" i="1"/>
  <c r="T48" i="1" s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S34" i="1" l="1"/>
  <c r="T34" i="1" s="1"/>
  <c r="R33" i="1"/>
  <c r="R32" i="1" l="1"/>
  <c r="S33" i="1"/>
  <c r="T33" i="1" s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S25" i="1" l="1"/>
  <c r="T25" i="1" s="1"/>
  <c r="R24" i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<sst xmlns="http://schemas.openxmlformats.org/spreadsheetml/2006/main" count="9602" uniqueCount="34">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</sst>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0.44500000000000001</c:v>
                </c:pt>
                <c:pt idx="1">
                  <c:v>0.45650000000000002</c:v>
                </c:pt>
                <c:pt idx="2">
                  <c:v>0.45240000000000002</c:v>
                </c:pt>
                <c:pt idx="3">
                  <c:v>0.44579999999999997</c:v>
                </c:pt>
                <c:pt idx="4">
                  <c:v>0.47010000000000002</c:v>
                </c:pt>
                <c:pt idx="5">
                  <c:v>0.45479999999999998</c:v>
                </c:pt>
                <c:pt idx="6">
                  <c:v>0.49559999999999998</c:v>
                </c:pt>
                <c:pt idx="7">
                  <c:v>0.56940000000000002</c:v>
                </c:pt>
                <c:pt idx="8">
                  <c:v>0.59319999999999995</c:v>
                </c:pt>
                <c:pt idx="9">
                  <c:v>0.61550000000000005</c:v>
                </c:pt>
                <c:pt idx="10">
                  <c:v>0.62239999999999995</c:v>
                </c:pt>
                <c:pt idx="11">
                  <c:v>0.6502</c:v>
                </c:pt>
                <c:pt idx="12">
                  <c:v>0.64639999999999997</c:v>
                </c:pt>
                <c:pt idx="13">
                  <c:v>0.62190000000000001</c:v>
                </c:pt>
                <c:pt idx="14">
                  <c:v>0.61160000000000003</c:v>
                </c:pt>
                <c:pt idx="15">
                  <c:v>0.63790000000000002</c:v>
                </c:pt>
                <c:pt idx="16">
                  <c:v>0.61180000000000001</c:v>
                </c:pt>
                <c:pt idx="17">
                  <c:v>0.58809999999999996</c:v>
                </c:pt>
                <c:pt idx="18">
                  <c:v>0.61119999999999997</c:v>
                </c:pt>
                <c:pt idx="19">
                  <c:v>0.58960000000000001</c:v>
                </c:pt>
                <c:pt idx="20">
                  <c:v>0.61480000000000001</c:v>
                </c:pt>
                <c:pt idx="21">
                  <c:v>0.62809999999999999</c:v>
                </c:pt>
                <c:pt idx="22">
                  <c:v>0.62960000000000005</c:v>
                </c:pt>
                <c:pt idx="23">
                  <c:v>0.67310000000000003</c:v>
                </c:pt>
                <c:pt idx="24">
                  <c:v>0.6855</c:v>
                </c:pt>
                <c:pt idx="25">
                  <c:v>0.70289999999999997</c:v>
                </c:pt>
                <c:pt idx="26">
                  <c:v>0.6754</c:v>
                </c:pt>
                <c:pt idx="27">
                  <c:v>0.65680000000000005</c:v>
                </c:pt>
                <c:pt idx="28">
                  <c:v>0.66890000000000005</c:v>
                </c:pt>
                <c:pt idx="29">
                  <c:v>0.6573</c:v>
                </c:pt>
                <c:pt idx="30">
                  <c:v>0.69</c:v>
                </c:pt>
                <c:pt idx="31">
                  <c:v>0.75439999999999996</c:v>
                </c:pt>
                <c:pt idx="32">
                  <c:v>0.748</c:v>
                </c:pt>
                <c:pt idx="33">
                  <c:v>0.74250000000000005</c:v>
                </c:pt>
                <c:pt idx="34">
                  <c:v>0.73919999999999997</c:v>
                </c:pt>
                <c:pt idx="35">
                  <c:v>0.74760000000000004</c:v>
                </c:pt>
                <c:pt idx="36">
                  <c:v>0.7107</c:v>
                </c:pt>
                <c:pt idx="37">
                  <c:v>0.70020000000000004</c:v>
                </c:pt>
                <c:pt idx="38">
                  <c:v>0.67310000000000003</c:v>
                </c:pt>
                <c:pt idx="39">
                  <c:v>0.69059999999999999</c:v>
                </c:pt>
                <c:pt idx="40">
                  <c:v>0.6804</c:v>
                </c:pt>
                <c:pt idx="41">
                  <c:v>0.67210000000000003</c:v>
                </c:pt>
                <c:pt idx="42">
                  <c:v>0.67349999999999999</c:v>
                </c:pt>
                <c:pt idx="43">
                  <c:v>0.69750000000000001</c:v>
                </c:pt>
                <c:pt idx="44">
                  <c:v>0.6764</c:v>
                </c:pt>
                <c:pt idx="45">
                  <c:v>0.65359999999999996</c:v>
                </c:pt>
                <c:pt idx="46">
                  <c:v>0.72570000000000001</c:v>
                </c:pt>
                <c:pt idx="47">
                  <c:v>0.69630000000000003</c:v>
                </c:pt>
                <c:pt idx="48">
                  <c:v>0.68759999999999999</c:v>
                </c:pt>
                <c:pt idx="49">
                  <c:v>0.71550000000000002</c:v>
                </c:pt>
                <c:pt idx="50">
                  <c:v>0.80700000000000005</c:v>
                </c:pt>
                <c:pt idx="51">
                  <c:v>0.76149999999999995</c:v>
                </c:pt>
                <c:pt idx="52">
                  <c:v>0.75760000000000005</c:v>
                </c:pt>
                <c:pt idx="53">
                  <c:v>0.73260000000000003</c:v>
                </c:pt>
                <c:pt idx="54">
                  <c:v>0.79220000000000002</c:v>
                </c:pt>
                <c:pt idx="55">
                  <c:v>0.94869999999999999</c:v>
                </c:pt>
                <c:pt idx="56">
                  <c:v>1.0033000000000001</c:v>
                </c:pt>
                <c:pt idx="57">
                  <c:v>0.97399999999999998</c:v>
                </c:pt>
                <c:pt idx="58">
                  <c:v>0.98099999999999998</c:v>
                </c:pt>
                <c:pt idx="59">
                  <c:v>1.0471999999999999</c:v>
                </c:pt>
                <c:pt idx="60">
                  <c:v>0.99119999999999997</c:v>
                </c:pt>
                <c:pt idx="61">
                  <c:v>1.0427</c:v>
                </c:pt>
                <c:pt idx="62">
                  <c:v>0.96940000000000004</c:v>
                </c:pt>
                <c:pt idx="63">
                  <c:v>1.0174000000000001</c:v>
                </c:pt>
                <c:pt idx="64">
                  <c:v>0.96860000000000002</c:v>
                </c:pt>
                <c:pt idx="65">
                  <c:v>1</c:v>
                </c:pt>
                <c:pt idx="66">
                  <c:v>0.9446</c:v>
                </c:pt>
                <c:pt idx="67">
                  <c:v>0.98260000000000003</c:v>
                </c:pt>
                <c:pt idx="68">
                  <c:v>0.98629999999999995</c:v>
                </c:pt>
                <c:pt idx="69">
                  <c:v>0.97060000000000002</c:v>
                </c:pt>
                <c:pt idx="70">
                  <c:v>0.92200000000000004</c:v>
                </c:pt>
                <c:pt idx="71">
                  <c:v>1.0065</c:v>
                </c:pt>
                <c:pt idx="72">
                  <c:v>0.98799999999999999</c:v>
                </c:pt>
                <c:pt idx="73">
                  <c:v>1.0615000000000001</c:v>
                </c:pt>
                <c:pt idx="74">
                  <c:v>1.1121000000000001</c:v>
                </c:pt>
                <c:pt idx="75">
                  <c:v>1.0743</c:v>
                </c:pt>
                <c:pt idx="76">
                  <c:v>1.0437000000000001</c:v>
                </c:pt>
                <c:pt idx="77">
                  <c:v>1.0636000000000001</c:v>
                </c:pt>
                <c:pt idx="78">
                  <c:v>1.0680000000000001</c:v>
                </c:pt>
                <c:pt idx="79">
                  <c:v>1.1931</c:v>
                </c:pt>
                <c:pt idx="80">
                  <c:v>1.0833999999999999</c:v>
                </c:pt>
                <c:pt idx="81">
                  <c:v>1.0632999999999999</c:v>
                </c:pt>
                <c:pt idx="82">
                  <c:v>1.0667</c:v>
                </c:pt>
                <c:pt idx="83">
                  <c:v>1.1266</c:v>
                </c:pt>
                <c:pt idx="84">
                  <c:v>1.1242000000000001</c:v>
                </c:pt>
                <c:pt idx="85">
                  <c:v>1.0725</c:v>
                </c:pt>
                <c:pt idx="86">
                  <c:v>1.0417000000000001</c:v>
                </c:pt>
                <c:pt idx="87">
                  <c:v>1.0276000000000001</c:v>
                </c:pt>
                <c:pt idx="88">
                  <c:v>1.0442</c:v>
                </c:pt>
                <c:pt idx="89">
                  <c:v>0.99429999999999996</c:v>
                </c:pt>
                <c:pt idx="90">
                  <c:v>0.92800000000000005</c:v>
                </c:pt>
                <c:pt idx="91">
                  <c:v>0.8911</c:v>
                </c:pt>
                <c:pt idx="92">
                  <c:v>0.85299999999999998</c:v>
                </c:pt>
                <c:pt idx="93">
                  <c:v>0.97230000000000005</c:v>
                </c:pt>
                <c:pt idx="94">
                  <c:v>0.97170000000000001</c:v>
                </c:pt>
                <c:pt idx="95">
                  <c:v>0.94589999999999996</c:v>
                </c:pt>
                <c:pt idx="96">
                  <c:v>0.96</c:v>
                </c:pt>
                <c:pt idx="97">
                  <c:v>0.98</c:v>
                </c:pt>
                <c:pt idx="98">
                  <c:v>0.98599999999999999</c:v>
                </c:pt>
                <c:pt idx="99">
                  <c:v>0.96560000000000001</c:v>
                </c:pt>
                <c:pt idx="100">
                  <c:v>0.92169999999999996</c:v>
                </c:pt>
                <c:pt idx="101">
                  <c:v>0.91790000000000005</c:v>
                </c:pt>
                <c:pt idx="102">
                  <c:v>0.93820000000000003</c:v>
                </c:pt>
                <c:pt idx="103">
                  <c:v>0.9617</c:v>
                </c:pt>
                <c:pt idx="104">
                  <c:v>0.94569999999999999</c:v>
                </c:pt>
                <c:pt idx="105">
                  <c:v>0.96430000000000005</c:v>
                </c:pt>
                <c:pt idx="106">
                  <c:v>0.9758</c:v>
                </c:pt>
                <c:pt idx="107">
                  <c:v>0.9264</c:v>
                </c:pt>
                <c:pt idx="108">
                  <c:v>0.95309999999999995</c:v>
                </c:pt>
                <c:pt idx="109">
                  <c:v>0.96479999999999999</c:v>
                </c:pt>
                <c:pt idx="110">
                  <c:v>1.0227999999999999</c:v>
                </c:pt>
                <c:pt idx="111">
                  <c:v>1.1232</c:v>
                </c:pt>
                <c:pt idx="112">
                  <c:v>0.94220000000000004</c:v>
                </c:pt>
                <c:pt idx="113">
                  <c:v>0.92879999999999996</c:v>
                </c:pt>
                <c:pt idx="114">
                  <c:v>0.91659999999999997</c:v>
                </c:pt>
                <c:pt idx="115">
                  <c:v>0.86550000000000005</c:v>
                </c:pt>
                <c:pt idx="116">
                  <c:v>0.89810000000000001</c:v>
                </c:pt>
                <c:pt idx="117">
                  <c:v>0.84489999999999998</c:v>
                </c:pt>
                <c:pt idx="118">
                  <c:v>0.84630000000000005</c:v>
                </c:pt>
                <c:pt idx="119">
                  <c:v>0.77759999999999996</c:v>
                </c:pt>
                <c:pt idx="120">
                  <c:v>0.73050000000000004</c:v>
                </c:pt>
                <c:pt idx="121">
                  <c:v>0.7137</c:v>
                </c:pt>
                <c:pt idx="122">
                  <c:v>0.74709999999999999</c:v>
                </c:pt>
                <c:pt idx="123">
                  <c:v>0.78559999999999997</c:v>
                </c:pt>
                <c:pt idx="124">
                  <c:v>0.80810000000000004</c:v>
                </c:pt>
                <c:pt idx="125">
                  <c:v>0.8236</c:v>
                </c:pt>
                <c:pt idx="126">
                  <c:v>0.89859999999999995</c:v>
                </c:pt>
                <c:pt idx="127">
                  <c:v>0.87709999999999999</c:v>
                </c:pt>
                <c:pt idx="128">
                  <c:v>0.78149999999999997</c:v>
                </c:pt>
                <c:pt idx="129">
                  <c:v>0.8881</c:v>
                </c:pt>
                <c:pt idx="130">
                  <c:v>0.9768</c:v>
                </c:pt>
                <c:pt idx="131">
                  <c:v>1.0112000000000001</c:v>
                </c:pt>
                <c:pt idx="132">
                  <c:v>1.0007999999999999</c:v>
                </c:pt>
                <c:pt idx="133">
                  <c:v>1.014</c:v>
                </c:pt>
                <c:pt idx="134">
                  <c:v>1.0528</c:v>
                </c:pt>
                <c:pt idx="135">
                  <c:v>1.0165</c:v>
                </c:pt>
                <c:pt idx="136">
                  <c:v>0.95899999999999996</c:v>
                </c:pt>
                <c:pt idx="137">
                  <c:v>1.0118</c:v>
                </c:pt>
                <c:pt idx="138">
                  <c:v>0.98570000000000002</c:v>
                </c:pt>
                <c:pt idx="139">
                  <c:v>0.95430000000000004</c:v>
                </c:pt>
                <c:pt idx="140">
                  <c:v>1.0309999999999999</c:v>
                </c:pt>
                <c:pt idx="141">
                  <c:v>0.99729999999999996</c:v>
                </c:pt>
                <c:pt idx="142">
                  <c:v>0.99380000000000002</c:v>
                </c:pt>
                <c:pt idx="143">
                  <c:v>1.2916000000000001</c:v>
                </c:pt>
                <c:pt idx="144">
                  <c:v>1.3251999999999999</c:v>
                </c:pt>
                <c:pt idx="145">
                  <c:v>1.2302999999999999</c:v>
                </c:pt>
                <c:pt idx="146">
                  <c:v>1.1878</c:v>
                </c:pt>
                <c:pt idx="147">
                  <c:v>1.1649</c:v>
                </c:pt>
                <c:pt idx="148">
                  <c:v>1.1107</c:v>
                </c:pt>
                <c:pt idx="149">
                  <c:v>1.0419</c:v>
                </c:pt>
                <c:pt idx="150">
                  <c:v>1.0246</c:v>
                </c:pt>
                <c:pt idx="151">
                  <c:v>1.0753999999999999</c:v>
                </c:pt>
                <c:pt idx="152">
                  <c:v>1.0955999999999999</c:v>
                </c:pt>
                <c:pt idx="153">
                  <c:v>1.0922000000000001</c:v>
                </c:pt>
                <c:pt idx="154">
                  <c:v>1.0371999999999999</c:v>
                </c:pt>
                <c:pt idx="155">
                  <c:v>1.1355</c:v>
                </c:pt>
                <c:pt idx="156">
                  <c:v>1.0971</c:v>
                </c:pt>
                <c:pt idx="157">
                  <c:v>1.1692</c:v>
                </c:pt>
                <c:pt idx="158">
                  <c:v>1.0783</c:v>
                </c:pt>
                <c:pt idx="159">
                  <c:v>1.0711999999999999</c:v>
                </c:pt>
                <c:pt idx="160">
                  <c:v>1.0886</c:v>
                </c:pt>
                <c:pt idx="161">
                  <c:v>1.0528999999999999</c:v>
                </c:pt>
                <c:pt idx="162">
                  <c:v>0.98609999999999998</c:v>
                </c:pt>
                <c:pt idx="163">
                  <c:v>1.0055000000000001</c:v>
                </c:pt>
                <c:pt idx="164">
                  <c:v>1.079</c:v>
                </c:pt>
                <c:pt idx="165">
                  <c:v>1.1328</c:v>
                </c:pt>
                <c:pt idx="166">
                  <c:v>1.0845</c:v>
                </c:pt>
                <c:pt idx="167">
                  <c:v>1.0663</c:v>
                </c:pt>
                <c:pt idx="168">
                  <c:v>0.97009999999999996</c:v>
                </c:pt>
                <c:pt idx="169">
                  <c:v>1.0174000000000001</c:v>
                </c:pt>
                <c:pt idx="170">
                  <c:v>0.93600000000000005</c:v>
                </c:pt>
                <c:pt idx="171">
                  <c:v>0.91700000000000004</c:v>
                </c:pt>
                <c:pt idx="172">
                  <c:v>0.87229999999999996</c:v>
                </c:pt>
                <c:pt idx="173">
                  <c:v>0.91759999999999997</c:v>
                </c:pt>
                <c:pt idx="174">
                  <c:v>0.88239999999999996</c:v>
                </c:pt>
                <c:pt idx="175">
                  <c:v>0.85450000000000004</c:v>
                </c:pt>
                <c:pt idx="176">
                  <c:v>0.85019999999999996</c:v>
                </c:pt>
                <c:pt idx="177">
                  <c:v>0.82120000000000004</c:v>
                </c:pt>
                <c:pt idx="178">
                  <c:v>0.81830000000000003</c:v>
                </c:pt>
                <c:pt idx="179">
                  <c:v>0.7994</c:v>
                </c:pt>
                <c:pt idx="180">
                  <c:v>0.85770000000000002</c:v>
                </c:pt>
                <c:pt idx="181">
                  <c:v>0.81469999999999998</c:v>
                </c:pt>
                <c:pt idx="182">
                  <c:v>0.74570000000000003</c:v>
                </c:pt>
                <c:pt idx="183">
                  <c:v>0.70720000000000005</c:v>
                </c:pt>
                <c:pt idx="184">
                  <c:v>0.70469999999999999</c:v>
                </c:pt>
                <c:pt idx="185">
                  <c:v>0.67630000000000001</c:v>
                </c:pt>
                <c:pt idx="186">
                  <c:v>0.66990000000000005</c:v>
                </c:pt>
                <c:pt idx="187">
                  <c:v>0.65890000000000004</c:v>
                </c:pt>
                <c:pt idx="188">
                  <c:v>0.64470000000000005</c:v>
                </c:pt>
                <c:pt idx="189">
                  <c:v>0.62680000000000002</c:v>
                </c:pt>
                <c:pt idx="190">
                  <c:v>0.61270000000000002</c:v>
                </c:pt>
                <c:pt idx="191">
                  <c:v>0.56840000000000002</c:v>
                </c:pt>
                <c:pt idx="192">
                  <c:v>0.60550000000000004</c:v>
                </c:pt>
                <c:pt idx="193">
                  <c:v>0.66110000000000002</c:v>
                </c:pt>
                <c:pt idx="194">
                  <c:v>0.63400000000000001</c:v>
                </c:pt>
                <c:pt idx="195">
                  <c:v>0.62270000000000003</c:v>
                </c:pt>
                <c:pt idx="196">
                  <c:v>0.65359999999999996</c:v>
                </c:pt>
                <c:pt idx="197">
                  <c:v>0.69089999999999996</c:v>
                </c:pt>
                <c:pt idx="198">
                  <c:v>0.71430000000000005</c:v>
                </c:pt>
                <c:pt idx="199">
                  <c:v>0.69220000000000004</c:v>
                </c:pt>
                <c:pt idx="200">
                  <c:v>0.70309999999999995</c:v>
                </c:pt>
                <c:pt idx="201">
                  <c:v>0.68810000000000004</c:v>
                </c:pt>
                <c:pt idx="202">
                  <c:v>0.69950000000000001</c:v>
                </c:pt>
                <c:pt idx="203">
                  <c:v>0.70250000000000001</c:v>
                </c:pt>
                <c:pt idx="204">
                  <c:v>0.76680000000000004</c:v>
                </c:pt>
                <c:pt idx="205">
                  <c:v>0.72970000000000002</c:v>
                </c:pt>
                <c:pt idx="206">
                  <c:v>0.71489999999999998</c:v>
                </c:pt>
                <c:pt idx="207">
                  <c:v>0.72060000000000002</c:v>
                </c:pt>
                <c:pt idx="208">
                  <c:v>0.71319999999999995</c:v>
                </c:pt>
                <c:pt idx="209">
                  <c:v>0.70889999999999997</c:v>
                </c:pt>
                <c:pt idx="210">
                  <c:v>0.70179999999999998</c:v>
                </c:pt>
                <c:pt idx="211">
                  <c:v>0.74950000000000006</c:v>
                </c:pt>
                <c:pt idx="212">
                  <c:v>0.71830000000000005</c:v>
                </c:pt>
                <c:pt idx="213">
                  <c:v>0.65759999999999996</c:v>
                </c:pt>
                <c:pt idx="214">
                  <c:v>0.62980000000000003</c:v>
                </c:pt>
                <c:pt idx="215">
                  <c:v>0.61199999999999999</c:v>
                </c:pt>
                <c:pt idx="216">
                  <c:v>0.59809999999999997</c:v>
                </c:pt>
                <c:pt idx="217">
                  <c:v>0.66</c:v>
                </c:pt>
                <c:pt idx="218">
                  <c:v>0.62749999999999995</c:v>
                </c:pt>
                <c:pt idx="219">
                  <c:v>0.58130000000000004</c:v>
                </c:pt>
                <c:pt idx="220">
                  <c:v>0.62150000000000005</c:v>
                </c:pt>
                <c:pt idx="221">
                  <c:v>0.83250000000000002</c:v>
                </c:pt>
                <c:pt idx="222">
                  <c:v>0.83460000000000001</c:v>
                </c:pt>
                <c:pt idx="223">
                  <c:v>0.84919999999999995</c:v>
                </c:pt>
                <c:pt idx="224">
                  <c:v>0.90820000000000001</c:v>
                </c:pt>
                <c:pt idx="225">
                  <c:v>0.91649999999999998</c:v>
                </c:pt>
                <c:pt idx="226">
                  <c:v>0.96240000000000003</c:v>
                </c:pt>
                <c:pt idx="227">
                  <c:v>0.96409999999999996</c:v>
                </c:pt>
                <c:pt idx="228">
                  <c:v>0.95109999999999995</c:v>
                </c:pt>
                <c:pt idx="229">
                  <c:v>0.8992</c:v>
                </c:pt>
                <c:pt idx="230">
                  <c:v>0.92700000000000005</c:v>
                </c:pt>
                <c:pt idx="231">
                  <c:v>0.97089999999999999</c:v>
                </c:pt>
                <c:pt idx="232">
                  <c:v>1.0116000000000001</c:v>
                </c:pt>
                <c:pt idx="233">
                  <c:v>0.96350000000000002</c:v>
                </c:pt>
                <c:pt idx="234">
                  <c:v>0.98909999999999998</c:v>
                </c:pt>
                <c:pt idx="235">
                  <c:v>1.1056999999999999</c:v>
                </c:pt>
                <c:pt idx="236">
                  <c:v>1.06</c:v>
                </c:pt>
                <c:pt idx="237">
                  <c:v>1.1125</c:v>
                </c:pt>
                <c:pt idx="238">
                  <c:v>1.2259</c:v>
                </c:pt>
                <c:pt idx="239">
                  <c:v>1.1757</c:v>
                </c:pt>
                <c:pt idx="240">
                  <c:v>1.1142000000000001</c:v>
                </c:pt>
                <c:pt idx="241">
                  <c:v>1.1438999999999999</c:v>
                </c:pt>
                <c:pt idx="242">
                  <c:v>1.0549999999999999</c:v>
                </c:pt>
                <c:pt idx="243">
                  <c:v>1.0247999999999999</c:v>
                </c:pt>
                <c:pt idx="244">
                  <c:v>1.0873999999999999</c:v>
                </c:pt>
                <c:pt idx="245">
                  <c:v>1.2378</c:v>
                </c:pt>
                <c:pt idx="246">
                  <c:v>1.3033999999999999</c:v>
                </c:pt>
                <c:pt idx="247">
                  <c:v>1.1588000000000001</c:v>
                </c:pt>
                <c:pt idx="248">
                  <c:v>1.1378999999999999</c:v>
                </c:pt>
                <c:pt idx="249">
                  <c:v>0.91739999999999999</c:v>
                </c:pt>
                <c:pt idx="250">
                  <c:v>1.1244000000000001</c:v>
                </c:pt>
                <c:pt idx="251">
                  <c:v>1.2773000000000001</c:v>
                </c:pt>
                <c:pt idx="252">
                  <c:v>1.6427</c:v>
                </c:pt>
                <c:pt idx="253">
                  <c:v>1.1288</c:v>
                </c:pt>
                <c:pt idx="254">
                  <c:v>1.8707</c:v>
                </c:pt>
                <c:pt idx="255">
                  <c:v>1.8149999999999999</c:v>
                </c:pt>
                <c:pt idx="256">
                  <c:v>1.978</c:v>
                </c:pt>
                <c:pt idx="257">
                  <c:v>1.9754</c:v>
                </c:pt>
                <c:pt idx="258">
                  <c:v>2.1795</c:v>
                </c:pt>
                <c:pt idx="259">
                  <c:v>2.1274999999999999</c:v>
                </c:pt>
                <c:pt idx="260">
                  <c:v>2.0971000000000002</c:v>
                </c:pt>
                <c:pt idx="261">
                  <c:v>2.5568</c:v>
                </c:pt>
                <c:pt idx="262">
                  <c:v>2.3180000000000001</c:v>
                </c:pt>
                <c:pt idx="263">
                  <c:v>2.6934</c:v>
                </c:pt>
                <c:pt idx="264">
                  <c:v>2.4527999999999999</c:v>
                </c:pt>
                <c:pt idx="265">
                  <c:v>2.4567999999999999</c:v>
                </c:pt>
                <c:pt idx="266">
                  <c:v>2.67</c:v>
                </c:pt>
                <c:pt idx="267">
                  <c:v>2.1423999999999999</c:v>
                </c:pt>
                <c:pt idx="268">
                  <c:v>1.7593000000000001</c:v>
                </c:pt>
                <c:pt idx="269">
                  <c:v>1.9354</c:v>
                </c:pt>
                <c:pt idx="270">
                  <c:v>1.8818999999999999</c:v>
                </c:pt>
                <c:pt idx="271">
                  <c:v>1.8029999999999999</c:v>
                </c:pt>
                <c:pt idx="272">
                  <c:v>1.8372999999999999</c:v>
                </c:pt>
                <c:pt idx="273">
                  <c:v>1.6815</c:v>
                </c:pt>
                <c:pt idx="274">
                  <c:v>1.7057</c:v>
                </c:pt>
                <c:pt idx="275">
                  <c:v>1.7558</c:v>
                </c:pt>
                <c:pt idx="276">
                  <c:v>1.5762</c:v>
                </c:pt>
                <c:pt idx="277">
                  <c:v>1.3391</c:v>
                </c:pt>
                <c:pt idx="278">
                  <c:v>1.3436999999999999</c:v>
                </c:pt>
                <c:pt idx="279">
                  <c:v>1.5188999999999999</c:v>
                </c:pt>
                <c:pt idx="280">
                  <c:v>1.6491</c:v>
                </c:pt>
                <c:pt idx="281">
                  <c:v>1.8742000000000001</c:v>
                </c:pt>
                <c:pt idx="282">
                  <c:v>2.0991</c:v>
                </c:pt>
                <c:pt idx="283">
                  <c:v>2.1185999999999998</c:v>
                </c:pt>
                <c:pt idx="284">
                  <c:v>2.3696999999999999</c:v>
                </c:pt>
                <c:pt idx="285">
                  <c:v>2.2736999999999998</c:v>
                </c:pt>
                <c:pt idx="286">
                  <c:v>2.3388</c:v>
                </c:pt>
                <c:pt idx="287">
                  <c:v>2.0493000000000001</c:v>
                </c:pt>
                <c:pt idx="288">
                  <c:v>1.9029</c:v>
                </c:pt>
                <c:pt idx="289">
                  <c:v>1.9314</c:v>
                </c:pt>
                <c:pt idx="290">
                  <c:v>1.8651</c:v>
                </c:pt>
                <c:pt idx="291">
                  <c:v>1.9709000000000001</c:v>
                </c:pt>
                <c:pt idx="292">
                  <c:v>1.9817</c:v>
                </c:pt>
                <c:pt idx="293">
                  <c:v>2.0021</c:v>
                </c:pt>
                <c:pt idx="294">
                  <c:v>1.9432</c:v>
                </c:pt>
                <c:pt idx="295">
                  <c:v>1.7571000000000001</c:v>
                </c:pt>
                <c:pt idx="296">
                  <c:v>1.9191</c:v>
                </c:pt>
                <c:pt idx="297">
                  <c:v>1.9641</c:v>
                </c:pt>
                <c:pt idx="298">
                  <c:v>1.7536</c:v>
                </c:pt>
                <c:pt idx="299">
                  <c:v>1.5891999999999999</c:v>
                </c:pt>
                <c:pt idx="300">
                  <c:v>1.7758</c:v>
                </c:pt>
                <c:pt idx="301">
                  <c:v>1.7178</c:v>
                </c:pt>
                <c:pt idx="302">
                  <c:v>1.7339</c:v>
                </c:pt>
                <c:pt idx="303">
                  <c:v>1.645</c:v>
                </c:pt>
                <c:pt idx="304">
                  <c:v>1.6797</c:v>
                </c:pt>
                <c:pt idx="305">
                  <c:v>1.5166999999999999</c:v>
                </c:pt>
                <c:pt idx="306">
                  <c:v>1.3740000000000001</c:v>
                </c:pt>
                <c:pt idx="307">
                  <c:v>1.2845</c:v>
                </c:pt>
                <c:pt idx="308">
                  <c:v>1.1624000000000001</c:v>
                </c:pt>
                <c:pt idx="309">
                  <c:v>1.2117</c:v>
                </c:pt>
                <c:pt idx="310">
                  <c:v>1.3469</c:v>
                </c:pt>
                <c:pt idx="311">
                  <c:v>1.2005999999999999</c:v>
                </c:pt>
                <c:pt idx="312">
                  <c:v>1.1835</c:v>
                </c:pt>
                <c:pt idx="313">
                  <c:v>1.1999</c:v>
                </c:pt>
                <c:pt idx="314">
                  <c:v>1.1944999999999999</c:v>
                </c:pt>
                <c:pt idx="315">
                  <c:v>1.1845000000000001</c:v>
                </c:pt>
                <c:pt idx="316">
                  <c:v>1.2581</c:v>
                </c:pt>
                <c:pt idx="317">
                  <c:v>1.1775</c:v>
                </c:pt>
                <c:pt idx="318">
                  <c:v>1.1384000000000001</c:v>
                </c:pt>
                <c:pt idx="319">
                  <c:v>1.0654999999999999</c:v>
                </c:pt>
                <c:pt idx="320">
                  <c:v>1.1342000000000001</c:v>
                </c:pt>
                <c:pt idx="321">
                  <c:v>1.0677000000000001</c:v>
                </c:pt>
                <c:pt idx="322">
                  <c:v>1.1316999999999999</c:v>
                </c:pt>
                <c:pt idx="323">
                  <c:v>1.1403000000000001</c:v>
                </c:pt>
                <c:pt idx="324">
                  <c:v>1.2132000000000001</c:v>
                </c:pt>
                <c:pt idx="325">
                  <c:v>1.1332</c:v>
                </c:pt>
                <c:pt idx="326">
                  <c:v>1.0488999999999999</c:v>
                </c:pt>
                <c:pt idx="327">
                  <c:v>1.0387</c:v>
                </c:pt>
                <c:pt idx="328">
                  <c:v>1.012</c:v>
                </c:pt>
                <c:pt idx="329">
                  <c:v>0.9637</c:v>
                </c:pt>
                <c:pt idx="330">
                  <c:v>1.0305</c:v>
                </c:pt>
                <c:pt idx="331">
                  <c:v>0.92120000000000002</c:v>
                </c:pt>
                <c:pt idx="332">
                  <c:v>0.9163</c:v>
                </c:pt>
                <c:pt idx="333">
                  <c:v>0.84730000000000005</c:v>
                </c:pt>
                <c:pt idx="334">
                  <c:v>0.91500000000000004</c:v>
                </c:pt>
                <c:pt idx="335">
                  <c:v>0.89690000000000003</c:v>
                </c:pt>
                <c:pt idx="336">
                  <c:v>0.93889999999999996</c:v>
                </c:pt>
                <c:pt idx="337">
                  <c:v>1.0038</c:v>
                </c:pt>
                <c:pt idx="338">
                  <c:v>0.9819</c:v>
                </c:pt>
                <c:pt idx="339">
                  <c:v>1.1928000000000001</c:v>
                </c:pt>
                <c:pt idx="340">
                  <c:v>1.4137</c:v>
                </c:pt>
                <c:pt idx="341">
                  <c:v>1.2310000000000001</c:v>
                </c:pt>
                <c:pt idx="342">
                  <c:v>1.2632000000000001</c:v>
                </c:pt>
                <c:pt idx="343">
                  <c:v>1.2284999999999999</c:v>
                </c:pt>
                <c:pt idx="344">
                  <c:v>1.1547000000000001</c:v>
                </c:pt>
                <c:pt idx="345">
                  <c:v>1.1237999999999999</c:v>
                </c:pt>
                <c:pt idx="346">
                  <c:v>1.1555</c:v>
                </c:pt>
                <c:pt idx="347">
                  <c:v>1.1637</c:v>
                </c:pt>
                <c:pt idx="348">
                  <c:v>1.2931999999999999</c:v>
                </c:pt>
                <c:pt idx="349">
                  <c:v>1.0894999999999999</c:v>
                </c:pt>
                <c:pt idx="350">
                  <c:v>1.0369999999999999</c:v>
                </c:pt>
                <c:pt idx="351">
                  <c:v>0.90759999999999996</c:v>
                </c:pt>
                <c:pt idx="352">
                  <c:v>0.84150000000000003</c:v>
                </c:pt>
                <c:pt idx="353">
                  <c:v>0.77</c:v>
                </c:pt>
                <c:pt idx="354">
                  <c:v>0.69350000000000001</c:v>
                </c:pt>
                <c:pt idx="355">
                  <c:v>0.66080000000000005</c:v>
                </c:pt>
                <c:pt idx="356">
                  <c:v>0.67410000000000003</c:v>
                </c:pt>
                <c:pt idx="357">
                  <c:v>0.60589999999999999</c:v>
                </c:pt>
                <c:pt idx="358">
                  <c:v>0.63100000000000001</c:v>
                </c:pt>
                <c:pt idx="359">
                  <c:v>0.621</c:v>
                </c:pt>
                <c:pt idx="360">
                  <c:v>0.58960000000000001</c:v>
                </c:pt>
                <c:pt idx="361">
                  <c:v>0.57920000000000005</c:v>
                </c:pt>
                <c:pt idx="362">
                  <c:v>0.5887</c:v>
                </c:pt>
                <c:pt idx="363">
                  <c:v>0.57779999999999998</c:v>
                </c:pt>
                <c:pt idx="364">
                  <c:v>0.56079999999999997</c:v>
                </c:pt>
                <c:pt idx="365">
                  <c:v>0.53669999999999995</c:v>
                </c:pt>
                <c:pt idx="366">
                  <c:v>0.58109999999999995</c:v>
                </c:pt>
                <c:pt idx="367">
                  <c:v>0.59079999999999999</c:v>
                </c:pt>
                <c:pt idx="368">
                  <c:v>0.6109</c:v>
                </c:pt>
                <c:pt idx="369">
                  <c:v>0.60199999999999998</c:v>
                </c:pt>
                <c:pt idx="370">
                  <c:v>0.56999999999999995</c:v>
                </c:pt>
                <c:pt idx="371">
                  <c:v>0.54659999999999997</c:v>
                </c:pt>
                <c:pt idx="372">
                  <c:v>0.63680000000000003</c:v>
                </c:pt>
                <c:pt idx="373">
                  <c:v>0.66080000000000005</c:v>
                </c:pt>
                <c:pt idx="374">
                  <c:v>0.71199999999999997</c:v>
                </c:pt>
                <c:pt idx="375">
                  <c:v>0.67269999999999996</c:v>
                </c:pt>
                <c:pt idx="376">
                  <c:v>0.65410000000000001</c:v>
                </c:pt>
                <c:pt idx="377">
                  <c:v>0.63549999999999995</c:v>
                </c:pt>
                <c:pt idx="378">
                  <c:v>0.58160000000000001</c:v>
                </c:pt>
                <c:pt idx="379">
                  <c:v>0.57579999999999998</c:v>
                </c:pt>
                <c:pt idx="380">
                  <c:v>0.53449999999999998</c:v>
                </c:pt>
                <c:pt idx="381">
                  <c:v>0.54869999999999997</c:v>
                </c:pt>
                <c:pt idx="382">
                  <c:v>0.65359999999999996</c:v>
                </c:pt>
                <c:pt idx="383">
                  <c:v>0.63400000000000001</c:v>
                </c:pt>
                <c:pt idx="384">
                  <c:v>0.55630000000000002</c:v>
                </c:pt>
                <c:pt idx="385">
                  <c:v>0.55910000000000004</c:v>
                </c:pt>
                <c:pt idx="386">
                  <c:v>0.58079999999999998</c:v>
                </c:pt>
                <c:pt idx="387">
                  <c:v>0.50900000000000001</c:v>
                </c:pt>
                <c:pt idx="388">
                  <c:v>0.4945</c:v>
                </c:pt>
                <c:pt idx="389">
                  <c:v>0.503</c:v>
                </c:pt>
                <c:pt idx="390">
                  <c:v>0.46529999999999999</c:v>
                </c:pt>
                <c:pt idx="391">
                  <c:v>0.4491</c:v>
                </c:pt>
                <c:pt idx="392">
                  <c:v>0.44130000000000003</c:v>
                </c:pt>
                <c:pt idx="393">
                  <c:v>0.44490000000000002</c:v>
                </c:pt>
                <c:pt idx="394">
                  <c:v>0.45479999999999998</c:v>
                </c:pt>
                <c:pt idx="395">
                  <c:v>0.46389999999999998</c:v>
                </c:pt>
                <c:pt idx="396">
                  <c:v>0.44979999999999998</c:v>
                </c:pt>
                <c:pt idx="397">
                  <c:v>0.4546</c:v>
                </c:pt>
                <c:pt idx="398">
                  <c:v>0.45240000000000002</c:v>
                </c:pt>
                <c:pt idx="399">
                  <c:v>0.45979999999999999</c:v>
                </c:pt>
                <c:pt idx="400">
                  <c:v>0.40860000000000002</c:v>
                </c:pt>
                <c:pt idx="401">
                  <c:v>0.52059999999999995</c:v>
                </c:pt>
                <c:pt idx="402">
                  <c:v>0.51919999999999999</c:v>
                </c:pt>
                <c:pt idx="403">
                  <c:v>0.55049999999999999</c:v>
                </c:pt>
                <c:pt idx="404">
                  <c:v>0.5645</c:v>
                </c:pt>
                <c:pt idx="405">
                  <c:v>0.56950000000000001</c:v>
                </c:pt>
                <c:pt idx="406">
                  <c:v>0.53380000000000005</c:v>
                </c:pt>
                <c:pt idx="407">
                  <c:v>0.53949999999999998</c:v>
                </c:pt>
                <c:pt idx="408">
                  <c:v>0.51080000000000003</c:v>
                </c:pt>
                <c:pt idx="409">
                  <c:v>0.51470000000000005</c:v>
                </c:pt>
                <c:pt idx="410">
                  <c:v>0.51819999999999999</c:v>
                </c:pt>
                <c:pt idx="411">
                  <c:v>0.50049999999999994</c:v>
                </c:pt>
                <c:pt idx="412">
                  <c:v>0.47889999999999999</c:v>
                </c:pt>
                <c:pt idx="413">
                  <c:v>0.49409999999999998</c:v>
                </c:pt>
                <c:pt idx="414">
                  <c:v>0.50600000000000001</c:v>
                </c:pt>
                <c:pt idx="415">
                  <c:v>0.50549999999999995</c:v>
                </c:pt>
                <c:pt idx="416">
                  <c:v>0.54459999999999997</c:v>
                </c:pt>
                <c:pt idx="417">
                  <c:v>0.5554</c:v>
                </c:pt>
                <c:pt idx="418">
                  <c:v>0.55779999999999996</c:v>
                </c:pt>
                <c:pt idx="419">
                  <c:v>0.53669999999999995</c:v>
                </c:pt>
                <c:pt idx="420">
                  <c:v>0.58940000000000003</c:v>
                </c:pt>
                <c:pt idx="421">
                  <c:v>0.57679999999999998</c:v>
                </c:pt>
                <c:pt idx="422">
                  <c:v>0.5575</c:v>
                </c:pt>
                <c:pt idx="423">
                  <c:v>0.59789999999999999</c:v>
                </c:pt>
                <c:pt idx="424">
                  <c:v>0.56820000000000004</c:v>
                </c:pt>
                <c:pt idx="425">
                  <c:v>0.56330000000000002</c:v>
                </c:pt>
                <c:pt idx="426">
                  <c:v>0.54500000000000004</c:v>
                </c:pt>
                <c:pt idx="427">
                  <c:v>0.55820000000000003</c:v>
                </c:pt>
                <c:pt idx="428">
                  <c:v>0.69920000000000004</c:v>
                </c:pt>
                <c:pt idx="429">
                  <c:v>0.63880000000000003</c:v>
                </c:pt>
                <c:pt idx="430">
                  <c:v>0.60840000000000005</c:v>
                </c:pt>
                <c:pt idx="431">
                  <c:v>0.55300000000000005</c:v>
                </c:pt>
                <c:pt idx="432">
                  <c:v>0.58250000000000002</c:v>
                </c:pt>
                <c:pt idx="433">
                  <c:v>0.50939999999999996</c:v>
                </c:pt>
                <c:pt idx="434">
                  <c:v>0.48570000000000002</c:v>
                </c:pt>
                <c:pt idx="435">
                  <c:v>0.48980000000000001</c:v>
                </c:pt>
                <c:pt idx="436">
                  <c:v>0.505</c:v>
                </c:pt>
                <c:pt idx="437">
                  <c:v>0.47460000000000002</c:v>
                </c:pt>
                <c:pt idx="438">
                  <c:v>0.46300000000000002</c:v>
                </c:pt>
                <c:pt idx="439">
                  <c:v>0.47710000000000002</c:v>
                </c:pt>
                <c:pt idx="440">
                  <c:v>0.48870000000000002</c:v>
                </c:pt>
                <c:pt idx="441">
                  <c:v>0.46550000000000002</c:v>
                </c:pt>
                <c:pt idx="442">
                  <c:v>0.47699999999999998</c:v>
                </c:pt>
                <c:pt idx="443">
                  <c:v>0.48080000000000001</c:v>
                </c:pt>
                <c:pt idx="444">
                  <c:v>0.46889999999999998</c:v>
                </c:pt>
                <c:pt idx="445">
                  <c:v>0.4708</c:v>
                </c:pt>
                <c:pt idx="446">
                  <c:v>0.44219999999999998</c:v>
                </c:pt>
                <c:pt idx="447">
                  <c:v>0.47410000000000002</c:v>
                </c:pt>
                <c:pt idx="448">
                  <c:v>0.434</c:v>
                </c:pt>
                <c:pt idx="449">
                  <c:v>0.41880000000000001</c:v>
                </c:pt>
                <c:pt idx="450">
                  <c:v>0.42420000000000002</c:v>
                </c:pt>
                <c:pt idx="451">
                  <c:v>0.43380000000000002</c:v>
                </c:pt>
                <c:pt idx="452">
                  <c:v>0.45469999999999999</c:v>
                </c:pt>
                <c:pt idx="453">
                  <c:v>0.44369999999999998</c:v>
                </c:pt>
                <c:pt idx="454">
                  <c:v>0.4461</c:v>
                </c:pt>
                <c:pt idx="455">
                  <c:v>0.4536</c:v>
                </c:pt>
                <c:pt idx="456">
                  <c:v>0.4753</c:v>
                </c:pt>
                <c:pt idx="457">
                  <c:v>0.51019999999999999</c:v>
                </c:pt>
                <c:pt idx="458">
                  <c:v>0.51490000000000002</c:v>
                </c:pt>
                <c:pt idx="459">
                  <c:v>0.53659999999999997</c:v>
                </c:pt>
                <c:pt idx="460">
                  <c:v>0.54849999999999999</c:v>
                </c:pt>
                <c:pt idx="461">
                  <c:v>0.5423</c:v>
                </c:pt>
                <c:pt idx="462">
                  <c:v>0.55369999999999997</c:v>
                </c:pt>
                <c:pt idx="463">
                  <c:v>0.54700000000000004</c:v>
                </c:pt>
                <c:pt idx="464">
                  <c:v>0.51600000000000001</c:v>
                </c:pt>
                <c:pt idx="465">
                  <c:v>0.56340000000000001</c:v>
                </c:pt>
                <c:pt idx="466">
                  <c:v>0.55620000000000003</c:v>
                </c:pt>
                <c:pt idx="467">
                  <c:v>0.55940000000000001</c:v>
                </c:pt>
                <c:pt idx="468">
                  <c:v>0.54720000000000002</c:v>
                </c:pt>
                <c:pt idx="469">
                  <c:v>0.56210000000000004</c:v>
                </c:pt>
                <c:pt idx="470">
                  <c:v>0.57020000000000004</c:v>
                </c:pt>
                <c:pt idx="471">
                  <c:v>0.57979999999999998</c:v>
                </c:pt>
                <c:pt idx="472">
                  <c:v>0.5877</c:v>
                </c:pt>
                <c:pt idx="473">
                  <c:v>0.59209999999999996</c:v>
                </c:pt>
                <c:pt idx="474">
                  <c:v>0.58579999999999999</c:v>
                </c:pt>
                <c:pt idx="475">
                  <c:v>0.59219999999999995</c:v>
                </c:pt>
                <c:pt idx="476">
                  <c:v>0.57799999999999996</c:v>
                </c:pt>
                <c:pt idx="477">
                  <c:v>0.56589999999999996</c:v>
                </c:pt>
                <c:pt idx="478">
                  <c:v>0.55720000000000003</c:v>
                </c:pt>
                <c:pt idx="479">
                  <c:v>0.59830000000000005</c:v>
                </c:pt>
                <c:pt idx="480">
                  <c:v>0.59889999999999999</c:v>
                </c:pt>
                <c:pt idx="481">
                  <c:v>0.59189999999999998</c:v>
                </c:pt>
                <c:pt idx="482">
                  <c:v>0.59819999999999995</c:v>
                </c:pt>
                <c:pt idx="483">
                  <c:v>0.61850000000000005</c:v>
                </c:pt>
                <c:pt idx="484">
                  <c:v>0.62780000000000002</c:v>
                </c:pt>
                <c:pt idx="485">
                  <c:v>0.64</c:v>
                </c:pt>
                <c:pt idx="486">
                  <c:v>0.63900000000000001</c:v>
                </c:pt>
                <c:pt idx="487">
                  <c:v>0.66239999999999999</c:v>
                </c:pt>
                <c:pt idx="488">
                  <c:v>0.68830000000000002</c:v>
                </c:pt>
                <c:pt idx="489">
                  <c:v>0.65329999999999999</c:v>
                </c:pt>
                <c:pt idx="490">
                  <c:v>0.63649999999999995</c:v>
                </c:pt>
                <c:pt idx="491">
                  <c:v>0.57979999999999998</c:v>
                </c:pt>
                <c:pt idx="492">
                  <c:v>0.64729999999999999</c:v>
                </c:pt>
                <c:pt idx="493">
                  <c:v>0.64319999999999999</c:v>
                </c:pt>
                <c:pt idx="494">
                  <c:v>0.71299999999999997</c:v>
                </c:pt>
                <c:pt idx="495">
                  <c:v>0.76870000000000005</c:v>
                </c:pt>
                <c:pt idx="496">
                  <c:v>0.80469999999999997</c:v>
                </c:pt>
                <c:pt idx="497">
                  <c:v>0.83179999999999998</c:v>
                </c:pt>
                <c:pt idx="498">
                  <c:v>0.82189999999999996</c:v>
                </c:pt>
                <c:pt idx="499">
                  <c:v>0.79469999999999996</c:v>
                </c:pt>
                <c:pt idx="500">
                  <c:v>0.85560000000000003</c:v>
                </c:pt>
                <c:pt idx="501">
                  <c:v>0.77080000000000004</c:v>
                </c:pt>
                <c:pt idx="502">
                  <c:v>0.80969999999999998</c:v>
                </c:pt>
                <c:pt idx="503">
                  <c:v>0.85829999999999995</c:v>
                </c:pt>
                <c:pt idx="504">
                  <c:v>0.76629999999999998</c:v>
                </c:pt>
                <c:pt idx="505">
                  <c:v>0.68179999999999996</c:v>
                </c:pt>
                <c:pt idx="506">
                  <c:v>0.67559999999999998</c:v>
                </c:pt>
                <c:pt idx="507">
                  <c:v>0.63649999999999995</c:v>
                </c:pt>
                <c:pt idx="508">
                  <c:v>0.64329999999999998</c:v>
                </c:pt>
                <c:pt idx="509">
                  <c:v>0.63339999999999996</c:v>
                </c:pt>
                <c:pt idx="510">
                  <c:v>0.64649999999999996</c:v>
                </c:pt>
                <c:pt idx="511">
                  <c:v>0.61129999999999995</c:v>
                </c:pt>
                <c:pt idx="512">
                  <c:v>0.80700000000000005</c:v>
                </c:pt>
                <c:pt idx="513">
                  <c:v>0.88449999999999995</c:v>
                </c:pt>
                <c:pt idx="514">
                  <c:v>0.88170000000000004</c:v>
                </c:pt>
                <c:pt idx="515">
                  <c:v>0.89100000000000001</c:v>
                </c:pt>
                <c:pt idx="516">
                  <c:v>0.91349999999999998</c:v>
                </c:pt>
                <c:pt idx="517">
                  <c:v>0.84009999999999996</c:v>
                </c:pt>
                <c:pt idx="518">
                  <c:v>0.84130000000000005</c:v>
                </c:pt>
                <c:pt idx="519">
                  <c:v>0.88100000000000001</c:v>
                </c:pt>
                <c:pt idx="520">
                  <c:v>0.8306</c:v>
                </c:pt>
                <c:pt idx="521">
                  <c:v>0.89049999999999996</c:v>
                </c:pt>
                <c:pt idx="522">
                  <c:v>0.88859999999999995</c:v>
                </c:pt>
                <c:pt idx="523">
                  <c:v>0.91779999999999995</c:v>
                </c:pt>
                <c:pt idx="524">
                  <c:v>0.83740000000000003</c:v>
                </c:pt>
                <c:pt idx="525">
                  <c:v>0.8548</c:v>
                </c:pt>
                <c:pt idx="526">
                  <c:v>0.77949999999999997</c:v>
                </c:pt>
                <c:pt idx="527">
                  <c:v>0.84279999999999999</c:v>
                </c:pt>
                <c:pt idx="528">
                  <c:v>0.88959999999999995</c:v>
                </c:pt>
                <c:pt idx="529">
                  <c:v>0.89129999999999998</c:v>
                </c:pt>
                <c:pt idx="530">
                  <c:v>0.83040000000000003</c:v>
                </c:pt>
                <c:pt idx="531">
                  <c:v>0.82830000000000004</c:v>
                </c:pt>
                <c:pt idx="532">
                  <c:v>0.80710000000000004</c:v>
                </c:pt>
                <c:pt idx="533">
                  <c:v>0.81840000000000002</c:v>
                </c:pt>
                <c:pt idx="534">
                  <c:v>0.75800000000000001</c:v>
                </c:pt>
                <c:pt idx="535">
                  <c:v>0.85740000000000005</c:v>
                </c:pt>
                <c:pt idx="536">
                  <c:v>0.7974</c:v>
                </c:pt>
                <c:pt idx="537">
                  <c:v>0.73060000000000003</c:v>
                </c:pt>
                <c:pt idx="538">
                  <c:v>0.70030000000000003</c:v>
                </c:pt>
                <c:pt idx="539">
                  <c:v>0.71079999999999999</c:v>
                </c:pt>
                <c:pt idx="540">
                  <c:v>0.71130000000000004</c:v>
                </c:pt>
                <c:pt idx="541">
                  <c:v>0.70469999999999999</c:v>
                </c:pt>
                <c:pt idx="542">
                  <c:v>0.69830000000000003</c:v>
                </c:pt>
                <c:pt idx="543">
                  <c:v>0.68810000000000004</c:v>
                </c:pt>
                <c:pt idx="544">
                  <c:v>0.74950000000000006</c:v>
                </c:pt>
                <c:pt idx="545">
                  <c:v>0.7147</c:v>
                </c:pt>
                <c:pt idx="546">
                  <c:v>0.70489999999999997</c:v>
                </c:pt>
                <c:pt idx="547">
                  <c:v>0.68769999999999998</c:v>
                </c:pt>
                <c:pt idx="548">
                  <c:v>0.69930000000000003</c:v>
                </c:pt>
                <c:pt idx="549">
                  <c:v>0.68620000000000003</c:v>
                </c:pt>
                <c:pt idx="550">
                  <c:v>0.70779999999999998</c:v>
                </c:pt>
                <c:pt idx="551">
                  <c:v>0.71440000000000003</c:v>
                </c:pt>
                <c:pt idx="552">
                  <c:v>0.69779999999999998</c:v>
                </c:pt>
                <c:pt idx="553">
                  <c:v>0.72260000000000002</c:v>
                </c:pt>
                <c:pt idx="554">
                  <c:v>0.74470000000000003</c:v>
                </c:pt>
                <c:pt idx="555">
                  <c:v>0.73280000000000001</c:v>
                </c:pt>
                <c:pt idx="556">
                  <c:v>0.72560000000000002</c:v>
                </c:pt>
                <c:pt idx="557">
                  <c:v>0.75149999999999995</c:v>
                </c:pt>
                <c:pt idx="558">
                  <c:v>0.76080000000000003</c:v>
                </c:pt>
                <c:pt idx="559">
                  <c:v>0.74970000000000003</c:v>
                </c:pt>
                <c:pt idx="560">
                  <c:v>0.73729999999999996</c:v>
                </c:pt>
                <c:pt idx="561">
                  <c:v>0.72589999999999999</c:v>
                </c:pt>
                <c:pt idx="562">
                  <c:v>0.76200000000000001</c:v>
                </c:pt>
                <c:pt idx="563">
                  <c:v>0.6764</c:v>
                </c:pt>
                <c:pt idx="564">
                  <c:v>0.67430000000000001</c:v>
                </c:pt>
                <c:pt idx="565">
                  <c:v>0.68569999999999998</c:v>
                </c:pt>
                <c:pt idx="566">
                  <c:v>0.61860000000000004</c:v>
                </c:pt>
                <c:pt idx="567">
                  <c:v>0.63290000000000002</c:v>
                </c:pt>
                <c:pt idx="568">
                  <c:v>0.65169999999999995</c:v>
                </c:pt>
                <c:pt idx="569">
                  <c:v>0.61370000000000002</c:v>
                </c:pt>
                <c:pt idx="570">
                  <c:v>0.62250000000000005</c:v>
                </c:pt>
                <c:pt idx="571">
                  <c:v>0.61470000000000002</c:v>
                </c:pt>
                <c:pt idx="572">
                  <c:v>0.57220000000000004</c:v>
                </c:pt>
                <c:pt idx="573">
                  <c:v>0.55500000000000005</c:v>
                </c:pt>
                <c:pt idx="574">
                  <c:v>0.55959999999999999</c:v>
                </c:pt>
                <c:pt idx="575">
                  <c:v>0.58279999999999998</c:v>
                </c:pt>
                <c:pt idx="576">
                  <c:v>0.57430000000000003</c:v>
                </c:pt>
                <c:pt idx="577">
                  <c:v>0.59899999999999998</c:v>
                </c:pt>
                <c:pt idx="578">
                  <c:v>0.59450000000000003</c:v>
                </c:pt>
                <c:pt idx="579">
                  <c:v>0.59650000000000003</c:v>
                </c:pt>
                <c:pt idx="580">
                  <c:v>0.64229999999999998</c:v>
                </c:pt>
                <c:pt idx="581">
                  <c:v>0.63029999999999997</c:v>
                </c:pt>
                <c:pt idx="582">
                  <c:v>0.60770000000000002</c:v>
                </c:pt>
                <c:pt idx="583">
                  <c:v>0.62839999999999996</c:v>
                </c:pt>
                <c:pt idx="584">
                  <c:v>0.64549999999999996</c:v>
                </c:pt>
                <c:pt idx="585">
                  <c:v>0.58489999999999998</c:v>
                </c:pt>
                <c:pt idx="586">
                  <c:v>0.56620000000000004</c:v>
                </c:pt>
                <c:pt idx="587">
                  <c:v>0.56740000000000002</c:v>
                </c:pt>
                <c:pt idx="588">
                  <c:v>0.57850000000000001</c:v>
                </c:pt>
                <c:pt idx="589">
                  <c:v>0.56659999999999999</c:v>
                </c:pt>
                <c:pt idx="590">
                  <c:v>0.56200000000000006</c:v>
                </c:pt>
                <c:pt idx="591">
                  <c:v>0.53949999999999998</c:v>
                </c:pt>
                <c:pt idx="592">
                  <c:v>0.54890000000000005</c:v>
                </c:pt>
                <c:pt idx="593">
                  <c:v>0.57399999999999995</c:v>
                </c:pt>
                <c:pt idx="594">
                  <c:v>0.55659999999999998</c:v>
                </c:pt>
                <c:pt idx="595">
                  <c:v>0.53720000000000001</c:v>
                </c:pt>
                <c:pt idx="596">
                  <c:v>0.60519999999999996</c:v>
                </c:pt>
                <c:pt idx="597">
                  <c:v>0.59819999999999995</c:v>
                </c:pt>
                <c:pt idx="598">
                  <c:v>0.57440000000000002</c:v>
                </c:pt>
                <c:pt idx="599">
                  <c:v>0.57289999999999996</c:v>
                </c:pt>
                <c:pt idx="600">
                  <c:v>0.57750000000000001</c:v>
                </c:pt>
                <c:pt idx="601">
                  <c:v>0.57040000000000002</c:v>
                </c:pt>
                <c:pt idx="602">
                  <c:v>0.59850000000000003</c:v>
                </c:pt>
                <c:pt idx="603">
                  <c:v>0.60340000000000005</c:v>
                </c:pt>
                <c:pt idx="604">
                  <c:v>0.59850000000000003</c:v>
                </c:pt>
                <c:pt idx="605">
                  <c:v>0.59899999999999998</c:v>
                </c:pt>
                <c:pt idx="606">
                  <c:v>0.54830000000000001</c:v>
                </c:pt>
                <c:pt idx="607">
                  <c:v>0.56389999999999996</c:v>
                </c:pt>
                <c:pt idx="608">
                  <c:v>0.51570000000000005</c:v>
                </c:pt>
                <c:pt idx="609">
                  <c:v>0.52110000000000001</c:v>
                </c:pt>
                <c:pt idx="610">
                  <c:v>0.50490000000000002</c:v>
                </c:pt>
                <c:pt idx="611">
                  <c:v>0.50819999999999999</c:v>
                </c:pt>
                <c:pt idx="612">
                  <c:v>0.49170000000000003</c:v>
                </c:pt>
                <c:pt idx="613">
                  <c:v>0.46600000000000003</c:v>
                </c:pt>
                <c:pt idx="614">
                  <c:v>0.50009999999999999</c:v>
                </c:pt>
                <c:pt idx="615">
                  <c:v>0.51649999999999996</c:v>
                </c:pt>
                <c:pt idx="616">
                  <c:v>0.46300000000000002</c:v>
                </c:pt>
                <c:pt idx="617">
                  <c:v>0.49170000000000003</c:v>
                </c:pt>
                <c:pt idx="618">
                  <c:v>0.4844</c:v>
                </c:pt>
                <c:pt idx="619">
                  <c:v>0.48230000000000001</c:v>
                </c:pt>
                <c:pt idx="620">
                  <c:v>0.47</c:v>
                </c:pt>
                <c:pt idx="621">
                  <c:v>0.46860000000000002</c:v>
                </c:pt>
                <c:pt idx="622">
                  <c:v>0.4662</c:v>
                </c:pt>
                <c:pt idx="623">
                  <c:v>0.47720000000000001</c:v>
                </c:pt>
                <c:pt idx="624">
                  <c:v>0.46650000000000003</c:v>
                </c:pt>
                <c:pt idx="625">
                  <c:v>0.46379999999999999</c:v>
                </c:pt>
                <c:pt idx="626">
                  <c:v>0.45040000000000002</c:v>
                </c:pt>
                <c:pt idx="627">
                  <c:v>0.4637</c:v>
                </c:pt>
                <c:pt idx="628">
                  <c:v>0.49120000000000003</c:v>
                </c:pt>
                <c:pt idx="629">
                  <c:v>0.51549999999999996</c:v>
                </c:pt>
                <c:pt idx="630">
                  <c:v>0.4798</c:v>
                </c:pt>
                <c:pt idx="631">
                  <c:v>0.45889999999999997</c:v>
                </c:pt>
                <c:pt idx="632">
                  <c:v>0.47539999999999999</c:v>
                </c:pt>
                <c:pt idx="633">
                  <c:v>0.48039999999999999</c:v>
                </c:pt>
                <c:pt idx="634">
                  <c:v>0.48730000000000001</c:v>
                </c:pt>
                <c:pt idx="635">
                  <c:v>0.50660000000000005</c:v>
                </c:pt>
                <c:pt idx="636">
                  <c:v>0.501</c:v>
                </c:pt>
                <c:pt idx="637">
                  <c:v>0.48859999999999998</c:v>
                </c:pt>
                <c:pt idx="638">
                  <c:v>0.51700000000000002</c:v>
                </c:pt>
                <c:pt idx="639">
                  <c:v>0.4874</c:v>
                </c:pt>
                <c:pt idx="640">
                  <c:v>0.47339999999999999</c:v>
                </c:pt>
                <c:pt idx="641">
                  <c:v>0.49320000000000003</c:v>
                </c:pt>
                <c:pt idx="642">
                  <c:v>0.46089999999999998</c:v>
                </c:pt>
                <c:pt idx="643">
                  <c:v>0.4506</c:v>
                </c:pt>
                <c:pt idx="644">
                  <c:v>0.42570000000000002</c:v>
                </c:pt>
                <c:pt idx="645">
                  <c:v>0.41360000000000002</c:v>
                </c:pt>
                <c:pt idx="646">
                  <c:v>0.39610000000000001</c:v>
                </c:pt>
                <c:pt idx="647">
                  <c:v>0.3977</c:v>
                </c:pt>
                <c:pt idx="648">
                  <c:v>0.40949999999999998</c:v>
                </c:pt>
                <c:pt idx="649">
                  <c:v>0.42180000000000001</c:v>
                </c:pt>
                <c:pt idx="650">
                  <c:v>0.40529999999999999</c:v>
                </c:pt>
                <c:pt idx="651">
                  <c:v>0.4113</c:v>
                </c:pt>
                <c:pt idx="652">
                  <c:v>0.38019999999999998</c:v>
                </c:pt>
                <c:pt idx="653">
                  <c:v>0.3876</c:v>
                </c:pt>
                <c:pt idx="654">
                  <c:v>0.38690000000000002</c:v>
                </c:pt>
                <c:pt idx="655">
                  <c:v>0.4017</c:v>
                </c:pt>
                <c:pt idx="656">
                  <c:v>0.40429999999999999</c:v>
                </c:pt>
                <c:pt idx="657">
                  <c:v>0.40110000000000001</c:v>
                </c:pt>
                <c:pt idx="658">
                  <c:v>0.44850000000000001</c:v>
                </c:pt>
                <c:pt idx="659">
                  <c:v>0.45150000000000001</c:v>
                </c:pt>
                <c:pt idx="660">
                  <c:v>0.4219</c:v>
                </c:pt>
                <c:pt idx="661">
                  <c:v>0.435</c:v>
                </c:pt>
                <c:pt idx="662">
                  <c:v>0.38169999999999998</c:v>
                </c:pt>
                <c:pt idx="663">
                  <c:v>0.3926</c:v>
                </c:pt>
                <c:pt idx="664">
                  <c:v>0.38169999999999998</c:v>
                </c:pt>
                <c:pt idx="665">
                  <c:v>0.3785</c:v>
                </c:pt>
                <c:pt idx="666">
                  <c:v>0.37219999999999998</c:v>
                </c:pt>
                <c:pt idx="667">
                  <c:v>0.37019999999999997</c:v>
                </c:pt>
                <c:pt idx="668">
                  <c:v>0.36609999999999998</c:v>
                </c:pt>
                <c:pt idx="669">
                  <c:v>0.34699999999999998</c:v>
                </c:pt>
                <c:pt idx="670">
                  <c:v>0.36149999999999999</c:v>
                </c:pt>
                <c:pt idx="671">
                  <c:v>0.36399999999999999</c:v>
                </c:pt>
                <c:pt idx="672">
                  <c:v>0.38529999999999998</c:v>
                </c:pt>
                <c:pt idx="673">
                  <c:v>0.37259999999999999</c:v>
                </c:pt>
                <c:pt idx="674">
                  <c:v>0.38750000000000001</c:v>
                </c:pt>
                <c:pt idx="675">
                  <c:v>0.37330000000000002</c:v>
                </c:pt>
                <c:pt idx="676">
                  <c:v>0.34539999999999998</c:v>
                </c:pt>
                <c:pt idx="677">
                  <c:v>0.3735</c:v>
                </c:pt>
                <c:pt idx="678">
                  <c:v>0.37880000000000003</c:v>
                </c:pt>
                <c:pt idx="679">
                  <c:v>0.378</c:v>
                </c:pt>
                <c:pt idx="680">
                  <c:v>0.33260000000000001</c:v>
                </c:pt>
                <c:pt idx="681">
                  <c:v>0.32669999999999999</c:v>
                </c:pt>
                <c:pt idx="682">
                  <c:v>0.3085</c:v>
                </c:pt>
                <c:pt idx="683">
                  <c:v>0.34710000000000002</c:v>
                </c:pt>
                <c:pt idx="684">
                  <c:v>0.32979999999999998</c:v>
                </c:pt>
                <c:pt idx="685">
                  <c:v>0.34429999999999999</c:v>
                </c:pt>
                <c:pt idx="686">
                  <c:v>0.30620000000000003</c:v>
                </c:pt>
                <c:pt idx="687">
                  <c:v>0.5776</c:v>
                </c:pt>
                <c:pt idx="688">
                  <c:v>0.59040000000000004</c:v>
                </c:pt>
                <c:pt idx="689">
                  <c:v>0.58809999999999996</c:v>
                </c:pt>
                <c:pt idx="690">
                  <c:v>0.60560000000000003</c:v>
                </c:pt>
                <c:pt idx="691">
                  <c:v>0.71860000000000002</c:v>
                </c:pt>
                <c:pt idx="692">
                  <c:v>0.74199999999999999</c:v>
                </c:pt>
                <c:pt idx="693">
                  <c:v>0.73099999999999998</c:v>
                </c:pt>
                <c:pt idx="694">
                  <c:v>0.71660000000000001</c:v>
                </c:pt>
                <c:pt idx="695">
                  <c:v>0.70330000000000004</c:v>
                </c:pt>
                <c:pt idx="696">
                  <c:v>0.72399999999999998</c:v>
                </c:pt>
                <c:pt idx="697">
                  <c:v>0.68230000000000002</c:v>
                </c:pt>
                <c:pt idx="698">
                  <c:v>0.66610000000000003</c:v>
                </c:pt>
                <c:pt idx="699">
                  <c:v>0.6915</c:v>
                </c:pt>
                <c:pt idx="700">
                  <c:v>0.70330000000000004</c:v>
                </c:pt>
                <c:pt idx="701">
                  <c:v>0.68520000000000003</c:v>
                </c:pt>
                <c:pt idx="702">
                  <c:v>0.77690000000000003</c:v>
                </c:pt>
                <c:pt idx="703">
                  <c:v>0.8589</c:v>
                </c:pt>
                <c:pt idx="704">
                  <c:v>0.89249999999999996</c:v>
                </c:pt>
                <c:pt idx="705">
                  <c:v>0.84640000000000004</c:v>
                </c:pt>
                <c:pt idx="706">
                  <c:v>0.85250000000000004</c:v>
                </c:pt>
                <c:pt idx="707">
                  <c:v>0.82979999999999998</c:v>
                </c:pt>
                <c:pt idx="708">
                  <c:v>0.85</c:v>
                </c:pt>
                <c:pt idx="709">
                  <c:v>0.92130000000000001</c:v>
                </c:pt>
                <c:pt idx="710">
                  <c:v>0.88170000000000004</c:v>
                </c:pt>
                <c:pt idx="711">
                  <c:v>0.90129999999999999</c:v>
                </c:pt>
                <c:pt idx="712">
                  <c:v>0.96089999999999998</c:v>
                </c:pt>
                <c:pt idx="713">
                  <c:v>1.0727</c:v>
                </c:pt>
                <c:pt idx="714">
                  <c:v>1.0250999999999999</c:v>
                </c:pt>
                <c:pt idx="715">
                  <c:v>1.0349999999999999</c:v>
                </c:pt>
                <c:pt idx="716">
                  <c:v>0.97670000000000001</c:v>
                </c:pt>
                <c:pt idx="717">
                  <c:v>0.95809999999999995</c:v>
                </c:pt>
                <c:pt idx="718">
                  <c:v>0.91879999999999995</c:v>
                </c:pt>
                <c:pt idx="719">
                  <c:v>0.84570000000000001</c:v>
                </c:pt>
                <c:pt idx="720">
                  <c:v>0.86950000000000005</c:v>
                </c:pt>
                <c:pt idx="721">
                  <c:v>0.86199999999999999</c:v>
                </c:pt>
                <c:pt idx="722">
                  <c:v>0.84750000000000003</c:v>
                </c:pt>
                <c:pt idx="723">
                  <c:v>0.8206</c:v>
                </c:pt>
                <c:pt idx="724">
                  <c:v>0.78090000000000004</c:v>
                </c:pt>
                <c:pt idx="725">
                  <c:v>0.78520000000000001</c:v>
                </c:pt>
                <c:pt idx="726">
                  <c:v>0.7621</c:v>
                </c:pt>
                <c:pt idx="727">
                  <c:v>0.77049999999999996</c:v>
                </c:pt>
                <c:pt idx="728">
                  <c:v>0.73440000000000005</c:v>
                </c:pt>
                <c:pt idx="729">
                  <c:v>0.72970000000000002</c:v>
                </c:pt>
                <c:pt idx="730">
                  <c:v>0.69589999999999996</c:v>
                </c:pt>
                <c:pt idx="731">
                  <c:v>0.68520000000000003</c:v>
                </c:pt>
                <c:pt idx="732">
                  <c:v>0.64700000000000002</c:v>
                </c:pt>
                <c:pt idx="733">
                  <c:v>0.63129999999999997</c:v>
                </c:pt>
                <c:pt idx="734">
                  <c:v>0.62549999999999994</c:v>
                </c:pt>
                <c:pt idx="735">
                  <c:v>0.63859999999999995</c:v>
                </c:pt>
                <c:pt idx="736">
                  <c:v>0.66879999999999995</c:v>
                </c:pt>
                <c:pt idx="737">
                  <c:v>0.66279999999999994</c:v>
                </c:pt>
                <c:pt idx="738">
                  <c:v>0.65349999999999997</c:v>
                </c:pt>
                <c:pt idx="739">
                  <c:v>0.6542</c:v>
                </c:pt>
                <c:pt idx="740">
                  <c:v>0.68810000000000004</c:v>
                </c:pt>
                <c:pt idx="741">
                  <c:v>0.71360000000000001</c:v>
                </c:pt>
                <c:pt idx="742">
                  <c:v>0.7127</c:v>
                </c:pt>
                <c:pt idx="743">
                  <c:v>0.69910000000000005</c:v>
                </c:pt>
                <c:pt idx="744">
                  <c:v>0.67589999999999995</c:v>
                </c:pt>
                <c:pt idx="745">
                  <c:v>0.60609999999999997</c:v>
                </c:pt>
                <c:pt idx="746">
                  <c:v>0.61650000000000005</c:v>
                </c:pt>
                <c:pt idx="747">
                  <c:v>0.58299999999999996</c:v>
                </c:pt>
                <c:pt idx="748">
                  <c:v>0.5665</c:v>
                </c:pt>
                <c:pt idx="749">
                  <c:v>0.53869999999999996</c:v>
                </c:pt>
                <c:pt idx="750">
                  <c:v>0.55379999999999996</c:v>
                </c:pt>
                <c:pt idx="751">
                  <c:v>0.56359999999999999</c:v>
                </c:pt>
                <c:pt idx="752">
                  <c:v>0.58309999999999995</c:v>
                </c:pt>
                <c:pt idx="753">
                  <c:v>0.54830000000000001</c:v>
                </c:pt>
                <c:pt idx="754">
                  <c:v>0.53159999999999996</c:v>
                </c:pt>
                <c:pt idx="755">
                  <c:v>0.52780000000000005</c:v>
                </c:pt>
                <c:pt idx="756">
                  <c:v>0.50370000000000004</c:v>
                </c:pt>
                <c:pt idx="757">
                  <c:v>0.52749999999999997</c:v>
                </c:pt>
                <c:pt idx="758">
                  <c:v>0.51849999999999996</c:v>
                </c:pt>
                <c:pt idx="759">
                  <c:v>0.5262</c:v>
                </c:pt>
                <c:pt idx="760">
                  <c:v>0.54469999999999996</c:v>
                </c:pt>
                <c:pt idx="761">
                  <c:v>0.53100000000000003</c:v>
                </c:pt>
                <c:pt idx="762">
                  <c:v>0.51970000000000005</c:v>
                </c:pt>
                <c:pt idx="763">
                  <c:v>0.51490000000000002</c:v>
                </c:pt>
                <c:pt idx="764">
                  <c:v>0.51219999999999999</c:v>
                </c:pt>
                <c:pt idx="765">
                  <c:v>0.52229999999999999</c:v>
                </c:pt>
                <c:pt idx="766">
                  <c:v>0.52229999999999999</c:v>
                </c:pt>
                <c:pt idx="767">
                  <c:v>0.55700000000000005</c:v>
                </c:pt>
                <c:pt idx="768">
                  <c:v>0.53890000000000005</c:v>
                </c:pt>
                <c:pt idx="769">
                  <c:v>0.54869999999999997</c:v>
                </c:pt>
                <c:pt idx="770">
                  <c:v>0.54069999999999996</c:v>
                </c:pt>
                <c:pt idx="771">
                  <c:v>0.55600000000000005</c:v>
                </c:pt>
                <c:pt idx="772">
                  <c:v>0.52029999999999998</c:v>
                </c:pt>
                <c:pt idx="773">
                  <c:v>0.55800000000000005</c:v>
                </c:pt>
                <c:pt idx="774">
                  <c:v>0.59450000000000003</c:v>
                </c:pt>
                <c:pt idx="775">
                  <c:v>0.58679999999999999</c:v>
                </c:pt>
                <c:pt idx="776">
                  <c:v>0.61219999999999997</c:v>
                </c:pt>
                <c:pt idx="777">
                  <c:v>0.59260000000000002</c:v>
                </c:pt>
                <c:pt idx="778">
                  <c:v>0.59150000000000003</c:v>
                </c:pt>
                <c:pt idx="779">
                  <c:v>0.58979999999999999</c:v>
                </c:pt>
                <c:pt idx="780">
                  <c:v>0.6119</c:v>
                </c:pt>
                <c:pt idx="781">
                  <c:v>0.64019999999999999</c:v>
                </c:pt>
                <c:pt idx="782">
                  <c:v>0.61719999999999997</c:v>
                </c:pt>
                <c:pt idx="783">
                  <c:v>0.61599999999999999</c:v>
                </c:pt>
                <c:pt idx="784">
                  <c:v>0.61050000000000004</c:v>
                </c:pt>
                <c:pt idx="785">
                  <c:v>0.59360000000000002</c:v>
                </c:pt>
                <c:pt idx="786">
                  <c:v>0.61709999999999998</c:v>
                </c:pt>
                <c:pt idx="787">
                  <c:v>0.61719999999999997</c:v>
                </c:pt>
                <c:pt idx="788">
                  <c:v>0.63590000000000002</c:v>
                </c:pt>
                <c:pt idx="789">
                  <c:v>0.63680000000000003</c:v>
                </c:pt>
                <c:pt idx="790">
                  <c:v>0.67930000000000001</c:v>
                </c:pt>
                <c:pt idx="791">
                  <c:v>0.63460000000000005</c:v>
                </c:pt>
                <c:pt idx="792">
                  <c:v>0.64039999999999997</c:v>
                </c:pt>
                <c:pt idx="793">
                  <c:v>0.627</c:v>
                </c:pt>
                <c:pt idx="794">
                  <c:v>0.60029999999999994</c:v>
                </c:pt>
                <c:pt idx="795">
                  <c:v>0.56289999999999996</c:v>
                </c:pt>
                <c:pt idx="796">
                  <c:v>0.62970000000000004</c:v>
                </c:pt>
                <c:pt idx="797">
                  <c:v>0.60460000000000003</c:v>
                </c:pt>
                <c:pt idx="798">
                  <c:v>0.66820000000000002</c:v>
                </c:pt>
                <c:pt idx="799">
                  <c:v>0.71950000000000003</c:v>
                </c:pt>
                <c:pt idx="800">
                  <c:v>0.72760000000000002</c:v>
                </c:pt>
                <c:pt idx="801">
                  <c:v>0.75680000000000003</c:v>
                </c:pt>
                <c:pt idx="802">
                  <c:v>0.81969999999999998</c:v>
                </c:pt>
                <c:pt idx="803">
                  <c:v>0.8347</c:v>
                </c:pt>
                <c:pt idx="804">
                  <c:v>0.83079999999999998</c:v>
                </c:pt>
                <c:pt idx="805">
                  <c:v>0.88680000000000003</c:v>
                </c:pt>
                <c:pt idx="806">
                  <c:v>0.93130000000000002</c:v>
                </c:pt>
                <c:pt idx="807">
                  <c:v>0.91659999999999997</c:v>
                </c:pt>
                <c:pt idx="808">
                  <c:v>0.84640000000000004</c:v>
                </c:pt>
                <c:pt idx="809">
                  <c:v>0.8518</c:v>
                </c:pt>
                <c:pt idx="810">
                  <c:v>0.82630000000000003</c:v>
                </c:pt>
                <c:pt idx="811">
                  <c:v>0.82320000000000004</c:v>
                </c:pt>
                <c:pt idx="812">
                  <c:v>0.8931</c:v>
                </c:pt>
                <c:pt idx="813">
                  <c:v>0.8931</c:v>
                </c:pt>
                <c:pt idx="814">
                  <c:v>0.90100000000000002</c:v>
                </c:pt>
                <c:pt idx="815">
                  <c:v>0.90849999999999997</c:v>
                </c:pt>
                <c:pt idx="816">
                  <c:v>0.89639999999999997</c:v>
                </c:pt>
                <c:pt idx="817">
                  <c:v>0.92549999999999999</c:v>
                </c:pt>
                <c:pt idx="818">
                  <c:v>0.86819999999999997</c:v>
                </c:pt>
                <c:pt idx="819">
                  <c:v>0.85509999999999997</c:v>
                </c:pt>
                <c:pt idx="820">
                  <c:v>0.8911</c:v>
                </c:pt>
                <c:pt idx="821">
                  <c:v>0.85560000000000003</c:v>
                </c:pt>
                <c:pt idx="822">
                  <c:v>0.87949999999999995</c:v>
                </c:pt>
                <c:pt idx="823">
                  <c:v>0.97960000000000003</c:v>
                </c:pt>
                <c:pt idx="824">
                  <c:v>0.6613</c:v>
                </c:pt>
                <c:pt idx="825">
                  <c:v>0.61960000000000004</c:v>
                </c:pt>
                <c:pt idx="826">
                  <c:v>0.54610000000000003</c:v>
                </c:pt>
                <c:pt idx="827">
                  <c:v>0.54890000000000005</c:v>
                </c:pt>
                <c:pt idx="828">
                  <c:v>0.58089999999999997</c:v>
                </c:pt>
                <c:pt idx="829">
                  <c:v>0.59140000000000004</c:v>
                </c:pt>
                <c:pt idx="830">
                  <c:v>0.58540000000000003</c:v>
                </c:pt>
                <c:pt idx="831">
                  <c:v>0.58379999999999999</c:v>
                </c:pt>
                <c:pt idx="832">
                  <c:v>0.58599999999999997</c:v>
                </c:pt>
                <c:pt idx="833">
                  <c:v>0.60140000000000005</c:v>
                </c:pt>
                <c:pt idx="834">
                  <c:v>0.60509999999999997</c:v>
                </c:pt>
                <c:pt idx="835">
                  <c:v>0.63549999999999995</c:v>
                </c:pt>
                <c:pt idx="836">
                  <c:v>0.64070000000000005</c:v>
                </c:pt>
                <c:pt idx="837">
                  <c:v>0.63660000000000005</c:v>
                </c:pt>
                <c:pt idx="838">
                  <c:v>0.63219999999999998</c:v>
                </c:pt>
                <c:pt idx="839">
                  <c:v>0.64449999999999996</c:v>
                </c:pt>
                <c:pt idx="840">
                  <c:v>0.64549999999999996</c:v>
                </c:pt>
                <c:pt idx="841">
                  <c:v>0.65600000000000003</c:v>
                </c:pt>
                <c:pt idx="842">
                  <c:v>0.63680000000000003</c:v>
                </c:pt>
                <c:pt idx="843">
                  <c:v>0.6381</c:v>
                </c:pt>
                <c:pt idx="844">
                  <c:v>0.60460000000000003</c:v>
                </c:pt>
                <c:pt idx="845">
                  <c:v>0.62390000000000001</c:v>
                </c:pt>
                <c:pt idx="846">
                  <c:v>0.61209999999999998</c:v>
                </c:pt>
                <c:pt idx="847">
                  <c:v>0.60429999999999995</c:v>
                </c:pt>
                <c:pt idx="848">
                  <c:v>0.61729999999999996</c:v>
                </c:pt>
                <c:pt idx="849">
                  <c:v>0.60429999999999995</c:v>
                </c:pt>
                <c:pt idx="850">
                  <c:v>0.61480000000000001</c:v>
                </c:pt>
                <c:pt idx="851">
                  <c:v>0.58460000000000001</c:v>
                </c:pt>
                <c:pt idx="852">
                  <c:v>0.60389999999999999</c:v>
                </c:pt>
                <c:pt idx="853">
                  <c:v>0.59560000000000002</c:v>
                </c:pt>
                <c:pt idx="854">
                  <c:v>0.58540000000000003</c:v>
                </c:pt>
                <c:pt idx="855">
                  <c:v>0.61850000000000005</c:v>
                </c:pt>
                <c:pt idx="856">
                  <c:v>0.61009999999999998</c:v>
                </c:pt>
                <c:pt idx="857">
                  <c:v>0.7429</c:v>
                </c:pt>
                <c:pt idx="858">
                  <c:v>0.79669999999999996</c:v>
                </c:pt>
                <c:pt idx="859">
                  <c:v>0.80579999999999996</c:v>
                </c:pt>
                <c:pt idx="860">
                  <c:v>0.83330000000000004</c:v>
                </c:pt>
                <c:pt idx="861">
                  <c:v>0.81730000000000003</c:v>
                </c:pt>
                <c:pt idx="862">
                  <c:v>0.82230000000000003</c:v>
                </c:pt>
                <c:pt idx="863">
                  <c:v>0.78939999999999999</c:v>
                </c:pt>
                <c:pt idx="864">
                  <c:v>0.76400000000000001</c:v>
                </c:pt>
                <c:pt idx="865">
                  <c:v>0.7571</c:v>
                </c:pt>
                <c:pt idx="866">
                  <c:v>0.75649999999999995</c:v>
                </c:pt>
                <c:pt idx="867">
                  <c:v>0.748</c:v>
                </c:pt>
                <c:pt idx="868">
                  <c:v>0.7339</c:v>
                </c:pt>
                <c:pt idx="869">
                  <c:v>0.73380000000000001</c:v>
                </c:pt>
                <c:pt idx="870">
                  <c:v>0.76239999999999997</c:v>
                </c:pt>
                <c:pt idx="871">
                  <c:v>0.76580000000000004</c:v>
                </c:pt>
                <c:pt idx="872">
                  <c:v>0.75800000000000001</c:v>
                </c:pt>
                <c:pt idx="873">
                  <c:v>0.71020000000000005</c:v>
                </c:pt>
                <c:pt idx="874">
                  <c:v>0.68920000000000003</c:v>
                </c:pt>
                <c:pt idx="875">
                  <c:v>0.70709999999999995</c:v>
                </c:pt>
                <c:pt idx="876">
                  <c:v>0.70650000000000002</c:v>
                </c:pt>
                <c:pt idx="877">
                  <c:v>0.71609999999999996</c:v>
                </c:pt>
                <c:pt idx="878">
                  <c:v>0.73299999999999998</c:v>
                </c:pt>
                <c:pt idx="879">
                  <c:v>0.71440000000000003</c:v>
                </c:pt>
                <c:pt idx="880">
                  <c:v>0.70850000000000002</c:v>
                </c:pt>
                <c:pt idx="881">
                  <c:v>0.72350000000000003</c:v>
                </c:pt>
                <c:pt idx="882">
                  <c:v>0.71699999999999997</c:v>
                </c:pt>
                <c:pt idx="883">
                  <c:v>0.72940000000000005</c:v>
                </c:pt>
                <c:pt idx="884">
                  <c:v>0.78120000000000001</c:v>
                </c:pt>
                <c:pt idx="885">
                  <c:v>0.80079999999999996</c:v>
                </c:pt>
                <c:pt idx="886">
                  <c:v>0.80459999999999998</c:v>
                </c:pt>
                <c:pt idx="887">
                  <c:v>0.83030000000000004</c:v>
                </c:pt>
                <c:pt idx="888">
                  <c:v>0.76319999999999999</c:v>
                </c:pt>
                <c:pt idx="889">
                  <c:v>0.7581</c:v>
                </c:pt>
                <c:pt idx="890">
                  <c:v>0.74219999999999997</c:v>
                </c:pt>
                <c:pt idx="891">
                  <c:v>0.78220000000000001</c:v>
                </c:pt>
                <c:pt idx="892">
                  <c:v>0.81320000000000003</c:v>
                </c:pt>
                <c:pt idx="893">
                  <c:v>0.78039999999999998</c:v>
                </c:pt>
                <c:pt idx="894">
                  <c:v>0.75929999999999997</c:v>
                </c:pt>
                <c:pt idx="895">
                  <c:v>0.75019999999999998</c:v>
                </c:pt>
                <c:pt idx="896">
                  <c:v>0.77490000000000003</c:v>
                </c:pt>
                <c:pt idx="897">
                  <c:v>0.78769999999999996</c:v>
                </c:pt>
                <c:pt idx="898">
                  <c:v>0.85899999999999999</c:v>
                </c:pt>
                <c:pt idx="899">
                  <c:v>0.87990000000000002</c:v>
                </c:pt>
                <c:pt idx="900">
                  <c:v>0.90100000000000002</c:v>
                </c:pt>
                <c:pt idx="901">
                  <c:v>0.89370000000000005</c:v>
                </c:pt>
                <c:pt idx="902">
                  <c:v>0.87009999999999998</c:v>
                </c:pt>
                <c:pt idx="903">
                  <c:v>0.90790000000000004</c:v>
                </c:pt>
                <c:pt idx="904">
                  <c:v>0.92930000000000001</c:v>
                </c:pt>
                <c:pt idx="905">
                  <c:v>0.96120000000000005</c:v>
                </c:pt>
                <c:pt idx="906">
                  <c:v>1.0027999999999999</c:v>
                </c:pt>
                <c:pt idx="907">
                  <c:v>0.95889999999999997</c:v>
                </c:pt>
                <c:pt idx="908">
                  <c:v>0.97860000000000003</c:v>
                </c:pt>
                <c:pt idx="909">
                  <c:v>0.96989999999999998</c:v>
                </c:pt>
                <c:pt idx="910">
                  <c:v>0.98219999999999996</c:v>
                </c:pt>
                <c:pt idx="911">
                  <c:v>1.0029999999999999</c:v>
                </c:pt>
                <c:pt idx="912">
                  <c:v>0.96640000000000004</c:v>
                </c:pt>
                <c:pt idx="913">
                  <c:v>0.97619999999999996</c:v>
                </c:pt>
                <c:pt idx="914">
                  <c:v>0.97489999999999999</c:v>
                </c:pt>
                <c:pt idx="915">
                  <c:v>0.97740000000000005</c:v>
                </c:pt>
                <c:pt idx="916">
                  <c:v>1.0613999999999999</c:v>
                </c:pt>
                <c:pt idx="917">
                  <c:v>1.0410999999999999</c:v>
                </c:pt>
                <c:pt idx="918">
                  <c:v>1.0222</c:v>
                </c:pt>
                <c:pt idx="919">
                  <c:v>0.94159999999999999</c:v>
                </c:pt>
                <c:pt idx="920">
                  <c:v>0.9929</c:v>
                </c:pt>
                <c:pt idx="921">
                  <c:v>1.03</c:v>
                </c:pt>
                <c:pt idx="922">
                  <c:v>1.026</c:v>
                </c:pt>
                <c:pt idx="923">
                  <c:v>0.94399999999999995</c:v>
                </c:pt>
                <c:pt idx="924">
                  <c:v>0.94489999999999996</c:v>
                </c:pt>
                <c:pt idx="925">
                  <c:v>0.84179999999999999</c:v>
                </c:pt>
                <c:pt idx="926">
                  <c:v>0.79469999999999996</c:v>
                </c:pt>
                <c:pt idx="927">
                  <c:v>0.91080000000000005</c:v>
                </c:pt>
                <c:pt idx="928">
                  <c:v>0.89480000000000004</c:v>
                </c:pt>
                <c:pt idx="929">
                  <c:v>1.0656000000000001</c:v>
                </c:pt>
                <c:pt idx="930">
                  <c:v>1.1196999999999999</c:v>
                </c:pt>
                <c:pt idx="931">
                  <c:v>1.0705</c:v>
                </c:pt>
                <c:pt idx="932">
                  <c:v>1.2310000000000001</c:v>
                </c:pt>
                <c:pt idx="933">
                  <c:v>1.3621000000000001</c:v>
                </c:pt>
                <c:pt idx="934">
                  <c:v>1.3806</c:v>
                </c:pt>
                <c:pt idx="935">
                  <c:v>1.3866000000000001</c:v>
                </c:pt>
                <c:pt idx="936">
                  <c:v>1.37</c:v>
                </c:pt>
                <c:pt idx="937">
                  <c:v>1.3499000000000001</c:v>
                </c:pt>
                <c:pt idx="938">
                  <c:v>1.3732</c:v>
                </c:pt>
                <c:pt idx="939">
                  <c:v>1.421</c:v>
                </c:pt>
                <c:pt idx="940">
                  <c:v>1.3960999999999999</c:v>
                </c:pt>
                <c:pt idx="941">
                  <c:v>1.4285000000000001</c:v>
                </c:pt>
                <c:pt idx="942">
                  <c:v>1.4366000000000001</c:v>
                </c:pt>
                <c:pt idx="943">
                  <c:v>1.5573999999999999</c:v>
                </c:pt>
                <c:pt idx="944">
                  <c:v>1.5337000000000001</c:v>
                </c:pt>
                <c:pt idx="945">
                  <c:v>1.4619</c:v>
                </c:pt>
                <c:pt idx="946">
                  <c:v>1.6869000000000001</c:v>
                </c:pt>
                <c:pt idx="947">
                  <c:v>1.7758</c:v>
                </c:pt>
                <c:pt idx="948">
                  <c:v>1.6198999999999999</c:v>
                </c:pt>
                <c:pt idx="949">
                  <c:v>1.5455000000000001</c:v>
                </c:pt>
                <c:pt idx="950">
                  <c:v>1.6013999999999999</c:v>
                </c:pt>
                <c:pt idx="951">
                  <c:v>1.4227000000000001</c:v>
                </c:pt>
                <c:pt idx="952">
                  <c:v>1.4017999999999999</c:v>
                </c:pt>
                <c:pt idx="953">
                  <c:v>1.4334</c:v>
                </c:pt>
                <c:pt idx="954">
                  <c:v>1.43</c:v>
                </c:pt>
                <c:pt idx="955">
                  <c:v>1.5417000000000001</c:v>
                </c:pt>
                <c:pt idx="956">
                  <c:v>1.4455</c:v>
                </c:pt>
                <c:pt idx="957">
                  <c:v>1.4379</c:v>
                </c:pt>
                <c:pt idx="958">
                  <c:v>1.4177</c:v>
                </c:pt>
                <c:pt idx="959">
                  <c:v>1.4281999999999999</c:v>
                </c:pt>
                <c:pt idx="960">
                  <c:v>1.4204000000000001</c:v>
                </c:pt>
                <c:pt idx="961">
                  <c:v>1.4176</c:v>
                </c:pt>
                <c:pt idx="962">
                  <c:v>1.4036</c:v>
                </c:pt>
                <c:pt idx="963">
                  <c:v>1.3251999999999999</c:v>
                </c:pt>
                <c:pt idx="964">
                  <c:v>1.3183</c:v>
                </c:pt>
                <c:pt idx="965">
                  <c:v>1.3240000000000001</c:v>
                </c:pt>
                <c:pt idx="966">
                  <c:v>1.3004</c:v>
                </c:pt>
                <c:pt idx="967">
                  <c:v>1.3030999999999999</c:v>
                </c:pt>
                <c:pt idx="968">
                  <c:v>1.2546999999999999</c:v>
                </c:pt>
                <c:pt idx="969">
                  <c:v>1.3480000000000001</c:v>
                </c:pt>
                <c:pt idx="970">
                  <c:v>1.5017</c:v>
                </c:pt>
                <c:pt idx="971">
                  <c:v>1.4650000000000001</c:v>
                </c:pt>
                <c:pt idx="972">
                  <c:v>1.5268999999999999</c:v>
                </c:pt>
                <c:pt idx="973">
                  <c:v>1.4417</c:v>
                </c:pt>
                <c:pt idx="974">
                  <c:v>1.528</c:v>
                </c:pt>
                <c:pt idx="975">
                  <c:v>1.4762999999999999</c:v>
                </c:pt>
                <c:pt idx="976">
                  <c:v>1.4923</c:v>
                </c:pt>
                <c:pt idx="977">
                  <c:v>1.4067000000000001</c:v>
                </c:pt>
                <c:pt idx="978">
                  <c:v>1.3494999999999999</c:v>
                </c:pt>
                <c:pt idx="979">
                  <c:v>1.3368</c:v>
                </c:pt>
                <c:pt idx="980">
                  <c:v>1.3122</c:v>
                </c:pt>
                <c:pt idx="981">
                  <c:v>1.3169999999999999</c:v>
                </c:pt>
                <c:pt idx="982">
                  <c:v>1.3817999999999999</c:v>
                </c:pt>
                <c:pt idx="983">
                  <c:v>1.3682000000000001</c:v>
                </c:pt>
                <c:pt idx="984">
                  <c:v>1.4185000000000001</c:v>
                </c:pt>
                <c:pt idx="985">
                  <c:v>1.3080000000000001</c:v>
                </c:pt>
                <c:pt idx="986">
                  <c:v>1.3766</c:v>
                </c:pt>
                <c:pt idx="987">
                  <c:v>1.4393</c:v>
                </c:pt>
                <c:pt idx="988">
                  <c:v>1.5920000000000001</c:v>
                </c:pt>
                <c:pt idx="989">
                  <c:v>1.4619</c:v>
                </c:pt>
                <c:pt idx="990">
                  <c:v>1.2721</c:v>
                </c:pt>
                <c:pt idx="991">
                  <c:v>1.1559999999999999</c:v>
                </c:pt>
                <c:pt idx="992">
                  <c:v>1.179</c:v>
                </c:pt>
                <c:pt idx="993">
                  <c:v>1.0617000000000001</c:v>
                </c:pt>
                <c:pt idx="994">
                  <c:v>1.0145</c:v>
                </c:pt>
                <c:pt idx="995">
                  <c:v>1.0474000000000001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14-4556-AADF-5D63BA4AA7AD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  <c:pt idx="625">
                  <c:v>43963</c:v>
                </c:pt>
                <c:pt idx="626">
                  <c:v>43962</c:v>
                </c:pt>
                <c:pt idx="627">
                  <c:v>43961</c:v>
                </c:pt>
                <c:pt idx="628">
                  <c:v>43960</c:v>
                </c:pt>
                <c:pt idx="629">
                  <c:v>43959</c:v>
                </c:pt>
                <c:pt idx="630">
                  <c:v>43958</c:v>
                </c:pt>
                <c:pt idx="631">
                  <c:v>43957</c:v>
                </c:pt>
                <c:pt idx="632">
                  <c:v>43956</c:v>
                </c:pt>
                <c:pt idx="633">
                  <c:v>43955</c:v>
                </c:pt>
                <c:pt idx="634">
                  <c:v>43954</c:v>
                </c:pt>
                <c:pt idx="635">
                  <c:v>43953</c:v>
                </c:pt>
                <c:pt idx="636">
                  <c:v>43952</c:v>
                </c:pt>
                <c:pt idx="637">
                  <c:v>43951</c:v>
                </c:pt>
                <c:pt idx="638">
                  <c:v>43950</c:v>
                </c:pt>
                <c:pt idx="639">
                  <c:v>43949</c:v>
                </c:pt>
                <c:pt idx="640">
                  <c:v>43948</c:v>
                </c:pt>
                <c:pt idx="641">
                  <c:v>43947</c:v>
                </c:pt>
                <c:pt idx="642">
                  <c:v>43946</c:v>
                </c:pt>
                <c:pt idx="643">
                  <c:v>43945</c:v>
                </c:pt>
                <c:pt idx="644">
                  <c:v>43944</c:v>
                </c:pt>
                <c:pt idx="645">
                  <c:v>43943</c:v>
                </c:pt>
                <c:pt idx="646">
                  <c:v>43942</c:v>
                </c:pt>
                <c:pt idx="647">
                  <c:v>43941</c:v>
                </c:pt>
                <c:pt idx="648">
                  <c:v>43940</c:v>
                </c:pt>
                <c:pt idx="649">
                  <c:v>43939</c:v>
                </c:pt>
                <c:pt idx="650">
                  <c:v>43938</c:v>
                </c:pt>
                <c:pt idx="651">
                  <c:v>43937</c:v>
                </c:pt>
                <c:pt idx="652">
                  <c:v>43936</c:v>
                </c:pt>
                <c:pt idx="653">
                  <c:v>43935</c:v>
                </c:pt>
                <c:pt idx="654">
                  <c:v>43934</c:v>
                </c:pt>
                <c:pt idx="655">
                  <c:v>43933</c:v>
                </c:pt>
                <c:pt idx="656">
                  <c:v>43932</c:v>
                </c:pt>
                <c:pt idx="657">
                  <c:v>43931</c:v>
                </c:pt>
                <c:pt idx="658">
                  <c:v>43930</c:v>
                </c:pt>
                <c:pt idx="659">
                  <c:v>43929</c:v>
                </c:pt>
                <c:pt idx="660">
                  <c:v>43928</c:v>
                </c:pt>
                <c:pt idx="661">
                  <c:v>43927</c:v>
                </c:pt>
                <c:pt idx="662">
                  <c:v>43926</c:v>
                </c:pt>
                <c:pt idx="663">
                  <c:v>43925</c:v>
                </c:pt>
                <c:pt idx="664">
                  <c:v>43924</c:v>
                </c:pt>
                <c:pt idx="665">
                  <c:v>43923</c:v>
                </c:pt>
                <c:pt idx="666">
                  <c:v>43922</c:v>
                </c:pt>
                <c:pt idx="667">
                  <c:v>43921</c:v>
                </c:pt>
                <c:pt idx="668">
                  <c:v>43920</c:v>
                </c:pt>
                <c:pt idx="669">
                  <c:v>43919</c:v>
                </c:pt>
                <c:pt idx="670">
                  <c:v>43918</c:v>
                </c:pt>
                <c:pt idx="671">
                  <c:v>43917</c:v>
                </c:pt>
                <c:pt idx="672">
                  <c:v>43916</c:v>
                </c:pt>
                <c:pt idx="673">
                  <c:v>43915</c:v>
                </c:pt>
                <c:pt idx="674">
                  <c:v>43914</c:v>
                </c:pt>
                <c:pt idx="675">
                  <c:v>43913</c:v>
                </c:pt>
                <c:pt idx="676">
                  <c:v>43912</c:v>
                </c:pt>
                <c:pt idx="677">
                  <c:v>43911</c:v>
                </c:pt>
                <c:pt idx="678">
                  <c:v>43910</c:v>
                </c:pt>
                <c:pt idx="679">
                  <c:v>43909</c:v>
                </c:pt>
                <c:pt idx="680">
                  <c:v>43908</c:v>
                </c:pt>
                <c:pt idx="681">
                  <c:v>43907</c:v>
                </c:pt>
                <c:pt idx="682">
                  <c:v>43906</c:v>
                </c:pt>
                <c:pt idx="683">
                  <c:v>43905</c:v>
                </c:pt>
                <c:pt idx="684">
                  <c:v>43904</c:v>
                </c:pt>
                <c:pt idx="685">
                  <c:v>43903</c:v>
                </c:pt>
                <c:pt idx="686">
                  <c:v>43902</c:v>
                </c:pt>
                <c:pt idx="687">
                  <c:v>43901</c:v>
                </c:pt>
                <c:pt idx="688">
                  <c:v>43900</c:v>
                </c:pt>
                <c:pt idx="689">
                  <c:v>43899</c:v>
                </c:pt>
                <c:pt idx="690">
                  <c:v>43898</c:v>
                </c:pt>
                <c:pt idx="691">
                  <c:v>43897</c:v>
                </c:pt>
                <c:pt idx="692">
                  <c:v>43896</c:v>
                </c:pt>
                <c:pt idx="693">
                  <c:v>43895</c:v>
                </c:pt>
                <c:pt idx="694">
                  <c:v>43894</c:v>
                </c:pt>
                <c:pt idx="695">
                  <c:v>43893</c:v>
                </c:pt>
                <c:pt idx="696">
                  <c:v>43892</c:v>
                </c:pt>
                <c:pt idx="697">
                  <c:v>43891</c:v>
                </c:pt>
                <c:pt idx="698">
                  <c:v>43890</c:v>
                </c:pt>
                <c:pt idx="699">
                  <c:v>43889</c:v>
                </c:pt>
                <c:pt idx="700">
                  <c:v>43888</c:v>
                </c:pt>
                <c:pt idx="701">
                  <c:v>43887</c:v>
                </c:pt>
                <c:pt idx="702">
                  <c:v>43886</c:v>
                </c:pt>
                <c:pt idx="703">
                  <c:v>43885</c:v>
                </c:pt>
                <c:pt idx="704">
                  <c:v>43884</c:v>
                </c:pt>
                <c:pt idx="705">
                  <c:v>43883</c:v>
                </c:pt>
                <c:pt idx="706">
                  <c:v>43882</c:v>
                </c:pt>
                <c:pt idx="707">
                  <c:v>43881</c:v>
                </c:pt>
                <c:pt idx="708">
                  <c:v>43880</c:v>
                </c:pt>
                <c:pt idx="709">
                  <c:v>43879</c:v>
                </c:pt>
                <c:pt idx="710">
                  <c:v>43878</c:v>
                </c:pt>
                <c:pt idx="711">
                  <c:v>43877</c:v>
                </c:pt>
                <c:pt idx="712">
                  <c:v>43876</c:v>
                </c:pt>
                <c:pt idx="713">
                  <c:v>43875</c:v>
                </c:pt>
                <c:pt idx="714">
                  <c:v>43874</c:v>
                </c:pt>
                <c:pt idx="715">
                  <c:v>43873</c:v>
                </c:pt>
                <c:pt idx="716">
                  <c:v>43872</c:v>
                </c:pt>
                <c:pt idx="717">
                  <c:v>43871</c:v>
                </c:pt>
                <c:pt idx="718">
                  <c:v>43870</c:v>
                </c:pt>
                <c:pt idx="719">
                  <c:v>43869</c:v>
                </c:pt>
                <c:pt idx="720">
                  <c:v>43868</c:v>
                </c:pt>
                <c:pt idx="721">
                  <c:v>43867</c:v>
                </c:pt>
                <c:pt idx="722">
                  <c:v>43866</c:v>
                </c:pt>
                <c:pt idx="723">
                  <c:v>43865</c:v>
                </c:pt>
                <c:pt idx="724">
                  <c:v>43864</c:v>
                </c:pt>
                <c:pt idx="725">
                  <c:v>43863</c:v>
                </c:pt>
                <c:pt idx="726">
                  <c:v>43862</c:v>
                </c:pt>
                <c:pt idx="727">
                  <c:v>43861</c:v>
                </c:pt>
                <c:pt idx="728">
                  <c:v>43860</c:v>
                </c:pt>
                <c:pt idx="729">
                  <c:v>43859</c:v>
                </c:pt>
                <c:pt idx="730">
                  <c:v>43858</c:v>
                </c:pt>
                <c:pt idx="731">
                  <c:v>43857</c:v>
                </c:pt>
                <c:pt idx="732">
                  <c:v>43856</c:v>
                </c:pt>
                <c:pt idx="733">
                  <c:v>43855</c:v>
                </c:pt>
                <c:pt idx="734">
                  <c:v>43854</c:v>
                </c:pt>
                <c:pt idx="735">
                  <c:v>43853</c:v>
                </c:pt>
                <c:pt idx="736">
                  <c:v>43852</c:v>
                </c:pt>
                <c:pt idx="737">
                  <c:v>43851</c:v>
                </c:pt>
                <c:pt idx="738">
                  <c:v>43850</c:v>
                </c:pt>
                <c:pt idx="739">
                  <c:v>43849</c:v>
                </c:pt>
                <c:pt idx="740">
                  <c:v>43848</c:v>
                </c:pt>
                <c:pt idx="741">
                  <c:v>43847</c:v>
                </c:pt>
                <c:pt idx="742">
                  <c:v>43846</c:v>
                </c:pt>
                <c:pt idx="743">
                  <c:v>43845</c:v>
                </c:pt>
                <c:pt idx="744">
                  <c:v>43844</c:v>
                </c:pt>
                <c:pt idx="745">
                  <c:v>43843</c:v>
                </c:pt>
                <c:pt idx="746">
                  <c:v>43842</c:v>
                </c:pt>
                <c:pt idx="747">
                  <c:v>43841</c:v>
                </c:pt>
                <c:pt idx="748">
                  <c:v>43840</c:v>
                </c:pt>
                <c:pt idx="749">
                  <c:v>43839</c:v>
                </c:pt>
                <c:pt idx="750">
                  <c:v>43838</c:v>
                </c:pt>
                <c:pt idx="751">
                  <c:v>43837</c:v>
                </c:pt>
                <c:pt idx="752">
                  <c:v>43836</c:v>
                </c:pt>
                <c:pt idx="753">
                  <c:v>43835</c:v>
                </c:pt>
                <c:pt idx="754">
                  <c:v>43834</c:v>
                </c:pt>
                <c:pt idx="755">
                  <c:v>43833</c:v>
                </c:pt>
                <c:pt idx="756">
                  <c:v>43832</c:v>
                </c:pt>
                <c:pt idx="757">
                  <c:v>43831</c:v>
                </c:pt>
                <c:pt idx="758">
                  <c:v>43830</c:v>
                </c:pt>
                <c:pt idx="759">
                  <c:v>43829</c:v>
                </c:pt>
                <c:pt idx="760">
                  <c:v>43828</c:v>
                </c:pt>
                <c:pt idx="761">
                  <c:v>43827</c:v>
                </c:pt>
                <c:pt idx="762">
                  <c:v>43826</c:v>
                </c:pt>
                <c:pt idx="763">
                  <c:v>43825</c:v>
                </c:pt>
                <c:pt idx="764">
                  <c:v>43824</c:v>
                </c:pt>
                <c:pt idx="765">
                  <c:v>43823</c:v>
                </c:pt>
                <c:pt idx="766">
                  <c:v>43822</c:v>
                </c:pt>
                <c:pt idx="767">
                  <c:v>43821</c:v>
                </c:pt>
                <c:pt idx="768">
                  <c:v>43820</c:v>
                </c:pt>
                <c:pt idx="769">
                  <c:v>43819</c:v>
                </c:pt>
                <c:pt idx="770">
                  <c:v>43818</c:v>
                </c:pt>
                <c:pt idx="771">
                  <c:v>43817</c:v>
                </c:pt>
                <c:pt idx="772">
                  <c:v>43816</c:v>
                </c:pt>
                <c:pt idx="773">
                  <c:v>43815</c:v>
                </c:pt>
                <c:pt idx="774">
                  <c:v>43814</c:v>
                </c:pt>
                <c:pt idx="775">
                  <c:v>43813</c:v>
                </c:pt>
                <c:pt idx="776">
                  <c:v>43812</c:v>
                </c:pt>
                <c:pt idx="777">
                  <c:v>43811</c:v>
                </c:pt>
                <c:pt idx="778">
                  <c:v>43810</c:v>
                </c:pt>
                <c:pt idx="779">
                  <c:v>43809</c:v>
                </c:pt>
                <c:pt idx="780">
                  <c:v>43808</c:v>
                </c:pt>
                <c:pt idx="781">
                  <c:v>43807</c:v>
                </c:pt>
                <c:pt idx="782">
                  <c:v>43806</c:v>
                </c:pt>
                <c:pt idx="783">
                  <c:v>43805</c:v>
                </c:pt>
                <c:pt idx="784">
                  <c:v>43804</c:v>
                </c:pt>
                <c:pt idx="785">
                  <c:v>43803</c:v>
                </c:pt>
                <c:pt idx="786">
                  <c:v>43802</c:v>
                </c:pt>
                <c:pt idx="787">
                  <c:v>43801</c:v>
                </c:pt>
                <c:pt idx="788">
                  <c:v>43800</c:v>
                </c:pt>
                <c:pt idx="789">
                  <c:v>43799</c:v>
                </c:pt>
                <c:pt idx="790">
                  <c:v>43798</c:v>
                </c:pt>
                <c:pt idx="791">
                  <c:v>43797</c:v>
                </c:pt>
                <c:pt idx="792">
                  <c:v>43796</c:v>
                </c:pt>
                <c:pt idx="793">
                  <c:v>43795</c:v>
                </c:pt>
                <c:pt idx="794">
                  <c:v>43794</c:v>
                </c:pt>
                <c:pt idx="795">
                  <c:v>43793</c:v>
                </c:pt>
                <c:pt idx="796">
                  <c:v>43792</c:v>
                </c:pt>
                <c:pt idx="797">
                  <c:v>43791</c:v>
                </c:pt>
                <c:pt idx="798">
                  <c:v>43790</c:v>
                </c:pt>
                <c:pt idx="799">
                  <c:v>43789</c:v>
                </c:pt>
                <c:pt idx="800">
                  <c:v>43788</c:v>
                </c:pt>
                <c:pt idx="801">
                  <c:v>43787</c:v>
                </c:pt>
                <c:pt idx="802">
                  <c:v>43786</c:v>
                </c:pt>
                <c:pt idx="803">
                  <c:v>43785</c:v>
                </c:pt>
                <c:pt idx="804">
                  <c:v>43784</c:v>
                </c:pt>
                <c:pt idx="805">
                  <c:v>43783</c:v>
                </c:pt>
                <c:pt idx="806">
                  <c:v>43782</c:v>
                </c:pt>
                <c:pt idx="807">
                  <c:v>43781</c:v>
                </c:pt>
                <c:pt idx="808">
                  <c:v>43780</c:v>
                </c:pt>
                <c:pt idx="809">
                  <c:v>43779</c:v>
                </c:pt>
                <c:pt idx="810">
                  <c:v>43778</c:v>
                </c:pt>
                <c:pt idx="811">
                  <c:v>43777</c:v>
                </c:pt>
                <c:pt idx="812">
                  <c:v>43776</c:v>
                </c:pt>
                <c:pt idx="813">
                  <c:v>43775</c:v>
                </c:pt>
                <c:pt idx="814">
                  <c:v>43774</c:v>
                </c:pt>
                <c:pt idx="815">
                  <c:v>43773</c:v>
                </c:pt>
                <c:pt idx="816">
                  <c:v>43772</c:v>
                </c:pt>
                <c:pt idx="817">
                  <c:v>43771</c:v>
                </c:pt>
                <c:pt idx="818">
                  <c:v>43770</c:v>
                </c:pt>
                <c:pt idx="819">
                  <c:v>43769</c:v>
                </c:pt>
                <c:pt idx="820">
                  <c:v>43768</c:v>
                </c:pt>
                <c:pt idx="821">
                  <c:v>43767</c:v>
                </c:pt>
                <c:pt idx="822">
                  <c:v>43766</c:v>
                </c:pt>
                <c:pt idx="823">
                  <c:v>43765</c:v>
                </c:pt>
                <c:pt idx="824">
                  <c:v>43764</c:v>
                </c:pt>
                <c:pt idx="825">
                  <c:v>43763</c:v>
                </c:pt>
                <c:pt idx="826">
                  <c:v>43762</c:v>
                </c:pt>
                <c:pt idx="827">
                  <c:v>43761</c:v>
                </c:pt>
                <c:pt idx="828">
                  <c:v>43760</c:v>
                </c:pt>
                <c:pt idx="829">
                  <c:v>43759</c:v>
                </c:pt>
                <c:pt idx="830">
                  <c:v>43758</c:v>
                </c:pt>
                <c:pt idx="831">
                  <c:v>43757</c:v>
                </c:pt>
                <c:pt idx="832">
                  <c:v>43756</c:v>
                </c:pt>
                <c:pt idx="833">
                  <c:v>43755</c:v>
                </c:pt>
                <c:pt idx="834">
                  <c:v>43754</c:v>
                </c:pt>
                <c:pt idx="835">
                  <c:v>43753</c:v>
                </c:pt>
                <c:pt idx="836">
                  <c:v>43752</c:v>
                </c:pt>
                <c:pt idx="837">
                  <c:v>43751</c:v>
                </c:pt>
                <c:pt idx="838">
                  <c:v>43750</c:v>
                </c:pt>
                <c:pt idx="839">
                  <c:v>43749</c:v>
                </c:pt>
                <c:pt idx="840">
                  <c:v>43748</c:v>
                </c:pt>
                <c:pt idx="841">
                  <c:v>43747</c:v>
                </c:pt>
                <c:pt idx="842">
                  <c:v>43746</c:v>
                </c:pt>
                <c:pt idx="843">
                  <c:v>43745</c:v>
                </c:pt>
                <c:pt idx="844">
                  <c:v>43744</c:v>
                </c:pt>
                <c:pt idx="845">
                  <c:v>43743</c:v>
                </c:pt>
                <c:pt idx="846">
                  <c:v>43742</c:v>
                </c:pt>
                <c:pt idx="847">
                  <c:v>43741</c:v>
                </c:pt>
                <c:pt idx="848">
                  <c:v>43740</c:v>
                </c:pt>
                <c:pt idx="849">
                  <c:v>43739</c:v>
                </c:pt>
                <c:pt idx="850">
                  <c:v>43738</c:v>
                </c:pt>
                <c:pt idx="851">
                  <c:v>43737</c:v>
                </c:pt>
                <c:pt idx="852">
                  <c:v>43736</c:v>
                </c:pt>
                <c:pt idx="853">
                  <c:v>43735</c:v>
                </c:pt>
                <c:pt idx="854">
                  <c:v>43734</c:v>
                </c:pt>
                <c:pt idx="855">
                  <c:v>43733</c:v>
                </c:pt>
                <c:pt idx="856">
                  <c:v>43732</c:v>
                </c:pt>
                <c:pt idx="857">
                  <c:v>43731</c:v>
                </c:pt>
                <c:pt idx="858">
                  <c:v>43730</c:v>
                </c:pt>
                <c:pt idx="859">
                  <c:v>43729</c:v>
                </c:pt>
                <c:pt idx="860">
                  <c:v>43728</c:v>
                </c:pt>
                <c:pt idx="861">
                  <c:v>43727</c:v>
                </c:pt>
                <c:pt idx="862">
                  <c:v>43726</c:v>
                </c:pt>
                <c:pt idx="863">
                  <c:v>43725</c:v>
                </c:pt>
                <c:pt idx="864">
                  <c:v>43724</c:v>
                </c:pt>
                <c:pt idx="865">
                  <c:v>43723</c:v>
                </c:pt>
                <c:pt idx="866">
                  <c:v>43722</c:v>
                </c:pt>
                <c:pt idx="867">
                  <c:v>43721</c:v>
                </c:pt>
                <c:pt idx="868">
                  <c:v>43720</c:v>
                </c:pt>
                <c:pt idx="869">
                  <c:v>43719</c:v>
                </c:pt>
                <c:pt idx="870">
                  <c:v>43718</c:v>
                </c:pt>
                <c:pt idx="871">
                  <c:v>43717</c:v>
                </c:pt>
                <c:pt idx="872">
                  <c:v>43716</c:v>
                </c:pt>
                <c:pt idx="873">
                  <c:v>43715</c:v>
                </c:pt>
                <c:pt idx="874">
                  <c:v>43714</c:v>
                </c:pt>
                <c:pt idx="875">
                  <c:v>43713</c:v>
                </c:pt>
                <c:pt idx="876">
                  <c:v>43712</c:v>
                </c:pt>
                <c:pt idx="877">
                  <c:v>43711</c:v>
                </c:pt>
                <c:pt idx="878">
                  <c:v>43710</c:v>
                </c:pt>
                <c:pt idx="879">
                  <c:v>43709</c:v>
                </c:pt>
                <c:pt idx="880">
                  <c:v>43708</c:v>
                </c:pt>
                <c:pt idx="881">
                  <c:v>43707</c:v>
                </c:pt>
                <c:pt idx="882">
                  <c:v>43706</c:v>
                </c:pt>
                <c:pt idx="883">
                  <c:v>43705</c:v>
                </c:pt>
                <c:pt idx="884">
                  <c:v>43704</c:v>
                </c:pt>
                <c:pt idx="885">
                  <c:v>43703</c:v>
                </c:pt>
                <c:pt idx="886">
                  <c:v>43702</c:v>
                </c:pt>
                <c:pt idx="887">
                  <c:v>43701</c:v>
                </c:pt>
                <c:pt idx="888">
                  <c:v>43700</c:v>
                </c:pt>
                <c:pt idx="889">
                  <c:v>43699</c:v>
                </c:pt>
                <c:pt idx="890">
                  <c:v>43698</c:v>
                </c:pt>
                <c:pt idx="891">
                  <c:v>43697</c:v>
                </c:pt>
                <c:pt idx="892">
                  <c:v>43696</c:v>
                </c:pt>
                <c:pt idx="893">
                  <c:v>43695</c:v>
                </c:pt>
                <c:pt idx="894">
                  <c:v>43694</c:v>
                </c:pt>
                <c:pt idx="895">
                  <c:v>43693</c:v>
                </c:pt>
                <c:pt idx="896">
                  <c:v>43692</c:v>
                </c:pt>
                <c:pt idx="897">
                  <c:v>43691</c:v>
                </c:pt>
                <c:pt idx="898">
                  <c:v>43690</c:v>
                </c:pt>
                <c:pt idx="899">
                  <c:v>43689</c:v>
                </c:pt>
                <c:pt idx="900">
                  <c:v>43688</c:v>
                </c:pt>
                <c:pt idx="901">
                  <c:v>43687</c:v>
                </c:pt>
                <c:pt idx="902">
                  <c:v>43686</c:v>
                </c:pt>
                <c:pt idx="903">
                  <c:v>43685</c:v>
                </c:pt>
                <c:pt idx="904">
                  <c:v>43684</c:v>
                </c:pt>
                <c:pt idx="905">
                  <c:v>43683</c:v>
                </c:pt>
                <c:pt idx="906">
                  <c:v>43682</c:v>
                </c:pt>
                <c:pt idx="907">
                  <c:v>43681</c:v>
                </c:pt>
                <c:pt idx="908">
                  <c:v>43680</c:v>
                </c:pt>
                <c:pt idx="909">
                  <c:v>43679</c:v>
                </c:pt>
                <c:pt idx="910">
                  <c:v>43678</c:v>
                </c:pt>
                <c:pt idx="911">
                  <c:v>43677</c:v>
                </c:pt>
                <c:pt idx="912">
                  <c:v>43676</c:v>
                </c:pt>
                <c:pt idx="913">
                  <c:v>43675</c:v>
                </c:pt>
                <c:pt idx="914">
                  <c:v>43674</c:v>
                </c:pt>
                <c:pt idx="915">
                  <c:v>43673</c:v>
                </c:pt>
                <c:pt idx="916">
                  <c:v>43672</c:v>
                </c:pt>
                <c:pt idx="917">
                  <c:v>43671</c:v>
                </c:pt>
                <c:pt idx="918">
                  <c:v>43670</c:v>
                </c:pt>
                <c:pt idx="919">
                  <c:v>43669</c:v>
                </c:pt>
                <c:pt idx="920">
                  <c:v>43668</c:v>
                </c:pt>
                <c:pt idx="921">
                  <c:v>43667</c:v>
                </c:pt>
                <c:pt idx="922">
                  <c:v>43666</c:v>
                </c:pt>
                <c:pt idx="923">
                  <c:v>43665</c:v>
                </c:pt>
                <c:pt idx="924">
                  <c:v>43664</c:v>
                </c:pt>
                <c:pt idx="925">
                  <c:v>43663</c:v>
                </c:pt>
                <c:pt idx="926">
                  <c:v>43662</c:v>
                </c:pt>
                <c:pt idx="927">
                  <c:v>43661</c:v>
                </c:pt>
                <c:pt idx="928">
                  <c:v>43660</c:v>
                </c:pt>
                <c:pt idx="929">
                  <c:v>43659</c:v>
                </c:pt>
                <c:pt idx="930">
                  <c:v>43658</c:v>
                </c:pt>
                <c:pt idx="931">
                  <c:v>43657</c:v>
                </c:pt>
                <c:pt idx="932">
                  <c:v>43656</c:v>
                </c:pt>
                <c:pt idx="933">
                  <c:v>43655</c:v>
                </c:pt>
                <c:pt idx="934">
                  <c:v>43654</c:v>
                </c:pt>
                <c:pt idx="935">
                  <c:v>43653</c:v>
                </c:pt>
                <c:pt idx="936">
                  <c:v>43652</c:v>
                </c:pt>
                <c:pt idx="937">
                  <c:v>43651</c:v>
                </c:pt>
                <c:pt idx="938">
                  <c:v>43650</c:v>
                </c:pt>
                <c:pt idx="939">
                  <c:v>43649</c:v>
                </c:pt>
                <c:pt idx="940">
                  <c:v>43648</c:v>
                </c:pt>
                <c:pt idx="941">
                  <c:v>43647</c:v>
                </c:pt>
                <c:pt idx="942">
                  <c:v>43646</c:v>
                </c:pt>
                <c:pt idx="943">
                  <c:v>43645</c:v>
                </c:pt>
                <c:pt idx="944">
                  <c:v>43644</c:v>
                </c:pt>
                <c:pt idx="945">
                  <c:v>43643</c:v>
                </c:pt>
                <c:pt idx="946">
                  <c:v>43642</c:v>
                </c:pt>
                <c:pt idx="947">
                  <c:v>43641</c:v>
                </c:pt>
                <c:pt idx="948">
                  <c:v>43640</c:v>
                </c:pt>
                <c:pt idx="949">
                  <c:v>43639</c:v>
                </c:pt>
                <c:pt idx="950">
                  <c:v>43638</c:v>
                </c:pt>
                <c:pt idx="951">
                  <c:v>43637</c:v>
                </c:pt>
                <c:pt idx="952">
                  <c:v>43636</c:v>
                </c:pt>
                <c:pt idx="953">
                  <c:v>43635</c:v>
                </c:pt>
                <c:pt idx="954">
                  <c:v>43634</c:v>
                </c:pt>
                <c:pt idx="955">
                  <c:v>43633</c:v>
                </c:pt>
                <c:pt idx="956">
                  <c:v>43632</c:v>
                </c:pt>
                <c:pt idx="957">
                  <c:v>43631</c:v>
                </c:pt>
                <c:pt idx="958">
                  <c:v>43630</c:v>
                </c:pt>
                <c:pt idx="959">
                  <c:v>43629</c:v>
                </c:pt>
                <c:pt idx="960">
                  <c:v>43628</c:v>
                </c:pt>
                <c:pt idx="961">
                  <c:v>43627</c:v>
                </c:pt>
                <c:pt idx="962">
                  <c:v>43626</c:v>
                </c:pt>
                <c:pt idx="963">
                  <c:v>43625</c:v>
                </c:pt>
                <c:pt idx="964">
                  <c:v>43624</c:v>
                </c:pt>
                <c:pt idx="965">
                  <c:v>43623</c:v>
                </c:pt>
                <c:pt idx="966">
                  <c:v>43622</c:v>
                </c:pt>
                <c:pt idx="967">
                  <c:v>43621</c:v>
                </c:pt>
                <c:pt idx="968">
                  <c:v>43620</c:v>
                </c:pt>
                <c:pt idx="969">
                  <c:v>43619</c:v>
                </c:pt>
                <c:pt idx="970">
                  <c:v>43618</c:v>
                </c:pt>
                <c:pt idx="971">
                  <c:v>43617</c:v>
                </c:pt>
                <c:pt idx="972">
                  <c:v>43616</c:v>
                </c:pt>
                <c:pt idx="973">
                  <c:v>43615</c:v>
                </c:pt>
                <c:pt idx="974">
                  <c:v>43614</c:v>
                </c:pt>
                <c:pt idx="975">
                  <c:v>43613</c:v>
                </c:pt>
                <c:pt idx="976">
                  <c:v>43612</c:v>
                </c:pt>
                <c:pt idx="977">
                  <c:v>43611</c:v>
                </c:pt>
                <c:pt idx="978">
                  <c:v>43610</c:v>
                </c:pt>
                <c:pt idx="979">
                  <c:v>43609</c:v>
                </c:pt>
                <c:pt idx="980">
                  <c:v>43608</c:v>
                </c:pt>
                <c:pt idx="981">
                  <c:v>43607</c:v>
                </c:pt>
                <c:pt idx="982">
                  <c:v>43606</c:v>
                </c:pt>
                <c:pt idx="983">
                  <c:v>43605</c:v>
                </c:pt>
                <c:pt idx="984">
                  <c:v>43604</c:v>
                </c:pt>
                <c:pt idx="985">
                  <c:v>43603</c:v>
                </c:pt>
                <c:pt idx="986">
                  <c:v>43602</c:v>
                </c:pt>
                <c:pt idx="987">
                  <c:v>43601</c:v>
                </c:pt>
                <c:pt idx="988">
                  <c:v>43600</c:v>
                </c:pt>
                <c:pt idx="989">
                  <c:v>43599</c:v>
                </c:pt>
                <c:pt idx="990">
                  <c:v>43598</c:v>
                </c:pt>
                <c:pt idx="991">
                  <c:v>43597</c:v>
                </c:pt>
                <c:pt idx="992">
                  <c:v>43596</c:v>
                </c:pt>
                <c:pt idx="993">
                  <c:v>43595</c:v>
                </c:pt>
                <c:pt idx="994">
                  <c:v>43594</c:v>
                </c:pt>
                <c:pt idx="995">
                  <c:v>43593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22.410573808766859</c:v>
                </c:pt>
                <c:pt idx="1">
                  <c:v>22.428080003372916</c:v>
                </c:pt>
                <c:pt idx="2">
                  <c:v>22.527199819427963</c:v>
                </c:pt>
                <c:pt idx="3">
                  <c:v>22.450558478337054</c:v>
                </c:pt>
                <c:pt idx="4">
                  <c:v>22.400660271806995</c:v>
                </c:pt>
                <c:pt idx="5">
                  <c:v>22.306685885677961</c:v>
                </c:pt>
                <c:pt idx="6">
                  <c:v>22.395943066379196</c:v>
                </c:pt>
                <c:pt idx="7">
                  <c:v>22.616093400315236</c:v>
                </c:pt>
                <c:pt idx="8">
                  <c:v>22.707695097353628</c:v>
                </c:pt>
                <c:pt idx="9">
                  <c:v>22.749724723799417</c:v>
                </c:pt>
                <c:pt idx="10">
                  <c:v>22.740223645955549</c:v>
                </c:pt>
                <c:pt idx="11">
                  <c:v>22.770193335813367</c:v>
                </c:pt>
                <c:pt idx="12">
                  <c:v>22.752239244844208</c:v>
                </c:pt>
                <c:pt idx="13">
                  <c:v>22.711152180363335</c:v>
                </c:pt>
                <c:pt idx="14">
                  <c:v>22.670133783909435</c:v>
                </c:pt>
                <c:pt idx="15">
                  <c:v>22.753343834430272</c:v>
                </c:pt>
                <c:pt idx="16">
                  <c:v>22.665054056009215</c:v>
                </c:pt>
                <c:pt idx="17">
                  <c:v>22.606098661933977</c:v>
                </c:pt>
                <c:pt idx="18">
                  <c:v>22.628030756906153</c:v>
                </c:pt>
                <c:pt idx="19">
                  <c:v>22.57565800247577</c:v>
                </c:pt>
                <c:pt idx="20">
                  <c:v>22.629732219510327</c:v>
                </c:pt>
                <c:pt idx="21">
                  <c:v>22.607521353009336</c:v>
                </c:pt>
                <c:pt idx="22">
                  <c:v>22.519319572376926</c:v>
                </c:pt>
                <c:pt idx="23">
                  <c:v>22.608756852219692</c:v>
                </c:pt>
                <c:pt idx="24">
                  <c:v>22.673062797604306</c:v>
                </c:pt>
                <c:pt idx="25">
                  <c:v>22.709104609635908</c:v>
                </c:pt>
                <c:pt idx="26">
                  <c:v>22.636513545368558</c:v>
                </c:pt>
                <c:pt idx="27">
                  <c:v>22.559942533693434</c:v>
                </c:pt>
                <c:pt idx="28">
                  <c:v>22.602228058672857</c:v>
                </c:pt>
                <c:pt idx="29">
                  <c:v>22.564729543981173</c:v>
                </c:pt>
                <c:pt idx="30">
                  <c:v>22.664282720017205</c:v>
                </c:pt>
                <c:pt idx="31">
                  <c:v>22.80429267996157</c:v>
                </c:pt>
                <c:pt idx="32">
                  <c:v>22.851431028563724</c:v>
                </c:pt>
                <c:pt idx="33">
                  <c:v>22.774356601854048</c:v>
                </c:pt>
                <c:pt idx="34">
                  <c:v>22.751279906131504</c:v>
                </c:pt>
                <c:pt idx="35">
                  <c:v>22.791352379881509</c:v>
                </c:pt>
                <c:pt idx="36">
                  <c:v>22.681589291355611</c:v>
                </c:pt>
                <c:pt idx="37">
                  <c:v>22.683689244903999</c:v>
                </c:pt>
                <c:pt idx="38">
                  <c:v>22.617649427561339</c:v>
                </c:pt>
                <c:pt idx="39">
                  <c:v>22.63688940099253</c:v>
                </c:pt>
                <c:pt idx="40">
                  <c:v>22.614527417430885</c:v>
                </c:pt>
                <c:pt idx="41">
                  <c:v>22.603781138618391</c:v>
                </c:pt>
                <c:pt idx="42">
                  <c:v>22.604129934336033</c:v>
                </c:pt>
                <c:pt idx="43">
                  <c:v>22.731057152780476</c:v>
                </c:pt>
                <c:pt idx="44">
                  <c:v>22.614679146640121</c:v>
                </c:pt>
                <c:pt idx="45">
                  <c:v>22.508662353630413</c:v>
                </c:pt>
                <c:pt idx="46">
                  <c:v>22.654632480894218</c:v>
                </c:pt>
                <c:pt idx="47">
                  <c:v>22.628720125121344</c:v>
                </c:pt>
                <c:pt idx="48">
                  <c:v>22.62274214715524</c:v>
                </c:pt>
                <c:pt idx="49">
                  <c:v>22.810321737305493</c:v>
                </c:pt>
                <c:pt idx="50">
                  <c:v>23.00641851284729</c:v>
                </c:pt>
                <c:pt idx="51">
                  <c:v>22.758216031686572</c:v>
                </c:pt>
                <c:pt idx="52">
                  <c:v>22.821391156050208</c:v>
                </c:pt>
                <c:pt idx="53">
                  <c:v>22.47806899383346</c:v>
                </c:pt>
                <c:pt idx="54">
                  <c:v>22.625901414599742</c:v>
                </c:pt>
                <c:pt idx="55">
                  <c:v>22.553139116609735</c:v>
                </c:pt>
                <c:pt idx="56">
                  <c:v>22.965371066741099</c:v>
                </c:pt>
                <c:pt idx="57">
                  <c:v>22.83932782647264</c:v>
                </c:pt>
                <c:pt idx="58">
                  <c:v>22.873831366076601</c:v>
                </c:pt>
                <c:pt idx="59">
                  <c:v>23.059555786290577</c:v>
                </c:pt>
                <c:pt idx="60">
                  <c:v>22.838863982537227</c:v>
                </c:pt>
                <c:pt idx="61">
                  <c:v>22.805112427247973</c:v>
                </c:pt>
                <c:pt idx="62">
                  <c:v>22.719130966577286</c:v>
                </c:pt>
                <c:pt idx="63">
                  <c:v>22.784066333496131</c:v>
                </c:pt>
                <c:pt idx="64">
                  <c:v>22.61093515359817</c:v>
                </c:pt>
                <c:pt idx="65">
                  <c:v>22.658240077002425</c:v>
                </c:pt>
                <c:pt idx="66">
                  <c:v>22.458970206647923</c:v>
                </c:pt>
                <c:pt idx="67">
                  <c:v>22.647040519950984</c:v>
                </c:pt>
                <c:pt idx="68">
                  <c:v>22.830886743302049</c:v>
                </c:pt>
                <c:pt idx="69">
                  <c:v>22.718787161544999</c:v>
                </c:pt>
                <c:pt idx="70">
                  <c:v>22.616288440266647</c:v>
                </c:pt>
                <c:pt idx="71">
                  <c:v>22.788566773992454</c:v>
                </c:pt>
                <c:pt idx="72">
                  <c:v>22.522357199362826</c:v>
                </c:pt>
                <c:pt idx="73">
                  <c:v>22.534531249081926</c:v>
                </c:pt>
                <c:pt idx="74">
                  <c:v>22.620751622379654</c:v>
                </c:pt>
                <c:pt idx="75">
                  <c:v>22.473058626469541</c:v>
                </c:pt>
                <c:pt idx="76">
                  <c:v>22.424006208444265</c:v>
                </c:pt>
                <c:pt idx="77">
                  <c:v>22.392140343444265</c:v>
                </c:pt>
                <c:pt idx="78">
                  <c:v>22.413758674741334</c:v>
                </c:pt>
                <c:pt idx="79">
                  <c:v>22.514333832905567</c:v>
                </c:pt>
                <c:pt idx="80">
                  <c:v>22.240471756016674</c:v>
                </c:pt>
                <c:pt idx="81">
                  <c:v>22.001166775405988</c:v>
                </c:pt>
                <c:pt idx="82">
                  <c:v>22.043193057096126</c:v>
                </c:pt>
                <c:pt idx="83">
                  <c:v>22.137760564097125</c:v>
                </c:pt>
                <c:pt idx="84">
                  <c:v>22.171691717856714</c:v>
                </c:pt>
                <c:pt idx="85">
                  <c:v>21.796042722923378</c:v>
                </c:pt>
                <c:pt idx="86">
                  <c:v>21.717450529306358</c:v>
                </c:pt>
                <c:pt idx="87">
                  <c:v>21.630541803419565</c:v>
                </c:pt>
                <c:pt idx="88">
                  <c:v>21.688410402741415</c:v>
                </c:pt>
                <c:pt idx="89">
                  <c:v>21.766631880526884</c:v>
                </c:pt>
                <c:pt idx="90">
                  <c:v>21.588886170439796</c:v>
                </c:pt>
                <c:pt idx="91">
                  <c:v>21.431011656680933</c:v>
                </c:pt>
                <c:pt idx="92">
                  <c:v>21.213568217703862</c:v>
                </c:pt>
                <c:pt idx="93">
                  <c:v>21.342600830102676</c:v>
                </c:pt>
                <c:pt idx="94">
                  <c:v>21.379209517245531</c:v>
                </c:pt>
                <c:pt idx="95">
                  <c:v>21.273653255445531</c:v>
                </c:pt>
                <c:pt idx="96">
                  <c:v>21.251539322180644</c:v>
                </c:pt>
                <c:pt idx="97">
                  <c:v>21.26761619529892</c:v>
                </c:pt>
                <c:pt idx="98">
                  <c:v>21.347349366976342</c:v>
                </c:pt>
                <c:pt idx="99">
                  <c:v>21.257368242559675</c:v>
                </c:pt>
                <c:pt idx="100">
                  <c:v>21.079893447954415</c:v>
                </c:pt>
                <c:pt idx="101">
                  <c:v>21.055466399610854</c:v>
                </c:pt>
                <c:pt idx="102">
                  <c:v>21.08630538706025</c:v>
                </c:pt>
                <c:pt idx="103">
                  <c:v>21.140368226750358</c:v>
                </c:pt>
                <c:pt idx="104">
                  <c:v>21.170326603999776</c:v>
                </c:pt>
                <c:pt idx="105">
                  <c:v>21.044408365080855</c:v>
                </c:pt>
                <c:pt idx="106">
                  <c:v>21.230411231310363</c:v>
                </c:pt>
                <c:pt idx="107">
                  <c:v>20.98400659672842</c:v>
                </c:pt>
                <c:pt idx="108">
                  <c:v>20.898763651415923</c:v>
                </c:pt>
                <c:pt idx="109">
                  <c:v>21.20151235821934</c:v>
                </c:pt>
                <c:pt idx="110">
                  <c:v>21.486931578343182</c:v>
                </c:pt>
                <c:pt idx="111">
                  <c:v>21.789625694442702</c:v>
                </c:pt>
                <c:pt idx="112">
                  <c:v>21.110030555877888</c:v>
                </c:pt>
                <c:pt idx="113">
                  <c:v>21.210743060465042</c:v>
                </c:pt>
                <c:pt idx="114">
                  <c:v>21.089376218993827</c:v>
                </c:pt>
                <c:pt idx="115">
                  <c:v>20.928401758665959</c:v>
                </c:pt>
                <c:pt idx="116">
                  <c:v>20.928819835243225</c:v>
                </c:pt>
                <c:pt idx="117">
                  <c:v>20.806037520434799</c:v>
                </c:pt>
                <c:pt idx="118">
                  <c:v>20.831389206963294</c:v>
                </c:pt>
                <c:pt idx="119">
                  <c:v>20.600811714354595</c:v>
                </c:pt>
                <c:pt idx="120">
                  <c:v>20.396199687120557</c:v>
                </c:pt>
                <c:pt idx="121">
                  <c:v>20.409204469444635</c:v>
                </c:pt>
                <c:pt idx="122">
                  <c:v>20.616530043492567</c:v>
                </c:pt>
                <c:pt idx="123">
                  <c:v>20.858519748381458</c:v>
                </c:pt>
                <c:pt idx="124">
                  <c:v>20.753514362074945</c:v>
                </c:pt>
                <c:pt idx="125">
                  <c:v>20.789748917165852</c:v>
                </c:pt>
                <c:pt idx="126">
                  <c:v>20.862356993865856</c:v>
                </c:pt>
                <c:pt idx="127">
                  <c:v>20.656343181461274</c:v>
                </c:pt>
                <c:pt idx="128">
                  <c:v>20.391738230839898</c:v>
                </c:pt>
                <c:pt idx="129">
                  <c:v>20.601625711994689</c:v>
                </c:pt>
                <c:pt idx="130">
                  <c:v>20.73373944852953</c:v>
                </c:pt>
                <c:pt idx="131">
                  <c:v>20.795170772125037</c:v>
                </c:pt>
                <c:pt idx="132">
                  <c:v>20.776482411272571</c:v>
                </c:pt>
                <c:pt idx="133">
                  <c:v>20.761520944376574</c:v>
                </c:pt>
                <c:pt idx="134">
                  <c:v>20.791382814565253</c:v>
                </c:pt>
                <c:pt idx="135">
                  <c:v>20.628739035751693</c:v>
                </c:pt>
                <c:pt idx="136">
                  <c:v>20.476957349968711</c:v>
                </c:pt>
                <c:pt idx="137">
                  <c:v>20.492117588363978</c:v>
                </c:pt>
                <c:pt idx="138">
                  <c:v>20.374432825330867</c:v>
                </c:pt>
                <c:pt idx="139">
                  <c:v>20.283687985897483</c:v>
                </c:pt>
                <c:pt idx="140">
                  <c:v>20.543642035897484</c:v>
                </c:pt>
                <c:pt idx="141">
                  <c:v>20.302168220435941</c:v>
                </c:pt>
                <c:pt idx="142">
                  <c:v>19.909611122193663</c:v>
                </c:pt>
                <c:pt idx="143">
                  <c:v>20.141722466047181</c:v>
                </c:pt>
                <c:pt idx="144">
                  <c:v>20.089658694624905</c:v>
                </c:pt>
                <c:pt idx="145">
                  <c:v>19.668057970804696</c:v>
                </c:pt>
                <c:pt idx="146">
                  <c:v>19.430094383346663</c:v>
                </c:pt>
                <c:pt idx="147">
                  <c:v>19.146332993999529</c:v>
                </c:pt>
                <c:pt idx="148">
                  <c:v>18.923763403581436</c:v>
                </c:pt>
                <c:pt idx="149">
                  <c:v>18.722777182056383</c:v>
                </c:pt>
                <c:pt idx="150">
                  <c:v>18.736839120727591</c:v>
                </c:pt>
                <c:pt idx="151">
                  <c:v>18.83392292330069</c:v>
                </c:pt>
                <c:pt idx="152">
                  <c:v>18.871280884921877</c:v>
                </c:pt>
                <c:pt idx="153">
                  <c:v>18.832276264470266</c:v>
                </c:pt>
                <c:pt idx="154">
                  <c:v>18.594971436537836</c:v>
                </c:pt>
                <c:pt idx="155">
                  <c:v>18.744188452557108</c:v>
                </c:pt>
                <c:pt idx="156">
                  <c:v>18.438662436941794</c:v>
                </c:pt>
                <c:pt idx="157">
                  <c:v>18.886988413985623</c:v>
                </c:pt>
                <c:pt idx="158">
                  <c:v>18.816417754522895</c:v>
                </c:pt>
                <c:pt idx="159">
                  <c:v>18.802510502410648</c:v>
                </c:pt>
                <c:pt idx="160">
                  <c:v>18.791944499701938</c:v>
                </c:pt>
                <c:pt idx="161">
                  <c:v>18.572977091867415</c:v>
                </c:pt>
                <c:pt idx="162">
                  <c:v>18.315327641536289</c:v>
                </c:pt>
                <c:pt idx="163">
                  <c:v>18.308070338214712</c:v>
                </c:pt>
                <c:pt idx="164">
                  <c:v>18.549486082281319</c:v>
                </c:pt>
                <c:pt idx="165">
                  <c:v>18.7079339879994</c:v>
                </c:pt>
                <c:pt idx="166">
                  <c:v>18.449481021482665</c:v>
                </c:pt>
                <c:pt idx="167">
                  <c:v>18.242587783770546</c:v>
                </c:pt>
                <c:pt idx="168">
                  <c:v>17.98398680117597</c:v>
                </c:pt>
                <c:pt idx="169">
                  <c:v>18.078654860379775</c:v>
                </c:pt>
                <c:pt idx="170">
                  <c:v>17.955161821934482</c:v>
                </c:pt>
                <c:pt idx="171">
                  <c:v>17.808570497827446</c:v>
                </c:pt>
                <c:pt idx="172">
                  <c:v>17.724257693531097</c:v>
                </c:pt>
                <c:pt idx="173">
                  <c:v>17.842005134476391</c:v>
                </c:pt>
                <c:pt idx="174">
                  <c:v>17.70167802801182</c:v>
                </c:pt>
                <c:pt idx="175">
                  <c:v>17.512834837371308</c:v>
                </c:pt>
                <c:pt idx="176">
                  <c:v>17.179963920527594</c:v>
                </c:pt>
                <c:pt idx="177">
                  <c:v>17.222399514351025</c:v>
                </c:pt>
                <c:pt idx="178">
                  <c:v>17.064505044190447</c:v>
                </c:pt>
                <c:pt idx="179">
                  <c:v>16.959078939589997</c:v>
                </c:pt>
                <c:pt idx="180">
                  <c:v>17.166233837072124</c:v>
                </c:pt>
                <c:pt idx="181">
                  <c:v>16.81151777402804</c:v>
                </c:pt>
                <c:pt idx="182">
                  <c:v>16.780703896157981</c:v>
                </c:pt>
                <c:pt idx="183">
                  <c:v>16.61715617968618</c:v>
                </c:pt>
                <c:pt idx="184">
                  <c:v>16.53227792059193</c:v>
                </c:pt>
                <c:pt idx="185">
                  <c:v>16.327317389541829</c:v>
                </c:pt>
                <c:pt idx="186">
                  <c:v>16.626269149223852</c:v>
                </c:pt>
                <c:pt idx="187">
                  <c:v>16.471754757230539</c:v>
                </c:pt>
                <c:pt idx="188">
                  <c:v>16.44530175199775</c:v>
                </c:pt>
                <c:pt idx="189">
                  <c:v>16.241640364742661</c:v>
                </c:pt>
                <c:pt idx="190">
                  <c:v>16.07211967817657</c:v>
                </c:pt>
                <c:pt idx="191">
                  <c:v>15.874502988867132</c:v>
                </c:pt>
                <c:pt idx="192">
                  <c:v>15.990524278390941</c:v>
                </c:pt>
                <c:pt idx="193">
                  <c:v>16.193390057162546</c:v>
                </c:pt>
                <c:pt idx="194">
                  <c:v>16.053265377463667</c:v>
                </c:pt>
                <c:pt idx="195">
                  <c:v>15.982544110944222</c:v>
                </c:pt>
                <c:pt idx="196">
                  <c:v>16.12900791667596</c:v>
                </c:pt>
                <c:pt idx="197">
                  <c:v>16.279483699594326</c:v>
                </c:pt>
                <c:pt idx="198">
                  <c:v>16.199563196052722</c:v>
                </c:pt>
                <c:pt idx="199">
                  <c:v>16.025184484474654</c:v>
                </c:pt>
                <c:pt idx="200">
                  <c:v>16.075994547681489</c:v>
                </c:pt>
                <c:pt idx="201">
                  <c:v>16.014182209832946</c:v>
                </c:pt>
                <c:pt idx="202">
                  <c:v>16.044788465813493</c:v>
                </c:pt>
                <c:pt idx="203">
                  <c:v>15.927048170910952</c:v>
                </c:pt>
                <c:pt idx="204">
                  <c:v>16.075744526003554</c:v>
                </c:pt>
                <c:pt idx="205">
                  <c:v>15.96732879750815</c:v>
                </c:pt>
                <c:pt idx="206">
                  <c:v>15.911237246396775</c:v>
                </c:pt>
                <c:pt idx="207">
                  <c:v>15.776567842690064</c:v>
                </c:pt>
                <c:pt idx="208">
                  <c:v>15.745229777080652</c:v>
                </c:pt>
                <c:pt idx="209">
                  <c:v>15.66515904072442</c:v>
                </c:pt>
                <c:pt idx="210">
                  <c:v>15.546345898380187</c:v>
                </c:pt>
                <c:pt idx="211">
                  <c:v>15.643124653789199</c:v>
                </c:pt>
                <c:pt idx="212">
                  <c:v>15.363248751655226</c:v>
                </c:pt>
                <c:pt idx="213">
                  <c:v>15.118557352436476</c:v>
                </c:pt>
                <c:pt idx="214">
                  <c:v>14.916487181430695</c:v>
                </c:pt>
                <c:pt idx="215">
                  <c:v>14.743578691457294</c:v>
                </c:pt>
                <c:pt idx="216">
                  <c:v>14.629052263417162</c:v>
                </c:pt>
                <c:pt idx="217">
                  <c:v>14.90392740693342</c:v>
                </c:pt>
                <c:pt idx="218">
                  <c:v>14.706115223904847</c:v>
                </c:pt>
                <c:pt idx="219">
                  <c:v>14.503112134415192</c:v>
                </c:pt>
                <c:pt idx="220">
                  <c:v>14.573958819961746</c:v>
                </c:pt>
                <c:pt idx="221">
                  <c:v>15.047602911539038</c:v>
                </c:pt>
                <c:pt idx="222">
                  <c:v>14.910821969305477</c:v>
                </c:pt>
                <c:pt idx="223">
                  <c:v>15.033396911765859</c:v>
                </c:pt>
                <c:pt idx="224">
                  <c:v>15.103783076083792</c:v>
                </c:pt>
                <c:pt idx="225">
                  <c:v>15.167875701388926</c:v>
                </c:pt>
                <c:pt idx="226">
                  <c:v>15.251319669341139</c:v>
                </c:pt>
                <c:pt idx="227">
                  <c:v>15.227433944918063</c:v>
                </c:pt>
                <c:pt idx="228">
                  <c:v>15.095875333717871</c:v>
                </c:pt>
                <c:pt idx="229">
                  <c:v>14.923149509883135</c:v>
                </c:pt>
                <c:pt idx="230">
                  <c:v>14.84767259527632</c:v>
                </c:pt>
                <c:pt idx="231">
                  <c:v>14.98640588170622</c:v>
                </c:pt>
                <c:pt idx="232">
                  <c:v>15.197096264892913</c:v>
                </c:pt>
                <c:pt idx="233">
                  <c:v>14.885968105692911</c:v>
                </c:pt>
                <c:pt idx="234">
                  <c:v>14.71362469778817</c:v>
                </c:pt>
                <c:pt idx="235">
                  <c:v>14.937336112860516</c:v>
                </c:pt>
                <c:pt idx="236">
                  <c:v>14.890354493663285</c:v>
                </c:pt>
                <c:pt idx="237">
                  <c:v>15.035885637040007</c:v>
                </c:pt>
                <c:pt idx="238">
                  <c:v>15.181198766405949</c:v>
                </c:pt>
                <c:pt idx="239">
                  <c:v>15.070828496202104</c:v>
                </c:pt>
                <c:pt idx="240">
                  <c:v>14.858151085412915</c:v>
                </c:pt>
                <c:pt idx="241">
                  <c:v>14.845592845519603</c:v>
                </c:pt>
                <c:pt idx="242">
                  <c:v>14.477242308438663</c:v>
                </c:pt>
                <c:pt idx="243">
                  <c:v>14.34502250596268</c:v>
                </c:pt>
                <c:pt idx="244">
                  <c:v>14.466917783443098</c:v>
                </c:pt>
                <c:pt idx="245">
                  <c:v>14.818189534955518</c:v>
                </c:pt>
                <c:pt idx="246">
                  <c:v>14.781671252396443</c:v>
                </c:pt>
                <c:pt idx="247">
                  <c:v>14.287815117261047</c:v>
                </c:pt>
                <c:pt idx="248">
                  <c:v>14.043559092415887</c:v>
                </c:pt>
                <c:pt idx="249">
                  <c:v>13.226381305440453</c:v>
                </c:pt>
                <c:pt idx="250">
                  <c:v>13.536601991965044</c:v>
                </c:pt>
                <c:pt idx="251">
                  <c:v>13.945438415062931</c:v>
                </c:pt>
                <c:pt idx="252">
                  <c:v>14.445300763135791</c:v>
                </c:pt>
                <c:pt idx="253">
                  <c:v>13.683659780744666</c:v>
                </c:pt>
                <c:pt idx="254">
                  <c:v>14.235517857305796</c:v>
                </c:pt>
                <c:pt idx="255">
                  <c:v>14.238764277928233</c:v>
                </c:pt>
                <c:pt idx="256">
                  <c:v>14.350745501813789</c:v>
                </c:pt>
                <c:pt idx="257">
                  <c:v>14.511919546228709</c:v>
                </c:pt>
                <c:pt idx="258">
                  <c:v>14.950173906027112</c:v>
                </c:pt>
                <c:pt idx="259">
                  <c:v>14.94375960239914</c:v>
                </c:pt>
                <c:pt idx="260">
                  <c:v>14.807903979834352</c:v>
                </c:pt>
                <c:pt idx="261">
                  <c:v>15.462924318762161</c:v>
                </c:pt>
                <c:pt idx="262">
                  <c:v>14.741303729882052</c:v>
                </c:pt>
                <c:pt idx="263">
                  <c:v>15.014816776692346</c:v>
                </c:pt>
                <c:pt idx="264">
                  <c:v>14.349134985051856</c:v>
                </c:pt>
                <c:pt idx="265">
                  <c:v>14.40811970691286</c:v>
                </c:pt>
                <c:pt idx="266">
                  <c:v>15.362007178731794</c:v>
                </c:pt>
                <c:pt idx="267">
                  <c:v>14.070814824704776</c:v>
                </c:pt>
                <c:pt idx="268">
                  <c:v>13.39403753470301</c:v>
                </c:pt>
                <c:pt idx="269">
                  <c:v>13.756433505359821</c:v>
                </c:pt>
                <c:pt idx="270">
                  <c:v>14.007876246041956</c:v>
                </c:pt>
                <c:pt idx="271">
                  <c:v>13.406782149988425</c:v>
                </c:pt>
                <c:pt idx="272">
                  <c:v>13.449550551083004</c:v>
                </c:pt>
                <c:pt idx="273">
                  <c:v>12.86491130111145</c:v>
                </c:pt>
                <c:pt idx="274">
                  <c:v>12.805603706454088</c:v>
                </c:pt>
                <c:pt idx="275">
                  <c:v>12.718653893454974</c:v>
                </c:pt>
                <c:pt idx="276">
                  <c:v>11.974028659791541</c:v>
                </c:pt>
                <c:pt idx="277">
                  <c:v>11.098569584608629</c:v>
                </c:pt>
                <c:pt idx="278">
                  <c:v>11.228555329727074</c:v>
                </c:pt>
                <c:pt idx="279">
                  <c:v>11.903708656810085</c:v>
                </c:pt>
                <c:pt idx="280">
                  <c:v>11.619327867869446</c:v>
                </c:pt>
                <c:pt idx="281">
                  <c:v>12.287833978851447</c:v>
                </c:pt>
                <c:pt idx="282">
                  <c:v>12.60031887230069</c:v>
                </c:pt>
                <c:pt idx="283">
                  <c:v>12.668067716107464</c:v>
                </c:pt>
                <c:pt idx="284">
                  <c:v>13.697537497121782</c:v>
                </c:pt>
                <c:pt idx="285">
                  <c:v>12.31262627852178</c:v>
                </c:pt>
                <c:pt idx="286">
                  <c:v>12.92069579507954</c:v>
                </c:pt>
                <c:pt idx="287">
                  <c:v>12.116163282728767</c:v>
                </c:pt>
                <c:pt idx="288">
                  <c:v>11.800523612087966</c:v>
                </c:pt>
                <c:pt idx="289">
                  <c:v>11.895299125559376</c:v>
                </c:pt>
                <c:pt idx="290">
                  <c:v>11.532741493017072</c:v>
                </c:pt>
                <c:pt idx="291">
                  <c:v>11.648755606599696</c:v>
                </c:pt>
                <c:pt idx="292">
                  <c:v>11.694829286971144</c:v>
                </c:pt>
                <c:pt idx="293">
                  <c:v>11.706861135102393</c:v>
                </c:pt>
                <c:pt idx="294">
                  <c:v>11.616242211988775</c:v>
                </c:pt>
                <c:pt idx="295">
                  <c:v>11.115711854969852</c:v>
                </c:pt>
                <c:pt idx="296">
                  <c:v>11.90422351562591</c:v>
                </c:pt>
                <c:pt idx="297">
                  <c:v>11.97718874357858</c:v>
                </c:pt>
                <c:pt idx="298">
                  <c:v>11.620873803167704</c:v>
                </c:pt>
                <c:pt idx="299">
                  <c:v>11.151596470881989</c:v>
                </c:pt>
                <c:pt idx="300">
                  <c:v>11.646477829433607</c:v>
                </c:pt>
                <c:pt idx="301">
                  <c:v>11.681094296916061</c:v>
                </c:pt>
                <c:pt idx="302">
                  <c:v>12.559656432853675</c:v>
                </c:pt>
                <c:pt idx="303">
                  <c:v>11.98540255307347</c:v>
                </c:pt>
                <c:pt idx="304">
                  <c:v>11.90300386784898</c:v>
                </c:pt>
                <c:pt idx="305">
                  <c:v>11.272708459663964</c:v>
                </c:pt>
                <c:pt idx="306">
                  <c:v>11.512102854873657</c:v>
                </c:pt>
                <c:pt idx="307">
                  <c:v>11.248609715269382</c:v>
                </c:pt>
                <c:pt idx="308">
                  <c:v>10.863655698437617</c:v>
                </c:pt>
                <c:pt idx="309">
                  <c:v>11.15604874940701</c:v>
                </c:pt>
                <c:pt idx="310">
                  <c:v>11.87179367617259</c:v>
                </c:pt>
                <c:pt idx="311">
                  <c:v>11.161393535048406</c:v>
                </c:pt>
                <c:pt idx="312">
                  <c:v>11.582791672539246</c:v>
                </c:pt>
                <c:pt idx="313">
                  <c:v>11.550467003013035</c:v>
                </c:pt>
                <c:pt idx="314">
                  <c:v>11.923091249386006</c:v>
                </c:pt>
                <c:pt idx="315">
                  <c:v>11.914949961496728</c:v>
                </c:pt>
                <c:pt idx="316">
                  <c:v>12.286902018267989</c:v>
                </c:pt>
                <c:pt idx="317">
                  <c:v>11.580979343097729</c:v>
                </c:pt>
                <c:pt idx="318">
                  <c:v>11.452309574586216</c:v>
                </c:pt>
                <c:pt idx="319">
                  <c:v>11.430535429557624</c:v>
                </c:pt>
                <c:pt idx="320">
                  <c:v>11.825222810423535</c:v>
                </c:pt>
                <c:pt idx="321">
                  <c:v>11.438414154901473</c:v>
                </c:pt>
                <c:pt idx="322">
                  <c:v>11.588096336101472</c:v>
                </c:pt>
                <c:pt idx="323">
                  <c:v>11.505238045151968</c:v>
                </c:pt>
                <c:pt idx="324">
                  <c:v>11.669354960948922</c:v>
                </c:pt>
                <c:pt idx="325">
                  <c:v>11.134384478176196</c:v>
                </c:pt>
                <c:pt idx="326">
                  <c:v>10.591897092165624</c:v>
                </c:pt>
                <c:pt idx="327">
                  <c:v>10.337345540944785</c:v>
                </c:pt>
                <c:pt idx="328">
                  <c:v>10.307897089680081</c:v>
                </c:pt>
                <c:pt idx="329">
                  <c:v>9.8352612870686791</c:v>
                </c:pt>
                <c:pt idx="330">
                  <c:v>10.213575521716875</c:v>
                </c:pt>
                <c:pt idx="331">
                  <c:v>9.608226149622741</c:v>
                </c:pt>
                <c:pt idx="332">
                  <c:v>9.3715704679867926</c:v>
                </c:pt>
                <c:pt idx="333">
                  <c:v>9.0198725858892299</c:v>
                </c:pt>
                <c:pt idx="334">
                  <c:v>9.0588054996564971</c:v>
                </c:pt>
                <c:pt idx="335">
                  <c:v>9.2331329089455796</c:v>
                </c:pt>
                <c:pt idx="336">
                  <c:v>9.2095407693844926</c:v>
                </c:pt>
                <c:pt idx="337">
                  <c:v>9.8433409948569448</c:v>
                </c:pt>
                <c:pt idx="338">
                  <c:v>9.8841680984952411</c:v>
                </c:pt>
                <c:pt idx="339">
                  <c:v>10.07301411161429</c:v>
                </c:pt>
                <c:pt idx="340">
                  <c:v>10.135690340823169</c:v>
                </c:pt>
                <c:pt idx="341">
                  <c:v>9.9591289847883804</c:v>
                </c:pt>
                <c:pt idx="342">
                  <c:v>10.279278649471072</c:v>
                </c:pt>
                <c:pt idx="343">
                  <c:v>9.9537623217614861</c:v>
                </c:pt>
                <c:pt idx="344">
                  <c:v>9.7820205291200626</c:v>
                </c:pt>
                <c:pt idx="345">
                  <c:v>9.4774056624839833</c:v>
                </c:pt>
                <c:pt idx="346">
                  <c:v>9.8541849563128725</c:v>
                </c:pt>
                <c:pt idx="347">
                  <c:v>9.3667838660155809</c:v>
                </c:pt>
                <c:pt idx="348">
                  <c:v>10.004246455125378</c:v>
                </c:pt>
                <c:pt idx="349">
                  <c:v>9.3529105833918837</c:v>
                </c:pt>
                <c:pt idx="350">
                  <c:v>9.3297328095157557</c:v>
                </c:pt>
                <c:pt idx="351">
                  <c:v>8.8313563196353222</c:v>
                </c:pt>
                <c:pt idx="352">
                  <c:v>8.2986973381044553</c:v>
                </c:pt>
                <c:pt idx="353">
                  <c:v>7.6540548927523888</c:v>
                </c:pt>
                <c:pt idx="354">
                  <c:v>7.0821225563323891</c:v>
                </c:pt>
                <c:pt idx="355">
                  <c:v>6.5843076169397188</c:v>
                </c:pt>
                <c:pt idx="356">
                  <c:v>6.5773900124009126</c:v>
                </c:pt>
                <c:pt idx="357">
                  <c:v>6.1257625715986732</c:v>
                </c:pt>
                <c:pt idx="358">
                  <c:v>6.1729113858476214</c:v>
                </c:pt>
                <c:pt idx="359">
                  <c:v>6.0135126759194231</c:v>
                </c:pt>
                <c:pt idx="360">
                  <c:v>5.7403979276923192</c:v>
                </c:pt>
                <c:pt idx="361">
                  <c:v>5.6002589425115188</c:v>
                </c:pt>
                <c:pt idx="362">
                  <c:v>5.6501180092244683</c:v>
                </c:pt>
                <c:pt idx="363">
                  <c:v>5.5991223680942124</c:v>
                </c:pt>
                <c:pt idx="364">
                  <c:v>5.8179017516691021</c:v>
                </c:pt>
                <c:pt idx="365">
                  <c:v>5.7448203556588568</c:v>
                </c:pt>
                <c:pt idx="366">
                  <c:v>5.8607736314840659</c:v>
                </c:pt>
                <c:pt idx="367">
                  <c:v>5.9041755559840663</c:v>
                </c:pt>
                <c:pt idx="368">
                  <c:v>6.1935294001210845</c:v>
                </c:pt>
                <c:pt idx="369">
                  <c:v>6.2076633136779957</c:v>
                </c:pt>
                <c:pt idx="370">
                  <c:v>6.126878309145404</c:v>
                </c:pt>
                <c:pt idx="371">
                  <c:v>5.9770814409358586</c:v>
                </c:pt>
                <c:pt idx="372">
                  <c:v>6.2293768227613633</c:v>
                </c:pt>
                <c:pt idx="373">
                  <c:v>6.1682196136516705</c:v>
                </c:pt>
                <c:pt idx="374">
                  <c:v>6.4038605400104736</c:v>
                </c:pt>
                <c:pt idx="375">
                  <c:v>6.1546504930004735</c:v>
                </c:pt>
                <c:pt idx="376">
                  <c:v>5.9492861624039639</c:v>
                </c:pt>
                <c:pt idx="377">
                  <c:v>6.0343981671013092</c:v>
                </c:pt>
                <c:pt idx="378">
                  <c:v>5.7840012502638105</c:v>
                </c:pt>
                <c:pt idx="379">
                  <c:v>5.6864583822967827</c:v>
                </c:pt>
                <c:pt idx="380">
                  <c:v>5.5303782950463747</c:v>
                </c:pt>
                <c:pt idx="381">
                  <c:v>5.6718661483218469</c:v>
                </c:pt>
                <c:pt idx="382">
                  <c:v>5.83460017568909</c:v>
                </c:pt>
                <c:pt idx="383">
                  <c:v>5.4145723440957578</c:v>
                </c:pt>
                <c:pt idx="384">
                  <c:v>5.0028559320823751</c:v>
                </c:pt>
                <c:pt idx="385">
                  <c:v>4.8864554678367655</c:v>
                </c:pt>
                <c:pt idx="386">
                  <c:v>5.0452812726887357</c:v>
                </c:pt>
                <c:pt idx="387">
                  <c:v>4.7774004500292078</c:v>
                </c:pt>
                <c:pt idx="388">
                  <c:v>4.5436143671318234</c:v>
                </c:pt>
                <c:pt idx="389">
                  <c:v>4.4670297720511778</c:v>
                </c:pt>
                <c:pt idx="390">
                  <c:v>4.2649869136363847</c:v>
                </c:pt>
                <c:pt idx="391">
                  <c:v>4.283625496716426</c:v>
                </c:pt>
                <c:pt idx="392">
                  <c:v>4.2929995499319809</c:v>
                </c:pt>
                <c:pt idx="393">
                  <c:v>4.275515669105368</c:v>
                </c:pt>
                <c:pt idx="394">
                  <c:v>4.3379749996137233</c:v>
                </c:pt>
                <c:pt idx="395">
                  <c:v>4.3054775654565187</c:v>
                </c:pt>
                <c:pt idx="396">
                  <c:v>4.3099425113716032</c:v>
                </c:pt>
                <c:pt idx="397">
                  <c:v>4.3476764588346466</c:v>
                </c:pt>
                <c:pt idx="398">
                  <c:v>4.2791088052259516</c:v>
                </c:pt>
                <c:pt idx="399">
                  <c:v>4.3651875468088575</c:v>
                </c:pt>
                <c:pt idx="400">
                  <c:v>4.0900698416040164</c:v>
                </c:pt>
                <c:pt idx="401">
                  <c:v>4.1777188321353886</c:v>
                </c:pt>
                <c:pt idx="402">
                  <c:v>4.1012071435570103</c:v>
                </c:pt>
                <c:pt idx="403">
                  <c:v>4.2136464406318312</c:v>
                </c:pt>
                <c:pt idx="404">
                  <c:v>4.258617563022181</c:v>
                </c:pt>
                <c:pt idx="405">
                  <c:v>4.3445788771214886</c:v>
                </c:pt>
                <c:pt idx="406">
                  <c:v>4.2277482193828986</c:v>
                </c:pt>
                <c:pt idx="407">
                  <c:v>4.3518792847594643</c:v>
                </c:pt>
                <c:pt idx="408">
                  <c:v>4.2425280684594648</c:v>
                </c:pt>
                <c:pt idx="409">
                  <c:v>4.2293968097235668</c:v>
                </c:pt>
                <c:pt idx="410">
                  <c:v>4.1771584212601143</c:v>
                </c:pt>
                <c:pt idx="411">
                  <c:v>4.1627246412001719</c:v>
                </c:pt>
                <c:pt idx="412">
                  <c:v>4.1270141205491093</c:v>
                </c:pt>
                <c:pt idx="413">
                  <c:v>4.1532939585626227</c:v>
                </c:pt>
                <c:pt idx="414">
                  <c:v>4.1674444067162817</c:v>
                </c:pt>
                <c:pt idx="415">
                  <c:v>4.0642949025693067</c:v>
                </c:pt>
                <c:pt idx="416">
                  <c:v>4.1391405604422795</c:v>
                </c:pt>
                <c:pt idx="417">
                  <c:v>4.1516697013326915</c:v>
                </c:pt>
                <c:pt idx="418">
                  <c:v>4.1303914679420135</c:v>
                </c:pt>
                <c:pt idx="419">
                  <c:v>4.0655713686007546</c:v>
                </c:pt>
                <c:pt idx="420">
                  <c:v>4.2105156589414952</c:v>
                </c:pt>
                <c:pt idx="421">
                  <c:v>4.1262761180361061</c:v>
                </c:pt>
                <c:pt idx="422">
                  <c:v>4.0621368236396256</c:v>
                </c:pt>
                <c:pt idx="423">
                  <c:v>4.2047854787382724</c:v>
                </c:pt>
                <c:pt idx="424">
                  <c:v>4.0586964618444297</c:v>
                </c:pt>
                <c:pt idx="425">
                  <c:v>4.0256408934944297</c:v>
                </c:pt>
                <c:pt idx="426">
                  <c:v>3.9883044106631678</c:v>
                </c:pt>
                <c:pt idx="427">
                  <c:v>4.0093019535323977</c:v>
                </c:pt>
                <c:pt idx="428">
                  <c:v>4.5178641502581875</c:v>
                </c:pt>
                <c:pt idx="429">
                  <c:v>4.0659901385957893</c:v>
                </c:pt>
                <c:pt idx="430">
                  <c:v>3.8294606238670839</c:v>
                </c:pt>
                <c:pt idx="431">
                  <c:v>3.510805524950193</c:v>
                </c:pt>
                <c:pt idx="432">
                  <c:v>3.5546486678344946</c:v>
                </c:pt>
                <c:pt idx="433">
                  <c:v>3.232233248504262</c:v>
                </c:pt>
                <c:pt idx="434">
                  <c:v>3.1313218705635721</c:v>
                </c:pt>
                <c:pt idx="435">
                  <c:v>3.1313218705635713</c:v>
                </c:pt>
                <c:pt idx="436">
                  <c:v>3.1295048495917266</c:v>
                </c:pt>
                <c:pt idx="437">
                  <c:v>3.03811261475298</c:v>
                </c:pt>
                <c:pt idx="438">
                  <c:v>2.9999498047879141</c:v>
                </c:pt>
                <c:pt idx="439">
                  <c:v>3.0305300482096529</c:v>
                </c:pt>
                <c:pt idx="440">
                  <c:v>3.0640868907780736</c:v>
                </c:pt>
                <c:pt idx="441">
                  <c:v>3.0038874745960942</c:v>
                </c:pt>
                <c:pt idx="442">
                  <c:v>3.0842831916409614</c:v>
                </c:pt>
                <c:pt idx="443">
                  <c:v>3.1950471367299058</c:v>
                </c:pt>
                <c:pt idx="444">
                  <c:v>3.1429709342299059</c:v>
                </c:pt>
                <c:pt idx="445">
                  <c:v>3.1132765153915218</c:v>
                </c:pt>
                <c:pt idx="446">
                  <c:v>3.0383054961047615</c:v>
                </c:pt>
                <c:pt idx="447">
                  <c:v>3.2550321846845027</c:v>
                </c:pt>
                <c:pt idx="448">
                  <c:v>3.1154753927637815</c:v>
                </c:pt>
                <c:pt idx="449">
                  <c:v>3.0529140783514741</c:v>
                </c:pt>
                <c:pt idx="450">
                  <c:v>3.0155098638086164</c:v>
                </c:pt>
                <c:pt idx="451">
                  <c:v>2.9964530228832089</c:v>
                </c:pt>
                <c:pt idx="452">
                  <c:v>3.0921177460423421</c:v>
                </c:pt>
                <c:pt idx="453">
                  <c:v>3.0197429274335024</c:v>
                </c:pt>
                <c:pt idx="454">
                  <c:v>3.0937648506587654</c:v>
                </c:pt>
                <c:pt idx="455">
                  <c:v>3.0122215396056404</c:v>
                </c:pt>
                <c:pt idx="456">
                  <c:v>3.0885469982868905</c:v>
                </c:pt>
                <c:pt idx="457">
                  <c:v>3.2210367203306536</c:v>
                </c:pt>
                <c:pt idx="458">
                  <c:v>3.2481286573719763</c:v>
                </c:pt>
                <c:pt idx="459">
                  <c:v>3.2951645282446078</c:v>
                </c:pt>
                <c:pt idx="460">
                  <c:v>3.3264633557150747</c:v>
                </c:pt>
                <c:pt idx="461">
                  <c:v>3.3129828634093186</c:v>
                </c:pt>
                <c:pt idx="462">
                  <c:v>3.3225072604421491</c:v>
                </c:pt>
                <c:pt idx="463">
                  <c:v>3.353679246842149</c:v>
                </c:pt>
                <c:pt idx="464">
                  <c:v>3.276767355096815</c:v>
                </c:pt>
                <c:pt idx="465">
                  <c:v>3.3988271244613553</c:v>
                </c:pt>
                <c:pt idx="466">
                  <c:v>3.3791232194717282</c:v>
                </c:pt>
                <c:pt idx="467">
                  <c:v>3.4054539062666436</c:v>
                </c:pt>
                <c:pt idx="468">
                  <c:v>3.3760029966674336</c:v>
                </c:pt>
                <c:pt idx="469">
                  <c:v>3.3999340908327236</c:v>
                </c:pt>
                <c:pt idx="470">
                  <c:v>3.382939788532723</c:v>
                </c:pt>
                <c:pt idx="471">
                  <c:v>3.4092684730184368</c:v>
                </c:pt>
                <c:pt idx="472">
                  <c:v>3.4238255236643704</c:v>
                </c:pt>
                <c:pt idx="473">
                  <c:v>3.4181018963431349</c:v>
                </c:pt>
                <c:pt idx="474">
                  <c:v>3.3838474171058808</c:v>
                </c:pt>
                <c:pt idx="475">
                  <c:v>3.483328030137991</c:v>
                </c:pt>
                <c:pt idx="476">
                  <c:v>3.3670073027581258</c:v>
                </c:pt>
                <c:pt idx="477">
                  <c:v>3.2750553425369722</c:v>
                </c:pt>
                <c:pt idx="478">
                  <c:v>3.202497571652001</c:v>
                </c:pt>
                <c:pt idx="479">
                  <c:v>3.280371627055847</c:v>
                </c:pt>
                <c:pt idx="480">
                  <c:v>3.2669959390930758</c:v>
                </c:pt>
                <c:pt idx="481">
                  <c:v>3.2306978542736848</c:v>
                </c:pt>
                <c:pt idx="482">
                  <c:v>3.2533042882583003</c:v>
                </c:pt>
                <c:pt idx="483">
                  <c:v>3.2248679907785323</c:v>
                </c:pt>
                <c:pt idx="484">
                  <c:v>3.2726254941207449</c:v>
                </c:pt>
                <c:pt idx="485">
                  <c:v>3.2540895066691324</c:v>
                </c:pt>
                <c:pt idx="486">
                  <c:v>3.2109523607064943</c:v>
                </c:pt>
                <c:pt idx="487">
                  <c:v>3.3233252951725185</c:v>
                </c:pt>
                <c:pt idx="488">
                  <c:v>3.3658294445917192</c:v>
                </c:pt>
                <c:pt idx="489">
                  <c:v>3.2927471848292851</c:v>
                </c:pt>
                <c:pt idx="490">
                  <c:v>3.2314140969570628</c:v>
                </c:pt>
                <c:pt idx="491">
                  <c:v>3.0866991335676479</c:v>
                </c:pt>
                <c:pt idx="492">
                  <c:v>3.2393063065548278</c:v>
                </c:pt>
                <c:pt idx="493">
                  <c:v>3.1847396319160843</c:v>
                </c:pt>
                <c:pt idx="494">
                  <c:v>3.3548083130398982</c:v>
                </c:pt>
                <c:pt idx="495">
                  <c:v>3.4913182675056684</c:v>
                </c:pt>
                <c:pt idx="496">
                  <c:v>3.6369049940567386</c:v>
                </c:pt>
                <c:pt idx="497">
                  <c:v>3.8373149895257868</c:v>
                </c:pt>
                <c:pt idx="498">
                  <c:v>3.6945869135743585</c:v>
                </c:pt>
                <c:pt idx="499">
                  <c:v>3.7670035608343588</c:v>
                </c:pt>
                <c:pt idx="500">
                  <c:v>4.1665327321948009</c:v>
                </c:pt>
                <c:pt idx="501">
                  <c:v>3.8879883228706675</c:v>
                </c:pt>
                <c:pt idx="502">
                  <c:v>3.8693986679074208</c:v>
                </c:pt>
                <c:pt idx="503">
                  <c:v>3.9754733542207812</c:v>
                </c:pt>
                <c:pt idx="504">
                  <c:v>3.7038476775226186</c:v>
                </c:pt>
                <c:pt idx="505">
                  <c:v>3.524744675899095</c:v>
                </c:pt>
                <c:pt idx="506">
                  <c:v>3.4638833768855553</c:v>
                </c:pt>
                <c:pt idx="507">
                  <c:v>3.1827076130544447</c:v>
                </c:pt>
                <c:pt idx="508">
                  <c:v>3.121185844972052</c:v>
                </c:pt>
                <c:pt idx="509">
                  <c:v>2.9918283748163637</c:v>
                </c:pt>
                <c:pt idx="510">
                  <c:v>3.1494947386075407</c:v>
                </c:pt>
                <c:pt idx="511">
                  <c:v>2.8874247080769644</c:v>
                </c:pt>
                <c:pt idx="512">
                  <c:v>3.0908160422522384</c:v>
                </c:pt>
                <c:pt idx="513">
                  <c:v>3.1523157860378777</c:v>
                </c:pt>
                <c:pt idx="514">
                  <c:v>3.2304843443341453</c:v>
                </c:pt>
                <c:pt idx="515">
                  <c:v>3.3282402565538343</c:v>
                </c:pt>
                <c:pt idx="516">
                  <c:v>3.4504789587688971</c:v>
                </c:pt>
                <c:pt idx="517">
                  <c:v>3.3264171645563518</c:v>
                </c:pt>
                <c:pt idx="518">
                  <c:v>3.3290499435090792</c:v>
                </c:pt>
                <c:pt idx="519">
                  <c:v>3.3849034938949281</c:v>
                </c:pt>
                <c:pt idx="520">
                  <c:v>3.275867665816969</c:v>
                </c:pt>
                <c:pt idx="521">
                  <c:v>3.3336045763358366</c:v>
                </c:pt>
                <c:pt idx="522">
                  <c:v>3.341157835748588</c:v>
                </c:pt>
                <c:pt idx="523">
                  <c:v>3.3567029182353436</c:v>
                </c:pt>
                <c:pt idx="524">
                  <c:v>2.9968922740494564</c:v>
                </c:pt>
                <c:pt idx="525">
                  <c:v>3.7435199723515149</c:v>
                </c:pt>
                <c:pt idx="526">
                  <c:v>3.5728211111661961</c:v>
                </c:pt>
                <c:pt idx="527">
                  <c:v>3.7377977528341892</c:v>
                </c:pt>
                <c:pt idx="528">
                  <c:v>3.8625795914440912</c:v>
                </c:pt>
                <c:pt idx="529">
                  <c:v>4.044555827774861</c:v>
                </c:pt>
                <c:pt idx="530">
                  <c:v>3.8766243317247122</c:v>
                </c:pt>
                <c:pt idx="531">
                  <c:v>3.8553972044807279</c:v>
                </c:pt>
                <c:pt idx="532">
                  <c:v>3.7691045614390779</c:v>
                </c:pt>
                <c:pt idx="533">
                  <c:v>3.6820805227287328</c:v>
                </c:pt>
                <c:pt idx="534">
                  <c:v>3.4639818707524492</c:v>
                </c:pt>
                <c:pt idx="535">
                  <c:v>3.6810961300219693</c:v>
                </c:pt>
                <c:pt idx="536">
                  <c:v>3.4677309797362539</c:v>
                </c:pt>
                <c:pt idx="537">
                  <c:v>3.3442957899347037</c:v>
                </c:pt>
                <c:pt idx="538">
                  <c:v>3.2553931308757562</c:v>
                </c:pt>
                <c:pt idx="539">
                  <c:v>3.2818799683118964</c:v>
                </c:pt>
                <c:pt idx="540">
                  <c:v>3.2801343301659664</c:v>
                </c:pt>
                <c:pt idx="541">
                  <c:v>3.2867307994717061</c:v>
                </c:pt>
                <c:pt idx="542">
                  <c:v>3.2543449886371993</c:v>
                </c:pt>
                <c:pt idx="543">
                  <c:v>3.2539762606952816</c:v>
                </c:pt>
                <c:pt idx="544">
                  <c:v>3.2759091705220134</c:v>
                </c:pt>
                <c:pt idx="545">
                  <c:v>3.1989691844391728</c:v>
                </c:pt>
                <c:pt idx="546">
                  <c:v>3.1180599501103594</c:v>
                </c:pt>
                <c:pt idx="547">
                  <c:v>3.064442750215858</c:v>
                </c:pt>
                <c:pt idx="548">
                  <c:v>3.1841739766589954</c:v>
                </c:pt>
                <c:pt idx="549">
                  <c:v>3.1098274834535777</c:v>
                </c:pt>
                <c:pt idx="550">
                  <c:v>3.0647006702633339</c:v>
                </c:pt>
                <c:pt idx="551">
                  <c:v>3.1415048401821823</c:v>
                </c:pt>
                <c:pt idx="552">
                  <c:v>3.0787298530559144</c:v>
                </c:pt>
                <c:pt idx="553">
                  <c:v>3.1589914437617965</c:v>
                </c:pt>
                <c:pt idx="554">
                  <c:v>3.2270531275023764</c:v>
                </c:pt>
                <c:pt idx="555">
                  <c:v>3.152399133425555</c:v>
                </c:pt>
                <c:pt idx="556">
                  <c:v>3.0941598582263961</c:v>
                </c:pt>
                <c:pt idx="557">
                  <c:v>3.1858007688885008</c:v>
                </c:pt>
                <c:pt idx="558">
                  <c:v>3.2396838408284743</c:v>
                </c:pt>
                <c:pt idx="559">
                  <c:v>3.1923877866375339</c:v>
                </c:pt>
                <c:pt idx="560">
                  <c:v>3.1048414223351908</c:v>
                </c:pt>
                <c:pt idx="561">
                  <c:v>2.8975731916076719</c:v>
                </c:pt>
                <c:pt idx="562">
                  <c:v>3.0670011339474601</c:v>
                </c:pt>
                <c:pt idx="563">
                  <c:v>2.7830112142602683</c:v>
                </c:pt>
                <c:pt idx="564">
                  <c:v>2.8740179830539736</c:v>
                </c:pt>
                <c:pt idx="565">
                  <c:v>2.9021045088585344</c:v>
                </c:pt>
                <c:pt idx="566">
                  <c:v>2.775272433306863</c:v>
                </c:pt>
                <c:pt idx="567">
                  <c:v>2.7795563996432269</c:v>
                </c:pt>
                <c:pt idx="568">
                  <c:v>2.8022454215777723</c:v>
                </c:pt>
                <c:pt idx="569">
                  <c:v>2.6950311409887577</c:v>
                </c:pt>
                <c:pt idx="570">
                  <c:v>2.7086727055601858</c:v>
                </c:pt>
                <c:pt idx="571">
                  <c:v>2.6014291967577852</c:v>
                </c:pt>
                <c:pt idx="572">
                  <c:v>2.3987068996220473</c:v>
                </c:pt>
                <c:pt idx="573">
                  <c:v>2.3861440553158522</c:v>
                </c:pt>
                <c:pt idx="574">
                  <c:v>2.4414731945554751</c:v>
                </c:pt>
                <c:pt idx="575">
                  <c:v>2.4582898310410841</c:v>
                </c:pt>
                <c:pt idx="576">
                  <c:v>2.3981497527061326</c:v>
                </c:pt>
                <c:pt idx="577">
                  <c:v>2.4701010656134805</c:v>
                </c:pt>
                <c:pt idx="578">
                  <c:v>2.4023589074785652</c:v>
                </c:pt>
                <c:pt idx="579">
                  <c:v>2.3698636483516422</c:v>
                </c:pt>
                <c:pt idx="580">
                  <c:v>2.412055996082807</c:v>
                </c:pt>
                <c:pt idx="581">
                  <c:v>2.283209886562942</c:v>
                </c:pt>
                <c:pt idx="582">
                  <c:v>2.1610103518644803</c:v>
                </c:pt>
                <c:pt idx="583">
                  <c:v>2.255448074606341</c:v>
                </c:pt>
                <c:pt idx="584">
                  <c:v>2.42733758100744</c:v>
                </c:pt>
                <c:pt idx="585">
                  <c:v>2.2312717829710769</c:v>
                </c:pt>
                <c:pt idx="586">
                  <c:v>2.2093509225441537</c:v>
                </c:pt>
                <c:pt idx="587">
                  <c:v>2.1858023702737674</c:v>
                </c:pt>
                <c:pt idx="588">
                  <c:v>2.1971808362574037</c:v>
                </c:pt>
                <c:pt idx="589">
                  <c:v>2.1936767163372255</c:v>
                </c:pt>
                <c:pt idx="590">
                  <c:v>2.1789118660285305</c:v>
                </c:pt>
                <c:pt idx="591">
                  <c:v>1.945819017163946</c:v>
                </c:pt>
                <c:pt idx="592">
                  <c:v>1.8436111317669062</c:v>
                </c:pt>
                <c:pt idx="593">
                  <c:v>1.8866926445393515</c:v>
                </c:pt>
                <c:pt idx="594">
                  <c:v>1.8421804004096218</c:v>
                </c:pt>
                <c:pt idx="595">
                  <c:v>1.8132675177082294</c:v>
                </c:pt>
                <c:pt idx="596">
                  <c:v>1.9505539579368008</c:v>
                </c:pt>
                <c:pt idx="597">
                  <c:v>1.9045514552614931</c:v>
                </c:pt>
                <c:pt idx="598">
                  <c:v>1.8288290273614936</c:v>
                </c:pt>
                <c:pt idx="599">
                  <c:v>1.8135769312454348</c:v>
                </c:pt>
                <c:pt idx="600">
                  <c:v>1.7941137951001902</c:v>
                </c:pt>
                <c:pt idx="601">
                  <c:v>1.7636061335985771</c:v>
                </c:pt>
                <c:pt idx="602">
                  <c:v>1.8402702235805586</c:v>
                </c:pt>
                <c:pt idx="603">
                  <c:v>1.8264553122298337</c:v>
                </c:pt>
                <c:pt idx="604">
                  <c:v>1.7852578218016852</c:v>
                </c:pt>
                <c:pt idx="605">
                  <c:v>1.752800807614693</c:v>
                </c:pt>
                <c:pt idx="606">
                  <c:v>1.6024269983492594</c:v>
                </c:pt>
                <c:pt idx="607">
                  <c:v>1.7268393152005883</c:v>
                </c:pt>
                <c:pt idx="608">
                  <c:v>1.5513806124252638</c:v>
                </c:pt>
                <c:pt idx="609">
                  <c:v>1.5814771666719003</c:v>
                </c:pt>
                <c:pt idx="610">
                  <c:v>1.5140981660287107</c:v>
                </c:pt>
                <c:pt idx="611">
                  <c:v>1.5273846394354147</c:v>
                </c:pt>
                <c:pt idx="612">
                  <c:v>1.4718479631167896</c:v>
                </c:pt>
                <c:pt idx="613">
                  <c:v>1.3631037529120271</c:v>
                </c:pt>
                <c:pt idx="614">
                  <c:v>1.4723250330098439</c:v>
                </c:pt>
                <c:pt idx="615">
                  <c:v>1.5547242456491881</c:v>
                </c:pt>
                <c:pt idx="616">
                  <c:v>1.4316829434922635</c:v>
                </c:pt>
                <c:pt idx="617">
                  <c:v>1.4874026100168536</c:v>
                </c:pt>
                <c:pt idx="618">
                  <c:v>1.4765231525452625</c:v>
                </c:pt>
                <c:pt idx="619">
                  <c:v>1.4261413904389044</c:v>
                </c:pt>
                <c:pt idx="620">
                  <c:v>1.4140789415127635</c:v>
                </c:pt>
                <c:pt idx="621">
                  <c:v>1.4496693737468547</c:v>
                </c:pt>
                <c:pt idx="622">
                  <c:v>1.4529116681849499</c:v>
                </c:pt>
                <c:pt idx="623">
                  <c:v>1.5211362913130129</c:v>
                </c:pt>
                <c:pt idx="624">
                  <c:v>1.4635360457604705</c:v>
                </c:pt>
                <c:pt idx="625">
                  <c:v>1.462160549249359</c:v>
                </c:pt>
                <c:pt idx="626">
                  <c:v>1.4098470983809379</c:v>
                </c:pt>
                <c:pt idx="627">
                  <c:v>1.3952514197278563</c:v>
                </c:pt>
                <c:pt idx="628">
                  <c:v>1.3102796685758737</c:v>
                </c:pt>
                <c:pt idx="629">
                  <c:v>1.4168434030419328</c:v>
                </c:pt>
                <c:pt idx="630">
                  <c:v>1.3561243727617263</c:v>
                </c:pt>
                <c:pt idx="631">
                  <c:v>1.3163901489231298</c:v>
                </c:pt>
                <c:pt idx="632">
                  <c:v>1.3831303681351781</c:v>
                </c:pt>
                <c:pt idx="633">
                  <c:v>1.4134083117221345</c:v>
                </c:pt>
                <c:pt idx="634">
                  <c:v>1.3579881747894333</c:v>
                </c:pt>
                <c:pt idx="635">
                  <c:v>1.3957421871332327</c:v>
                </c:pt>
                <c:pt idx="636">
                  <c:v>1.3492627172063507</c:v>
                </c:pt>
                <c:pt idx="637">
                  <c:v>1.3530294993790126</c:v>
                </c:pt>
                <c:pt idx="638">
                  <c:v>1.4301532258281677</c:v>
                </c:pt>
                <c:pt idx="639">
                  <c:v>1.3386401165710244</c:v>
                </c:pt>
                <c:pt idx="640">
                  <c:v>1.2791755974490924</c:v>
                </c:pt>
                <c:pt idx="641">
                  <c:v>1.2839795479279057</c:v>
                </c:pt>
                <c:pt idx="642">
                  <c:v>1.177979771493388</c:v>
                </c:pt>
                <c:pt idx="643">
                  <c:v>1.1901129872027476</c:v>
                </c:pt>
                <c:pt idx="644">
                  <c:v>1.1537349372082895</c:v>
                </c:pt>
                <c:pt idx="645">
                  <c:v>1.1424718472829372</c:v>
                </c:pt>
                <c:pt idx="646">
                  <c:v>1.1154847568074651</c:v>
                </c:pt>
                <c:pt idx="647">
                  <c:v>1.1392355445362532</c:v>
                </c:pt>
                <c:pt idx="648">
                  <c:v>1.2240720442857678</c:v>
                </c:pt>
                <c:pt idx="649">
                  <c:v>1.2448762326413776</c:v>
                </c:pt>
                <c:pt idx="650">
                  <c:v>1.2248498320389678</c:v>
                </c:pt>
                <c:pt idx="651">
                  <c:v>1.2468179321863366</c:v>
                </c:pt>
                <c:pt idx="652">
                  <c:v>1.177562792351222</c:v>
                </c:pt>
                <c:pt idx="653">
                  <c:v>1.2176269951178889</c:v>
                </c:pt>
                <c:pt idx="654">
                  <c:v>1.2223349388776203</c:v>
                </c:pt>
                <c:pt idx="655">
                  <c:v>1.2558448765442867</c:v>
                </c:pt>
                <c:pt idx="656">
                  <c:v>1.2843055139850561</c:v>
                </c:pt>
                <c:pt idx="657">
                  <c:v>1.2797672607076975</c:v>
                </c:pt>
                <c:pt idx="658">
                  <c:v>1.3458114872794145</c:v>
                </c:pt>
                <c:pt idx="659">
                  <c:v>1.3568667835294146</c:v>
                </c:pt>
                <c:pt idx="660">
                  <c:v>1.3016846705302993</c:v>
                </c:pt>
                <c:pt idx="661">
                  <c:v>1.3203468240771745</c:v>
                </c:pt>
                <c:pt idx="662">
                  <c:v>1.2266818701975071</c:v>
                </c:pt>
                <c:pt idx="663">
                  <c:v>1.2536858522323386</c:v>
                </c:pt>
                <c:pt idx="664">
                  <c:v>1.2227278744653967</c:v>
                </c:pt>
                <c:pt idx="665">
                  <c:v>1.2210857970387301</c:v>
                </c:pt>
                <c:pt idx="666">
                  <c:v>1.2500318070815872</c:v>
                </c:pt>
                <c:pt idx="667">
                  <c:v>1.2253035979259226</c:v>
                </c:pt>
                <c:pt idx="668">
                  <c:v>1.22035413529865</c:v>
                </c:pt>
                <c:pt idx="669">
                  <c:v>1.2036522976407553</c:v>
                </c:pt>
                <c:pt idx="670">
                  <c:v>1.2267135523875639</c:v>
                </c:pt>
                <c:pt idx="671">
                  <c:v>1.2115241463921094</c:v>
                </c:pt>
                <c:pt idx="672">
                  <c:v>1.2437383902013197</c:v>
                </c:pt>
                <c:pt idx="673">
                  <c:v>1.2081234749815775</c:v>
                </c:pt>
                <c:pt idx="674">
                  <c:v>1.2184865419989004</c:v>
                </c:pt>
                <c:pt idx="675">
                  <c:v>1.1784673702597697</c:v>
                </c:pt>
                <c:pt idx="676">
                  <c:v>1.1265143682423473</c:v>
                </c:pt>
                <c:pt idx="677">
                  <c:v>1.2020794361423472</c:v>
                </c:pt>
                <c:pt idx="678">
                  <c:v>1.1816142764637756</c:v>
                </c:pt>
                <c:pt idx="679">
                  <c:v>1.2030148383320685</c:v>
                </c:pt>
                <c:pt idx="680">
                  <c:v>1.1493288132323689</c:v>
                </c:pt>
                <c:pt idx="681">
                  <c:v>1.0799247197199722</c:v>
                </c:pt>
                <c:pt idx="682">
                  <c:v>1.0476469575873568</c:v>
                </c:pt>
                <c:pt idx="683">
                  <c:v>1.0799401036150167</c:v>
                </c:pt>
                <c:pt idx="684">
                  <c:v>1.0904430451875533</c:v>
                </c:pt>
                <c:pt idx="685">
                  <c:v>1.1454588656305766</c:v>
                </c:pt>
                <c:pt idx="686">
                  <c:v>0.96080342942738595</c:v>
                </c:pt>
                <c:pt idx="687">
                  <c:v>1.217684743268046</c:v>
                </c:pt>
                <c:pt idx="688">
                  <c:v>1.1812800457458619</c:v>
                </c:pt>
                <c:pt idx="689">
                  <c:v>1.1712547991069084</c:v>
                </c:pt>
                <c:pt idx="690">
                  <c:v>1.1464433453248188</c:v>
                </c:pt>
                <c:pt idx="691">
                  <c:v>1.2316483671091325</c:v>
                </c:pt>
                <c:pt idx="692">
                  <c:v>1.2882612481251794</c:v>
                </c:pt>
                <c:pt idx="693">
                  <c:v>1.2505738972970941</c:v>
                </c:pt>
                <c:pt idx="694">
                  <c:v>1.2521897500556309</c:v>
                </c:pt>
                <c:pt idx="695">
                  <c:v>1.2285780284907659</c:v>
                </c:pt>
                <c:pt idx="696">
                  <c:v>1.252746665840766</c:v>
                </c:pt>
                <c:pt idx="697">
                  <c:v>1.2143407106873865</c:v>
                </c:pt>
                <c:pt idx="698">
                  <c:v>1.2299118332782955</c:v>
                </c:pt>
                <c:pt idx="699">
                  <c:v>1.2835394854755557</c:v>
                </c:pt>
                <c:pt idx="700">
                  <c:v>1.2731881813255557</c:v>
                </c:pt>
                <c:pt idx="701">
                  <c:v>1.2263874799861578</c:v>
                </c:pt>
                <c:pt idx="702">
                  <c:v>1.2945008059950067</c:v>
                </c:pt>
                <c:pt idx="703">
                  <c:v>1.336643794456545</c:v>
                </c:pt>
                <c:pt idx="704">
                  <c:v>1.342216221115011</c:v>
                </c:pt>
                <c:pt idx="705">
                  <c:v>1.3021540784929579</c:v>
                </c:pt>
                <c:pt idx="706">
                  <c:v>1.2895469945517815</c:v>
                </c:pt>
                <c:pt idx="707">
                  <c:v>1.2792802691056846</c:v>
                </c:pt>
                <c:pt idx="708">
                  <c:v>1.2755174136621585</c:v>
                </c:pt>
                <c:pt idx="709">
                  <c:v>1.3158724513216429</c:v>
                </c:pt>
                <c:pt idx="710">
                  <c:v>1.2584235035521656</c:v>
                </c:pt>
                <c:pt idx="711">
                  <c:v>1.1923197110030574</c:v>
                </c:pt>
                <c:pt idx="712">
                  <c:v>1.209448597102639</c:v>
                </c:pt>
                <c:pt idx="713">
                  <c:v>1.3008957877904395</c:v>
                </c:pt>
                <c:pt idx="714">
                  <c:v>1.2273121518225318</c:v>
                </c:pt>
                <c:pt idx="715">
                  <c:v>1.2289138618190982</c:v>
                </c:pt>
                <c:pt idx="716">
                  <c:v>1.1600819480435405</c:v>
                </c:pt>
                <c:pt idx="717">
                  <c:v>1.0673021331525929</c:v>
                </c:pt>
                <c:pt idx="718">
                  <c:v>0.9332627418839281</c:v>
                </c:pt>
                <c:pt idx="719">
                  <c:v>0.86403649000208804</c:v>
                </c:pt>
                <c:pt idx="720">
                  <c:v>0.85638146375165791</c:v>
                </c:pt>
                <c:pt idx="721">
                  <c:v>0.85011103965892021</c:v>
                </c:pt>
                <c:pt idx="722">
                  <c:v>0.81582263492087925</c:v>
                </c:pt>
                <c:pt idx="723">
                  <c:v>0.75966771942087929</c:v>
                </c:pt>
                <c:pt idx="724">
                  <c:v>0.71869353703987804</c:v>
                </c:pt>
                <c:pt idx="725">
                  <c:v>0.72808972609601841</c:v>
                </c:pt>
                <c:pt idx="726">
                  <c:v>0.7112259443483121</c:v>
                </c:pt>
                <c:pt idx="727">
                  <c:v>0.70968422592424341</c:v>
                </c:pt>
                <c:pt idx="728">
                  <c:v>0.65731831259987628</c:v>
                </c:pt>
                <c:pt idx="729">
                  <c:v>0.62810366278296226</c:v>
                </c:pt>
                <c:pt idx="730">
                  <c:v>0.6106108622927926</c:v>
                </c:pt>
                <c:pt idx="731">
                  <c:v>0.57780429420152279</c:v>
                </c:pt>
                <c:pt idx="732">
                  <c:v>0.52826517723689548</c:v>
                </c:pt>
                <c:pt idx="733">
                  <c:v>0.52045452661057978</c:v>
                </c:pt>
                <c:pt idx="734">
                  <c:v>0.51131634710860352</c:v>
                </c:pt>
                <c:pt idx="735">
                  <c:v>0.50997780187634556</c:v>
                </c:pt>
                <c:pt idx="736">
                  <c:v>0.51938146665220775</c:v>
                </c:pt>
                <c:pt idx="737">
                  <c:v>0.5190933031252416</c:v>
                </c:pt>
                <c:pt idx="738">
                  <c:v>0.49534350382668058</c:v>
                </c:pt>
                <c:pt idx="739">
                  <c:v>0.48858667625156105</c:v>
                </c:pt>
                <c:pt idx="740">
                  <c:v>0.52397483156570968</c:v>
                </c:pt>
                <c:pt idx="741">
                  <c:v>0.57108807288687735</c:v>
                </c:pt>
                <c:pt idx="742">
                  <c:v>0.54030671681438669</c:v>
                </c:pt>
                <c:pt idx="743">
                  <c:v>0.48355821343636468</c:v>
                </c:pt>
                <c:pt idx="744">
                  <c:v>0.49910442561127827</c:v>
                </c:pt>
                <c:pt idx="745">
                  <c:v>0.41194138262571428</c:v>
                </c:pt>
                <c:pt idx="746">
                  <c:v>0.3993139553127199</c:v>
                </c:pt>
                <c:pt idx="747">
                  <c:v>0.37352119850770049</c:v>
                </c:pt>
                <c:pt idx="748">
                  <c:v>0.3808557412926063</c:v>
                </c:pt>
                <c:pt idx="749">
                  <c:v>0.34494296233131588</c:v>
                </c:pt>
                <c:pt idx="750">
                  <c:v>0.35206266276480014</c:v>
                </c:pt>
                <c:pt idx="751">
                  <c:v>0.37082342743679231</c:v>
                </c:pt>
                <c:pt idx="752">
                  <c:v>0.39051808096905039</c:v>
                </c:pt>
                <c:pt idx="753">
                  <c:v>0.34693913870505061</c:v>
                </c:pt>
                <c:pt idx="754">
                  <c:v>0.354421612062227</c:v>
                </c:pt>
                <c:pt idx="755">
                  <c:v>0.33754300504783863</c:v>
                </c:pt>
                <c:pt idx="756">
                  <c:v>0.31414587049111026</c:v>
                </c:pt>
                <c:pt idx="757">
                  <c:v>0.32561692307058904</c:v>
                </c:pt>
                <c:pt idx="758">
                  <c:v>0.32748826121379898</c:v>
                </c:pt>
                <c:pt idx="759">
                  <c:v>0.33893144878394832</c:v>
                </c:pt>
                <c:pt idx="760">
                  <c:v>0.35734122110246685</c:v>
                </c:pt>
                <c:pt idx="761">
                  <c:v>0.34291076935553561</c:v>
                </c:pt>
                <c:pt idx="762">
                  <c:v>0.33669939088397155</c:v>
                </c:pt>
                <c:pt idx="763">
                  <c:v>0.32907004110619359</c:v>
                </c:pt>
                <c:pt idx="764">
                  <c:v>0.34028189050476498</c:v>
                </c:pt>
                <c:pt idx="765">
                  <c:v>0.34367923968509279</c:v>
                </c:pt>
                <c:pt idx="766">
                  <c:v>0.36257840102473249</c:v>
                </c:pt>
                <c:pt idx="767">
                  <c:v>0.40657757082535884</c:v>
                </c:pt>
                <c:pt idx="768">
                  <c:v>0.37178997351023263</c:v>
                </c:pt>
                <c:pt idx="769">
                  <c:v>0.38113372575467691</c:v>
                </c:pt>
                <c:pt idx="770">
                  <c:v>0.3723291460631461</c:v>
                </c:pt>
                <c:pt idx="771">
                  <c:v>0.3851777856506462</c:v>
                </c:pt>
                <c:pt idx="772">
                  <c:v>0.35928288337883985</c:v>
                </c:pt>
                <c:pt idx="773">
                  <c:v>0.37761582848936615</c:v>
                </c:pt>
                <c:pt idx="774">
                  <c:v>0.39455451239259193</c:v>
                </c:pt>
                <c:pt idx="775">
                  <c:v>0.39108848885485603</c:v>
                </c:pt>
                <c:pt idx="776">
                  <c:v>0.40213270266944573</c:v>
                </c:pt>
                <c:pt idx="777">
                  <c:v>0.39846295623377015</c:v>
                </c:pt>
                <c:pt idx="778">
                  <c:v>0.38345018045081569</c:v>
                </c:pt>
                <c:pt idx="779">
                  <c:v>0.38758496109131158</c:v>
                </c:pt>
                <c:pt idx="780">
                  <c:v>0.39941616121002821</c:v>
                </c:pt>
                <c:pt idx="781">
                  <c:v>0.43596385245846242</c:v>
                </c:pt>
                <c:pt idx="782">
                  <c:v>0.41285105841863934</c:v>
                </c:pt>
                <c:pt idx="783">
                  <c:v>0.4240479347746835</c:v>
                </c:pt>
                <c:pt idx="784">
                  <c:v>0.40564223475448147</c:v>
                </c:pt>
                <c:pt idx="785">
                  <c:v>0.38982180763839747</c:v>
                </c:pt>
                <c:pt idx="786">
                  <c:v>0.42147548371141041</c:v>
                </c:pt>
                <c:pt idx="787">
                  <c:v>0.42899507918984175</c:v>
                </c:pt>
                <c:pt idx="788">
                  <c:v>0.43665121435965315</c:v>
                </c:pt>
                <c:pt idx="789">
                  <c:v>0.40893729068286355</c:v>
                </c:pt>
                <c:pt idx="790">
                  <c:v>0.45022251426832527</c:v>
                </c:pt>
                <c:pt idx="791">
                  <c:v>0.41752601960559799</c:v>
                </c:pt>
                <c:pt idx="792">
                  <c:v>0.44484750867350242</c:v>
                </c:pt>
                <c:pt idx="793">
                  <c:v>0.41007856412119292</c:v>
                </c:pt>
                <c:pt idx="794">
                  <c:v>0.3731408236775236</c:v>
                </c:pt>
                <c:pt idx="795">
                  <c:v>0.33833463342356868</c:v>
                </c:pt>
                <c:pt idx="796">
                  <c:v>0.39079448119023547</c:v>
                </c:pt>
                <c:pt idx="797">
                  <c:v>0.35000383052235873</c:v>
                </c:pt>
                <c:pt idx="798">
                  <c:v>0.37136168228150024</c:v>
                </c:pt>
                <c:pt idx="799">
                  <c:v>0.38775022612006999</c:v>
                </c:pt>
                <c:pt idx="800">
                  <c:v>0.41006813141180681</c:v>
                </c:pt>
                <c:pt idx="801">
                  <c:v>0.43066854650961844</c:v>
                </c:pt>
                <c:pt idx="802">
                  <c:v>0.44854316978641756</c:v>
                </c:pt>
                <c:pt idx="803">
                  <c:v>0.45253643151250456</c:v>
                </c:pt>
                <c:pt idx="804">
                  <c:v>0.43989955393605679</c:v>
                </c:pt>
                <c:pt idx="805">
                  <c:v>0.45716420496820975</c:v>
                </c:pt>
                <c:pt idx="806">
                  <c:v>0.47955594101403781</c:v>
                </c:pt>
                <c:pt idx="807">
                  <c:v>0.44872549374041143</c:v>
                </c:pt>
                <c:pt idx="808">
                  <c:v>0.36859942294612585</c:v>
                </c:pt>
                <c:pt idx="809">
                  <c:v>0.34372496510225964</c:v>
                </c:pt>
                <c:pt idx="810">
                  <c:v>0.32762909691812497</c:v>
                </c:pt>
                <c:pt idx="811">
                  <c:v>0.32989454068903395</c:v>
                </c:pt>
                <c:pt idx="812">
                  <c:v>0.36797850144835592</c:v>
                </c:pt>
                <c:pt idx="813">
                  <c:v>0.3165931611127078</c:v>
                </c:pt>
                <c:pt idx="814">
                  <c:v>0.33322209896412014</c:v>
                </c:pt>
                <c:pt idx="815">
                  <c:v>0.323248616587614</c:v>
                </c:pt>
                <c:pt idx="816">
                  <c:v>0.32065627271370095</c:v>
                </c:pt>
                <c:pt idx="817">
                  <c:v>0.32633841405091041</c:v>
                </c:pt>
                <c:pt idx="818">
                  <c:v>0.23466093008889657</c:v>
                </c:pt>
                <c:pt idx="819">
                  <c:v>0.20776156426809661</c:v>
                </c:pt>
                <c:pt idx="820">
                  <c:v>0.20042113471915549</c:v>
                </c:pt>
                <c:pt idx="821">
                  <c:v>0.13202832709449783</c:v>
                </c:pt>
                <c:pt idx="822">
                  <c:v>0.1737239876569163</c:v>
                </c:pt>
                <c:pt idx="823">
                  <c:v>0.58025085048588398</c:v>
                </c:pt>
                <c:pt idx="824">
                  <c:v>0.47184347171795832</c:v>
                </c:pt>
                <c:pt idx="825">
                  <c:v>0.46096321395784257</c:v>
                </c:pt>
                <c:pt idx="826">
                  <c:v>0.40669459355169058</c:v>
                </c:pt>
                <c:pt idx="827">
                  <c:v>0.40231170576632469</c:v>
                </c:pt>
                <c:pt idx="828">
                  <c:v>0.40452316515720477</c:v>
                </c:pt>
                <c:pt idx="829">
                  <c:v>0.42186363661450821</c:v>
                </c:pt>
                <c:pt idx="830">
                  <c:v>0.41043598837376727</c:v>
                </c:pt>
                <c:pt idx="831">
                  <c:v>0.39005042890233854</c:v>
                </c:pt>
                <c:pt idx="832">
                  <c:v>0.39381072164519554</c:v>
                </c:pt>
                <c:pt idx="833">
                  <c:v>0.40369549615685746</c:v>
                </c:pt>
                <c:pt idx="834">
                  <c:v>0.39871241416908454</c:v>
                </c:pt>
                <c:pt idx="835">
                  <c:v>0.41859739158324372</c:v>
                </c:pt>
                <c:pt idx="836">
                  <c:v>0.42968186669113867</c:v>
                </c:pt>
                <c:pt idx="837">
                  <c:v>0.40803359604113854</c:v>
                </c:pt>
                <c:pt idx="838">
                  <c:v>0.41941935993011475</c:v>
                </c:pt>
                <c:pt idx="839">
                  <c:v>0.4370767103571262</c:v>
                </c:pt>
                <c:pt idx="840">
                  <c:v>0.433200613194685</c:v>
                </c:pt>
                <c:pt idx="841">
                  <c:v>0.42367563792110879</c:v>
                </c:pt>
                <c:pt idx="842">
                  <c:v>0.41022614701792404</c:v>
                </c:pt>
                <c:pt idx="843">
                  <c:v>0.40953761631125724</c:v>
                </c:pt>
                <c:pt idx="844">
                  <c:v>0.38476149842497576</c:v>
                </c:pt>
                <c:pt idx="845">
                  <c:v>0.39438429021886878</c:v>
                </c:pt>
                <c:pt idx="846">
                  <c:v>0.36247181452216537</c:v>
                </c:pt>
                <c:pt idx="847">
                  <c:v>0.35747924260374436</c:v>
                </c:pt>
                <c:pt idx="848">
                  <c:v>0.35765458872502109</c:v>
                </c:pt>
                <c:pt idx="849">
                  <c:v>0.33361693128912362</c:v>
                </c:pt>
                <c:pt idx="850">
                  <c:v>0.34611087528912371</c:v>
                </c:pt>
                <c:pt idx="851">
                  <c:v>0.31424914922277564</c:v>
                </c:pt>
                <c:pt idx="852">
                  <c:v>0.32039852099661525</c:v>
                </c:pt>
                <c:pt idx="853">
                  <c:v>0.29982949476328208</c:v>
                </c:pt>
                <c:pt idx="854">
                  <c:v>0.28321269642190278</c:v>
                </c:pt>
                <c:pt idx="855">
                  <c:v>0.28035456521367641</c:v>
                </c:pt>
                <c:pt idx="856">
                  <c:v>0.27063670625125841</c:v>
                </c:pt>
                <c:pt idx="857">
                  <c:v>0.31530784721816135</c:v>
                </c:pt>
                <c:pt idx="858">
                  <c:v>0.34101601552361333</c:v>
                </c:pt>
                <c:pt idx="859">
                  <c:v>0.33058696929611342</c:v>
                </c:pt>
                <c:pt idx="860">
                  <c:v>0.35883858459235757</c:v>
                </c:pt>
                <c:pt idx="861">
                  <c:v>0.33773353702042774</c:v>
                </c:pt>
                <c:pt idx="862">
                  <c:v>0.31831436153850007</c:v>
                </c:pt>
                <c:pt idx="863">
                  <c:v>0.32197406903030329</c:v>
                </c:pt>
                <c:pt idx="864">
                  <c:v>0.32662469642392994</c:v>
                </c:pt>
                <c:pt idx="865">
                  <c:v>0.33004958065527323</c:v>
                </c:pt>
                <c:pt idx="866">
                  <c:v>0.33097259986527333</c:v>
                </c:pt>
                <c:pt idx="867">
                  <c:v>0.32151436792784321</c:v>
                </c:pt>
                <c:pt idx="868">
                  <c:v>0.31924371533357393</c:v>
                </c:pt>
                <c:pt idx="869">
                  <c:v>0.29651995919770691</c:v>
                </c:pt>
                <c:pt idx="870">
                  <c:v>0.30637366638776536</c:v>
                </c:pt>
                <c:pt idx="871">
                  <c:v>0.32295032981513377</c:v>
                </c:pt>
                <c:pt idx="872">
                  <c:v>0.3169136545560734</c:v>
                </c:pt>
                <c:pt idx="873">
                  <c:v>0.291594514278535</c:v>
                </c:pt>
                <c:pt idx="874">
                  <c:v>0.28638031291915994</c:v>
                </c:pt>
                <c:pt idx="875">
                  <c:v>0.29675417798902015</c:v>
                </c:pt>
                <c:pt idx="876">
                  <c:v>0.30043754374675224</c:v>
                </c:pt>
                <c:pt idx="877">
                  <c:v>0.30980652296957373</c:v>
                </c:pt>
                <c:pt idx="878">
                  <c:v>0.32247029347067568</c:v>
                </c:pt>
                <c:pt idx="879">
                  <c:v>0.31762551817829693</c:v>
                </c:pt>
                <c:pt idx="880">
                  <c:v>0.31243124894955793</c:v>
                </c:pt>
                <c:pt idx="881">
                  <c:v>0.31743632186141363</c:v>
                </c:pt>
                <c:pt idx="882">
                  <c:v>0.31230328857163026</c:v>
                </c:pt>
                <c:pt idx="883">
                  <c:v>0.30013102950320925</c:v>
                </c:pt>
                <c:pt idx="884">
                  <c:v>0.3160062798926172</c:v>
                </c:pt>
                <c:pt idx="885">
                  <c:v>0.31617440302829564</c:v>
                </c:pt>
                <c:pt idx="886">
                  <c:v>0.32626566876526669</c:v>
                </c:pt>
                <c:pt idx="887">
                  <c:v>0.35838065548625131</c:v>
                </c:pt>
                <c:pt idx="888">
                  <c:v>0.32821789110855021</c:v>
                </c:pt>
                <c:pt idx="889">
                  <c:v>0.32107006245737169</c:v>
                </c:pt>
                <c:pt idx="890">
                  <c:v>0.3135199213693517</c:v>
                </c:pt>
                <c:pt idx="891">
                  <c:v>0.31585419797526654</c:v>
                </c:pt>
                <c:pt idx="892">
                  <c:v>0.3215208920522486</c:v>
                </c:pt>
                <c:pt idx="893">
                  <c:v>0.31435846373383236</c:v>
                </c:pt>
                <c:pt idx="894">
                  <c:v>0.31445983657080345</c:v>
                </c:pt>
                <c:pt idx="895">
                  <c:v>0.3106333515115442</c:v>
                </c:pt>
                <c:pt idx="896">
                  <c:v>0.31689091348041382</c:v>
                </c:pt>
                <c:pt idx="897">
                  <c:v>0.31821623139654281</c:v>
                </c:pt>
                <c:pt idx="898">
                  <c:v>0.32907910492638154</c:v>
                </c:pt>
                <c:pt idx="899">
                  <c:v>0.33090208451581643</c:v>
                </c:pt>
                <c:pt idx="900">
                  <c:v>0.33656190510672551</c:v>
                </c:pt>
                <c:pt idx="901">
                  <c:v>0.33385110638276466</c:v>
                </c:pt>
                <c:pt idx="902">
                  <c:v>0.31924231798825919</c:v>
                </c:pt>
                <c:pt idx="903">
                  <c:v>0.32541916104025914</c:v>
                </c:pt>
                <c:pt idx="904">
                  <c:v>0.33368500990204775</c:v>
                </c:pt>
                <c:pt idx="905">
                  <c:v>0.34445755910446529</c:v>
                </c:pt>
                <c:pt idx="906">
                  <c:v>0.35779396632968119</c:v>
                </c:pt>
                <c:pt idx="907">
                  <c:v>0.34840429547222096</c:v>
                </c:pt>
                <c:pt idx="908">
                  <c:v>0.35473054836855605</c:v>
                </c:pt>
                <c:pt idx="909">
                  <c:v>0.35701428181616174</c:v>
                </c:pt>
                <c:pt idx="910">
                  <c:v>0.36357470346378074</c:v>
                </c:pt>
                <c:pt idx="911">
                  <c:v>0.36469892920680624</c:v>
                </c:pt>
                <c:pt idx="912">
                  <c:v>0.35886117100221271</c:v>
                </c:pt>
                <c:pt idx="913">
                  <c:v>0.35985258473293891</c:v>
                </c:pt>
                <c:pt idx="914">
                  <c:v>0.36934843682577173</c:v>
                </c:pt>
                <c:pt idx="915">
                  <c:v>0.36351147205899753</c:v>
                </c:pt>
                <c:pt idx="916">
                  <c:v>0.37800348777170883</c:v>
                </c:pt>
                <c:pt idx="917">
                  <c:v>0.3692771751525451</c:v>
                </c:pt>
                <c:pt idx="918">
                  <c:v>0.3644914820362225</c:v>
                </c:pt>
                <c:pt idx="919">
                  <c:v>0.34857735510351218</c:v>
                </c:pt>
                <c:pt idx="920">
                  <c:v>0.3536830546611025</c:v>
                </c:pt>
                <c:pt idx="921">
                  <c:v>0.35639265098896217</c:v>
                </c:pt>
                <c:pt idx="922">
                  <c:v>0.34989561629504579</c:v>
                </c:pt>
                <c:pt idx="923">
                  <c:v>0.34682152220677759</c:v>
                </c:pt>
                <c:pt idx="924">
                  <c:v>0.34035177908311476</c:v>
                </c:pt>
                <c:pt idx="925">
                  <c:v>0.31219923487951906</c:v>
                </c:pt>
                <c:pt idx="926">
                  <c:v>0.30744268679484371</c:v>
                </c:pt>
                <c:pt idx="927">
                  <c:v>0.3418715177990454</c:v>
                </c:pt>
                <c:pt idx="928">
                  <c:v>0.31356688229704544</c:v>
                </c:pt>
                <c:pt idx="929">
                  <c:v>0.34760418214386951</c:v>
                </c:pt>
                <c:pt idx="930">
                  <c:v>0.35322233690104277</c:v>
                </c:pt>
                <c:pt idx="931">
                  <c:v>0.33726608313476714</c:v>
                </c:pt>
                <c:pt idx="932">
                  <c:v>0.35826891241356301</c:v>
                </c:pt>
                <c:pt idx="933">
                  <c:v>0.36967049208729091</c:v>
                </c:pt>
                <c:pt idx="934">
                  <c:v>0.37657449418261335</c:v>
                </c:pt>
                <c:pt idx="935">
                  <c:v>0.37550362740079507</c:v>
                </c:pt>
                <c:pt idx="936">
                  <c:v>0.36964922974087605</c:v>
                </c:pt>
                <c:pt idx="937">
                  <c:v>0.37122683982087595</c:v>
                </c:pt>
                <c:pt idx="938">
                  <c:v>0.37472594209619581</c:v>
                </c:pt>
                <c:pt idx="939">
                  <c:v>0.38905966591267171</c:v>
                </c:pt>
                <c:pt idx="940">
                  <c:v>0.37843140208061066</c:v>
                </c:pt>
                <c:pt idx="941">
                  <c:v>0.36825147920803353</c:v>
                </c:pt>
                <c:pt idx="942">
                  <c:v>0.36577760912329887</c:v>
                </c:pt>
                <c:pt idx="943">
                  <c:v>0.4031172268782629</c:v>
                </c:pt>
                <c:pt idx="944">
                  <c:v>0.38190833230441534</c:v>
                </c:pt>
                <c:pt idx="945">
                  <c:v>0.36823039708545796</c:v>
                </c:pt>
                <c:pt idx="946">
                  <c:v>0.40862935407754841</c:v>
                </c:pt>
                <c:pt idx="947">
                  <c:v>0.42656014844497592</c:v>
                </c:pt>
                <c:pt idx="948">
                  <c:v>0.37338906266163091</c:v>
                </c:pt>
                <c:pt idx="949">
                  <c:v>0.34058971656578108</c:v>
                </c:pt>
                <c:pt idx="950">
                  <c:v>0.37430052727099844</c:v>
                </c:pt>
                <c:pt idx="951">
                  <c:v>0.33693195953867194</c:v>
                </c:pt>
                <c:pt idx="952">
                  <c:v>0.33507487062291619</c:v>
                </c:pt>
                <c:pt idx="953">
                  <c:v>0.34157820819882245</c:v>
                </c:pt>
                <c:pt idx="954">
                  <c:v>0.34464167551593267</c:v>
                </c:pt>
                <c:pt idx="955">
                  <c:v>0.36763335019312571</c:v>
                </c:pt>
                <c:pt idx="956">
                  <c:v>0.33791457084574694</c:v>
                </c:pt>
                <c:pt idx="957">
                  <c:v>0.33767109794833317</c:v>
                </c:pt>
                <c:pt idx="958">
                  <c:v>0.33554233862582872</c:v>
                </c:pt>
                <c:pt idx="959">
                  <c:v>0.31952218165042245</c:v>
                </c:pt>
                <c:pt idx="960">
                  <c:v>0.33352525015042256</c:v>
                </c:pt>
                <c:pt idx="961">
                  <c:v>0.33032308661248616</c:v>
                </c:pt>
                <c:pt idx="962">
                  <c:v>0.31552013006680085</c:v>
                </c:pt>
                <c:pt idx="963">
                  <c:v>0.32001333998393761</c:v>
                </c:pt>
                <c:pt idx="964">
                  <c:v>0.31073598895239191</c:v>
                </c:pt>
                <c:pt idx="965">
                  <c:v>0.31177760134254845</c:v>
                </c:pt>
                <c:pt idx="966">
                  <c:v>0.30754823011002352</c:v>
                </c:pt>
                <c:pt idx="967">
                  <c:v>0.29830352704286567</c:v>
                </c:pt>
                <c:pt idx="968">
                  <c:v>0.27226831559830872</c:v>
                </c:pt>
                <c:pt idx="969">
                  <c:v>0.29205146334254467</c:v>
                </c:pt>
                <c:pt idx="970">
                  <c:v>0.32213610212811034</c:v>
                </c:pt>
                <c:pt idx="971">
                  <c:v>0.32322161659623683</c:v>
                </c:pt>
                <c:pt idx="972">
                  <c:v>0.34087550413812157</c:v>
                </c:pt>
                <c:pt idx="973">
                  <c:v>0.30659597944903078</c:v>
                </c:pt>
                <c:pt idx="974">
                  <c:v>0.36878430194754086</c:v>
                </c:pt>
                <c:pt idx="975">
                  <c:v>0.35243383784862981</c:v>
                </c:pt>
                <c:pt idx="976">
                  <c:v>0.3538205822635897</c:v>
                </c:pt>
                <c:pt idx="977">
                  <c:v>0.33857827983046873</c:v>
                </c:pt>
                <c:pt idx="978">
                  <c:v>0.32104489329262653</c:v>
                </c:pt>
                <c:pt idx="979">
                  <c:v>0.32007296087508924</c:v>
                </c:pt>
                <c:pt idx="980">
                  <c:v>0.32297731922119643</c:v>
                </c:pt>
                <c:pt idx="981">
                  <c:v>0.30734334006754399</c:v>
                </c:pt>
                <c:pt idx="982">
                  <c:v>0.325028909027544</c:v>
                </c:pt>
                <c:pt idx="983">
                  <c:v>0.31732250299353121</c:v>
                </c:pt>
                <c:pt idx="984">
                  <c:v>0.31030795018561375</c:v>
                </c:pt>
                <c:pt idx="985">
                  <c:v>0.28279736033304231</c:v>
                </c:pt>
                <c:pt idx="986">
                  <c:v>0.30737505261335124</c:v>
                </c:pt>
                <c:pt idx="987">
                  <c:v>0.29374319657833958</c:v>
                </c:pt>
                <c:pt idx="988">
                  <c:v>0.35256898063900532</c:v>
                </c:pt>
                <c:pt idx="989">
                  <c:v>0.3167367004116437</c:v>
                </c:pt>
                <c:pt idx="990">
                  <c:v>0.27255917874166757</c:v>
                </c:pt>
                <c:pt idx="991">
                  <c:v>0.24519941440682377</c:v>
                </c:pt>
                <c:pt idx="992">
                  <c:v>0.26752104310746699</c:v>
                </c:pt>
                <c:pt idx="993">
                  <c:v>0.25090622320863437</c:v>
                </c:pt>
                <c:pt idx="994">
                  <c:v>0.22910872151311182</c:v>
                </c:pt>
                <c:pt idx="995">
                  <c:v>0.24620810378583904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F14-4556-AADF-5D63BA4AA7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0663056"/>
        <c:axId val="800664304"/>
      </c:lineChart>
      <c:dateAx>
        <c:axId val="8006630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64304"/>
        <c:crosses val="autoZero"/>
        <c:auto val="1"/>
        <c:lblOffset val="100"/>
        <c:baseTimeUnit val="days"/>
      </c:dateAx>
      <c:valAx>
        <c:axId val="80066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6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018D6C8-043A-4A78-9D85-F2B82871F5EE}">
  <sheetPr codeName="Chart1"/>
  <sheetViews>
    <sheetView zoomScale="7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9408" cy="607845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149BB4D-0C43-4931-994E-2792CE7DEF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2.9582999999999999</v>
      </c>
      <c r="D2" s="4">
        <f>MIN(D3:D1912)</f>
        <v>0.2107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0.45689999999999997</v>
      </c>
      <c r="C5">
        <v>0.46110000000000001</v>
      </c>
      <c r="D5">
        <v>0.4446</v>
      </c>
      <c r="E5">
        <v>0.44500000000000001</v>
      </c>
      <c r="F5">
        <v>1839823</v>
      </c>
      <c r="G5">
        <v>0.44500000000000001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-0.9515151515151502</v>
      </c>
      <c r="Q5">
        <f t="shared" ref="Q5" si="1">F5*P5</f>
        <v>-1750619.4606060581</v>
      </c>
      <c r="R5">
        <f t="shared" ref="R5" si="2">R6+Q5</f>
        <v>2241057380.8766856</v>
      </c>
      <c r="S5">
        <f t="shared" ref="S5" si="3">R5/100000</f>
        <v>22410.573808766858</v>
      </c>
      <c r="T5">
        <f t="shared" ref="T5" si="4">S5/1000</f>
        <v>22.410573808766859</v>
      </c>
    </row>
    <row r="6" spans="1:20" x14ac:dyDescent="0.25">
      <c r="A6" s="5">
        <v>44587</v>
      </c>
      <c r="B6">
        <v>0.45300000000000001</v>
      </c>
      <c r="C6">
        <v>0.49220000000000003</v>
      </c>
      <c r="D6">
        <v>0.4486</v>
      </c>
      <c r="E6">
        <v>0.45650000000000002</v>
      </c>
      <c r="F6">
        <v>15545410</v>
      </c>
      <c r="G6">
        <v>0.45650000000000002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-0.63761467889908197</v>
      </c>
      <c r="Q6">
        <f t="shared" ref="Q6" si="6">F6*P6</f>
        <v>-9911981.605504578</v>
      </c>
      <c r="R6">
        <f t="shared" ref="R6" si="7">R7+Q6</f>
        <v>2242808000.3372917</v>
      </c>
      <c r="S6">
        <f t="shared" ref="S6" si="8">R6/100000</f>
        <v>22428.080003372917</v>
      </c>
      <c r="T6">
        <f t="shared" ref="T6" si="9">S6/1000</f>
        <v>22.428080003372916</v>
      </c>
    </row>
    <row r="7" spans="1:20" x14ac:dyDescent="0.25">
      <c r="A7" s="5">
        <v>44586</v>
      </c>
      <c r="B7">
        <v>0.44540000000000002</v>
      </c>
      <c r="C7">
        <v>0.45660000000000001</v>
      </c>
      <c r="D7">
        <v>0.43459999999999999</v>
      </c>
      <c r="E7">
        <v>0.45240000000000002</v>
      </c>
      <c r="F7">
        <v>12397864</v>
      </c>
      <c r="G7">
        <v>0.45240000000000002</v>
      </c>
      <c r="L7" t="s">
        <v>8</v>
      </c>
      <c r="M7" t="s">
        <v>7</v>
      </c>
      <c r="N7" t="s">
        <v>7</v>
      </c>
      <c r="P7">
        <f t="shared" ref="P7" si="10">IF(C7=D7,0,((E7-D7)-(C7-E7))/(C7-D7))</f>
        <v>0.61818181818182016</v>
      </c>
      <c r="Q7">
        <f t="shared" ref="Q7" si="11">F7*P7</f>
        <v>7664134.1090909336</v>
      </c>
      <c r="R7">
        <f t="shared" ref="R7" si="12">R8+Q7</f>
        <v>2252719981.9427962</v>
      </c>
      <c r="S7">
        <f t="shared" ref="S7" si="13">R7/100000</f>
        <v>22527.199819427962</v>
      </c>
      <c r="T7">
        <f t="shared" ref="T7" si="14">S7/1000</f>
        <v>22.527199819427963</v>
      </c>
    </row>
    <row r="8" spans="1:20" x14ac:dyDescent="0.25">
      <c r="A8" s="5">
        <v>44585</v>
      </c>
      <c r="B8">
        <v>0.47039999999999998</v>
      </c>
      <c r="C8">
        <v>0.4708</v>
      </c>
      <c r="D8">
        <v>0.40560000000000002</v>
      </c>
      <c r="E8">
        <v>0.44579999999999997</v>
      </c>
      <c r="F8">
        <v>21403704.379999999</v>
      </c>
      <c r="G8">
        <v>0.44579999999999997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0.23312883435582732</v>
      </c>
      <c r="Q8">
        <f t="shared" ref="Q8" si="16">F8*P8</f>
        <v>4989820.653006115</v>
      </c>
      <c r="R8">
        <f t="shared" ref="R8" si="17">R9+Q8</f>
        <v>2245055847.8337054</v>
      </c>
      <c r="S8">
        <f t="shared" ref="S8" si="18">R8/100000</f>
        <v>22450.558478337054</v>
      </c>
      <c r="T8">
        <f t="shared" ref="T8" si="19">S8/1000</f>
        <v>22.450558478337054</v>
      </c>
    </row>
    <row r="9" spans="1:20" x14ac:dyDescent="0.25">
      <c r="A9" s="5">
        <v>44584</v>
      </c>
      <c r="B9">
        <v>0.45469999999999999</v>
      </c>
      <c r="C9">
        <v>0.47610000000000002</v>
      </c>
      <c r="D9">
        <v>0.4451</v>
      </c>
      <c r="E9">
        <v>0.47010000000000002</v>
      </c>
      <c r="F9">
        <v>15332663</v>
      </c>
      <c r="G9">
        <v>0.47010000000000002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0.61290322580645162</v>
      </c>
      <c r="Q9">
        <f t="shared" ref="Q9" si="21">F9*P9</f>
        <v>9397438.6129032262</v>
      </c>
      <c r="R9">
        <f t="shared" ref="R9" si="22">R10+Q9</f>
        <v>2240066027.1806993</v>
      </c>
      <c r="S9">
        <f t="shared" ref="S9" si="23">R9/100000</f>
        <v>22400.660271806995</v>
      </c>
      <c r="T9">
        <f t="shared" ref="T9" si="24">S9/1000</f>
        <v>22.400660271806995</v>
      </c>
    </row>
    <row r="10" spans="1:20" x14ac:dyDescent="0.25">
      <c r="A10" s="5">
        <v>44583</v>
      </c>
      <c r="B10">
        <v>0.49580000000000002</v>
      </c>
      <c r="C10">
        <v>0.51300000000000001</v>
      </c>
      <c r="D10">
        <v>0.4158</v>
      </c>
      <c r="E10">
        <v>0.45479999999999998</v>
      </c>
      <c r="F10">
        <v>45186447.729999997</v>
      </c>
      <c r="G10">
        <v>0.45479999999999998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-0.19753086419753135</v>
      </c>
      <c r="Q10">
        <f t="shared" ref="Q10" si="26">F10*P10</f>
        <v>-8925718.0701234788</v>
      </c>
      <c r="R10">
        <f t="shared" ref="R10" si="27">R11+Q10</f>
        <v>2230668588.5677962</v>
      </c>
      <c r="S10">
        <f t="shared" ref="S10" si="28">R10/100000</f>
        <v>22306.685885677962</v>
      </c>
      <c r="T10">
        <f t="shared" ref="T10" si="29">S10/1000</f>
        <v>22.306685885677961</v>
      </c>
    </row>
    <row r="11" spans="1:20" x14ac:dyDescent="0.25">
      <c r="A11" s="5">
        <v>44582</v>
      </c>
      <c r="B11">
        <v>0.56879999999999997</v>
      </c>
      <c r="C11">
        <v>0.57530000000000003</v>
      </c>
      <c r="D11">
        <v>0.4854</v>
      </c>
      <c r="E11">
        <v>0.49559999999999998</v>
      </c>
      <c r="F11">
        <v>28477000.030000001</v>
      </c>
      <c r="G11">
        <v>0.49559999999999998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-0.77308120133481684</v>
      </c>
      <c r="Q11">
        <f t="shared" ref="Q11" si="31">F11*P11</f>
        <v>-22015033.393604018</v>
      </c>
      <c r="R11">
        <f t="shared" ref="R11" si="32">R12+Q11</f>
        <v>2239594306.6379199</v>
      </c>
      <c r="S11">
        <f t="shared" ref="S11" si="33">R11/100000</f>
        <v>22395.943066379197</v>
      </c>
      <c r="T11">
        <f t="shared" ref="T11" si="34">S11/1000</f>
        <v>22.395943066379196</v>
      </c>
    </row>
    <row r="12" spans="1:20" x14ac:dyDescent="0.25">
      <c r="A12" s="5">
        <v>44581</v>
      </c>
      <c r="B12">
        <v>0.59309999999999996</v>
      </c>
      <c r="C12">
        <v>0.62119999999999997</v>
      </c>
      <c r="D12">
        <v>0.5665</v>
      </c>
      <c r="E12">
        <v>0.56940000000000002</v>
      </c>
      <c r="F12">
        <v>10246652</v>
      </c>
      <c r="G12">
        <v>0.56940000000000002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-0.89396709323583123</v>
      </c>
      <c r="Q12">
        <f t="shared" ref="Q12" si="36">F12*P12</f>
        <v>-9160169.7038391158</v>
      </c>
      <c r="R12">
        <f t="shared" ref="R12" si="37">R13+Q12</f>
        <v>2261609340.0315237</v>
      </c>
      <c r="S12">
        <f t="shared" ref="S12" si="38">R12/100000</f>
        <v>22616.093400315236</v>
      </c>
      <c r="T12">
        <f t="shared" ref="T12" si="39">S12/1000</f>
        <v>22.616093400315236</v>
      </c>
    </row>
    <row r="13" spans="1:20" x14ac:dyDescent="0.25">
      <c r="A13" s="5">
        <v>44580</v>
      </c>
      <c r="B13">
        <v>0.61560000000000004</v>
      </c>
      <c r="C13">
        <v>0.6179</v>
      </c>
      <c r="D13">
        <v>0.5847</v>
      </c>
      <c r="E13">
        <v>0.59319999999999995</v>
      </c>
      <c r="F13">
        <v>8613479</v>
      </c>
      <c r="G13">
        <v>0.59319999999999995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-0.48795180722891868</v>
      </c>
      <c r="Q13">
        <f t="shared" ref="Q13" si="41">F13*P13</f>
        <v>-4202962.6445783395</v>
      </c>
      <c r="R13">
        <f t="shared" ref="R13" si="42">R14+Q13</f>
        <v>2270769509.735363</v>
      </c>
      <c r="S13">
        <f t="shared" ref="S13" si="43">R13/100000</f>
        <v>22707.69509735363</v>
      </c>
      <c r="T13">
        <f t="shared" ref="T13" si="44">S13/1000</f>
        <v>22.707695097353628</v>
      </c>
    </row>
    <row r="14" spans="1:20" x14ac:dyDescent="0.25">
      <c r="A14" s="5">
        <v>44579</v>
      </c>
      <c r="B14">
        <v>0.62270000000000003</v>
      </c>
      <c r="C14">
        <v>0.62729999999999997</v>
      </c>
      <c r="D14">
        <v>0.60040000000000004</v>
      </c>
      <c r="E14">
        <v>0.61550000000000005</v>
      </c>
      <c r="F14">
        <v>7744818</v>
      </c>
      <c r="G14">
        <v>0.61550000000000005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0.12267657992565391</v>
      </c>
      <c r="Q14">
        <f t="shared" ref="Q14" si="46">F14*P14</f>
        <v>950107.78438664309</v>
      </c>
      <c r="R14">
        <f t="shared" ref="R14" si="47">R15+Q14</f>
        <v>2274972472.3799415</v>
      </c>
      <c r="S14">
        <f t="shared" ref="S14" si="48">R14/100000</f>
        <v>22749.724723799416</v>
      </c>
      <c r="T14">
        <f t="shared" ref="T14" si="49">S14/1000</f>
        <v>22.749724723799417</v>
      </c>
    </row>
    <row r="15" spans="1:20" x14ac:dyDescent="0.25">
      <c r="A15" s="5">
        <v>44578</v>
      </c>
      <c r="B15">
        <v>0.65039999999999998</v>
      </c>
      <c r="C15">
        <v>0.65259999999999996</v>
      </c>
      <c r="D15">
        <v>0.61040000000000005</v>
      </c>
      <c r="E15">
        <v>0.62239999999999995</v>
      </c>
      <c r="F15">
        <v>6949016</v>
      </c>
      <c r="G15">
        <v>0.62239999999999995</v>
      </c>
      <c r="L15" t="s">
        <v>8</v>
      </c>
      <c r="M15" t="s">
        <v>7</v>
      </c>
      <c r="N15" t="s">
        <v>7</v>
      </c>
      <c r="P15">
        <f t="shared" ref="P15" si="50">IF(C15=D15,0,((E15-D15)-(C15-E15))/(C15-D15))</f>
        <v>-0.43127962085308402</v>
      </c>
      <c r="Q15">
        <f t="shared" ref="Q15" si="51">F15*P15</f>
        <v>-2996968.9857820147</v>
      </c>
      <c r="R15">
        <f t="shared" ref="R15" si="52">R16+Q15</f>
        <v>2274022364.5955548</v>
      </c>
      <c r="S15">
        <f t="shared" ref="S15" si="53">R15/100000</f>
        <v>22740.22364595555</v>
      </c>
      <c r="T15">
        <f t="shared" ref="T15" si="54">S15/1000</f>
        <v>22.740223645955549</v>
      </c>
    </row>
    <row r="16" spans="1:20" x14ac:dyDescent="0.25">
      <c r="A16" s="5">
        <v>44577</v>
      </c>
      <c r="B16">
        <v>0.6462</v>
      </c>
      <c r="C16">
        <v>0.65880000000000005</v>
      </c>
      <c r="D16">
        <v>0.6361</v>
      </c>
      <c r="E16">
        <v>0.6502</v>
      </c>
      <c r="F16">
        <v>7410143</v>
      </c>
      <c r="G16">
        <v>0.6502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0.24229074889867561</v>
      </c>
      <c r="Q16">
        <f t="shared" ref="Q16" si="56">F16*P16</f>
        <v>1795409.0969162788</v>
      </c>
      <c r="R16">
        <f t="shared" ref="R16" si="57">R17+Q16</f>
        <v>2277019333.581337</v>
      </c>
      <c r="S16">
        <f t="shared" ref="S16" si="58">R16/100000</f>
        <v>22770.193335813368</v>
      </c>
      <c r="T16">
        <f t="shared" ref="T16" si="59">S16/1000</f>
        <v>22.770193335813367</v>
      </c>
    </row>
    <row r="17" spans="1:20" x14ac:dyDescent="0.25">
      <c r="A17" s="5">
        <v>44576</v>
      </c>
      <c r="B17">
        <v>0.62219999999999998</v>
      </c>
      <c r="C17">
        <v>0.65669999999999995</v>
      </c>
      <c r="D17">
        <v>0.62009999999999998</v>
      </c>
      <c r="E17">
        <v>0.64639999999999997</v>
      </c>
      <c r="F17">
        <v>9398666</v>
      </c>
      <c r="G17">
        <v>0.64639999999999997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0.43715846994535601</v>
      </c>
      <c r="Q17">
        <f t="shared" ref="Q17" si="61">F17*P17</f>
        <v>4108706.4480874394</v>
      </c>
      <c r="R17">
        <f t="shared" ref="R17" si="62">R18+Q17</f>
        <v>2275223924.4844208</v>
      </c>
      <c r="S17">
        <f t="shared" ref="S17" si="63">R17/100000</f>
        <v>22752.239244844208</v>
      </c>
      <c r="T17">
        <f t="shared" ref="T17" si="64">S17/1000</f>
        <v>22.752239244844208</v>
      </c>
    </row>
    <row r="18" spans="1:20" x14ac:dyDescent="0.25">
      <c r="A18" s="5">
        <v>44575</v>
      </c>
      <c r="B18">
        <v>0.61140000000000005</v>
      </c>
      <c r="C18">
        <v>0.629</v>
      </c>
      <c r="D18">
        <v>0.6008</v>
      </c>
      <c r="E18">
        <v>0.62190000000000001</v>
      </c>
      <c r="F18">
        <v>8262277</v>
      </c>
      <c r="G18">
        <v>0.62190000000000001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0.49645390070922024</v>
      </c>
      <c r="Q18">
        <f t="shared" ref="Q18" si="66">F18*P18</f>
        <v>4101839.6453900742</v>
      </c>
      <c r="R18">
        <f t="shared" ref="R18" si="67">R19+Q18</f>
        <v>2271115218.0363336</v>
      </c>
      <c r="S18">
        <f t="shared" ref="S18" si="68">R18/100000</f>
        <v>22711.152180363337</v>
      </c>
      <c r="T18">
        <f t="shared" ref="T18" si="69">S18/1000</f>
        <v>22.711152180363335</v>
      </c>
    </row>
    <row r="19" spans="1:20" x14ac:dyDescent="0.25">
      <c r="A19" s="5">
        <v>44574</v>
      </c>
      <c r="B19">
        <v>0.63790000000000002</v>
      </c>
      <c r="C19">
        <v>0.64739999999999998</v>
      </c>
      <c r="D19">
        <v>0.60899999999999999</v>
      </c>
      <c r="E19">
        <v>0.61160000000000003</v>
      </c>
      <c r="F19">
        <v>9624295</v>
      </c>
      <c r="G19">
        <v>0.61160000000000003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-0.86458333333333082</v>
      </c>
      <c r="Q19">
        <f t="shared" ref="Q19" si="71">F19*P19</f>
        <v>-8321005.0520833088</v>
      </c>
      <c r="R19">
        <f t="shared" ref="R19" si="72">R20+Q19</f>
        <v>2267013378.3909435</v>
      </c>
      <c r="S19">
        <f t="shared" ref="S19" si="73">R19/100000</f>
        <v>22670.133783909434</v>
      </c>
      <c r="T19">
        <f t="shared" ref="T19" si="74">S19/1000</f>
        <v>22.670133783909435</v>
      </c>
    </row>
    <row r="20" spans="1:20" x14ac:dyDescent="0.25">
      <c r="A20" s="5">
        <v>44573</v>
      </c>
      <c r="B20">
        <v>0.61160000000000003</v>
      </c>
      <c r="C20">
        <v>0.63959999999999995</v>
      </c>
      <c r="D20">
        <v>0.61109999999999998</v>
      </c>
      <c r="E20">
        <v>0.63790000000000002</v>
      </c>
      <c r="F20">
        <v>10024935</v>
      </c>
      <c r="G20">
        <v>0.63790000000000002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0.88070175438597009</v>
      </c>
      <c r="Q20">
        <f t="shared" ref="Q20" si="76">F20*P20</f>
        <v>8828977.842105316</v>
      </c>
      <c r="R20">
        <f t="shared" ref="R20" si="77">R21+Q20</f>
        <v>2275334383.443027</v>
      </c>
      <c r="S20">
        <f t="shared" ref="S20" si="78">R20/100000</f>
        <v>22753.34383443027</v>
      </c>
      <c r="T20">
        <f t="shared" ref="T20" si="79">S20/1000</f>
        <v>22.753343834430272</v>
      </c>
    </row>
    <row r="21" spans="1:20" x14ac:dyDescent="0.25">
      <c r="A21" s="5">
        <v>44572</v>
      </c>
      <c r="B21">
        <v>0.58779999999999999</v>
      </c>
      <c r="C21">
        <v>0.61670000000000003</v>
      </c>
      <c r="D21">
        <v>0.58479999999999999</v>
      </c>
      <c r="E21">
        <v>0.61180000000000001</v>
      </c>
      <c r="F21">
        <v>8509851</v>
      </c>
      <c r="G21">
        <v>0.61180000000000001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0.69278996865203701</v>
      </c>
      <c r="Q21">
        <f t="shared" ref="Q21" si="81">F21*P21</f>
        <v>5895539.4075235054</v>
      </c>
      <c r="R21">
        <f t="shared" ref="R21" si="82">R22+Q21</f>
        <v>2266505405.6009216</v>
      </c>
      <c r="S21">
        <f t="shared" ref="S21" si="83">R21/100000</f>
        <v>22665.054056009216</v>
      </c>
      <c r="T21">
        <f t="shared" ref="T21" si="84">S21/1000</f>
        <v>22.665054056009215</v>
      </c>
    </row>
    <row r="22" spans="1:20" x14ac:dyDescent="0.25">
      <c r="A22" s="5">
        <v>44571</v>
      </c>
      <c r="B22">
        <v>0.61109999999999998</v>
      </c>
      <c r="C22">
        <v>0.61950000000000005</v>
      </c>
      <c r="D22">
        <v>0.56559999999999999</v>
      </c>
      <c r="E22">
        <v>0.58809999999999996</v>
      </c>
      <c r="F22">
        <v>13282471</v>
      </c>
      <c r="G22">
        <v>0.58809999999999996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-0.1651205936920245</v>
      </c>
      <c r="Q22">
        <f t="shared" ref="Q22" si="86">F22*P22</f>
        <v>-2193209.4972170983</v>
      </c>
      <c r="R22">
        <f t="shared" ref="R22" si="87">R23+Q22</f>
        <v>2260609866.193398</v>
      </c>
      <c r="S22">
        <f t="shared" ref="S22" si="88">R22/100000</f>
        <v>22606.098661933978</v>
      </c>
      <c r="T22">
        <f t="shared" ref="T22" si="89">S22/1000</f>
        <v>22.606098661933977</v>
      </c>
    </row>
    <row r="23" spans="1:20" x14ac:dyDescent="0.25">
      <c r="A23" s="5">
        <v>44570</v>
      </c>
      <c r="B23">
        <v>0.58950000000000002</v>
      </c>
      <c r="C23">
        <v>0.61750000000000005</v>
      </c>
      <c r="D23">
        <v>0.58589999999999998</v>
      </c>
      <c r="E23">
        <v>0.61119999999999997</v>
      </c>
      <c r="F23">
        <v>8710416</v>
      </c>
      <c r="G23">
        <v>0.61119999999999997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0.60126582278480578</v>
      </c>
      <c r="Q23">
        <f t="shared" ref="Q23" si="91">F23*P23</f>
        <v>5237275.4430379365</v>
      </c>
      <c r="R23">
        <f t="shared" ref="R23" si="92">R24+Q23</f>
        <v>2262803075.6906152</v>
      </c>
      <c r="S23">
        <f t="shared" ref="S23" si="93">R23/100000</f>
        <v>22628.030756906152</v>
      </c>
      <c r="T23">
        <f t="shared" ref="T23" si="94">S23/1000</f>
        <v>22.628030756906153</v>
      </c>
    </row>
    <row r="24" spans="1:20" x14ac:dyDescent="0.25">
      <c r="A24" s="5">
        <v>44569</v>
      </c>
      <c r="B24">
        <v>0.61499999999999999</v>
      </c>
      <c r="C24">
        <v>0.63439999999999996</v>
      </c>
      <c r="D24">
        <v>0.56899999999999995</v>
      </c>
      <c r="E24">
        <v>0.58960000000000001</v>
      </c>
      <c r="F24">
        <v>14613445.43</v>
      </c>
      <c r="G24">
        <v>0.58960000000000001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-0.37003058103975356</v>
      </c>
      <c r="Q24">
        <f t="shared" ref="Q24" si="96">F24*P24</f>
        <v>-5407421.7034556316</v>
      </c>
      <c r="R24">
        <f t="shared" ref="R24" si="97">R25+Q24</f>
        <v>2257565800.2475772</v>
      </c>
      <c r="S24">
        <f t="shared" ref="S24" si="98">R24/100000</f>
        <v>22575.658002475771</v>
      </c>
      <c r="T24">
        <f t="shared" ref="T24" si="99">S24/1000</f>
        <v>22.57565800247577</v>
      </c>
    </row>
    <row r="25" spans="1:20" x14ac:dyDescent="0.25">
      <c r="A25" s="5">
        <v>44568</v>
      </c>
      <c r="B25">
        <v>0.62760000000000005</v>
      </c>
      <c r="C25">
        <v>0.63719999999999999</v>
      </c>
      <c r="D25">
        <v>0.58689999999999998</v>
      </c>
      <c r="E25">
        <v>0.61480000000000001</v>
      </c>
      <c r="F25">
        <v>20312847</v>
      </c>
      <c r="G25">
        <v>0.61480000000000001</v>
      </c>
      <c r="L25" t="s">
        <v>8</v>
      </c>
      <c r="M25" t="s">
        <v>7</v>
      </c>
      <c r="N25" t="s">
        <v>7</v>
      </c>
      <c r="P25">
        <f t="shared" ref="P25" si="100">IF(C25=D25,0,((E25-D25)-(C25-E25))/(C25-D25))</f>
        <v>0.10934393638171092</v>
      </c>
      <c r="Q25">
        <f t="shared" ref="Q25" si="101">F25*P25</f>
        <v>2221086.6500994274</v>
      </c>
      <c r="R25">
        <f t="shared" ref="R25" si="102">R26+Q25</f>
        <v>2262973221.9510326</v>
      </c>
      <c r="S25">
        <f t="shared" ref="S25" si="103">R25/100000</f>
        <v>22629.732219510326</v>
      </c>
      <c r="T25">
        <f t="shared" ref="T25" si="104">S25/1000</f>
        <v>22.629732219510327</v>
      </c>
    </row>
    <row r="26" spans="1:20" x14ac:dyDescent="0.25">
      <c r="A26" s="5">
        <v>44567</v>
      </c>
      <c r="B26">
        <v>0.63019999999999998</v>
      </c>
      <c r="C26">
        <v>0.63349999999999995</v>
      </c>
      <c r="D26">
        <v>0.60819999999999996</v>
      </c>
      <c r="E26">
        <v>0.62809999999999999</v>
      </c>
      <c r="F26">
        <v>15389690</v>
      </c>
      <c r="G26">
        <v>0.62809999999999999</v>
      </c>
      <c r="L26" t="s">
        <v>7</v>
      </c>
      <c r="M26" t="s">
        <v>7</v>
      </c>
      <c r="N26" t="s">
        <v>7</v>
      </c>
      <c r="P26">
        <f t="shared" ref="P26" si="105">IF(C26=D26,0,((E26-D26)-(C26-E26))/(C26-D26))</f>
        <v>0.57312252964427168</v>
      </c>
      <c r="Q26">
        <f t="shared" ref="Q26" si="106">F26*P26</f>
        <v>8820178.0632411521</v>
      </c>
      <c r="R26">
        <f t="shared" ref="R26" si="107">R27+Q26</f>
        <v>2260752135.3009334</v>
      </c>
      <c r="S26">
        <f t="shared" ref="S26" si="108">R26/100000</f>
        <v>22607.521353009335</v>
      </c>
      <c r="T26">
        <f t="shared" ref="T26" si="109">S26/1000</f>
        <v>22.607521353009336</v>
      </c>
    </row>
    <row r="27" spans="1:20" x14ac:dyDescent="0.25">
      <c r="A27" s="5">
        <v>44566</v>
      </c>
      <c r="B27">
        <v>0.67310000000000003</v>
      </c>
      <c r="C27">
        <v>0.71940000000000004</v>
      </c>
      <c r="D27">
        <v>0.59219999999999995</v>
      </c>
      <c r="E27">
        <v>0.62960000000000005</v>
      </c>
      <c r="F27">
        <v>21710729</v>
      </c>
      <c r="G27">
        <v>0.62960000000000005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-0.41194968553459005</v>
      </c>
      <c r="Q27">
        <f t="shared" ref="Q27" si="111">F27*P27</f>
        <v>-8943727.9842767045</v>
      </c>
      <c r="R27">
        <f t="shared" ref="R27" si="112">R28+Q27</f>
        <v>2251931957.2376924</v>
      </c>
      <c r="S27">
        <f t="shared" ref="S27" si="113">R27/100000</f>
        <v>22519.319572376924</v>
      </c>
      <c r="T27">
        <f t="shared" ref="T27" si="114">S27/1000</f>
        <v>22.519319572376926</v>
      </c>
    </row>
    <row r="28" spans="1:20" x14ac:dyDescent="0.25">
      <c r="A28" s="5">
        <v>44565</v>
      </c>
      <c r="B28">
        <v>0.68589999999999995</v>
      </c>
      <c r="C28">
        <v>0.69430000000000003</v>
      </c>
      <c r="D28">
        <v>0.66830000000000001</v>
      </c>
      <c r="E28">
        <v>0.67310000000000003</v>
      </c>
      <c r="F28">
        <v>10194845</v>
      </c>
      <c r="G28">
        <v>0.67310000000000003</v>
      </c>
      <c r="L28" t="s">
        <v>7</v>
      </c>
      <c r="M28" t="s">
        <v>7</v>
      </c>
      <c r="N28" t="s">
        <v>7</v>
      </c>
      <c r="P28">
        <f t="shared" ref="P28" si="115">IF(C28=D28,0,((E28-D28)-(C28-E28))/(C28-D28))</f>
        <v>-0.63076923076922908</v>
      </c>
      <c r="Q28">
        <f t="shared" ref="Q28" si="116">F28*P28</f>
        <v>-6430594.5384615213</v>
      </c>
      <c r="R28">
        <f t="shared" ref="R28" si="117">R29+Q28</f>
        <v>2260875685.2219691</v>
      </c>
      <c r="S28">
        <f t="shared" ref="S28" si="118">R28/100000</f>
        <v>22608.756852219693</v>
      </c>
      <c r="T28">
        <f t="shared" ref="T28" si="119">S28/1000</f>
        <v>22.608756852219692</v>
      </c>
    </row>
    <row r="29" spans="1:20" x14ac:dyDescent="0.25">
      <c r="A29" s="5">
        <v>44564</v>
      </c>
      <c r="B29">
        <v>0.70289999999999997</v>
      </c>
      <c r="C29">
        <v>0.71460000000000001</v>
      </c>
      <c r="D29">
        <v>0.67030000000000001</v>
      </c>
      <c r="E29">
        <v>0.6855</v>
      </c>
      <c r="F29">
        <v>11486707</v>
      </c>
      <c r="G29">
        <v>0.6855</v>
      </c>
      <c r="L29" t="s">
        <v>8</v>
      </c>
      <c r="M29" t="s">
        <v>7</v>
      </c>
      <c r="N29" t="s">
        <v>7</v>
      </c>
      <c r="P29">
        <f t="shared" ref="P29" si="120">IF(C29=D29,0,((E29-D29)-(C29-E29))/(C29-D29))</f>
        <v>-0.31376975169300275</v>
      </c>
      <c r="Q29">
        <f t="shared" ref="Q29" si="121">F29*P29</f>
        <v>-3604181.2031602766</v>
      </c>
      <c r="R29">
        <f t="shared" ref="R29" si="122">R30+Q29</f>
        <v>2267306279.7604308</v>
      </c>
      <c r="S29">
        <f t="shared" ref="S29" si="123">R29/100000</f>
        <v>22673.062797604307</v>
      </c>
      <c r="T29">
        <f t="shared" ref="T29" si="124">S29/1000</f>
        <v>22.673062797604306</v>
      </c>
    </row>
    <row r="30" spans="1:20" x14ac:dyDescent="0.25">
      <c r="A30" s="5">
        <v>44563</v>
      </c>
      <c r="B30">
        <v>0.67559999999999998</v>
      </c>
      <c r="C30">
        <v>0.70860000000000001</v>
      </c>
      <c r="D30">
        <v>0.66969999999999996</v>
      </c>
      <c r="E30">
        <v>0.70289999999999997</v>
      </c>
      <c r="F30">
        <v>10268336</v>
      </c>
      <c r="G30">
        <v>0.70289999999999997</v>
      </c>
      <c r="L30" t="s">
        <v>8</v>
      </c>
      <c r="M30" t="s">
        <v>7</v>
      </c>
      <c r="N30" t="s">
        <v>7</v>
      </c>
      <c r="P30">
        <f t="shared" ref="P30" si="125">IF(C30=D30,0,((E30-D30)-(C30-E30))/(C30-D30))</f>
        <v>0.70694087403598804</v>
      </c>
      <c r="Q30">
        <f t="shared" ref="Q30" si="126">F30*P30</f>
        <v>7259106.4267352009</v>
      </c>
      <c r="R30">
        <f t="shared" ref="R30" si="127">R31+Q30</f>
        <v>2270910460.9635911</v>
      </c>
      <c r="S30">
        <f t="shared" ref="S30" si="128">R30/100000</f>
        <v>22709.10460963591</v>
      </c>
      <c r="T30">
        <f t="shared" ref="T30" si="129">S30/1000</f>
        <v>22.709104609635908</v>
      </c>
    </row>
    <row r="31" spans="1:20" x14ac:dyDescent="0.25">
      <c r="A31" s="5">
        <v>44562</v>
      </c>
      <c r="B31">
        <v>0.65680000000000005</v>
      </c>
      <c r="C31">
        <v>0.67600000000000005</v>
      </c>
      <c r="D31">
        <v>0.65629999999999999</v>
      </c>
      <c r="E31">
        <v>0.6754</v>
      </c>
      <c r="F31">
        <v>8153778</v>
      </c>
      <c r="G31">
        <v>0.6754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0.93908629441623925</v>
      </c>
      <c r="Q31">
        <f t="shared" ref="Q31" si="131">F31*P31</f>
        <v>7657101.1675126543</v>
      </c>
      <c r="R31">
        <f t="shared" ref="R31" si="132">R32+Q31</f>
        <v>2263651354.5368557</v>
      </c>
      <c r="S31">
        <f t="shared" ref="S31" si="133">R31/100000</f>
        <v>22636.513545368558</v>
      </c>
      <c r="T31">
        <f t="shared" ref="T31" si="134">S31/1000</f>
        <v>22.636513545368558</v>
      </c>
    </row>
    <row r="32" spans="1:20" x14ac:dyDescent="0.25">
      <c r="A32" s="5">
        <v>44561</v>
      </c>
      <c r="B32">
        <v>0.66869999999999996</v>
      </c>
      <c r="C32">
        <v>0.68940000000000001</v>
      </c>
      <c r="D32">
        <v>0.64080000000000004</v>
      </c>
      <c r="E32">
        <v>0.65680000000000005</v>
      </c>
      <c r="F32">
        <v>12379979</v>
      </c>
      <c r="G32">
        <v>0.65680000000000005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-0.34156378600822956</v>
      </c>
      <c r="Q32">
        <f t="shared" ref="Q32" si="136">F32*P32</f>
        <v>-4228552.497942376</v>
      </c>
      <c r="R32">
        <f t="shared" ref="R32" si="137">R33+Q32</f>
        <v>2255994253.3693433</v>
      </c>
      <c r="S32">
        <f t="shared" ref="S32" si="138">R32/100000</f>
        <v>22559.942533693433</v>
      </c>
      <c r="T32">
        <f t="shared" ref="T32" si="139">S32/1000</f>
        <v>22.559942533693434</v>
      </c>
    </row>
    <row r="33" spans="1:20" x14ac:dyDescent="0.25">
      <c r="A33" s="5">
        <v>44560</v>
      </c>
      <c r="B33">
        <v>0.65720000000000001</v>
      </c>
      <c r="C33">
        <v>0.68100000000000005</v>
      </c>
      <c r="D33">
        <v>0.64370000000000005</v>
      </c>
      <c r="E33">
        <v>0.66890000000000005</v>
      </c>
      <c r="F33">
        <v>10677058</v>
      </c>
      <c r="G33">
        <v>0.66890000000000005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0.3512064343163539</v>
      </c>
      <c r="Q33">
        <f t="shared" ref="Q33" si="141">F33*P33</f>
        <v>3749851.469168901</v>
      </c>
      <c r="R33">
        <f t="shared" ref="R33" si="142">R34+Q33</f>
        <v>2260222805.8672857</v>
      </c>
      <c r="S33">
        <f t="shared" ref="S33" si="143">R33/100000</f>
        <v>22602.228058672856</v>
      </c>
      <c r="T33">
        <f t="shared" ref="T33" si="144">S33/1000</f>
        <v>22.602228058672857</v>
      </c>
    </row>
    <row r="34" spans="1:20" x14ac:dyDescent="0.25">
      <c r="A34" s="5">
        <v>44559</v>
      </c>
      <c r="B34">
        <v>0.69</v>
      </c>
      <c r="C34">
        <v>0.69610000000000005</v>
      </c>
      <c r="D34">
        <v>0.65169999999999995</v>
      </c>
      <c r="E34">
        <v>0.6573</v>
      </c>
      <c r="F34">
        <v>13313738</v>
      </c>
      <c r="G34">
        <v>0.6573</v>
      </c>
      <c r="L34" t="s">
        <v>7</v>
      </c>
      <c r="M34" t="s">
        <v>8</v>
      </c>
      <c r="N34" t="s">
        <v>7</v>
      </c>
      <c r="P34">
        <f t="shared" ref="P34" si="145">IF(C34=D34,0,((E34-D34)-(C34-E34))/(C34-D34))</f>
        <v>-0.74774774774774611</v>
      </c>
      <c r="Q34">
        <f t="shared" ref="Q34" si="146">F34*P34</f>
        <v>-9955317.603603581</v>
      </c>
      <c r="R34">
        <f t="shared" ref="R34" si="147">R35+Q34</f>
        <v>2256472954.3981171</v>
      </c>
      <c r="S34">
        <f t="shared" ref="S34" si="148">R34/100000</f>
        <v>22564.729543981171</v>
      </c>
      <c r="T34">
        <f t="shared" ref="T34" si="149">S34/1000</f>
        <v>22.564729543981173</v>
      </c>
    </row>
    <row r="35" spans="1:20" x14ac:dyDescent="0.25">
      <c r="A35" s="5">
        <v>44558</v>
      </c>
      <c r="B35">
        <v>0.75439999999999996</v>
      </c>
      <c r="C35">
        <v>0.75460000000000005</v>
      </c>
      <c r="D35">
        <v>0.68269999999999997</v>
      </c>
      <c r="E35">
        <v>0.69</v>
      </c>
      <c r="F35">
        <v>17568440</v>
      </c>
      <c r="G35">
        <v>0.69</v>
      </c>
      <c r="L35" t="s">
        <v>7</v>
      </c>
      <c r="M35" t="s">
        <v>8</v>
      </c>
      <c r="N35" t="s">
        <v>7</v>
      </c>
      <c r="P35">
        <f t="shared" ref="P35" si="150">IF(C35=D35,0,((E35-D35)-(C35-E35))/(C35-D35))</f>
        <v>-0.79694019471488275</v>
      </c>
      <c r="Q35">
        <f t="shared" ref="Q35" si="151">F35*P35</f>
        <v>-14000995.994436735</v>
      </c>
      <c r="R35">
        <f t="shared" ref="R35" si="152">R36+Q35</f>
        <v>2266428272.0017204</v>
      </c>
      <c r="S35">
        <f t="shared" ref="S35" si="153">R35/100000</f>
        <v>22664.282720017203</v>
      </c>
      <c r="T35">
        <f t="shared" ref="T35" si="154">S35/1000</f>
        <v>22.664282720017205</v>
      </c>
    </row>
    <row r="36" spans="1:20" x14ac:dyDescent="0.25">
      <c r="A36" s="5">
        <v>44557</v>
      </c>
      <c r="B36">
        <v>0.74819999999999998</v>
      </c>
      <c r="C36">
        <v>0.78090000000000004</v>
      </c>
      <c r="D36">
        <v>0.74370000000000003</v>
      </c>
      <c r="E36">
        <v>0.75439999999999996</v>
      </c>
      <c r="F36">
        <v>11098396</v>
      </c>
      <c r="G36">
        <v>0.75439999999999996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-0.42473118279570277</v>
      </c>
      <c r="Q36">
        <f t="shared" ref="Q36" si="156">F36*P36</f>
        <v>-4713834.8602150967</v>
      </c>
      <c r="R36">
        <f t="shared" ref="R36" si="157">R37+Q36</f>
        <v>2280429267.9961572</v>
      </c>
      <c r="S36">
        <f t="shared" ref="S36" si="158">R36/100000</f>
        <v>22804.292679961571</v>
      </c>
      <c r="T36">
        <f t="shared" ref="T36" si="159">S36/1000</f>
        <v>22.80429267996157</v>
      </c>
    </row>
    <row r="37" spans="1:20" x14ac:dyDescent="0.25">
      <c r="A37" s="5">
        <v>44556</v>
      </c>
      <c r="B37">
        <v>0.74250000000000005</v>
      </c>
      <c r="C37">
        <v>0.75019999999999998</v>
      </c>
      <c r="D37">
        <v>0.71919999999999995</v>
      </c>
      <c r="E37">
        <v>0.748</v>
      </c>
      <c r="F37">
        <v>8982358</v>
      </c>
      <c r="G37">
        <v>0.748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0.85806451612903367</v>
      </c>
      <c r="Q37">
        <f t="shared" ref="Q37" si="161">F37*P37</f>
        <v>7707442.6709677549</v>
      </c>
      <c r="R37">
        <f t="shared" ref="R37" si="162">R38+Q37</f>
        <v>2285143102.8563724</v>
      </c>
      <c r="S37">
        <f t="shared" ref="S37" si="163">R37/100000</f>
        <v>22851.431028563722</v>
      </c>
      <c r="T37">
        <f t="shared" ref="T37" si="164">S37/1000</f>
        <v>22.851431028563724</v>
      </c>
    </row>
    <row r="38" spans="1:20" x14ac:dyDescent="0.25">
      <c r="A38" s="5">
        <v>44555</v>
      </c>
      <c r="B38">
        <v>0.73929999999999996</v>
      </c>
      <c r="C38">
        <v>0.74880000000000002</v>
      </c>
      <c r="D38">
        <v>0.73150000000000004</v>
      </c>
      <c r="E38">
        <v>0.74250000000000005</v>
      </c>
      <c r="F38">
        <v>8494188</v>
      </c>
      <c r="G38">
        <v>0.74250000000000005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0.27167630057803716</v>
      </c>
      <c r="Q38">
        <f t="shared" ref="Q38" si="166">F38*P38</f>
        <v>2307669.5722543565</v>
      </c>
      <c r="R38">
        <f t="shared" ref="R38" si="167">R39+Q38</f>
        <v>2277435660.1854048</v>
      </c>
      <c r="S38">
        <f t="shared" ref="S38" si="168">R38/100000</f>
        <v>22774.356601854048</v>
      </c>
      <c r="T38">
        <f t="shared" ref="T38" si="169">S38/1000</f>
        <v>22.774356601854048</v>
      </c>
    </row>
    <row r="39" spans="1:20" x14ac:dyDescent="0.25">
      <c r="A39" s="5">
        <v>44554</v>
      </c>
      <c r="B39">
        <v>0.74760000000000004</v>
      </c>
      <c r="C39">
        <v>0.76449999999999996</v>
      </c>
      <c r="D39">
        <v>0.72770000000000001</v>
      </c>
      <c r="E39">
        <v>0.73919999999999997</v>
      </c>
      <c r="F39">
        <v>10685993</v>
      </c>
      <c r="G39">
        <v>0.73919999999999997</v>
      </c>
      <c r="L39" t="s">
        <v>8</v>
      </c>
      <c r="M39" t="s">
        <v>8</v>
      </c>
      <c r="N39" t="s">
        <v>7</v>
      </c>
      <c r="P39">
        <f t="shared" ref="P39" si="170">IF(C39=D39,0,((E39-D39)-(C39-E39))/(C39-D39))</f>
        <v>-0.3750000000000015</v>
      </c>
      <c r="Q39">
        <f t="shared" ref="Q39" si="171">F39*P39</f>
        <v>-4007247.3750000158</v>
      </c>
      <c r="R39">
        <f t="shared" ref="R39" si="172">R40+Q39</f>
        <v>2275127990.6131506</v>
      </c>
      <c r="S39">
        <f t="shared" ref="S39" si="173">R39/100000</f>
        <v>22751.279906131505</v>
      </c>
      <c r="T39">
        <f t="shared" ref="T39" si="174">S39/1000</f>
        <v>22.751279906131504</v>
      </c>
    </row>
    <row r="40" spans="1:20" x14ac:dyDescent="0.25">
      <c r="A40" s="5">
        <v>44553</v>
      </c>
      <c r="B40">
        <v>0.7107</v>
      </c>
      <c r="C40">
        <v>0.75049999999999994</v>
      </c>
      <c r="D40">
        <v>0.70030000000000003</v>
      </c>
      <c r="E40">
        <v>0.74760000000000004</v>
      </c>
      <c r="F40">
        <v>12410151</v>
      </c>
      <c r="G40">
        <v>0.74760000000000004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0.88446215139442597</v>
      </c>
      <c r="Q40">
        <f t="shared" ref="Q40" si="176">F40*P40</f>
        <v>10976308.852589687</v>
      </c>
      <c r="R40">
        <f t="shared" ref="R40" si="177">R41+Q40</f>
        <v>2279135237.9881506</v>
      </c>
      <c r="S40">
        <f t="shared" ref="S40" si="178">R40/100000</f>
        <v>22791.352379881508</v>
      </c>
      <c r="T40">
        <f t="shared" ref="T40" si="179">S40/1000</f>
        <v>22.791352379881509</v>
      </c>
    </row>
    <row r="41" spans="1:20" x14ac:dyDescent="0.25">
      <c r="A41" s="5">
        <v>44552</v>
      </c>
      <c r="B41">
        <v>0.70020000000000004</v>
      </c>
      <c r="C41">
        <v>0.72650000000000003</v>
      </c>
      <c r="D41">
        <v>0.69550000000000001</v>
      </c>
      <c r="E41">
        <v>0.7107</v>
      </c>
      <c r="F41">
        <v>10849760</v>
      </c>
      <c r="G41">
        <v>0.7107</v>
      </c>
      <c r="L41" t="s">
        <v>8</v>
      </c>
      <c r="M41" t="s">
        <v>7</v>
      </c>
      <c r="N41" t="s">
        <v>7</v>
      </c>
      <c r="P41">
        <f t="shared" ref="P41" si="180">IF(C41=D41,0,((E41-D41)-(C41-E41))/(C41-D41))</f>
        <v>-1.9354838709678853E-2</v>
      </c>
      <c r="Q41">
        <f t="shared" ref="Q41" si="181">F41*P41</f>
        <v>-209995.35483872524</v>
      </c>
      <c r="R41">
        <f t="shared" ref="R41" si="182">R42+Q41</f>
        <v>2268158929.135561</v>
      </c>
      <c r="S41">
        <f t="shared" ref="S41" si="183">R41/100000</f>
        <v>22681.589291355609</v>
      </c>
      <c r="T41">
        <f t="shared" ref="T41" si="184">S41/1000</f>
        <v>22.681589291355611</v>
      </c>
    </row>
    <row r="42" spans="1:20" x14ac:dyDescent="0.25">
      <c r="A42" s="5">
        <v>44551</v>
      </c>
      <c r="B42">
        <v>0.6734</v>
      </c>
      <c r="C42">
        <v>0.70830000000000004</v>
      </c>
      <c r="D42">
        <v>0.66539999999999999</v>
      </c>
      <c r="E42">
        <v>0.70020000000000004</v>
      </c>
      <c r="F42">
        <v>10610892</v>
      </c>
      <c r="G42">
        <v>0.70020000000000004</v>
      </c>
      <c r="L42" t="s">
        <v>8</v>
      </c>
      <c r="M42" t="s">
        <v>7</v>
      </c>
      <c r="N42" t="s">
        <v>7</v>
      </c>
      <c r="P42">
        <f t="shared" ref="P42" si="185">IF(C42=D42,0,((E42-D42)-(C42-E42))/(C42-D42))</f>
        <v>0.62237762237762295</v>
      </c>
      <c r="Q42">
        <f t="shared" ref="Q42" si="186">F42*P42</f>
        <v>6603981.73426574</v>
      </c>
      <c r="R42">
        <f t="shared" ref="R42" si="187">R43+Q42</f>
        <v>2268368924.4903998</v>
      </c>
      <c r="S42">
        <f t="shared" ref="S42" si="188">R42/100000</f>
        <v>22683.689244903999</v>
      </c>
      <c r="T42">
        <f t="shared" ref="T42" si="189">S42/1000</f>
        <v>22.683689244903999</v>
      </c>
    </row>
    <row r="43" spans="1:20" x14ac:dyDescent="0.25">
      <c r="A43" s="5">
        <v>44550</v>
      </c>
      <c r="B43">
        <v>0.6905</v>
      </c>
      <c r="C43">
        <v>0.70389999999999997</v>
      </c>
      <c r="D43">
        <v>0.64939999999999998</v>
      </c>
      <c r="E43">
        <v>0.67310000000000003</v>
      </c>
      <c r="F43">
        <v>14768712</v>
      </c>
      <c r="G43">
        <v>0.67310000000000003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-0.13027522935779606</v>
      </c>
      <c r="Q43">
        <f t="shared" ref="Q43" si="191">F43*P43</f>
        <v>-1923997.343119235</v>
      </c>
      <c r="R43">
        <f t="shared" ref="R43" si="192">R44+Q43</f>
        <v>2261764942.756134</v>
      </c>
      <c r="S43">
        <f t="shared" ref="S43" si="193">R43/100000</f>
        <v>22617.64942756134</v>
      </c>
      <c r="T43">
        <f t="shared" ref="T43" si="194">S43/1000</f>
        <v>22.617649427561339</v>
      </c>
    </row>
    <row r="44" spans="1:20" x14ac:dyDescent="0.25">
      <c r="A44" s="5">
        <v>44549</v>
      </c>
      <c r="B44">
        <v>0.68049999999999999</v>
      </c>
      <c r="C44">
        <v>0.70199999999999996</v>
      </c>
      <c r="D44">
        <v>0.67279999999999995</v>
      </c>
      <c r="E44">
        <v>0.69059999999999999</v>
      </c>
      <c r="F44">
        <v>10202655</v>
      </c>
      <c r="G44">
        <v>0.69059999999999999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0.21917808219178328</v>
      </c>
      <c r="Q44">
        <f t="shared" ref="Q44" si="196">F44*P44</f>
        <v>2236198.3561644088</v>
      </c>
      <c r="R44">
        <f t="shared" ref="R44" si="197">R45+Q44</f>
        <v>2263688940.0992532</v>
      </c>
      <c r="S44">
        <f t="shared" ref="S44" si="198">R44/100000</f>
        <v>22636.889400992532</v>
      </c>
      <c r="T44">
        <f t="shared" ref="T44" si="199">S44/1000</f>
        <v>22.63688940099253</v>
      </c>
    </row>
    <row r="45" spans="1:20" x14ac:dyDescent="0.25">
      <c r="A45" s="5">
        <v>44548</v>
      </c>
      <c r="B45">
        <v>0.67120000000000002</v>
      </c>
      <c r="C45">
        <v>0.69430000000000003</v>
      </c>
      <c r="D45">
        <v>0.6623</v>
      </c>
      <c r="E45">
        <v>0.6804</v>
      </c>
      <c r="F45">
        <v>8187641</v>
      </c>
      <c r="G45">
        <v>0.6804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0.13124999999999931</v>
      </c>
      <c r="Q45">
        <f t="shared" ref="Q45" si="201">F45*P45</f>
        <v>1074627.8812499943</v>
      </c>
      <c r="R45">
        <f t="shared" ref="R45" si="202">R46+Q45</f>
        <v>2261452741.7430887</v>
      </c>
      <c r="S45">
        <f t="shared" ref="S45" si="203">R45/100000</f>
        <v>22614.527417430887</v>
      </c>
      <c r="T45">
        <f t="shared" ref="T45" si="204">S45/1000</f>
        <v>22.614527417430885</v>
      </c>
    </row>
    <row r="46" spans="1:20" x14ac:dyDescent="0.25">
      <c r="A46" s="5">
        <v>44547</v>
      </c>
      <c r="B46">
        <v>0.67400000000000004</v>
      </c>
      <c r="C46">
        <v>0.69340000000000002</v>
      </c>
      <c r="D46">
        <v>0.65090000000000003</v>
      </c>
      <c r="E46">
        <v>0.67210000000000003</v>
      </c>
      <c r="F46">
        <v>14823818</v>
      </c>
      <c r="G46">
        <v>0.67210000000000003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-2.35294117647033E-3</v>
      </c>
      <c r="Q46">
        <f t="shared" ref="Q46" si="206">F46*P46</f>
        <v>-34879.571764702057</v>
      </c>
      <c r="R46">
        <f t="shared" ref="R46" si="207">R47+Q46</f>
        <v>2260378113.8618388</v>
      </c>
      <c r="S46">
        <f t="shared" ref="S46" si="208">R46/100000</f>
        <v>22603.781138618389</v>
      </c>
      <c r="T46">
        <f t="shared" ref="T46" si="209">S46/1000</f>
        <v>22.603781138618391</v>
      </c>
    </row>
    <row r="47" spans="1:20" x14ac:dyDescent="0.25">
      <c r="A47" s="5">
        <v>44546</v>
      </c>
      <c r="B47">
        <v>0.69779999999999998</v>
      </c>
      <c r="C47">
        <v>0.71309999999999996</v>
      </c>
      <c r="D47">
        <v>0.67259999999999998</v>
      </c>
      <c r="E47">
        <v>0.67349999999999999</v>
      </c>
      <c r="F47">
        <v>13283081</v>
      </c>
      <c r="G47">
        <v>0.67349999999999999</v>
      </c>
      <c r="L47" t="s">
        <v>8</v>
      </c>
      <c r="M47" t="s">
        <v>7</v>
      </c>
      <c r="N47" t="s">
        <v>7</v>
      </c>
      <c r="P47">
        <f t="shared" ref="P47" si="210">IF(C47=D47,0,((E47-D47)-(C47-E47))/(C47-D47))</f>
        <v>-0.95555555555555494</v>
      </c>
      <c r="Q47">
        <f t="shared" ref="Q47" si="211">F47*P47</f>
        <v>-12692721.844444437</v>
      </c>
      <c r="R47">
        <f t="shared" ref="R47" si="212">R48+Q47</f>
        <v>2260412993.4336033</v>
      </c>
      <c r="S47">
        <f t="shared" ref="S47" si="213">R47/100000</f>
        <v>22604.129934336033</v>
      </c>
      <c r="T47">
        <f t="shared" ref="T47" si="214">S47/1000</f>
        <v>22.604129934336033</v>
      </c>
    </row>
    <row r="48" spans="1:20" x14ac:dyDescent="0.25">
      <c r="A48" s="5">
        <v>44545</v>
      </c>
      <c r="B48">
        <v>0.67610000000000003</v>
      </c>
      <c r="C48">
        <v>0.70909999999999995</v>
      </c>
      <c r="D48">
        <v>0.64070000000000005</v>
      </c>
      <c r="E48">
        <v>0.69750000000000001</v>
      </c>
      <c r="F48">
        <v>17611185</v>
      </c>
      <c r="G48">
        <v>0.69750000000000001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0.66081871345029353</v>
      </c>
      <c r="Q48">
        <f t="shared" ref="Q48" si="216">F48*P48</f>
        <v>11637800.614035107</v>
      </c>
      <c r="R48">
        <f t="shared" ref="R48" si="217">R49+Q48</f>
        <v>2273105715.2780476</v>
      </c>
      <c r="S48">
        <f t="shared" ref="S48" si="218">R48/100000</f>
        <v>22731.057152780475</v>
      </c>
      <c r="T48">
        <f t="shared" ref="T48" si="219">S48/1000</f>
        <v>22.731057152780476</v>
      </c>
    </row>
    <row r="49" spans="1:20" x14ac:dyDescent="0.25">
      <c r="A49" s="5">
        <v>44544</v>
      </c>
      <c r="B49">
        <v>0.65390000000000004</v>
      </c>
      <c r="C49">
        <v>0.68359999999999999</v>
      </c>
      <c r="D49">
        <v>0.64239999999999997</v>
      </c>
      <c r="E49">
        <v>0.6764</v>
      </c>
      <c r="F49">
        <v>16298104</v>
      </c>
      <c r="G49">
        <v>0.6764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0.65048543689320482</v>
      </c>
      <c r="Q49">
        <f t="shared" ref="Q49" si="221">F49*P49</f>
        <v>10601679.30097089</v>
      </c>
      <c r="R49">
        <f t="shared" ref="R49" si="222">R50+Q49</f>
        <v>2261467914.6640124</v>
      </c>
      <c r="S49">
        <f t="shared" ref="S49" si="223">R49/100000</f>
        <v>22614.679146640123</v>
      </c>
      <c r="T49">
        <f t="shared" ref="T49" si="224">S49/1000</f>
        <v>22.614679146640121</v>
      </c>
    </row>
    <row r="50" spans="1:20" x14ac:dyDescent="0.25">
      <c r="A50" s="5">
        <v>44543</v>
      </c>
      <c r="B50">
        <v>0.72570000000000001</v>
      </c>
      <c r="C50">
        <v>0.73029999999999995</v>
      </c>
      <c r="D50">
        <v>0.64880000000000004</v>
      </c>
      <c r="E50">
        <v>0.65359999999999996</v>
      </c>
      <c r="F50">
        <v>16545988</v>
      </c>
      <c r="G50">
        <v>0.65359999999999996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-0.88220858895705712</v>
      </c>
      <c r="Q50">
        <f t="shared" ref="Q50" si="226">F50*P50</f>
        <v>-14597012.7263804</v>
      </c>
      <c r="R50">
        <f t="shared" ref="R50" si="227">R51+Q50</f>
        <v>2250866235.3630414</v>
      </c>
      <c r="S50">
        <f t="shared" ref="S50" si="228">R50/100000</f>
        <v>22508.662353630414</v>
      </c>
      <c r="T50">
        <f t="shared" ref="T50" si="229">S50/1000</f>
        <v>22.508662353630413</v>
      </c>
    </row>
    <row r="51" spans="1:20" x14ac:dyDescent="0.25">
      <c r="A51" s="5">
        <v>44542</v>
      </c>
      <c r="B51">
        <v>0.73640000000000005</v>
      </c>
      <c r="C51">
        <v>0.73770000000000002</v>
      </c>
      <c r="D51">
        <v>0.70599999999999996</v>
      </c>
      <c r="E51">
        <v>0.72570000000000001</v>
      </c>
      <c r="F51">
        <v>10667814</v>
      </c>
      <c r="G51">
        <v>0.72570000000000001</v>
      </c>
      <c r="L51" t="s">
        <v>8</v>
      </c>
      <c r="M51" t="s">
        <v>8</v>
      </c>
      <c r="N51" t="s">
        <v>7</v>
      </c>
      <c r="P51">
        <f t="shared" ref="P51" si="230">IF(C51=D51,0,((E51-D51)-(C51-E51))/(C51-D51))</f>
        <v>0.24290220820189354</v>
      </c>
      <c r="Q51">
        <f t="shared" ref="Q51" si="231">F51*P51</f>
        <v>2591235.5772870746</v>
      </c>
      <c r="R51">
        <f t="shared" ref="R51" si="232">R52+Q51</f>
        <v>2265463248.0894217</v>
      </c>
      <c r="S51">
        <f t="shared" ref="S51" si="233">R51/100000</f>
        <v>22654.632480894219</v>
      </c>
      <c r="T51">
        <f t="shared" ref="T51" si="234">S51/1000</f>
        <v>22.654632480894218</v>
      </c>
    </row>
    <row r="52" spans="1:20" x14ac:dyDescent="0.25">
      <c r="A52" s="5">
        <v>44541</v>
      </c>
      <c r="B52">
        <v>0.68789999999999996</v>
      </c>
      <c r="C52">
        <v>0.70130000000000003</v>
      </c>
      <c r="D52">
        <v>0.67769999999999997</v>
      </c>
      <c r="E52">
        <v>0.69630000000000003</v>
      </c>
      <c r="F52">
        <v>1037355</v>
      </c>
      <c r="G52">
        <v>0.69630000000000003</v>
      </c>
      <c r="L52" t="s">
        <v>7</v>
      </c>
      <c r="M52" t="s">
        <v>8</v>
      </c>
      <c r="N52" t="s">
        <v>7</v>
      </c>
      <c r="P52">
        <f t="shared" ref="P52" si="235">IF(C52=D52,0,((E52-D52)-(C52-E52))/(C52-D52))</f>
        <v>0.57627118644067876</v>
      </c>
      <c r="Q52">
        <f t="shared" ref="Q52" si="236">F52*P52</f>
        <v>597797.79661017028</v>
      </c>
      <c r="R52">
        <f t="shared" ref="R52" si="237">R53+Q52</f>
        <v>2262872012.5121346</v>
      </c>
      <c r="S52">
        <f t="shared" ref="S52" si="238">R52/100000</f>
        <v>22628.720125121345</v>
      </c>
      <c r="T52">
        <f t="shared" ref="T52" si="239">S52/1000</f>
        <v>22.628720125121344</v>
      </c>
    </row>
    <row r="53" spans="1:20" x14ac:dyDescent="0.25">
      <c r="A53" s="5">
        <v>44540</v>
      </c>
      <c r="B53">
        <v>0.71460000000000001</v>
      </c>
      <c r="C53">
        <v>0.74380000000000002</v>
      </c>
      <c r="D53">
        <v>0.68389999999999995</v>
      </c>
      <c r="E53">
        <v>0.68759999999999999</v>
      </c>
      <c r="F53">
        <v>21401938</v>
      </c>
      <c r="G53">
        <v>0.68759999999999999</v>
      </c>
      <c r="L53" t="s">
        <v>7</v>
      </c>
      <c r="M53" t="s">
        <v>8</v>
      </c>
      <c r="N53" t="s">
        <v>7</v>
      </c>
      <c r="P53">
        <f t="shared" ref="P53" si="240">IF(C53=D53,0,((E53-D53)-(C53-E53))/(C53-D53))</f>
        <v>-0.87646076794657657</v>
      </c>
      <c r="Q53">
        <f t="shared" ref="Q53" si="241">F53*P53</f>
        <v>-18757959.01502502</v>
      </c>
      <c r="R53">
        <f t="shared" ref="R53" si="242">R54+Q53</f>
        <v>2262274214.7155242</v>
      </c>
      <c r="S53">
        <f t="shared" ref="S53" si="243">R53/100000</f>
        <v>22622.742147155241</v>
      </c>
      <c r="T53">
        <f t="shared" ref="T53" si="244">S53/1000</f>
        <v>22.62274214715524</v>
      </c>
    </row>
    <row r="54" spans="1:20" x14ac:dyDescent="0.25">
      <c r="A54" s="5">
        <v>44539</v>
      </c>
      <c r="B54">
        <v>0.80720000000000003</v>
      </c>
      <c r="C54">
        <v>0.80969999999999998</v>
      </c>
      <c r="D54">
        <v>0.71279999999999999</v>
      </c>
      <c r="E54">
        <v>0.71550000000000002</v>
      </c>
      <c r="F54">
        <v>20766970</v>
      </c>
      <c r="G54">
        <v>0.71550000000000002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-0.94427244582043268</v>
      </c>
      <c r="Q54">
        <f t="shared" ref="Q54" si="246">F54*P54</f>
        <v>-19609677.554179549</v>
      </c>
      <c r="R54">
        <f t="shared" ref="R54" si="247">R55+Q54</f>
        <v>2281032173.7305493</v>
      </c>
      <c r="S54">
        <f t="shared" ref="S54" si="248">R54/100000</f>
        <v>22810.321737305494</v>
      </c>
      <c r="T54">
        <f t="shared" ref="T54" si="249">S54/1000</f>
        <v>22.810321737305493</v>
      </c>
    </row>
    <row r="55" spans="1:20" x14ac:dyDescent="0.25">
      <c r="A55" s="5">
        <v>44538</v>
      </c>
      <c r="B55">
        <v>0.76129999999999998</v>
      </c>
      <c r="C55">
        <v>0.81569999999999998</v>
      </c>
      <c r="D55">
        <v>0.74850000000000005</v>
      </c>
      <c r="E55">
        <v>0.80700000000000005</v>
      </c>
      <c r="F55">
        <v>33492383</v>
      </c>
      <c r="G55">
        <v>0.80700000000000005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0.74107142857143038</v>
      </c>
      <c r="Q55">
        <f t="shared" ref="Q55" si="251">F55*P55</f>
        <v>24820248.116071489</v>
      </c>
      <c r="R55">
        <f t="shared" ref="R55" si="252">R56+Q55</f>
        <v>2300641851.284729</v>
      </c>
      <c r="S55">
        <f t="shared" ref="S55" si="253">R55/100000</f>
        <v>23006.418512847289</v>
      </c>
      <c r="T55">
        <f t="shared" ref="T55" si="254">S55/1000</f>
        <v>23.00641851284729</v>
      </c>
    </row>
    <row r="56" spans="1:20" x14ac:dyDescent="0.25">
      <c r="A56" s="5">
        <v>44537</v>
      </c>
      <c r="B56">
        <v>0.75770000000000004</v>
      </c>
      <c r="C56">
        <v>0.79700000000000004</v>
      </c>
      <c r="D56">
        <v>0.74199999999999999</v>
      </c>
      <c r="E56">
        <v>0.76149999999999995</v>
      </c>
      <c r="F56">
        <v>21716449</v>
      </c>
      <c r="G56">
        <v>0.76149999999999995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-0.29090909090909295</v>
      </c>
      <c r="Q56">
        <f t="shared" ref="Q56" si="256">F56*P56</f>
        <v>-6317512.4363636803</v>
      </c>
      <c r="R56">
        <f t="shared" ref="R56" si="257">R57+Q56</f>
        <v>2275821603.1686573</v>
      </c>
      <c r="S56">
        <f t="shared" ref="S56" si="258">R56/100000</f>
        <v>22758.216031686574</v>
      </c>
      <c r="T56">
        <f t="shared" ref="T56" si="259">S56/1000</f>
        <v>22.758216031686572</v>
      </c>
    </row>
    <row r="57" spans="1:20" x14ac:dyDescent="0.25">
      <c r="A57" s="5">
        <v>44536</v>
      </c>
      <c r="B57">
        <v>0.73299999999999998</v>
      </c>
      <c r="C57">
        <v>0.76259999999999994</v>
      </c>
      <c r="D57">
        <v>0.66110000000000002</v>
      </c>
      <c r="E57">
        <v>0.75760000000000005</v>
      </c>
      <c r="F57">
        <v>38084371</v>
      </c>
      <c r="G57">
        <v>0.75760000000000005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0.90147783251231728</v>
      </c>
      <c r="Q57">
        <f t="shared" ref="Q57" si="261">F57*P57</f>
        <v>34332216.221674956</v>
      </c>
      <c r="R57">
        <f t="shared" ref="R57" si="262">R58+Q57</f>
        <v>2282139115.605021</v>
      </c>
      <c r="S57">
        <f t="shared" ref="S57" si="263">R57/100000</f>
        <v>22821.391156050209</v>
      </c>
      <c r="T57">
        <f t="shared" ref="T57" si="264">S57/1000</f>
        <v>22.821391156050208</v>
      </c>
    </row>
    <row r="58" spans="1:20" x14ac:dyDescent="0.25">
      <c r="A58" s="5">
        <v>44535</v>
      </c>
      <c r="B58">
        <v>0.79220000000000002</v>
      </c>
      <c r="C58">
        <v>0.80689999999999995</v>
      </c>
      <c r="D58">
        <v>0.70250000000000001</v>
      </c>
      <c r="E58">
        <v>0.73260000000000003</v>
      </c>
      <c r="F58">
        <v>34917884</v>
      </c>
      <c r="G58">
        <v>0.73260000000000003</v>
      </c>
      <c r="L58" t="s">
        <v>8</v>
      </c>
      <c r="M58" t="s">
        <v>8</v>
      </c>
      <c r="N58" t="s">
        <v>7</v>
      </c>
      <c r="P58">
        <f t="shared" ref="P58" si="265">IF(C58=D58,0,((E58-D58)-(C58-E58))/(C58-D58))</f>
        <v>-0.4233716475095779</v>
      </c>
      <c r="Q58">
        <f t="shared" ref="Q58" si="266">F58*P58</f>
        <v>-14783242.076628329</v>
      </c>
      <c r="R58">
        <f t="shared" ref="R58" si="267">R59+Q58</f>
        <v>2247806899.3833461</v>
      </c>
      <c r="S58">
        <f t="shared" ref="S58" si="268">R58/100000</f>
        <v>22478.068993833462</v>
      </c>
      <c r="T58">
        <f t="shared" ref="T58" si="269">S58/1000</f>
        <v>22.47806899383346</v>
      </c>
    </row>
    <row r="59" spans="1:20" x14ac:dyDescent="0.25">
      <c r="A59" s="5">
        <v>44534</v>
      </c>
      <c r="B59">
        <v>0.94810000000000005</v>
      </c>
      <c r="C59">
        <v>0.94879999999999998</v>
      </c>
      <c r="D59">
        <v>0.60350000000000004</v>
      </c>
      <c r="E59">
        <v>0.79220000000000002</v>
      </c>
      <c r="F59">
        <v>78270471.950000003</v>
      </c>
      <c r="G59">
        <v>0.79220000000000002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9.2962641181581304E-2</v>
      </c>
      <c r="Q59">
        <f t="shared" ref="Q59" si="271">F59*P59</f>
        <v>7276229.7990008742</v>
      </c>
      <c r="R59">
        <f t="shared" ref="R59" si="272">R60+Q59</f>
        <v>2262590141.4599743</v>
      </c>
      <c r="S59">
        <f t="shared" ref="S59" si="273">R59/100000</f>
        <v>22625.901414599743</v>
      </c>
      <c r="T59">
        <f t="shared" ref="T59" si="274">S59/1000</f>
        <v>22.625901414599742</v>
      </c>
    </row>
    <row r="60" spans="1:20" x14ac:dyDescent="0.25">
      <c r="A60" s="5">
        <v>44533</v>
      </c>
      <c r="B60">
        <v>1.0033000000000001</v>
      </c>
      <c r="C60">
        <v>1.0960000000000001</v>
      </c>
      <c r="D60">
        <v>0.9133</v>
      </c>
      <c r="E60">
        <v>0.94869999999999999</v>
      </c>
      <c r="F60">
        <v>67305431</v>
      </c>
      <c r="G60">
        <v>0.94869999999999999</v>
      </c>
      <c r="L60" t="s">
        <v>7</v>
      </c>
      <c r="M60" t="s">
        <v>8</v>
      </c>
      <c r="N60" t="s">
        <v>7</v>
      </c>
      <c r="P60">
        <f t="shared" ref="P60" si="275">IF(C60=D60,0,((E60-D60)-(C60-E60))/(C60-D60))</f>
        <v>-0.61247947454844043</v>
      </c>
      <c r="Q60">
        <f t="shared" ref="Q60" si="276">F60*P60</f>
        <v>-41223195.013136312</v>
      </c>
      <c r="R60">
        <f t="shared" ref="R60" si="277">R61+Q60</f>
        <v>2255313911.6609735</v>
      </c>
      <c r="S60">
        <f t="shared" ref="S60" si="278">R60/100000</f>
        <v>22553.139116609735</v>
      </c>
      <c r="T60">
        <f t="shared" ref="T60" si="279">S60/1000</f>
        <v>22.553139116609735</v>
      </c>
    </row>
    <row r="61" spans="1:20" x14ac:dyDescent="0.25">
      <c r="A61" s="5">
        <v>44532</v>
      </c>
      <c r="B61">
        <v>0.97360000000000002</v>
      </c>
      <c r="C61">
        <v>1.0227999999999999</v>
      </c>
      <c r="D61">
        <v>0.93340000000000001</v>
      </c>
      <c r="E61">
        <v>1.0033000000000001</v>
      </c>
      <c r="F61">
        <v>22357670</v>
      </c>
      <c r="G61">
        <v>1.0033000000000001</v>
      </c>
      <c r="L61" t="s">
        <v>7</v>
      </c>
      <c r="M61" t="s">
        <v>8</v>
      </c>
      <c r="N61" t="s">
        <v>7</v>
      </c>
      <c r="P61">
        <f t="shared" ref="P61" si="280">IF(C61=D61,0,((E61-D61)-(C61-E61))/(C61-D61))</f>
        <v>0.56375838926174793</v>
      </c>
      <c r="Q61">
        <f t="shared" ref="Q61" si="281">F61*P61</f>
        <v>12604324.026845703</v>
      </c>
      <c r="R61">
        <f t="shared" ref="R61" si="282">R62+Q61</f>
        <v>2296537106.6741099</v>
      </c>
      <c r="S61">
        <f t="shared" ref="S61" si="283">R61/100000</f>
        <v>22965.3710667411</v>
      </c>
      <c r="T61">
        <f t="shared" ref="T61" si="284">S61/1000</f>
        <v>22.965371066741099</v>
      </c>
    </row>
    <row r="62" spans="1:20" x14ac:dyDescent="0.25">
      <c r="A62" s="5">
        <v>44531</v>
      </c>
      <c r="B62">
        <v>0.98119999999999996</v>
      </c>
      <c r="C62">
        <v>0.99919999999999998</v>
      </c>
      <c r="D62">
        <v>0.95879999999999999</v>
      </c>
      <c r="E62">
        <v>0.97399999999999998</v>
      </c>
      <c r="F62">
        <v>13939430</v>
      </c>
      <c r="G62">
        <v>0.97399999999999998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-0.2475247524752478</v>
      </c>
      <c r="Q62">
        <f t="shared" ref="Q62" si="286">F62*P62</f>
        <v>-3450353.9603960435</v>
      </c>
      <c r="R62">
        <f t="shared" ref="R62" si="287">R63+Q62</f>
        <v>2283932782.647264</v>
      </c>
      <c r="S62">
        <f t="shared" ref="S62" si="288">R62/100000</f>
        <v>22839.32782647264</v>
      </c>
      <c r="T62">
        <f t="shared" ref="T62" si="289">S62/1000</f>
        <v>22.83932782647264</v>
      </c>
    </row>
    <row r="63" spans="1:20" x14ac:dyDescent="0.25">
      <c r="A63" s="5">
        <v>44530</v>
      </c>
      <c r="B63">
        <v>1.0471999999999999</v>
      </c>
      <c r="C63">
        <v>1.048</v>
      </c>
      <c r="D63">
        <v>0.97789999999999999</v>
      </c>
      <c r="E63">
        <v>0.98099999999999998</v>
      </c>
      <c r="F63">
        <v>20374463</v>
      </c>
      <c r="G63">
        <v>0.98099999999999998</v>
      </c>
      <c r="L63" t="s">
        <v>7</v>
      </c>
      <c r="M63" t="s">
        <v>8</v>
      </c>
      <c r="N63" t="s">
        <v>7</v>
      </c>
      <c r="P63">
        <f t="shared" ref="P63" si="290">IF(C63=D63,0,((E63-D63)-(C63-E63))/(C63-D63))</f>
        <v>-0.91155492154065654</v>
      </c>
      <c r="Q63">
        <f t="shared" ref="Q63" si="291">F63*P63</f>
        <v>-18572442.021398008</v>
      </c>
      <c r="R63">
        <f t="shared" ref="R63" si="292">R64+Q63</f>
        <v>2287383136.6076598</v>
      </c>
      <c r="S63">
        <f t="shared" ref="S63" si="293">R63/100000</f>
        <v>22873.8313660766</v>
      </c>
      <c r="T63">
        <f t="shared" ref="T63" si="294">S63/1000</f>
        <v>22.873831366076601</v>
      </c>
    </row>
    <row r="64" spans="1:20" x14ac:dyDescent="0.25">
      <c r="A64" s="5">
        <v>44529</v>
      </c>
      <c r="B64">
        <v>0.99139999999999995</v>
      </c>
      <c r="C64">
        <v>1.0485</v>
      </c>
      <c r="D64">
        <v>0.97389999999999999</v>
      </c>
      <c r="E64">
        <v>1.0471999999999999</v>
      </c>
      <c r="F64">
        <v>22866123</v>
      </c>
      <c r="G64">
        <v>1.0471999999999999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0.96514745308310779</v>
      </c>
      <c r="Q64">
        <f t="shared" ref="Q64" si="296">F64*P64</f>
        <v>22069180.375335071</v>
      </c>
      <c r="R64">
        <f t="shared" ref="R64" si="297">R65+Q64</f>
        <v>2305955578.6290579</v>
      </c>
      <c r="S64">
        <f t="shared" ref="S64" si="298">R64/100000</f>
        <v>23059.555786290577</v>
      </c>
      <c r="T64">
        <f t="shared" ref="T64" si="299">S64/1000</f>
        <v>23.059555786290577</v>
      </c>
    </row>
    <row r="65" spans="1:20" x14ac:dyDescent="0.25">
      <c r="A65" s="5">
        <v>44528</v>
      </c>
      <c r="B65">
        <v>1.0427</v>
      </c>
      <c r="C65">
        <v>1.0448</v>
      </c>
      <c r="D65">
        <v>0.92379999999999995</v>
      </c>
      <c r="E65">
        <v>0.99119999999999997</v>
      </c>
      <c r="F65">
        <v>29593755</v>
      </c>
      <c r="G65">
        <v>0.99119999999999997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0.11404958677685979</v>
      </c>
      <c r="Q65">
        <f t="shared" ref="Q65" si="301">F65*P65</f>
        <v>3375155.5289256284</v>
      </c>
      <c r="R65">
        <f t="shared" ref="R65" si="302">R66+Q65</f>
        <v>2283886398.2537227</v>
      </c>
      <c r="S65">
        <f t="shared" ref="S65" si="303">R65/100000</f>
        <v>22838.863982537227</v>
      </c>
      <c r="T65">
        <f t="shared" ref="T65" si="304">S65/1000</f>
        <v>22.838863982537227</v>
      </c>
    </row>
    <row r="66" spans="1:20" x14ac:dyDescent="0.25">
      <c r="A66" s="5">
        <v>44527</v>
      </c>
      <c r="B66">
        <v>0.96930000000000005</v>
      </c>
      <c r="C66">
        <v>1.0954999999999999</v>
      </c>
      <c r="D66">
        <v>0.96279999999999999</v>
      </c>
      <c r="E66">
        <v>1.0427</v>
      </c>
      <c r="F66">
        <v>42102361</v>
      </c>
      <c r="G66">
        <v>1.0427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0.20422004521477036</v>
      </c>
      <c r="Q66">
        <f t="shared" ref="Q66" si="306">F66*P66</f>
        <v>8598146.0670685843</v>
      </c>
      <c r="R66">
        <f t="shared" ref="R66" si="307">R67+Q66</f>
        <v>2280511242.7247972</v>
      </c>
      <c r="S66">
        <f t="shared" ref="S66" si="308">R66/100000</f>
        <v>22805.112427247972</v>
      </c>
      <c r="T66">
        <f t="shared" ref="T66" si="309">S66/1000</f>
        <v>22.805112427247973</v>
      </c>
    </row>
    <row r="67" spans="1:20" x14ac:dyDescent="0.25">
      <c r="A67" s="5">
        <v>44526</v>
      </c>
      <c r="B67">
        <v>1.0179</v>
      </c>
      <c r="C67">
        <v>1.0536000000000001</v>
      </c>
      <c r="D67">
        <v>0.90820000000000001</v>
      </c>
      <c r="E67">
        <v>0.96940000000000004</v>
      </c>
      <c r="F67">
        <v>41050445</v>
      </c>
      <c r="G67">
        <v>0.96940000000000004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-0.15818431911966993</v>
      </c>
      <c r="Q67">
        <f t="shared" ref="Q67" si="311">F67*P67</f>
        <v>-6493536.691884459</v>
      </c>
      <c r="R67">
        <f t="shared" ref="R67" si="312">R68+Q67</f>
        <v>2271913096.6577287</v>
      </c>
      <c r="S67">
        <f t="shared" ref="S67" si="313">R67/100000</f>
        <v>22719.130966577286</v>
      </c>
      <c r="T67">
        <f t="shared" ref="T67" si="314">S67/1000</f>
        <v>22.719130966577286</v>
      </c>
    </row>
    <row r="68" spans="1:20" x14ac:dyDescent="0.25">
      <c r="A68" s="5">
        <v>44525</v>
      </c>
      <c r="B68">
        <v>0.95440000000000003</v>
      </c>
      <c r="C68">
        <v>1.022</v>
      </c>
      <c r="D68">
        <v>0.94359999999999999</v>
      </c>
      <c r="E68">
        <v>1.0174000000000001</v>
      </c>
      <c r="F68">
        <v>19614862</v>
      </c>
      <c r="G68">
        <v>1.0174000000000001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0.88265306122449139</v>
      </c>
      <c r="Q68">
        <f t="shared" ref="Q68" si="316">F68*P68</f>
        <v>17313117.989795949</v>
      </c>
      <c r="R68">
        <f t="shared" ref="R68" si="317">R69+Q68</f>
        <v>2278406633.3496132</v>
      </c>
      <c r="S68">
        <f t="shared" ref="S68" si="318">R68/100000</f>
        <v>22784.066333496132</v>
      </c>
      <c r="T68">
        <f t="shared" ref="T68" si="319">S68/1000</f>
        <v>22.784066333496131</v>
      </c>
    </row>
    <row r="69" spans="1:20" x14ac:dyDescent="0.25">
      <c r="A69" s="5">
        <v>44524</v>
      </c>
      <c r="B69">
        <v>0.99970000000000003</v>
      </c>
      <c r="C69">
        <v>1.0091000000000001</v>
      </c>
      <c r="D69">
        <v>0.96209999999999996</v>
      </c>
      <c r="E69">
        <v>0.96860000000000002</v>
      </c>
      <c r="F69">
        <v>6539210</v>
      </c>
      <c r="G69">
        <v>0.96860000000000002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-0.7234042553191472</v>
      </c>
      <c r="Q69">
        <f t="shared" ref="Q69" si="321">F69*P69</f>
        <v>-4730492.3404255202</v>
      </c>
      <c r="R69">
        <f t="shared" ref="R69" si="322">R70+Q69</f>
        <v>2261093515.359817</v>
      </c>
      <c r="S69">
        <f t="shared" ref="S69" si="323">R69/100000</f>
        <v>22610.93515359817</v>
      </c>
      <c r="T69">
        <f t="shared" ref="T69" si="324">S69/1000</f>
        <v>22.61093515359817</v>
      </c>
    </row>
    <row r="70" spans="1:20" x14ac:dyDescent="0.25">
      <c r="A70" s="5">
        <v>44523</v>
      </c>
      <c r="B70">
        <v>0.94469999999999998</v>
      </c>
      <c r="C70">
        <v>1.0033000000000001</v>
      </c>
      <c r="D70">
        <v>0.93559999999999999</v>
      </c>
      <c r="E70">
        <v>1</v>
      </c>
      <c r="F70">
        <v>22079493</v>
      </c>
      <c r="G70">
        <v>1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0.90251107828655608</v>
      </c>
      <c r="Q70">
        <f t="shared" ref="Q70" si="326">F70*P70</f>
        <v>19926987.035450466</v>
      </c>
      <c r="R70">
        <f t="shared" ref="R70" si="327">R71+Q70</f>
        <v>2265824007.7002425</v>
      </c>
      <c r="S70">
        <f t="shared" ref="S70" si="328">R70/100000</f>
        <v>22658.240077002425</v>
      </c>
      <c r="T70">
        <f t="shared" ref="T70" si="329">S70/1000</f>
        <v>22.658240077002425</v>
      </c>
    </row>
    <row r="71" spans="1:20" x14ac:dyDescent="0.25">
      <c r="A71" s="5">
        <v>44522</v>
      </c>
      <c r="B71">
        <v>0.98260000000000003</v>
      </c>
      <c r="C71">
        <v>1.0196000000000001</v>
      </c>
      <c r="D71">
        <v>0.93149999999999999</v>
      </c>
      <c r="E71">
        <v>0.9446</v>
      </c>
      <c r="F71">
        <v>26767358</v>
      </c>
      <c r="G71">
        <v>0.9446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-0.70261066969353025</v>
      </c>
      <c r="Q71">
        <f t="shared" ref="Q71" si="331">F71*P71</f>
        <v>-18807031.330306474</v>
      </c>
      <c r="R71">
        <f t="shared" ref="R71" si="332">R72+Q71</f>
        <v>2245897020.6647921</v>
      </c>
      <c r="S71">
        <f t="shared" ref="S71" si="333">R71/100000</f>
        <v>22458.970206647922</v>
      </c>
      <c r="T71">
        <f t="shared" ref="T71" si="334">S71/1000</f>
        <v>22.458970206647923</v>
      </c>
    </row>
    <row r="72" spans="1:20" x14ac:dyDescent="0.25">
      <c r="A72" s="5">
        <v>44521</v>
      </c>
      <c r="B72">
        <v>0.98640000000000005</v>
      </c>
      <c r="C72">
        <v>1.0170999999999999</v>
      </c>
      <c r="D72">
        <v>0.97950000000000004</v>
      </c>
      <c r="E72">
        <v>0.98260000000000003</v>
      </c>
      <c r="F72">
        <v>22014707</v>
      </c>
      <c r="G72">
        <v>0.98260000000000003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-0.83510638297872319</v>
      </c>
      <c r="Q72">
        <f t="shared" ref="Q72" si="336">F72*P72</f>
        <v>-18384622.335106377</v>
      </c>
      <c r="R72">
        <f t="shared" ref="R72" si="337">R73+Q72</f>
        <v>2264704051.9950986</v>
      </c>
      <c r="S72">
        <f t="shared" ref="S72" si="338">R72/100000</f>
        <v>22647.040519950984</v>
      </c>
      <c r="T72">
        <f t="shared" ref="T72" si="339">S72/1000</f>
        <v>22.647040519950984</v>
      </c>
    </row>
    <row r="73" spans="1:20" x14ac:dyDescent="0.25">
      <c r="A73" s="5">
        <v>44520</v>
      </c>
      <c r="B73">
        <v>0.97070000000000001</v>
      </c>
      <c r="C73">
        <v>0.99439999999999995</v>
      </c>
      <c r="D73">
        <v>0.94830000000000003</v>
      </c>
      <c r="E73">
        <v>0.98629999999999995</v>
      </c>
      <c r="F73">
        <v>17283581</v>
      </c>
      <c r="G73">
        <v>0.98629999999999995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0.64859002169197355</v>
      </c>
      <c r="Q73">
        <f t="shared" ref="Q73" si="341">F73*P73</f>
        <v>11209958.175704982</v>
      </c>
      <c r="R73">
        <f t="shared" ref="R73" si="342">R74+Q73</f>
        <v>2283088674.330205</v>
      </c>
      <c r="S73">
        <f t="shared" ref="S73" si="343">R73/100000</f>
        <v>22830.88674330205</v>
      </c>
      <c r="T73">
        <f t="shared" ref="T73" si="344">S73/1000</f>
        <v>22.830886743302049</v>
      </c>
    </row>
    <row r="74" spans="1:20" x14ac:dyDescent="0.25">
      <c r="A74" s="5">
        <v>44519</v>
      </c>
      <c r="B74">
        <v>0.92169999999999996</v>
      </c>
      <c r="C74">
        <v>0.99650000000000005</v>
      </c>
      <c r="D74">
        <v>0.89949999999999997</v>
      </c>
      <c r="E74">
        <v>0.97060000000000002</v>
      </c>
      <c r="F74">
        <v>21996407</v>
      </c>
      <c r="G74">
        <v>0.97060000000000002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0.46597938144329876</v>
      </c>
      <c r="Q74">
        <f t="shared" ref="Q74" si="346">F74*P74</f>
        <v>10249872.127835046</v>
      </c>
      <c r="R74">
        <f t="shared" ref="R74" si="347">R75+Q74</f>
        <v>2271878716.1545</v>
      </c>
      <c r="S74">
        <f t="shared" ref="S74" si="348">R74/100000</f>
        <v>22718.787161544999</v>
      </c>
      <c r="T74">
        <f t="shared" ref="T74" si="349">S74/1000</f>
        <v>22.718787161544999</v>
      </c>
    </row>
    <row r="75" spans="1:20" x14ac:dyDescent="0.25">
      <c r="A75" s="5">
        <v>44518</v>
      </c>
      <c r="B75">
        <v>1.0065</v>
      </c>
      <c r="C75">
        <v>1.0253000000000001</v>
      </c>
      <c r="D75">
        <v>0.90129999999999999</v>
      </c>
      <c r="E75">
        <v>0.92200000000000004</v>
      </c>
      <c r="F75">
        <v>25862607</v>
      </c>
      <c r="G75">
        <v>0.92200000000000004</v>
      </c>
      <c r="L75" t="s">
        <v>8</v>
      </c>
      <c r="M75" t="s">
        <v>7</v>
      </c>
      <c r="N75" t="s">
        <v>7</v>
      </c>
      <c r="P75">
        <f t="shared" ref="P75" si="350">IF(C75=D75,0,((E75-D75)-(C75-E75))/(C75-D75))</f>
        <v>-0.66612903225806397</v>
      </c>
      <c r="Q75">
        <f t="shared" ref="Q75" si="351">F75*P75</f>
        <v>-17227833.372580633</v>
      </c>
      <c r="R75">
        <f t="shared" ref="R75" si="352">R76+Q75</f>
        <v>2261628844.0266647</v>
      </c>
      <c r="S75">
        <f t="shared" ref="S75" si="353">R75/100000</f>
        <v>22616.288440266646</v>
      </c>
      <c r="T75">
        <f t="shared" ref="T75" si="354">S75/1000</f>
        <v>22.616288440266647</v>
      </c>
    </row>
    <row r="76" spans="1:20" x14ac:dyDescent="0.25">
      <c r="A76" s="5">
        <v>44517</v>
      </c>
      <c r="B76">
        <v>0.98860000000000003</v>
      </c>
      <c r="C76">
        <v>1.0096000000000001</v>
      </c>
      <c r="D76">
        <v>0.9556</v>
      </c>
      <c r="E76">
        <v>1.0065</v>
      </c>
      <c r="F76">
        <v>30073885</v>
      </c>
      <c r="G76">
        <v>1.0065</v>
      </c>
      <c r="L76" t="s">
        <v>8</v>
      </c>
      <c r="M76" t="s">
        <v>7</v>
      </c>
      <c r="N76" t="s">
        <v>8</v>
      </c>
      <c r="P76">
        <f t="shared" ref="P76" si="355">IF(C76=D76,0,((E76-D76)-(C76-E76))/(C76-D76))</f>
        <v>0.88518518518518152</v>
      </c>
      <c r="Q76">
        <f t="shared" ref="Q76" si="356">F76*P76</f>
        <v>26620957.462962855</v>
      </c>
      <c r="R76">
        <f t="shared" ref="R76" si="357">R77+Q76</f>
        <v>2278856677.3992453</v>
      </c>
      <c r="S76">
        <f t="shared" ref="S76" si="358">R76/100000</f>
        <v>22788.566773992454</v>
      </c>
      <c r="T76">
        <f t="shared" ref="T76" si="359">S76/1000</f>
        <v>22.788566773992454</v>
      </c>
    </row>
    <row r="77" spans="1:20" x14ac:dyDescent="0.25">
      <c r="A77" s="5">
        <v>44516</v>
      </c>
      <c r="B77">
        <v>1.0616000000000001</v>
      </c>
      <c r="C77">
        <v>1.0619000000000001</v>
      </c>
      <c r="D77">
        <v>0.91949999999999998</v>
      </c>
      <c r="E77">
        <v>0.98799999999999999</v>
      </c>
      <c r="F77">
        <v>32103420</v>
      </c>
      <c r="G77">
        <v>0.98799999999999999</v>
      </c>
      <c r="L77" t="s">
        <v>7</v>
      </c>
      <c r="M77" t="s">
        <v>7</v>
      </c>
      <c r="N77" t="s">
        <v>8</v>
      </c>
      <c r="P77">
        <f t="shared" ref="P77" si="360">IF(C77=D77,0,((E77-D77)-(C77-E77))/(C77-D77))</f>
        <v>-3.7921348314607223E-2</v>
      </c>
      <c r="Q77">
        <f t="shared" ref="Q77" si="361">F77*P77</f>
        <v>-1217404.9719101279</v>
      </c>
      <c r="R77">
        <f t="shared" ref="R77" si="362">R78+Q77</f>
        <v>2252235719.9362826</v>
      </c>
      <c r="S77">
        <f t="shared" ref="S77" si="363">R77/100000</f>
        <v>22522.357199362825</v>
      </c>
      <c r="T77">
        <f t="shared" ref="T77" si="364">S77/1000</f>
        <v>22.522357199362826</v>
      </c>
    </row>
    <row r="78" spans="1:20" x14ac:dyDescent="0.25">
      <c r="A78" s="5">
        <v>44515</v>
      </c>
      <c r="B78">
        <v>1.1123000000000001</v>
      </c>
      <c r="C78">
        <v>1.1163000000000001</v>
      </c>
      <c r="D78">
        <v>1.0414000000000001</v>
      </c>
      <c r="E78">
        <v>1.0615000000000001</v>
      </c>
      <c r="F78">
        <v>18610680</v>
      </c>
      <c r="G78">
        <v>1.0615000000000001</v>
      </c>
      <c r="L78" t="s">
        <v>8</v>
      </c>
      <c r="M78" t="s">
        <v>7</v>
      </c>
      <c r="N78" t="s">
        <v>8</v>
      </c>
      <c r="P78">
        <f t="shared" ref="P78" si="365">IF(C78=D78,0,((E78-D78)-(C78-E78))/(C78-D78))</f>
        <v>-0.4632843791722292</v>
      </c>
      <c r="Q78">
        <f t="shared" ref="Q78" si="366">F78*P78</f>
        <v>-8622037.3297730219</v>
      </c>
      <c r="R78">
        <f t="shared" ref="R78" si="367">R79+Q78</f>
        <v>2253453124.9081926</v>
      </c>
      <c r="S78">
        <f t="shared" ref="S78" si="368">R78/100000</f>
        <v>22534.531249081927</v>
      </c>
      <c r="T78">
        <f t="shared" ref="T78" si="369">S78/1000</f>
        <v>22.534531249081926</v>
      </c>
    </row>
    <row r="79" spans="1:20" x14ac:dyDescent="0.25">
      <c r="A79" s="5">
        <v>44514</v>
      </c>
      <c r="B79">
        <v>1.0743</v>
      </c>
      <c r="C79">
        <v>1.1187</v>
      </c>
      <c r="D79">
        <v>1.0742</v>
      </c>
      <c r="E79">
        <v>1.1121000000000001</v>
      </c>
      <c r="F79">
        <v>20997886</v>
      </c>
      <c r="G79">
        <v>1.1121000000000001</v>
      </c>
      <c r="L79" t="s">
        <v>8</v>
      </c>
      <c r="M79" t="s">
        <v>7</v>
      </c>
      <c r="N79" t="s">
        <v>8</v>
      </c>
      <c r="P79">
        <f t="shared" ref="P79" si="370">IF(C79=D79,0,((E79-D79)-(C79-E79))/(C79-D79))</f>
        <v>0.70337078651685658</v>
      </c>
      <c r="Q79">
        <f t="shared" ref="Q79" si="371">F79*P79</f>
        <v>14769299.591011291</v>
      </c>
      <c r="R79">
        <f t="shared" ref="R79" si="372">R80+Q79</f>
        <v>2262075162.2379656</v>
      </c>
      <c r="S79">
        <f t="shared" ref="S79" si="373">R79/100000</f>
        <v>22620.751622379656</v>
      </c>
      <c r="T79">
        <f t="shared" ref="T79" si="374">S79/1000</f>
        <v>22.620751622379654</v>
      </c>
    </row>
    <row r="80" spans="1:20" x14ac:dyDescent="0.25">
      <c r="A80" s="5">
        <v>44513</v>
      </c>
      <c r="B80">
        <v>1.0431999999999999</v>
      </c>
      <c r="C80">
        <v>1.0961000000000001</v>
      </c>
      <c r="D80">
        <v>1.0327999999999999</v>
      </c>
      <c r="E80">
        <v>1.0743</v>
      </c>
      <c r="F80">
        <v>15761513</v>
      </c>
      <c r="G80">
        <v>1.0743</v>
      </c>
      <c r="L80" t="s">
        <v>8</v>
      </c>
      <c r="M80" t="s">
        <v>7</v>
      </c>
      <c r="N80" t="s">
        <v>8</v>
      </c>
      <c r="P80">
        <f t="shared" ref="P80" si="375">IF(C80=D80,0,((E80-D80)-(C80-E80))/(C80-D80))</f>
        <v>0.31121642969984215</v>
      </c>
      <c r="Q80">
        <f t="shared" ref="Q80" si="376">F80*P80</f>
        <v>4905241.8025276484</v>
      </c>
      <c r="R80">
        <f t="shared" ref="R80" si="377">R81+Q80</f>
        <v>2247305862.6469541</v>
      </c>
      <c r="S80">
        <f t="shared" ref="S80" si="378">R80/100000</f>
        <v>22473.058626469541</v>
      </c>
      <c r="T80">
        <f t="shared" ref="T80" si="379">S80/1000</f>
        <v>22.473058626469541</v>
      </c>
    </row>
    <row r="81" spans="1:20" x14ac:dyDescent="0.25">
      <c r="A81" s="5">
        <v>44512</v>
      </c>
      <c r="B81">
        <v>1.0634999999999999</v>
      </c>
      <c r="C81">
        <v>1.0726</v>
      </c>
      <c r="D81">
        <v>1.0045999999999999</v>
      </c>
      <c r="E81">
        <v>1.0437000000000001</v>
      </c>
      <c r="F81">
        <v>21243910</v>
      </c>
      <c r="G81">
        <v>1.0437000000000001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0.15000000000000294</v>
      </c>
      <c r="Q81">
        <f t="shared" ref="Q81" si="381">F81*P81</f>
        <v>3186586.5000000624</v>
      </c>
      <c r="R81">
        <f t="shared" ref="R81" si="382">R82+Q81</f>
        <v>2242400620.8444266</v>
      </c>
      <c r="S81">
        <f t="shared" ref="S81" si="383">R81/100000</f>
        <v>22424.006208444265</v>
      </c>
      <c r="T81">
        <f t="shared" ref="T81" si="384">S81/1000</f>
        <v>22.424006208444265</v>
      </c>
    </row>
    <row r="82" spans="1:20" x14ac:dyDescent="0.25">
      <c r="A82" s="5">
        <v>44511</v>
      </c>
      <c r="B82">
        <v>1.0678000000000001</v>
      </c>
      <c r="C82">
        <v>1.0898000000000001</v>
      </c>
      <c r="D82">
        <v>1.042</v>
      </c>
      <c r="E82">
        <v>1.0636000000000001</v>
      </c>
      <c r="F82">
        <v>22464266</v>
      </c>
      <c r="G82">
        <v>1.0636000000000001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-9.623430962342952E-2</v>
      </c>
      <c r="Q82">
        <f t="shared" ref="Q82" si="386">F82*P82</f>
        <v>-2161833.1297070808</v>
      </c>
      <c r="R82">
        <f t="shared" ref="R82" si="387">R83+Q82</f>
        <v>2239214034.3444266</v>
      </c>
      <c r="S82">
        <f t="shared" ref="S82" si="388">R82/100000</f>
        <v>22392.140343444265</v>
      </c>
      <c r="T82">
        <f t="shared" ref="T82" si="389">S82/1000</f>
        <v>22.392140343444265</v>
      </c>
    </row>
    <row r="83" spans="1:20" x14ac:dyDescent="0.25">
      <c r="A83" s="5">
        <v>44510</v>
      </c>
      <c r="B83">
        <v>1.1931</v>
      </c>
      <c r="C83">
        <v>1.1958</v>
      </c>
      <c r="D83">
        <v>0.9839</v>
      </c>
      <c r="E83">
        <v>1.0680000000000001</v>
      </c>
      <c r="F83">
        <v>48768595</v>
      </c>
      <c r="G83">
        <v>1.0680000000000001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-0.20622935346861659</v>
      </c>
      <c r="Q83">
        <f t="shared" ref="Q83" si="391">F83*P83</f>
        <v>-10057515.816422807</v>
      </c>
      <c r="R83">
        <f t="shared" ref="R83" si="392">R84+Q83</f>
        <v>2241375867.4741335</v>
      </c>
      <c r="S83">
        <f t="shared" ref="S83" si="393">R83/100000</f>
        <v>22413.758674741333</v>
      </c>
      <c r="T83">
        <f t="shared" ref="T83" si="394">S83/1000</f>
        <v>22.413758674741334</v>
      </c>
    </row>
    <row r="84" spans="1:20" x14ac:dyDescent="0.25">
      <c r="A84" s="5">
        <v>44509</v>
      </c>
      <c r="B84">
        <v>1.0833999999999999</v>
      </c>
      <c r="C84">
        <v>1.234</v>
      </c>
      <c r="D84">
        <v>1.0765</v>
      </c>
      <c r="E84">
        <v>1.1931</v>
      </c>
      <c r="F84">
        <v>56979230</v>
      </c>
      <c r="G84">
        <v>1.1931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0.48063492063492136</v>
      </c>
      <c r="Q84">
        <f t="shared" ref="Q84" si="396">F84*P84</f>
        <v>27386207.68888893</v>
      </c>
      <c r="R84">
        <f t="shared" ref="R84" si="397">R85+Q84</f>
        <v>2251433383.2905564</v>
      </c>
      <c r="S84">
        <f t="shared" ref="S84" si="398">R84/100000</f>
        <v>22514.333832905566</v>
      </c>
      <c r="T84">
        <f t="shared" ref="T84" si="399">S84/1000</f>
        <v>22.514333832905567</v>
      </c>
    </row>
    <row r="85" spans="1:20" x14ac:dyDescent="0.25">
      <c r="A85" s="5">
        <v>44508</v>
      </c>
      <c r="B85">
        <v>1.0632999999999999</v>
      </c>
      <c r="C85">
        <v>1.0844</v>
      </c>
      <c r="D85">
        <v>1.032</v>
      </c>
      <c r="E85">
        <v>1.0833999999999999</v>
      </c>
      <c r="F85">
        <v>24880121</v>
      </c>
      <c r="G85">
        <v>1.0833999999999999</v>
      </c>
      <c r="L85" t="s">
        <v>7</v>
      </c>
      <c r="M85" t="s">
        <v>8</v>
      </c>
      <c r="N85" t="s">
        <v>8</v>
      </c>
      <c r="P85">
        <f t="shared" ref="P85" si="400">IF(C85=D85,0,((E85-D85)-(C85-E85))/(C85-D85))</f>
        <v>0.96183206106869801</v>
      </c>
      <c r="Q85">
        <f t="shared" ref="Q85" si="401">F85*P85</f>
        <v>23930498.061068594</v>
      </c>
      <c r="R85">
        <f t="shared" ref="R85" si="402">R86+Q85</f>
        <v>2224047175.6016674</v>
      </c>
      <c r="S85">
        <f t="shared" ref="S85" si="403">R85/100000</f>
        <v>22240.471756016675</v>
      </c>
      <c r="T85">
        <f t="shared" ref="T85" si="404">S85/1000</f>
        <v>22.240471756016674</v>
      </c>
    </row>
    <row r="86" spans="1:20" x14ac:dyDescent="0.25">
      <c r="A86" s="5">
        <v>44507</v>
      </c>
      <c r="B86">
        <v>1.0668</v>
      </c>
      <c r="C86">
        <v>1.0906</v>
      </c>
      <c r="D86">
        <v>1.048</v>
      </c>
      <c r="E86">
        <v>1.0632999999999999</v>
      </c>
      <c r="F86">
        <v>14919330</v>
      </c>
      <c r="G86">
        <v>1.0632999999999999</v>
      </c>
      <c r="L86" t="s">
        <v>7</v>
      </c>
      <c r="M86" t="s">
        <v>8</v>
      </c>
      <c r="N86" t="s">
        <v>8</v>
      </c>
      <c r="P86">
        <f t="shared" ref="P86" si="405">IF(C86=D86,0,((E86-D86)-(C86-E86))/(C86-D86))</f>
        <v>-0.2816901408450761</v>
      </c>
      <c r="Q86">
        <f t="shared" ref="Q86" si="406">F86*P86</f>
        <v>-4202628.1690141689</v>
      </c>
      <c r="R86">
        <f t="shared" ref="R86" si="407">R87+Q86</f>
        <v>2200116677.5405989</v>
      </c>
      <c r="S86">
        <f t="shared" ref="S86" si="408">R86/100000</f>
        <v>22001.166775405989</v>
      </c>
      <c r="T86">
        <f t="shared" ref="T86" si="409">S86/1000</f>
        <v>22.001166775405988</v>
      </c>
    </row>
    <row r="87" spans="1:20" x14ac:dyDescent="0.25">
      <c r="A87" s="5">
        <v>44506</v>
      </c>
      <c r="B87">
        <v>1.1267</v>
      </c>
      <c r="C87">
        <v>1.1368</v>
      </c>
      <c r="D87">
        <v>1.0361</v>
      </c>
      <c r="E87">
        <v>1.0667</v>
      </c>
      <c r="F87">
        <v>24108729</v>
      </c>
      <c r="G87">
        <v>1.0667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-0.39225422045680325</v>
      </c>
      <c r="Q87">
        <f t="shared" ref="Q87" si="411">F87*P87</f>
        <v>-9456750.7000993248</v>
      </c>
      <c r="R87">
        <f t="shared" ref="R87" si="412">R88+Q87</f>
        <v>2204319305.7096128</v>
      </c>
      <c r="S87">
        <f t="shared" ref="S87" si="413">R87/100000</f>
        <v>22043.193057096127</v>
      </c>
      <c r="T87">
        <f t="shared" ref="T87" si="414">S87/1000</f>
        <v>22.043193057096126</v>
      </c>
    </row>
    <row r="88" spans="1:20" x14ac:dyDescent="0.25">
      <c r="A88" s="5">
        <v>44505</v>
      </c>
      <c r="B88">
        <v>1.1242000000000001</v>
      </c>
      <c r="C88">
        <v>1.1694</v>
      </c>
      <c r="D88">
        <v>1.0911999999999999</v>
      </c>
      <c r="E88">
        <v>1.1266</v>
      </c>
      <c r="F88">
        <v>35856976</v>
      </c>
      <c r="G88">
        <v>1.1266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-9.4629156010228213E-2</v>
      </c>
      <c r="Q88">
        <f t="shared" ref="Q88" si="416">F88*P88</f>
        <v>-3393115.3759590089</v>
      </c>
      <c r="R88">
        <f t="shared" ref="R88" si="417">R89+Q88</f>
        <v>2213776056.4097123</v>
      </c>
      <c r="S88">
        <f t="shared" ref="S88" si="418">R88/100000</f>
        <v>22137.760564097123</v>
      </c>
      <c r="T88">
        <f t="shared" ref="T88" si="419">S88/1000</f>
        <v>22.137760564097125</v>
      </c>
    </row>
    <row r="89" spans="1:20" x14ac:dyDescent="0.25">
      <c r="A89" s="5">
        <v>44504</v>
      </c>
      <c r="B89">
        <v>1.0725</v>
      </c>
      <c r="C89">
        <v>1.1325000000000001</v>
      </c>
      <c r="D89">
        <v>1.02</v>
      </c>
      <c r="E89">
        <v>1.1242000000000001</v>
      </c>
      <c r="F89">
        <v>44067270</v>
      </c>
      <c r="G89">
        <v>1.1242000000000001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0.852444444444445</v>
      </c>
      <c r="Q89">
        <f t="shared" ref="Q89" si="421">F89*P89</f>
        <v>37564899.493333355</v>
      </c>
      <c r="R89">
        <f t="shared" ref="R89" si="422">R90+Q89</f>
        <v>2217169171.7856712</v>
      </c>
      <c r="S89">
        <f t="shared" ref="S89" si="423">R89/100000</f>
        <v>22171.691717856713</v>
      </c>
      <c r="T89">
        <f t="shared" ref="T89" si="424">S89/1000</f>
        <v>22.171691717856714</v>
      </c>
    </row>
    <row r="90" spans="1:20" x14ac:dyDescent="0.25">
      <c r="A90" s="5">
        <v>44503</v>
      </c>
      <c r="B90">
        <v>1.0418000000000001</v>
      </c>
      <c r="C90">
        <v>1.1200000000000001</v>
      </c>
      <c r="D90">
        <v>1.0024999999999999</v>
      </c>
      <c r="E90">
        <v>1.0725</v>
      </c>
      <c r="F90">
        <v>41042590</v>
      </c>
      <c r="G90">
        <v>1.0725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0.1914893617021271</v>
      </c>
      <c r="Q90">
        <f t="shared" ref="Q90" si="426">F90*P90</f>
        <v>7859219.361702105</v>
      </c>
      <c r="R90">
        <f t="shared" ref="R90" si="427">R91+Q90</f>
        <v>2179604272.2923379</v>
      </c>
      <c r="S90">
        <f t="shared" ref="S90" si="428">R90/100000</f>
        <v>21796.042722923379</v>
      </c>
      <c r="T90">
        <f t="shared" ref="T90" si="429">S90/1000</f>
        <v>21.796042722923378</v>
      </c>
    </row>
    <row r="91" spans="1:20" x14ac:dyDescent="0.25">
      <c r="A91" s="5">
        <v>44502</v>
      </c>
      <c r="B91">
        <v>1.0276000000000001</v>
      </c>
      <c r="C91">
        <v>1.0579000000000001</v>
      </c>
      <c r="D91">
        <v>1.0048999999999999</v>
      </c>
      <c r="E91">
        <v>1.0417000000000001</v>
      </c>
      <c r="F91">
        <v>22360012</v>
      </c>
      <c r="G91">
        <v>1.0417000000000001</v>
      </c>
      <c r="L91" t="s">
        <v>7</v>
      </c>
      <c r="M91" t="s">
        <v>7</v>
      </c>
      <c r="N91" t="s">
        <v>8</v>
      </c>
      <c r="P91">
        <f t="shared" ref="P91" si="430">IF(C91=D91,0,((E91-D91)-(C91-E91))/(C91-D91))</f>
        <v>0.388679245283021</v>
      </c>
      <c r="Q91">
        <f t="shared" ref="Q91" si="431">F91*P91</f>
        <v>8690872.5886792932</v>
      </c>
      <c r="R91">
        <f t="shared" ref="R91" si="432">R92+Q91</f>
        <v>2171745052.9306359</v>
      </c>
      <c r="S91">
        <f t="shared" ref="S91" si="433">R91/100000</f>
        <v>21717.450529306359</v>
      </c>
      <c r="T91">
        <f t="shared" ref="T91" si="434">S91/1000</f>
        <v>21.717450529306358</v>
      </c>
    </row>
    <row r="92" spans="1:20" x14ac:dyDescent="0.25">
      <c r="A92" s="5">
        <v>44501</v>
      </c>
      <c r="B92">
        <v>1.0445</v>
      </c>
      <c r="C92">
        <v>1.1299999999999999</v>
      </c>
      <c r="D92">
        <v>0.95009999999999994</v>
      </c>
      <c r="E92">
        <v>1.0276000000000001</v>
      </c>
      <c r="F92">
        <v>41809482</v>
      </c>
      <c r="G92">
        <v>1.0276000000000001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-0.1384102279043897</v>
      </c>
      <c r="Q92">
        <f t="shared" ref="Q92" si="436">F92*P92</f>
        <v>-5786859.9321844792</v>
      </c>
      <c r="R92">
        <f t="shared" ref="R92" si="437">R93+Q92</f>
        <v>2163054180.3419566</v>
      </c>
      <c r="S92">
        <f t="shared" ref="S92" si="438">R92/100000</f>
        <v>21630.541803419565</v>
      </c>
      <c r="T92">
        <f t="shared" ref="T92" si="439">S92/1000</f>
        <v>21.630541803419565</v>
      </c>
    </row>
    <row r="93" spans="1:20" x14ac:dyDescent="0.25">
      <c r="A93" s="5">
        <v>44500</v>
      </c>
      <c r="B93">
        <v>0.99509999999999998</v>
      </c>
      <c r="C93">
        <v>1.1246</v>
      </c>
      <c r="D93">
        <v>0.98009999999999997</v>
      </c>
      <c r="E93">
        <v>1.0442</v>
      </c>
      <c r="F93">
        <v>69343580</v>
      </c>
      <c r="G93">
        <v>1.0442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-0.11280276816608978</v>
      </c>
      <c r="Q93">
        <f t="shared" ref="Q93" si="441">F93*P93</f>
        <v>-7822147.7785467003</v>
      </c>
      <c r="R93">
        <f t="shared" ref="R93" si="442">R94+Q93</f>
        <v>2168841040.2741413</v>
      </c>
      <c r="S93">
        <f t="shared" ref="S93" si="443">R93/100000</f>
        <v>21688.410402741414</v>
      </c>
      <c r="T93">
        <f t="shared" ref="T93" si="444">S93/1000</f>
        <v>21.688410402741415</v>
      </c>
    </row>
    <row r="94" spans="1:20" x14ac:dyDescent="0.25">
      <c r="A94" s="5">
        <v>44499</v>
      </c>
      <c r="B94">
        <v>0.92830000000000001</v>
      </c>
      <c r="C94">
        <v>1.0347</v>
      </c>
      <c r="D94">
        <v>0.89690000000000003</v>
      </c>
      <c r="E94">
        <v>0.99429999999999996</v>
      </c>
      <c r="F94">
        <v>42970805</v>
      </c>
      <c r="G94">
        <v>0.99429999999999996</v>
      </c>
      <c r="L94" t="s">
        <v>8</v>
      </c>
      <c r="M94" t="s">
        <v>8</v>
      </c>
      <c r="N94" t="s">
        <v>7</v>
      </c>
      <c r="P94">
        <f t="shared" ref="P94" si="445">IF(C94=D94,0,((E94-D94)-(C94-E94))/(C94-D94))</f>
        <v>0.41364296081277191</v>
      </c>
      <c r="Q94">
        <f t="shared" ref="Q94" si="446">F94*P94</f>
        <v>17774571.008708265</v>
      </c>
      <c r="R94">
        <f t="shared" ref="R94" si="447">R95+Q94</f>
        <v>2176663188.0526881</v>
      </c>
      <c r="S94">
        <f t="shared" ref="S94" si="448">R94/100000</f>
        <v>21766.631880526882</v>
      </c>
      <c r="T94">
        <f t="shared" ref="T94" si="449">S94/1000</f>
        <v>21.766631880526884</v>
      </c>
    </row>
    <row r="95" spans="1:20" x14ac:dyDescent="0.25">
      <c r="A95" s="5">
        <v>44498</v>
      </c>
      <c r="B95">
        <v>0.89129999999999998</v>
      </c>
      <c r="C95">
        <v>0.93559999999999999</v>
      </c>
      <c r="D95">
        <v>0.87919999999999998</v>
      </c>
      <c r="E95">
        <v>0.92800000000000005</v>
      </c>
      <c r="F95">
        <v>21611948</v>
      </c>
      <c r="G95">
        <v>0.92800000000000005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0.73049645390071138</v>
      </c>
      <c r="Q95">
        <f t="shared" ref="Q95" si="451">F95*P95</f>
        <v>15787451.375886573</v>
      </c>
      <c r="R95">
        <f t="shared" ref="R95" si="452">R96+Q95</f>
        <v>2158888617.0439796</v>
      </c>
      <c r="S95">
        <f t="shared" ref="S95" si="453">R95/100000</f>
        <v>21588.886170439797</v>
      </c>
      <c r="T95">
        <f t="shared" ref="T95" si="454">S95/1000</f>
        <v>21.588886170439796</v>
      </c>
    </row>
    <row r="96" spans="1:20" x14ac:dyDescent="0.25">
      <c r="A96" s="5">
        <v>44497</v>
      </c>
      <c r="B96">
        <v>0.85270000000000001</v>
      </c>
      <c r="C96">
        <v>0.89580000000000004</v>
      </c>
      <c r="D96">
        <v>0.83909999999999996</v>
      </c>
      <c r="E96">
        <v>0.8911</v>
      </c>
      <c r="F96">
        <v>26065630</v>
      </c>
      <c r="G96">
        <v>0.8911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0.83421516754849978</v>
      </c>
      <c r="Q96">
        <f t="shared" ref="Q96" si="456">F96*P96</f>
        <v>21744343.897707202</v>
      </c>
      <c r="R96">
        <f t="shared" ref="R96" si="457">R97+Q96</f>
        <v>2143101165.6680932</v>
      </c>
      <c r="S96">
        <f t="shared" ref="S96" si="458">R96/100000</f>
        <v>21431.011656680934</v>
      </c>
      <c r="T96">
        <f t="shared" ref="T96" si="459">S96/1000</f>
        <v>21.431011656680933</v>
      </c>
    </row>
    <row r="97" spans="1:20" x14ac:dyDescent="0.25">
      <c r="A97" s="5">
        <v>44496</v>
      </c>
      <c r="B97">
        <v>0.97240000000000004</v>
      </c>
      <c r="C97">
        <v>0.98260000000000003</v>
      </c>
      <c r="D97">
        <v>0.78</v>
      </c>
      <c r="E97">
        <v>0.85299999999999998</v>
      </c>
      <c r="F97">
        <v>46187292</v>
      </c>
      <c r="G97">
        <v>0.85299999999999998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-0.27936821322803601</v>
      </c>
      <c r="Q97">
        <f t="shared" ref="Q97" si="461">F97*P97</f>
        <v>-12903261.239881562</v>
      </c>
      <c r="R97">
        <f t="shared" ref="R97" si="462">R98+Q97</f>
        <v>2121356821.770386</v>
      </c>
      <c r="S97">
        <f t="shared" ref="S97" si="463">R97/100000</f>
        <v>21213.568217703862</v>
      </c>
      <c r="T97">
        <f t="shared" ref="T97" si="464">S97/1000</f>
        <v>21.213568217703862</v>
      </c>
    </row>
    <row r="98" spans="1:20" x14ac:dyDescent="0.25">
      <c r="A98" s="5">
        <v>44495</v>
      </c>
      <c r="B98">
        <v>0.97189999999999999</v>
      </c>
      <c r="C98">
        <v>0.99790000000000001</v>
      </c>
      <c r="D98">
        <v>0.95450000000000002</v>
      </c>
      <c r="E98">
        <v>0.97230000000000005</v>
      </c>
      <c r="F98">
        <v>20369449</v>
      </c>
      <c r="G98">
        <v>0.97230000000000005</v>
      </c>
      <c r="L98" t="s">
        <v>8</v>
      </c>
      <c r="M98" t="s">
        <v>7</v>
      </c>
      <c r="N98" t="s">
        <v>8</v>
      </c>
      <c r="P98">
        <f t="shared" ref="P98" si="465">IF(C98=D98,0,((E98-D98)-(C98-E98))/(C98-D98))</f>
        <v>-0.1797235023041456</v>
      </c>
      <c r="Q98">
        <f t="shared" ref="Q98" si="466">F98*P98</f>
        <v>-3660868.7142856764</v>
      </c>
      <c r="R98">
        <f t="shared" ref="R98" si="467">R99+Q98</f>
        <v>2134260083.0102675</v>
      </c>
      <c r="S98">
        <f t="shared" ref="S98" si="468">R98/100000</f>
        <v>21342.600830102674</v>
      </c>
      <c r="T98">
        <f t="shared" ref="T98" si="469">S98/1000</f>
        <v>21.342600830102676</v>
      </c>
    </row>
    <row r="99" spans="1:20" x14ac:dyDescent="0.25">
      <c r="A99" s="5">
        <v>44494</v>
      </c>
      <c r="B99">
        <v>0.94599999999999995</v>
      </c>
      <c r="C99">
        <v>0.97850000000000004</v>
      </c>
      <c r="D99">
        <v>0.9385</v>
      </c>
      <c r="E99">
        <v>0.97170000000000001</v>
      </c>
      <c r="F99">
        <v>15993373</v>
      </c>
      <c r="G99">
        <v>0.97170000000000001</v>
      </c>
      <c r="L99" t="s">
        <v>7</v>
      </c>
      <c r="M99" t="s">
        <v>7</v>
      </c>
      <c r="N99" t="s">
        <v>8</v>
      </c>
      <c r="P99">
        <f t="shared" ref="P99" si="470">IF(C99=D99,0,((E99-D99)-(C99-E99))/(C99-D99))</f>
        <v>0.65999999999999892</v>
      </c>
      <c r="Q99">
        <f t="shared" ref="Q99" si="471">F99*P99</f>
        <v>10555626.179999983</v>
      </c>
      <c r="R99">
        <f t="shared" ref="R99" si="472">R100+Q99</f>
        <v>2137920951.7245531</v>
      </c>
      <c r="S99">
        <f t="shared" ref="S99" si="473">R99/100000</f>
        <v>21379.20951724553</v>
      </c>
      <c r="T99">
        <f t="shared" ref="T99" si="474">S99/1000</f>
        <v>21.379209517245531</v>
      </c>
    </row>
    <row r="100" spans="1:20" x14ac:dyDescent="0.25">
      <c r="A100" s="5">
        <v>44493</v>
      </c>
      <c r="B100">
        <v>0.96020000000000005</v>
      </c>
      <c r="C100">
        <v>0.96679999999999999</v>
      </c>
      <c r="D100">
        <v>0.91810000000000003</v>
      </c>
      <c r="E100">
        <v>0.94589999999999996</v>
      </c>
      <c r="F100">
        <v>15607950</v>
      </c>
      <c r="G100">
        <v>0.94589999999999996</v>
      </c>
      <c r="L100" t="s">
        <v>7</v>
      </c>
      <c r="M100" t="s">
        <v>7</v>
      </c>
      <c r="N100" t="s">
        <v>8</v>
      </c>
      <c r="P100">
        <f t="shared" ref="P100" si="475">IF(C100=D100,0,((E100-D100)-(C100-E100))/(C100-D100))</f>
        <v>0.14168377823408443</v>
      </c>
      <c r="Q100">
        <f t="shared" ref="Q100" si="476">F100*P100</f>
        <v>2211393.3264886779</v>
      </c>
      <c r="R100">
        <f t="shared" ref="R100" si="477">R101+Q100</f>
        <v>2127365325.544553</v>
      </c>
      <c r="S100">
        <f t="shared" ref="S100" si="478">R100/100000</f>
        <v>21273.65325544553</v>
      </c>
      <c r="T100">
        <f t="shared" ref="T100" si="479">S100/1000</f>
        <v>21.273653255445531</v>
      </c>
    </row>
    <row r="101" spans="1:20" x14ac:dyDescent="0.25">
      <c r="A101" s="5">
        <v>44492</v>
      </c>
      <c r="B101">
        <v>0.98</v>
      </c>
      <c r="C101">
        <v>0.98019999999999996</v>
      </c>
      <c r="D101">
        <v>0.94299999999999995</v>
      </c>
      <c r="E101">
        <v>0.96</v>
      </c>
      <c r="F101">
        <v>18689365</v>
      </c>
      <c r="G101">
        <v>0.96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-8.6021505376343538E-2</v>
      </c>
      <c r="Q101">
        <f t="shared" ref="Q101" si="481">F101*P101</f>
        <v>-1607687.3118279467</v>
      </c>
      <c r="R101">
        <f t="shared" ref="R101" si="482">R102+Q101</f>
        <v>2125153932.2180643</v>
      </c>
      <c r="S101">
        <f t="shared" ref="S101" si="483">R101/100000</f>
        <v>21251.539322180644</v>
      </c>
      <c r="T101">
        <f t="shared" ref="T101" si="484">S101/1000</f>
        <v>21.251539322180644</v>
      </c>
    </row>
    <row r="102" spans="1:20" x14ac:dyDescent="0.25">
      <c r="A102" s="5">
        <v>44491</v>
      </c>
      <c r="B102">
        <v>0.98670000000000002</v>
      </c>
      <c r="C102">
        <v>1.0196000000000001</v>
      </c>
      <c r="D102">
        <v>0.95760000000000001</v>
      </c>
      <c r="E102">
        <v>0.98</v>
      </c>
      <c r="F102">
        <v>28741027</v>
      </c>
      <c r="G102">
        <v>0.98</v>
      </c>
      <c r="L102" t="s">
        <v>8</v>
      </c>
      <c r="M102" t="s">
        <v>7</v>
      </c>
      <c r="N102" t="s">
        <v>8</v>
      </c>
      <c r="P102">
        <f t="shared" ref="P102" si="485">IF(C102=D102,0,((E102-D102)-(C102-E102))/(C102-D102))</f>
        <v>-0.27741935483871111</v>
      </c>
      <c r="Q102">
        <f t="shared" ref="Q102" si="486">F102*P102</f>
        <v>-7973317.1677419767</v>
      </c>
      <c r="R102">
        <f t="shared" ref="R102" si="487">R103+Q102</f>
        <v>2126761619.5298922</v>
      </c>
      <c r="S102">
        <f t="shared" ref="S102" si="488">R102/100000</f>
        <v>21267.616195298921</v>
      </c>
      <c r="T102">
        <f t="shared" ref="T102" si="489">S102/1000</f>
        <v>21.26761619529892</v>
      </c>
    </row>
    <row r="103" spans="1:20" x14ac:dyDescent="0.25">
      <c r="A103" s="5">
        <v>44490</v>
      </c>
      <c r="B103">
        <v>0.96530000000000005</v>
      </c>
      <c r="C103">
        <v>1.0126999999999999</v>
      </c>
      <c r="D103">
        <v>0.94069999999999998</v>
      </c>
      <c r="E103">
        <v>0.98599999999999999</v>
      </c>
      <c r="F103">
        <v>34831403</v>
      </c>
      <c r="G103">
        <v>0.98599999999999999</v>
      </c>
      <c r="L103" t="s">
        <v>8</v>
      </c>
      <c r="M103" t="s">
        <v>7</v>
      </c>
      <c r="N103" t="s">
        <v>8</v>
      </c>
      <c r="P103">
        <f t="shared" ref="P103" si="490">IF(C103=D103,0,((E103-D103)-(C103-E103))/(C103-D103))</f>
        <v>0.25833333333333436</v>
      </c>
      <c r="Q103">
        <f t="shared" ref="Q103" si="491">F103*P103</f>
        <v>8998112.4416667018</v>
      </c>
      <c r="R103">
        <f t="shared" ref="R103" si="492">R104+Q103</f>
        <v>2134734936.6976342</v>
      </c>
      <c r="S103">
        <f t="shared" ref="S103" si="493">R103/100000</f>
        <v>21347.349366976341</v>
      </c>
      <c r="T103">
        <f t="shared" ref="T103" si="494">S103/1000</f>
        <v>21.347349366976342</v>
      </c>
    </row>
    <row r="104" spans="1:20" x14ac:dyDescent="0.25">
      <c r="A104" s="5">
        <v>44489</v>
      </c>
      <c r="B104">
        <v>0.9214</v>
      </c>
      <c r="C104">
        <v>0.96930000000000005</v>
      </c>
      <c r="D104">
        <v>0.90849999999999997</v>
      </c>
      <c r="E104">
        <v>0.96560000000000001</v>
      </c>
      <c r="F104">
        <v>20206868</v>
      </c>
      <c r="G104">
        <v>0.96560000000000001</v>
      </c>
      <c r="L104" t="s">
        <v>8</v>
      </c>
      <c r="M104" t="s">
        <v>7</v>
      </c>
      <c r="N104" t="s">
        <v>8</v>
      </c>
      <c r="P104">
        <f t="shared" ref="P104" si="495">IF(C104=D104,0,((E104-D104)-(C104-E104))/(C104-D104))</f>
        <v>0.87828947368420951</v>
      </c>
      <c r="Q104">
        <f t="shared" ref="Q104" si="496">F104*P104</f>
        <v>17747479.460526295</v>
      </c>
      <c r="R104">
        <f t="shared" ref="R104" si="497">R105+Q104</f>
        <v>2125736824.2559676</v>
      </c>
      <c r="S104">
        <f t="shared" ref="S104" si="498">R104/100000</f>
        <v>21257.368242559674</v>
      </c>
      <c r="T104">
        <f t="shared" ref="T104" si="499">S104/1000</f>
        <v>21.257368242559675</v>
      </c>
    </row>
    <row r="105" spans="1:20" x14ac:dyDescent="0.25">
      <c r="A105" s="5">
        <v>44488</v>
      </c>
      <c r="B105">
        <v>0.91769999999999996</v>
      </c>
      <c r="C105">
        <v>0.93559999999999999</v>
      </c>
      <c r="D105">
        <v>0.90300000000000002</v>
      </c>
      <c r="E105">
        <v>0.92169999999999996</v>
      </c>
      <c r="F105">
        <v>16590037</v>
      </c>
      <c r="G105">
        <v>0.92169999999999996</v>
      </c>
      <c r="L105" t="s">
        <v>7</v>
      </c>
      <c r="M105" t="s">
        <v>7</v>
      </c>
      <c r="N105" t="s">
        <v>8</v>
      </c>
      <c r="P105">
        <f t="shared" ref="P105" si="500">IF(C105=D105,0,((E105-D105)-(C105-E105))/(C105-D105))</f>
        <v>0.14723926380367855</v>
      </c>
      <c r="Q105">
        <f t="shared" ref="Q105" si="501">F105*P105</f>
        <v>2442704.8343557878</v>
      </c>
      <c r="R105">
        <f t="shared" ref="R105" si="502">R106+Q105</f>
        <v>2107989344.7954414</v>
      </c>
      <c r="S105">
        <f t="shared" ref="S105" si="503">R105/100000</f>
        <v>21079.893447954415</v>
      </c>
      <c r="T105">
        <f t="shared" ref="T105" si="504">S105/1000</f>
        <v>21.079893447954415</v>
      </c>
    </row>
    <row r="106" spans="1:20" x14ac:dyDescent="0.25">
      <c r="A106" s="5">
        <v>44487</v>
      </c>
      <c r="B106">
        <v>0.93859999999999999</v>
      </c>
      <c r="C106">
        <v>0.94610000000000005</v>
      </c>
      <c r="D106">
        <v>0.89670000000000005</v>
      </c>
      <c r="E106">
        <v>0.91790000000000005</v>
      </c>
      <c r="F106">
        <v>21763514</v>
      </c>
      <c r="G106">
        <v>0.91790000000000005</v>
      </c>
      <c r="L106" t="s">
        <v>7</v>
      </c>
      <c r="M106" t="s">
        <v>7</v>
      </c>
      <c r="N106" t="s">
        <v>8</v>
      </c>
      <c r="P106">
        <f t="shared" ref="P106" si="505">IF(C106=D106,0,((E106-D106)-(C106-E106))/(C106-D106))</f>
        <v>-0.14170040485829971</v>
      </c>
      <c r="Q106">
        <f t="shared" ref="Q106" si="506">F106*P106</f>
        <v>-3083898.7449392737</v>
      </c>
      <c r="R106">
        <f t="shared" ref="R106" si="507">R107+Q106</f>
        <v>2105546639.9610856</v>
      </c>
      <c r="S106">
        <f t="shared" ref="S106" si="508">R106/100000</f>
        <v>21055.466399610854</v>
      </c>
      <c r="T106">
        <f t="shared" ref="T106" si="509">S106/1000</f>
        <v>21.055466399610854</v>
      </c>
    </row>
    <row r="107" spans="1:20" x14ac:dyDescent="0.25">
      <c r="A107" s="5">
        <v>44486</v>
      </c>
      <c r="B107">
        <v>0.96160000000000001</v>
      </c>
      <c r="C107">
        <v>0.9889</v>
      </c>
      <c r="D107">
        <v>0.90500000000000003</v>
      </c>
      <c r="E107">
        <v>0.93820000000000003</v>
      </c>
      <c r="F107">
        <v>25919270</v>
      </c>
      <c r="G107">
        <v>0.93820000000000003</v>
      </c>
      <c r="L107" t="s">
        <v>7</v>
      </c>
      <c r="M107" t="s">
        <v>7</v>
      </c>
      <c r="N107" t="s">
        <v>8</v>
      </c>
      <c r="P107">
        <f t="shared" ref="P107" si="510">IF(C107=D107,0,((E107-D107)-(C107-E107))/(C107-D107))</f>
        <v>-0.20858164481525585</v>
      </c>
      <c r="Q107">
        <f t="shared" ref="Q107" si="511">F107*P107</f>
        <v>-5406283.9690107163</v>
      </c>
      <c r="R107">
        <f t="shared" ref="R107" si="512">R108+Q107</f>
        <v>2108630538.7060249</v>
      </c>
      <c r="S107">
        <f t="shared" ref="S107" si="513">R107/100000</f>
        <v>21086.305387060249</v>
      </c>
      <c r="T107">
        <f t="shared" ref="T107" si="514">S107/1000</f>
        <v>21.08630538706025</v>
      </c>
    </row>
    <row r="108" spans="1:20" x14ac:dyDescent="0.25">
      <c r="A108" s="5">
        <v>44485</v>
      </c>
      <c r="B108">
        <v>0.94540000000000002</v>
      </c>
      <c r="C108">
        <v>0.98580000000000001</v>
      </c>
      <c r="D108">
        <v>0.94289999999999996</v>
      </c>
      <c r="E108">
        <v>0.9617</v>
      </c>
      <c r="F108">
        <v>24249328</v>
      </c>
      <c r="G108">
        <v>0.9617</v>
      </c>
      <c r="L108" t="s">
        <v>8</v>
      </c>
      <c r="M108" t="s">
        <v>7</v>
      </c>
      <c r="N108" t="s">
        <v>8</v>
      </c>
      <c r="P108">
        <f t="shared" ref="P108" si="515">IF(C108=D108,0,((E108-D108)-(C108-E108))/(C108-D108))</f>
        <v>-0.12354312354312273</v>
      </c>
      <c r="Q108">
        <f t="shared" ref="Q108" si="516">F108*P108</f>
        <v>-2995837.7249417054</v>
      </c>
      <c r="R108">
        <f t="shared" ref="R108" si="517">R109+Q108</f>
        <v>2114036822.6750357</v>
      </c>
      <c r="S108">
        <f t="shared" ref="S108" si="518">R108/100000</f>
        <v>21140.368226750357</v>
      </c>
      <c r="T108">
        <f t="shared" ref="T108" si="519">S108/1000</f>
        <v>21.140368226750358</v>
      </c>
    </row>
    <row r="109" spans="1:20" x14ac:dyDescent="0.25">
      <c r="A109" s="5">
        <v>44484</v>
      </c>
      <c r="B109">
        <v>0.96440000000000003</v>
      </c>
      <c r="C109">
        <v>0.96609999999999996</v>
      </c>
      <c r="D109">
        <v>0.9032</v>
      </c>
      <c r="E109">
        <v>0.94569999999999999</v>
      </c>
      <c r="F109">
        <v>35838268</v>
      </c>
      <c r="G109">
        <v>0.94569999999999999</v>
      </c>
      <c r="L109" t="s">
        <v>7</v>
      </c>
      <c r="M109" t="s">
        <v>7</v>
      </c>
      <c r="N109" t="s">
        <v>8</v>
      </c>
      <c r="P109">
        <f t="shared" ref="P109" si="520">IF(C109=D109,0,((E109-D109)-(C109-E109))/(C109-D109))</f>
        <v>0.35135135135135176</v>
      </c>
      <c r="Q109">
        <f t="shared" ref="Q109" si="521">F109*P109</f>
        <v>12591823.891891906</v>
      </c>
      <c r="R109">
        <f t="shared" ref="R109" si="522">R110+Q109</f>
        <v>2117032660.3999774</v>
      </c>
      <c r="S109">
        <f t="shared" ref="S109" si="523">R109/100000</f>
        <v>21170.326603999776</v>
      </c>
      <c r="T109">
        <f t="shared" ref="T109" si="524">S109/1000</f>
        <v>21.170326603999776</v>
      </c>
    </row>
    <row r="110" spans="1:20" x14ac:dyDescent="0.25">
      <c r="A110" s="5">
        <v>44483</v>
      </c>
      <c r="B110">
        <v>0.97609999999999997</v>
      </c>
      <c r="C110">
        <v>1.0099</v>
      </c>
      <c r="D110">
        <v>0.95499999999999996</v>
      </c>
      <c r="E110">
        <v>0.96430000000000005</v>
      </c>
      <c r="F110">
        <v>28131012</v>
      </c>
      <c r="G110">
        <v>0.96430000000000005</v>
      </c>
      <c r="L110" t="s">
        <v>8</v>
      </c>
      <c r="M110" t="s">
        <v>7</v>
      </c>
      <c r="N110" t="s">
        <v>8</v>
      </c>
      <c r="P110">
        <f t="shared" ref="P110" si="525">IF(C110=D110,0,((E110-D110)-(C110-E110))/(C110-D110))</f>
        <v>-0.66120218579234702</v>
      </c>
      <c r="Q110">
        <f t="shared" ref="Q110" si="526">F110*P110</f>
        <v>-18600286.622950744</v>
      </c>
      <c r="R110">
        <f t="shared" ref="R110" si="527">R111+Q110</f>
        <v>2104440836.5080855</v>
      </c>
      <c r="S110">
        <f t="shared" ref="S110" si="528">R110/100000</f>
        <v>21044.408365080853</v>
      </c>
      <c r="T110">
        <f t="shared" ref="T110" si="529">S110/1000</f>
        <v>21.044408365080855</v>
      </c>
    </row>
    <row r="111" spans="1:20" x14ac:dyDescent="0.25">
      <c r="A111" s="5">
        <v>44482</v>
      </c>
      <c r="B111">
        <v>0.92600000000000005</v>
      </c>
      <c r="C111">
        <v>0.98780000000000001</v>
      </c>
      <c r="D111">
        <v>0.89810000000000001</v>
      </c>
      <c r="E111">
        <v>0.9758</v>
      </c>
      <c r="F111">
        <v>33641546</v>
      </c>
      <c r="G111">
        <v>0.9758</v>
      </c>
      <c r="L111" t="s">
        <v>8</v>
      </c>
      <c r="M111" t="s">
        <v>7</v>
      </c>
      <c r="N111" t="s">
        <v>8</v>
      </c>
      <c r="P111">
        <f t="shared" ref="P111" si="530">IF(C111=D111,0,((E111-D111)-(C111-E111))/(C111-D111))</f>
        <v>0.73244147157190609</v>
      </c>
      <c r="Q111">
        <f t="shared" ref="Q111" si="531">F111*P111</f>
        <v>24640463.458193973</v>
      </c>
      <c r="R111">
        <f t="shared" ref="R111" si="532">R112+Q111</f>
        <v>2123041123.1310363</v>
      </c>
      <c r="S111">
        <f t="shared" ref="S111" si="533">R111/100000</f>
        <v>21230.411231310361</v>
      </c>
      <c r="T111">
        <f t="shared" ref="T111" si="534">S111/1000</f>
        <v>21.230411231310363</v>
      </c>
    </row>
    <row r="112" spans="1:20" x14ac:dyDescent="0.25">
      <c r="A112" s="5">
        <v>44481</v>
      </c>
      <c r="B112">
        <v>0.95320000000000005</v>
      </c>
      <c r="C112">
        <v>0.95330000000000004</v>
      </c>
      <c r="D112">
        <v>0.88290000000000002</v>
      </c>
      <c r="E112">
        <v>0.9264</v>
      </c>
      <c r="F112">
        <v>36151225</v>
      </c>
      <c r="G112">
        <v>0.9264</v>
      </c>
      <c r="L112" t="s">
        <v>7</v>
      </c>
      <c r="M112" t="s">
        <v>7</v>
      </c>
      <c r="N112" t="s">
        <v>8</v>
      </c>
      <c r="P112">
        <f t="shared" ref="P112" si="535">IF(C112=D112,0,((E112-D112)-(C112-E112))/(C112-D112))</f>
        <v>0.23579545454545375</v>
      </c>
      <c r="Q112">
        <f t="shared" ref="Q112" si="536">F112*P112</f>
        <v>8524294.5312499721</v>
      </c>
      <c r="R112">
        <f t="shared" ref="R112" si="537">R113+Q112</f>
        <v>2098400659.6728423</v>
      </c>
      <c r="S112">
        <f t="shared" ref="S112" si="538">R112/100000</f>
        <v>20984.006596728421</v>
      </c>
      <c r="T112">
        <f t="shared" ref="T112" si="539">S112/1000</f>
        <v>20.98400659672842</v>
      </c>
    </row>
    <row r="113" spans="1:20" x14ac:dyDescent="0.25">
      <c r="A113" s="5">
        <v>44480</v>
      </c>
      <c r="B113">
        <v>0.9647</v>
      </c>
      <c r="C113">
        <v>1.0457000000000001</v>
      </c>
      <c r="D113">
        <v>0.92869999999999997</v>
      </c>
      <c r="E113">
        <v>0.95309999999999995</v>
      </c>
      <c r="F113">
        <v>51937828</v>
      </c>
      <c r="G113">
        <v>0.95309999999999995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-0.58290598290598361</v>
      </c>
      <c r="Q113">
        <f t="shared" ref="Q113" si="541">F113*P113</f>
        <v>-30274870.680341918</v>
      </c>
      <c r="R113">
        <f t="shared" ref="R113" si="542">R114+Q113</f>
        <v>2089876365.1415923</v>
      </c>
      <c r="S113">
        <f t="shared" ref="S113" si="543">R113/100000</f>
        <v>20898.763651415924</v>
      </c>
      <c r="T113">
        <f t="shared" ref="T113" si="544">S113/1000</f>
        <v>20.898763651415923</v>
      </c>
    </row>
    <row r="114" spans="1:20" x14ac:dyDescent="0.25">
      <c r="A114" s="5">
        <v>44479</v>
      </c>
      <c r="B114">
        <v>1.0226</v>
      </c>
      <c r="C114">
        <v>1.05</v>
      </c>
      <c r="D114">
        <v>0.95309999999999995</v>
      </c>
      <c r="E114">
        <v>0.96479999999999999</v>
      </c>
      <c r="F114">
        <v>37628738</v>
      </c>
      <c r="G114">
        <v>0.96479999999999999</v>
      </c>
      <c r="L114" t="s">
        <v>7</v>
      </c>
      <c r="M114" t="s">
        <v>8</v>
      </c>
      <c r="N114" t="s">
        <v>8</v>
      </c>
      <c r="P114">
        <f t="shared" ref="P114" si="545">IF(C114=D114,0,((E114-D114)-(C114-E114))/(C114-D114))</f>
        <v>-0.75851393188854421</v>
      </c>
      <c r="Q114">
        <f t="shared" ref="Q114" si="546">F114*P114</f>
        <v>-28541922.012383875</v>
      </c>
      <c r="R114">
        <f t="shared" ref="R114" si="547">R115+Q114</f>
        <v>2120151235.8219342</v>
      </c>
      <c r="S114">
        <f t="shared" ref="S114" si="548">R114/100000</f>
        <v>21201.512358219341</v>
      </c>
      <c r="T114">
        <f t="shared" ref="T114" si="549">S114/1000</f>
        <v>21.20151235821934</v>
      </c>
    </row>
    <row r="115" spans="1:20" x14ac:dyDescent="0.25">
      <c r="A115" s="5">
        <v>44478</v>
      </c>
      <c r="B115">
        <v>1.1242000000000001</v>
      </c>
      <c r="C115">
        <v>1.1279999999999999</v>
      </c>
      <c r="D115">
        <v>1.0034000000000001</v>
      </c>
      <c r="E115">
        <v>1.0227999999999999</v>
      </c>
      <c r="F115">
        <v>43957677</v>
      </c>
      <c r="G115">
        <v>1.0227999999999999</v>
      </c>
      <c r="L115" t="s">
        <v>7</v>
      </c>
      <c r="M115" t="s">
        <v>8</v>
      </c>
      <c r="N115" t="s">
        <v>8</v>
      </c>
      <c r="P115">
        <f t="shared" ref="P115" si="550">IF(C115=D115,0,((E115-D115)-(C115-E115))/(C115-D115))</f>
        <v>-0.68860353130016227</v>
      </c>
      <c r="Q115">
        <f t="shared" ref="Q115" si="551">F115*P115</f>
        <v>-30269411.609951925</v>
      </c>
      <c r="R115">
        <f t="shared" ref="R115" si="552">R116+Q115</f>
        <v>2148693157.8343182</v>
      </c>
      <c r="S115">
        <f t="shared" ref="S115" si="553">R115/100000</f>
        <v>21486.931578343181</v>
      </c>
      <c r="T115">
        <f t="shared" ref="T115" si="554">S115/1000</f>
        <v>21.486931578343182</v>
      </c>
    </row>
    <row r="116" spans="1:20" x14ac:dyDescent="0.25">
      <c r="A116" s="5">
        <v>44477</v>
      </c>
      <c r="B116">
        <v>0.94259999999999999</v>
      </c>
      <c r="C116">
        <v>1.1467000000000001</v>
      </c>
      <c r="D116">
        <v>0.93069999999999997</v>
      </c>
      <c r="E116">
        <v>1.1232</v>
      </c>
      <c r="F116">
        <v>86859497</v>
      </c>
      <c r="G116">
        <v>1.1232</v>
      </c>
      <c r="L116" t="s">
        <v>8</v>
      </c>
      <c r="M116" t="s">
        <v>8</v>
      </c>
      <c r="N116" t="s">
        <v>8</v>
      </c>
      <c r="P116">
        <f t="shared" ref="P116" si="555">IF(C116=D116,0,((E116-D116)-(C116-E116))/(C116-D116))</f>
        <v>0.78240740740740677</v>
      </c>
      <c r="Q116">
        <f t="shared" ref="Q116" si="556">F116*P116</f>
        <v>67959513.856481433</v>
      </c>
      <c r="R116">
        <f t="shared" ref="R116" si="557">R117+Q116</f>
        <v>2178962569.4442701</v>
      </c>
      <c r="S116">
        <f t="shared" ref="S116" si="558">R116/100000</f>
        <v>21789.6256944427</v>
      </c>
      <c r="T116">
        <f t="shared" ref="T116" si="559">S116/1000</f>
        <v>21.789625694442702</v>
      </c>
    </row>
    <row r="117" spans="1:20" x14ac:dyDescent="0.25">
      <c r="A117" s="5">
        <v>44476</v>
      </c>
      <c r="B117">
        <v>0.92900000000000005</v>
      </c>
      <c r="C117">
        <v>0.9849</v>
      </c>
      <c r="D117">
        <v>0.91949999999999998</v>
      </c>
      <c r="E117">
        <v>0.94220000000000004</v>
      </c>
      <c r="F117">
        <v>32932989</v>
      </c>
      <c r="G117">
        <v>0.94220000000000004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-0.30581039755351536</v>
      </c>
      <c r="Q117">
        <f t="shared" ref="Q117" si="561">F117*P117</f>
        <v>-10071250.458715549</v>
      </c>
      <c r="R117">
        <f t="shared" ref="R117" si="562">R118+Q117</f>
        <v>2111003055.5877888</v>
      </c>
      <c r="S117">
        <f t="shared" ref="S117" si="563">R117/100000</f>
        <v>21110.030555877889</v>
      </c>
      <c r="T117">
        <f t="shared" ref="T117" si="564">S117/1000</f>
        <v>21.110030555877888</v>
      </c>
    </row>
    <row r="118" spans="1:20" x14ac:dyDescent="0.25">
      <c r="A118" s="5">
        <v>44475</v>
      </c>
      <c r="B118">
        <v>0.91700000000000004</v>
      </c>
      <c r="C118">
        <v>0.96</v>
      </c>
      <c r="D118">
        <v>0.86619999999999997</v>
      </c>
      <c r="E118">
        <v>0.92879999999999996</v>
      </c>
      <c r="F118">
        <v>36255445</v>
      </c>
      <c r="G118">
        <v>0.92879999999999996</v>
      </c>
      <c r="L118" t="s">
        <v>8</v>
      </c>
      <c r="M118" t="s">
        <v>8</v>
      </c>
      <c r="N118" t="s">
        <v>7</v>
      </c>
      <c r="P118">
        <f t="shared" ref="P118" si="565">IF(C118=D118,0,((E118-D118)-(C118-E118))/(C118-D118))</f>
        <v>0.33475479744136444</v>
      </c>
      <c r="Q118">
        <f t="shared" ref="Q118" si="566">F118*P118</f>
        <v>12136684.14712153</v>
      </c>
      <c r="R118">
        <f t="shared" ref="R118" si="567">R119+Q118</f>
        <v>2121074306.0465043</v>
      </c>
      <c r="S118">
        <f t="shared" ref="S118" si="568">R118/100000</f>
        <v>21210.743060465044</v>
      </c>
      <c r="T118">
        <f t="shared" ref="T118" si="569">S118/1000</f>
        <v>21.210743060465042</v>
      </c>
    </row>
    <row r="119" spans="1:20" x14ac:dyDescent="0.25">
      <c r="A119" s="5">
        <v>44474</v>
      </c>
      <c r="B119">
        <v>0.86660000000000004</v>
      </c>
      <c r="C119">
        <v>0.93279999999999996</v>
      </c>
      <c r="D119">
        <v>0.85960000000000003</v>
      </c>
      <c r="E119">
        <v>0.91659999999999997</v>
      </c>
      <c r="F119">
        <v>28880712</v>
      </c>
      <c r="G119">
        <v>0.91659999999999997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0.55737704918032771</v>
      </c>
      <c r="Q119">
        <f t="shared" ref="Q119" si="571">F119*P119</f>
        <v>16097446.032786882</v>
      </c>
      <c r="R119">
        <f t="shared" ref="R119" si="572">R120+Q119</f>
        <v>2108937621.8993828</v>
      </c>
      <c r="S119">
        <f t="shared" ref="S119" si="573">R119/100000</f>
        <v>21089.376218993828</v>
      </c>
      <c r="T119">
        <f t="shared" ref="T119" si="574">S119/1000</f>
        <v>21.089376218993827</v>
      </c>
    </row>
    <row r="120" spans="1:20" x14ac:dyDescent="0.25">
      <c r="A120" s="5">
        <v>44473</v>
      </c>
      <c r="B120">
        <v>0.90449999999999997</v>
      </c>
      <c r="C120">
        <v>0.90469999999999995</v>
      </c>
      <c r="D120">
        <v>0.82640000000000002</v>
      </c>
      <c r="E120">
        <v>0.86550000000000005</v>
      </c>
      <c r="F120">
        <v>32735396</v>
      </c>
      <c r="G120">
        <v>0.86550000000000005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-1.2771392081721337E-3</v>
      </c>
      <c r="Q120">
        <f t="shared" ref="Q120" si="576">F120*P120</f>
        <v>-41807.657726641235</v>
      </c>
      <c r="R120">
        <f t="shared" ref="R120" si="577">R121+Q120</f>
        <v>2092840175.866596</v>
      </c>
      <c r="S120">
        <f t="shared" ref="S120" si="578">R120/100000</f>
        <v>20928.401758665961</v>
      </c>
      <c r="T120">
        <f t="shared" ref="T120" si="579">S120/1000</f>
        <v>20.928401758665959</v>
      </c>
    </row>
    <row r="121" spans="1:20" x14ac:dyDescent="0.25">
      <c r="A121" s="5">
        <v>44472</v>
      </c>
      <c r="B121">
        <v>0.84470000000000001</v>
      </c>
      <c r="C121">
        <v>0.93100000000000005</v>
      </c>
      <c r="D121">
        <v>0.8266</v>
      </c>
      <c r="E121">
        <v>0.89810000000000001</v>
      </c>
      <c r="F121">
        <v>33208481</v>
      </c>
      <c r="G121">
        <v>0.89810000000000001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0.36973180076628304</v>
      </c>
      <c r="Q121">
        <f t="shared" ref="Q121" si="581">F121*P121</f>
        <v>12278231.480842896</v>
      </c>
      <c r="R121">
        <f t="shared" ref="R121" si="582">R122+Q121</f>
        <v>2092881983.5243225</v>
      </c>
      <c r="S121">
        <f t="shared" ref="S121" si="583">R121/100000</f>
        <v>20928.819835243226</v>
      </c>
      <c r="T121">
        <f t="shared" ref="T121" si="584">S121/1000</f>
        <v>20.928819835243225</v>
      </c>
    </row>
    <row r="122" spans="1:20" x14ac:dyDescent="0.25">
      <c r="A122" s="5">
        <v>44471</v>
      </c>
      <c r="B122">
        <v>0.84660000000000002</v>
      </c>
      <c r="C122">
        <v>0.86670000000000003</v>
      </c>
      <c r="D122">
        <v>0.82809999999999995</v>
      </c>
      <c r="E122">
        <v>0.84489999999999998</v>
      </c>
      <c r="F122">
        <v>19571502</v>
      </c>
      <c r="G122">
        <v>0.84489999999999998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-0.12953367875647653</v>
      </c>
      <c r="Q122">
        <f t="shared" ref="Q122" si="586">F122*P122</f>
        <v>-2535168.652849738</v>
      </c>
      <c r="R122">
        <f t="shared" ref="R122" si="587">R123+Q122</f>
        <v>2080603752.0434797</v>
      </c>
      <c r="S122">
        <f t="shared" ref="S122" si="588">R122/100000</f>
        <v>20806.037520434798</v>
      </c>
      <c r="T122">
        <f t="shared" ref="T122" si="589">S122/1000</f>
        <v>20.806037520434799</v>
      </c>
    </row>
    <row r="123" spans="1:20" x14ac:dyDescent="0.25">
      <c r="A123" s="5">
        <v>44470</v>
      </c>
      <c r="B123">
        <v>0.77769999999999995</v>
      </c>
      <c r="C123">
        <v>0.85229999999999995</v>
      </c>
      <c r="D123">
        <v>0.77180000000000004</v>
      </c>
      <c r="E123">
        <v>0.84630000000000005</v>
      </c>
      <c r="F123">
        <v>27097063</v>
      </c>
      <c r="G123">
        <v>0.84630000000000005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0.85093167701863603</v>
      </c>
      <c r="Q123">
        <f t="shared" ref="Q123" si="591">F123*P123</f>
        <v>23057749.260869633</v>
      </c>
      <c r="R123">
        <f t="shared" ref="R123" si="592">R124+Q123</f>
        <v>2083138920.6963294</v>
      </c>
      <c r="S123">
        <f t="shared" ref="S123" si="593">R123/100000</f>
        <v>20831.389206963293</v>
      </c>
      <c r="T123">
        <f t="shared" ref="T123" si="594">S123/1000</f>
        <v>20.831389206963294</v>
      </c>
    </row>
    <row r="124" spans="1:20" x14ac:dyDescent="0.25">
      <c r="A124" s="5">
        <v>44469</v>
      </c>
      <c r="B124">
        <v>0.73029999999999995</v>
      </c>
      <c r="C124">
        <v>0.77890000000000004</v>
      </c>
      <c r="D124">
        <v>0.72719999999999996</v>
      </c>
      <c r="E124">
        <v>0.77759999999999996</v>
      </c>
      <c r="F124">
        <v>21544688</v>
      </c>
      <c r="G124">
        <v>0.77759999999999996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0.94970986460347862</v>
      </c>
      <c r="Q124">
        <f t="shared" ref="Q124" si="596">F124*P124</f>
        <v>20461202.723404191</v>
      </c>
      <c r="R124">
        <f t="shared" ref="R124" si="597">R125+Q124</f>
        <v>2060081171.4354596</v>
      </c>
      <c r="S124">
        <f t="shared" ref="S124" si="598">R124/100000</f>
        <v>20600.811714354597</v>
      </c>
      <c r="T124">
        <f t="shared" ref="T124" si="599">S124/1000</f>
        <v>20.600811714354595</v>
      </c>
    </row>
    <row r="125" spans="1:20" x14ac:dyDescent="0.25">
      <c r="A125" s="5">
        <v>44468</v>
      </c>
      <c r="B125">
        <v>0.71360000000000001</v>
      </c>
      <c r="C125">
        <v>0.75470000000000004</v>
      </c>
      <c r="D125">
        <v>0.70860000000000001</v>
      </c>
      <c r="E125">
        <v>0.73050000000000004</v>
      </c>
      <c r="F125">
        <v>26066107.18</v>
      </c>
      <c r="G125">
        <v>0.73050000000000004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-4.9891540130151131E-2</v>
      </c>
      <c r="Q125">
        <f t="shared" ref="Q125" si="601">F125*P125</f>
        <v>-1300478.2324077906</v>
      </c>
      <c r="R125">
        <f t="shared" ref="R125" si="602">R126+Q125</f>
        <v>2039619968.7120554</v>
      </c>
      <c r="S125">
        <f t="shared" ref="S125" si="603">R125/100000</f>
        <v>20396.199687120556</v>
      </c>
      <c r="T125">
        <f t="shared" ref="T125" si="604">S125/1000</f>
        <v>20.396199687120557</v>
      </c>
    </row>
    <row r="126" spans="1:20" x14ac:dyDescent="0.25">
      <c r="A126" s="5">
        <v>44467</v>
      </c>
      <c r="B126">
        <v>0.74719999999999998</v>
      </c>
      <c r="C126">
        <v>0.75860000000000005</v>
      </c>
      <c r="D126">
        <v>0.71020000000000005</v>
      </c>
      <c r="E126">
        <v>0.7137</v>
      </c>
      <c r="F126">
        <v>24238062.280000001</v>
      </c>
      <c r="G126">
        <v>0.7137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-0.85537190082644843</v>
      </c>
      <c r="Q126">
        <f t="shared" ref="Q126" si="606">F126*P126</f>
        <v>-20732557.404793441</v>
      </c>
      <c r="R126">
        <f t="shared" ref="R126" si="607">R127+Q126</f>
        <v>2040920446.9444633</v>
      </c>
      <c r="S126">
        <f t="shared" ref="S126" si="608">R126/100000</f>
        <v>20409.204469444634</v>
      </c>
      <c r="T126">
        <f t="shared" ref="T126" si="609">S126/1000</f>
        <v>20.409204469444635</v>
      </c>
    </row>
    <row r="127" spans="1:20" x14ac:dyDescent="0.25">
      <c r="A127" s="5">
        <v>44466</v>
      </c>
      <c r="B127">
        <v>0.7853</v>
      </c>
      <c r="C127">
        <v>0.80869999999999997</v>
      </c>
      <c r="D127">
        <v>0.74570000000000003</v>
      </c>
      <c r="E127">
        <v>0.74709999999999999</v>
      </c>
      <c r="F127">
        <v>25324504</v>
      </c>
      <c r="G127">
        <v>0.74709999999999999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-0.95555555555555693</v>
      </c>
      <c r="Q127">
        <f t="shared" ref="Q127" si="611">F127*P127</f>
        <v>-24198970.488888923</v>
      </c>
      <c r="R127">
        <f t="shared" ref="R127" si="612">R128+Q127</f>
        <v>2061653004.3492568</v>
      </c>
      <c r="S127">
        <f t="shared" ref="S127" si="613">R127/100000</f>
        <v>20616.530043492567</v>
      </c>
      <c r="T127">
        <f t="shared" ref="T127" si="614">S127/1000</f>
        <v>20.616530043492567</v>
      </c>
    </row>
    <row r="128" spans="1:20" x14ac:dyDescent="0.25">
      <c r="A128" s="5">
        <v>44465</v>
      </c>
      <c r="B128">
        <v>0.80800000000000005</v>
      </c>
      <c r="C128">
        <v>0.80910000000000004</v>
      </c>
      <c r="D128">
        <v>0.73080000000000001</v>
      </c>
      <c r="E128">
        <v>0.78559999999999997</v>
      </c>
      <c r="F128">
        <v>26268120.600000001</v>
      </c>
      <c r="G128">
        <v>0.78559999999999997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0.39974457215836356</v>
      </c>
      <c r="Q128">
        <f t="shared" ref="Q128" si="616">F128*P128</f>
        <v>10500538.630651297</v>
      </c>
      <c r="R128">
        <f t="shared" ref="R128" si="617">R129+Q128</f>
        <v>2085851974.8381457</v>
      </c>
      <c r="S128">
        <f t="shared" ref="S128" si="618">R128/100000</f>
        <v>20858.519748381459</v>
      </c>
      <c r="T128">
        <f t="shared" ref="T128" si="619">S128/1000</f>
        <v>20.858519748381458</v>
      </c>
    </row>
    <row r="129" spans="1:20" x14ac:dyDescent="0.25">
      <c r="A129" s="5">
        <v>44464</v>
      </c>
      <c r="B129">
        <v>0.82350000000000001</v>
      </c>
      <c r="C129">
        <v>0.83420000000000005</v>
      </c>
      <c r="D129">
        <v>0.79020000000000001</v>
      </c>
      <c r="E129">
        <v>0.80810000000000004</v>
      </c>
      <c r="F129">
        <v>19442932</v>
      </c>
      <c r="G129">
        <v>0.80810000000000004</v>
      </c>
      <c r="L129" t="s">
        <v>7</v>
      </c>
      <c r="M129" t="s">
        <v>8</v>
      </c>
      <c r="N129" t="s">
        <v>7</v>
      </c>
      <c r="P129">
        <f t="shared" ref="P129" si="620">IF(C129=D129,0,((E129-D129)-(C129-E129))/(C129-D129))</f>
        <v>-0.18636363636363587</v>
      </c>
      <c r="Q129">
        <f t="shared" ref="Q129" si="621">F129*P129</f>
        <v>-3623455.5090908995</v>
      </c>
      <c r="R129">
        <f t="shared" ref="R129" si="622">R130+Q129</f>
        <v>2075351436.2074945</v>
      </c>
      <c r="S129">
        <f t="shared" ref="S129" si="623">R129/100000</f>
        <v>20753.514362074944</v>
      </c>
      <c r="T129">
        <f t="shared" ref="T129" si="624">S129/1000</f>
        <v>20.753514362074945</v>
      </c>
    </row>
    <row r="130" spans="1:20" x14ac:dyDescent="0.25">
      <c r="A130" s="5">
        <v>44463</v>
      </c>
      <c r="B130">
        <v>0.89810000000000001</v>
      </c>
      <c r="C130">
        <v>0.92</v>
      </c>
      <c r="D130">
        <v>0.76</v>
      </c>
      <c r="E130">
        <v>0.8236</v>
      </c>
      <c r="F130">
        <v>35418574</v>
      </c>
      <c r="G130">
        <v>0.8236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-0.20500000000000029</v>
      </c>
      <c r="Q130">
        <f t="shared" ref="Q130" si="626">F130*P130</f>
        <v>-7260807.6700000102</v>
      </c>
      <c r="R130">
        <f t="shared" ref="R130" si="627">R131+Q130</f>
        <v>2078974891.7165854</v>
      </c>
      <c r="S130">
        <f t="shared" ref="S130" si="628">R130/100000</f>
        <v>20789.748917165853</v>
      </c>
      <c r="T130">
        <f t="shared" ref="T130" si="629">S130/1000</f>
        <v>20.789748917165852</v>
      </c>
    </row>
    <row r="131" spans="1:20" x14ac:dyDescent="0.25">
      <c r="A131" s="5">
        <v>44462</v>
      </c>
      <c r="B131">
        <v>0.87670000000000003</v>
      </c>
      <c r="C131">
        <v>0.90329999999999999</v>
      </c>
      <c r="D131">
        <v>0.85089999999999999</v>
      </c>
      <c r="E131">
        <v>0.89859999999999995</v>
      </c>
      <c r="F131">
        <v>25104939</v>
      </c>
      <c r="G131">
        <v>0.89859999999999995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0.8206106870228993</v>
      </c>
      <c r="Q131">
        <f t="shared" ref="Q131" si="631">F131*P131</f>
        <v>20601381.240457978</v>
      </c>
      <c r="R131">
        <f t="shared" ref="R131" si="632">R132+Q131</f>
        <v>2086235699.3865855</v>
      </c>
      <c r="S131">
        <f t="shared" ref="S131" si="633">R131/100000</f>
        <v>20862.356993865855</v>
      </c>
      <c r="T131">
        <f t="shared" ref="T131" si="634">S131/1000</f>
        <v>20.862356993865856</v>
      </c>
    </row>
    <row r="132" spans="1:20" x14ac:dyDescent="0.25">
      <c r="A132" s="5">
        <v>44461</v>
      </c>
      <c r="B132">
        <v>0.78180000000000005</v>
      </c>
      <c r="C132">
        <v>0.87929999999999997</v>
      </c>
      <c r="D132">
        <v>0.75860000000000005</v>
      </c>
      <c r="E132">
        <v>0.87709999999999999</v>
      </c>
      <c r="F132">
        <v>27461580</v>
      </c>
      <c r="G132">
        <v>0.87709999999999999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0.96354598177299122</v>
      </c>
      <c r="Q132">
        <f t="shared" ref="Q132" si="636">F132*P132</f>
        <v>26460495.06213754</v>
      </c>
      <c r="R132">
        <f t="shared" ref="R132" si="637">R133+Q132</f>
        <v>2065634318.1461275</v>
      </c>
      <c r="S132">
        <f t="shared" ref="S132" si="638">R132/100000</f>
        <v>20656.343181461274</v>
      </c>
      <c r="T132">
        <f t="shared" ref="T132" si="639">S132/1000</f>
        <v>20.656343181461274</v>
      </c>
    </row>
    <row r="133" spans="1:20" x14ac:dyDescent="0.25">
      <c r="A133" s="5">
        <v>44460</v>
      </c>
      <c r="B133">
        <v>0.84050000000000002</v>
      </c>
      <c r="C133">
        <v>0.87</v>
      </c>
      <c r="D133">
        <v>0.75829999999999997</v>
      </c>
      <c r="E133">
        <v>0.78149999999999997</v>
      </c>
      <c r="F133">
        <v>35902651.829999998</v>
      </c>
      <c r="G133">
        <v>0.78149999999999997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-0.58460161145926604</v>
      </c>
      <c r="Q133">
        <f t="shared" ref="Q133" si="641">F133*P133</f>
        <v>-20988748.115478966</v>
      </c>
      <c r="R133">
        <f t="shared" ref="R133" si="642">R134+Q133</f>
        <v>2039173823.0839899</v>
      </c>
      <c r="S133">
        <f t="shared" ref="S133" si="643">R133/100000</f>
        <v>20391.738230839899</v>
      </c>
      <c r="T133">
        <f t="shared" ref="T133" si="644">S133/1000</f>
        <v>20.391738230839898</v>
      </c>
    </row>
    <row r="134" spans="1:20" x14ac:dyDescent="0.25">
      <c r="A134" s="5">
        <v>44459</v>
      </c>
      <c r="B134">
        <v>0.97660000000000002</v>
      </c>
      <c r="C134">
        <v>0.97770000000000001</v>
      </c>
      <c r="D134">
        <v>0.87150000000000005</v>
      </c>
      <c r="E134">
        <v>0.8881</v>
      </c>
      <c r="F134">
        <v>19219834</v>
      </c>
      <c r="G134">
        <v>0.8881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-0.68738229755178992</v>
      </c>
      <c r="Q134">
        <f t="shared" ref="Q134" si="646">F134*P134</f>
        <v>-13211373.653484009</v>
      </c>
      <c r="R134">
        <f t="shared" ref="R134" si="647">R135+Q134</f>
        <v>2060162571.1994689</v>
      </c>
      <c r="S134">
        <f t="shared" ref="S134" si="648">R134/100000</f>
        <v>20601.625711994689</v>
      </c>
      <c r="T134">
        <f t="shared" ref="T134" si="649">S134/1000</f>
        <v>20.601625711994689</v>
      </c>
    </row>
    <row r="135" spans="1:20" x14ac:dyDescent="0.25">
      <c r="A135" s="5">
        <v>44458</v>
      </c>
      <c r="B135">
        <v>1.0113000000000001</v>
      </c>
      <c r="C135">
        <v>1.0128999999999999</v>
      </c>
      <c r="D135">
        <v>0.95950000000000002</v>
      </c>
      <c r="E135">
        <v>0.9768</v>
      </c>
      <c r="F135">
        <v>17449110</v>
      </c>
      <c r="G135">
        <v>0.9768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-0.35205992509363232</v>
      </c>
      <c r="Q135">
        <f t="shared" ref="Q135" si="651">F135*P135</f>
        <v>-6143132.3595505506</v>
      </c>
      <c r="R135">
        <f t="shared" ref="R135" si="652">R136+Q135</f>
        <v>2073373944.852953</v>
      </c>
      <c r="S135">
        <f t="shared" ref="S135" si="653">R135/100000</f>
        <v>20733.73944852953</v>
      </c>
      <c r="T135">
        <f t="shared" ref="T135" si="654">S135/1000</f>
        <v>20.73373944852953</v>
      </c>
    </row>
    <row r="136" spans="1:20" x14ac:dyDescent="0.25">
      <c r="A136" s="5">
        <v>44457</v>
      </c>
      <c r="B136">
        <v>0.99980000000000002</v>
      </c>
      <c r="C136">
        <v>1.0383</v>
      </c>
      <c r="D136">
        <v>0.97729999999999995</v>
      </c>
      <c r="E136">
        <v>1.0112000000000001</v>
      </c>
      <c r="F136">
        <v>16764559</v>
      </c>
      <c r="G136">
        <v>1.0112000000000001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0.11147540983606957</v>
      </c>
      <c r="Q136">
        <f t="shared" ref="Q136" si="656">F136*P136</f>
        <v>1868836.0852459688</v>
      </c>
      <c r="R136">
        <f t="shared" ref="R136" si="657">R137+Q136</f>
        <v>2079517077.2125034</v>
      </c>
      <c r="S136">
        <f t="shared" ref="S136" si="658">R136/100000</f>
        <v>20795.170772125035</v>
      </c>
      <c r="T136">
        <f t="shared" ref="T136" si="659">S136/1000</f>
        <v>20.795170772125037</v>
      </c>
    </row>
    <row r="137" spans="1:20" x14ac:dyDescent="0.25">
      <c r="A137" s="5">
        <v>44456</v>
      </c>
      <c r="B137">
        <v>1.0141</v>
      </c>
      <c r="C137">
        <v>1.0295000000000001</v>
      </c>
      <c r="D137">
        <v>0.96699999999999997</v>
      </c>
      <c r="E137">
        <v>1.0007999999999999</v>
      </c>
      <c r="F137">
        <v>18335131</v>
      </c>
      <c r="G137">
        <v>1.0007999999999999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8.1599999999996203E-2</v>
      </c>
      <c r="Q137">
        <f t="shared" ref="Q137" si="661">F137*P137</f>
        <v>1496146.6895999303</v>
      </c>
      <c r="R137">
        <f t="shared" ref="R137" si="662">R138+Q137</f>
        <v>2077648241.1272573</v>
      </c>
      <c r="S137">
        <f t="shared" ref="S137" si="663">R137/100000</f>
        <v>20776.482411272573</v>
      </c>
      <c r="T137">
        <f t="shared" ref="T137" si="664">S137/1000</f>
        <v>20.776482411272571</v>
      </c>
    </row>
    <row r="138" spans="1:20" x14ac:dyDescent="0.25">
      <c r="A138" s="5">
        <v>44455</v>
      </c>
      <c r="B138">
        <v>1.0525</v>
      </c>
      <c r="C138">
        <v>1.0567</v>
      </c>
      <c r="D138">
        <v>0.98250000000000004</v>
      </c>
      <c r="E138">
        <v>1.014</v>
      </c>
      <c r="F138">
        <v>19783489</v>
      </c>
      <c r="G138">
        <v>1.014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-0.15094339622641506</v>
      </c>
      <c r="Q138">
        <f t="shared" ref="Q138" si="666">F138*P138</f>
        <v>-2986187.0188679239</v>
      </c>
      <c r="R138">
        <f t="shared" ref="R138" si="667">R139+Q138</f>
        <v>2076152094.4376574</v>
      </c>
      <c r="S138">
        <f t="shared" ref="S138" si="668">R138/100000</f>
        <v>20761.520944376574</v>
      </c>
      <c r="T138">
        <f t="shared" ref="T138" si="669">S138/1000</f>
        <v>20.761520944376574</v>
      </c>
    </row>
    <row r="139" spans="1:20" x14ac:dyDescent="0.25">
      <c r="A139" s="5">
        <v>44454</v>
      </c>
      <c r="B139">
        <v>1.0165</v>
      </c>
      <c r="C139">
        <v>1.06</v>
      </c>
      <c r="D139">
        <v>0.98919999999999997</v>
      </c>
      <c r="E139">
        <v>1.0528</v>
      </c>
      <c r="F139">
        <v>20416985</v>
      </c>
      <c r="G139">
        <v>1.0528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0.79661016949152297</v>
      </c>
      <c r="Q139">
        <f t="shared" ref="Q139" si="671">F139*P139</f>
        <v>16264377.881355882</v>
      </c>
      <c r="R139">
        <f t="shared" ref="R139" si="672">R140+Q139</f>
        <v>2079138281.4565253</v>
      </c>
      <c r="S139">
        <f t="shared" ref="S139" si="673">R139/100000</f>
        <v>20791.382814565251</v>
      </c>
      <c r="T139">
        <f t="shared" ref="T139" si="674">S139/1000</f>
        <v>20.791382814565253</v>
      </c>
    </row>
    <row r="140" spans="1:20" x14ac:dyDescent="0.25">
      <c r="A140" s="5">
        <v>44453</v>
      </c>
      <c r="B140">
        <v>0.95899999999999996</v>
      </c>
      <c r="C140">
        <v>1.0290999999999999</v>
      </c>
      <c r="D140">
        <v>0.94799999999999995</v>
      </c>
      <c r="E140">
        <v>1.0165</v>
      </c>
      <c r="F140">
        <v>22020563</v>
      </c>
      <c r="G140">
        <v>1.0165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0.68927250308261523</v>
      </c>
      <c r="Q140">
        <f t="shared" ref="Q140" si="676">F140*P140</f>
        <v>15178168.578298423</v>
      </c>
      <c r="R140">
        <f t="shared" ref="R140" si="677">R141+Q140</f>
        <v>2062873903.5751693</v>
      </c>
      <c r="S140">
        <f t="shared" ref="S140" si="678">R140/100000</f>
        <v>20628.739035751692</v>
      </c>
      <c r="T140">
        <f t="shared" ref="T140" si="679">S140/1000</f>
        <v>20.628739035751693</v>
      </c>
    </row>
    <row r="141" spans="1:20" x14ac:dyDescent="0.25">
      <c r="A141" s="5">
        <v>44452</v>
      </c>
      <c r="B141">
        <v>1.0122</v>
      </c>
      <c r="C141">
        <v>1.0210999999999999</v>
      </c>
      <c r="D141">
        <v>0.90269999999999995</v>
      </c>
      <c r="E141">
        <v>0.95899999999999996</v>
      </c>
      <c r="F141">
        <v>30947797</v>
      </c>
      <c r="G141">
        <v>0.95899999999999996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-4.8986486486485799E-2</v>
      </c>
      <c r="Q141">
        <f t="shared" ref="Q141" si="681">F141*P141</f>
        <v>-1516023.8395270058</v>
      </c>
      <c r="R141">
        <f t="shared" ref="R141" si="682">R142+Q141</f>
        <v>2047695734.996871</v>
      </c>
      <c r="S141">
        <f t="shared" ref="S141" si="683">R141/100000</f>
        <v>20476.95734996871</v>
      </c>
      <c r="T141">
        <f t="shared" ref="T141" si="684">S141/1000</f>
        <v>20.476957349968711</v>
      </c>
    </row>
    <row r="142" spans="1:20" x14ac:dyDescent="0.25">
      <c r="A142" s="5">
        <v>44451</v>
      </c>
      <c r="B142">
        <v>0.98540000000000005</v>
      </c>
      <c r="C142">
        <v>1.032</v>
      </c>
      <c r="D142">
        <v>0.95650000000000002</v>
      </c>
      <c r="E142">
        <v>1.0118</v>
      </c>
      <c r="F142">
        <v>25313959</v>
      </c>
      <c r="G142">
        <v>1.0118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0.46490066225165583</v>
      </c>
      <c r="Q142">
        <f t="shared" ref="Q142" si="686">F142*P142</f>
        <v>11768476.303311264</v>
      </c>
      <c r="R142">
        <f t="shared" ref="R142" si="687">R143+Q142</f>
        <v>2049211758.8363979</v>
      </c>
      <c r="S142">
        <f t="shared" ref="S142" si="688">R142/100000</f>
        <v>20492.117588363977</v>
      </c>
      <c r="T142">
        <f t="shared" ref="T142" si="689">S142/1000</f>
        <v>20.492117588363978</v>
      </c>
    </row>
    <row r="143" spans="1:20" x14ac:dyDescent="0.25">
      <c r="A143" s="5">
        <v>44450</v>
      </c>
      <c r="B143">
        <v>0.95409999999999995</v>
      </c>
      <c r="C143">
        <v>1.0044999999999999</v>
      </c>
      <c r="D143">
        <v>0.93920000000000003</v>
      </c>
      <c r="E143">
        <v>0.98570000000000002</v>
      </c>
      <c r="F143">
        <v>21392195</v>
      </c>
      <c r="G143">
        <v>0.98570000000000002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0.42419601837672427</v>
      </c>
      <c r="Q143">
        <f t="shared" ref="Q143" si="691">F143*P143</f>
        <v>9074483.9433384687</v>
      </c>
      <c r="R143">
        <f t="shared" ref="R143" si="692">R144+Q143</f>
        <v>2037443282.5330865</v>
      </c>
      <c r="S143">
        <f t="shared" ref="S143" si="693">R143/100000</f>
        <v>20374.432825330867</v>
      </c>
      <c r="T143">
        <f t="shared" ref="T143" si="694">S143/1000</f>
        <v>20.374432825330867</v>
      </c>
    </row>
    <row r="144" spans="1:20" x14ac:dyDescent="0.25">
      <c r="A144" s="5">
        <v>44449</v>
      </c>
      <c r="B144">
        <v>1.0308999999999999</v>
      </c>
      <c r="C144">
        <v>1.0783</v>
      </c>
      <c r="D144">
        <v>0.92330000000000001</v>
      </c>
      <c r="E144">
        <v>0.95430000000000004</v>
      </c>
      <c r="F144">
        <v>43325675</v>
      </c>
      <c r="G144">
        <v>0.95430000000000004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-0.59999999999999976</v>
      </c>
      <c r="Q144">
        <f t="shared" ref="Q144" si="696">F144*P144</f>
        <v>-25995404.999999989</v>
      </c>
      <c r="R144">
        <f t="shared" ref="R144" si="697">R145+Q144</f>
        <v>2028368798.5897481</v>
      </c>
      <c r="S144">
        <f t="shared" ref="S144" si="698">R144/100000</f>
        <v>20283.687985897483</v>
      </c>
      <c r="T144">
        <f t="shared" ref="T144" si="699">S144/1000</f>
        <v>20.283687985897483</v>
      </c>
    </row>
    <row r="145" spans="1:20" x14ac:dyDescent="0.25">
      <c r="A145" s="5">
        <v>44448</v>
      </c>
      <c r="B145">
        <v>0.99670000000000003</v>
      </c>
      <c r="C145">
        <v>1.0461</v>
      </c>
      <c r="D145">
        <v>0.96809999999999996</v>
      </c>
      <c r="E145">
        <v>1.0309999999999999</v>
      </c>
      <c r="F145">
        <v>39403677</v>
      </c>
      <c r="G145">
        <v>1.0309999999999999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0.61282051282051031</v>
      </c>
      <c r="Q145">
        <f t="shared" ref="Q145" si="701">F145*P145</f>
        <v>24147381.546153747</v>
      </c>
      <c r="R145">
        <f t="shared" ref="R145" si="702">R146+Q145</f>
        <v>2054364203.5897481</v>
      </c>
      <c r="S145">
        <f t="shared" ref="S145" si="703">R145/100000</f>
        <v>20543.642035897483</v>
      </c>
      <c r="T145">
        <f t="shared" ref="T145" si="704">S145/1000</f>
        <v>20.543642035897484</v>
      </c>
    </row>
    <row r="146" spans="1:20" x14ac:dyDescent="0.25">
      <c r="A146" s="5">
        <v>44447</v>
      </c>
      <c r="B146">
        <v>0.99409999999999998</v>
      </c>
      <c r="C146">
        <v>1.0068999999999999</v>
      </c>
      <c r="D146">
        <v>0.88060000000000005</v>
      </c>
      <c r="E146">
        <v>0.99729999999999996</v>
      </c>
      <c r="F146">
        <v>46293148</v>
      </c>
      <c r="G146">
        <v>0.99729999999999996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0.8479809976247038</v>
      </c>
      <c r="Q146">
        <f t="shared" ref="Q146" si="706">F146*P146</f>
        <v>39255709.824228063</v>
      </c>
      <c r="R146">
        <f t="shared" ref="R146" si="707">R147+Q146</f>
        <v>2030216822.0435944</v>
      </c>
      <c r="S146">
        <f t="shared" ref="S146" si="708">R146/100000</f>
        <v>20302.168220435942</v>
      </c>
      <c r="T146">
        <f t="shared" ref="T146" si="709">S146/1000</f>
        <v>20.302168220435941</v>
      </c>
    </row>
    <row r="147" spans="1:20" x14ac:dyDescent="0.25">
      <c r="A147" s="5">
        <v>44446</v>
      </c>
      <c r="B147">
        <v>1.2909999999999999</v>
      </c>
      <c r="C147">
        <v>1.2949999999999999</v>
      </c>
      <c r="D147">
        <v>0.83009999999999995</v>
      </c>
      <c r="E147">
        <v>0.99380000000000002</v>
      </c>
      <c r="F147">
        <v>78478955.459999993</v>
      </c>
      <c r="G147">
        <v>0.99380000000000002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-0.29576252957625265</v>
      </c>
      <c r="Q147">
        <f t="shared" ref="Q147" si="711">F147*P147</f>
        <v>-23211134.385351662</v>
      </c>
      <c r="R147">
        <f t="shared" ref="R147" si="712">R148+Q147</f>
        <v>1990961112.2193663</v>
      </c>
      <c r="S147">
        <f t="shared" ref="S147" si="713">R147/100000</f>
        <v>19909.611122193663</v>
      </c>
      <c r="T147">
        <f t="shared" ref="T147" si="714">S147/1000</f>
        <v>19.909611122193663</v>
      </c>
    </row>
    <row r="148" spans="1:20" x14ac:dyDescent="0.25">
      <c r="A148" s="5">
        <v>44445</v>
      </c>
      <c r="B148">
        <v>1.3250999999999999</v>
      </c>
      <c r="C148">
        <v>1.3281000000000001</v>
      </c>
      <c r="D148">
        <v>1.2427999999999999</v>
      </c>
      <c r="E148">
        <v>1.2916000000000001</v>
      </c>
      <c r="F148">
        <v>36106013.840000004</v>
      </c>
      <c r="G148">
        <v>1.2916000000000001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0.14419695193435145</v>
      </c>
      <c r="Q148">
        <f t="shared" ref="Q148" si="716">F148*P148</f>
        <v>5206377.1422275091</v>
      </c>
      <c r="R148">
        <f t="shared" ref="R148" si="717">R149+Q148</f>
        <v>2014172246.604718</v>
      </c>
      <c r="S148">
        <f t="shared" ref="S148" si="718">R148/100000</f>
        <v>20141.72246604718</v>
      </c>
      <c r="T148">
        <f t="shared" ref="T148" si="719">S148/1000</f>
        <v>20.141722466047181</v>
      </c>
    </row>
    <row r="149" spans="1:20" x14ac:dyDescent="0.25">
      <c r="A149" s="5">
        <v>44444</v>
      </c>
      <c r="B149">
        <v>1.2306999999999999</v>
      </c>
      <c r="C149">
        <v>1.3269</v>
      </c>
      <c r="D149">
        <v>1.2121</v>
      </c>
      <c r="E149">
        <v>1.3251999999999999</v>
      </c>
      <c r="F149">
        <v>43446825.039999999</v>
      </c>
      <c r="G149">
        <v>1.3251999999999999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0.9703832752613234</v>
      </c>
      <c r="Q149">
        <f t="shared" ref="Q149" si="721">F149*P149</f>
        <v>42160072.382020876</v>
      </c>
      <c r="R149">
        <f t="shared" ref="R149" si="722">R150+Q149</f>
        <v>2008965869.4624906</v>
      </c>
      <c r="S149">
        <f t="shared" ref="S149" si="723">R149/100000</f>
        <v>20089.658694624904</v>
      </c>
      <c r="T149">
        <f t="shared" ref="T149" si="724">S149/1000</f>
        <v>20.089658694624905</v>
      </c>
    </row>
    <row r="150" spans="1:20" x14ac:dyDescent="0.25">
      <c r="A150" s="5">
        <v>44443</v>
      </c>
      <c r="B150">
        <v>1.1879</v>
      </c>
      <c r="C150">
        <v>1.2372000000000001</v>
      </c>
      <c r="D150">
        <v>1.1731</v>
      </c>
      <c r="E150">
        <v>1.2302999999999999</v>
      </c>
      <c r="F150">
        <v>30324982.02</v>
      </c>
      <c r="G150">
        <v>1.2302999999999999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0.78471138845553434</v>
      </c>
      <c r="Q150">
        <f t="shared" ref="Q150" si="726">F150*P150</f>
        <v>23796358.745803315</v>
      </c>
      <c r="R150">
        <f t="shared" ref="R150" si="727">R151+Q150</f>
        <v>1966805797.0804696</v>
      </c>
      <c r="S150">
        <f t="shared" ref="S150" si="728">R150/100000</f>
        <v>19668.057970804697</v>
      </c>
      <c r="T150">
        <f t="shared" ref="T150" si="729">S150/1000</f>
        <v>19.668057970804696</v>
      </c>
    </row>
    <row r="151" spans="1:20" x14ac:dyDescent="0.25">
      <c r="A151" s="5">
        <v>44442</v>
      </c>
      <c r="B151">
        <v>1.1651</v>
      </c>
      <c r="C151">
        <v>1.1890000000000001</v>
      </c>
      <c r="D151">
        <v>1.1209</v>
      </c>
      <c r="E151">
        <v>1.1878</v>
      </c>
      <c r="F151">
        <v>29412710.219999999</v>
      </c>
      <c r="G151">
        <v>1.1878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0.96475770925109872</v>
      </c>
      <c r="Q151">
        <f t="shared" ref="Q151" si="731">F151*P151</f>
        <v>28376138.93471358</v>
      </c>
      <c r="R151">
        <f t="shared" ref="R151" si="732">R152+Q151</f>
        <v>1943009438.3346663</v>
      </c>
      <c r="S151">
        <f t="shared" ref="S151" si="733">R151/100000</f>
        <v>19430.094383346663</v>
      </c>
      <c r="T151">
        <f t="shared" ref="T151" si="734">S151/1000</f>
        <v>19.430094383346663</v>
      </c>
    </row>
    <row r="152" spans="1:20" x14ac:dyDescent="0.25">
      <c r="A152" s="5">
        <v>44441</v>
      </c>
      <c r="B152">
        <v>1.1107</v>
      </c>
      <c r="C152">
        <v>1.1834</v>
      </c>
      <c r="D152">
        <v>1.0932999999999999</v>
      </c>
      <c r="E152">
        <v>1.1649</v>
      </c>
      <c r="F152">
        <v>37765574.57</v>
      </c>
      <c r="G152">
        <v>1.1649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0.58934517203107772</v>
      </c>
      <c r="Q152">
        <f t="shared" ref="Q152" si="736">F152*P152</f>
        <v>22256959.041809145</v>
      </c>
      <c r="R152">
        <f t="shared" ref="R152" si="737">R153+Q152</f>
        <v>1914633299.3999527</v>
      </c>
      <c r="S152">
        <f t="shared" ref="S152" si="738">R152/100000</f>
        <v>19146.332993999527</v>
      </c>
      <c r="T152">
        <f t="shared" ref="T152" si="739">S152/1000</f>
        <v>19.146332993999529</v>
      </c>
    </row>
    <row r="153" spans="1:20" x14ac:dyDescent="0.25">
      <c r="A153" s="5">
        <v>44440</v>
      </c>
      <c r="B153">
        <v>1.0422</v>
      </c>
      <c r="C153">
        <v>1.1113999999999999</v>
      </c>
      <c r="D153">
        <v>1.0196000000000001</v>
      </c>
      <c r="E153">
        <v>1.1107</v>
      </c>
      <c r="F153">
        <v>20409884</v>
      </c>
      <c r="G153">
        <v>1.1107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0.98474945533769231</v>
      </c>
      <c r="Q153">
        <f t="shared" ref="Q153" si="741">F153*P153</f>
        <v>20098622.15250548</v>
      </c>
      <c r="R153">
        <f t="shared" ref="R153" si="742">R154+Q153</f>
        <v>1892376340.3581436</v>
      </c>
      <c r="S153">
        <f t="shared" ref="S153" si="743">R153/100000</f>
        <v>18923.763403581437</v>
      </c>
      <c r="T153">
        <f t="shared" ref="T153" si="744">S153/1000</f>
        <v>18.923763403581436</v>
      </c>
    </row>
    <row r="154" spans="1:20" x14ac:dyDescent="0.25">
      <c r="A154" s="5">
        <v>44439</v>
      </c>
      <c r="B154">
        <v>1.0245</v>
      </c>
      <c r="C154">
        <v>1.073</v>
      </c>
      <c r="D154">
        <v>1.0143</v>
      </c>
      <c r="E154">
        <v>1.0419</v>
      </c>
      <c r="F154">
        <v>23583880</v>
      </c>
      <c r="G154">
        <v>1.0419</v>
      </c>
      <c r="L154" t="s">
        <v>7</v>
      </c>
      <c r="M154" t="s">
        <v>7</v>
      </c>
      <c r="N154" t="s">
        <v>8</v>
      </c>
      <c r="P154">
        <f t="shared" ref="P154" si="745">IF(C154=D154,0,((E154-D154)-(C154-E154))/(C154-D154))</f>
        <v>-5.962521294718634E-2</v>
      </c>
      <c r="Q154">
        <f t="shared" ref="Q154" si="746">F154*P154</f>
        <v>-1406193.867120889</v>
      </c>
      <c r="R154">
        <f t="shared" ref="R154" si="747">R155+Q154</f>
        <v>1872277718.2056382</v>
      </c>
      <c r="S154">
        <f t="shared" ref="S154" si="748">R154/100000</f>
        <v>18722.777182056383</v>
      </c>
      <c r="T154">
        <f t="shared" ref="T154" si="749">S154/1000</f>
        <v>18.722777182056383</v>
      </c>
    </row>
    <row r="155" spans="1:20" x14ac:dyDescent="0.25">
      <c r="A155" s="5">
        <v>44438</v>
      </c>
      <c r="B155">
        <v>1.0753999999999999</v>
      </c>
      <c r="C155">
        <v>1.0764</v>
      </c>
      <c r="D155">
        <v>1.008</v>
      </c>
      <c r="E155">
        <v>1.0246</v>
      </c>
      <c r="F155">
        <v>18865148</v>
      </c>
      <c r="G155">
        <v>1.0246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-0.51461988304093731</v>
      </c>
      <c r="Q155">
        <f t="shared" ref="Q155" si="751">F155*P155</f>
        <v>-9708380.2573099732</v>
      </c>
      <c r="R155">
        <f t="shared" ref="R155" si="752">R156+Q155</f>
        <v>1873683912.0727592</v>
      </c>
      <c r="S155">
        <f t="shared" ref="S155" si="753">R155/100000</f>
        <v>18736.839120727593</v>
      </c>
      <c r="T155">
        <f t="shared" ref="T155" si="754">S155/1000</f>
        <v>18.736839120727591</v>
      </c>
    </row>
    <row r="156" spans="1:20" x14ac:dyDescent="0.25">
      <c r="A156" s="5">
        <v>44437</v>
      </c>
      <c r="B156">
        <v>1.0955999999999999</v>
      </c>
      <c r="C156">
        <v>1.1140000000000001</v>
      </c>
      <c r="D156">
        <v>1.0517000000000001</v>
      </c>
      <c r="E156">
        <v>1.0753999999999999</v>
      </c>
      <c r="F156">
        <v>15620141</v>
      </c>
      <c r="G156">
        <v>1.0753999999999999</v>
      </c>
      <c r="L156" t="s">
        <v>8</v>
      </c>
      <c r="M156" t="s">
        <v>7</v>
      </c>
      <c r="N156" t="s">
        <v>8</v>
      </c>
      <c r="P156">
        <f t="shared" ref="P156" si="755">IF(C156=D156,0,((E156-D156)-(C156-E156))/(C156-D156))</f>
        <v>-0.23916532905297516</v>
      </c>
      <c r="Q156">
        <f t="shared" ref="Q156" si="756">F156*P156</f>
        <v>-3735796.1621188684</v>
      </c>
      <c r="R156">
        <f t="shared" ref="R156" si="757">R157+Q156</f>
        <v>1883392292.3300691</v>
      </c>
      <c r="S156">
        <f t="shared" ref="S156" si="758">R156/100000</f>
        <v>18833.922923300692</v>
      </c>
      <c r="T156">
        <f t="shared" ref="T156" si="759">S156/1000</f>
        <v>18.83392292330069</v>
      </c>
    </row>
    <row r="157" spans="1:20" x14ac:dyDescent="0.25">
      <c r="A157" s="5">
        <v>44436</v>
      </c>
      <c r="B157">
        <v>1.0923</v>
      </c>
      <c r="C157">
        <v>1.117</v>
      </c>
      <c r="D157">
        <v>1.0611999999999999</v>
      </c>
      <c r="E157">
        <v>1.0955999999999999</v>
      </c>
      <c r="F157">
        <v>16741983.24</v>
      </c>
      <c r="G157">
        <v>1.0955999999999999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0.23297491039426316</v>
      </c>
      <c r="Q157">
        <f t="shared" ref="Q157" si="761">F157*P157</f>
        <v>3900462.0451612556</v>
      </c>
      <c r="R157">
        <f t="shared" ref="R157" si="762">R158+Q157</f>
        <v>1887128088.492188</v>
      </c>
      <c r="S157">
        <f t="shared" ref="S157" si="763">R157/100000</f>
        <v>18871.280884921878</v>
      </c>
      <c r="T157">
        <f t="shared" ref="T157" si="764">S157/1000</f>
        <v>18.871280884921877</v>
      </c>
    </row>
    <row r="158" spans="1:20" x14ac:dyDescent="0.25">
      <c r="A158" s="5">
        <v>44435</v>
      </c>
      <c r="B158">
        <v>1.0366</v>
      </c>
      <c r="C158">
        <v>1.0929</v>
      </c>
      <c r="D158">
        <v>0.98929999999999996</v>
      </c>
      <c r="E158">
        <v>1.0922000000000001</v>
      </c>
      <c r="F158">
        <v>24055557.899999999</v>
      </c>
      <c r="G158">
        <v>1.0922000000000001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0.98648648648648796</v>
      </c>
      <c r="Q158">
        <f t="shared" ref="Q158" si="766">F158*P158</f>
        <v>23730482.793243278</v>
      </c>
      <c r="R158">
        <f t="shared" ref="R158" si="767">R159+Q158</f>
        <v>1883227626.4470267</v>
      </c>
      <c r="S158">
        <f t="shared" ref="S158" si="768">R158/100000</f>
        <v>18832.276264470267</v>
      </c>
      <c r="T158">
        <f t="shared" ref="T158" si="769">S158/1000</f>
        <v>18.832276264470266</v>
      </c>
    </row>
    <row r="159" spans="1:20" x14ac:dyDescent="0.25">
      <c r="A159" s="5">
        <v>44434</v>
      </c>
      <c r="B159">
        <v>1.1353</v>
      </c>
      <c r="C159">
        <v>1.1505000000000001</v>
      </c>
      <c r="D159">
        <v>1</v>
      </c>
      <c r="E159">
        <v>1.0371999999999999</v>
      </c>
      <c r="F159">
        <v>29510066.899999999</v>
      </c>
      <c r="G159">
        <v>1.0371999999999999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-0.50564784053156309</v>
      </c>
      <c r="Q159">
        <f t="shared" ref="Q159" si="771">F159*P159</f>
        <v>-14921701.601926958</v>
      </c>
      <c r="R159">
        <f t="shared" ref="R159" si="772">R160+Q159</f>
        <v>1859497143.6537836</v>
      </c>
      <c r="S159">
        <f t="shared" ref="S159" si="773">R159/100000</f>
        <v>18594.971436537835</v>
      </c>
      <c r="T159">
        <f t="shared" ref="T159" si="774">S159/1000</f>
        <v>18.594971436537836</v>
      </c>
    </row>
    <row r="160" spans="1:20" x14ac:dyDescent="0.25">
      <c r="A160" s="5">
        <v>44433</v>
      </c>
      <c r="B160">
        <v>1.0967</v>
      </c>
      <c r="C160">
        <v>1.137</v>
      </c>
      <c r="D160">
        <v>1.0325</v>
      </c>
      <c r="E160">
        <v>1.1355</v>
      </c>
      <c r="F160">
        <v>31455634.120000001</v>
      </c>
      <c r="G160">
        <v>1.1355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0.9712918660287071</v>
      </c>
      <c r="Q160">
        <f t="shared" ref="Q160" si="776">F160*P160</f>
        <v>30552601.561531071</v>
      </c>
      <c r="R160">
        <f t="shared" ref="R160" si="777">R161+Q160</f>
        <v>1874418845.2557106</v>
      </c>
      <c r="S160">
        <f t="shared" ref="S160" si="778">R160/100000</f>
        <v>18744.188452557108</v>
      </c>
      <c r="T160">
        <f t="shared" ref="T160" si="779">S160/1000</f>
        <v>18.744188452557108</v>
      </c>
    </row>
    <row r="161" spans="1:20" x14ac:dyDescent="0.25">
      <c r="A161" s="5">
        <v>44432</v>
      </c>
      <c r="B161">
        <v>1.1688000000000001</v>
      </c>
      <c r="C161">
        <v>1.2854000000000001</v>
      </c>
      <c r="D161">
        <v>1.07</v>
      </c>
      <c r="E161">
        <v>1.0971</v>
      </c>
      <c r="F161">
        <v>59906585.270000003</v>
      </c>
      <c r="G161">
        <v>1.0971</v>
      </c>
      <c r="L161" t="s">
        <v>8</v>
      </c>
      <c r="M161" t="s">
        <v>8</v>
      </c>
      <c r="N161" t="s">
        <v>8</v>
      </c>
      <c r="P161">
        <f t="shared" ref="P161" si="780">IF(C161=D161,0,((E161-D161)-(C161-E161))/(C161-D161))</f>
        <v>-0.74837511606313933</v>
      </c>
      <c r="Q161">
        <f t="shared" ref="Q161" si="781">F161*P161</f>
        <v>-44832597.704382606</v>
      </c>
      <c r="R161">
        <f t="shared" ref="R161" si="782">R162+Q161</f>
        <v>1843866243.6941795</v>
      </c>
      <c r="S161">
        <f t="shared" ref="S161" si="783">R161/100000</f>
        <v>18438.662436941795</v>
      </c>
      <c r="T161">
        <f t="shared" ref="T161" si="784">S161/1000</f>
        <v>18.438662436941794</v>
      </c>
    </row>
    <row r="162" spans="1:20" x14ac:dyDescent="0.25">
      <c r="A162" s="5">
        <v>44431</v>
      </c>
      <c r="B162">
        <v>1.1338999999999999</v>
      </c>
      <c r="C162">
        <v>1.1978</v>
      </c>
      <c r="D162">
        <v>1.1258999999999999</v>
      </c>
      <c r="E162">
        <v>1.1692</v>
      </c>
      <c r="F162">
        <v>34517213.710000001</v>
      </c>
      <c r="G162">
        <v>1.1692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0.20445062586926485</v>
      </c>
      <c r="Q162">
        <f t="shared" ref="Q162" si="786">F162*P162</f>
        <v>7057065.9462726694</v>
      </c>
      <c r="R162">
        <f t="shared" ref="R162" si="787">R163+Q162</f>
        <v>1888698841.3985622</v>
      </c>
      <c r="S162">
        <f t="shared" ref="S162" si="788">R162/100000</f>
        <v>18886.988413985622</v>
      </c>
      <c r="T162">
        <f t="shared" ref="T162" si="789">S162/1000</f>
        <v>18.886988413985623</v>
      </c>
    </row>
    <row r="163" spans="1:20" x14ac:dyDescent="0.25">
      <c r="A163" s="5">
        <v>44430</v>
      </c>
      <c r="B163">
        <v>1.0717000000000001</v>
      </c>
      <c r="C163">
        <v>1.0868</v>
      </c>
      <c r="D163">
        <v>1.0623</v>
      </c>
      <c r="E163">
        <v>1.0783</v>
      </c>
      <c r="F163">
        <v>4543035.6900000004</v>
      </c>
      <c r="G163">
        <v>1.0783</v>
      </c>
      <c r="L163" t="s">
        <v>8</v>
      </c>
      <c r="M163" t="s">
        <v>7</v>
      </c>
      <c r="N163" t="s">
        <v>8</v>
      </c>
      <c r="P163">
        <f t="shared" ref="P163" si="790">IF(C163=D163,0,((E163-D163)-(C163-E163))/(C163-D163))</f>
        <v>0.30612244897959479</v>
      </c>
      <c r="Q163">
        <f t="shared" ref="Q163" si="791">F163*P163</f>
        <v>1390725.2112245033</v>
      </c>
      <c r="R163">
        <f t="shared" ref="R163" si="792">R164+Q163</f>
        <v>1881641775.4522896</v>
      </c>
      <c r="S163">
        <f t="shared" ref="S163" si="793">R163/100000</f>
        <v>18816.417754522896</v>
      </c>
      <c r="T163">
        <f t="shared" ref="T163" si="794">S163/1000</f>
        <v>18.816417754522895</v>
      </c>
    </row>
    <row r="164" spans="1:20" x14ac:dyDescent="0.25">
      <c r="A164" s="5">
        <v>44429</v>
      </c>
      <c r="B164">
        <v>1.0886</v>
      </c>
      <c r="C164">
        <v>1.0974999999999999</v>
      </c>
      <c r="D164">
        <v>1.0424</v>
      </c>
      <c r="E164">
        <v>1.0711999999999999</v>
      </c>
      <c r="F164">
        <v>23287469.969999999</v>
      </c>
      <c r="G164">
        <v>1.0711999999999999</v>
      </c>
      <c r="L164" t="s">
        <v>8</v>
      </c>
      <c r="M164" t="s">
        <v>7</v>
      </c>
      <c r="N164" t="s">
        <v>8</v>
      </c>
      <c r="P164">
        <f t="shared" ref="P164" si="795">IF(C164=D164,0,((E164-D164)-(C164-E164))/(C164-D164))</f>
        <v>4.5372050816696007E-2</v>
      </c>
      <c r="Q164">
        <f t="shared" ref="Q164" si="796">F164*P164</f>
        <v>1056600.2708711221</v>
      </c>
      <c r="R164">
        <f t="shared" ref="R164" si="797">R165+Q164</f>
        <v>1880251050.241065</v>
      </c>
      <c r="S164">
        <f t="shared" ref="S164" si="798">R164/100000</f>
        <v>18802.510502410649</v>
      </c>
      <c r="T164">
        <f t="shared" ref="T164" si="799">S164/1000</f>
        <v>18.802510502410648</v>
      </c>
    </row>
    <row r="165" spans="1:20" x14ac:dyDescent="0.25">
      <c r="A165" s="5">
        <v>44428</v>
      </c>
      <c r="B165">
        <v>1.0529999999999999</v>
      </c>
      <c r="C165">
        <v>1.0889</v>
      </c>
      <c r="D165">
        <v>1.0356000000000001</v>
      </c>
      <c r="E165">
        <v>1.0886</v>
      </c>
      <c r="F165">
        <v>22146039.539999999</v>
      </c>
      <c r="G165">
        <v>1.0886</v>
      </c>
      <c r="L165" t="s">
        <v>8</v>
      </c>
      <c r="M165" t="s">
        <v>7</v>
      </c>
      <c r="N165" t="s">
        <v>8</v>
      </c>
      <c r="P165">
        <f t="shared" ref="P165" si="800">IF(C165=D165,0,((E165-D165)-(C165-E165))/(C165-D165))</f>
        <v>0.98874296435272169</v>
      </c>
      <c r="Q165">
        <f t="shared" ref="Q165" si="801">F165*P165</f>
        <v>21896740.783452183</v>
      </c>
      <c r="R165">
        <f t="shared" ref="R165" si="802">R166+Q165</f>
        <v>1879194449.9701939</v>
      </c>
      <c r="S165">
        <f t="shared" ref="S165" si="803">R165/100000</f>
        <v>18791.944499701938</v>
      </c>
      <c r="T165">
        <f t="shared" ref="T165" si="804">S165/1000</f>
        <v>18.791944499701938</v>
      </c>
    </row>
    <row r="166" spans="1:20" x14ac:dyDescent="0.25">
      <c r="A166" s="5">
        <v>44427</v>
      </c>
      <c r="B166">
        <v>0.98629999999999995</v>
      </c>
      <c r="C166">
        <v>1.0551999999999999</v>
      </c>
      <c r="D166">
        <v>0.96460000000000001</v>
      </c>
      <c r="E166">
        <v>1.0528999999999999</v>
      </c>
      <c r="F166">
        <v>27143070</v>
      </c>
      <c r="G166">
        <v>1.0528999999999999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0.9492273730684333</v>
      </c>
      <c r="Q166">
        <f t="shared" ref="Q166" si="806">F166*P166</f>
        <v>25764945.0331126</v>
      </c>
      <c r="R166">
        <f t="shared" ref="R166" si="807">R167+Q166</f>
        <v>1857297709.1867416</v>
      </c>
      <c r="S166">
        <f t="shared" ref="S166" si="808">R166/100000</f>
        <v>18572.977091867415</v>
      </c>
      <c r="T166">
        <f t="shared" ref="T166" si="809">S166/1000</f>
        <v>18.572977091867415</v>
      </c>
    </row>
    <row r="167" spans="1:20" x14ac:dyDescent="0.25">
      <c r="A167" s="5">
        <v>44426</v>
      </c>
      <c r="B167">
        <v>1.0053000000000001</v>
      </c>
      <c r="C167">
        <v>1.0283</v>
      </c>
      <c r="D167">
        <v>0.94210000000000005</v>
      </c>
      <c r="E167">
        <v>0.98609999999999998</v>
      </c>
      <c r="F167">
        <v>34754419.240000002</v>
      </c>
      <c r="G167">
        <v>0.98609999999999998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2.0881670533641695E-2</v>
      </c>
      <c r="Q167">
        <f t="shared" ref="Q167" si="811">F167*P167</f>
        <v>725730.33215773804</v>
      </c>
      <c r="R167">
        <f t="shared" ref="R167" si="812">R168+Q167</f>
        <v>1831532764.1536291</v>
      </c>
      <c r="S167">
        <f t="shared" ref="S167" si="813">R167/100000</f>
        <v>18315.327641536289</v>
      </c>
      <c r="T167">
        <f t="shared" ref="T167" si="814">S167/1000</f>
        <v>18.315327641536289</v>
      </c>
    </row>
    <row r="168" spans="1:20" x14ac:dyDescent="0.25">
      <c r="A168" s="5">
        <v>44425</v>
      </c>
      <c r="B168">
        <v>1.0795999999999999</v>
      </c>
      <c r="C168">
        <v>1.1099000000000001</v>
      </c>
      <c r="D168">
        <v>0.99490000000000001</v>
      </c>
      <c r="E168">
        <v>1.0055000000000001</v>
      </c>
      <c r="F168">
        <v>29597879.07</v>
      </c>
      <c r="G168">
        <v>1.0055000000000001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-0.81565217391304268</v>
      </c>
      <c r="Q168">
        <f t="shared" ref="Q168" si="816">F168*P168</f>
        <v>-24141574.406660847</v>
      </c>
      <c r="R168">
        <f t="shared" ref="R168" si="817">R169+Q168</f>
        <v>1830807033.8214712</v>
      </c>
      <c r="S168">
        <f t="shared" ref="S168" si="818">R168/100000</f>
        <v>18308.070338214711</v>
      </c>
      <c r="T168">
        <f t="shared" ref="T168" si="819">S168/1000</f>
        <v>18.308070338214712</v>
      </c>
    </row>
    <row r="169" spans="1:20" x14ac:dyDescent="0.25">
      <c r="A169" s="5">
        <v>44424</v>
      </c>
      <c r="B169">
        <v>1.1323000000000001</v>
      </c>
      <c r="C169">
        <v>1.1605000000000001</v>
      </c>
      <c r="D169">
        <v>1.0521</v>
      </c>
      <c r="E169">
        <v>1.079</v>
      </c>
      <c r="F169">
        <v>31457423.039999999</v>
      </c>
      <c r="G169">
        <v>1.079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-0.50369003690037062</v>
      </c>
      <c r="Q169">
        <f t="shared" ref="Q169" si="821">F169*P169</f>
        <v>-15844790.571808169</v>
      </c>
      <c r="R169">
        <f t="shared" ref="R169" si="822">R170+Q169</f>
        <v>1854948608.228132</v>
      </c>
      <c r="S169">
        <f t="shared" ref="S169" si="823">R169/100000</f>
        <v>18549.486082281321</v>
      </c>
      <c r="T169">
        <f t="shared" ref="T169" si="824">S169/1000</f>
        <v>18.549486082281319</v>
      </c>
    </row>
    <row r="170" spans="1:20" x14ac:dyDescent="0.25">
      <c r="A170" s="5">
        <v>44423</v>
      </c>
      <c r="B170">
        <v>1.0843</v>
      </c>
      <c r="C170">
        <v>1.1399999999999999</v>
      </c>
      <c r="D170">
        <v>1.0186999999999999</v>
      </c>
      <c r="E170">
        <v>1.1328</v>
      </c>
      <c r="F170">
        <v>29326795.920000002</v>
      </c>
      <c r="G170">
        <v>1.1328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0.88128606760099137</v>
      </c>
      <c r="Q170">
        <f t="shared" ref="Q170" si="826">F170*P170</f>
        <v>25845296.6516736</v>
      </c>
      <c r="R170">
        <f t="shared" ref="R170" si="827">R171+Q170</f>
        <v>1870793398.7999401</v>
      </c>
      <c r="S170">
        <f t="shared" ref="S170" si="828">R170/100000</f>
        <v>18707.9339879994</v>
      </c>
      <c r="T170">
        <f t="shared" ref="T170" si="829">S170/1000</f>
        <v>18.7079339879994</v>
      </c>
    </row>
    <row r="171" spans="1:20" x14ac:dyDescent="0.25">
      <c r="A171" s="5">
        <v>44422</v>
      </c>
      <c r="B171">
        <v>1.0663</v>
      </c>
      <c r="C171">
        <v>1.097</v>
      </c>
      <c r="D171">
        <v>1.0210999999999999</v>
      </c>
      <c r="E171">
        <v>1.0845</v>
      </c>
      <c r="F171">
        <v>30851074.149999999</v>
      </c>
      <c r="G171">
        <v>1.0845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0.67061923583662864</v>
      </c>
      <c r="Q171">
        <f t="shared" ref="Q171" si="831">F171*P171</f>
        <v>20689323.771212168</v>
      </c>
      <c r="R171">
        <f t="shared" ref="R171" si="832">R172+Q171</f>
        <v>1844948102.1482666</v>
      </c>
      <c r="S171">
        <f t="shared" ref="S171" si="833">R171/100000</f>
        <v>18449.481021482665</v>
      </c>
      <c r="T171">
        <f t="shared" ref="T171" si="834">S171/1000</f>
        <v>18.449481021482665</v>
      </c>
    </row>
    <row r="172" spans="1:20" x14ac:dyDescent="0.25">
      <c r="A172" s="5">
        <v>44421</v>
      </c>
      <c r="B172">
        <v>0.97030000000000005</v>
      </c>
      <c r="C172">
        <v>1.0669999999999999</v>
      </c>
      <c r="D172">
        <v>0.95269999999999999</v>
      </c>
      <c r="E172">
        <v>1.0663</v>
      </c>
      <c r="F172">
        <v>26180772.640000001</v>
      </c>
      <c r="G172">
        <v>1.0663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0.98775153105861901</v>
      </c>
      <c r="Q172">
        <f t="shared" ref="Q172" si="836">F172*P172</f>
        <v>25860098.259457603</v>
      </c>
      <c r="R172">
        <f t="shared" ref="R172" si="837">R173+Q172</f>
        <v>1824258778.3770545</v>
      </c>
      <c r="S172">
        <f t="shared" ref="S172" si="838">R172/100000</f>
        <v>18242.587783770545</v>
      </c>
      <c r="T172">
        <f t="shared" ref="T172" si="839">S172/1000</f>
        <v>18.242587783770546</v>
      </c>
    </row>
    <row r="173" spans="1:20" x14ac:dyDescent="0.25">
      <c r="A173" s="5">
        <v>44420</v>
      </c>
      <c r="B173">
        <v>1.0169999999999999</v>
      </c>
      <c r="C173">
        <v>1.0566</v>
      </c>
      <c r="D173">
        <v>0.92</v>
      </c>
      <c r="E173">
        <v>0.97009999999999996</v>
      </c>
      <c r="F173">
        <v>35526529.909999996</v>
      </c>
      <c r="G173">
        <v>0.97009999999999996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-0.26647144948755574</v>
      </c>
      <c r="Q173">
        <f t="shared" ref="Q173" si="841">F173*P173</f>
        <v>-9466805.9203807022</v>
      </c>
      <c r="R173">
        <f t="shared" ref="R173" si="842">R174+Q173</f>
        <v>1798398680.1175969</v>
      </c>
      <c r="S173">
        <f t="shared" ref="S173" si="843">R173/100000</f>
        <v>17983.986801175968</v>
      </c>
      <c r="T173">
        <f t="shared" ref="T173" si="844">S173/1000</f>
        <v>17.98398680117597</v>
      </c>
    </row>
    <row r="174" spans="1:20" x14ac:dyDescent="0.25">
      <c r="A174" s="5">
        <v>44419</v>
      </c>
      <c r="B174">
        <v>0.9365</v>
      </c>
      <c r="C174">
        <v>1.0608</v>
      </c>
      <c r="D174">
        <v>0.9365</v>
      </c>
      <c r="E174">
        <v>1.0174000000000001</v>
      </c>
      <c r="F174">
        <v>40933825.810000002</v>
      </c>
      <c r="G174">
        <v>1.0174000000000001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0.30168946098149807</v>
      </c>
      <c r="Q174">
        <f t="shared" ref="Q174" si="846">F174*P174</f>
        <v>12349303.844529435</v>
      </c>
      <c r="R174">
        <f t="shared" ref="R174" si="847">R175+Q174</f>
        <v>1807865486.0379775</v>
      </c>
      <c r="S174">
        <f t="shared" ref="S174" si="848">R174/100000</f>
        <v>18078.654860379775</v>
      </c>
      <c r="T174">
        <f t="shared" ref="T174" si="849">S174/1000</f>
        <v>18.078654860379775</v>
      </c>
    </row>
    <row r="175" spans="1:20" x14ac:dyDescent="0.25">
      <c r="A175" s="5">
        <v>44418</v>
      </c>
      <c r="B175">
        <v>0.91710000000000003</v>
      </c>
      <c r="C175">
        <v>0.94740000000000002</v>
      </c>
      <c r="D175">
        <v>0.8962</v>
      </c>
      <c r="E175">
        <v>0.93600000000000005</v>
      </c>
      <c r="F175">
        <v>26427731.670000002</v>
      </c>
      <c r="G175">
        <v>0.93600000000000005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0.55468750000000155</v>
      </c>
      <c r="Q175">
        <f t="shared" ref="Q175" si="851">F175*P175</f>
        <v>14659132.410703167</v>
      </c>
      <c r="R175">
        <f t="shared" ref="R175" si="852">R176+Q175</f>
        <v>1795516182.1934481</v>
      </c>
      <c r="S175">
        <f t="shared" ref="S175" si="853">R175/100000</f>
        <v>17955.161821934482</v>
      </c>
      <c r="T175">
        <f t="shared" ref="T175" si="854">S175/1000</f>
        <v>17.955161821934482</v>
      </c>
    </row>
    <row r="176" spans="1:20" x14ac:dyDescent="0.25">
      <c r="A176" s="5">
        <v>44417</v>
      </c>
      <c r="B176">
        <v>0.87260000000000004</v>
      </c>
      <c r="C176">
        <v>0.95109999999999995</v>
      </c>
      <c r="D176">
        <v>0.86060000000000003</v>
      </c>
      <c r="E176">
        <v>0.91700000000000004</v>
      </c>
      <c r="F176">
        <v>34216631.340000004</v>
      </c>
      <c r="G176">
        <v>0.91700000000000004</v>
      </c>
      <c r="L176" t="s">
        <v>8</v>
      </c>
      <c r="M176" t="s">
        <v>8</v>
      </c>
      <c r="N176" t="s">
        <v>8</v>
      </c>
      <c r="P176">
        <f t="shared" ref="P176" si="855">IF(C176=D176,0,((E176-D176)-(C176-E176))/(C176-D176))</f>
        <v>0.24640883977900685</v>
      </c>
      <c r="Q176">
        <f t="shared" ref="Q176" si="856">F176*P176</f>
        <v>8431280.4296354055</v>
      </c>
      <c r="R176">
        <f t="shared" ref="R176" si="857">R177+Q176</f>
        <v>1780857049.7827449</v>
      </c>
      <c r="S176">
        <f t="shared" ref="S176" si="858">R176/100000</f>
        <v>17808.570497827448</v>
      </c>
      <c r="T176">
        <f t="shared" ref="T176" si="859">S176/1000</f>
        <v>17.808570497827446</v>
      </c>
    </row>
    <row r="177" spans="1:20" x14ac:dyDescent="0.25">
      <c r="A177" s="5">
        <v>44416</v>
      </c>
      <c r="B177">
        <v>0.91910000000000003</v>
      </c>
      <c r="C177">
        <v>0.93879999999999997</v>
      </c>
      <c r="D177">
        <v>0.84740000000000004</v>
      </c>
      <c r="E177">
        <v>0.87229999999999996</v>
      </c>
      <c r="F177">
        <v>25870471.399999999</v>
      </c>
      <c r="G177">
        <v>0.87229999999999996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-0.45514223194748482</v>
      </c>
      <c r="Q177">
        <f t="shared" ref="Q177" si="861">F177*P177</f>
        <v>-11774744.094529571</v>
      </c>
      <c r="R177">
        <f t="shared" ref="R177" si="862">R178+Q177</f>
        <v>1772425769.3531096</v>
      </c>
      <c r="S177">
        <f t="shared" ref="S177" si="863">R177/100000</f>
        <v>17724.257693531097</v>
      </c>
      <c r="T177">
        <f t="shared" ref="T177" si="864">S177/1000</f>
        <v>17.724257693531097</v>
      </c>
    </row>
    <row r="178" spans="1:20" x14ac:dyDescent="0.25">
      <c r="A178" s="5">
        <v>44415</v>
      </c>
      <c r="B178">
        <v>0.88260000000000005</v>
      </c>
      <c r="C178">
        <v>0.93989999999999996</v>
      </c>
      <c r="D178">
        <v>0.86819999999999997</v>
      </c>
      <c r="E178">
        <v>0.91759999999999997</v>
      </c>
      <c r="F178">
        <v>37127134.810000002</v>
      </c>
      <c r="G178">
        <v>0.91759999999999997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0.37796373779637404</v>
      </c>
      <c r="Q178">
        <f t="shared" ref="Q178" si="866">F178*P178</f>
        <v>14032710.646457473</v>
      </c>
      <c r="R178">
        <f t="shared" ref="R178" si="867">R179+Q178</f>
        <v>1784200513.4476392</v>
      </c>
      <c r="S178">
        <f t="shared" ref="S178" si="868">R178/100000</f>
        <v>17842.005134476392</v>
      </c>
      <c r="T178">
        <f t="shared" ref="T178" si="869">S178/1000</f>
        <v>17.842005134476391</v>
      </c>
    </row>
    <row r="179" spans="1:20" x14ac:dyDescent="0.25">
      <c r="A179" s="5">
        <v>44414</v>
      </c>
      <c r="B179">
        <v>0.85450000000000004</v>
      </c>
      <c r="C179">
        <v>0.89659999999999995</v>
      </c>
      <c r="D179">
        <v>0.82969999999999999</v>
      </c>
      <c r="E179">
        <v>0.88239999999999996</v>
      </c>
      <c r="F179">
        <v>32814570.010000002</v>
      </c>
      <c r="G179">
        <v>0.88239999999999996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0.57548579970104641</v>
      </c>
      <c r="Q179">
        <f t="shared" ref="Q179" si="871">F179*P179</f>
        <v>18884319.064050827</v>
      </c>
      <c r="R179">
        <f t="shared" ref="R179" si="872">R180+Q179</f>
        <v>1770167802.8011818</v>
      </c>
      <c r="S179">
        <f t="shared" ref="S179" si="873">R179/100000</f>
        <v>17701.678028011818</v>
      </c>
      <c r="T179">
        <f t="shared" ref="T179" si="874">S179/1000</f>
        <v>17.70167802801182</v>
      </c>
    </row>
    <row r="180" spans="1:20" x14ac:dyDescent="0.25">
      <c r="A180" s="5">
        <v>44413</v>
      </c>
      <c r="B180">
        <v>0.84970000000000001</v>
      </c>
      <c r="C180">
        <v>0.85509999999999997</v>
      </c>
      <c r="D180">
        <v>0.80500000000000005</v>
      </c>
      <c r="E180">
        <v>0.85450000000000004</v>
      </c>
      <c r="F180">
        <v>34103952.829999998</v>
      </c>
      <c r="G180">
        <v>0.85450000000000004</v>
      </c>
      <c r="L180" t="s">
        <v>7</v>
      </c>
      <c r="M180" t="s">
        <v>8</v>
      </c>
      <c r="N180" t="s">
        <v>8</v>
      </c>
      <c r="P180">
        <f t="shared" ref="P180" si="875">IF(C180=D180,0,((E180-D180)-(C180-E180))/(C180-D180))</f>
        <v>0.97604790419161935</v>
      </c>
      <c r="Q180">
        <f t="shared" ref="Q180" si="876">F180*P180</f>
        <v>33287091.684371345</v>
      </c>
      <c r="R180">
        <f t="shared" ref="R180" si="877">R181+Q180</f>
        <v>1751283483.7371309</v>
      </c>
      <c r="S180">
        <f t="shared" ref="S180" si="878">R180/100000</f>
        <v>17512.834837371309</v>
      </c>
      <c r="T180">
        <f t="shared" ref="T180" si="879">S180/1000</f>
        <v>17.512834837371308</v>
      </c>
    </row>
    <row r="181" spans="1:20" x14ac:dyDescent="0.25">
      <c r="A181" s="5">
        <v>44412</v>
      </c>
      <c r="B181">
        <v>0.8216</v>
      </c>
      <c r="C181">
        <v>0.93049999999999999</v>
      </c>
      <c r="D181">
        <v>0.78879999999999995</v>
      </c>
      <c r="E181">
        <v>0.85019999999999996</v>
      </c>
      <c r="F181">
        <v>31815469.02</v>
      </c>
      <c r="G181">
        <v>0.85019999999999996</v>
      </c>
      <c r="L181" t="s">
        <v>8</v>
      </c>
      <c r="M181" t="s">
        <v>8</v>
      </c>
      <c r="N181" t="s">
        <v>8</v>
      </c>
      <c r="P181">
        <f t="shared" ref="P181" si="880">IF(C181=D181,0,((E181-D181)-(C181-E181))/(C181-D181))</f>
        <v>-0.13338038108680325</v>
      </c>
      <c r="Q181">
        <f t="shared" ref="Q181" si="881">F181*P181</f>
        <v>-4243559.382342983</v>
      </c>
      <c r="R181">
        <f t="shared" ref="R181" si="882">R182+Q181</f>
        <v>1717996392.0527596</v>
      </c>
      <c r="S181">
        <f t="shared" ref="S181" si="883">R181/100000</f>
        <v>17179.963920527596</v>
      </c>
      <c r="T181">
        <f t="shared" ref="T181" si="884">S181/1000</f>
        <v>17.179963920527594</v>
      </c>
    </row>
    <row r="182" spans="1:20" x14ac:dyDescent="0.25">
      <c r="A182" s="5">
        <v>44411</v>
      </c>
      <c r="B182">
        <v>0.81830000000000003</v>
      </c>
      <c r="C182">
        <v>0.82450000000000001</v>
      </c>
      <c r="D182">
        <v>0.77300000000000002</v>
      </c>
      <c r="E182">
        <v>0.82120000000000004</v>
      </c>
      <c r="F182">
        <v>18110390.23</v>
      </c>
      <c r="G182">
        <v>0.82120000000000004</v>
      </c>
      <c r="L182" t="s">
        <v>7</v>
      </c>
      <c r="M182" t="s">
        <v>8</v>
      </c>
      <c r="N182" t="s">
        <v>8</v>
      </c>
      <c r="P182">
        <f t="shared" ref="P182" si="885">IF(C182=D182,0,((E182-D182)-(C182-E182))/(C182-D182))</f>
        <v>0.87184466019417595</v>
      </c>
      <c r="Q182">
        <f t="shared" ref="Q182" si="886">F182*P182</f>
        <v>15789447.016058274</v>
      </c>
      <c r="R182">
        <f t="shared" ref="R182" si="887">R183+Q182</f>
        <v>1722239951.4351027</v>
      </c>
      <c r="S182">
        <f t="shared" ref="S182" si="888">R182/100000</f>
        <v>17222.399514351026</v>
      </c>
      <c r="T182">
        <f t="shared" ref="T182" si="889">S182/1000</f>
        <v>17.222399514351025</v>
      </c>
    </row>
    <row r="183" spans="1:20" x14ac:dyDescent="0.25">
      <c r="A183" s="5">
        <v>44410</v>
      </c>
      <c r="B183">
        <v>0.79949999999999999</v>
      </c>
      <c r="C183">
        <v>0.82940000000000003</v>
      </c>
      <c r="D183">
        <v>0.78490000000000004</v>
      </c>
      <c r="E183">
        <v>0.81830000000000003</v>
      </c>
      <c r="F183">
        <v>21037944.640000001</v>
      </c>
      <c r="G183">
        <v>0.81830000000000003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0.5011235955056178</v>
      </c>
      <c r="Q183">
        <f t="shared" ref="Q183" si="891">F183*P183</f>
        <v>10542610.460044941</v>
      </c>
      <c r="R183">
        <f t="shared" ref="R183" si="892">R184+Q183</f>
        <v>1706450504.4190445</v>
      </c>
      <c r="S183">
        <f t="shared" ref="S183" si="893">R183/100000</f>
        <v>17064.505044190446</v>
      </c>
      <c r="T183">
        <f t="shared" ref="T183" si="894">S183/1000</f>
        <v>17.064505044190447</v>
      </c>
    </row>
    <row r="184" spans="1:20" x14ac:dyDescent="0.25">
      <c r="A184" s="5">
        <v>44409</v>
      </c>
      <c r="B184">
        <v>0.85799999999999998</v>
      </c>
      <c r="C184">
        <v>0.86850000000000005</v>
      </c>
      <c r="D184">
        <v>0.78569999999999995</v>
      </c>
      <c r="E184">
        <v>0.7994</v>
      </c>
      <c r="F184">
        <v>30961056.879999999</v>
      </c>
      <c r="G184">
        <v>0.7994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-0.66908212560386404</v>
      </c>
      <c r="Q184">
        <f t="shared" ref="Q184" si="896">F184*P184</f>
        <v>-20715489.748212539</v>
      </c>
      <c r="R184">
        <f t="shared" ref="R184" si="897">R185+Q184</f>
        <v>1695907893.9589996</v>
      </c>
      <c r="S184">
        <f t="shared" ref="S184" si="898">R184/100000</f>
        <v>16959.078939589996</v>
      </c>
      <c r="T184">
        <f t="shared" ref="T184" si="899">S184/1000</f>
        <v>16.959078939589997</v>
      </c>
    </row>
    <row r="185" spans="1:20" x14ac:dyDescent="0.25">
      <c r="A185" s="5">
        <v>44408</v>
      </c>
      <c r="B185">
        <v>0.81459999999999999</v>
      </c>
      <c r="C185">
        <v>0.8669</v>
      </c>
      <c r="D185">
        <v>0.78749999999999998</v>
      </c>
      <c r="E185">
        <v>0.85770000000000002</v>
      </c>
      <c r="F185">
        <v>46171238.369999997</v>
      </c>
      <c r="G185">
        <v>0.85770000000000002</v>
      </c>
      <c r="L185" t="s">
        <v>7</v>
      </c>
      <c r="M185" t="s">
        <v>8</v>
      </c>
      <c r="N185" t="s">
        <v>8</v>
      </c>
      <c r="P185">
        <f t="shared" ref="P185" si="900">IF(C185=D185,0,((E185-D185)-(C185-E185))/(C185-D185))</f>
        <v>0.76826196473551678</v>
      </c>
      <c r="Q185">
        <f t="shared" ref="Q185" si="901">F185*P185</f>
        <v>35471606.304408073</v>
      </c>
      <c r="R185">
        <f t="shared" ref="R185" si="902">R186+Q185</f>
        <v>1716623383.7072122</v>
      </c>
      <c r="S185">
        <f t="shared" ref="S185" si="903">R185/100000</f>
        <v>17166.233837072123</v>
      </c>
      <c r="T185">
        <f t="shared" ref="T185" si="904">S185/1000</f>
        <v>17.166233837072124</v>
      </c>
    </row>
    <row r="186" spans="1:20" x14ac:dyDescent="0.25">
      <c r="A186" s="5">
        <v>44407</v>
      </c>
      <c r="B186">
        <v>0.74560000000000004</v>
      </c>
      <c r="C186">
        <v>0.87880000000000003</v>
      </c>
      <c r="D186">
        <v>0.74519999999999997</v>
      </c>
      <c r="E186">
        <v>0.81469999999999998</v>
      </c>
      <c r="F186">
        <v>76235816.359999999</v>
      </c>
      <c r="G186">
        <v>0.81469999999999998</v>
      </c>
      <c r="L186" t="s">
        <v>8</v>
      </c>
      <c r="M186" t="s">
        <v>8</v>
      </c>
      <c r="N186" t="s">
        <v>8</v>
      </c>
      <c r="P186">
        <f t="shared" ref="P186" si="905">IF(C186=D186,0,((E186-D186)-(C186-E186))/(C186-D186))</f>
        <v>4.0419161676646394E-2</v>
      </c>
      <c r="Q186">
        <f t="shared" ref="Q186" si="906">F186*P186</f>
        <v>3081387.7870059642</v>
      </c>
      <c r="R186">
        <f t="shared" ref="R186" si="907">R187+Q186</f>
        <v>1681151777.4028041</v>
      </c>
      <c r="S186">
        <f t="shared" ref="S186" si="908">R186/100000</f>
        <v>16811.517774028041</v>
      </c>
      <c r="T186">
        <f t="shared" ref="T186" si="909">S186/1000</f>
        <v>16.81151777402804</v>
      </c>
    </row>
    <row r="187" spans="1:20" x14ac:dyDescent="0.25">
      <c r="A187" s="5">
        <v>44406</v>
      </c>
      <c r="B187">
        <v>0.70709999999999995</v>
      </c>
      <c r="C187">
        <v>0.75149999999999995</v>
      </c>
      <c r="D187">
        <v>0.6905</v>
      </c>
      <c r="E187">
        <v>0.74570000000000003</v>
      </c>
      <c r="F187">
        <v>20195163.370000001</v>
      </c>
      <c r="G187">
        <v>0.74570000000000003</v>
      </c>
      <c r="L187" t="s">
        <v>8</v>
      </c>
      <c r="M187" t="s">
        <v>8</v>
      </c>
      <c r="N187" t="s">
        <v>8</v>
      </c>
      <c r="P187">
        <f t="shared" ref="P187" si="910">IF(C187=D187,0,((E187-D187)-(C187-E187))/(C187-D187))</f>
        <v>0.80983606557377308</v>
      </c>
      <c r="Q187">
        <f t="shared" ref="Q187" si="911">F187*P187</f>
        <v>16354771.64718038</v>
      </c>
      <c r="R187">
        <f t="shared" ref="R187" si="912">R188+Q187</f>
        <v>1678070389.6157982</v>
      </c>
      <c r="S187">
        <f t="shared" ref="S187" si="913">R187/100000</f>
        <v>16780.703896157982</v>
      </c>
      <c r="T187">
        <f t="shared" ref="T187" si="914">S187/1000</f>
        <v>16.780703896157981</v>
      </c>
    </row>
    <row r="188" spans="1:20" x14ac:dyDescent="0.25">
      <c r="A188" s="5">
        <v>44405</v>
      </c>
      <c r="B188">
        <v>0.70499999999999996</v>
      </c>
      <c r="C188">
        <v>0.71709999999999996</v>
      </c>
      <c r="D188">
        <v>0.68579999999999997</v>
      </c>
      <c r="E188">
        <v>0.70720000000000005</v>
      </c>
      <c r="F188">
        <v>23101647.91</v>
      </c>
      <c r="G188">
        <v>0.70720000000000005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0.36741214057508559</v>
      </c>
      <c r="Q188">
        <f t="shared" ref="Q188" si="916">F188*P188</f>
        <v>8487825.9094250519</v>
      </c>
      <c r="R188">
        <f t="shared" ref="R188" si="917">R189+Q188</f>
        <v>1661715617.9686179</v>
      </c>
      <c r="S188">
        <f t="shared" ref="S188" si="918">R188/100000</f>
        <v>16617.156179686179</v>
      </c>
      <c r="T188">
        <f t="shared" ref="T188" si="919">S188/1000</f>
        <v>16.61715617968618</v>
      </c>
    </row>
    <row r="189" spans="1:20" x14ac:dyDescent="0.25">
      <c r="A189" s="5">
        <v>44404</v>
      </c>
      <c r="B189">
        <v>0.6764</v>
      </c>
      <c r="C189">
        <v>0.70630000000000004</v>
      </c>
      <c r="D189">
        <v>0.65720000000000001</v>
      </c>
      <c r="E189">
        <v>0.70469999999999999</v>
      </c>
      <c r="F189">
        <v>21924971.84</v>
      </c>
      <c r="G189">
        <v>0.70469999999999999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0.93482688391038515</v>
      </c>
      <c r="Q189">
        <f t="shared" ref="Q189" si="921">F189*P189</f>
        <v>20496053.105010144</v>
      </c>
      <c r="R189">
        <f t="shared" ref="R189" si="922">R190+Q189</f>
        <v>1653227792.0591929</v>
      </c>
      <c r="S189">
        <f t="shared" ref="S189" si="923">R189/100000</f>
        <v>16532.277920591929</v>
      </c>
      <c r="T189">
        <f t="shared" ref="T189" si="924">S189/1000</f>
        <v>16.53227792059193</v>
      </c>
    </row>
    <row r="190" spans="1:20" x14ac:dyDescent="0.25">
      <c r="A190" s="5">
        <v>44403</v>
      </c>
      <c r="B190">
        <v>0.66979999999999995</v>
      </c>
      <c r="C190">
        <v>0.73650000000000004</v>
      </c>
      <c r="D190">
        <v>0.6653</v>
      </c>
      <c r="E190">
        <v>0.67630000000000001</v>
      </c>
      <c r="F190">
        <v>43262937.579999998</v>
      </c>
      <c r="G190">
        <v>0.67630000000000001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-0.69101123595505609</v>
      </c>
      <c r="Q190">
        <f t="shared" ref="Q190" si="926">F190*P190</f>
        <v>-29895175.968202241</v>
      </c>
      <c r="R190">
        <f t="shared" ref="R190" si="927">R191+Q190</f>
        <v>1632731738.9541829</v>
      </c>
      <c r="S190">
        <f t="shared" ref="S190" si="928">R190/100000</f>
        <v>16327.317389541829</v>
      </c>
      <c r="T190">
        <f t="shared" ref="T190" si="929">S190/1000</f>
        <v>16.327317389541829</v>
      </c>
    </row>
    <row r="191" spans="1:20" x14ac:dyDescent="0.25">
      <c r="A191" s="5">
        <v>44402</v>
      </c>
      <c r="B191">
        <v>0.65910000000000002</v>
      </c>
      <c r="C191">
        <v>0.67490000000000006</v>
      </c>
      <c r="D191">
        <v>0.63900000000000001</v>
      </c>
      <c r="E191">
        <v>0.66990000000000005</v>
      </c>
      <c r="F191">
        <v>21417245.84</v>
      </c>
      <c r="G191">
        <v>0.66990000000000005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0.72144846796657391</v>
      </c>
      <c r="Q191">
        <f t="shared" ref="Q191" si="931">F191*P191</f>
        <v>15451439.199331479</v>
      </c>
      <c r="R191">
        <f t="shared" ref="R191" si="932">R192+Q191</f>
        <v>1662626914.9223852</v>
      </c>
      <c r="S191">
        <f t="shared" ref="S191" si="933">R191/100000</f>
        <v>16626.269149223852</v>
      </c>
      <c r="T191">
        <f t="shared" ref="T191:T197" si="934">S191/1000</f>
        <v>16.626269149223852</v>
      </c>
    </row>
    <row r="192" spans="1:20" x14ac:dyDescent="0.25">
      <c r="A192" s="5">
        <v>44401</v>
      </c>
      <c r="B192">
        <v>0.64490000000000003</v>
      </c>
      <c r="C192">
        <v>0.67490000000000006</v>
      </c>
      <c r="D192">
        <v>0.63829999999999998</v>
      </c>
      <c r="E192">
        <v>0.65890000000000004</v>
      </c>
      <c r="F192">
        <v>21047391.120000001</v>
      </c>
      <c r="G192">
        <v>0.65890000000000004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0.12568306010929067</v>
      </c>
      <c r="Q192">
        <f t="shared" ref="Q192" si="936">F192*P192</f>
        <v>2645300.5232787109</v>
      </c>
      <c r="R192">
        <f t="shared" ref="R192" si="937">R193+Q192</f>
        <v>1647175475.7230537</v>
      </c>
      <c r="S192">
        <f t="shared" ref="S192" si="938">R192/100000</f>
        <v>16471.754757230538</v>
      </c>
      <c r="T192">
        <f t="shared" si="934"/>
        <v>16.471754757230539</v>
      </c>
    </row>
    <row r="193" spans="1:20" x14ac:dyDescent="0.25">
      <c r="A193" s="5">
        <v>44400</v>
      </c>
      <c r="B193">
        <v>0.62649999999999995</v>
      </c>
      <c r="C193">
        <v>0.64580000000000004</v>
      </c>
      <c r="D193">
        <v>0.61240000000000006</v>
      </c>
      <c r="E193">
        <v>0.64470000000000005</v>
      </c>
      <c r="F193">
        <v>21802212.609999999</v>
      </c>
      <c r="G193">
        <v>0.64470000000000005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0.9341317365269467</v>
      </c>
      <c r="Q193">
        <f t="shared" ref="Q193" si="940">F193*P193</f>
        <v>20366138.725508995</v>
      </c>
      <c r="R193">
        <f t="shared" ref="R193" si="941">R194+Q193</f>
        <v>1644530175.199775</v>
      </c>
      <c r="S193">
        <f t="shared" ref="S193" si="942">R193/100000</f>
        <v>16445.301751997751</v>
      </c>
      <c r="T193">
        <f t="shared" si="934"/>
        <v>16.44530175199775</v>
      </c>
    </row>
    <row r="194" spans="1:20" x14ac:dyDescent="0.25">
      <c r="A194" s="5">
        <v>44399</v>
      </c>
      <c r="B194">
        <v>0.61270000000000002</v>
      </c>
      <c r="C194">
        <v>0.63170000000000004</v>
      </c>
      <c r="D194">
        <v>0.59689999999999999</v>
      </c>
      <c r="E194">
        <v>0.62680000000000002</v>
      </c>
      <c r="F194">
        <v>23597279.57</v>
      </c>
      <c r="G194">
        <v>0.62680000000000002</v>
      </c>
      <c r="L194" t="s">
        <v>8</v>
      </c>
      <c r="M194" t="s">
        <v>7</v>
      </c>
      <c r="N194" t="s">
        <v>7</v>
      </c>
      <c r="P194">
        <f t="shared" ref="P194" si="943">IF(C194=D194,0,((E194-D194)-(C194-E194))/(C194-D194))</f>
        <v>0.71839080459770066</v>
      </c>
      <c r="Q194">
        <f t="shared" ref="Q194" si="944">F194*P194</f>
        <v>16952068.656609185</v>
      </c>
      <c r="R194">
        <f t="shared" ref="R194" si="945">R195+Q194</f>
        <v>1624164036.4742661</v>
      </c>
      <c r="S194">
        <f t="shared" ref="S194" si="946">R194/100000</f>
        <v>16241.640364742661</v>
      </c>
      <c r="T194">
        <f t="shared" si="934"/>
        <v>16.241640364742661</v>
      </c>
    </row>
    <row r="195" spans="1:20" x14ac:dyDescent="0.25">
      <c r="A195" s="5">
        <v>44398</v>
      </c>
      <c r="B195">
        <v>0.56859999999999999</v>
      </c>
      <c r="C195">
        <v>0.62080000000000002</v>
      </c>
      <c r="D195">
        <v>0.55189999999999995</v>
      </c>
      <c r="E195">
        <v>0.61270000000000002</v>
      </c>
      <c r="F195">
        <v>25836413.460000001</v>
      </c>
      <c r="G195">
        <v>0.61270000000000002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0.76487663280116147</v>
      </c>
      <c r="Q195">
        <f t="shared" ref="Q195" si="948">F195*P195</f>
        <v>19761668.930943407</v>
      </c>
      <c r="R195">
        <f t="shared" ref="R195" si="949">R196+Q195</f>
        <v>1607211967.8176568</v>
      </c>
      <c r="S195">
        <f t="shared" ref="S195" si="950">R195/100000</f>
        <v>16072.119678176568</v>
      </c>
      <c r="T195">
        <f t="shared" si="934"/>
        <v>16.07211967817657</v>
      </c>
    </row>
    <row r="196" spans="1:20" x14ac:dyDescent="0.25">
      <c r="A196" s="5">
        <v>44397</v>
      </c>
      <c r="B196">
        <v>0.60540000000000005</v>
      </c>
      <c r="C196">
        <v>0.61680000000000001</v>
      </c>
      <c r="D196">
        <v>0.54749999999999999</v>
      </c>
      <c r="E196">
        <v>0.56840000000000002</v>
      </c>
      <c r="F196">
        <v>29237364.960000001</v>
      </c>
      <c r="G196">
        <v>0.56840000000000002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-0.39682539682539619</v>
      </c>
      <c r="Q196">
        <f t="shared" ref="Q196" si="952">F196*P196</f>
        <v>-11602128.952380935</v>
      </c>
      <c r="R196">
        <f t="shared" ref="R196" si="953">R197+Q196</f>
        <v>1587450298.8867133</v>
      </c>
      <c r="S196">
        <f t="shared" ref="S196" si="954">R196/100000</f>
        <v>15874.502988867132</v>
      </c>
      <c r="T196">
        <f t="shared" si="934"/>
        <v>15.874502988867132</v>
      </c>
    </row>
    <row r="197" spans="1:20" x14ac:dyDescent="0.25">
      <c r="A197" s="5">
        <v>44396</v>
      </c>
      <c r="B197">
        <v>0.66110000000000002</v>
      </c>
      <c r="C197">
        <v>0.66669999999999996</v>
      </c>
      <c r="D197">
        <v>0.59379999999999999</v>
      </c>
      <c r="E197">
        <v>0.60550000000000004</v>
      </c>
      <c r="F197">
        <v>29876596.510000002</v>
      </c>
      <c r="G197">
        <v>0</v>
      </c>
      <c r="L197" t="s">
        <v>7</v>
      </c>
      <c r="M197" t="s">
        <v>7</v>
      </c>
      <c r="N197" t="s">
        <v>8</v>
      </c>
      <c r="P197">
        <f t="shared" ref="P197" si="955">IF(C197=D197,0,((E197-D197)-(C197-E197))/(C197-D197))</f>
        <v>-0.67901234567901103</v>
      </c>
      <c r="Q197">
        <f t="shared" ref="Q197" si="956">F197*P197</f>
        <v>-20286577.877160456</v>
      </c>
      <c r="R197">
        <f t="shared" ref="R197" si="957">R198+Q197</f>
        <v>1599052427.8390942</v>
      </c>
      <c r="S197">
        <f t="shared" ref="S197" si="958">R197/100000</f>
        <v>15990.524278390942</v>
      </c>
      <c r="T197">
        <f t="shared" si="934"/>
        <v>15.990524278390941</v>
      </c>
    </row>
    <row r="198" spans="1:20" x14ac:dyDescent="0.25">
      <c r="A198" s="5">
        <v>44395</v>
      </c>
      <c r="B198">
        <v>0.63419999999999999</v>
      </c>
      <c r="C198">
        <v>0.66549999999999998</v>
      </c>
      <c r="D198">
        <v>0.62080000000000002</v>
      </c>
      <c r="E198">
        <v>0.66110000000000002</v>
      </c>
      <c r="F198">
        <v>17447279.059999999</v>
      </c>
      <c r="G198">
        <v>0</v>
      </c>
      <c r="L198" t="s">
        <v>8</v>
      </c>
      <c r="M198" t="s">
        <v>7</v>
      </c>
      <c r="N198" t="s">
        <v>8</v>
      </c>
      <c r="P198">
        <f t="shared" ref="P198:P261" si="959">IF(C198=D198,0,((E198-D198)-(C198-E198))/(C198-D198))</f>
        <v>0.80313199105145583</v>
      </c>
      <c r="Q198">
        <f t="shared" ref="Q198:Q261" si="960">F198*P198</f>
        <v>14012467.969888171</v>
      </c>
      <c r="R198">
        <f t="shared" ref="R198:R261" si="961">R199+Q198</f>
        <v>1619339005.7162547</v>
      </c>
      <c r="S198">
        <f t="shared" ref="S198:S261" si="962">R198/100000</f>
        <v>16193.390057162547</v>
      </c>
      <c r="T198">
        <f t="shared" ref="T198:T261" si="963">S198/1000</f>
        <v>16.193390057162546</v>
      </c>
    </row>
    <row r="199" spans="1:20" x14ac:dyDescent="0.25">
      <c r="A199" s="5">
        <v>44394</v>
      </c>
      <c r="B199">
        <v>0.62270000000000003</v>
      </c>
      <c r="C199">
        <v>0.64649999999999996</v>
      </c>
      <c r="D199">
        <v>0.61050000000000004</v>
      </c>
      <c r="E199">
        <v>0.63400000000000001</v>
      </c>
      <c r="F199">
        <v>23145141.77</v>
      </c>
      <c r="G199">
        <v>0</v>
      </c>
      <c r="L199" t="s">
        <v>7</v>
      </c>
      <c r="M199" t="s">
        <v>7</v>
      </c>
      <c r="N199" t="s">
        <v>8</v>
      </c>
      <c r="P199">
        <f t="shared" si="959"/>
        <v>0.30555555555555652</v>
      </c>
      <c r="Q199">
        <f t="shared" si="960"/>
        <v>7072126.6519444669</v>
      </c>
      <c r="R199">
        <f t="shared" si="961"/>
        <v>1605326537.7463665</v>
      </c>
      <c r="S199">
        <f t="shared" si="962"/>
        <v>16053.265377463666</v>
      </c>
      <c r="T199">
        <f t="shared" si="963"/>
        <v>16.053265377463667</v>
      </c>
    </row>
    <row r="200" spans="1:20" x14ac:dyDescent="0.25">
      <c r="A200" s="5">
        <v>44393</v>
      </c>
      <c r="B200">
        <v>0.65369999999999995</v>
      </c>
      <c r="C200">
        <v>0.66690000000000005</v>
      </c>
      <c r="D200">
        <v>0.61460000000000004</v>
      </c>
      <c r="E200">
        <v>0.62270000000000003</v>
      </c>
      <c r="F200">
        <v>21218994.57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-0.69024856596558337</v>
      </c>
      <c r="Q200">
        <f t="shared" si="960"/>
        <v>-14646380.573174</v>
      </c>
      <c r="R200">
        <f t="shared" si="961"/>
        <v>1598254411.0944221</v>
      </c>
      <c r="S200">
        <f t="shared" si="962"/>
        <v>15982.544110944222</v>
      </c>
      <c r="T200">
        <f t="shared" si="963"/>
        <v>15.982544110944222</v>
      </c>
    </row>
    <row r="201" spans="1:20" x14ac:dyDescent="0.25">
      <c r="A201" s="5">
        <v>44392</v>
      </c>
      <c r="B201">
        <v>0.69089999999999996</v>
      </c>
      <c r="C201">
        <v>0.70099999999999996</v>
      </c>
      <c r="D201">
        <v>0.64219999999999999</v>
      </c>
      <c r="E201">
        <v>0.65359999999999996</v>
      </c>
      <c r="F201">
        <v>24577711.210000001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-0.61224489795918458</v>
      </c>
      <c r="Q201">
        <f t="shared" si="960"/>
        <v>-15047578.291836757</v>
      </c>
      <c r="R201">
        <f t="shared" si="961"/>
        <v>1612900791.6675961</v>
      </c>
      <c r="S201">
        <f t="shared" si="962"/>
        <v>16129.007916675961</v>
      </c>
      <c r="T201">
        <f t="shared" si="963"/>
        <v>16.12900791667596</v>
      </c>
    </row>
    <row r="202" spans="1:20" x14ac:dyDescent="0.25">
      <c r="A202" s="5">
        <v>44391</v>
      </c>
      <c r="B202">
        <v>0.71450000000000002</v>
      </c>
      <c r="C202">
        <v>0.7157</v>
      </c>
      <c r="D202">
        <v>0.64600000000000002</v>
      </c>
      <c r="E202">
        <v>0.69089999999999996</v>
      </c>
      <c r="F202">
        <v>27713726.850000001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0.28837876614060115</v>
      </c>
      <c r="Q202">
        <f t="shared" si="960"/>
        <v>7992050.3541606497</v>
      </c>
      <c r="R202">
        <f t="shared" si="961"/>
        <v>1627948369.9594328</v>
      </c>
      <c r="S202">
        <f t="shared" si="962"/>
        <v>16279.483699594328</v>
      </c>
      <c r="T202">
        <f t="shared" si="963"/>
        <v>16.279483699594326</v>
      </c>
    </row>
    <row r="203" spans="1:20" x14ac:dyDescent="0.25">
      <c r="A203" s="5">
        <v>44390</v>
      </c>
      <c r="B203">
        <v>0.69210000000000005</v>
      </c>
      <c r="C203">
        <v>0.7208</v>
      </c>
      <c r="D203">
        <v>0.67520000000000002</v>
      </c>
      <c r="E203">
        <v>0.71430000000000005</v>
      </c>
      <c r="F203">
        <v>24391623.460000001</v>
      </c>
      <c r="G203">
        <v>0</v>
      </c>
      <c r="L203" t="s">
        <v>8</v>
      </c>
      <c r="M203" t="s">
        <v>7</v>
      </c>
      <c r="N203" t="s">
        <v>8</v>
      </c>
      <c r="P203">
        <f t="shared" si="959"/>
        <v>0.71491228070175639</v>
      </c>
      <c r="Q203">
        <f t="shared" si="960"/>
        <v>17437871.157807067</v>
      </c>
      <c r="R203">
        <f t="shared" si="961"/>
        <v>1619956319.6052723</v>
      </c>
      <c r="S203">
        <f t="shared" si="962"/>
        <v>16199.563196052723</v>
      </c>
      <c r="T203">
        <f t="shared" si="963"/>
        <v>16.199563196052722</v>
      </c>
    </row>
    <row r="204" spans="1:20" x14ac:dyDescent="0.25">
      <c r="A204" s="5">
        <v>44389</v>
      </c>
      <c r="B204">
        <v>0.70320000000000005</v>
      </c>
      <c r="C204">
        <v>0.72199999999999998</v>
      </c>
      <c r="D204">
        <v>0.67520000000000002</v>
      </c>
      <c r="E204">
        <v>0.69220000000000004</v>
      </c>
      <c r="F204">
        <v>18577429.359999999</v>
      </c>
      <c r="G204">
        <v>0</v>
      </c>
      <c r="L204" t="s">
        <v>8</v>
      </c>
      <c r="M204" t="s">
        <v>7</v>
      </c>
      <c r="N204" t="s">
        <v>8</v>
      </c>
      <c r="P204">
        <f t="shared" si="959"/>
        <v>-0.27350427350427214</v>
      </c>
      <c r="Q204">
        <f t="shared" si="960"/>
        <v>-5081006.3206837354</v>
      </c>
      <c r="R204">
        <f t="shared" si="961"/>
        <v>1602518448.4474652</v>
      </c>
      <c r="S204">
        <f t="shared" si="962"/>
        <v>16025.184484474652</v>
      </c>
      <c r="T204">
        <f t="shared" si="963"/>
        <v>16.025184484474654</v>
      </c>
    </row>
    <row r="205" spans="1:20" x14ac:dyDescent="0.25">
      <c r="A205" s="5">
        <v>44388</v>
      </c>
      <c r="B205">
        <v>0.68810000000000004</v>
      </c>
      <c r="C205">
        <v>0.71579999999999999</v>
      </c>
      <c r="D205">
        <v>0.67459999999999998</v>
      </c>
      <c r="E205">
        <v>0.70309999999999995</v>
      </c>
      <c r="F205">
        <v>16118153.92</v>
      </c>
      <c r="G205">
        <v>0</v>
      </c>
      <c r="L205" t="s">
        <v>8</v>
      </c>
      <c r="M205" t="s">
        <v>7</v>
      </c>
      <c r="N205" t="s">
        <v>8</v>
      </c>
      <c r="P205">
        <f t="shared" si="959"/>
        <v>0.38349514563106601</v>
      </c>
      <c r="Q205">
        <f t="shared" si="960"/>
        <v>6181233.7848543376</v>
      </c>
      <c r="R205">
        <f t="shared" si="961"/>
        <v>1607599454.7681489</v>
      </c>
      <c r="S205">
        <f t="shared" si="962"/>
        <v>16075.994547681488</v>
      </c>
      <c r="T205">
        <f t="shared" si="963"/>
        <v>16.075994547681489</v>
      </c>
    </row>
    <row r="206" spans="1:20" x14ac:dyDescent="0.25">
      <c r="A206" s="5">
        <v>44387</v>
      </c>
      <c r="B206">
        <v>0.6996</v>
      </c>
      <c r="C206">
        <v>0.71419999999999995</v>
      </c>
      <c r="D206">
        <v>0.67049999999999998</v>
      </c>
      <c r="E206">
        <v>0.68810000000000004</v>
      </c>
      <c r="F206">
        <v>15735216.310000001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-0.19450800915331462</v>
      </c>
      <c r="Q206">
        <f t="shared" si="960"/>
        <v>-3060625.5980548658</v>
      </c>
      <c r="R206">
        <f t="shared" si="961"/>
        <v>1601418220.9832945</v>
      </c>
      <c r="S206">
        <f t="shared" si="962"/>
        <v>16014.182209832945</v>
      </c>
      <c r="T206">
        <f t="shared" si="963"/>
        <v>16.014182209832946</v>
      </c>
    </row>
    <row r="207" spans="1:20" x14ac:dyDescent="0.25">
      <c r="A207" s="5">
        <v>44386</v>
      </c>
      <c r="B207">
        <v>0.70199999999999996</v>
      </c>
      <c r="C207">
        <v>0.71</v>
      </c>
      <c r="D207">
        <v>0.66279999999999994</v>
      </c>
      <c r="E207">
        <v>0.69950000000000001</v>
      </c>
      <c r="F207">
        <v>21211228.699999999</v>
      </c>
      <c r="G207">
        <v>0</v>
      </c>
      <c r="L207" t="s">
        <v>7</v>
      </c>
      <c r="M207" t="s">
        <v>7</v>
      </c>
      <c r="N207" t="s">
        <v>8</v>
      </c>
      <c r="P207">
        <f t="shared" si="959"/>
        <v>0.55508474576271405</v>
      </c>
      <c r="Q207">
        <f t="shared" si="960"/>
        <v>11774029.490254283</v>
      </c>
      <c r="R207">
        <f t="shared" si="961"/>
        <v>1604478846.5813494</v>
      </c>
      <c r="S207">
        <f t="shared" si="962"/>
        <v>16044.788465813494</v>
      </c>
      <c r="T207">
        <f t="shared" si="963"/>
        <v>16.044788465813493</v>
      </c>
    </row>
    <row r="208" spans="1:20" x14ac:dyDescent="0.25">
      <c r="A208" s="5">
        <v>44385</v>
      </c>
      <c r="B208">
        <v>0.76680000000000004</v>
      </c>
      <c r="C208">
        <v>0.7671</v>
      </c>
      <c r="D208">
        <v>0.68330000000000002</v>
      </c>
      <c r="E208">
        <v>0.70250000000000001</v>
      </c>
      <c r="F208">
        <v>27446595.940000001</v>
      </c>
      <c r="G208">
        <v>0</v>
      </c>
      <c r="L208" t="s">
        <v>7</v>
      </c>
      <c r="M208" t="s">
        <v>8</v>
      </c>
      <c r="N208" t="s">
        <v>8</v>
      </c>
      <c r="P208">
        <f t="shared" si="959"/>
        <v>-0.5417661097852029</v>
      </c>
      <c r="Q208">
        <f t="shared" si="960"/>
        <v>-14869635.509260144</v>
      </c>
      <c r="R208">
        <f t="shared" si="961"/>
        <v>1592704817.0910952</v>
      </c>
      <c r="S208">
        <f t="shared" si="962"/>
        <v>15927.048170910952</v>
      </c>
      <c r="T208">
        <f t="shared" si="963"/>
        <v>15.927048170910952</v>
      </c>
    </row>
    <row r="209" spans="1:20" x14ac:dyDescent="0.25">
      <c r="A209" s="5">
        <v>44384</v>
      </c>
      <c r="B209">
        <v>0.72970000000000002</v>
      </c>
      <c r="C209">
        <v>0.78639999999999999</v>
      </c>
      <c r="D209">
        <v>0.72550000000000003</v>
      </c>
      <c r="E209">
        <v>0.76680000000000004</v>
      </c>
      <c r="F209">
        <v>30426349.609999999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0.35632183908046089</v>
      </c>
      <c r="Q209">
        <f t="shared" si="960"/>
        <v>10841572.849540263</v>
      </c>
      <c r="R209">
        <f t="shared" si="961"/>
        <v>1607574452.6003554</v>
      </c>
      <c r="S209">
        <f t="shared" si="962"/>
        <v>16075.744526003555</v>
      </c>
      <c r="T209">
        <f t="shared" si="963"/>
        <v>16.075744526003554</v>
      </c>
    </row>
    <row r="210" spans="1:20" x14ac:dyDescent="0.25">
      <c r="A210" s="5">
        <v>44383</v>
      </c>
      <c r="B210">
        <v>0.71499999999999997</v>
      </c>
      <c r="C210">
        <v>0.74260000000000004</v>
      </c>
      <c r="D210">
        <v>0.70920000000000005</v>
      </c>
      <c r="E210">
        <v>0.72970000000000002</v>
      </c>
      <c r="F210">
        <v>24650760.620000001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0.22754491017963902</v>
      </c>
      <c r="Q210">
        <f t="shared" si="960"/>
        <v>5609155.1111376826</v>
      </c>
      <c r="R210">
        <f t="shared" si="961"/>
        <v>1596732879.7508152</v>
      </c>
      <c r="S210">
        <f t="shared" si="962"/>
        <v>15967.328797508151</v>
      </c>
      <c r="T210">
        <f t="shared" si="963"/>
        <v>15.96732879750815</v>
      </c>
    </row>
    <row r="211" spans="1:20" x14ac:dyDescent="0.25">
      <c r="A211" s="5">
        <v>44382</v>
      </c>
      <c r="B211">
        <v>0.72089999999999999</v>
      </c>
      <c r="C211">
        <v>0.72419999999999995</v>
      </c>
      <c r="D211">
        <v>0.67949999999999999</v>
      </c>
      <c r="E211">
        <v>0.71489999999999998</v>
      </c>
      <c r="F211">
        <v>23064070.289999999</v>
      </c>
      <c r="G211">
        <v>0</v>
      </c>
      <c r="L211" t="s">
        <v>7</v>
      </c>
      <c r="M211" t="s">
        <v>8</v>
      </c>
      <c r="N211" t="s">
        <v>8</v>
      </c>
      <c r="P211">
        <f t="shared" si="959"/>
        <v>0.58389261744966514</v>
      </c>
      <c r="Q211">
        <f t="shared" si="960"/>
        <v>13466940.370671157</v>
      </c>
      <c r="R211">
        <f t="shared" si="961"/>
        <v>1591123724.6396775</v>
      </c>
      <c r="S211">
        <f t="shared" si="962"/>
        <v>15911.237246396775</v>
      </c>
      <c r="T211">
        <f t="shared" si="963"/>
        <v>15.911237246396775</v>
      </c>
    </row>
    <row r="212" spans="1:20" x14ac:dyDescent="0.25">
      <c r="A212" s="5">
        <v>44381</v>
      </c>
      <c r="B212">
        <v>0.71340000000000003</v>
      </c>
      <c r="C212">
        <v>0.73870000000000002</v>
      </c>
      <c r="D212">
        <v>0.69299999999999995</v>
      </c>
      <c r="E212">
        <v>0.72060000000000002</v>
      </c>
      <c r="F212">
        <v>15075258.93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0.20787746170678442</v>
      </c>
      <c r="Q212">
        <f t="shared" si="960"/>
        <v>3133806.5609409348</v>
      </c>
      <c r="R212">
        <f t="shared" si="961"/>
        <v>1577656784.2690063</v>
      </c>
      <c r="S212">
        <f t="shared" si="962"/>
        <v>15776.567842690063</v>
      </c>
      <c r="T212">
        <f t="shared" si="963"/>
        <v>15.776567842690064</v>
      </c>
    </row>
    <row r="213" spans="1:20" x14ac:dyDescent="0.25">
      <c r="A213" s="5">
        <v>44380</v>
      </c>
      <c r="B213">
        <v>0.70920000000000005</v>
      </c>
      <c r="C213">
        <v>0.72450000000000003</v>
      </c>
      <c r="D213">
        <v>0.69</v>
      </c>
      <c r="E213">
        <v>0.71319999999999995</v>
      </c>
      <c r="F213">
        <v>23213784.91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0.3449275362318806</v>
      </c>
      <c r="Q213">
        <f t="shared" si="960"/>
        <v>8007073.6356231086</v>
      </c>
      <c r="R213">
        <f t="shared" si="961"/>
        <v>1574522977.7080653</v>
      </c>
      <c r="S213">
        <f t="shared" si="962"/>
        <v>15745.229777080653</v>
      </c>
      <c r="T213">
        <f t="shared" si="963"/>
        <v>15.745229777080652</v>
      </c>
    </row>
    <row r="214" spans="1:20" x14ac:dyDescent="0.25">
      <c r="A214" s="5">
        <v>44379</v>
      </c>
      <c r="B214">
        <v>0.7016</v>
      </c>
      <c r="C214">
        <v>0.71540000000000004</v>
      </c>
      <c r="D214">
        <v>0.66769999999999996</v>
      </c>
      <c r="E214">
        <v>0.70889999999999997</v>
      </c>
      <c r="F214">
        <v>16332527.060000001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0.72746331236897066</v>
      </c>
      <c r="Q214">
        <f t="shared" si="960"/>
        <v>11881314.234423446</v>
      </c>
      <c r="R214">
        <f t="shared" si="961"/>
        <v>1566515904.0724421</v>
      </c>
      <c r="S214">
        <f t="shared" si="962"/>
        <v>15665.15904072442</v>
      </c>
      <c r="T214">
        <f t="shared" si="963"/>
        <v>15.66515904072442</v>
      </c>
    </row>
    <row r="215" spans="1:20" x14ac:dyDescent="0.25">
      <c r="A215" s="5">
        <v>44378</v>
      </c>
      <c r="B215">
        <v>0.74919999999999998</v>
      </c>
      <c r="C215">
        <v>0.74980000000000002</v>
      </c>
      <c r="D215">
        <v>0.68210000000000004</v>
      </c>
      <c r="E215">
        <v>0.70179999999999998</v>
      </c>
      <c r="F215">
        <v>23151666.93</v>
      </c>
      <c r="G215">
        <v>0</v>
      </c>
      <c r="L215" t="s">
        <v>7</v>
      </c>
      <c r="M215" t="s">
        <v>8</v>
      </c>
      <c r="N215" t="s">
        <v>8</v>
      </c>
      <c r="P215">
        <f t="shared" si="959"/>
        <v>-0.41802067946824389</v>
      </c>
      <c r="Q215">
        <f t="shared" si="960"/>
        <v>-9677875.5409010723</v>
      </c>
      <c r="R215">
        <f t="shared" si="961"/>
        <v>1554634589.8380187</v>
      </c>
      <c r="S215">
        <f t="shared" si="962"/>
        <v>15546.345898380187</v>
      </c>
      <c r="T215">
        <f t="shared" si="963"/>
        <v>15.546345898380187</v>
      </c>
    </row>
    <row r="216" spans="1:20" x14ac:dyDescent="0.25">
      <c r="A216" s="5">
        <v>44377</v>
      </c>
      <c r="B216">
        <v>0.71860000000000002</v>
      </c>
      <c r="C216">
        <v>0.76429999999999998</v>
      </c>
      <c r="D216">
        <v>0.68069999999999997</v>
      </c>
      <c r="E216">
        <v>0.74950000000000006</v>
      </c>
      <c r="F216">
        <v>43328935.960000001</v>
      </c>
      <c r="G216">
        <v>0</v>
      </c>
      <c r="L216" t="s">
        <v>8</v>
      </c>
      <c r="M216" t="s">
        <v>8</v>
      </c>
      <c r="N216" t="s">
        <v>8</v>
      </c>
      <c r="P216">
        <f t="shared" si="959"/>
        <v>0.6459330143540688</v>
      </c>
      <c r="Q216">
        <f t="shared" si="960"/>
        <v>27987590.213397209</v>
      </c>
      <c r="R216">
        <f t="shared" si="961"/>
        <v>1564312465.3789198</v>
      </c>
      <c r="S216">
        <f t="shared" si="962"/>
        <v>15643.124653789198</v>
      </c>
      <c r="T216">
        <f t="shared" si="963"/>
        <v>15.643124653789199</v>
      </c>
    </row>
    <row r="217" spans="1:20" x14ac:dyDescent="0.25">
      <c r="A217" s="5">
        <v>44376</v>
      </c>
      <c r="B217">
        <v>0.65710000000000002</v>
      </c>
      <c r="C217">
        <v>0.73089999999999999</v>
      </c>
      <c r="D217">
        <v>0.65410000000000001</v>
      </c>
      <c r="E217">
        <v>0.71830000000000005</v>
      </c>
      <c r="F217">
        <v>36419185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0.67187500000000133</v>
      </c>
      <c r="Q217">
        <f t="shared" si="960"/>
        <v>24469139.921875048</v>
      </c>
      <c r="R217">
        <f t="shared" si="961"/>
        <v>1536324875.1655226</v>
      </c>
      <c r="S217">
        <f t="shared" si="962"/>
        <v>15363.248751655226</v>
      </c>
      <c r="T217">
        <f t="shared" si="963"/>
        <v>15.363248751655226</v>
      </c>
    </row>
    <row r="218" spans="1:20" x14ac:dyDescent="0.25">
      <c r="A218" s="5">
        <v>44375</v>
      </c>
      <c r="B218">
        <v>0.62990000000000002</v>
      </c>
      <c r="C218">
        <v>0.65910000000000002</v>
      </c>
      <c r="D218">
        <v>0.62450000000000006</v>
      </c>
      <c r="E218">
        <v>0.65759999999999996</v>
      </c>
      <c r="F218">
        <v>22125404.800000001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0.91329479768785793</v>
      </c>
      <c r="Q218">
        <f t="shared" si="960"/>
        <v>20207017.100577962</v>
      </c>
      <c r="R218">
        <f t="shared" si="961"/>
        <v>1511855735.2436476</v>
      </c>
      <c r="S218">
        <f t="shared" si="962"/>
        <v>15118.557352436475</v>
      </c>
      <c r="T218">
        <f t="shared" si="963"/>
        <v>15.118557352436476</v>
      </c>
    </row>
    <row r="219" spans="1:20" x14ac:dyDescent="0.25">
      <c r="A219" s="5">
        <v>44374</v>
      </c>
      <c r="B219">
        <v>0.61250000000000004</v>
      </c>
      <c r="C219">
        <v>0.63100000000000001</v>
      </c>
      <c r="D219">
        <v>0.59040000000000004</v>
      </c>
      <c r="E219">
        <v>0.62980000000000003</v>
      </c>
      <c r="F219">
        <v>18377185.059999999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0.94088669950739012</v>
      </c>
      <c r="Q219">
        <f t="shared" si="960"/>
        <v>17290848.997339919</v>
      </c>
      <c r="R219">
        <f t="shared" si="961"/>
        <v>1491648718.1430695</v>
      </c>
      <c r="S219">
        <f t="shared" si="962"/>
        <v>14916.487181430695</v>
      </c>
      <c r="T219">
        <f t="shared" si="963"/>
        <v>14.916487181430695</v>
      </c>
    </row>
    <row r="220" spans="1:20" x14ac:dyDescent="0.25">
      <c r="A220" s="5">
        <v>44373</v>
      </c>
      <c r="B220">
        <v>0.59799999999999998</v>
      </c>
      <c r="C220">
        <v>0.62849999999999995</v>
      </c>
      <c r="D220">
        <v>0.56869999999999998</v>
      </c>
      <c r="E220">
        <v>0.61199999999999999</v>
      </c>
      <c r="F220">
        <v>25554777.600000001</v>
      </c>
      <c r="G220">
        <v>0</v>
      </c>
      <c r="L220" t="s">
        <v>7</v>
      </c>
      <c r="M220" t="s">
        <v>8</v>
      </c>
      <c r="N220" t="s">
        <v>7</v>
      </c>
      <c r="P220">
        <f t="shared" si="959"/>
        <v>0.44816053511705789</v>
      </c>
      <c r="Q220">
        <f t="shared" si="960"/>
        <v>11452642.804013405</v>
      </c>
      <c r="R220">
        <f t="shared" si="961"/>
        <v>1474357869.1457295</v>
      </c>
      <c r="S220">
        <f t="shared" si="962"/>
        <v>14743.578691457295</v>
      </c>
      <c r="T220">
        <f t="shared" si="963"/>
        <v>14.743578691457294</v>
      </c>
    </row>
    <row r="221" spans="1:20" x14ac:dyDescent="0.25">
      <c r="A221" s="5">
        <v>44372</v>
      </c>
      <c r="B221">
        <v>0.66059999999999997</v>
      </c>
      <c r="C221">
        <v>0.67559999999999998</v>
      </c>
      <c r="D221">
        <v>0.58579999999999999</v>
      </c>
      <c r="E221">
        <v>0.59809999999999997</v>
      </c>
      <c r="F221">
        <v>37858570.380000003</v>
      </c>
      <c r="G221">
        <v>0</v>
      </c>
      <c r="L221" t="s">
        <v>8</v>
      </c>
      <c r="M221" t="s">
        <v>8</v>
      </c>
      <c r="N221" t="s">
        <v>7</v>
      </c>
      <c r="P221">
        <f t="shared" si="959"/>
        <v>-0.72605790645879775</v>
      </c>
      <c r="Q221">
        <f t="shared" si="960"/>
        <v>-27487514.351625852</v>
      </c>
      <c r="R221">
        <f t="shared" si="961"/>
        <v>1462905226.3417161</v>
      </c>
      <c r="S221">
        <f t="shared" si="962"/>
        <v>14629.052263417161</v>
      </c>
      <c r="T221">
        <f t="shared" si="963"/>
        <v>14.629052263417162</v>
      </c>
    </row>
    <row r="222" spans="1:20" x14ac:dyDescent="0.25">
      <c r="A222" s="5">
        <v>44371</v>
      </c>
      <c r="B222">
        <v>0.62729999999999997</v>
      </c>
      <c r="C222">
        <v>0.67230000000000001</v>
      </c>
      <c r="D222">
        <v>0.60089999999999999</v>
      </c>
      <c r="E222">
        <v>0.66</v>
      </c>
      <c r="F222">
        <v>30179038.18</v>
      </c>
      <c r="G222">
        <v>0</v>
      </c>
      <c r="L222" t="s">
        <v>8</v>
      </c>
      <c r="M222" t="s">
        <v>8</v>
      </c>
      <c r="N222" t="s">
        <v>7</v>
      </c>
      <c r="P222">
        <f t="shared" si="959"/>
        <v>0.65546218487395025</v>
      </c>
      <c r="Q222">
        <f t="shared" si="960"/>
        <v>19781218.302857164</v>
      </c>
      <c r="R222">
        <f t="shared" si="961"/>
        <v>1490392740.693342</v>
      </c>
      <c r="S222">
        <f t="shared" si="962"/>
        <v>14903.927406933421</v>
      </c>
      <c r="T222">
        <f t="shared" si="963"/>
        <v>14.90392740693342</v>
      </c>
    </row>
    <row r="223" spans="1:20" x14ac:dyDescent="0.25">
      <c r="A223" s="5">
        <v>44370</v>
      </c>
      <c r="B223">
        <v>0.58250000000000002</v>
      </c>
      <c r="C223">
        <v>0.65400000000000003</v>
      </c>
      <c r="D223">
        <v>0.5554</v>
      </c>
      <c r="E223">
        <v>0.62749999999999995</v>
      </c>
      <c r="F223">
        <v>43894966.280000001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0.46247464503042446</v>
      </c>
      <c r="Q223">
        <f t="shared" si="960"/>
        <v>20300308.948965453</v>
      </c>
      <c r="R223">
        <f t="shared" si="961"/>
        <v>1470611522.3904848</v>
      </c>
      <c r="S223">
        <f t="shared" si="962"/>
        <v>14706.115223904848</v>
      </c>
      <c r="T223">
        <f t="shared" si="963"/>
        <v>14.706115223904847</v>
      </c>
    </row>
    <row r="224" spans="1:20" x14ac:dyDescent="0.25">
      <c r="A224" s="5">
        <v>44369</v>
      </c>
      <c r="B224">
        <v>0.62150000000000005</v>
      </c>
      <c r="C224">
        <v>0.66690000000000005</v>
      </c>
      <c r="D224">
        <v>0.50880000000000003</v>
      </c>
      <c r="E224">
        <v>0.58130000000000004</v>
      </c>
      <c r="F224">
        <v>85502755.609999999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-8.285895003162555E-2</v>
      </c>
      <c r="Q224">
        <f t="shared" si="960"/>
        <v>-7084668.5546552809</v>
      </c>
      <c r="R224">
        <f t="shared" si="961"/>
        <v>1450311213.4415193</v>
      </c>
      <c r="S224">
        <f t="shared" si="962"/>
        <v>14503.112134415192</v>
      </c>
      <c r="T224">
        <f t="shared" si="963"/>
        <v>14.503112134415192</v>
      </c>
    </row>
    <row r="225" spans="1:20" x14ac:dyDescent="0.25">
      <c r="A225" s="5">
        <v>44368</v>
      </c>
      <c r="B225">
        <v>0.83230000000000004</v>
      </c>
      <c r="C225">
        <v>0.83840000000000003</v>
      </c>
      <c r="D225">
        <v>0.61909999999999998</v>
      </c>
      <c r="E225">
        <v>0.62150000000000005</v>
      </c>
      <c r="F225">
        <v>48424312.020000003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-0.97811217510259851</v>
      </c>
      <c r="Q225">
        <f t="shared" si="960"/>
        <v>-47364409.157729112</v>
      </c>
      <c r="R225">
        <f t="shared" si="961"/>
        <v>1457395881.9961746</v>
      </c>
      <c r="S225">
        <f t="shared" si="962"/>
        <v>14573.958819961746</v>
      </c>
      <c r="T225">
        <f t="shared" si="963"/>
        <v>14.573958819961746</v>
      </c>
    </row>
    <row r="226" spans="1:20" x14ac:dyDescent="0.25">
      <c r="A226" s="5">
        <v>44367</v>
      </c>
      <c r="B226">
        <v>0.83460000000000001</v>
      </c>
      <c r="C226">
        <v>0.84619999999999995</v>
      </c>
      <c r="D226">
        <v>0.77290000000000003</v>
      </c>
      <c r="E226">
        <v>0.83250000000000002</v>
      </c>
      <c r="F226">
        <v>21843231.079999998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0.62619372442019239</v>
      </c>
      <c r="Q226">
        <f t="shared" si="960"/>
        <v>13678094.2233561</v>
      </c>
      <c r="R226">
        <f t="shared" si="961"/>
        <v>1504760291.1539037</v>
      </c>
      <c r="S226">
        <f t="shared" si="962"/>
        <v>15047.602911539037</v>
      </c>
      <c r="T226">
        <f t="shared" si="963"/>
        <v>15.047602911539038</v>
      </c>
    </row>
    <row r="227" spans="1:20" x14ac:dyDescent="0.25">
      <c r="A227" s="5">
        <v>44366</v>
      </c>
      <c r="B227">
        <v>0.84919999999999995</v>
      </c>
      <c r="C227">
        <v>0.87419999999999998</v>
      </c>
      <c r="D227">
        <v>0.83230000000000004</v>
      </c>
      <c r="E227">
        <v>0.83460000000000001</v>
      </c>
      <c r="F227">
        <v>13769142.33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-0.89021479713603946</v>
      </c>
      <c r="Q227">
        <f t="shared" si="960"/>
        <v>-12257494.246038204</v>
      </c>
      <c r="R227">
        <f t="shared" si="961"/>
        <v>1491082196.9305477</v>
      </c>
      <c r="S227">
        <f t="shared" si="962"/>
        <v>14910.821969305478</v>
      </c>
      <c r="T227">
        <f t="shared" si="963"/>
        <v>14.910821969305477</v>
      </c>
    </row>
    <row r="228" spans="1:20" x14ac:dyDescent="0.25">
      <c r="A228" s="5">
        <v>44365</v>
      </c>
      <c r="B228">
        <v>0.90869999999999995</v>
      </c>
      <c r="C228">
        <v>0.90900000000000003</v>
      </c>
      <c r="D228">
        <v>0.81810000000000005</v>
      </c>
      <c r="E228">
        <v>0.84919999999999995</v>
      </c>
      <c r="F228">
        <v>22293039.5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-0.31573157315731765</v>
      </c>
      <c r="Q228">
        <f t="shared" si="960"/>
        <v>-7038616.4317932222</v>
      </c>
      <c r="R228">
        <f t="shared" si="961"/>
        <v>1503339691.1765859</v>
      </c>
      <c r="S228">
        <f t="shared" si="962"/>
        <v>15033.39691176586</v>
      </c>
      <c r="T228">
        <f t="shared" si="963"/>
        <v>15.033396911765859</v>
      </c>
    </row>
    <row r="229" spans="1:20" x14ac:dyDescent="0.25">
      <c r="A229" s="5">
        <v>44364</v>
      </c>
      <c r="B229">
        <v>0.91569999999999996</v>
      </c>
      <c r="C229">
        <v>0.95599999999999996</v>
      </c>
      <c r="D229">
        <v>0.88980000000000004</v>
      </c>
      <c r="E229">
        <v>0.90820000000000001</v>
      </c>
      <c r="F229">
        <v>14431740.800000001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-0.44410876132930538</v>
      </c>
      <c r="Q229">
        <f t="shared" si="960"/>
        <v>-6409262.5305135986</v>
      </c>
      <c r="R229">
        <f t="shared" si="961"/>
        <v>1510378307.6083791</v>
      </c>
      <c r="S229">
        <f t="shared" si="962"/>
        <v>15103.783076083791</v>
      </c>
      <c r="T229">
        <f t="shared" si="963"/>
        <v>15.103783076083792</v>
      </c>
    </row>
    <row r="230" spans="1:20" x14ac:dyDescent="0.25">
      <c r="A230" s="5">
        <v>44363</v>
      </c>
      <c r="B230">
        <v>0.96230000000000004</v>
      </c>
      <c r="C230">
        <v>0.96450000000000002</v>
      </c>
      <c r="D230">
        <v>0.89670000000000005</v>
      </c>
      <c r="E230">
        <v>0.91649999999999998</v>
      </c>
      <c r="F230">
        <v>20062060.379999999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-0.41592920353982488</v>
      </c>
      <c r="Q230">
        <f t="shared" si="960"/>
        <v>-8344396.7952212756</v>
      </c>
      <c r="R230">
        <f t="shared" si="961"/>
        <v>1516787570.1388927</v>
      </c>
      <c r="S230">
        <f t="shared" si="962"/>
        <v>15167.875701388926</v>
      </c>
      <c r="T230">
        <f t="shared" si="963"/>
        <v>15.167875701388926</v>
      </c>
    </row>
    <row r="231" spans="1:20" x14ac:dyDescent="0.25">
      <c r="A231" s="5">
        <v>44362</v>
      </c>
      <c r="B231">
        <v>0.96450000000000002</v>
      </c>
      <c r="C231">
        <v>0.98880000000000001</v>
      </c>
      <c r="D231">
        <v>0.92900000000000005</v>
      </c>
      <c r="E231">
        <v>0.96240000000000003</v>
      </c>
      <c r="F231">
        <v>20405233.149999999</v>
      </c>
      <c r="G231">
        <v>0</v>
      </c>
      <c r="L231" t="s">
        <v>8</v>
      </c>
      <c r="M231" t="s">
        <v>7</v>
      </c>
      <c r="N231" t="s">
        <v>7</v>
      </c>
      <c r="P231">
        <f t="shared" si="959"/>
        <v>0.11705685618729114</v>
      </c>
      <c r="Q231">
        <f t="shared" si="960"/>
        <v>2388572.4423076957</v>
      </c>
      <c r="R231">
        <f t="shared" si="961"/>
        <v>1525131966.934114</v>
      </c>
      <c r="S231">
        <f t="shared" si="962"/>
        <v>15251.319669341139</v>
      </c>
      <c r="T231">
        <f t="shared" si="963"/>
        <v>15.251319669341139</v>
      </c>
    </row>
    <row r="232" spans="1:20" x14ac:dyDescent="0.25">
      <c r="A232" s="5">
        <v>44361</v>
      </c>
      <c r="B232">
        <v>0.95050000000000001</v>
      </c>
      <c r="C232">
        <v>0.97409999999999997</v>
      </c>
      <c r="D232">
        <v>0.92220000000000002</v>
      </c>
      <c r="E232">
        <v>0.96409999999999996</v>
      </c>
      <c r="F232">
        <v>21404049.91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0.6146435452793827</v>
      </c>
      <c r="Q232">
        <f t="shared" si="960"/>
        <v>13155861.120019251</v>
      </c>
      <c r="R232">
        <f t="shared" si="961"/>
        <v>1522743394.4918063</v>
      </c>
      <c r="S232">
        <f t="shared" si="962"/>
        <v>15227.433944918062</v>
      </c>
      <c r="T232">
        <f t="shared" si="963"/>
        <v>15.227433944918063</v>
      </c>
    </row>
    <row r="233" spans="1:20" x14ac:dyDescent="0.25">
      <c r="A233" s="5">
        <v>44360</v>
      </c>
      <c r="B233">
        <v>0.8992</v>
      </c>
      <c r="C233">
        <v>0.95709999999999995</v>
      </c>
      <c r="D233">
        <v>0.86209999999999998</v>
      </c>
      <c r="E233">
        <v>0.95109999999999995</v>
      </c>
      <c r="F233">
        <v>19769823.210000001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0.87368421052631562</v>
      </c>
      <c r="Q233">
        <f t="shared" si="960"/>
        <v>17272582.383473683</v>
      </c>
      <c r="R233">
        <f t="shared" si="961"/>
        <v>1509587533.3717871</v>
      </c>
      <c r="S233">
        <f t="shared" si="962"/>
        <v>15095.875333717871</v>
      </c>
      <c r="T233">
        <f t="shared" si="963"/>
        <v>15.095875333717871</v>
      </c>
    </row>
    <row r="234" spans="1:20" x14ac:dyDescent="0.25">
      <c r="A234" s="5">
        <v>44359</v>
      </c>
      <c r="B234">
        <v>0.92659999999999998</v>
      </c>
      <c r="C234">
        <v>0.92659999999999998</v>
      </c>
      <c r="D234">
        <v>0.85029999999999994</v>
      </c>
      <c r="E234">
        <v>0.8992</v>
      </c>
      <c r="F234">
        <v>26785528.300000001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0.28178243774574135</v>
      </c>
      <c r="Q234">
        <f t="shared" si="960"/>
        <v>7547691.4606815437</v>
      </c>
      <c r="R234">
        <f t="shared" si="961"/>
        <v>1492314950.9883134</v>
      </c>
      <c r="S234">
        <f t="shared" si="962"/>
        <v>14923.149509883135</v>
      </c>
      <c r="T234">
        <f t="shared" si="963"/>
        <v>14.923149509883135</v>
      </c>
    </row>
    <row r="235" spans="1:20" x14ac:dyDescent="0.25">
      <c r="A235" s="5">
        <v>44358</v>
      </c>
      <c r="B235">
        <v>0.97130000000000005</v>
      </c>
      <c r="C235">
        <v>0.99750000000000005</v>
      </c>
      <c r="D235">
        <v>0.90920000000000001</v>
      </c>
      <c r="E235">
        <v>0.92700000000000005</v>
      </c>
      <c r="F235">
        <v>23245064.879999999</v>
      </c>
      <c r="G235">
        <v>0</v>
      </c>
      <c r="L235" t="s">
        <v>7</v>
      </c>
      <c r="M235" t="s">
        <v>8</v>
      </c>
      <c r="N235" t="s">
        <v>7</v>
      </c>
      <c r="P235">
        <f t="shared" si="959"/>
        <v>-0.59682899207247952</v>
      </c>
      <c r="Q235">
        <f t="shared" si="960"/>
        <v>-13873328.642989792</v>
      </c>
      <c r="R235">
        <f t="shared" si="961"/>
        <v>1484767259.527632</v>
      </c>
      <c r="S235">
        <f t="shared" si="962"/>
        <v>14847.672595276321</v>
      </c>
      <c r="T235">
        <f t="shared" si="963"/>
        <v>14.84767259527632</v>
      </c>
    </row>
    <row r="236" spans="1:20" x14ac:dyDescent="0.25">
      <c r="A236" s="5">
        <v>44357</v>
      </c>
      <c r="B236">
        <v>1.0118</v>
      </c>
      <c r="C236">
        <v>1.0521</v>
      </c>
      <c r="D236">
        <v>0.95589999999999997</v>
      </c>
      <c r="E236">
        <v>0.97089999999999999</v>
      </c>
      <c r="F236">
        <v>30616940.879999999</v>
      </c>
      <c r="G236">
        <v>0</v>
      </c>
      <c r="L236" t="s">
        <v>8</v>
      </c>
      <c r="M236" t="s">
        <v>8</v>
      </c>
      <c r="N236" t="s">
        <v>7</v>
      </c>
      <c r="P236">
        <f t="shared" si="959"/>
        <v>-0.68814968814968813</v>
      </c>
      <c r="Q236">
        <f t="shared" si="960"/>
        <v>-21069038.318669438</v>
      </c>
      <c r="R236">
        <f t="shared" si="961"/>
        <v>1498640588.1706219</v>
      </c>
      <c r="S236">
        <f t="shared" si="962"/>
        <v>14986.40588170622</v>
      </c>
      <c r="T236">
        <f t="shared" si="963"/>
        <v>14.98640588170622</v>
      </c>
    </row>
    <row r="237" spans="1:20" x14ac:dyDescent="0.25">
      <c r="A237" s="5">
        <v>44356</v>
      </c>
      <c r="B237">
        <v>0.96379999999999999</v>
      </c>
      <c r="C237">
        <v>1.0116000000000001</v>
      </c>
      <c r="D237">
        <v>0.91479999999999995</v>
      </c>
      <c r="E237">
        <v>1.0116000000000001</v>
      </c>
      <c r="F237">
        <v>31112815.920000002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1</v>
      </c>
      <c r="Q237">
        <f t="shared" si="960"/>
        <v>31112815.920000002</v>
      </c>
      <c r="R237">
        <f t="shared" si="961"/>
        <v>1519709626.4892912</v>
      </c>
      <c r="S237">
        <f t="shared" si="962"/>
        <v>15197.096264892913</v>
      </c>
      <c r="T237">
        <f t="shared" si="963"/>
        <v>15.197096264892913</v>
      </c>
    </row>
    <row r="238" spans="1:20" x14ac:dyDescent="0.25">
      <c r="A238" s="5">
        <v>44355</v>
      </c>
      <c r="B238">
        <v>0.98909999999999998</v>
      </c>
      <c r="C238">
        <v>1.0052000000000001</v>
      </c>
      <c r="D238">
        <v>0.86599999999999999</v>
      </c>
      <c r="E238">
        <v>0.96350000000000002</v>
      </c>
      <c r="F238">
        <v>42993194.229999997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0.40086206896551668</v>
      </c>
      <c r="Q238">
        <f t="shared" si="960"/>
        <v>17234340.790474113</v>
      </c>
      <c r="R238">
        <f t="shared" si="961"/>
        <v>1488596810.5692911</v>
      </c>
      <c r="S238">
        <f t="shared" si="962"/>
        <v>14885.968105692911</v>
      </c>
      <c r="T238">
        <f t="shared" si="963"/>
        <v>14.885968105692911</v>
      </c>
    </row>
    <row r="239" spans="1:20" x14ac:dyDescent="0.25">
      <c r="A239" s="5">
        <v>44354</v>
      </c>
      <c r="B239">
        <v>1.1060000000000001</v>
      </c>
      <c r="C239">
        <v>1.1296999999999999</v>
      </c>
      <c r="D239">
        <v>0.97709999999999997</v>
      </c>
      <c r="E239">
        <v>0.98909999999999998</v>
      </c>
      <c r="F239">
        <v>26546160.140000001</v>
      </c>
      <c r="G239">
        <v>0</v>
      </c>
      <c r="L239" t="s">
        <v>7</v>
      </c>
      <c r="M239" t="s">
        <v>7</v>
      </c>
      <c r="N239" t="s">
        <v>8</v>
      </c>
      <c r="P239">
        <f t="shared" si="959"/>
        <v>-0.84272608125819115</v>
      </c>
      <c r="Q239">
        <f t="shared" si="960"/>
        <v>-22371141.507234596</v>
      </c>
      <c r="R239">
        <f t="shared" si="961"/>
        <v>1471362469.7788169</v>
      </c>
      <c r="S239">
        <f t="shared" si="962"/>
        <v>14713.624697788169</v>
      </c>
      <c r="T239">
        <f t="shared" si="963"/>
        <v>14.71362469778817</v>
      </c>
    </row>
    <row r="240" spans="1:20" x14ac:dyDescent="0.25">
      <c r="A240" s="5">
        <v>44353</v>
      </c>
      <c r="B240">
        <v>1.0597000000000001</v>
      </c>
      <c r="C240">
        <v>1.1456</v>
      </c>
      <c r="D240">
        <v>1.0481</v>
      </c>
      <c r="E240">
        <v>1.1056999999999999</v>
      </c>
      <c r="F240">
        <v>25879705.489999998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0.1815384615384599</v>
      </c>
      <c r="Q240">
        <f t="shared" si="960"/>
        <v>4698161.9197230339</v>
      </c>
      <c r="R240">
        <f t="shared" si="961"/>
        <v>1493733611.2860515</v>
      </c>
      <c r="S240">
        <f t="shared" si="962"/>
        <v>14937.336112860516</v>
      </c>
      <c r="T240">
        <f t="shared" si="963"/>
        <v>14.937336112860516</v>
      </c>
    </row>
    <row r="241" spans="1:20" x14ac:dyDescent="0.25">
      <c r="A241" s="5">
        <v>44352</v>
      </c>
      <c r="B241">
        <v>1.1127</v>
      </c>
      <c r="C241">
        <v>1.1583000000000001</v>
      </c>
      <c r="D241">
        <v>1.0277000000000001</v>
      </c>
      <c r="E241">
        <v>1.06</v>
      </c>
      <c r="F241">
        <v>28797526.25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-0.50535987748851485</v>
      </c>
      <c r="Q241">
        <f t="shared" si="960"/>
        <v>-14553114.337672291</v>
      </c>
      <c r="R241">
        <f t="shared" si="961"/>
        <v>1489035449.3663285</v>
      </c>
      <c r="S241">
        <f t="shared" si="962"/>
        <v>14890.354493663284</v>
      </c>
      <c r="T241">
        <f t="shared" si="963"/>
        <v>14.890354493663285</v>
      </c>
    </row>
    <row r="242" spans="1:20" x14ac:dyDescent="0.25">
      <c r="A242" s="5">
        <v>44351</v>
      </c>
      <c r="B242">
        <v>1.2262999999999999</v>
      </c>
      <c r="C242">
        <v>1.2356</v>
      </c>
      <c r="D242">
        <v>1.0606</v>
      </c>
      <c r="E242">
        <v>1.1125</v>
      </c>
      <c r="F242">
        <v>35716007.920000002</v>
      </c>
      <c r="G242">
        <v>0</v>
      </c>
      <c r="L242" t="s">
        <v>7</v>
      </c>
      <c r="M242" t="s">
        <v>8</v>
      </c>
      <c r="N242" t="s">
        <v>8</v>
      </c>
      <c r="P242">
        <f t="shared" si="959"/>
        <v>-0.40685714285714236</v>
      </c>
      <c r="Q242">
        <f t="shared" si="960"/>
        <v>-14531312.936594268</v>
      </c>
      <c r="R242">
        <f t="shared" si="961"/>
        <v>1503588563.7040007</v>
      </c>
      <c r="S242">
        <f t="shared" si="962"/>
        <v>15035.885637040006</v>
      </c>
      <c r="T242">
        <f t="shared" si="963"/>
        <v>15.035885637040007</v>
      </c>
    </row>
    <row r="243" spans="1:20" x14ac:dyDescent="0.25">
      <c r="A243" s="5">
        <v>44350</v>
      </c>
      <c r="B243">
        <v>1.1756</v>
      </c>
      <c r="C243">
        <v>1.2658</v>
      </c>
      <c r="D243">
        <v>1.1566000000000001</v>
      </c>
      <c r="E243">
        <v>1.2259</v>
      </c>
      <c r="F243">
        <v>40994671.789999999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0.26923076923076816</v>
      </c>
      <c r="Q243">
        <f t="shared" si="960"/>
        <v>11037027.020384571</v>
      </c>
      <c r="R243">
        <f t="shared" si="961"/>
        <v>1518119876.640595</v>
      </c>
      <c r="S243">
        <f t="shared" si="962"/>
        <v>15181.198766405949</v>
      </c>
      <c r="T243">
        <f t="shared" si="963"/>
        <v>15.181198766405949</v>
      </c>
    </row>
    <row r="244" spans="1:20" x14ac:dyDescent="0.25">
      <c r="A244" s="5">
        <v>44349</v>
      </c>
      <c r="B244">
        <v>1.1141000000000001</v>
      </c>
      <c r="C244">
        <v>1.198</v>
      </c>
      <c r="D244">
        <v>1.087</v>
      </c>
      <c r="E244">
        <v>1.1757</v>
      </c>
      <c r="F244">
        <v>35553000.899999999</v>
      </c>
      <c r="G244">
        <v>0</v>
      </c>
      <c r="L244" t="s">
        <v>8</v>
      </c>
      <c r="M244" t="s">
        <v>8</v>
      </c>
      <c r="N244" t="s">
        <v>8</v>
      </c>
      <c r="P244">
        <f t="shared" si="959"/>
        <v>0.59819819819819842</v>
      </c>
      <c r="Q244">
        <f t="shared" si="960"/>
        <v>21267741.078918926</v>
      </c>
      <c r="R244">
        <f t="shared" si="961"/>
        <v>1507082849.6202104</v>
      </c>
      <c r="S244">
        <f t="shared" si="962"/>
        <v>15070.828496202104</v>
      </c>
      <c r="T244">
        <f t="shared" si="963"/>
        <v>15.070828496202104</v>
      </c>
    </row>
    <row r="245" spans="1:20" x14ac:dyDescent="0.25">
      <c r="A245" s="5">
        <v>44348</v>
      </c>
      <c r="B245">
        <v>1.1436999999999999</v>
      </c>
      <c r="C245">
        <v>1.1559999999999999</v>
      </c>
      <c r="D245">
        <v>1.0692999999999999</v>
      </c>
      <c r="E245">
        <v>1.1142000000000001</v>
      </c>
      <c r="F245">
        <v>35122561.25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3.5755478662056805E-2</v>
      </c>
      <c r="Q245">
        <f t="shared" si="960"/>
        <v>1255823.9893311581</v>
      </c>
      <c r="R245">
        <f t="shared" si="961"/>
        <v>1485815108.5412915</v>
      </c>
      <c r="S245">
        <f t="shared" si="962"/>
        <v>14858.151085412916</v>
      </c>
      <c r="T245">
        <f t="shared" si="963"/>
        <v>14.858151085412915</v>
      </c>
    </row>
    <row r="246" spans="1:20" x14ac:dyDescent="0.25">
      <c r="A246" s="5">
        <v>44347</v>
      </c>
      <c r="B246">
        <v>1.0548999999999999</v>
      </c>
      <c r="C246">
        <v>1.1509</v>
      </c>
      <c r="D246">
        <v>0.99770000000000003</v>
      </c>
      <c r="E246">
        <v>1.1438999999999999</v>
      </c>
      <c r="F246">
        <v>40539728.649999999</v>
      </c>
      <c r="G246">
        <v>0</v>
      </c>
      <c r="L246" t="s">
        <v>8</v>
      </c>
      <c r="M246" t="s">
        <v>7</v>
      </c>
      <c r="N246" t="s">
        <v>8</v>
      </c>
      <c r="P246">
        <f t="shared" si="959"/>
        <v>0.90861618798955457</v>
      </c>
      <c r="Q246">
        <f t="shared" si="960"/>
        <v>36835053.708093926</v>
      </c>
      <c r="R246">
        <f t="shared" si="961"/>
        <v>1484559284.5519602</v>
      </c>
      <c r="S246">
        <f t="shared" si="962"/>
        <v>14845.592845519603</v>
      </c>
      <c r="T246">
        <f t="shared" si="963"/>
        <v>14.845592845519603</v>
      </c>
    </row>
    <row r="247" spans="1:20" x14ac:dyDescent="0.25">
      <c r="A247" s="5">
        <v>44346</v>
      </c>
      <c r="B247">
        <v>1.0250999999999999</v>
      </c>
      <c r="C247">
        <v>1.1037999999999999</v>
      </c>
      <c r="D247">
        <v>0.95640000000000003</v>
      </c>
      <c r="E247">
        <v>1.0549999999999999</v>
      </c>
      <c r="F247">
        <v>39134937.520000003</v>
      </c>
      <c r="G247">
        <v>0</v>
      </c>
      <c r="L247" t="s">
        <v>8</v>
      </c>
      <c r="M247" t="s">
        <v>7</v>
      </c>
      <c r="N247" t="s">
        <v>8</v>
      </c>
      <c r="P247">
        <f t="shared" si="959"/>
        <v>0.33785617367706922</v>
      </c>
      <c r="Q247">
        <f t="shared" si="960"/>
        <v>13221980.247598374</v>
      </c>
      <c r="R247">
        <f t="shared" si="961"/>
        <v>1447724230.8438663</v>
      </c>
      <c r="S247">
        <f t="shared" si="962"/>
        <v>14477.242308438663</v>
      </c>
      <c r="T247">
        <f t="shared" si="963"/>
        <v>14.477242308438663</v>
      </c>
    </row>
    <row r="248" spans="1:20" x14ac:dyDescent="0.25">
      <c r="A248" s="5">
        <v>44345</v>
      </c>
      <c r="B248">
        <v>1.0876999999999999</v>
      </c>
      <c r="C248">
        <v>1.1324000000000001</v>
      </c>
      <c r="D248">
        <v>0.95979999999999999</v>
      </c>
      <c r="E248">
        <v>1.0247999999999999</v>
      </c>
      <c r="F248">
        <v>49387617.119999997</v>
      </c>
      <c r="G248">
        <v>0</v>
      </c>
      <c r="L248" t="s">
        <v>7</v>
      </c>
      <c r="M248" t="s">
        <v>7</v>
      </c>
      <c r="N248" t="s">
        <v>8</v>
      </c>
      <c r="P248">
        <f t="shared" si="959"/>
        <v>-0.24681344148319914</v>
      </c>
      <c r="Q248">
        <f t="shared" si="960"/>
        <v>-12189527.748041764</v>
      </c>
      <c r="R248">
        <f t="shared" si="961"/>
        <v>1434502250.5962679</v>
      </c>
      <c r="S248">
        <f t="shared" si="962"/>
        <v>14345.022505962679</v>
      </c>
      <c r="T248">
        <f t="shared" si="963"/>
        <v>14.34502250596268</v>
      </c>
    </row>
    <row r="249" spans="1:20" x14ac:dyDescent="0.25">
      <c r="A249" s="5">
        <v>44344</v>
      </c>
      <c r="B249">
        <v>1.2386999999999999</v>
      </c>
      <c r="C249">
        <v>1.2736000000000001</v>
      </c>
      <c r="D249">
        <v>1.0256000000000001</v>
      </c>
      <c r="E249">
        <v>1.0873999999999999</v>
      </c>
      <c r="F249">
        <v>70028452.069999993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-0.50161290322580765</v>
      </c>
      <c r="Q249">
        <f t="shared" si="960"/>
        <v>-35127175.151242018</v>
      </c>
      <c r="R249">
        <f t="shared" si="961"/>
        <v>1446691778.3443098</v>
      </c>
      <c r="S249">
        <f t="shared" si="962"/>
        <v>14466.917783443098</v>
      </c>
      <c r="T249">
        <f t="shared" si="963"/>
        <v>14.466917783443098</v>
      </c>
    </row>
    <row r="250" spans="1:20" x14ac:dyDescent="0.25">
      <c r="A250" s="5">
        <v>44343</v>
      </c>
      <c r="B250">
        <v>1.3039000000000001</v>
      </c>
      <c r="C250">
        <v>1.3187</v>
      </c>
      <c r="D250">
        <v>1.1456999999999999</v>
      </c>
      <c r="E250">
        <v>1.2378</v>
      </c>
      <c r="F250">
        <v>56407704.310000002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6.4739884393064134E-2</v>
      </c>
      <c r="Q250">
        <f t="shared" si="960"/>
        <v>3651828.2559075458</v>
      </c>
      <c r="R250">
        <f t="shared" si="961"/>
        <v>1481818953.4955518</v>
      </c>
      <c r="S250">
        <f t="shared" si="962"/>
        <v>14818.189534955518</v>
      </c>
      <c r="T250">
        <f t="shared" si="963"/>
        <v>14.818189534955518</v>
      </c>
    </row>
    <row r="251" spans="1:20" x14ac:dyDescent="0.25">
      <c r="A251" s="5">
        <v>44342</v>
      </c>
      <c r="B251">
        <v>1.1576</v>
      </c>
      <c r="C251">
        <v>1.3288</v>
      </c>
      <c r="D251">
        <v>1.1220000000000001</v>
      </c>
      <c r="E251">
        <v>1.3033999999999999</v>
      </c>
      <c r="F251">
        <v>65467595.350000001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0.75435203094777459</v>
      </c>
      <c r="Q251">
        <f t="shared" si="960"/>
        <v>49385613.513539582</v>
      </c>
      <c r="R251">
        <f t="shared" si="961"/>
        <v>1478167125.2396443</v>
      </c>
      <c r="S251">
        <f t="shared" si="962"/>
        <v>14781.671252396443</v>
      </c>
      <c r="T251">
        <f t="shared" si="963"/>
        <v>14.781671252396443</v>
      </c>
    </row>
    <row r="252" spans="1:20" x14ac:dyDescent="0.25">
      <c r="A252" s="5">
        <v>44341</v>
      </c>
      <c r="B252">
        <v>1.1395</v>
      </c>
      <c r="C252">
        <v>1.2336</v>
      </c>
      <c r="D252">
        <v>1.0227999999999999</v>
      </c>
      <c r="E252">
        <v>1.1588000000000001</v>
      </c>
      <c r="F252">
        <v>84132630.780000001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0.29032258064516181</v>
      </c>
      <c r="Q252">
        <f t="shared" si="960"/>
        <v>24425602.484516174</v>
      </c>
      <c r="R252">
        <f t="shared" si="961"/>
        <v>1428781511.7261047</v>
      </c>
      <c r="S252">
        <f t="shared" si="962"/>
        <v>14287.815117261047</v>
      </c>
      <c r="T252">
        <f t="shared" si="963"/>
        <v>14.287815117261047</v>
      </c>
    </row>
    <row r="253" spans="1:20" x14ac:dyDescent="0.25">
      <c r="A253" s="5">
        <v>44340</v>
      </c>
      <c r="B253">
        <v>0.91720000000000002</v>
      </c>
      <c r="C253">
        <v>1.1499999999999999</v>
      </c>
      <c r="D253">
        <v>0.874</v>
      </c>
      <c r="E253">
        <v>1.1378999999999999</v>
      </c>
      <c r="F253">
        <v>89571512.790000007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0.91231884057971013</v>
      </c>
      <c r="Q253">
        <f t="shared" si="960"/>
        <v>81717778.697543487</v>
      </c>
      <c r="R253">
        <f t="shared" si="961"/>
        <v>1404355909.2415886</v>
      </c>
      <c r="S253">
        <f t="shared" si="962"/>
        <v>14043.559092415886</v>
      </c>
      <c r="T253">
        <f t="shared" si="963"/>
        <v>14.043559092415887</v>
      </c>
    </row>
    <row r="254" spans="1:20" x14ac:dyDescent="0.25">
      <c r="A254" s="5">
        <v>44339</v>
      </c>
      <c r="B254">
        <v>1.1252</v>
      </c>
      <c r="C254">
        <v>1.2094</v>
      </c>
      <c r="D254">
        <v>0.73729999999999996</v>
      </c>
      <c r="E254">
        <v>0.91739999999999999</v>
      </c>
      <c r="F254">
        <v>130880416.54000001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-0.23702605380216052</v>
      </c>
      <c r="Q254">
        <f t="shared" si="960"/>
        <v>-31022068.652459223</v>
      </c>
      <c r="R254">
        <f t="shared" si="961"/>
        <v>1322638130.5440452</v>
      </c>
      <c r="S254">
        <f t="shared" si="962"/>
        <v>13226.381305440453</v>
      </c>
      <c r="T254">
        <f t="shared" si="963"/>
        <v>13.226381305440453</v>
      </c>
    </row>
    <row r="255" spans="1:20" x14ac:dyDescent="0.25">
      <c r="A255" s="5">
        <v>44338</v>
      </c>
      <c r="B255">
        <v>1.2750999999999999</v>
      </c>
      <c r="C255">
        <v>1.2855000000000001</v>
      </c>
      <c r="D255">
        <v>1.0770999999999999</v>
      </c>
      <c r="E255">
        <v>1.1244000000000001</v>
      </c>
      <c r="F255">
        <v>74869517.200000003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-0.5460652591170817</v>
      </c>
      <c r="Q255">
        <f t="shared" si="960"/>
        <v>-40883642.309788808</v>
      </c>
      <c r="R255">
        <f t="shared" si="961"/>
        <v>1353660199.1965044</v>
      </c>
      <c r="S255">
        <f t="shared" si="962"/>
        <v>13536.601991965044</v>
      </c>
      <c r="T255">
        <f t="shared" si="963"/>
        <v>13.536601991965044</v>
      </c>
    </row>
    <row r="256" spans="1:20" x14ac:dyDescent="0.25">
      <c r="A256" s="5">
        <v>44337</v>
      </c>
      <c r="B256">
        <v>1.6428</v>
      </c>
      <c r="C256">
        <v>1.6996</v>
      </c>
      <c r="D256">
        <v>1.0629</v>
      </c>
      <c r="E256">
        <v>1.2773000000000001</v>
      </c>
      <c r="F256">
        <v>153084346.81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-0.32652740694204452</v>
      </c>
      <c r="Q256">
        <f t="shared" si="960"/>
        <v>-49986234.807285942</v>
      </c>
      <c r="R256">
        <f t="shared" si="961"/>
        <v>1394543841.5062931</v>
      </c>
      <c r="S256">
        <f t="shared" si="962"/>
        <v>13945.43841506293</v>
      </c>
      <c r="T256">
        <f t="shared" si="963"/>
        <v>13.945438415062931</v>
      </c>
    </row>
    <row r="257" spans="1:20" x14ac:dyDescent="0.25">
      <c r="A257" s="5">
        <v>44336</v>
      </c>
      <c r="B257">
        <v>1.1268</v>
      </c>
      <c r="C257">
        <v>1.82</v>
      </c>
      <c r="D257">
        <v>0.99060000000000004</v>
      </c>
      <c r="E257">
        <v>1.6427</v>
      </c>
      <c r="F257">
        <v>133046552.40000001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0.57246202073788277</v>
      </c>
      <c r="Q257">
        <f t="shared" si="960"/>
        <v>76164098.239112616</v>
      </c>
      <c r="R257">
        <f t="shared" si="961"/>
        <v>1444530076.3135791</v>
      </c>
      <c r="S257">
        <f t="shared" si="962"/>
        <v>14445.30076313579</v>
      </c>
      <c r="T257">
        <f t="shared" si="963"/>
        <v>14.445300763135791</v>
      </c>
    </row>
    <row r="258" spans="1:20" x14ac:dyDescent="0.25">
      <c r="A258" s="5">
        <v>44335</v>
      </c>
      <c r="B258">
        <v>1.8722000000000001</v>
      </c>
      <c r="C258">
        <v>1.9041999999999999</v>
      </c>
      <c r="D258">
        <v>0.76500000000000001</v>
      </c>
      <c r="E258">
        <v>1.1288</v>
      </c>
      <c r="F258">
        <v>152739728.09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-0.36130617977528084</v>
      </c>
      <c r="Q258">
        <f t="shared" si="960"/>
        <v>-55185807.656113058</v>
      </c>
      <c r="R258">
        <f t="shared" si="961"/>
        <v>1368365978.0744665</v>
      </c>
      <c r="S258">
        <f t="shared" si="962"/>
        <v>13683.659780744665</v>
      </c>
      <c r="T258">
        <f t="shared" si="963"/>
        <v>13.683659780744666</v>
      </c>
    </row>
    <row r="259" spans="1:20" x14ac:dyDescent="0.25">
      <c r="A259" s="5">
        <v>44334</v>
      </c>
      <c r="B259">
        <v>1.8148</v>
      </c>
      <c r="C259">
        <v>1.9540999999999999</v>
      </c>
      <c r="D259">
        <v>1.7883</v>
      </c>
      <c r="E259">
        <v>1.8707</v>
      </c>
      <c r="F259">
        <v>53825653.920000002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-6.0313630880572391E-3</v>
      </c>
      <c r="Q259">
        <f t="shared" si="960"/>
        <v>-324642.06224363146</v>
      </c>
      <c r="R259">
        <f t="shared" si="961"/>
        <v>1423551785.7305796</v>
      </c>
      <c r="S259">
        <f t="shared" si="962"/>
        <v>14235.517857305796</v>
      </c>
      <c r="T259">
        <f t="shared" si="963"/>
        <v>14.235517857305796</v>
      </c>
    </row>
    <row r="260" spans="1:20" x14ac:dyDescent="0.25">
      <c r="A260" s="5">
        <v>44333</v>
      </c>
      <c r="B260">
        <v>1.9779</v>
      </c>
      <c r="C260">
        <v>1.9798</v>
      </c>
      <c r="D260">
        <v>1.6918</v>
      </c>
      <c r="E260">
        <v>1.8149999999999999</v>
      </c>
      <c r="F260">
        <v>77525462.689999998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-0.14444444444444471</v>
      </c>
      <c r="Q260">
        <f t="shared" si="960"/>
        <v>-11198122.388555575</v>
      </c>
      <c r="R260">
        <f t="shared" si="961"/>
        <v>1423876427.7928233</v>
      </c>
      <c r="S260">
        <f t="shared" si="962"/>
        <v>14238.764277928232</v>
      </c>
      <c r="T260">
        <f t="shared" si="963"/>
        <v>14.238764277928233</v>
      </c>
    </row>
    <row r="261" spans="1:20" x14ac:dyDescent="0.25">
      <c r="A261" s="5">
        <v>44332</v>
      </c>
      <c r="B261">
        <v>1.9753000000000001</v>
      </c>
      <c r="C261">
        <v>2.1890000000000001</v>
      </c>
      <c r="D261">
        <v>1.8566</v>
      </c>
      <c r="E261">
        <v>1.978</v>
      </c>
      <c r="F261">
        <v>59792692.369999997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-0.26955475330926632</v>
      </c>
      <c r="Q261">
        <f t="shared" si="960"/>
        <v>-16117404.4414922</v>
      </c>
      <c r="R261">
        <f t="shared" si="961"/>
        <v>1435074550.1813788</v>
      </c>
      <c r="S261">
        <f t="shared" si="962"/>
        <v>14350.745501813788</v>
      </c>
      <c r="T261">
        <f t="shared" si="963"/>
        <v>14.350745501813789</v>
      </c>
    </row>
    <row r="262" spans="1:20" x14ac:dyDescent="0.25">
      <c r="A262" s="5">
        <v>44331</v>
      </c>
      <c r="B262">
        <v>2.1796000000000002</v>
      </c>
      <c r="C262">
        <v>2.2012999999999998</v>
      </c>
      <c r="D262">
        <v>1.9570000000000001</v>
      </c>
      <c r="E262">
        <v>1.9754</v>
      </c>
      <c r="F262">
        <v>51597850.649999999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-0.84936553417928784</v>
      </c>
      <c r="Q262">
        <f t="shared" ref="Q262:Q325" si="965">F262*P262</f>
        <v>-43825435.979840361</v>
      </c>
      <c r="R262">
        <f t="shared" ref="R262:R325" si="966">R263+Q262</f>
        <v>1451191954.6228709</v>
      </c>
      <c r="S262">
        <f t="shared" ref="S262:S325" si="967">R262/100000</f>
        <v>14511.91954622871</v>
      </c>
      <c r="T262">
        <f t="shared" ref="T262:T325" si="968">S262/1000</f>
        <v>14.511919546228709</v>
      </c>
    </row>
    <row r="263" spans="1:20" x14ac:dyDescent="0.25">
      <c r="A263" s="5">
        <v>44330</v>
      </c>
      <c r="B263">
        <v>2.1263999999999998</v>
      </c>
      <c r="C263">
        <v>2.2664</v>
      </c>
      <c r="D263">
        <v>2.0905</v>
      </c>
      <c r="E263">
        <v>2.1795</v>
      </c>
      <c r="F263">
        <v>53727428.960000001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1.1938601478112515E-2</v>
      </c>
      <c r="Q263">
        <f t="shared" si="965"/>
        <v>641430.36279704119</v>
      </c>
      <c r="R263">
        <f t="shared" si="966"/>
        <v>1495017390.6027112</v>
      </c>
      <c r="S263">
        <f t="shared" si="967"/>
        <v>14950.173906027112</v>
      </c>
      <c r="T263">
        <f t="shared" si="968"/>
        <v>14.950173906027112</v>
      </c>
    </row>
    <row r="264" spans="1:20" x14ac:dyDescent="0.25">
      <c r="A264" s="5">
        <v>44329</v>
      </c>
      <c r="B264">
        <v>2.0971000000000002</v>
      </c>
      <c r="C264">
        <v>2.2892999999999999</v>
      </c>
      <c r="D264">
        <v>1.9127000000000001</v>
      </c>
      <c r="E264">
        <v>2.1274999999999999</v>
      </c>
      <c r="F264">
        <v>96534391.430000007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0.14073287307488042</v>
      </c>
      <c r="Q264">
        <f t="shared" si="965"/>
        <v>13585562.256479016</v>
      </c>
      <c r="R264">
        <f t="shared" si="966"/>
        <v>1494375960.2399142</v>
      </c>
      <c r="S264">
        <f t="shared" si="967"/>
        <v>14943.759602399141</v>
      </c>
      <c r="T264">
        <f t="shared" si="968"/>
        <v>14.94375960239914</v>
      </c>
    </row>
    <row r="265" spans="1:20" x14ac:dyDescent="0.25">
      <c r="A265" s="5">
        <v>44328</v>
      </c>
      <c r="B265">
        <v>2.5587</v>
      </c>
      <c r="C265">
        <v>2.67</v>
      </c>
      <c r="D265">
        <v>2.04</v>
      </c>
      <c r="E265">
        <v>2.0971000000000002</v>
      </c>
      <c r="F265">
        <v>80004422.939999998</v>
      </c>
      <c r="G265">
        <v>0</v>
      </c>
      <c r="L265" t="s">
        <v>8</v>
      </c>
      <c r="M265" t="s">
        <v>8</v>
      </c>
      <c r="N265" t="s">
        <v>7</v>
      </c>
      <c r="P265">
        <f t="shared" si="964"/>
        <v>-0.8187301587301582</v>
      </c>
      <c r="Q265">
        <f t="shared" si="965"/>
        <v>-65502033.892780907</v>
      </c>
      <c r="R265">
        <f t="shared" si="966"/>
        <v>1480790397.9834352</v>
      </c>
      <c r="S265">
        <f t="shared" si="967"/>
        <v>14807.903979834351</v>
      </c>
      <c r="T265">
        <f t="shared" si="968"/>
        <v>14.807903979834352</v>
      </c>
    </row>
    <row r="266" spans="1:20" x14ac:dyDescent="0.25">
      <c r="A266" s="5">
        <v>44327</v>
      </c>
      <c r="B266">
        <v>2.3176000000000001</v>
      </c>
      <c r="C266">
        <v>2.5649999999999999</v>
      </c>
      <c r="D266">
        <v>2.2000000000000002</v>
      </c>
      <c r="E266">
        <v>2.5568</v>
      </c>
      <c r="F266">
        <v>75556946.340000004</v>
      </c>
      <c r="G266">
        <v>0</v>
      </c>
      <c r="L266" t="s">
        <v>8</v>
      </c>
      <c r="M266" t="s">
        <v>8</v>
      </c>
      <c r="N266" t="s">
        <v>7</v>
      </c>
      <c r="P266">
        <f t="shared" si="964"/>
        <v>0.95506849315068498</v>
      </c>
      <c r="Q266">
        <f t="shared" si="965"/>
        <v>72162058.888010964</v>
      </c>
      <c r="R266">
        <f t="shared" si="966"/>
        <v>1546292431.8762162</v>
      </c>
      <c r="S266">
        <f t="shared" si="967"/>
        <v>15462.924318762161</v>
      </c>
      <c r="T266">
        <f t="shared" si="968"/>
        <v>15.462924318762161</v>
      </c>
    </row>
    <row r="267" spans="1:20" x14ac:dyDescent="0.25">
      <c r="A267" s="5">
        <v>44326</v>
      </c>
      <c r="B267">
        <v>2.6928999999999998</v>
      </c>
      <c r="C267">
        <v>2.738</v>
      </c>
      <c r="D267">
        <v>2.1025999999999998</v>
      </c>
      <c r="E267">
        <v>2.3180000000000001</v>
      </c>
      <c r="F267">
        <v>84941441.810000002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-0.32200188857412593</v>
      </c>
      <c r="Q267">
        <f t="shared" si="965"/>
        <v>-27351304.681029223</v>
      </c>
      <c r="R267">
        <f t="shared" si="966"/>
        <v>1474130372.9882052</v>
      </c>
      <c r="S267">
        <f t="shared" si="967"/>
        <v>14741.303729882053</v>
      </c>
      <c r="T267">
        <f t="shared" si="968"/>
        <v>14.741303729882052</v>
      </c>
    </row>
    <row r="268" spans="1:20" x14ac:dyDescent="0.25">
      <c r="A268" s="5">
        <v>44325</v>
      </c>
      <c r="B268">
        <v>2.4529999999999998</v>
      </c>
      <c r="C268">
        <v>2.798</v>
      </c>
      <c r="D268">
        <v>2.3611</v>
      </c>
      <c r="E268">
        <v>2.6934</v>
      </c>
      <c r="F268">
        <v>127727876.48999999</v>
      </c>
      <c r="G268">
        <v>0</v>
      </c>
      <c r="L268" t="s">
        <v>8</v>
      </c>
      <c r="M268" t="s">
        <v>8</v>
      </c>
      <c r="N268" t="s">
        <v>8</v>
      </c>
      <c r="P268">
        <f t="shared" si="964"/>
        <v>0.52117189288166621</v>
      </c>
      <c r="Q268">
        <f t="shared" si="965"/>
        <v>66568179.16404897</v>
      </c>
      <c r="R268">
        <f t="shared" si="966"/>
        <v>1501481677.6692345</v>
      </c>
      <c r="S268">
        <f t="shared" si="967"/>
        <v>15014.816776692345</v>
      </c>
      <c r="T268">
        <f t="shared" si="968"/>
        <v>15.014816776692346</v>
      </c>
    </row>
    <row r="269" spans="1:20" x14ac:dyDescent="0.25">
      <c r="A269" s="5">
        <v>44324</v>
      </c>
      <c r="B269">
        <v>2.4582999999999999</v>
      </c>
      <c r="C269">
        <v>2.6194999999999999</v>
      </c>
      <c r="D269">
        <v>2.31</v>
      </c>
      <c r="E269">
        <v>2.4527999999999999</v>
      </c>
      <c r="F269">
        <v>76383980.819999993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-7.7221324717286793E-2</v>
      </c>
      <c r="Q269">
        <f t="shared" si="965"/>
        <v>-5898472.1861002259</v>
      </c>
      <c r="R269">
        <f t="shared" si="966"/>
        <v>1434913498.5051856</v>
      </c>
      <c r="S269">
        <f t="shared" si="967"/>
        <v>14349.134985051856</v>
      </c>
      <c r="T269">
        <f t="shared" si="968"/>
        <v>14.349134985051856</v>
      </c>
    </row>
    <row r="270" spans="1:20" x14ac:dyDescent="0.25">
      <c r="A270" s="5">
        <v>44323</v>
      </c>
      <c r="B270">
        <v>2.67</v>
      </c>
      <c r="C270">
        <v>2.9582999999999999</v>
      </c>
      <c r="D270">
        <v>2.3050000000000002</v>
      </c>
      <c r="E270">
        <v>2.4567999999999999</v>
      </c>
      <c r="F270">
        <v>178202655.22999999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-0.53528241236797869</v>
      </c>
      <c r="Q270">
        <f t="shared" si="965"/>
        <v>-95388747.181893587</v>
      </c>
      <c r="R270">
        <f t="shared" si="966"/>
        <v>1440811970.6912858</v>
      </c>
      <c r="S270">
        <f t="shared" si="967"/>
        <v>14408.119706912859</v>
      </c>
      <c r="T270">
        <f t="shared" si="968"/>
        <v>14.40811970691286</v>
      </c>
    </row>
    <row r="271" spans="1:20" x14ac:dyDescent="0.25">
      <c r="A271" s="5">
        <v>44322</v>
      </c>
      <c r="B271">
        <v>2.1438999999999999</v>
      </c>
      <c r="C271">
        <v>2.8287</v>
      </c>
      <c r="D271">
        <v>2.0569999999999999</v>
      </c>
      <c r="E271">
        <v>2.67</v>
      </c>
      <c r="F271">
        <v>219329328.55000001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0.58870027212647391</v>
      </c>
      <c r="Q271">
        <f t="shared" si="965"/>
        <v>129119235.40270181</v>
      </c>
      <c r="R271">
        <f t="shared" si="966"/>
        <v>1536200717.8731794</v>
      </c>
      <c r="S271">
        <f t="shared" si="967"/>
        <v>15362.007178731794</v>
      </c>
      <c r="T271">
        <f t="shared" si="968"/>
        <v>15.362007178731794</v>
      </c>
    </row>
    <row r="272" spans="1:20" x14ac:dyDescent="0.25">
      <c r="A272" s="5">
        <v>44321</v>
      </c>
      <c r="B272">
        <v>1.76</v>
      </c>
      <c r="C272">
        <v>2.17</v>
      </c>
      <c r="D272">
        <v>1.7455000000000001</v>
      </c>
      <c r="E272">
        <v>2.1423999999999999</v>
      </c>
      <c r="F272">
        <v>77793652.75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0.86996466431095365</v>
      </c>
      <c r="Q272">
        <f t="shared" si="965"/>
        <v>67677729.000176653</v>
      </c>
      <c r="R272">
        <f t="shared" si="966"/>
        <v>1407081482.4704776</v>
      </c>
      <c r="S272">
        <f t="shared" si="967"/>
        <v>14070.814824704776</v>
      </c>
      <c r="T272">
        <f t="shared" si="968"/>
        <v>14.070814824704776</v>
      </c>
    </row>
    <row r="273" spans="1:20" x14ac:dyDescent="0.25">
      <c r="A273" s="5">
        <v>44320</v>
      </c>
      <c r="B273">
        <v>1.9351</v>
      </c>
      <c r="C273">
        <v>1.9374</v>
      </c>
      <c r="D273">
        <v>1.6900999999999999</v>
      </c>
      <c r="E273">
        <v>1.7593000000000001</v>
      </c>
      <c r="F273">
        <v>82296164.870000005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-0.44035584310553877</v>
      </c>
      <c r="Q273">
        <f t="shared" si="965"/>
        <v>-36239597.065681271</v>
      </c>
      <c r="R273">
        <f t="shared" si="966"/>
        <v>1339403753.4703009</v>
      </c>
      <c r="S273">
        <f t="shared" si="967"/>
        <v>13394.037534703009</v>
      </c>
      <c r="T273">
        <f t="shared" si="968"/>
        <v>13.39403753470301</v>
      </c>
    </row>
    <row r="274" spans="1:20" x14ac:dyDescent="0.25">
      <c r="A274" s="5">
        <v>44319</v>
      </c>
      <c r="B274">
        <v>1.8818999999999999</v>
      </c>
      <c r="C274">
        <v>2.0627</v>
      </c>
      <c r="D274">
        <v>1.8612</v>
      </c>
      <c r="E274">
        <v>1.9354</v>
      </c>
      <c r="F274">
        <v>95415653.950000003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-0.26352357320099218</v>
      </c>
      <c r="Q274">
        <f t="shared" si="965"/>
        <v>-25144274.068213366</v>
      </c>
      <c r="R274">
        <f t="shared" si="966"/>
        <v>1375643350.5359821</v>
      </c>
      <c r="S274">
        <f t="shared" si="967"/>
        <v>13756.433505359821</v>
      </c>
      <c r="T274">
        <f t="shared" si="968"/>
        <v>13.756433505359821</v>
      </c>
    </row>
    <row r="275" spans="1:20" x14ac:dyDescent="0.25">
      <c r="A275" s="5">
        <v>44318</v>
      </c>
      <c r="B275">
        <v>1.8029999999999999</v>
      </c>
      <c r="C275">
        <v>1.8874</v>
      </c>
      <c r="D275">
        <v>1.726</v>
      </c>
      <c r="E275">
        <v>1.8818999999999999</v>
      </c>
      <c r="F275">
        <v>64505709.509999998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0.93184634448574899</v>
      </c>
      <c r="Q275">
        <f t="shared" si="965"/>
        <v>60109409.60535311</v>
      </c>
      <c r="R275">
        <f t="shared" si="966"/>
        <v>1400787624.6041956</v>
      </c>
      <c r="S275">
        <f t="shared" si="967"/>
        <v>14007.876246041957</v>
      </c>
      <c r="T275">
        <f t="shared" si="968"/>
        <v>14.007876246041956</v>
      </c>
    </row>
    <row r="276" spans="1:20" x14ac:dyDescent="0.25">
      <c r="A276" s="5">
        <v>44317</v>
      </c>
      <c r="B276">
        <v>1.8372999999999999</v>
      </c>
      <c r="C276">
        <v>1.8632</v>
      </c>
      <c r="D276">
        <v>1.7524999999999999</v>
      </c>
      <c r="E276">
        <v>1.8029999999999999</v>
      </c>
      <c r="F276">
        <v>48808886.609999999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-8.7624209575429449E-2</v>
      </c>
      <c r="Q276">
        <f t="shared" si="965"/>
        <v>-4276840.1094580125</v>
      </c>
      <c r="R276">
        <f t="shared" si="966"/>
        <v>1340678214.9988425</v>
      </c>
      <c r="S276">
        <f t="shared" si="967"/>
        <v>13406.782149988425</v>
      </c>
      <c r="T276">
        <f t="shared" si="968"/>
        <v>13.406782149988425</v>
      </c>
    </row>
    <row r="277" spans="1:20" x14ac:dyDescent="0.25">
      <c r="A277" s="5">
        <v>44316</v>
      </c>
      <c r="B277">
        <v>1.6814</v>
      </c>
      <c r="C277">
        <v>1.8488</v>
      </c>
      <c r="D277">
        <v>1.6659999999999999</v>
      </c>
      <c r="E277">
        <v>1.8372999999999999</v>
      </c>
      <c r="F277">
        <v>66878632.600000001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0.87417943107220941</v>
      </c>
      <c r="Q277">
        <f t="shared" si="965"/>
        <v>58463924.997155316</v>
      </c>
      <c r="R277">
        <f t="shared" si="966"/>
        <v>1344955055.1083004</v>
      </c>
      <c r="S277">
        <f t="shared" si="967"/>
        <v>13449.550551083004</v>
      </c>
      <c r="T277">
        <f t="shared" si="968"/>
        <v>13.449550551083004</v>
      </c>
    </row>
    <row r="278" spans="1:20" x14ac:dyDescent="0.25">
      <c r="A278" s="5">
        <v>44315</v>
      </c>
      <c r="B278">
        <v>1.7060999999999999</v>
      </c>
      <c r="C278">
        <v>1.7448999999999999</v>
      </c>
      <c r="D278">
        <v>1.6015999999999999</v>
      </c>
      <c r="E278">
        <v>1.6815</v>
      </c>
      <c r="F278">
        <v>51507747.359999999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0.11514305652477448</v>
      </c>
      <c r="Q278">
        <f t="shared" si="965"/>
        <v>5930759.4657362839</v>
      </c>
      <c r="R278">
        <f t="shared" si="966"/>
        <v>1286491130.111145</v>
      </c>
      <c r="S278">
        <f t="shared" si="967"/>
        <v>12864.91130111145</v>
      </c>
      <c r="T278">
        <f t="shared" si="968"/>
        <v>12.86491130111145</v>
      </c>
    </row>
    <row r="279" spans="1:20" x14ac:dyDescent="0.25">
      <c r="A279" s="5">
        <v>44314</v>
      </c>
      <c r="B279">
        <v>1.7559</v>
      </c>
      <c r="C279">
        <v>1.8107</v>
      </c>
      <c r="D279">
        <v>1.5740000000000001</v>
      </c>
      <c r="E279">
        <v>1.7057</v>
      </c>
      <c r="F279">
        <v>77082474.670000002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0.11280101394169817</v>
      </c>
      <c r="Q279">
        <f t="shared" si="965"/>
        <v>8694981.2999112662</v>
      </c>
      <c r="R279">
        <f t="shared" si="966"/>
        <v>1280560370.6454086</v>
      </c>
      <c r="S279">
        <f t="shared" si="967"/>
        <v>12805.603706454087</v>
      </c>
      <c r="T279">
        <f t="shared" si="968"/>
        <v>12.805603706454088</v>
      </c>
    </row>
    <row r="280" spans="1:20" x14ac:dyDescent="0.25">
      <c r="A280" s="5">
        <v>44313</v>
      </c>
      <c r="B280">
        <v>1.5772999999999999</v>
      </c>
      <c r="C280">
        <v>1.7685</v>
      </c>
      <c r="D280">
        <v>1.5604</v>
      </c>
      <c r="E280">
        <v>1.7558</v>
      </c>
      <c r="F280">
        <v>84814729.680000007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0.8779432964920717</v>
      </c>
      <c r="Q280">
        <f t="shared" si="965"/>
        <v>74462523.366343156</v>
      </c>
      <c r="R280">
        <f t="shared" si="966"/>
        <v>1271865389.3454974</v>
      </c>
      <c r="S280">
        <f t="shared" si="967"/>
        <v>12718.653893454974</v>
      </c>
      <c r="T280">
        <f t="shared" si="968"/>
        <v>12.718653893454974</v>
      </c>
    </row>
    <row r="281" spans="1:20" x14ac:dyDescent="0.25">
      <c r="A281" s="5">
        <v>44312</v>
      </c>
      <c r="B281">
        <v>1.3391</v>
      </c>
      <c r="C281">
        <v>1.5817000000000001</v>
      </c>
      <c r="D281">
        <v>1.3194999999999999</v>
      </c>
      <c r="E281">
        <v>1.5762</v>
      </c>
      <c r="F281">
        <v>91379526.079999998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0.95804729214340156</v>
      </c>
      <c r="Q281">
        <f t="shared" si="965"/>
        <v>87545907.518291339</v>
      </c>
      <c r="R281">
        <f t="shared" si="966"/>
        <v>1197402865.9791541</v>
      </c>
      <c r="S281">
        <f t="shared" si="967"/>
        <v>11974.028659791542</v>
      </c>
      <c r="T281">
        <f t="shared" si="968"/>
        <v>11.974028659791541</v>
      </c>
    </row>
    <row r="282" spans="1:20" x14ac:dyDescent="0.25">
      <c r="A282" s="5">
        <v>44311</v>
      </c>
      <c r="B282">
        <v>1.3447</v>
      </c>
      <c r="C282">
        <v>1.4908999999999999</v>
      </c>
      <c r="D282">
        <v>1.2437</v>
      </c>
      <c r="E282">
        <v>1.3391</v>
      </c>
      <c r="F282">
        <v>56972475.520000003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-0.22815533980582539</v>
      </c>
      <c r="Q282">
        <f t="shared" si="965"/>
        <v>-12998574.511844669</v>
      </c>
      <c r="R282">
        <f t="shared" si="966"/>
        <v>1109856958.4608629</v>
      </c>
      <c r="S282">
        <f t="shared" si="967"/>
        <v>11098.569584608629</v>
      </c>
      <c r="T282">
        <f t="shared" si="968"/>
        <v>11.098569584608629</v>
      </c>
    </row>
    <row r="283" spans="1:20" x14ac:dyDescent="0.25">
      <c r="A283" s="5">
        <v>44310</v>
      </c>
      <c r="B283">
        <v>1.5183</v>
      </c>
      <c r="C283">
        <v>1.5299</v>
      </c>
      <c r="D283">
        <v>1.3332999999999999</v>
      </c>
      <c r="E283">
        <v>1.3436999999999999</v>
      </c>
      <c r="F283">
        <v>75503494.939999998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-0.89420142421159754</v>
      </c>
      <c r="Q283">
        <f t="shared" si="965"/>
        <v>-67515332.708301142</v>
      </c>
      <c r="R283">
        <f t="shared" si="966"/>
        <v>1122855532.9727075</v>
      </c>
      <c r="S283">
        <f t="shared" si="967"/>
        <v>11228.555329727074</v>
      </c>
      <c r="T283">
        <f t="shared" si="968"/>
        <v>11.228555329727074</v>
      </c>
    </row>
    <row r="284" spans="1:20" x14ac:dyDescent="0.25">
      <c r="A284" s="5">
        <v>44309</v>
      </c>
      <c r="B284">
        <v>1.65</v>
      </c>
      <c r="C284">
        <v>1.7118</v>
      </c>
      <c r="D284">
        <v>1.2401</v>
      </c>
      <c r="E284">
        <v>1.5188999999999999</v>
      </c>
      <c r="F284">
        <v>156161138.69999999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0.18210727157091341</v>
      </c>
      <c r="Q284">
        <f t="shared" si="965"/>
        <v>28438078.894063976</v>
      </c>
      <c r="R284">
        <f t="shared" si="966"/>
        <v>1190370865.6810086</v>
      </c>
      <c r="S284">
        <f t="shared" si="967"/>
        <v>11903.708656810086</v>
      </c>
      <c r="T284">
        <f t="shared" si="968"/>
        <v>11.903708656810085</v>
      </c>
    </row>
    <row r="285" spans="1:20" x14ac:dyDescent="0.25">
      <c r="A285" s="5">
        <v>44308</v>
      </c>
      <c r="B285">
        <v>1.8741000000000001</v>
      </c>
      <c r="C285">
        <v>1.98</v>
      </c>
      <c r="D285">
        <v>1.62</v>
      </c>
      <c r="E285">
        <v>1.6491</v>
      </c>
      <c r="F285">
        <v>79742279.640000001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-0.83833333333333382</v>
      </c>
      <c r="Q285">
        <f t="shared" si="965"/>
        <v>-66850611.098200038</v>
      </c>
      <c r="R285">
        <f t="shared" si="966"/>
        <v>1161932786.7869446</v>
      </c>
      <c r="S285">
        <f t="shared" si="967"/>
        <v>11619.327867869446</v>
      </c>
      <c r="T285">
        <f t="shared" si="968"/>
        <v>11.619327867869446</v>
      </c>
    </row>
    <row r="286" spans="1:20" x14ac:dyDescent="0.25">
      <c r="A286" s="5">
        <v>44307</v>
      </c>
      <c r="B286">
        <v>2.0991</v>
      </c>
      <c r="C286">
        <v>2.1597</v>
      </c>
      <c r="D286">
        <v>1.77</v>
      </c>
      <c r="E286">
        <v>1.8742000000000001</v>
      </c>
      <c r="F286">
        <v>67167878.090000004</v>
      </c>
      <c r="G286">
        <v>0</v>
      </c>
      <c r="L286" t="s">
        <v>7</v>
      </c>
      <c r="M286" t="s">
        <v>7</v>
      </c>
      <c r="N286" t="s">
        <v>7</v>
      </c>
      <c r="P286">
        <f t="shared" si="964"/>
        <v>-0.46522966384398212</v>
      </c>
      <c r="Q286">
        <f t="shared" si="965"/>
        <v>-31248489.344924275</v>
      </c>
      <c r="R286">
        <f t="shared" si="966"/>
        <v>1228783397.8851447</v>
      </c>
      <c r="S286">
        <f t="shared" si="967"/>
        <v>12287.833978851448</v>
      </c>
      <c r="T286">
        <f t="shared" si="968"/>
        <v>12.287833978851447</v>
      </c>
    </row>
    <row r="287" spans="1:20" x14ac:dyDescent="0.25">
      <c r="A287" s="5">
        <v>44306</v>
      </c>
      <c r="B287">
        <v>2.1194999999999999</v>
      </c>
      <c r="C287">
        <v>2.35</v>
      </c>
      <c r="D287">
        <v>1.8835999999999999</v>
      </c>
      <c r="E287">
        <v>2.0991</v>
      </c>
      <c r="F287">
        <v>89260058.620000005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-7.5900514579760048E-2</v>
      </c>
      <c r="Q287">
        <f t="shared" si="965"/>
        <v>-6774884.3806775473</v>
      </c>
      <c r="R287">
        <f t="shared" si="966"/>
        <v>1260031887.2300689</v>
      </c>
      <c r="S287">
        <f t="shared" si="967"/>
        <v>12600.31887230069</v>
      </c>
      <c r="T287">
        <f t="shared" si="968"/>
        <v>12.60031887230069</v>
      </c>
    </row>
    <row r="288" spans="1:20" x14ac:dyDescent="0.25">
      <c r="A288" s="5">
        <v>44305</v>
      </c>
      <c r="B288">
        <v>2.3693</v>
      </c>
      <c r="C288">
        <v>2.5497999999999998</v>
      </c>
      <c r="D288">
        <v>2.0183</v>
      </c>
      <c r="E288">
        <v>2.1185999999999998</v>
      </c>
      <c r="F288">
        <v>165356055.78999999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-0.62257761053621874</v>
      </c>
      <c r="Q288">
        <f t="shared" si="965"/>
        <v>-102946978.10143188</v>
      </c>
      <c r="R288">
        <f t="shared" si="966"/>
        <v>1266806771.6107464</v>
      </c>
      <c r="S288">
        <f t="shared" si="967"/>
        <v>12668.067716107464</v>
      </c>
      <c r="T288">
        <f t="shared" si="968"/>
        <v>12.668067716107464</v>
      </c>
    </row>
    <row r="289" spans="1:20" x14ac:dyDescent="0.25">
      <c r="A289" s="5">
        <v>44304</v>
      </c>
      <c r="B289">
        <v>2.2736999999999998</v>
      </c>
      <c r="C289">
        <v>2.3696999999999999</v>
      </c>
      <c r="D289">
        <v>1.4979</v>
      </c>
      <c r="E289">
        <v>2.3696999999999999</v>
      </c>
      <c r="F289">
        <v>138491121.86000001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1</v>
      </c>
      <c r="Q289">
        <f t="shared" si="965"/>
        <v>138491121.86000001</v>
      </c>
      <c r="R289">
        <f t="shared" si="966"/>
        <v>1369753749.7121782</v>
      </c>
      <c r="S289">
        <f t="shared" si="967"/>
        <v>13697.537497121783</v>
      </c>
      <c r="T289">
        <f t="shared" si="968"/>
        <v>13.697537497121782</v>
      </c>
    </row>
    <row r="290" spans="1:20" x14ac:dyDescent="0.25">
      <c r="A290" s="5">
        <v>44303</v>
      </c>
      <c r="B290">
        <v>2.3388</v>
      </c>
      <c r="C290">
        <v>2.5905999999999998</v>
      </c>
      <c r="D290">
        <v>2.2174999999999998</v>
      </c>
      <c r="E290">
        <v>2.2736999999999998</v>
      </c>
      <c r="F290">
        <v>87023681.099999994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-0.69874028410613764</v>
      </c>
      <c r="Q290">
        <f t="shared" si="965"/>
        <v>-60806951.65577592</v>
      </c>
      <c r="R290">
        <f t="shared" si="966"/>
        <v>1231262627.8521781</v>
      </c>
      <c r="S290">
        <f t="shared" si="967"/>
        <v>12312.62627852178</v>
      </c>
      <c r="T290">
        <f t="shared" si="968"/>
        <v>12.31262627852178</v>
      </c>
    </row>
    <row r="291" spans="1:20" x14ac:dyDescent="0.25">
      <c r="A291" s="5">
        <v>44302</v>
      </c>
      <c r="B291">
        <v>2.0499000000000001</v>
      </c>
      <c r="C291">
        <v>2.42</v>
      </c>
      <c r="D291">
        <v>1.9654</v>
      </c>
      <c r="E291">
        <v>2.3388</v>
      </c>
      <c r="F291">
        <v>125167857.671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0.64276286845578545</v>
      </c>
      <c r="Q291">
        <f t="shared" si="965"/>
        <v>80453251.235077456</v>
      </c>
      <c r="R291">
        <f t="shared" si="966"/>
        <v>1292069579.5079541</v>
      </c>
      <c r="S291">
        <f t="shared" si="967"/>
        <v>12920.69579507954</v>
      </c>
      <c r="T291">
        <f t="shared" si="968"/>
        <v>12.92069579507954</v>
      </c>
    </row>
    <row r="292" spans="1:20" x14ac:dyDescent="0.25">
      <c r="A292" s="5">
        <v>44301</v>
      </c>
      <c r="B292">
        <v>1.9028</v>
      </c>
      <c r="C292">
        <v>2.0760999999999998</v>
      </c>
      <c r="D292">
        <v>1.8766</v>
      </c>
      <c r="E292">
        <v>2.0493000000000001</v>
      </c>
      <c r="F292">
        <v>43159776.759999998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0.7313283208020076</v>
      </c>
      <c r="Q292">
        <f t="shared" si="965"/>
        <v>31563967.064080309</v>
      </c>
      <c r="R292">
        <f t="shared" si="966"/>
        <v>1211616328.2728767</v>
      </c>
      <c r="S292">
        <f t="shared" si="967"/>
        <v>12116.163282728767</v>
      </c>
      <c r="T292">
        <f t="shared" si="968"/>
        <v>12.116163282728767</v>
      </c>
    </row>
    <row r="293" spans="1:20" x14ac:dyDescent="0.25">
      <c r="A293" s="5">
        <v>44300</v>
      </c>
      <c r="B293">
        <v>1.9314</v>
      </c>
      <c r="C293">
        <v>2.0322</v>
      </c>
      <c r="D293">
        <v>1.8101</v>
      </c>
      <c r="E293">
        <v>1.9029</v>
      </c>
      <c r="F293">
        <v>57670250.799999997</v>
      </c>
      <c r="G293">
        <v>0</v>
      </c>
      <c r="L293" t="s">
        <v>8</v>
      </c>
      <c r="M293" t="s">
        <v>7</v>
      </c>
      <c r="N293" t="s">
        <v>8</v>
      </c>
      <c r="P293">
        <f t="shared" si="964"/>
        <v>-0.16434038721296707</v>
      </c>
      <c r="Q293">
        <f t="shared" si="965"/>
        <v>-9477551.3471409231</v>
      </c>
      <c r="R293">
        <f t="shared" si="966"/>
        <v>1180052361.2087965</v>
      </c>
      <c r="S293">
        <f t="shared" si="967"/>
        <v>11800.523612087965</v>
      </c>
      <c r="T293">
        <f t="shared" si="968"/>
        <v>11.800523612087966</v>
      </c>
    </row>
    <row r="294" spans="1:20" x14ac:dyDescent="0.25">
      <c r="A294" s="5">
        <v>44299</v>
      </c>
      <c r="B294">
        <v>1.8649</v>
      </c>
      <c r="C294">
        <v>1.9436</v>
      </c>
      <c r="D294">
        <v>1.7786</v>
      </c>
      <c r="E294">
        <v>1.9314</v>
      </c>
      <c r="F294">
        <v>42547659.579999998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0.85212121212121228</v>
      </c>
      <c r="Q294">
        <f t="shared" si="965"/>
        <v>36255763.254230306</v>
      </c>
      <c r="R294">
        <f t="shared" si="966"/>
        <v>1189529912.5559375</v>
      </c>
      <c r="S294">
        <f t="shared" si="967"/>
        <v>11895.299125559375</v>
      </c>
      <c r="T294">
        <f t="shared" si="968"/>
        <v>11.895299125559376</v>
      </c>
    </row>
    <row r="295" spans="1:20" x14ac:dyDescent="0.25">
      <c r="A295" s="5">
        <v>44298</v>
      </c>
      <c r="B295">
        <v>1.9714</v>
      </c>
      <c r="C295">
        <v>1.9745999999999999</v>
      </c>
      <c r="D295">
        <v>1.8053999999999999</v>
      </c>
      <c r="E295">
        <v>1.8651</v>
      </c>
      <c r="F295">
        <v>39416843.409999996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-0.29432624113475081</v>
      </c>
      <c r="Q295">
        <f t="shared" si="965"/>
        <v>-11601411.358262373</v>
      </c>
      <c r="R295">
        <f t="shared" si="966"/>
        <v>1153274149.3017073</v>
      </c>
      <c r="S295">
        <f t="shared" si="967"/>
        <v>11532.741493017073</v>
      </c>
      <c r="T295">
        <f t="shared" si="968"/>
        <v>11.532741493017072</v>
      </c>
    </row>
    <row r="296" spans="1:20" x14ac:dyDescent="0.25">
      <c r="A296" s="5">
        <v>44297</v>
      </c>
      <c r="B296">
        <v>1.9804999999999999</v>
      </c>
      <c r="C296">
        <v>2.0499999999999998</v>
      </c>
      <c r="D296">
        <v>1.9085000000000001</v>
      </c>
      <c r="E296">
        <v>1.9709000000000001</v>
      </c>
      <c r="F296">
        <v>39038477.68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-0.11802120141342577</v>
      </c>
      <c r="Q296">
        <f t="shared" si="965"/>
        <v>-4607368.0371448062</v>
      </c>
      <c r="R296">
        <f t="shared" si="966"/>
        <v>1164875560.6599696</v>
      </c>
      <c r="S296">
        <f t="shared" si="967"/>
        <v>11648.755606599696</v>
      </c>
      <c r="T296">
        <f t="shared" si="968"/>
        <v>11.648755606599696</v>
      </c>
    </row>
    <row r="297" spans="1:20" x14ac:dyDescent="0.25">
      <c r="A297" s="5">
        <v>44296</v>
      </c>
      <c r="B297">
        <v>2.0013000000000001</v>
      </c>
      <c r="C297">
        <v>2.0851999999999999</v>
      </c>
      <c r="D297">
        <v>1.8835999999999999</v>
      </c>
      <c r="E297">
        <v>1.9817</v>
      </c>
      <c r="F297">
        <v>44918899.689999998</v>
      </c>
      <c r="G297">
        <v>0</v>
      </c>
      <c r="L297" t="s">
        <v>7</v>
      </c>
      <c r="M297" t="s">
        <v>8</v>
      </c>
      <c r="N297" t="s">
        <v>8</v>
      </c>
      <c r="P297">
        <f t="shared" si="964"/>
        <v>-2.6785714285713538E-2</v>
      </c>
      <c r="Q297">
        <f t="shared" si="965"/>
        <v>-1203184.8131249663</v>
      </c>
      <c r="R297">
        <f t="shared" si="966"/>
        <v>1169482928.6971145</v>
      </c>
      <c r="S297">
        <f t="shared" si="967"/>
        <v>11694.829286971144</v>
      </c>
      <c r="T297">
        <f t="shared" si="968"/>
        <v>11.694829286971144</v>
      </c>
    </row>
    <row r="298" spans="1:20" x14ac:dyDescent="0.25">
      <c r="A298" s="5">
        <v>44295</v>
      </c>
      <c r="B298">
        <v>1.9432</v>
      </c>
      <c r="C298">
        <v>2.0975999999999999</v>
      </c>
      <c r="D298">
        <v>1.8744000000000001</v>
      </c>
      <c r="E298">
        <v>2.0021</v>
      </c>
      <c r="F298">
        <v>62814110.68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0.14426523297491053</v>
      </c>
      <c r="Q298">
        <f t="shared" si="965"/>
        <v>9061892.3113620151</v>
      </c>
      <c r="R298">
        <f t="shared" si="966"/>
        <v>1170686113.5102394</v>
      </c>
      <c r="S298">
        <f t="shared" si="967"/>
        <v>11706.861135102394</v>
      </c>
      <c r="T298">
        <f t="shared" si="968"/>
        <v>11.706861135102393</v>
      </c>
    </row>
    <row r="299" spans="1:20" x14ac:dyDescent="0.25">
      <c r="A299" s="5">
        <v>44294</v>
      </c>
      <c r="B299">
        <v>1.7584</v>
      </c>
      <c r="C299">
        <v>1.9559</v>
      </c>
      <c r="D299">
        <v>1.726</v>
      </c>
      <c r="E299">
        <v>1.9432</v>
      </c>
      <c r="F299">
        <v>56269891.969999999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0.88951718138321068</v>
      </c>
      <c r="Q299">
        <f t="shared" si="965"/>
        <v>50053035.70189216</v>
      </c>
      <c r="R299">
        <f t="shared" si="966"/>
        <v>1161624221.1988773</v>
      </c>
      <c r="S299">
        <f t="shared" si="967"/>
        <v>11616.242211988774</v>
      </c>
      <c r="T299">
        <f t="shared" si="968"/>
        <v>11.616242211988775</v>
      </c>
    </row>
    <row r="300" spans="1:20" x14ac:dyDescent="0.25">
      <c r="A300" s="5">
        <v>44293</v>
      </c>
      <c r="B300">
        <v>1.9177999999999999</v>
      </c>
      <c r="C300">
        <v>2.1825000000000001</v>
      </c>
      <c r="D300">
        <v>1.6888000000000001</v>
      </c>
      <c r="E300">
        <v>1.7571000000000001</v>
      </c>
      <c r="F300">
        <v>109013779.57600001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-0.72331375329147241</v>
      </c>
      <c r="Q300">
        <f t="shared" si="965"/>
        <v>-78851166.065605819</v>
      </c>
      <c r="R300">
        <f t="shared" si="966"/>
        <v>1111571185.4969852</v>
      </c>
      <c r="S300">
        <f t="shared" si="967"/>
        <v>11115.711854969852</v>
      </c>
      <c r="T300">
        <f t="shared" si="968"/>
        <v>11.115711854969852</v>
      </c>
    </row>
    <row r="301" spans="1:20" x14ac:dyDescent="0.25">
      <c r="A301" s="5">
        <v>44292</v>
      </c>
      <c r="B301">
        <v>1.9642999999999999</v>
      </c>
      <c r="C301">
        <v>2.0941000000000001</v>
      </c>
      <c r="D301">
        <v>1.7749999999999999</v>
      </c>
      <c r="E301">
        <v>1.9191</v>
      </c>
      <c r="F301">
        <v>75350175.533000007</v>
      </c>
      <c r="G301">
        <v>0</v>
      </c>
      <c r="L301" t="s">
        <v>7</v>
      </c>
      <c r="M301" t="s">
        <v>7</v>
      </c>
      <c r="N301" t="s">
        <v>8</v>
      </c>
      <c r="P301">
        <f t="shared" si="964"/>
        <v>-9.6834848010027924E-2</v>
      </c>
      <c r="Q301">
        <f t="shared" si="965"/>
        <v>-7296522.7952669803</v>
      </c>
      <c r="R301">
        <f t="shared" si="966"/>
        <v>1190422351.5625911</v>
      </c>
      <c r="S301">
        <f t="shared" si="967"/>
        <v>11904.22351562591</v>
      </c>
      <c r="T301">
        <f t="shared" si="968"/>
        <v>11.90422351562591</v>
      </c>
    </row>
    <row r="302" spans="1:20" x14ac:dyDescent="0.25">
      <c r="A302" s="5">
        <v>44291</v>
      </c>
      <c r="B302">
        <v>1.7536</v>
      </c>
      <c r="C302">
        <v>2.0838999999999999</v>
      </c>
      <c r="D302">
        <v>1.6757</v>
      </c>
      <c r="E302">
        <v>1.9641</v>
      </c>
      <c r="F302">
        <v>86267947.019999996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0.41303282704556621</v>
      </c>
      <c r="Q302">
        <f t="shared" si="965"/>
        <v>35631494.041087724</v>
      </c>
      <c r="R302">
        <f t="shared" si="966"/>
        <v>1197718874.3578579</v>
      </c>
      <c r="S302">
        <f t="shared" si="967"/>
        <v>11977.188743578579</v>
      </c>
      <c r="T302">
        <f t="shared" si="968"/>
        <v>11.97718874357858</v>
      </c>
    </row>
    <row r="303" spans="1:20" x14ac:dyDescent="0.25">
      <c r="A303" s="5">
        <v>44290</v>
      </c>
      <c r="B303">
        <v>1.5891999999999999</v>
      </c>
      <c r="C303">
        <v>1.7544999999999999</v>
      </c>
      <c r="D303">
        <v>1.5528999999999999</v>
      </c>
      <c r="E303">
        <v>1.7536</v>
      </c>
      <c r="F303">
        <v>47350505.600000001</v>
      </c>
      <c r="G303">
        <v>0</v>
      </c>
      <c r="L303" t="s">
        <v>8</v>
      </c>
      <c r="M303" t="s">
        <v>7</v>
      </c>
      <c r="N303" t="s">
        <v>8</v>
      </c>
      <c r="P303">
        <f t="shared" si="964"/>
        <v>0.9910714285714296</v>
      </c>
      <c r="Q303">
        <f t="shared" si="965"/>
        <v>46927733.228571482</v>
      </c>
      <c r="R303">
        <f t="shared" si="966"/>
        <v>1162087380.3167703</v>
      </c>
      <c r="S303">
        <f t="shared" si="967"/>
        <v>11620.873803167704</v>
      </c>
      <c r="T303">
        <f t="shared" si="968"/>
        <v>11.620873803167704</v>
      </c>
    </row>
    <row r="304" spans="1:20" x14ac:dyDescent="0.25">
      <c r="A304" s="5">
        <v>44289</v>
      </c>
      <c r="B304">
        <v>1.7758</v>
      </c>
      <c r="C304">
        <v>1.8796999999999999</v>
      </c>
      <c r="D304">
        <v>1.5427999999999999</v>
      </c>
      <c r="E304">
        <v>1.5891999999999999</v>
      </c>
      <c r="F304">
        <v>68302142.439999998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-0.72454734342534877</v>
      </c>
      <c r="Q304">
        <f t="shared" si="965"/>
        <v>-49488135.855161764</v>
      </c>
      <c r="R304">
        <f t="shared" si="966"/>
        <v>1115159647.0881989</v>
      </c>
      <c r="S304">
        <f t="shared" si="967"/>
        <v>11151.596470881988</v>
      </c>
      <c r="T304">
        <f t="shared" si="968"/>
        <v>11.151596470881989</v>
      </c>
    </row>
    <row r="305" spans="1:20" x14ac:dyDescent="0.25">
      <c r="A305" s="5">
        <v>44288</v>
      </c>
      <c r="B305">
        <v>1.7183999999999999</v>
      </c>
      <c r="C305">
        <v>1.8580000000000001</v>
      </c>
      <c r="D305">
        <v>1.7040999999999999</v>
      </c>
      <c r="E305">
        <v>1.7758</v>
      </c>
      <c r="F305">
        <v>50737850.909999996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-6.822612085769944E-2</v>
      </c>
      <c r="Q305">
        <f t="shared" si="965"/>
        <v>-3461646.7482455955</v>
      </c>
      <c r="R305">
        <f t="shared" si="966"/>
        <v>1164647782.9433606</v>
      </c>
      <c r="S305">
        <f t="shared" si="967"/>
        <v>11646.477829433607</v>
      </c>
      <c r="T305">
        <f t="shared" si="968"/>
        <v>11.646477829433607</v>
      </c>
    </row>
    <row r="306" spans="1:20" x14ac:dyDescent="0.25">
      <c r="A306" s="5">
        <v>44287</v>
      </c>
      <c r="B306">
        <v>1.7336</v>
      </c>
      <c r="C306">
        <v>1.9272</v>
      </c>
      <c r="D306">
        <v>1.7110000000000001</v>
      </c>
      <c r="E306">
        <v>1.7178</v>
      </c>
      <c r="F306">
        <v>93753767.912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-0.93709528214616167</v>
      </c>
      <c r="Q306">
        <f t="shared" si="965"/>
        <v>-87856213.593761399</v>
      </c>
      <c r="R306">
        <f t="shared" si="966"/>
        <v>1168109429.691606</v>
      </c>
      <c r="S306">
        <f t="shared" si="967"/>
        <v>11681.094296916061</v>
      </c>
      <c r="T306">
        <f t="shared" si="968"/>
        <v>11.681094296916061</v>
      </c>
    </row>
    <row r="307" spans="1:20" x14ac:dyDescent="0.25">
      <c r="A307" s="5">
        <v>44286</v>
      </c>
      <c r="B307">
        <v>1.6443000000000001</v>
      </c>
      <c r="C307">
        <v>1.754</v>
      </c>
      <c r="D307">
        <v>1.46</v>
      </c>
      <c r="E307">
        <v>1.7339</v>
      </c>
      <c r="F307">
        <v>66521135.009999998</v>
      </c>
      <c r="G307">
        <v>0</v>
      </c>
      <c r="L307" t="s">
        <v>8</v>
      </c>
      <c r="M307" t="s">
        <v>8</v>
      </c>
      <c r="N307" t="s">
        <v>8</v>
      </c>
      <c r="P307">
        <f t="shared" si="964"/>
        <v>0.86326530612244901</v>
      </c>
      <c r="Q307">
        <f t="shared" si="965"/>
        <v>57425387.978020407</v>
      </c>
      <c r="R307">
        <f t="shared" si="966"/>
        <v>1255965643.2853675</v>
      </c>
      <c r="S307">
        <f t="shared" si="967"/>
        <v>12559.656432853675</v>
      </c>
      <c r="T307">
        <f t="shared" si="968"/>
        <v>12.559656432853675</v>
      </c>
    </row>
    <row r="308" spans="1:20" x14ac:dyDescent="0.25">
      <c r="A308" s="5">
        <v>44285</v>
      </c>
      <c r="B308">
        <v>1.6807000000000001</v>
      </c>
      <c r="C308">
        <v>1.6899</v>
      </c>
      <c r="D308">
        <v>1.5821000000000001</v>
      </c>
      <c r="E308">
        <v>1.645</v>
      </c>
      <c r="F308">
        <v>49347657.039999999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0.16697588126159585</v>
      </c>
      <c r="Q308">
        <f t="shared" si="965"/>
        <v>8239868.5224489942</v>
      </c>
      <c r="R308">
        <f t="shared" si="966"/>
        <v>1198540255.3073471</v>
      </c>
      <c r="S308">
        <f t="shared" si="967"/>
        <v>11985.402553073471</v>
      </c>
      <c r="T308">
        <f t="shared" si="968"/>
        <v>11.98540255307347</v>
      </c>
    </row>
    <row r="309" spans="1:20" x14ac:dyDescent="0.25">
      <c r="A309" s="5">
        <v>44284</v>
      </c>
      <c r="B309">
        <v>1.5163</v>
      </c>
      <c r="C309">
        <v>1.6968000000000001</v>
      </c>
      <c r="D309">
        <v>1.4564999999999999</v>
      </c>
      <c r="E309">
        <v>1.6797</v>
      </c>
      <c r="F309">
        <v>73488591.260000005</v>
      </c>
      <c r="G309">
        <v>0</v>
      </c>
      <c r="L309" t="s">
        <v>7</v>
      </c>
      <c r="M309" t="s">
        <v>8</v>
      </c>
      <c r="N309" t="s">
        <v>8</v>
      </c>
      <c r="P309">
        <f t="shared" si="964"/>
        <v>0.85767790262172194</v>
      </c>
      <c r="Q309">
        <f t="shared" si="965"/>
        <v>63029540.818501808</v>
      </c>
      <c r="R309">
        <f t="shared" si="966"/>
        <v>1190300386.784898</v>
      </c>
      <c r="S309">
        <f t="shared" si="967"/>
        <v>11903.00386784898</v>
      </c>
      <c r="T309">
        <f t="shared" si="968"/>
        <v>11.90300386784898</v>
      </c>
    </row>
    <row r="310" spans="1:20" x14ac:dyDescent="0.25">
      <c r="A310" s="5">
        <v>44283</v>
      </c>
      <c r="B310">
        <v>1.3740000000000001</v>
      </c>
      <c r="C310">
        <v>1.7092000000000001</v>
      </c>
      <c r="D310">
        <v>1.3708</v>
      </c>
      <c r="E310">
        <v>1.5166999999999999</v>
      </c>
      <c r="F310">
        <v>173843483.56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-0.13770685579196273</v>
      </c>
      <c r="Q310">
        <f t="shared" si="965"/>
        <v>-23939439.520969365</v>
      </c>
      <c r="R310">
        <f t="shared" si="966"/>
        <v>1127270845.9663963</v>
      </c>
      <c r="S310">
        <f t="shared" si="967"/>
        <v>11272.708459663963</v>
      </c>
      <c r="T310">
        <f t="shared" si="968"/>
        <v>11.272708459663964</v>
      </c>
    </row>
    <row r="311" spans="1:20" x14ac:dyDescent="0.25">
      <c r="A311" s="5">
        <v>44282</v>
      </c>
      <c r="B311">
        <v>1.2847999999999999</v>
      </c>
      <c r="C311">
        <v>1.4135</v>
      </c>
      <c r="D311">
        <v>1.2847999999999999</v>
      </c>
      <c r="E311">
        <v>1.3740000000000001</v>
      </c>
      <c r="F311">
        <v>68232529.310000002</v>
      </c>
      <c r="G311">
        <v>0</v>
      </c>
      <c r="L311" t="s">
        <v>8</v>
      </c>
      <c r="M311" t="s">
        <v>8</v>
      </c>
      <c r="N311" t="s">
        <v>8</v>
      </c>
      <c r="P311">
        <f t="shared" si="964"/>
        <v>0.3861693861693884</v>
      </c>
      <c r="Q311">
        <f t="shared" si="965"/>
        <v>26349313.960427504</v>
      </c>
      <c r="R311">
        <f t="shared" si="966"/>
        <v>1151210285.4873657</v>
      </c>
      <c r="S311">
        <f t="shared" si="967"/>
        <v>11512.102854873658</v>
      </c>
      <c r="T311">
        <f t="shared" si="968"/>
        <v>11.512102854873657</v>
      </c>
    </row>
    <row r="312" spans="1:20" x14ac:dyDescent="0.25">
      <c r="A312" s="5">
        <v>44281</v>
      </c>
      <c r="B312">
        <v>1.1609</v>
      </c>
      <c r="C312">
        <v>1.2976000000000001</v>
      </c>
      <c r="D312">
        <v>1.1572</v>
      </c>
      <c r="E312">
        <v>1.2845</v>
      </c>
      <c r="F312">
        <v>47327096.289999999</v>
      </c>
      <c r="G312">
        <v>0</v>
      </c>
      <c r="L312" t="s">
        <v>8</v>
      </c>
      <c r="M312" t="s">
        <v>7</v>
      </c>
      <c r="N312" t="s">
        <v>8</v>
      </c>
      <c r="P312">
        <f t="shared" si="964"/>
        <v>0.81339031339031187</v>
      </c>
      <c r="Q312">
        <f t="shared" si="965"/>
        <v>38495401.683176562</v>
      </c>
      <c r="R312">
        <f t="shared" si="966"/>
        <v>1124860971.5269382</v>
      </c>
      <c r="S312">
        <f t="shared" si="967"/>
        <v>11248.609715269382</v>
      </c>
      <c r="T312">
        <f t="shared" si="968"/>
        <v>11.248609715269382</v>
      </c>
    </row>
    <row r="313" spans="1:20" x14ac:dyDescent="0.25">
      <c r="A313" s="5">
        <v>44280</v>
      </c>
      <c r="B313">
        <v>1.2103999999999999</v>
      </c>
      <c r="C313">
        <v>1.2586999999999999</v>
      </c>
      <c r="D313">
        <v>1.1182000000000001</v>
      </c>
      <c r="E313">
        <v>1.1624000000000001</v>
      </c>
      <c r="F313">
        <v>78850717.200000003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-0.37081850533807736</v>
      </c>
      <c r="Q313">
        <f t="shared" si="965"/>
        <v>-29239305.09693943</v>
      </c>
      <c r="R313">
        <f t="shared" si="966"/>
        <v>1086365569.8437617</v>
      </c>
      <c r="S313">
        <f t="shared" si="967"/>
        <v>10863.655698437617</v>
      </c>
      <c r="T313">
        <f t="shared" si="968"/>
        <v>10.863655698437617</v>
      </c>
    </row>
    <row r="314" spans="1:20" x14ac:dyDescent="0.25">
      <c r="A314" s="5">
        <v>44279</v>
      </c>
      <c r="B314">
        <v>1.3473999999999999</v>
      </c>
      <c r="C314">
        <v>1.4593</v>
      </c>
      <c r="D314">
        <v>1.165</v>
      </c>
      <c r="E314">
        <v>1.2117</v>
      </c>
      <c r="F314">
        <v>104850040.79000001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-0.68263676520557282</v>
      </c>
      <c r="Q314">
        <f t="shared" si="965"/>
        <v>-71574492.676557973</v>
      </c>
      <c r="R314">
        <f t="shared" si="966"/>
        <v>1115604874.940701</v>
      </c>
      <c r="S314">
        <f t="shared" si="967"/>
        <v>11156.048749407009</v>
      </c>
      <c r="T314">
        <f t="shared" si="968"/>
        <v>11.15604874940701</v>
      </c>
    </row>
    <row r="315" spans="1:20" x14ac:dyDescent="0.25">
      <c r="A315" s="5">
        <v>44278</v>
      </c>
      <c r="B315">
        <v>1.2007000000000001</v>
      </c>
      <c r="C315">
        <v>1.379</v>
      </c>
      <c r="D315">
        <v>1.1399999999999999</v>
      </c>
      <c r="E315">
        <v>1.3469</v>
      </c>
      <c r="F315">
        <v>97131369.409999996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0.73138075313807527</v>
      </c>
      <c r="Q315">
        <f t="shared" si="965"/>
        <v>71040014.112418398</v>
      </c>
      <c r="R315">
        <f t="shared" si="966"/>
        <v>1187179367.617259</v>
      </c>
      <c r="S315">
        <f t="shared" si="967"/>
        <v>11871.79367617259</v>
      </c>
      <c r="T315">
        <f t="shared" si="968"/>
        <v>11.87179367617259</v>
      </c>
    </row>
    <row r="316" spans="1:20" x14ac:dyDescent="0.25">
      <c r="A316" s="5">
        <v>44277</v>
      </c>
      <c r="B316">
        <v>1.1828000000000001</v>
      </c>
      <c r="C316">
        <v>1.3373999999999999</v>
      </c>
      <c r="D316">
        <v>1.1539999999999999</v>
      </c>
      <c r="E316">
        <v>1.2005999999999999</v>
      </c>
      <c r="F316">
        <v>85681173.409999996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-0.49182115594329362</v>
      </c>
      <c r="Q316">
        <f t="shared" si="965"/>
        <v>-42139813.749083988</v>
      </c>
      <c r="R316">
        <f t="shared" si="966"/>
        <v>1116139353.5048406</v>
      </c>
      <c r="S316">
        <f t="shared" si="967"/>
        <v>11161.393535048406</v>
      </c>
      <c r="T316">
        <f t="shared" si="968"/>
        <v>11.161393535048406</v>
      </c>
    </row>
    <row r="317" spans="1:20" x14ac:dyDescent="0.25">
      <c r="A317" s="5">
        <v>44276</v>
      </c>
      <c r="B317">
        <v>1.1999</v>
      </c>
      <c r="C317">
        <v>1.2209000000000001</v>
      </c>
      <c r="D317">
        <v>1.1385000000000001</v>
      </c>
      <c r="E317">
        <v>1.1835</v>
      </c>
      <c r="F317">
        <v>35046746.960000001</v>
      </c>
      <c r="G317">
        <v>0</v>
      </c>
      <c r="L317" t="s">
        <v>7</v>
      </c>
      <c r="M317" t="s">
        <v>8</v>
      </c>
      <c r="N317" t="s">
        <v>8</v>
      </c>
      <c r="P317">
        <f t="shared" si="964"/>
        <v>9.2233009708735755E-2</v>
      </c>
      <c r="Q317">
        <f t="shared" si="965"/>
        <v>3232466.9526212853</v>
      </c>
      <c r="R317">
        <f t="shared" si="966"/>
        <v>1158279167.2539246</v>
      </c>
      <c r="S317">
        <f t="shared" si="967"/>
        <v>11582.791672539246</v>
      </c>
      <c r="T317">
        <f t="shared" si="968"/>
        <v>11.582791672539246</v>
      </c>
    </row>
    <row r="318" spans="1:20" x14ac:dyDescent="0.25">
      <c r="A318" s="5">
        <v>44275</v>
      </c>
      <c r="B318">
        <v>1.1944999999999999</v>
      </c>
      <c r="C318">
        <v>1.2863</v>
      </c>
      <c r="D318">
        <v>1.1900999999999999</v>
      </c>
      <c r="E318">
        <v>1.1999</v>
      </c>
      <c r="F318">
        <v>46796935.380000003</v>
      </c>
      <c r="G318">
        <v>0</v>
      </c>
      <c r="L318" t="s">
        <v>8</v>
      </c>
      <c r="M318" t="s">
        <v>8</v>
      </c>
      <c r="N318" t="s">
        <v>8</v>
      </c>
      <c r="P318">
        <f t="shared" si="964"/>
        <v>-0.7962577962577958</v>
      </c>
      <c r="Q318">
        <f t="shared" si="965"/>
        <v>-37262424.63729728</v>
      </c>
      <c r="R318">
        <f t="shared" si="966"/>
        <v>1155046700.3013034</v>
      </c>
      <c r="S318">
        <f t="shared" si="967"/>
        <v>11550.467003013035</v>
      </c>
      <c r="T318">
        <f t="shared" si="968"/>
        <v>11.550467003013035</v>
      </c>
    </row>
    <row r="319" spans="1:20" x14ac:dyDescent="0.25">
      <c r="A319" s="5">
        <v>44274</v>
      </c>
      <c r="B319">
        <v>1.1847000000000001</v>
      </c>
      <c r="C319">
        <v>1.236</v>
      </c>
      <c r="D319">
        <v>1.1511</v>
      </c>
      <c r="E319">
        <v>1.1944999999999999</v>
      </c>
      <c r="F319">
        <v>36378702.200000003</v>
      </c>
      <c r="G319">
        <v>0</v>
      </c>
      <c r="L319" t="s">
        <v>7</v>
      </c>
      <c r="M319" t="s">
        <v>8</v>
      </c>
      <c r="N319" t="s">
        <v>8</v>
      </c>
      <c r="P319">
        <f t="shared" si="964"/>
        <v>2.2379269729090594E-2</v>
      </c>
      <c r="Q319">
        <f t="shared" si="965"/>
        <v>814128.78892806149</v>
      </c>
      <c r="R319">
        <f t="shared" si="966"/>
        <v>1192309124.9386008</v>
      </c>
      <c r="S319">
        <f t="shared" si="967"/>
        <v>11923.091249386007</v>
      </c>
      <c r="T319">
        <f t="shared" si="968"/>
        <v>11.923091249386006</v>
      </c>
    </row>
    <row r="320" spans="1:20" x14ac:dyDescent="0.25">
      <c r="A320" s="5">
        <v>44273</v>
      </c>
      <c r="B320">
        <v>1.2582</v>
      </c>
      <c r="C320">
        <v>1.2718</v>
      </c>
      <c r="D320">
        <v>1.1775</v>
      </c>
      <c r="E320">
        <v>1.1845000000000001</v>
      </c>
      <c r="F320">
        <v>43680048.509999998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-0.85153764581123836</v>
      </c>
      <c r="Q320">
        <f t="shared" si="965"/>
        <v>-37195205.677126087</v>
      </c>
      <c r="R320">
        <f t="shared" si="966"/>
        <v>1191494996.1496727</v>
      </c>
      <c r="S320">
        <f t="shared" si="967"/>
        <v>11914.949961496728</v>
      </c>
      <c r="T320">
        <f t="shared" si="968"/>
        <v>11.914949961496728</v>
      </c>
    </row>
    <row r="321" spans="1:20" x14ac:dyDescent="0.25">
      <c r="A321" s="5">
        <v>44272</v>
      </c>
      <c r="B321">
        <v>1.1782999999999999</v>
      </c>
      <c r="C321">
        <v>1.2621</v>
      </c>
      <c r="D321">
        <v>1.135</v>
      </c>
      <c r="E321">
        <v>1.2581</v>
      </c>
      <c r="F321">
        <v>75333981.540000007</v>
      </c>
      <c r="G321">
        <v>0</v>
      </c>
      <c r="L321" t="s">
        <v>8</v>
      </c>
      <c r="M321" t="s">
        <v>8</v>
      </c>
      <c r="N321" t="s">
        <v>8</v>
      </c>
      <c r="P321">
        <f t="shared" si="964"/>
        <v>0.9370574350904799</v>
      </c>
      <c r="Q321">
        <f t="shared" si="965"/>
        <v>70592267.517025962</v>
      </c>
      <c r="R321">
        <f t="shared" si="966"/>
        <v>1228690201.8267989</v>
      </c>
      <c r="S321">
        <f t="shared" si="967"/>
        <v>12286.902018267989</v>
      </c>
      <c r="T321">
        <f t="shared" si="968"/>
        <v>12.286902018267989</v>
      </c>
    </row>
    <row r="322" spans="1:20" x14ac:dyDescent="0.25">
      <c r="A322" s="5">
        <v>44271</v>
      </c>
      <c r="B322">
        <v>1.1382000000000001</v>
      </c>
      <c r="C322">
        <v>1.2534000000000001</v>
      </c>
      <c r="D322">
        <v>1.0780000000000001</v>
      </c>
      <c r="E322">
        <v>1.1775</v>
      </c>
      <c r="F322">
        <v>95629988.969999999</v>
      </c>
      <c r="G322">
        <v>0</v>
      </c>
      <c r="L322" t="s">
        <v>7</v>
      </c>
      <c r="M322" t="s">
        <v>8</v>
      </c>
      <c r="N322" t="s">
        <v>8</v>
      </c>
      <c r="P322">
        <f t="shared" si="964"/>
        <v>0.13454960091219978</v>
      </c>
      <c r="Q322">
        <f t="shared" si="965"/>
        <v>12866976.851151567</v>
      </c>
      <c r="R322">
        <f t="shared" si="966"/>
        <v>1158097934.309773</v>
      </c>
      <c r="S322">
        <f t="shared" si="967"/>
        <v>11580.97934309773</v>
      </c>
      <c r="T322">
        <f t="shared" si="968"/>
        <v>11.580979343097729</v>
      </c>
    </row>
    <row r="323" spans="1:20" x14ac:dyDescent="0.25">
      <c r="A323" s="5">
        <v>44270</v>
      </c>
      <c r="B323">
        <v>1.0659000000000001</v>
      </c>
      <c r="C323">
        <v>1.29</v>
      </c>
      <c r="D323">
        <v>0.98219999999999996</v>
      </c>
      <c r="E323">
        <v>1.1384000000000001</v>
      </c>
      <c r="F323">
        <v>145697431.30000001</v>
      </c>
      <c r="G323">
        <v>0</v>
      </c>
      <c r="L323" t="s">
        <v>8</v>
      </c>
      <c r="M323" t="s">
        <v>7</v>
      </c>
      <c r="N323" t="s">
        <v>8</v>
      </c>
      <c r="P323">
        <f t="shared" si="964"/>
        <v>1.4944769330734757E-2</v>
      </c>
      <c r="Q323">
        <f t="shared" si="965"/>
        <v>2177414.5028590746</v>
      </c>
      <c r="R323">
        <f t="shared" si="966"/>
        <v>1145230957.4586215</v>
      </c>
      <c r="S323">
        <f t="shared" si="967"/>
        <v>11452.309574586216</v>
      </c>
      <c r="T323">
        <f t="shared" si="968"/>
        <v>11.452309574586216</v>
      </c>
    </row>
    <row r="324" spans="1:20" x14ac:dyDescent="0.25">
      <c r="A324" s="5">
        <v>44269</v>
      </c>
      <c r="B324">
        <v>1.1342000000000001</v>
      </c>
      <c r="C324">
        <v>1.1641999999999999</v>
      </c>
      <c r="D324">
        <v>1.0586</v>
      </c>
      <c r="E324">
        <v>1.0654999999999999</v>
      </c>
      <c r="F324">
        <v>45401947.079999998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-0.86931818181818354</v>
      </c>
      <c r="Q324">
        <f t="shared" si="965"/>
        <v>-39468738.086590983</v>
      </c>
      <c r="R324">
        <f t="shared" si="966"/>
        <v>1143053542.9557624</v>
      </c>
      <c r="S324">
        <f t="shared" si="967"/>
        <v>11430.535429557624</v>
      </c>
      <c r="T324">
        <f t="shared" si="968"/>
        <v>11.430535429557624</v>
      </c>
    </row>
    <row r="325" spans="1:20" x14ac:dyDescent="0.25">
      <c r="A325" s="5">
        <v>44268</v>
      </c>
      <c r="B325">
        <v>1.0682</v>
      </c>
      <c r="C325">
        <v>1.1496999999999999</v>
      </c>
      <c r="D325">
        <v>1.0137</v>
      </c>
      <c r="E325">
        <v>1.1342000000000001</v>
      </c>
      <c r="F325">
        <v>50100930.619999997</v>
      </c>
      <c r="G325">
        <v>0</v>
      </c>
      <c r="L325" t="s">
        <v>7</v>
      </c>
      <c r="M325" t="s">
        <v>7</v>
      </c>
      <c r="N325" t="s">
        <v>8</v>
      </c>
      <c r="P325">
        <f t="shared" si="964"/>
        <v>0.7720588235294138</v>
      </c>
      <c r="Q325">
        <f t="shared" si="965"/>
        <v>38680865.55220598</v>
      </c>
      <c r="R325">
        <f t="shared" si="966"/>
        <v>1182522281.0423534</v>
      </c>
      <c r="S325">
        <f t="shared" si="967"/>
        <v>11825.222810423535</v>
      </c>
      <c r="T325">
        <f t="shared" si="968"/>
        <v>11.825222810423535</v>
      </c>
    </row>
    <row r="326" spans="1:20" x14ac:dyDescent="0.25">
      <c r="A326" s="5">
        <v>44267</v>
      </c>
      <c r="B326">
        <v>1.1321000000000001</v>
      </c>
      <c r="C326">
        <v>1.1366000000000001</v>
      </c>
      <c r="D326">
        <v>1.03</v>
      </c>
      <c r="E326">
        <v>1.0677000000000001</v>
      </c>
      <c r="F326">
        <v>51141411.909999996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-0.29268292682926722</v>
      </c>
      <c r="Q326">
        <f t="shared" ref="Q326:Q389" si="970">F326*P326</f>
        <v>-14968218.119999943</v>
      </c>
      <c r="R326">
        <f t="shared" ref="R326:R389" si="971">R327+Q326</f>
        <v>1143841415.4901474</v>
      </c>
      <c r="S326">
        <f t="shared" ref="S326:S389" si="972">R326/100000</f>
        <v>11438.414154901473</v>
      </c>
      <c r="T326">
        <f t="shared" ref="T326:T389" si="973">S326/1000</f>
        <v>11.438414154901473</v>
      </c>
    </row>
    <row r="327" spans="1:20" x14ac:dyDescent="0.25">
      <c r="A327" s="5">
        <v>44266</v>
      </c>
      <c r="B327">
        <v>1.141</v>
      </c>
      <c r="C327">
        <v>1.1879999999999999</v>
      </c>
      <c r="D327">
        <v>1.0565</v>
      </c>
      <c r="E327">
        <v>1.1316999999999999</v>
      </c>
      <c r="F327">
        <v>57650080.740000002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0.1437262357414443</v>
      </c>
      <c r="Q327">
        <f t="shared" si="970"/>
        <v>8285829.0949505381</v>
      </c>
      <c r="R327">
        <f t="shared" si="971"/>
        <v>1158809633.6101472</v>
      </c>
      <c r="S327">
        <f t="shared" si="972"/>
        <v>11588.096336101473</v>
      </c>
      <c r="T327">
        <f t="shared" si="973"/>
        <v>11.588096336101472</v>
      </c>
    </row>
    <row r="328" spans="1:20" x14ac:dyDescent="0.25">
      <c r="A328" s="5">
        <v>44265</v>
      </c>
      <c r="B328">
        <v>1.2131000000000001</v>
      </c>
      <c r="C328">
        <v>1.2163999999999999</v>
      </c>
      <c r="D328">
        <v>1.0982000000000001</v>
      </c>
      <c r="E328">
        <v>1.1403000000000001</v>
      </c>
      <c r="F328">
        <v>57054763.079999998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-0.28764805414551481</v>
      </c>
      <c r="Q328">
        <f t="shared" si="970"/>
        <v>-16411691.579695359</v>
      </c>
      <c r="R328">
        <f t="shared" si="971"/>
        <v>1150523804.5151968</v>
      </c>
      <c r="S328">
        <f t="shared" si="972"/>
        <v>11505.238045151968</v>
      </c>
      <c r="T328">
        <f t="shared" si="973"/>
        <v>11.505238045151968</v>
      </c>
    </row>
    <row r="329" spans="1:20" x14ac:dyDescent="0.25">
      <c r="A329" s="5">
        <v>44264</v>
      </c>
      <c r="B329">
        <v>1.133</v>
      </c>
      <c r="C329">
        <v>1.24</v>
      </c>
      <c r="D329">
        <v>1.0926</v>
      </c>
      <c r="E329">
        <v>1.2132000000000001</v>
      </c>
      <c r="F329">
        <v>84066790.150000006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0.63636363636363713</v>
      </c>
      <c r="Q329">
        <f t="shared" si="970"/>
        <v>53497048.277272798</v>
      </c>
      <c r="R329">
        <f t="shared" si="971"/>
        <v>1166935496.0948923</v>
      </c>
      <c r="S329">
        <f t="shared" si="972"/>
        <v>11669.354960948922</v>
      </c>
      <c r="T329">
        <f t="shared" si="973"/>
        <v>11.669354960948922</v>
      </c>
    </row>
    <row r="330" spans="1:20" x14ac:dyDescent="0.25">
      <c r="A330" s="5">
        <v>44263</v>
      </c>
      <c r="B330">
        <v>1.0491999999999999</v>
      </c>
      <c r="C330">
        <v>1.1357999999999999</v>
      </c>
      <c r="D330">
        <v>1.0043</v>
      </c>
      <c r="E330">
        <v>1.1332</v>
      </c>
      <c r="F330">
        <v>56482257.530000001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0.96045627376425957</v>
      </c>
      <c r="Q330">
        <f t="shared" si="970"/>
        <v>54248738.60105709</v>
      </c>
      <c r="R330">
        <f t="shared" si="971"/>
        <v>1113438447.8176196</v>
      </c>
      <c r="S330">
        <f t="shared" si="972"/>
        <v>11134.384478176196</v>
      </c>
      <c r="T330">
        <f t="shared" si="973"/>
        <v>11.134384478176196</v>
      </c>
    </row>
    <row r="331" spans="1:20" x14ac:dyDescent="0.25">
      <c r="A331" s="5">
        <v>44262</v>
      </c>
      <c r="B331">
        <v>1.0387</v>
      </c>
      <c r="C331">
        <v>1.0575000000000001</v>
      </c>
      <c r="D331">
        <v>1.0052000000000001</v>
      </c>
      <c r="E331">
        <v>1.0488999999999999</v>
      </c>
      <c r="F331">
        <v>37928906.350000001</v>
      </c>
      <c r="G331">
        <v>0</v>
      </c>
      <c r="L331" t="s">
        <v>7</v>
      </c>
      <c r="M331" t="s">
        <v>8</v>
      </c>
      <c r="N331" t="s">
        <v>7</v>
      </c>
      <c r="P331">
        <f t="shared" si="969"/>
        <v>0.67112810707456361</v>
      </c>
      <c r="Q331">
        <f t="shared" si="970"/>
        <v>25455155.122083895</v>
      </c>
      <c r="R331">
        <f t="shared" si="971"/>
        <v>1059189709.2165624</v>
      </c>
      <c r="S331">
        <f t="shared" si="972"/>
        <v>10591.897092165624</v>
      </c>
      <c r="T331">
        <f t="shared" si="973"/>
        <v>10.591897092165624</v>
      </c>
    </row>
    <row r="332" spans="1:20" x14ac:dyDescent="0.25">
      <c r="A332" s="5">
        <v>44261</v>
      </c>
      <c r="B332">
        <v>1.012</v>
      </c>
      <c r="C332">
        <v>1.0900000000000001</v>
      </c>
      <c r="D332">
        <v>0.9829</v>
      </c>
      <c r="E332">
        <v>1.0387</v>
      </c>
      <c r="F332">
        <v>70087314.010000005</v>
      </c>
      <c r="G332">
        <v>0</v>
      </c>
      <c r="L332" t="s">
        <v>8</v>
      </c>
      <c r="M332" t="s">
        <v>8</v>
      </c>
      <c r="N332" t="s">
        <v>7</v>
      </c>
      <c r="P332">
        <f t="shared" si="969"/>
        <v>4.2016806722687525E-2</v>
      </c>
      <c r="Q332">
        <f t="shared" si="970"/>
        <v>2944845.1264704796</v>
      </c>
      <c r="R332">
        <f t="shared" si="971"/>
        <v>1033734554.0944785</v>
      </c>
      <c r="S332">
        <f t="shared" si="972"/>
        <v>10337.345540944785</v>
      </c>
      <c r="T332">
        <f t="shared" si="973"/>
        <v>10.337345540944785</v>
      </c>
    </row>
    <row r="333" spans="1:20" x14ac:dyDescent="0.25">
      <c r="A333" s="5">
        <v>44260</v>
      </c>
      <c r="B333">
        <v>0.96419999999999995</v>
      </c>
      <c r="C333">
        <v>1.0205</v>
      </c>
      <c r="D333">
        <v>0.89070000000000005</v>
      </c>
      <c r="E333">
        <v>1.012</v>
      </c>
      <c r="F333">
        <v>54386637.57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0.86902927580893752</v>
      </c>
      <c r="Q333">
        <f t="shared" si="970"/>
        <v>47263580.261140257</v>
      </c>
      <c r="R333">
        <f t="shared" si="971"/>
        <v>1030789708.968008</v>
      </c>
      <c r="S333">
        <f t="shared" si="972"/>
        <v>10307.89708968008</v>
      </c>
      <c r="T333">
        <f t="shared" si="973"/>
        <v>10.307897089680081</v>
      </c>
    </row>
    <row r="334" spans="1:20" x14ac:dyDescent="0.25">
      <c r="A334" s="5">
        <v>44259</v>
      </c>
      <c r="B334">
        <v>1.0306</v>
      </c>
      <c r="C334">
        <v>1.0698000000000001</v>
      </c>
      <c r="D334">
        <v>0.93120000000000003</v>
      </c>
      <c r="E334">
        <v>0.9637</v>
      </c>
      <c r="F334">
        <v>71242327.340000004</v>
      </c>
      <c r="G334">
        <v>0</v>
      </c>
      <c r="L334" t="s">
        <v>8</v>
      </c>
      <c r="M334" t="s">
        <v>8</v>
      </c>
      <c r="N334" t="s">
        <v>7</v>
      </c>
      <c r="P334">
        <f t="shared" si="969"/>
        <v>-0.53102453102453162</v>
      </c>
      <c r="Q334">
        <f t="shared" si="970"/>
        <v>-37831423.46481967</v>
      </c>
      <c r="R334">
        <f t="shared" si="971"/>
        <v>983526128.70686781</v>
      </c>
      <c r="S334">
        <f t="shared" si="972"/>
        <v>9835.2612870686789</v>
      </c>
      <c r="T334">
        <f t="shared" si="973"/>
        <v>9.8352612870686791</v>
      </c>
    </row>
    <row r="335" spans="1:20" x14ac:dyDescent="0.25">
      <c r="A335" s="5">
        <v>44258</v>
      </c>
      <c r="B335">
        <v>0.92090000000000005</v>
      </c>
      <c r="C335">
        <v>1.0449999999999999</v>
      </c>
      <c r="D335">
        <v>0.9052</v>
      </c>
      <c r="E335">
        <v>1.0305</v>
      </c>
      <c r="F335">
        <v>76378918.969999999</v>
      </c>
      <c r="G335">
        <v>0</v>
      </c>
      <c r="L335" t="s">
        <v>8</v>
      </c>
      <c r="M335" t="s">
        <v>8</v>
      </c>
      <c r="N335" t="s">
        <v>7</v>
      </c>
      <c r="P335">
        <f t="shared" si="969"/>
        <v>0.79256080114449268</v>
      </c>
      <c r="Q335">
        <f t="shared" si="970"/>
        <v>60534937.209413491</v>
      </c>
      <c r="R335">
        <f t="shared" si="971"/>
        <v>1021357552.1716875</v>
      </c>
      <c r="S335">
        <f t="shared" si="972"/>
        <v>10213.575521716875</v>
      </c>
      <c r="T335">
        <f t="shared" si="973"/>
        <v>10.213575521716875</v>
      </c>
    </row>
    <row r="336" spans="1:20" x14ac:dyDescent="0.25">
      <c r="A336" s="5">
        <v>44257</v>
      </c>
      <c r="B336">
        <v>0.91639999999999999</v>
      </c>
      <c r="C336">
        <v>0.9456</v>
      </c>
      <c r="D336">
        <v>0.86270000000000002</v>
      </c>
      <c r="E336">
        <v>0.92120000000000002</v>
      </c>
      <c r="F336">
        <v>57533008.82</v>
      </c>
      <c r="G336">
        <v>0</v>
      </c>
      <c r="L336" t="s">
        <v>8</v>
      </c>
      <c r="M336" t="s">
        <v>8</v>
      </c>
      <c r="N336" t="s">
        <v>7</v>
      </c>
      <c r="P336">
        <f t="shared" si="969"/>
        <v>0.4113389626055492</v>
      </c>
      <c r="Q336">
        <f t="shared" si="970"/>
        <v>23665568.163594712</v>
      </c>
      <c r="R336">
        <f t="shared" si="971"/>
        <v>960822614.96227396</v>
      </c>
      <c r="S336">
        <f t="shared" si="972"/>
        <v>9608.2261496227402</v>
      </c>
      <c r="T336">
        <f t="shared" si="973"/>
        <v>9.608226149622741</v>
      </c>
    </row>
    <row r="337" spans="1:20" x14ac:dyDescent="0.25">
      <c r="A337" s="5">
        <v>44256</v>
      </c>
      <c r="B337">
        <v>0.84699999999999998</v>
      </c>
      <c r="C337">
        <v>0.9284</v>
      </c>
      <c r="D337">
        <v>0.83819999999999995</v>
      </c>
      <c r="E337">
        <v>0.9163</v>
      </c>
      <c r="F337">
        <v>48065377.219999999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0.73170731707317094</v>
      </c>
      <c r="Q337">
        <f t="shared" si="970"/>
        <v>35169788.209756106</v>
      </c>
      <c r="R337">
        <f t="shared" si="971"/>
        <v>937157046.79867923</v>
      </c>
      <c r="S337">
        <f t="shared" si="972"/>
        <v>9371.5704679867922</v>
      </c>
      <c r="T337">
        <f t="shared" si="973"/>
        <v>9.3715704679867926</v>
      </c>
    </row>
    <row r="338" spans="1:20" x14ac:dyDescent="0.25">
      <c r="A338" s="5">
        <v>44255</v>
      </c>
      <c r="B338">
        <v>0.91439999999999999</v>
      </c>
      <c r="C338">
        <v>0.92449999999999999</v>
      </c>
      <c r="D338">
        <v>0.78</v>
      </c>
      <c r="E338">
        <v>0.84730000000000005</v>
      </c>
      <c r="F338">
        <v>56826323.630000003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-6.8512110726642983E-2</v>
      </c>
      <c r="Q338">
        <f t="shared" si="970"/>
        <v>-3893291.3767266087</v>
      </c>
      <c r="R338">
        <f t="shared" si="971"/>
        <v>901987258.5889231</v>
      </c>
      <c r="S338">
        <f t="shared" si="972"/>
        <v>9019.8725858892303</v>
      </c>
      <c r="T338">
        <f t="shared" si="973"/>
        <v>9.0198725858892299</v>
      </c>
    </row>
    <row r="339" spans="1:20" x14ac:dyDescent="0.25">
      <c r="A339" s="5">
        <v>44254</v>
      </c>
      <c r="B339">
        <v>0.89770000000000005</v>
      </c>
      <c r="C339">
        <v>0.97719999999999996</v>
      </c>
      <c r="D339">
        <v>0.88560000000000005</v>
      </c>
      <c r="E339">
        <v>0.91500000000000004</v>
      </c>
      <c r="F339">
        <v>48684117.960000001</v>
      </c>
      <c r="G339">
        <v>0</v>
      </c>
      <c r="L339" t="s">
        <v>8</v>
      </c>
      <c r="M339" t="s">
        <v>7</v>
      </c>
      <c r="N339" t="s">
        <v>7</v>
      </c>
      <c r="P339">
        <f t="shared" si="969"/>
        <v>-0.35807860262008706</v>
      </c>
      <c r="Q339">
        <f t="shared" si="970"/>
        <v>-17432740.928908285</v>
      </c>
      <c r="R339">
        <f t="shared" si="971"/>
        <v>905880549.96564972</v>
      </c>
      <c r="S339">
        <f t="shared" si="972"/>
        <v>9058.805499656497</v>
      </c>
      <c r="T339">
        <f t="shared" si="973"/>
        <v>9.0588054996564971</v>
      </c>
    </row>
    <row r="340" spans="1:20" x14ac:dyDescent="0.25">
      <c r="A340" s="5">
        <v>44253</v>
      </c>
      <c r="B340">
        <v>0.9385</v>
      </c>
      <c r="C340">
        <v>0.95389999999999997</v>
      </c>
      <c r="D340">
        <v>0.83620000000000005</v>
      </c>
      <c r="E340">
        <v>0.89690000000000003</v>
      </c>
      <c r="F340">
        <v>75048508.819999993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3.1435853865760741E-2</v>
      </c>
      <c r="Q340">
        <f t="shared" si="970"/>
        <v>2359213.9561087759</v>
      </c>
      <c r="R340">
        <f t="shared" si="971"/>
        <v>923313290.89455795</v>
      </c>
      <c r="S340">
        <f t="shared" si="972"/>
        <v>9233.1329089455794</v>
      </c>
      <c r="T340">
        <f t="shared" si="973"/>
        <v>9.2331329089455796</v>
      </c>
    </row>
    <row r="341" spans="1:20" x14ac:dyDescent="0.25">
      <c r="A341" s="5">
        <v>44252</v>
      </c>
      <c r="B341">
        <v>1.004</v>
      </c>
      <c r="C341">
        <v>1.0607</v>
      </c>
      <c r="D341">
        <v>0.93220000000000003</v>
      </c>
      <c r="E341">
        <v>0.93889999999999996</v>
      </c>
      <c r="F341">
        <v>70758756.709999993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-0.89571984435797769</v>
      </c>
      <c r="Q341">
        <f t="shared" si="970"/>
        <v>-63380022.547245204</v>
      </c>
      <c r="R341">
        <f t="shared" si="971"/>
        <v>920954076.93844914</v>
      </c>
      <c r="S341">
        <f t="shared" si="972"/>
        <v>9209.5407693844918</v>
      </c>
      <c r="T341">
        <f t="shared" si="973"/>
        <v>9.2095407693844926</v>
      </c>
    </row>
    <row r="342" spans="1:20" x14ac:dyDescent="0.25">
      <c r="A342" s="5">
        <v>44251</v>
      </c>
      <c r="B342">
        <v>0.98219999999999996</v>
      </c>
      <c r="C342">
        <v>1.0920000000000001</v>
      </c>
      <c r="D342">
        <v>0.92279999999999995</v>
      </c>
      <c r="E342">
        <v>1.0038</v>
      </c>
      <c r="F342">
        <v>95943693.549999997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-4.2553191489361576E-2</v>
      </c>
      <c r="Q342">
        <f t="shared" si="970"/>
        <v>-4082710.3638297752</v>
      </c>
      <c r="R342">
        <f t="shared" si="971"/>
        <v>984334099.48569441</v>
      </c>
      <c r="S342">
        <f t="shared" si="972"/>
        <v>9843.3409948569442</v>
      </c>
      <c r="T342">
        <f t="shared" si="973"/>
        <v>9.8433409948569448</v>
      </c>
    </row>
    <row r="343" spans="1:20" x14ac:dyDescent="0.25">
      <c r="A343" s="5">
        <v>44250</v>
      </c>
      <c r="B343">
        <v>1.1930000000000001</v>
      </c>
      <c r="C343">
        <v>1.2028000000000001</v>
      </c>
      <c r="D343">
        <v>0.80800000000000005</v>
      </c>
      <c r="E343">
        <v>0.9819</v>
      </c>
      <c r="F343">
        <v>158630651.02000001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-0.11904761904761942</v>
      </c>
      <c r="Q343">
        <f t="shared" si="970"/>
        <v>-18884601.311904822</v>
      </c>
      <c r="R343">
        <f t="shared" si="971"/>
        <v>988416809.84952414</v>
      </c>
      <c r="S343">
        <f t="shared" si="972"/>
        <v>9884.1680984952418</v>
      </c>
      <c r="T343">
        <f t="shared" si="973"/>
        <v>9.8841680984952411</v>
      </c>
    </row>
    <row r="344" spans="1:20" x14ac:dyDescent="0.25">
      <c r="A344" s="5">
        <v>44249</v>
      </c>
      <c r="B344">
        <v>1.4148000000000001</v>
      </c>
      <c r="C344">
        <v>1.4259999999999999</v>
      </c>
      <c r="D344">
        <v>0.98</v>
      </c>
      <c r="E344">
        <v>1.1928000000000001</v>
      </c>
      <c r="F344">
        <v>137027442.28999999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-4.5739910313900796E-2</v>
      </c>
      <c r="Q344">
        <f t="shared" si="970"/>
        <v>-6267622.9208878167</v>
      </c>
      <c r="R344">
        <f t="shared" si="971"/>
        <v>1007301411.1614289</v>
      </c>
      <c r="S344">
        <f t="shared" si="972"/>
        <v>10073.01411161429</v>
      </c>
      <c r="T344">
        <f t="shared" si="973"/>
        <v>10.07301411161429</v>
      </c>
    </row>
    <row r="345" spans="1:20" x14ac:dyDescent="0.25">
      <c r="A345" s="5">
        <v>44248</v>
      </c>
      <c r="B345">
        <v>1.2310000000000001</v>
      </c>
      <c r="C345">
        <v>1.5939000000000001</v>
      </c>
      <c r="D345">
        <v>1.1906000000000001</v>
      </c>
      <c r="E345">
        <v>1.4137</v>
      </c>
      <c r="F345">
        <v>165984137.27000001</v>
      </c>
      <c r="G345">
        <v>0</v>
      </c>
      <c r="L345" t="s">
        <v>8</v>
      </c>
      <c r="M345" t="s">
        <v>8</v>
      </c>
      <c r="N345" t="s">
        <v>8</v>
      </c>
      <c r="P345">
        <f t="shared" si="969"/>
        <v>0.1063724274733442</v>
      </c>
      <c r="Q345">
        <f t="shared" si="970"/>
        <v>17656135.603478685</v>
      </c>
      <c r="R345">
        <f t="shared" si="971"/>
        <v>1013569034.0823168</v>
      </c>
      <c r="S345">
        <f t="shared" si="972"/>
        <v>10135.690340823168</v>
      </c>
      <c r="T345">
        <f t="shared" si="973"/>
        <v>10.135690340823169</v>
      </c>
    </row>
    <row r="346" spans="1:20" x14ac:dyDescent="0.25">
      <c r="A346" s="5">
        <v>44247</v>
      </c>
      <c r="B346">
        <v>1.2633000000000001</v>
      </c>
      <c r="C346">
        <v>1.4319999999999999</v>
      </c>
      <c r="D346">
        <v>1.1200000000000001</v>
      </c>
      <c r="E346">
        <v>1.2310000000000001</v>
      </c>
      <c r="F346">
        <v>110985217.09</v>
      </c>
      <c r="G346">
        <v>0</v>
      </c>
      <c r="L346" t="s">
        <v>8</v>
      </c>
      <c r="M346" t="s">
        <v>8</v>
      </c>
      <c r="N346" t="s">
        <v>8</v>
      </c>
      <c r="P346">
        <f t="shared" si="969"/>
        <v>-0.28846153846153816</v>
      </c>
      <c r="Q346">
        <f t="shared" si="970"/>
        <v>-32014966.468269199</v>
      </c>
      <c r="R346">
        <f t="shared" si="971"/>
        <v>995912898.47883809</v>
      </c>
      <c r="S346">
        <f t="shared" si="972"/>
        <v>9959.12898478838</v>
      </c>
      <c r="T346">
        <f t="shared" si="973"/>
        <v>9.9591289847883804</v>
      </c>
    </row>
    <row r="347" spans="1:20" x14ac:dyDescent="0.25">
      <c r="A347" s="5">
        <v>44246</v>
      </c>
      <c r="B347">
        <v>1.2295</v>
      </c>
      <c r="C347">
        <v>1.304</v>
      </c>
      <c r="D347">
        <v>1.1611</v>
      </c>
      <c r="E347">
        <v>1.2632000000000001</v>
      </c>
      <c r="F347">
        <v>75883006.900000006</v>
      </c>
      <c r="G347">
        <v>0</v>
      </c>
      <c r="L347" t="s">
        <v>8</v>
      </c>
      <c r="M347" t="s">
        <v>8</v>
      </c>
      <c r="N347" t="s">
        <v>8</v>
      </c>
      <c r="P347">
        <f t="shared" si="969"/>
        <v>0.42897130860741861</v>
      </c>
      <c r="Q347">
        <f t="shared" si="970"/>
        <v>32551632.770958778</v>
      </c>
      <c r="R347">
        <f t="shared" si="971"/>
        <v>1027927864.9471073</v>
      </c>
      <c r="S347">
        <f t="shared" si="972"/>
        <v>10279.278649471073</v>
      </c>
      <c r="T347">
        <f t="shared" si="973"/>
        <v>10.279278649471072</v>
      </c>
    </row>
    <row r="348" spans="1:20" x14ac:dyDescent="0.25">
      <c r="A348" s="5">
        <v>44245</v>
      </c>
      <c r="B348">
        <v>1.1561999999999999</v>
      </c>
      <c r="C348">
        <v>1.2849999999999999</v>
      </c>
      <c r="D348">
        <v>1.1305000000000001</v>
      </c>
      <c r="E348">
        <v>1.2284999999999999</v>
      </c>
      <c r="F348">
        <v>63937607.140000001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0.26860841423948162</v>
      </c>
      <c r="Q348">
        <f t="shared" si="970"/>
        <v>17174179.264142357</v>
      </c>
      <c r="R348">
        <f t="shared" si="971"/>
        <v>995376232.17614853</v>
      </c>
      <c r="S348">
        <f t="shared" si="972"/>
        <v>9953.7623217614855</v>
      </c>
      <c r="T348">
        <f t="shared" si="973"/>
        <v>9.9537623217614861</v>
      </c>
    </row>
    <row r="349" spans="1:20" x14ac:dyDescent="0.25">
      <c r="A349" s="5">
        <v>44244</v>
      </c>
      <c r="B349">
        <v>1.1238999999999999</v>
      </c>
      <c r="C349">
        <v>1.1990000000000001</v>
      </c>
      <c r="D349">
        <v>1.0399</v>
      </c>
      <c r="E349">
        <v>1.1547000000000001</v>
      </c>
      <c r="F349">
        <v>68743581.959999993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0.44311753614079197</v>
      </c>
      <c r="Q349">
        <f t="shared" si="970"/>
        <v>30461486.663607791</v>
      </c>
      <c r="R349">
        <f t="shared" si="971"/>
        <v>978202052.91200614</v>
      </c>
      <c r="S349">
        <f t="shared" si="972"/>
        <v>9782.0205291200618</v>
      </c>
      <c r="T349">
        <f t="shared" si="973"/>
        <v>9.7820205291200626</v>
      </c>
    </row>
    <row r="350" spans="1:20" x14ac:dyDescent="0.25">
      <c r="A350" s="5">
        <v>44243</v>
      </c>
      <c r="B350">
        <v>1.1556</v>
      </c>
      <c r="C350">
        <v>1.2549999999999999</v>
      </c>
      <c r="D350">
        <v>1.0705</v>
      </c>
      <c r="E350">
        <v>1.1237999999999999</v>
      </c>
      <c r="F350">
        <v>89237201.170000002</v>
      </c>
      <c r="G350">
        <v>0</v>
      </c>
      <c r="L350" t="s">
        <v>8</v>
      </c>
      <c r="M350" t="s">
        <v>8</v>
      </c>
      <c r="N350" t="s">
        <v>8</v>
      </c>
      <c r="P350">
        <f t="shared" si="969"/>
        <v>-0.42222222222222294</v>
      </c>
      <c r="Q350">
        <f t="shared" si="970"/>
        <v>-37677929.38288895</v>
      </c>
      <c r="R350">
        <f t="shared" si="971"/>
        <v>947740566.2483983</v>
      </c>
      <c r="S350">
        <f t="shared" si="972"/>
        <v>9477.4056624839832</v>
      </c>
      <c r="T350">
        <f t="shared" si="973"/>
        <v>9.4774056624839833</v>
      </c>
    </row>
    <row r="351" spans="1:20" x14ac:dyDescent="0.25">
      <c r="A351" s="5">
        <v>44242</v>
      </c>
      <c r="B351">
        <v>1.1635</v>
      </c>
      <c r="C351">
        <v>1.28</v>
      </c>
      <c r="D351">
        <v>0.8851</v>
      </c>
      <c r="E351">
        <v>1.1555</v>
      </c>
      <c r="F351">
        <v>131922337.59999999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0.36946062294251686</v>
      </c>
      <c r="Q351">
        <f t="shared" si="970"/>
        <v>48740109.029729009</v>
      </c>
      <c r="R351">
        <f t="shared" si="971"/>
        <v>985418495.63128722</v>
      </c>
      <c r="S351">
        <f t="shared" si="972"/>
        <v>9854.1849563128726</v>
      </c>
      <c r="T351">
        <f t="shared" si="973"/>
        <v>9.8541849563128725</v>
      </c>
    </row>
    <row r="352" spans="1:20" x14ac:dyDescent="0.25">
      <c r="A352" s="5">
        <v>44241</v>
      </c>
      <c r="B352">
        <v>1.2930999999999999</v>
      </c>
      <c r="C352">
        <v>1.3667</v>
      </c>
      <c r="D352">
        <v>1.1268</v>
      </c>
      <c r="E352">
        <v>1.1637</v>
      </c>
      <c r="F352">
        <v>92069401.040000007</v>
      </c>
      <c r="G352">
        <v>0</v>
      </c>
      <c r="L352" t="s">
        <v>7</v>
      </c>
      <c r="M352" t="s">
        <v>7</v>
      </c>
      <c r="N352" t="s">
        <v>8</v>
      </c>
      <c r="P352">
        <f t="shared" si="969"/>
        <v>-0.69237182159233068</v>
      </c>
      <c r="Q352">
        <f t="shared" si="970"/>
        <v>-63746258.910979629</v>
      </c>
      <c r="R352">
        <f t="shared" si="971"/>
        <v>936678386.60155821</v>
      </c>
      <c r="S352">
        <f t="shared" si="972"/>
        <v>9366.7838660155812</v>
      </c>
      <c r="T352">
        <f t="shared" si="973"/>
        <v>9.3667838660155809</v>
      </c>
    </row>
    <row r="353" spans="1:20" x14ac:dyDescent="0.25">
      <c r="A353" s="5">
        <v>44240</v>
      </c>
      <c r="B353">
        <v>1.0894999999999999</v>
      </c>
      <c r="C353">
        <v>1.3568</v>
      </c>
      <c r="D353">
        <v>1.0892999999999999</v>
      </c>
      <c r="E353">
        <v>1.2931999999999999</v>
      </c>
      <c r="F353">
        <v>124185563.56999999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0.52448598130841062</v>
      </c>
      <c r="Q353">
        <f t="shared" si="970"/>
        <v>65133587.173349455</v>
      </c>
      <c r="R353">
        <f t="shared" si="971"/>
        <v>1000424645.5125378</v>
      </c>
      <c r="S353">
        <f t="shared" si="972"/>
        <v>10004.246455125378</v>
      </c>
      <c r="T353">
        <f t="shared" si="973"/>
        <v>10.004246455125378</v>
      </c>
    </row>
    <row r="354" spans="1:20" x14ac:dyDescent="0.25">
      <c r="A354" s="5">
        <v>44239</v>
      </c>
      <c r="B354">
        <v>1.0364</v>
      </c>
      <c r="C354">
        <v>1.165</v>
      </c>
      <c r="D354">
        <v>1.01</v>
      </c>
      <c r="E354">
        <v>1.0894999999999999</v>
      </c>
      <c r="F354">
        <v>89813873.769999996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2.580645161290181E-2</v>
      </c>
      <c r="Q354">
        <f t="shared" si="970"/>
        <v>2317777.3876127759</v>
      </c>
      <c r="R354">
        <f t="shared" si="971"/>
        <v>935291058.33918834</v>
      </c>
      <c r="S354">
        <f t="shared" si="972"/>
        <v>9352.9105833918838</v>
      </c>
      <c r="T354">
        <f t="shared" si="973"/>
        <v>9.3529105833918837</v>
      </c>
    </row>
    <row r="355" spans="1:20" x14ac:dyDescent="0.25">
      <c r="A355" s="5">
        <v>44238</v>
      </c>
      <c r="B355">
        <v>0.90790000000000004</v>
      </c>
      <c r="C355">
        <v>1.1000000000000001</v>
      </c>
      <c r="D355">
        <v>0.87919999999999998</v>
      </c>
      <c r="E355">
        <v>1.0369999999999999</v>
      </c>
      <c r="F355">
        <v>116077562.2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0.42934782608695526</v>
      </c>
      <c r="Q355">
        <f t="shared" si="970"/>
        <v>49837648.988043331</v>
      </c>
      <c r="R355">
        <f t="shared" si="971"/>
        <v>932973280.95157552</v>
      </c>
      <c r="S355">
        <f t="shared" si="972"/>
        <v>9329.7328095157554</v>
      </c>
      <c r="T355">
        <f t="shared" si="973"/>
        <v>9.3297328095157557</v>
      </c>
    </row>
    <row r="356" spans="1:20" x14ac:dyDescent="0.25">
      <c r="A356" s="5">
        <v>44237</v>
      </c>
      <c r="B356">
        <v>0.84189999999999998</v>
      </c>
      <c r="C356">
        <v>0.97499999999999998</v>
      </c>
      <c r="D356">
        <v>0.76149999999999995</v>
      </c>
      <c r="E356">
        <v>0.90759999999999996</v>
      </c>
      <c r="F356">
        <v>144501515.31999999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0.36861826697892264</v>
      </c>
      <c r="Q356">
        <f t="shared" si="970"/>
        <v>53265898.15308664</v>
      </c>
      <c r="R356">
        <f t="shared" si="971"/>
        <v>883135631.96353221</v>
      </c>
      <c r="S356">
        <f t="shared" si="972"/>
        <v>8831.3563196353225</v>
      </c>
      <c r="T356">
        <f t="shared" si="973"/>
        <v>8.8313563196353222</v>
      </c>
    </row>
    <row r="357" spans="1:20" x14ac:dyDescent="0.25">
      <c r="A357" s="5">
        <v>44236</v>
      </c>
      <c r="B357">
        <v>0.77</v>
      </c>
      <c r="C357">
        <v>0.85</v>
      </c>
      <c r="D357">
        <v>0.75319999999999998</v>
      </c>
      <c r="E357">
        <v>0.84150000000000003</v>
      </c>
      <c r="F357">
        <v>78197228.959999993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0.82438016528925717</v>
      </c>
      <c r="Q357">
        <f t="shared" si="970"/>
        <v>64464244.535206683</v>
      </c>
      <c r="R357">
        <f t="shared" si="971"/>
        <v>829869733.81044555</v>
      </c>
      <c r="S357">
        <f t="shared" si="972"/>
        <v>8298.6973381044554</v>
      </c>
      <c r="T357">
        <f t="shared" si="973"/>
        <v>8.2986973381044553</v>
      </c>
    </row>
    <row r="358" spans="1:20" x14ac:dyDescent="0.25">
      <c r="A358" s="5">
        <v>44235</v>
      </c>
      <c r="B358">
        <v>0.69340000000000002</v>
      </c>
      <c r="C358">
        <v>0.79700000000000004</v>
      </c>
      <c r="D358">
        <v>0.66200000000000003</v>
      </c>
      <c r="E358">
        <v>0.77</v>
      </c>
      <c r="F358">
        <v>95322056.069999993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0.59999999999999964</v>
      </c>
      <c r="Q358">
        <f t="shared" si="970"/>
        <v>57193233.64199996</v>
      </c>
      <c r="R358">
        <f t="shared" si="971"/>
        <v>765405489.27523887</v>
      </c>
      <c r="S358">
        <f t="shared" si="972"/>
        <v>7654.0548927523887</v>
      </c>
      <c r="T358">
        <f t="shared" si="973"/>
        <v>7.6540548927523888</v>
      </c>
    </row>
    <row r="359" spans="1:20" x14ac:dyDescent="0.25">
      <c r="A359" s="5">
        <v>44234</v>
      </c>
      <c r="B359">
        <v>0.66080000000000005</v>
      </c>
      <c r="C359">
        <v>0.69650000000000001</v>
      </c>
      <c r="D359">
        <v>0.62009999999999998</v>
      </c>
      <c r="E359">
        <v>0.69350000000000001</v>
      </c>
      <c r="F359">
        <v>54024234.899999999</v>
      </c>
      <c r="G359">
        <v>0</v>
      </c>
      <c r="L359" t="s">
        <v>7</v>
      </c>
      <c r="M359" t="s">
        <v>8</v>
      </c>
      <c r="N359" t="s">
        <v>8</v>
      </c>
      <c r="P359">
        <f t="shared" si="969"/>
        <v>0.92146596858638741</v>
      </c>
      <c r="Q359">
        <f t="shared" si="970"/>
        <v>49781493.939267009</v>
      </c>
      <c r="R359">
        <f t="shared" si="971"/>
        <v>708212255.63323891</v>
      </c>
      <c r="S359">
        <f t="shared" si="972"/>
        <v>7082.1225563323887</v>
      </c>
      <c r="T359">
        <f t="shared" si="973"/>
        <v>7.0821225563323891</v>
      </c>
    </row>
    <row r="360" spans="1:20" x14ac:dyDescent="0.25">
      <c r="A360" s="5">
        <v>44233</v>
      </c>
      <c r="B360">
        <v>0.67379999999999995</v>
      </c>
      <c r="C360">
        <v>0.68720000000000003</v>
      </c>
      <c r="D360">
        <v>0.63360000000000005</v>
      </c>
      <c r="E360">
        <v>0.66080000000000005</v>
      </c>
      <c r="F360">
        <v>46347950.409999996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1.4925373134328792E-2</v>
      </c>
      <c r="Q360">
        <f t="shared" si="970"/>
        <v>691760.45388061705</v>
      </c>
      <c r="R360">
        <f t="shared" si="971"/>
        <v>658430761.69397187</v>
      </c>
      <c r="S360">
        <f t="shared" si="972"/>
        <v>6584.3076169397191</v>
      </c>
      <c r="T360">
        <f t="shared" si="973"/>
        <v>6.5843076169397188</v>
      </c>
    </row>
    <row r="361" spans="1:20" x14ac:dyDescent="0.25">
      <c r="A361" s="5">
        <v>44232</v>
      </c>
      <c r="B361">
        <v>0.60609999999999997</v>
      </c>
      <c r="C361">
        <v>0.68179999999999996</v>
      </c>
      <c r="D361">
        <v>0.60140000000000005</v>
      </c>
      <c r="E361">
        <v>0.67410000000000003</v>
      </c>
      <c r="F361">
        <v>55862840.369999997</v>
      </c>
      <c r="G361">
        <v>0</v>
      </c>
      <c r="L361" t="s">
        <v>8</v>
      </c>
      <c r="M361" t="s">
        <v>8</v>
      </c>
      <c r="N361" t="s">
        <v>7</v>
      </c>
      <c r="P361">
        <f t="shared" si="969"/>
        <v>0.80845771144278766</v>
      </c>
      <c r="Q361">
        <f t="shared" si="970"/>
        <v>45162744.08022397</v>
      </c>
      <c r="R361">
        <f t="shared" si="971"/>
        <v>657739001.2400912</v>
      </c>
      <c r="S361">
        <f t="shared" si="972"/>
        <v>6577.3900124009124</v>
      </c>
      <c r="T361">
        <f t="shared" si="973"/>
        <v>6.5773900124009126</v>
      </c>
    </row>
    <row r="362" spans="1:20" x14ac:dyDescent="0.25">
      <c r="A362" s="5">
        <v>44231</v>
      </c>
      <c r="B362">
        <v>0.63070000000000004</v>
      </c>
      <c r="C362">
        <v>0.63539999999999996</v>
      </c>
      <c r="D362">
        <v>0.58309999999999995</v>
      </c>
      <c r="E362">
        <v>0.60589999999999999</v>
      </c>
      <c r="F362">
        <v>36804223.659999996</v>
      </c>
      <c r="G362">
        <v>0</v>
      </c>
      <c r="L362" t="s">
        <v>7</v>
      </c>
      <c r="M362" t="s">
        <v>8</v>
      </c>
      <c r="N362" t="s">
        <v>7</v>
      </c>
      <c r="P362">
        <f t="shared" si="969"/>
        <v>-0.12810707456978826</v>
      </c>
      <c r="Q362">
        <f t="shared" si="970"/>
        <v>-4714881.4248947846</v>
      </c>
      <c r="R362">
        <f t="shared" si="971"/>
        <v>612576257.15986729</v>
      </c>
      <c r="S362">
        <f t="shared" si="972"/>
        <v>6125.7625715986733</v>
      </c>
      <c r="T362">
        <f t="shared" si="973"/>
        <v>6.1257625715986732</v>
      </c>
    </row>
    <row r="363" spans="1:20" x14ac:dyDescent="0.25">
      <c r="A363" s="5">
        <v>44230</v>
      </c>
      <c r="B363">
        <v>0.62080000000000002</v>
      </c>
      <c r="C363">
        <v>0.64</v>
      </c>
      <c r="D363">
        <v>0.60170000000000001</v>
      </c>
      <c r="E363">
        <v>0.63100000000000001</v>
      </c>
      <c r="F363">
        <v>30073746.75</v>
      </c>
      <c r="G363">
        <v>0</v>
      </c>
      <c r="L363" t="s">
        <v>8</v>
      </c>
      <c r="M363" t="s">
        <v>8</v>
      </c>
      <c r="N363" t="s">
        <v>7</v>
      </c>
      <c r="P363">
        <f t="shared" si="969"/>
        <v>0.53002610966057395</v>
      </c>
      <c r="Q363">
        <f t="shared" si="970"/>
        <v>15939870.992819829</v>
      </c>
      <c r="R363">
        <f t="shared" si="971"/>
        <v>617291138.5847621</v>
      </c>
      <c r="S363">
        <f t="shared" si="972"/>
        <v>6172.9113858476212</v>
      </c>
      <c r="T363">
        <f t="shared" si="973"/>
        <v>6.1729113858476214</v>
      </c>
    </row>
    <row r="364" spans="1:20" x14ac:dyDescent="0.25">
      <c r="A364" s="5">
        <v>44229</v>
      </c>
      <c r="B364">
        <v>0.58989999999999998</v>
      </c>
      <c r="C364">
        <v>0.629</v>
      </c>
      <c r="D364">
        <v>0.58030000000000004</v>
      </c>
      <c r="E364">
        <v>0.621</v>
      </c>
      <c r="F364">
        <v>40674887.579999998</v>
      </c>
      <c r="G364">
        <v>0</v>
      </c>
      <c r="L364" t="s">
        <v>8</v>
      </c>
      <c r="M364" t="s">
        <v>8</v>
      </c>
      <c r="N364" t="s">
        <v>7</v>
      </c>
      <c r="P364">
        <f t="shared" si="969"/>
        <v>0.6714579055441473</v>
      </c>
      <c r="Q364">
        <f t="shared" si="970"/>
        <v>27311474.822710451</v>
      </c>
      <c r="R364">
        <f t="shared" si="971"/>
        <v>601351267.59194231</v>
      </c>
      <c r="S364">
        <f t="shared" si="972"/>
        <v>6013.5126759194227</v>
      </c>
      <c r="T364">
        <f t="shared" si="973"/>
        <v>6.0135126759194231</v>
      </c>
    </row>
    <row r="365" spans="1:20" x14ac:dyDescent="0.25">
      <c r="A365" s="5">
        <v>44228</v>
      </c>
      <c r="B365">
        <v>0.57909999999999995</v>
      </c>
      <c r="C365">
        <v>0.59919999999999995</v>
      </c>
      <c r="D365">
        <v>0.56169999999999998</v>
      </c>
      <c r="E365">
        <v>0.58960000000000001</v>
      </c>
      <c r="F365">
        <v>28717005.16</v>
      </c>
      <c r="G365">
        <v>0</v>
      </c>
      <c r="L365" t="s">
        <v>8</v>
      </c>
      <c r="M365" t="s">
        <v>8</v>
      </c>
      <c r="N365" t="s">
        <v>7</v>
      </c>
      <c r="P365">
        <f t="shared" si="969"/>
        <v>0.48800000000000282</v>
      </c>
      <c r="Q365">
        <f t="shared" si="970"/>
        <v>14013898.518080082</v>
      </c>
      <c r="R365">
        <f t="shared" si="971"/>
        <v>574039792.76923192</v>
      </c>
      <c r="S365">
        <f t="shared" si="972"/>
        <v>5740.3979276923192</v>
      </c>
      <c r="T365">
        <f t="shared" si="973"/>
        <v>5.7403979276923192</v>
      </c>
    </row>
    <row r="366" spans="1:20" x14ac:dyDescent="0.25">
      <c r="A366" s="5">
        <v>44227</v>
      </c>
      <c r="B366">
        <v>0.58879999999999999</v>
      </c>
      <c r="C366">
        <v>0.60660000000000003</v>
      </c>
      <c r="D366">
        <v>0.5595</v>
      </c>
      <c r="E366">
        <v>0.57920000000000005</v>
      </c>
      <c r="F366">
        <v>30498208.34</v>
      </c>
      <c r="G366">
        <v>0</v>
      </c>
      <c r="L366" t="s">
        <v>7</v>
      </c>
      <c r="M366" t="s">
        <v>8</v>
      </c>
      <c r="N366" t="s">
        <v>7</v>
      </c>
      <c r="P366">
        <f t="shared" si="969"/>
        <v>-0.16348195329086887</v>
      </c>
      <c r="Q366">
        <f t="shared" si="970"/>
        <v>-4985906.6712950673</v>
      </c>
      <c r="R366">
        <f t="shared" si="971"/>
        <v>560025894.2511518</v>
      </c>
      <c r="S366">
        <f t="shared" si="972"/>
        <v>5600.2589425115184</v>
      </c>
      <c r="T366">
        <f t="shared" si="973"/>
        <v>5.6002589425115188</v>
      </c>
    </row>
    <row r="367" spans="1:20" x14ac:dyDescent="0.25">
      <c r="A367" s="5">
        <v>44226</v>
      </c>
      <c r="B367">
        <v>0.57769999999999999</v>
      </c>
      <c r="C367">
        <v>0.60409999999999997</v>
      </c>
      <c r="D367">
        <v>0.56510000000000005</v>
      </c>
      <c r="E367">
        <v>0.5887</v>
      </c>
      <c r="F367">
        <v>24254024.440000001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0.21025641025641029</v>
      </c>
      <c r="Q367">
        <f t="shared" si="970"/>
        <v>5099564.113025642</v>
      </c>
      <c r="R367">
        <f t="shared" si="971"/>
        <v>565011800.92244685</v>
      </c>
      <c r="S367">
        <f t="shared" si="972"/>
        <v>5650.1180092244686</v>
      </c>
      <c r="T367">
        <f t="shared" si="973"/>
        <v>5.6501180092244683</v>
      </c>
    </row>
    <row r="368" spans="1:20" x14ac:dyDescent="0.25">
      <c r="A368" s="5">
        <v>44225</v>
      </c>
      <c r="B368">
        <v>0.5605</v>
      </c>
      <c r="C368">
        <v>0.64219999999999999</v>
      </c>
      <c r="D368">
        <v>0.5514</v>
      </c>
      <c r="E368">
        <v>0.57779999999999998</v>
      </c>
      <c r="F368">
        <v>52276757.969999999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-0.41850220264317223</v>
      </c>
      <c r="Q368">
        <f t="shared" si="970"/>
        <v>-21877938.357489008</v>
      </c>
      <c r="R368">
        <f t="shared" si="971"/>
        <v>559912236.80942118</v>
      </c>
      <c r="S368">
        <f t="shared" si="972"/>
        <v>5599.1223680942121</v>
      </c>
      <c r="T368">
        <f t="shared" si="973"/>
        <v>5.5991223680942124</v>
      </c>
    </row>
    <row r="369" spans="1:20" x14ac:dyDescent="0.25">
      <c r="A369" s="5">
        <v>44224</v>
      </c>
      <c r="B369">
        <v>0.53639999999999999</v>
      </c>
      <c r="C369">
        <v>0.57469999999999999</v>
      </c>
      <c r="D369">
        <v>0.52980000000000005</v>
      </c>
      <c r="E369">
        <v>0.56079999999999997</v>
      </c>
      <c r="F369">
        <v>19189208.66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0.38084632516703598</v>
      </c>
      <c r="Q369">
        <f t="shared" si="970"/>
        <v>7308139.6010244628</v>
      </c>
      <c r="R369">
        <f t="shared" si="971"/>
        <v>581790175.16691017</v>
      </c>
      <c r="S369">
        <f t="shared" si="972"/>
        <v>5817.9017516691019</v>
      </c>
      <c r="T369">
        <f t="shared" si="973"/>
        <v>5.8179017516691021</v>
      </c>
    </row>
    <row r="370" spans="1:20" x14ac:dyDescent="0.25">
      <c r="A370" s="5">
        <v>44223</v>
      </c>
      <c r="B370">
        <v>0.58099999999999996</v>
      </c>
      <c r="C370">
        <v>0.58179999999999998</v>
      </c>
      <c r="D370">
        <v>0.52190000000000003</v>
      </c>
      <c r="E370">
        <v>0.53669999999999995</v>
      </c>
      <c r="F370">
        <v>22922776.309999999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-0.5058430717863126</v>
      </c>
      <c r="Q370">
        <f t="shared" si="970"/>
        <v>-11595327.582520915</v>
      </c>
      <c r="R370">
        <f t="shared" si="971"/>
        <v>574482035.56588566</v>
      </c>
      <c r="S370">
        <f t="shared" si="972"/>
        <v>5744.8203556588569</v>
      </c>
      <c r="T370">
        <f t="shared" si="973"/>
        <v>5.7448203556588568</v>
      </c>
    </row>
    <row r="371" spans="1:20" x14ac:dyDescent="0.25">
      <c r="A371" s="5">
        <v>44222</v>
      </c>
      <c r="B371">
        <v>0.59079999999999999</v>
      </c>
      <c r="C371">
        <v>0.60780000000000001</v>
      </c>
      <c r="D371">
        <v>0.56330000000000002</v>
      </c>
      <c r="E371">
        <v>0.58109999999999995</v>
      </c>
      <c r="F371">
        <v>21700962.25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-0.20000000000000298</v>
      </c>
      <c r="Q371">
        <f t="shared" si="970"/>
        <v>-4340192.4500000644</v>
      </c>
      <c r="R371">
        <f t="shared" si="971"/>
        <v>586077363.14840662</v>
      </c>
      <c r="S371">
        <f t="shared" si="972"/>
        <v>5860.7736314840658</v>
      </c>
      <c r="T371">
        <f t="shared" si="973"/>
        <v>5.8607736314840659</v>
      </c>
    </row>
    <row r="372" spans="1:20" x14ac:dyDescent="0.25">
      <c r="A372" s="5">
        <v>44221</v>
      </c>
      <c r="B372">
        <v>0.61109999999999998</v>
      </c>
      <c r="C372">
        <v>0.62649999999999995</v>
      </c>
      <c r="D372">
        <v>0.59030000000000005</v>
      </c>
      <c r="E372">
        <v>0.59079999999999999</v>
      </c>
      <c r="F372">
        <v>29757412.379999999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-0.97237569060773776</v>
      </c>
      <c r="Q372">
        <f t="shared" si="970"/>
        <v>-28935384.413701743</v>
      </c>
      <c r="R372">
        <f t="shared" si="971"/>
        <v>590417555.59840667</v>
      </c>
      <c r="S372">
        <f t="shared" si="972"/>
        <v>5904.1755559840667</v>
      </c>
      <c r="T372">
        <f t="shared" si="973"/>
        <v>5.9041755559840663</v>
      </c>
    </row>
    <row r="373" spans="1:20" x14ac:dyDescent="0.25">
      <c r="A373" s="5">
        <v>44220</v>
      </c>
      <c r="B373">
        <v>0.6018</v>
      </c>
      <c r="C373">
        <v>0.63649999999999995</v>
      </c>
      <c r="D373">
        <v>0.58730000000000004</v>
      </c>
      <c r="E373">
        <v>0.6109</v>
      </c>
      <c r="F373">
        <v>34769427.350000001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-4.0650406504065151E-2</v>
      </c>
      <c r="Q373">
        <f t="shared" si="970"/>
        <v>-1413391.3556910609</v>
      </c>
      <c r="R373">
        <f t="shared" si="971"/>
        <v>619352940.01210845</v>
      </c>
      <c r="S373">
        <f t="shared" si="972"/>
        <v>6193.5294001210841</v>
      </c>
      <c r="T373">
        <f t="shared" si="973"/>
        <v>6.1935294001210845</v>
      </c>
    </row>
    <row r="374" spans="1:20" x14ac:dyDescent="0.25">
      <c r="A374" s="5">
        <v>44219</v>
      </c>
      <c r="B374">
        <v>0.57010000000000005</v>
      </c>
      <c r="C374">
        <v>0.626</v>
      </c>
      <c r="D374">
        <v>0.56310000000000004</v>
      </c>
      <c r="E374">
        <v>0.60199999999999998</v>
      </c>
      <c r="F374">
        <v>34103199.899999999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0.23688394276629449</v>
      </c>
      <c r="Q374">
        <f t="shared" si="970"/>
        <v>8078500.4532590993</v>
      </c>
      <c r="R374">
        <f t="shared" si="971"/>
        <v>620766331.36779952</v>
      </c>
      <c r="S374">
        <f t="shared" si="972"/>
        <v>6207.6633136779956</v>
      </c>
      <c r="T374">
        <f t="shared" si="973"/>
        <v>6.2076633136779957</v>
      </c>
    </row>
    <row r="375" spans="1:20" x14ac:dyDescent="0.25">
      <c r="A375" s="5">
        <v>44218</v>
      </c>
      <c r="B375">
        <v>0.54730000000000001</v>
      </c>
      <c r="C375">
        <v>0.59379999999999999</v>
      </c>
      <c r="D375">
        <v>0.51</v>
      </c>
      <c r="E375">
        <v>0.56999999999999995</v>
      </c>
      <c r="F375">
        <v>34676733.579999998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0.43198090692123992</v>
      </c>
      <c r="Q375">
        <f t="shared" si="970"/>
        <v>14979686.820954613</v>
      </c>
      <c r="R375">
        <f t="shared" si="971"/>
        <v>612687830.91454041</v>
      </c>
      <c r="S375">
        <f t="shared" si="972"/>
        <v>6126.8783091454043</v>
      </c>
      <c r="T375">
        <f t="shared" si="973"/>
        <v>6.126878309145404</v>
      </c>
    </row>
    <row r="376" spans="1:20" x14ac:dyDescent="0.25">
      <c r="A376" s="5">
        <v>44217</v>
      </c>
      <c r="B376">
        <v>0.63680000000000003</v>
      </c>
      <c r="C376">
        <v>0.63939999999999997</v>
      </c>
      <c r="D376">
        <v>0.54059999999999997</v>
      </c>
      <c r="E376">
        <v>0.54659999999999997</v>
      </c>
      <c r="F376">
        <v>28717492.77</v>
      </c>
      <c r="G376">
        <v>0</v>
      </c>
      <c r="L376" t="s">
        <v>7</v>
      </c>
      <c r="M376" t="s">
        <v>7</v>
      </c>
      <c r="N376" t="s">
        <v>8</v>
      </c>
      <c r="P376">
        <f t="shared" si="969"/>
        <v>-0.87854251012145734</v>
      </c>
      <c r="Q376">
        <f t="shared" si="970"/>
        <v>-25229538.182550602</v>
      </c>
      <c r="R376">
        <f t="shared" si="971"/>
        <v>597708144.09358585</v>
      </c>
      <c r="S376">
        <f t="shared" si="972"/>
        <v>5977.0814409358582</v>
      </c>
      <c r="T376">
        <f t="shared" si="973"/>
        <v>5.9770814409358586</v>
      </c>
    </row>
    <row r="377" spans="1:20" x14ac:dyDescent="0.25">
      <c r="A377" s="5">
        <v>44216</v>
      </c>
      <c r="B377">
        <v>0.66010000000000002</v>
      </c>
      <c r="C377">
        <v>0.66930000000000001</v>
      </c>
      <c r="D377">
        <v>0.59089999999999998</v>
      </c>
      <c r="E377">
        <v>0.63680000000000003</v>
      </c>
      <c r="F377">
        <v>35781531.299999997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0.17091836734693971</v>
      </c>
      <c r="Q377">
        <f t="shared" si="970"/>
        <v>6115720.9109694213</v>
      </c>
      <c r="R377">
        <f t="shared" si="971"/>
        <v>622937682.2761364</v>
      </c>
      <c r="S377">
        <f t="shared" si="972"/>
        <v>6229.3768227613637</v>
      </c>
      <c r="T377">
        <f t="shared" si="973"/>
        <v>6.2293768227613633</v>
      </c>
    </row>
    <row r="378" spans="1:20" x14ac:dyDescent="0.25">
      <c r="A378" s="5">
        <v>44215</v>
      </c>
      <c r="B378">
        <v>0.71199999999999997</v>
      </c>
      <c r="C378">
        <v>0.71350000000000002</v>
      </c>
      <c r="D378">
        <v>0.65500000000000003</v>
      </c>
      <c r="E378">
        <v>0.66080000000000005</v>
      </c>
      <c r="F378">
        <v>29392311.710000001</v>
      </c>
      <c r="G378">
        <v>0</v>
      </c>
      <c r="L378" t="s">
        <v>7</v>
      </c>
      <c r="M378" t="s">
        <v>8</v>
      </c>
      <c r="N378" t="s">
        <v>8</v>
      </c>
      <c r="P378">
        <f t="shared" si="969"/>
        <v>-0.80170940170940075</v>
      </c>
      <c r="Q378">
        <f t="shared" si="970"/>
        <v>-23564092.635880314</v>
      </c>
      <c r="R378">
        <f t="shared" si="971"/>
        <v>616821961.36516702</v>
      </c>
      <c r="S378">
        <f t="shared" si="972"/>
        <v>6168.2196136516704</v>
      </c>
      <c r="T378">
        <f t="shared" si="973"/>
        <v>6.1682196136516705</v>
      </c>
    </row>
    <row r="379" spans="1:20" x14ac:dyDescent="0.25">
      <c r="A379" s="5">
        <v>44214</v>
      </c>
      <c r="B379">
        <v>0.67190000000000005</v>
      </c>
      <c r="C379">
        <v>0.72940000000000005</v>
      </c>
      <c r="D379">
        <v>0.63339999999999996</v>
      </c>
      <c r="E379">
        <v>0.71199999999999997</v>
      </c>
      <c r="F379">
        <v>39091772.079999998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0.63749999999999862</v>
      </c>
      <c r="Q379">
        <f t="shared" si="970"/>
        <v>24921004.700999945</v>
      </c>
      <c r="R379">
        <f t="shared" si="971"/>
        <v>640386054.00104737</v>
      </c>
      <c r="S379">
        <f t="shared" si="972"/>
        <v>6403.8605400104734</v>
      </c>
      <c r="T379">
        <f t="shared" si="973"/>
        <v>6.4038605400104736</v>
      </c>
    </row>
    <row r="380" spans="1:20" x14ac:dyDescent="0.25">
      <c r="A380" s="5">
        <v>44213</v>
      </c>
      <c r="B380">
        <v>0.65390000000000004</v>
      </c>
      <c r="C380">
        <v>0.68459999999999999</v>
      </c>
      <c r="D380">
        <v>0.61009999999999998</v>
      </c>
      <c r="E380">
        <v>0.67269999999999996</v>
      </c>
      <c r="F380">
        <v>30176809.920000002</v>
      </c>
      <c r="G380">
        <v>0</v>
      </c>
      <c r="L380" t="s">
        <v>7</v>
      </c>
      <c r="M380" t="s">
        <v>8</v>
      </c>
      <c r="N380" t="s">
        <v>8</v>
      </c>
      <c r="P380">
        <f t="shared" si="969"/>
        <v>0.68053691275167727</v>
      </c>
      <c r="Q380">
        <f t="shared" si="970"/>
        <v>20536433.059650991</v>
      </c>
      <c r="R380">
        <f t="shared" si="971"/>
        <v>615465049.3000474</v>
      </c>
      <c r="S380">
        <f t="shared" si="972"/>
        <v>6154.6504930004739</v>
      </c>
      <c r="T380">
        <f t="shared" si="973"/>
        <v>6.1546504930004735</v>
      </c>
    </row>
    <row r="381" spans="1:20" x14ac:dyDescent="0.25">
      <c r="A381" s="5">
        <v>44212</v>
      </c>
      <c r="B381">
        <v>0.63590000000000002</v>
      </c>
      <c r="C381">
        <v>0.69469999999999998</v>
      </c>
      <c r="D381">
        <v>0.62690000000000001</v>
      </c>
      <c r="E381">
        <v>0.65410000000000001</v>
      </c>
      <c r="F381">
        <v>43064133.719999999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-0.19764011799409989</v>
      </c>
      <c r="Q381">
        <f t="shared" si="970"/>
        <v>-8511200.4697344955</v>
      </c>
      <c r="R381">
        <f t="shared" si="971"/>
        <v>594928616.24039638</v>
      </c>
      <c r="S381">
        <f t="shared" si="972"/>
        <v>5949.2861624039642</v>
      </c>
      <c r="T381">
        <f t="shared" si="973"/>
        <v>5.9492861624039639</v>
      </c>
    </row>
    <row r="382" spans="1:20" x14ac:dyDescent="0.25">
      <c r="A382" s="5">
        <v>44211</v>
      </c>
      <c r="B382">
        <v>0.58209999999999995</v>
      </c>
      <c r="C382">
        <v>0.65800000000000003</v>
      </c>
      <c r="D382">
        <v>0.56999999999999995</v>
      </c>
      <c r="E382">
        <v>0.63549999999999995</v>
      </c>
      <c r="F382">
        <v>51244020.189999998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0.48863636363636237</v>
      </c>
      <c r="Q382">
        <f t="shared" si="970"/>
        <v>25039691.683749933</v>
      </c>
      <c r="R382">
        <f t="shared" si="971"/>
        <v>603439816.71013093</v>
      </c>
      <c r="S382">
        <f t="shared" si="972"/>
        <v>6034.3981671013089</v>
      </c>
      <c r="T382">
        <f t="shared" si="973"/>
        <v>6.0343981671013092</v>
      </c>
    </row>
    <row r="383" spans="1:20" x14ac:dyDescent="0.25">
      <c r="A383" s="5">
        <v>44210</v>
      </c>
      <c r="B383">
        <v>0.57599999999999996</v>
      </c>
      <c r="C383">
        <v>0.59430000000000005</v>
      </c>
      <c r="D383">
        <v>0.54820000000000002</v>
      </c>
      <c r="E383">
        <v>0.58160000000000001</v>
      </c>
      <c r="F383">
        <v>21723315.039999999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0.449023861171365</v>
      </c>
      <c r="Q383">
        <f t="shared" si="970"/>
        <v>9754286.7967027854</v>
      </c>
      <c r="R383">
        <f t="shared" si="971"/>
        <v>578400125.02638102</v>
      </c>
      <c r="S383">
        <f t="shared" si="972"/>
        <v>5784.0012502638101</v>
      </c>
      <c r="T383">
        <f t="shared" si="973"/>
        <v>5.7840012502638105</v>
      </c>
    </row>
    <row r="384" spans="1:20" x14ac:dyDescent="0.25">
      <c r="A384" s="5">
        <v>44209</v>
      </c>
      <c r="B384">
        <v>0.53439999999999999</v>
      </c>
      <c r="C384">
        <v>0.58220000000000005</v>
      </c>
      <c r="D384">
        <v>0.52090000000000003</v>
      </c>
      <c r="E384">
        <v>0.57579999999999998</v>
      </c>
      <c r="F384">
        <v>19727235.77</v>
      </c>
      <c r="G384">
        <v>0</v>
      </c>
      <c r="L384" t="s">
        <v>8</v>
      </c>
      <c r="M384" t="s">
        <v>8</v>
      </c>
      <c r="N384" t="s">
        <v>7</v>
      </c>
      <c r="P384">
        <f t="shared" si="969"/>
        <v>0.79119086460032395</v>
      </c>
      <c r="Q384">
        <f t="shared" si="970"/>
        <v>15608008.725040738</v>
      </c>
      <c r="R384">
        <f t="shared" si="971"/>
        <v>568645838.22967827</v>
      </c>
      <c r="S384">
        <f t="shared" si="972"/>
        <v>5686.4583822967825</v>
      </c>
      <c r="T384">
        <f t="shared" si="973"/>
        <v>5.6864583822967827</v>
      </c>
    </row>
    <row r="385" spans="1:20" x14ac:dyDescent="0.25">
      <c r="A385" s="5">
        <v>44208</v>
      </c>
      <c r="B385">
        <v>0.54859999999999998</v>
      </c>
      <c r="C385">
        <v>0.57389999999999997</v>
      </c>
      <c r="D385">
        <v>0.52090000000000003</v>
      </c>
      <c r="E385">
        <v>0.53449999999999998</v>
      </c>
      <c r="F385">
        <v>29065334.199999999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-0.48679245283019013</v>
      </c>
      <c r="Q385">
        <f t="shared" si="970"/>
        <v>-14148785.327547211</v>
      </c>
      <c r="R385">
        <f t="shared" si="971"/>
        <v>553037829.50463748</v>
      </c>
      <c r="S385">
        <f t="shared" si="972"/>
        <v>5530.3782950463747</v>
      </c>
      <c r="T385">
        <f t="shared" si="973"/>
        <v>5.5303782950463747</v>
      </c>
    </row>
    <row r="386" spans="1:20" x14ac:dyDescent="0.25">
      <c r="A386" s="5">
        <v>44207</v>
      </c>
      <c r="B386">
        <v>0.65359999999999996</v>
      </c>
      <c r="C386">
        <v>0.65849999999999997</v>
      </c>
      <c r="D386">
        <v>0.47349999999999998</v>
      </c>
      <c r="E386">
        <v>0.54869999999999997</v>
      </c>
      <c r="F386">
        <v>87010968.390000001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-0.18702702702702714</v>
      </c>
      <c r="Q386">
        <f t="shared" si="970"/>
        <v>-16273402.736724334</v>
      </c>
      <c r="R386">
        <f t="shared" si="971"/>
        <v>567186614.83218467</v>
      </c>
      <c r="S386">
        <f t="shared" si="972"/>
        <v>5671.8661483218466</v>
      </c>
      <c r="T386">
        <f t="shared" si="973"/>
        <v>5.6718661483218469</v>
      </c>
    </row>
    <row r="387" spans="1:20" x14ac:dyDescent="0.25">
      <c r="A387" s="5">
        <v>44206</v>
      </c>
      <c r="B387">
        <v>0.63460000000000005</v>
      </c>
      <c r="C387">
        <v>0.68500000000000005</v>
      </c>
      <c r="D387">
        <v>0.54849999999999999</v>
      </c>
      <c r="E387">
        <v>0.65359999999999996</v>
      </c>
      <c r="F387">
        <v>77793485.769999996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0.53992673992673879</v>
      </c>
      <c r="Q387">
        <f t="shared" si="970"/>
        <v>42002783.159333244</v>
      </c>
      <c r="R387">
        <f t="shared" si="971"/>
        <v>583460017.56890905</v>
      </c>
      <c r="S387">
        <f t="shared" si="972"/>
        <v>5834.6001756890901</v>
      </c>
      <c r="T387">
        <f t="shared" si="973"/>
        <v>5.83460017568909</v>
      </c>
    </row>
    <row r="388" spans="1:20" x14ac:dyDescent="0.25">
      <c r="A388" s="5">
        <v>44205</v>
      </c>
      <c r="B388">
        <v>0.55579999999999996</v>
      </c>
      <c r="C388">
        <v>0.64639999999999997</v>
      </c>
      <c r="D388">
        <v>0.53879999999999995</v>
      </c>
      <c r="E388">
        <v>0.63400000000000001</v>
      </c>
      <c r="F388">
        <v>53503243.880000003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0.76951672862453602</v>
      </c>
      <c r="Q388">
        <f t="shared" si="970"/>
        <v>41171641.201338328</v>
      </c>
      <c r="R388">
        <f t="shared" si="971"/>
        <v>541457234.40957582</v>
      </c>
      <c r="S388">
        <f t="shared" si="972"/>
        <v>5414.5723440957581</v>
      </c>
      <c r="T388">
        <f t="shared" si="973"/>
        <v>5.4145723440957578</v>
      </c>
    </row>
    <row r="389" spans="1:20" x14ac:dyDescent="0.25">
      <c r="A389" s="5">
        <v>44204</v>
      </c>
      <c r="B389">
        <v>0.55869999999999997</v>
      </c>
      <c r="C389">
        <v>0.58130000000000004</v>
      </c>
      <c r="D389">
        <v>0.51070000000000004</v>
      </c>
      <c r="E389">
        <v>0.55630000000000002</v>
      </c>
      <c r="F389">
        <v>39892586.289999999</v>
      </c>
      <c r="G389">
        <v>0</v>
      </c>
      <c r="L389" t="s">
        <v>7</v>
      </c>
      <c r="M389" t="s">
        <v>8</v>
      </c>
      <c r="N389" t="s">
        <v>8</v>
      </c>
      <c r="P389">
        <f t="shared" si="969"/>
        <v>0.29178470254957439</v>
      </c>
      <c r="Q389">
        <f t="shared" si="970"/>
        <v>11640046.424560878</v>
      </c>
      <c r="R389">
        <f t="shared" si="971"/>
        <v>500285593.20823753</v>
      </c>
      <c r="S389">
        <f t="shared" si="972"/>
        <v>5002.8559320823751</v>
      </c>
      <c r="T389">
        <f t="shared" si="973"/>
        <v>5.0028559320823751</v>
      </c>
    </row>
    <row r="390" spans="1:20" x14ac:dyDescent="0.25">
      <c r="A390" s="5">
        <v>44203</v>
      </c>
      <c r="B390">
        <v>0.58099999999999996</v>
      </c>
      <c r="C390">
        <v>0.61070000000000002</v>
      </c>
      <c r="D390">
        <v>0.53200000000000003</v>
      </c>
      <c r="E390">
        <v>0.55910000000000004</v>
      </c>
      <c r="F390">
        <v>51018738.130000003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-0.31130876747141001</v>
      </c>
      <c r="Q390">
        <f t="shared" ref="Q390:Q453" si="975">F390*P390</f>
        <v>-15882580.485196929</v>
      </c>
      <c r="R390">
        <f t="shared" ref="R390:R453" si="976">R391+Q390</f>
        <v>488645546.78367662</v>
      </c>
      <c r="S390">
        <f t="shared" ref="S390:S453" si="977">R390/100000</f>
        <v>4886.4554678367658</v>
      </c>
      <c r="T390">
        <f t="shared" ref="T390:T453" si="978">S390/1000</f>
        <v>4.8864554678367655</v>
      </c>
    </row>
    <row r="391" spans="1:20" x14ac:dyDescent="0.25">
      <c r="A391" s="5">
        <v>44202</v>
      </c>
      <c r="B391">
        <v>0.50900000000000001</v>
      </c>
      <c r="C391">
        <v>0.6</v>
      </c>
      <c r="D391">
        <v>0.49819999999999998</v>
      </c>
      <c r="E391">
        <v>0.58079999999999998</v>
      </c>
      <c r="F391">
        <v>43013040.609999999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0.62278978388998041</v>
      </c>
      <c r="Q391">
        <f t="shared" si="975"/>
        <v>26788082.265952852</v>
      </c>
      <c r="R391">
        <f t="shared" si="976"/>
        <v>504528127.26887357</v>
      </c>
      <c r="S391">
        <f t="shared" si="977"/>
        <v>5045.281272688736</v>
      </c>
      <c r="T391">
        <f t="shared" si="978"/>
        <v>5.0452812726887357</v>
      </c>
    </row>
    <row r="392" spans="1:20" x14ac:dyDescent="0.25">
      <c r="A392" s="5">
        <v>44201</v>
      </c>
      <c r="B392">
        <v>0.49469999999999997</v>
      </c>
      <c r="C392">
        <v>0.5141</v>
      </c>
      <c r="D392">
        <v>0.46439999999999998</v>
      </c>
      <c r="E392">
        <v>0.50900000000000001</v>
      </c>
      <c r="F392">
        <v>29415616</v>
      </c>
      <c r="G392">
        <v>0</v>
      </c>
      <c r="L392" t="s">
        <v>7</v>
      </c>
      <c r="M392" t="s">
        <v>8</v>
      </c>
      <c r="N392" t="s">
        <v>8</v>
      </c>
      <c r="P392">
        <f t="shared" si="974"/>
        <v>0.79476861167002044</v>
      </c>
      <c r="Q392">
        <f t="shared" si="975"/>
        <v>23378608.289738439</v>
      </c>
      <c r="R392">
        <f t="shared" si="976"/>
        <v>477740045.00292075</v>
      </c>
      <c r="S392">
        <f t="shared" si="977"/>
        <v>4777.4004500292076</v>
      </c>
      <c r="T392">
        <f t="shared" si="978"/>
        <v>4.7774004500292078</v>
      </c>
    </row>
    <row r="393" spans="1:20" x14ac:dyDescent="0.25">
      <c r="A393" s="5">
        <v>44200</v>
      </c>
      <c r="B393">
        <v>0.50280000000000002</v>
      </c>
      <c r="C393">
        <v>0.54400000000000004</v>
      </c>
      <c r="D393">
        <v>0.42</v>
      </c>
      <c r="E393">
        <v>0.4945</v>
      </c>
      <c r="F393">
        <v>37985959.159999996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0.20161290322580611</v>
      </c>
      <c r="Q393">
        <f t="shared" si="975"/>
        <v>7658459.5080645019</v>
      </c>
      <c r="R393">
        <f t="shared" si="976"/>
        <v>454361436.71318233</v>
      </c>
      <c r="S393">
        <f t="shared" si="977"/>
        <v>4543.6143671318232</v>
      </c>
      <c r="T393">
        <f t="shared" si="978"/>
        <v>4.5436143671318234</v>
      </c>
    </row>
    <row r="394" spans="1:20" x14ac:dyDescent="0.25">
      <c r="A394" s="5">
        <v>44199</v>
      </c>
      <c r="B394">
        <v>0.46539999999999998</v>
      </c>
      <c r="C394">
        <v>0.50829999999999997</v>
      </c>
      <c r="D394">
        <v>0.45760000000000001</v>
      </c>
      <c r="E394">
        <v>0.503</v>
      </c>
      <c r="F394">
        <v>25545069.629999999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0.79092702169625351</v>
      </c>
      <c r="Q394">
        <f t="shared" si="975"/>
        <v>20204285.841479316</v>
      </c>
      <c r="R394">
        <f t="shared" si="976"/>
        <v>446702977.20511782</v>
      </c>
      <c r="S394">
        <f t="shared" si="977"/>
        <v>4467.029772051178</v>
      </c>
      <c r="T394">
        <f t="shared" si="978"/>
        <v>4.4670297720511778</v>
      </c>
    </row>
    <row r="395" spans="1:20" x14ac:dyDescent="0.25">
      <c r="A395" s="5">
        <v>44198</v>
      </c>
      <c r="B395">
        <v>0.44940000000000002</v>
      </c>
      <c r="C395">
        <v>0.49120000000000003</v>
      </c>
      <c r="D395">
        <v>0.44209999999999999</v>
      </c>
      <c r="E395">
        <v>0.46529999999999999</v>
      </c>
      <c r="F395">
        <v>33894608.490000002</v>
      </c>
      <c r="G395">
        <v>0</v>
      </c>
      <c r="L395" t="s">
        <v>8</v>
      </c>
      <c r="M395" t="s">
        <v>8</v>
      </c>
      <c r="N395" t="s">
        <v>8</v>
      </c>
      <c r="P395">
        <f t="shared" si="974"/>
        <v>-5.4989816700611691E-2</v>
      </c>
      <c r="Q395">
        <f t="shared" si="975"/>
        <v>-1863858.3080040968</v>
      </c>
      <c r="R395">
        <f t="shared" si="976"/>
        <v>426498691.36363852</v>
      </c>
      <c r="S395">
        <f t="shared" si="977"/>
        <v>4264.986913636385</v>
      </c>
      <c r="T395">
        <f t="shared" si="978"/>
        <v>4.2649869136363847</v>
      </c>
    </row>
    <row r="396" spans="1:20" x14ac:dyDescent="0.25">
      <c r="A396" s="5">
        <v>44197</v>
      </c>
      <c r="B396">
        <v>0.44159999999999999</v>
      </c>
      <c r="C396">
        <v>0.46600000000000003</v>
      </c>
      <c r="D396">
        <v>0.4345</v>
      </c>
      <c r="E396">
        <v>0.4491</v>
      </c>
      <c r="F396">
        <v>12838377.23</v>
      </c>
      <c r="G396">
        <v>0</v>
      </c>
      <c r="L396" t="s">
        <v>8</v>
      </c>
      <c r="M396" t="s">
        <v>8</v>
      </c>
      <c r="N396" t="s">
        <v>8</v>
      </c>
      <c r="P396">
        <f t="shared" si="974"/>
        <v>-7.3015873015873714E-2</v>
      </c>
      <c r="Q396">
        <f t="shared" si="975"/>
        <v>-937405.32155556453</v>
      </c>
      <c r="R396">
        <f t="shared" si="976"/>
        <v>428362549.6716426</v>
      </c>
      <c r="S396">
        <f t="shared" si="977"/>
        <v>4283.6254967164259</v>
      </c>
      <c r="T396">
        <f t="shared" si="978"/>
        <v>4.283625496716426</v>
      </c>
    </row>
    <row r="397" spans="1:20" x14ac:dyDescent="0.25">
      <c r="A397" s="5">
        <v>44196</v>
      </c>
      <c r="B397">
        <v>0.44500000000000001</v>
      </c>
      <c r="C397">
        <v>0.45119999999999999</v>
      </c>
      <c r="D397">
        <v>0.4264</v>
      </c>
      <c r="E397">
        <v>0.44130000000000003</v>
      </c>
      <c r="F397">
        <v>8672004.8900000006</v>
      </c>
      <c r="G397">
        <v>0</v>
      </c>
      <c r="L397" t="s">
        <v>7</v>
      </c>
      <c r="M397" t="s">
        <v>8</v>
      </c>
      <c r="N397" t="s">
        <v>8</v>
      </c>
      <c r="P397">
        <f t="shared" si="974"/>
        <v>0.20161290322580896</v>
      </c>
      <c r="Q397">
        <f t="shared" si="975"/>
        <v>1748388.0826613123</v>
      </c>
      <c r="R397">
        <f t="shared" si="976"/>
        <v>429299954.99319816</v>
      </c>
      <c r="S397">
        <f t="shared" si="977"/>
        <v>4292.9995499319812</v>
      </c>
      <c r="T397">
        <f t="shared" si="978"/>
        <v>4.2929995499319809</v>
      </c>
    </row>
    <row r="398" spans="1:20" x14ac:dyDescent="0.25">
      <c r="A398" s="5">
        <v>44195</v>
      </c>
      <c r="B398">
        <v>0.45519999999999999</v>
      </c>
      <c r="C398">
        <v>0.4718</v>
      </c>
      <c r="D398">
        <v>0.43469999999999998</v>
      </c>
      <c r="E398">
        <v>0.44490000000000002</v>
      </c>
      <c r="F398">
        <v>13875695.58</v>
      </c>
      <c r="G398">
        <v>0</v>
      </c>
      <c r="L398" t="s">
        <v>8</v>
      </c>
      <c r="M398" t="s">
        <v>8</v>
      </c>
      <c r="N398" t="s">
        <v>8</v>
      </c>
      <c r="P398">
        <f t="shared" si="974"/>
        <v>-0.45013477088948589</v>
      </c>
      <c r="Q398">
        <f t="shared" si="975"/>
        <v>-6245933.0508355517</v>
      </c>
      <c r="R398">
        <f t="shared" si="976"/>
        <v>427551566.91053683</v>
      </c>
      <c r="S398">
        <f t="shared" si="977"/>
        <v>4275.515669105368</v>
      </c>
      <c r="T398">
        <f t="shared" si="978"/>
        <v>4.275515669105368</v>
      </c>
    </row>
    <row r="399" spans="1:20" x14ac:dyDescent="0.25">
      <c r="A399" s="5">
        <v>44194</v>
      </c>
      <c r="B399">
        <v>0.46389999999999998</v>
      </c>
      <c r="C399">
        <v>0.47349999999999998</v>
      </c>
      <c r="D399">
        <v>0.42770000000000002</v>
      </c>
      <c r="E399">
        <v>0.45479999999999998</v>
      </c>
      <c r="F399">
        <v>17718839.100000001</v>
      </c>
      <c r="G399">
        <v>0</v>
      </c>
      <c r="L399" t="s">
        <v>7</v>
      </c>
      <c r="M399" t="s">
        <v>8</v>
      </c>
      <c r="N399" t="s">
        <v>8</v>
      </c>
      <c r="P399">
        <f t="shared" si="974"/>
        <v>0.18340611353711728</v>
      </c>
      <c r="Q399">
        <f t="shared" si="975"/>
        <v>3249743.4157205131</v>
      </c>
      <c r="R399">
        <f t="shared" si="976"/>
        <v>433797499.96137238</v>
      </c>
      <c r="S399">
        <f t="shared" si="977"/>
        <v>4337.9749996137234</v>
      </c>
      <c r="T399">
        <f t="shared" si="978"/>
        <v>4.3379749996137233</v>
      </c>
    </row>
    <row r="400" spans="1:20" x14ac:dyDescent="0.25">
      <c r="A400" s="5">
        <v>44193</v>
      </c>
      <c r="B400">
        <v>0.45019999999999999</v>
      </c>
      <c r="C400">
        <v>0.48220000000000002</v>
      </c>
      <c r="D400">
        <v>0.44640000000000002</v>
      </c>
      <c r="E400">
        <v>0.46389999999999998</v>
      </c>
      <c r="F400">
        <v>19980632.969999999</v>
      </c>
      <c r="G400">
        <v>0</v>
      </c>
      <c r="L400" t="s">
        <v>8</v>
      </c>
      <c r="M400" t="s">
        <v>8</v>
      </c>
      <c r="N400" t="s">
        <v>8</v>
      </c>
      <c r="P400">
        <f t="shared" si="974"/>
        <v>-2.2346368715085989E-2</v>
      </c>
      <c r="Q400">
        <f t="shared" si="975"/>
        <v>-446494.59150842362</v>
      </c>
      <c r="R400">
        <f t="shared" si="976"/>
        <v>430547756.54565185</v>
      </c>
      <c r="S400">
        <f t="shared" si="977"/>
        <v>4305.4775654565183</v>
      </c>
      <c r="T400">
        <f t="shared" si="978"/>
        <v>4.3054775654565187</v>
      </c>
    </row>
    <row r="401" spans="1:20" x14ac:dyDescent="0.25">
      <c r="A401" s="5">
        <v>44192</v>
      </c>
      <c r="B401">
        <v>0.45479999999999998</v>
      </c>
      <c r="C401">
        <v>0.47570000000000001</v>
      </c>
      <c r="D401">
        <v>0.42970000000000003</v>
      </c>
      <c r="E401">
        <v>0.44979999999999998</v>
      </c>
      <c r="F401">
        <v>29926923.850000001</v>
      </c>
      <c r="G401">
        <v>0</v>
      </c>
      <c r="L401" t="s">
        <v>7</v>
      </c>
      <c r="M401" t="s">
        <v>8</v>
      </c>
      <c r="N401" t="s">
        <v>8</v>
      </c>
      <c r="P401">
        <f t="shared" si="974"/>
        <v>-0.12608695652174098</v>
      </c>
      <c r="Q401">
        <f t="shared" si="975"/>
        <v>-3773394.7463044035</v>
      </c>
      <c r="R401">
        <f t="shared" si="976"/>
        <v>430994251.1371603</v>
      </c>
      <c r="S401">
        <f t="shared" si="977"/>
        <v>4309.9425113716034</v>
      </c>
      <c r="T401">
        <f t="shared" si="978"/>
        <v>4.3099425113716032</v>
      </c>
    </row>
    <row r="402" spans="1:20" x14ac:dyDescent="0.25">
      <c r="A402" s="5">
        <v>44191</v>
      </c>
      <c r="B402">
        <v>0.45250000000000001</v>
      </c>
      <c r="C402">
        <v>0.46350000000000002</v>
      </c>
      <c r="D402">
        <v>0.43590000000000001</v>
      </c>
      <c r="E402">
        <v>0.4546</v>
      </c>
      <c r="F402">
        <v>19310890.199999999</v>
      </c>
      <c r="G402">
        <v>0</v>
      </c>
      <c r="L402" t="s">
        <v>7</v>
      </c>
      <c r="M402" t="s">
        <v>8</v>
      </c>
      <c r="N402" t="s">
        <v>8</v>
      </c>
      <c r="P402">
        <f t="shared" si="974"/>
        <v>0.35507246376811485</v>
      </c>
      <c r="Q402">
        <f t="shared" si="975"/>
        <v>6856765.3608695436</v>
      </c>
      <c r="R402">
        <f t="shared" si="976"/>
        <v>434767645.88346469</v>
      </c>
      <c r="S402">
        <f t="shared" si="977"/>
        <v>4347.6764588346468</v>
      </c>
      <c r="T402">
        <f t="shared" si="978"/>
        <v>4.3476764588346466</v>
      </c>
    </row>
    <row r="403" spans="1:20" x14ac:dyDescent="0.25">
      <c r="A403" s="5">
        <v>44190</v>
      </c>
      <c r="B403">
        <v>0.46029999999999999</v>
      </c>
      <c r="C403">
        <v>0.47549999999999998</v>
      </c>
      <c r="D403">
        <v>0.44040000000000001</v>
      </c>
      <c r="E403">
        <v>0.45240000000000002</v>
      </c>
      <c r="F403">
        <v>27219493.960000001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-0.31623931623931495</v>
      </c>
      <c r="Q403">
        <f t="shared" si="975"/>
        <v>-8607874.1582905632</v>
      </c>
      <c r="R403">
        <f t="shared" si="976"/>
        <v>427910880.52259517</v>
      </c>
      <c r="S403">
        <f t="shared" si="977"/>
        <v>4279.108805225952</v>
      </c>
      <c r="T403">
        <f t="shared" si="978"/>
        <v>4.2791088052259516</v>
      </c>
    </row>
    <row r="404" spans="1:20" x14ac:dyDescent="0.25">
      <c r="A404" s="5">
        <v>44189</v>
      </c>
      <c r="B404">
        <v>0.40839999999999999</v>
      </c>
      <c r="C404">
        <v>0.46179999999999999</v>
      </c>
      <c r="D404">
        <v>0.3957</v>
      </c>
      <c r="E404">
        <v>0.45979999999999999</v>
      </c>
      <c r="F404">
        <v>29283865.239999998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0.93948562783661116</v>
      </c>
      <c r="Q404">
        <f t="shared" si="975"/>
        <v>27511770.520484112</v>
      </c>
      <c r="R404">
        <f t="shared" si="976"/>
        <v>436518754.68088573</v>
      </c>
      <c r="S404">
        <f t="shared" si="977"/>
        <v>4365.1875468088574</v>
      </c>
      <c r="T404">
        <f t="shared" si="978"/>
        <v>4.3651875468088575</v>
      </c>
    </row>
    <row r="405" spans="1:20" x14ac:dyDescent="0.25">
      <c r="A405" s="5">
        <v>44188</v>
      </c>
      <c r="B405">
        <v>0.52059999999999995</v>
      </c>
      <c r="C405">
        <v>0.52500000000000002</v>
      </c>
      <c r="D405">
        <v>0.34139999999999998</v>
      </c>
      <c r="E405">
        <v>0.40860000000000002</v>
      </c>
      <c r="F405">
        <v>32708037.93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-0.2679738562091501</v>
      </c>
      <c r="Q405">
        <f t="shared" si="975"/>
        <v>-8764899.0531372465</v>
      </c>
      <c r="R405">
        <f t="shared" si="976"/>
        <v>409006984.16040164</v>
      </c>
      <c r="S405">
        <f t="shared" si="977"/>
        <v>4090.0698416040163</v>
      </c>
      <c r="T405">
        <f t="shared" si="978"/>
        <v>4.0900698416040164</v>
      </c>
    </row>
    <row r="406" spans="1:20" x14ac:dyDescent="0.25">
      <c r="A406" s="5">
        <v>44187</v>
      </c>
      <c r="B406">
        <v>0.51880000000000004</v>
      </c>
      <c r="C406">
        <v>0.52780000000000005</v>
      </c>
      <c r="D406">
        <v>0.49080000000000001</v>
      </c>
      <c r="E406">
        <v>0.52059999999999995</v>
      </c>
      <c r="F406">
        <v>12526249.9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0.61081081081080602</v>
      </c>
      <c r="Q406">
        <f t="shared" si="975"/>
        <v>7651168.8578377776</v>
      </c>
      <c r="R406">
        <f t="shared" si="976"/>
        <v>417771883.21353889</v>
      </c>
      <c r="S406">
        <f t="shared" si="977"/>
        <v>4177.7188321353888</v>
      </c>
      <c r="T406">
        <f t="shared" si="978"/>
        <v>4.1777188321353886</v>
      </c>
    </row>
    <row r="407" spans="1:20" x14ac:dyDescent="0.25">
      <c r="A407" s="5">
        <v>44186</v>
      </c>
      <c r="B407">
        <v>0.55000000000000004</v>
      </c>
      <c r="C407">
        <v>0.56879999999999997</v>
      </c>
      <c r="D407">
        <v>0.51319999999999999</v>
      </c>
      <c r="E407">
        <v>0.51919999999999999</v>
      </c>
      <c r="F407">
        <v>14338589.26</v>
      </c>
      <c r="G407">
        <v>0</v>
      </c>
      <c r="L407" t="s">
        <v>7</v>
      </c>
      <c r="M407" t="s">
        <v>8</v>
      </c>
      <c r="N407" t="s">
        <v>7</v>
      </c>
      <c r="P407">
        <f t="shared" si="974"/>
        <v>-0.78417266187050338</v>
      </c>
      <c r="Q407">
        <f t="shared" si="975"/>
        <v>-11243929.707482012</v>
      </c>
      <c r="R407">
        <f t="shared" si="976"/>
        <v>410120714.35570109</v>
      </c>
      <c r="S407">
        <f t="shared" si="977"/>
        <v>4101.2071435570106</v>
      </c>
      <c r="T407">
        <f t="shared" si="978"/>
        <v>4.1012071435570103</v>
      </c>
    </row>
    <row r="408" spans="1:20" x14ac:dyDescent="0.25">
      <c r="A408" s="5">
        <v>44185</v>
      </c>
      <c r="B408">
        <v>0.56430000000000002</v>
      </c>
      <c r="C408">
        <v>0.57720000000000005</v>
      </c>
      <c r="D408">
        <v>0.53990000000000005</v>
      </c>
      <c r="E408">
        <v>0.55049999999999999</v>
      </c>
      <c r="F408">
        <v>10418775.560000001</v>
      </c>
      <c r="G408">
        <v>0</v>
      </c>
      <c r="L408" t="s">
        <v>7</v>
      </c>
      <c r="M408" t="s">
        <v>8</v>
      </c>
      <c r="N408" t="s">
        <v>7</v>
      </c>
      <c r="P408">
        <f t="shared" si="974"/>
        <v>-0.43163538873994944</v>
      </c>
      <c r="Q408">
        <f t="shared" si="975"/>
        <v>-4497112.2390348846</v>
      </c>
      <c r="R408">
        <f t="shared" si="976"/>
        <v>421364644.06318313</v>
      </c>
      <c r="S408">
        <f t="shared" si="977"/>
        <v>4213.646440631831</v>
      </c>
      <c r="T408">
        <f t="shared" si="978"/>
        <v>4.2136464406318312</v>
      </c>
    </row>
    <row r="409" spans="1:20" x14ac:dyDescent="0.25">
      <c r="A409" s="5">
        <v>44184</v>
      </c>
      <c r="B409">
        <v>0.56999999999999995</v>
      </c>
      <c r="C409">
        <v>0.58930000000000005</v>
      </c>
      <c r="D409">
        <v>0.56040000000000001</v>
      </c>
      <c r="E409">
        <v>0.5645</v>
      </c>
      <c r="F409">
        <v>12001362.210000001</v>
      </c>
      <c r="G409">
        <v>0</v>
      </c>
      <c r="L409" t="s">
        <v>8</v>
      </c>
      <c r="M409" t="s">
        <v>8</v>
      </c>
      <c r="N409" t="s">
        <v>7</v>
      </c>
      <c r="P409">
        <f t="shared" si="974"/>
        <v>-0.71626297577854758</v>
      </c>
      <c r="Q409">
        <f t="shared" si="975"/>
        <v>-8596131.4099308066</v>
      </c>
      <c r="R409">
        <f t="shared" si="976"/>
        <v>425861756.30221802</v>
      </c>
      <c r="S409">
        <f t="shared" si="977"/>
        <v>4258.6175630221805</v>
      </c>
      <c r="T409">
        <f t="shared" si="978"/>
        <v>4.258617563022181</v>
      </c>
    </row>
    <row r="410" spans="1:20" x14ac:dyDescent="0.25">
      <c r="A410" s="5">
        <v>44183</v>
      </c>
      <c r="B410">
        <v>0.53420000000000001</v>
      </c>
      <c r="C410">
        <v>0.57699999999999996</v>
      </c>
      <c r="D410">
        <v>0.52310000000000001</v>
      </c>
      <c r="E410">
        <v>0.56950000000000001</v>
      </c>
      <c r="F410">
        <v>16188103.99</v>
      </c>
      <c r="G410">
        <v>0</v>
      </c>
      <c r="L410" t="s">
        <v>8</v>
      </c>
      <c r="M410" t="s">
        <v>8</v>
      </c>
      <c r="N410" t="s">
        <v>7</v>
      </c>
      <c r="P410">
        <f t="shared" si="974"/>
        <v>0.72170686456400901</v>
      </c>
      <c r="Q410">
        <f t="shared" si="975"/>
        <v>11683065.773859024</v>
      </c>
      <c r="R410">
        <f t="shared" si="976"/>
        <v>434457887.71214885</v>
      </c>
      <c r="S410">
        <f t="shared" si="977"/>
        <v>4344.5788771214884</v>
      </c>
      <c r="T410">
        <f t="shared" si="978"/>
        <v>4.3445788771214886</v>
      </c>
    </row>
    <row r="411" spans="1:20" x14ac:dyDescent="0.25">
      <c r="A411" s="5">
        <v>44182</v>
      </c>
      <c r="B411">
        <v>0.53920000000000001</v>
      </c>
      <c r="C411">
        <v>0.56330000000000002</v>
      </c>
      <c r="D411">
        <v>0.52659999999999996</v>
      </c>
      <c r="E411">
        <v>0.53380000000000005</v>
      </c>
      <c r="F411">
        <v>20428744.84</v>
      </c>
      <c r="G411">
        <v>0</v>
      </c>
      <c r="L411" t="s">
        <v>8</v>
      </c>
      <c r="M411" t="s">
        <v>8</v>
      </c>
      <c r="N411" t="s">
        <v>7</v>
      </c>
      <c r="P411">
        <f t="shared" si="974"/>
        <v>-0.60762942779291107</v>
      </c>
      <c r="Q411">
        <f t="shared" si="975"/>
        <v>-12413106.537656585</v>
      </c>
      <c r="R411">
        <f t="shared" si="976"/>
        <v>422774821.93828982</v>
      </c>
      <c r="S411">
        <f t="shared" si="977"/>
        <v>4227.7482193828982</v>
      </c>
      <c r="T411">
        <f t="shared" si="978"/>
        <v>4.2277482193828986</v>
      </c>
    </row>
    <row r="412" spans="1:20" x14ac:dyDescent="0.25">
      <c r="A412" s="5">
        <v>44181</v>
      </c>
      <c r="B412">
        <v>0.51090000000000002</v>
      </c>
      <c r="C412">
        <v>0.53949999999999998</v>
      </c>
      <c r="D412">
        <v>0.50239999999999996</v>
      </c>
      <c r="E412">
        <v>0.53949999999999998</v>
      </c>
      <c r="F412">
        <v>10935121.630000001</v>
      </c>
      <c r="G412">
        <v>0</v>
      </c>
      <c r="L412" t="s">
        <v>8</v>
      </c>
      <c r="M412" t="s">
        <v>7</v>
      </c>
      <c r="N412" t="s">
        <v>7</v>
      </c>
      <c r="P412">
        <f t="shared" si="974"/>
        <v>1</v>
      </c>
      <c r="Q412">
        <f t="shared" si="975"/>
        <v>10935121.630000001</v>
      </c>
      <c r="R412">
        <f t="shared" si="976"/>
        <v>435187928.47594643</v>
      </c>
      <c r="S412">
        <f t="shared" si="977"/>
        <v>4351.8792847594641</v>
      </c>
      <c r="T412">
        <f t="shared" si="978"/>
        <v>4.3518792847594643</v>
      </c>
    </row>
    <row r="413" spans="1:20" x14ac:dyDescent="0.25">
      <c r="A413" s="5">
        <v>44180</v>
      </c>
      <c r="B413">
        <v>0.51470000000000005</v>
      </c>
      <c r="C413">
        <v>0.51880000000000004</v>
      </c>
      <c r="D413">
        <v>0.49930000000000002</v>
      </c>
      <c r="E413">
        <v>0.51080000000000003</v>
      </c>
      <c r="F413">
        <v>7315987.0099999998</v>
      </c>
      <c r="G413">
        <v>0</v>
      </c>
      <c r="L413" t="s">
        <v>7</v>
      </c>
      <c r="M413" t="s">
        <v>7</v>
      </c>
      <c r="N413" t="s">
        <v>7</v>
      </c>
      <c r="P413">
        <f t="shared" si="974"/>
        <v>0.17948717948717949</v>
      </c>
      <c r="Q413">
        <f t="shared" si="975"/>
        <v>1313125.8735897436</v>
      </c>
      <c r="R413">
        <f t="shared" si="976"/>
        <v>424252806.84594643</v>
      </c>
      <c r="S413">
        <f t="shared" si="977"/>
        <v>4242.5280684594645</v>
      </c>
      <c r="T413">
        <f t="shared" si="978"/>
        <v>4.2425280684594648</v>
      </c>
    </row>
    <row r="414" spans="1:20" x14ac:dyDescent="0.25">
      <c r="A414" s="5">
        <v>44179</v>
      </c>
      <c r="B414">
        <v>0.51790000000000003</v>
      </c>
      <c r="C414">
        <v>0.51790000000000003</v>
      </c>
      <c r="D414">
        <v>0.49819999999999998</v>
      </c>
      <c r="E414">
        <v>0.51470000000000005</v>
      </c>
      <c r="F414">
        <v>7737565.8099999996</v>
      </c>
      <c r="G414">
        <v>0</v>
      </c>
      <c r="L414" t="s">
        <v>7</v>
      </c>
      <c r="M414" t="s">
        <v>7</v>
      </c>
      <c r="N414" t="s">
        <v>7</v>
      </c>
      <c r="P414">
        <f t="shared" si="974"/>
        <v>0.67512690355330229</v>
      </c>
      <c r="Q414">
        <f t="shared" si="975"/>
        <v>5223838.8463451993</v>
      </c>
      <c r="R414">
        <f t="shared" si="976"/>
        <v>422939680.97235668</v>
      </c>
      <c r="S414">
        <f t="shared" si="977"/>
        <v>4229.3968097235665</v>
      </c>
      <c r="T414">
        <f t="shared" si="978"/>
        <v>4.2293968097235668</v>
      </c>
    </row>
    <row r="415" spans="1:20" x14ac:dyDescent="0.25">
      <c r="A415" s="5">
        <v>44178</v>
      </c>
      <c r="B415">
        <v>0.50070000000000003</v>
      </c>
      <c r="C415">
        <v>0.53249999999999997</v>
      </c>
      <c r="D415">
        <v>0.49780000000000002</v>
      </c>
      <c r="E415">
        <v>0.51819999999999999</v>
      </c>
      <c r="F415">
        <v>8210691.2800000003</v>
      </c>
      <c r="G415">
        <v>0</v>
      </c>
      <c r="L415" t="s">
        <v>8</v>
      </c>
      <c r="M415" t="s">
        <v>7</v>
      </c>
      <c r="N415" t="s">
        <v>7</v>
      </c>
      <c r="P415">
        <f t="shared" si="974"/>
        <v>0.17579250720461104</v>
      </c>
      <c r="Q415">
        <f t="shared" si="975"/>
        <v>1443378.005994237</v>
      </c>
      <c r="R415">
        <f t="shared" si="976"/>
        <v>417715842.12601149</v>
      </c>
      <c r="S415">
        <f t="shared" si="977"/>
        <v>4177.1584212601147</v>
      </c>
      <c r="T415">
        <f t="shared" si="978"/>
        <v>4.1771584212601143</v>
      </c>
    </row>
    <row r="416" spans="1:20" x14ac:dyDescent="0.25">
      <c r="A416" s="5">
        <v>44177</v>
      </c>
      <c r="B416">
        <v>0.47870000000000001</v>
      </c>
      <c r="C416">
        <v>0.50590000000000002</v>
      </c>
      <c r="D416">
        <v>0.47770000000000001</v>
      </c>
      <c r="E416">
        <v>0.50049999999999994</v>
      </c>
      <c r="F416">
        <v>5787567.1399999997</v>
      </c>
      <c r="G416">
        <v>0</v>
      </c>
      <c r="L416" t="s">
        <v>8</v>
      </c>
      <c r="M416" t="s">
        <v>7</v>
      </c>
      <c r="N416" t="s">
        <v>7</v>
      </c>
      <c r="P416">
        <f t="shared" si="974"/>
        <v>0.61702127659573969</v>
      </c>
      <c r="Q416">
        <f t="shared" si="975"/>
        <v>3571052.0651063537</v>
      </c>
      <c r="R416">
        <f t="shared" si="976"/>
        <v>416272464.12001723</v>
      </c>
      <c r="S416">
        <f t="shared" si="977"/>
        <v>4162.7246412001723</v>
      </c>
      <c r="T416">
        <f t="shared" si="978"/>
        <v>4.1627246412001719</v>
      </c>
    </row>
    <row r="417" spans="1:20" x14ac:dyDescent="0.25">
      <c r="A417" s="5">
        <v>44176</v>
      </c>
      <c r="B417">
        <v>0.495</v>
      </c>
      <c r="C417">
        <v>0.49609999999999999</v>
      </c>
      <c r="D417">
        <v>0.47020000000000001</v>
      </c>
      <c r="E417">
        <v>0.47889999999999999</v>
      </c>
      <c r="F417">
        <v>8007621.2300000004</v>
      </c>
      <c r="G417">
        <v>0</v>
      </c>
      <c r="L417" t="s">
        <v>7</v>
      </c>
      <c r="M417" t="s">
        <v>7</v>
      </c>
      <c r="N417" t="s">
        <v>7</v>
      </c>
      <c r="P417">
        <f t="shared" si="974"/>
        <v>-0.32818532818532875</v>
      </c>
      <c r="Q417">
        <f t="shared" si="975"/>
        <v>-2627983.8013513559</v>
      </c>
      <c r="R417">
        <f t="shared" si="976"/>
        <v>412701412.0549109</v>
      </c>
      <c r="S417">
        <f t="shared" si="977"/>
        <v>4127.0141205491091</v>
      </c>
      <c r="T417">
        <f t="shared" si="978"/>
        <v>4.1270141205491093</v>
      </c>
    </row>
    <row r="418" spans="1:20" x14ac:dyDescent="0.25">
      <c r="A418" s="5">
        <v>44175</v>
      </c>
      <c r="B418">
        <v>0.50629999999999997</v>
      </c>
      <c r="C418">
        <v>0.5091</v>
      </c>
      <c r="D418">
        <v>0.48449999999999999</v>
      </c>
      <c r="E418">
        <v>0.49409999999999998</v>
      </c>
      <c r="F418">
        <v>6446315.2699999996</v>
      </c>
      <c r="G418">
        <v>0</v>
      </c>
      <c r="L418" t="s">
        <v>7</v>
      </c>
      <c r="M418" t="s">
        <v>7</v>
      </c>
      <c r="N418" t="s">
        <v>7</v>
      </c>
      <c r="P418">
        <f t="shared" si="974"/>
        <v>-0.21951219512195178</v>
      </c>
      <c r="Q418">
        <f t="shared" si="975"/>
        <v>-1415044.8153658572</v>
      </c>
      <c r="R418">
        <f t="shared" si="976"/>
        <v>415329395.85626227</v>
      </c>
      <c r="S418">
        <f t="shared" si="977"/>
        <v>4153.2939585626227</v>
      </c>
      <c r="T418">
        <f t="shared" si="978"/>
        <v>4.1532939585626227</v>
      </c>
    </row>
    <row r="419" spans="1:20" x14ac:dyDescent="0.25">
      <c r="A419" s="5">
        <v>44174</v>
      </c>
      <c r="B419">
        <v>0.50529999999999997</v>
      </c>
      <c r="C419">
        <v>0.5091</v>
      </c>
      <c r="D419">
        <v>0.47439999999999999</v>
      </c>
      <c r="E419">
        <v>0.50600000000000001</v>
      </c>
      <c r="F419">
        <v>12558904.539999999</v>
      </c>
      <c r="G419">
        <v>0</v>
      </c>
      <c r="L419" t="s">
        <v>7</v>
      </c>
      <c r="M419" t="s">
        <v>7</v>
      </c>
      <c r="N419" t="s">
        <v>7</v>
      </c>
      <c r="P419">
        <f t="shared" si="974"/>
        <v>0.82132564841498612</v>
      </c>
      <c r="Q419">
        <f t="shared" si="975"/>
        <v>10314950.414697412</v>
      </c>
      <c r="R419">
        <f t="shared" si="976"/>
        <v>416744440.67162812</v>
      </c>
      <c r="S419">
        <f t="shared" si="977"/>
        <v>4167.4444067162813</v>
      </c>
      <c r="T419">
        <f t="shared" si="978"/>
        <v>4.1674444067162817</v>
      </c>
    </row>
    <row r="420" spans="1:20" x14ac:dyDescent="0.25">
      <c r="A420" s="5">
        <v>44173</v>
      </c>
      <c r="B420">
        <v>0.54469999999999996</v>
      </c>
      <c r="C420">
        <v>0.55030000000000001</v>
      </c>
      <c r="D420">
        <v>0.4985</v>
      </c>
      <c r="E420">
        <v>0.50549999999999995</v>
      </c>
      <c r="F420">
        <v>10256627.189999999</v>
      </c>
      <c r="G420">
        <v>0</v>
      </c>
      <c r="L420" t="s">
        <v>7</v>
      </c>
      <c r="M420" t="s">
        <v>7</v>
      </c>
      <c r="N420" t="s">
        <v>7</v>
      </c>
      <c r="P420">
        <f t="shared" si="974"/>
        <v>-0.72972972972973171</v>
      </c>
      <c r="Q420">
        <f t="shared" si="975"/>
        <v>-7484565.7872973168</v>
      </c>
      <c r="R420">
        <f t="shared" si="976"/>
        <v>406429490.25693071</v>
      </c>
      <c r="S420">
        <f t="shared" si="977"/>
        <v>4064.2949025693069</v>
      </c>
      <c r="T420">
        <f t="shared" si="978"/>
        <v>4.0642949025693067</v>
      </c>
    </row>
    <row r="421" spans="1:20" x14ac:dyDescent="0.25">
      <c r="A421" s="5">
        <v>44172</v>
      </c>
      <c r="B421">
        <v>0.5554</v>
      </c>
      <c r="C421">
        <v>0.55810000000000004</v>
      </c>
      <c r="D421">
        <v>0.53620000000000001</v>
      </c>
      <c r="E421">
        <v>0.54459999999999997</v>
      </c>
      <c r="F421">
        <v>5380160.5</v>
      </c>
      <c r="G421">
        <v>0</v>
      </c>
      <c r="L421" t="s">
        <v>7</v>
      </c>
      <c r="M421" t="s">
        <v>8</v>
      </c>
      <c r="N421" t="s">
        <v>7</v>
      </c>
      <c r="P421">
        <f t="shared" si="974"/>
        <v>-0.23287671232877158</v>
      </c>
      <c r="Q421">
        <f t="shared" si="975"/>
        <v>-1252914.0890411199</v>
      </c>
      <c r="R421">
        <f t="shared" si="976"/>
        <v>413914056.04422802</v>
      </c>
      <c r="S421">
        <f t="shared" si="977"/>
        <v>4139.1405604422798</v>
      </c>
      <c r="T421">
        <f t="shared" si="978"/>
        <v>4.1391405604422795</v>
      </c>
    </row>
    <row r="422" spans="1:20" x14ac:dyDescent="0.25">
      <c r="A422" s="5">
        <v>44171</v>
      </c>
      <c r="B422">
        <v>0.55759999999999998</v>
      </c>
      <c r="C422">
        <v>0.56330000000000002</v>
      </c>
      <c r="D422">
        <v>0.53969999999999996</v>
      </c>
      <c r="E422">
        <v>0.5554</v>
      </c>
      <c r="F422">
        <v>6438029.5899999999</v>
      </c>
      <c r="G422">
        <v>0</v>
      </c>
      <c r="L422" t="s">
        <v>7</v>
      </c>
      <c r="M422" t="s">
        <v>8</v>
      </c>
      <c r="N422" t="s">
        <v>7</v>
      </c>
      <c r="P422">
        <f t="shared" si="974"/>
        <v>0.33050847457627153</v>
      </c>
      <c r="Q422">
        <f t="shared" si="975"/>
        <v>2127823.3390677986</v>
      </c>
      <c r="R422">
        <f t="shared" si="976"/>
        <v>415166970.13326913</v>
      </c>
      <c r="S422">
        <f t="shared" si="977"/>
        <v>4151.6697013326911</v>
      </c>
      <c r="T422">
        <f t="shared" si="978"/>
        <v>4.1516697013326915</v>
      </c>
    </row>
    <row r="423" spans="1:20" x14ac:dyDescent="0.25">
      <c r="A423" s="5">
        <v>44170</v>
      </c>
      <c r="B423">
        <v>0.53639999999999999</v>
      </c>
      <c r="C423">
        <v>0.5595</v>
      </c>
      <c r="D423">
        <v>0.53090000000000004</v>
      </c>
      <c r="E423">
        <v>0.55779999999999996</v>
      </c>
      <c r="F423">
        <v>7356566.8300000001</v>
      </c>
      <c r="G423">
        <v>0</v>
      </c>
      <c r="L423" t="s">
        <v>7</v>
      </c>
      <c r="M423" t="s">
        <v>8</v>
      </c>
      <c r="N423" t="s">
        <v>7</v>
      </c>
      <c r="P423">
        <f t="shared" si="974"/>
        <v>0.88111888111887848</v>
      </c>
      <c r="Q423">
        <f t="shared" si="975"/>
        <v>6482009.9341258546</v>
      </c>
      <c r="R423">
        <f t="shared" si="976"/>
        <v>413039146.79420131</v>
      </c>
      <c r="S423">
        <f t="shared" si="977"/>
        <v>4130.3914679420132</v>
      </c>
      <c r="T423">
        <f t="shared" si="978"/>
        <v>4.1303914679420135</v>
      </c>
    </row>
    <row r="424" spans="1:20" x14ac:dyDescent="0.25">
      <c r="A424" s="5">
        <v>44169</v>
      </c>
      <c r="B424">
        <v>0.58919999999999995</v>
      </c>
      <c r="C424">
        <v>0.59630000000000005</v>
      </c>
      <c r="D424">
        <v>0.53149999999999997</v>
      </c>
      <c r="E424">
        <v>0.53669999999999995</v>
      </c>
      <c r="F424">
        <v>17265422.82</v>
      </c>
      <c r="G424">
        <v>0</v>
      </c>
      <c r="L424" t="s">
        <v>7</v>
      </c>
      <c r="M424" t="s">
        <v>8</v>
      </c>
      <c r="N424" t="s">
        <v>7</v>
      </c>
      <c r="P424">
        <f t="shared" si="974"/>
        <v>-0.8395061728395069</v>
      </c>
      <c r="Q424">
        <f t="shared" si="975"/>
        <v>-14494429.034074087</v>
      </c>
      <c r="R424">
        <f t="shared" si="976"/>
        <v>406557136.86007547</v>
      </c>
      <c r="S424">
        <f t="shared" si="977"/>
        <v>4065.5713686007548</v>
      </c>
      <c r="T424">
        <f t="shared" si="978"/>
        <v>4.0655713686007546</v>
      </c>
    </row>
    <row r="425" spans="1:20" x14ac:dyDescent="0.25">
      <c r="A425" s="5">
        <v>44168</v>
      </c>
      <c r="B425">
        <v>0.57679999999999998</v>
      </c>
      <c r="C425">
        <v>0.59489999999999998</v>
      </c>
      <c r="D425">
        <v>0.5615</v>
      </c>
      <c r="E425">
        <v>0.58940000000000003</v>
      </c>
      <c r="F425">
        <v>12560717.26</v>
      </c>
      <c r="G425">
        <v>0</v>
      </c>
      <c r="L425" t="s">
        <v>8</v>
      </c>
      <c r="M425" t="s">
        <v>8</v>
      </c>
      <c r="N425" t="s">
        <v>7</v>
      </c>
      <c r="P425">
        <f t="shared" si="974"/>
        <v>0.67065868263473338</v>
      </c>
      <c r="Q425">
        <f t="shared" si="975"/>
        <v>8423954.0905389581</v>
      </c>
      <c r="R425">
        <f t="shared" si="976"/>
        <v>421051565.89414954</v>
      </c>
      <c r="S425">
        <f t="shared" si="977"/>
        <v>4210.5156589414955</v>
      </c>
      <c r="T425">
        <f t="shared" si="978"/>
        <v>4.2105156589414952</v>
      </c>
    </row>
    <row r="426" spans="1:20" x14ac:dyDescent="0.25">
      <c r="A426" s="5">
        <v>44167</v>
      </c>
      <c r="B426">
        <v>0.55689999999999995</v>
      </c>
      <c r="C426">
        <v>0.58530000000000004</v>
      </c>
      <c r="D426">
        <v>0.55120000000000002</v>
      </c>
      <c r="E426">
        <v>0.57679999999999998</v>
      </c>
      <c r="F426">
        <v>12790350.52</v>
      </c>
      <c r="G426">
        <v>0</v>
      </c>
      <c r="L426" t="s">
        <v>7</v>
      </c>
      <c r="M426" t="s">
        <v>8</v>
      </c>
      <c r="N426" t="s">
        <v>7</v>
      </c>
      <c r="P426">
        <f t="shared" si="974"/>
        <v>0.5014662756598206</v>
      </c>
      <c r="Q426">
        <f t="shared" si="975"/>
        <v>6413929.4396480499</v>
      </c>
      <c r="R426">
        <f t="shared" si="976"/>
        <v>412627611.80361056</v>
      </c>
      <c r="S426">
        <f t="shared" si="977"/>
        <v>4126.2761180361058</v>
      </c>
      <c r="T426">
        <f t="shared" si="978"/>
        <v>4.1262761180361061</v>
      </c>
    </row>
    <row r="427" spans="1:20" x14ac:dyDescent="0.25">
      <c r="A427" s="5">
        <v>44166</v>
      </c>
      <c r="B427">
        <v>0.59799999999999998</v>
      </c>
      <c r="C427">
        <v>0.61829999999999996</v>
      </c>
      <c r="D427">
        <v>0.53700000000000003</v>
      </c>
      <c r="E427">
        <v>0.5575</v>
      </c>
      <c r="F427">
        <v>28777507.84</v>
      </c>
      <c r="G427">
        <v>0</v>
      </c>
      <c r="L427" t="s">
        <v>8</v>
      </c>
      <c r="M427" t="s">
        <v>8</v>
      </c>
      <c r="N427" t="s">
        <v>7</v>
      </c>
      <c r="P427">
        <f t="shared" si="974"/>
        <v>-0.49569495694956994</v>
      </c>
      <c r="Q427">
        <f t="shared" si="975"/>
        <v>-14264865.509864712</v>
      </c>
      <c r="R427">
        <f t="shared" si="976"/>
        <v>406213682.36396253</v>
      </c>
      <c r="S427">
        <f t="shared" si="977"/>
        <v>4062.1368236396252</v>
      </c>
      <c r="T427">
        <f t="shared" si="978"/>
        <v>4.0621368236396256</v>
      </c>
    </row>
    <row r="428" spans="1:20" x14ac:dyDescent="0.25">
      <c r="A428" s="5">
        <v>44165</v>
      </c>
      <c r="B428">
        <v>0.56879999999999997</v>
      </c>
      <c r="C428">
        <v>0.60440000000000005</v>
      </c>
      <c r="D428">
        <v>0.55730000000000002</v>
      </c>
      <c r="E428">
        <v>0.59789999999999999</v>
      </c>
      <c r="F428">
        <v>20178277.699999999</v>
      </c>
      <c r="G428">
        <v>0</v>
      </c>
      <c r="L428" t="s">
        <v>8</v>
      </c>
      <c r="M428" t="s">
        <v>7</v>
      </c>
      <c r="N428" t="s">
        <v>7</v>
      </c>
      <c r="P428">
        <f t="shared" si="974"/>
        <v>0.7239915074309955</v>
      </c>
      <c r="Q428">
        <f t="shared" si="975"/>
        <v>14608901.689384241</v>
      </c>
      <c r="R428">
        <f t="shared" si="976"/>
        <v>420478547.87382722</v>
      </c>
      <c r="S428">
        <f t="shared" si="977"/>
        <v>4204.7854787382721</v>
      </c>
      <c r="T428">
        <f t="shared" si="978"/>
        <v>4.2047854787382724</v>
      </c>
    </row>
    <row r="429" spans="1:20" x14ac:dyDescent="0.25">
      <c r="A429" s="5">
        <v>44164</v>
      </c>
      <c r="B429">
        <v>0.56289999999999996</v>
      </c>
      <c r="C429">
        <v>0.57930000000000004</v>
      </c>
      <c r="D429">
        <v>0.54969999999999997</v>
      </c>
      <c r="E429">
        <v>0.56820000000000004</v>
      </c>
      <c r="F429">
        <v>13222227.34</v>
      </c>
      <c r="G429">
        <v>0</v>
      </c>
      <c r="L429" t="s">
        <v>8</v>
      </c>
      <c r="M429" t="s">
        <v>7</v>
      </c>
      <c r="N429" t="s">
        <v>7</v>
      </c>
      <c r="P429">
        <f t="shared" si="974"/>
        <v>0.25000000000000189</v>
      </c>
      <c r="Q429">
        <f t="shared" si="975"/>
        <v>3305556.8350000251</v>
      </c>
      <c r="R429">
        <f t="shared" si="976"/>
        <v>405869646.184443</v>
      </c>
      <c r="S429">
        <f t="shared" si="977"/>
        <v>4058.6964618444299</v>
      </c>
      <c r="T429">
        <f t="shared" si="978"/>
        <v>4.0586964618444297</v>
      </c>
    </row>
    <row r="430" spans="1:20" x14ac:dyDescent="0.25">
      <c r="A430" s="5">
        <v>44163</v>
      </c>
      <c r="B430">
        <v>0.54549999999999998</v>
      </c>
      <c r="C430">
        <v>0.58499999999999996</v>
      </c>
      <c r="D430">
        <v>0.52869999999999995</v>
      </c>
      <c r="E430">
        <v>0.56330000000000002</v>
      </c>
      <c r="F430">
        <v>16294914.6</v>
      </c>
      <c r="G430">
        <v>0</v>
      </c>
      <c r="L430" t="s">
        <v>8</v>
      </c>
      <c r="M430" t="s">
        <v>7</v>
      </c>
      <c r="N430" t="s">
        <v>7</v>
      </c>
      <c r="P430">
        <f t="shared" si="974"/>
        <v>0.22912966252220479</v>
      </c>
      <c r="Q430">
        <f t="shared" si="975"/>
        <v>3733648.2831261475</v>
      </c>
      <c r="R430">
        <f t="shared" si="976"/>
        <v>402564089.34944296</v>
      </c>
      <c r="S430">
        <f t="shared" si="977"/>
        <v>4025.6408934944297</v>
      </c>
      <c r="T430">
        <f t="shared" si="978"/>
        <v>4.0256408934944297</v>
      </c>
    </row>
    <row r="431" spans="1:20" x14ac:dyDescent="0.25">
      <c r="A431" s="5">
        <v>44162</v>
      </c>
      <c r="B431">
        <v>0.55840000000000001</v>
      </c>
      <c r="C431">
        <v>0.57579999999999998</v>
      </c>
      <c r="D431">
        <v>0.51859999999999995</v>
      </c>
      <c r="E431">
        <v>0.54500000000000004</v>
      </c>
      <c r="F431">
        <v>27296805.73</v>
      </c>
      <c r="G431">
        <v>0</v>
      </c>
      <c r="L431" t="s">
        <v>7</v>
      </c>
      <c r="M431" t="s">
        <v>7</v>
      </c>
      <c r="N431" t="s">
        <v>7</v>
      </c>
      <c r="P431">
        <f t="shared" si="974"/>
        <v>-7.6923076923074235E-2</v>
      </c>
      <c r="Q431">
        <f t="shared" si="975"/>
        <v>-2099754.2869230034</v>
      </c>
      <c r="R431">
        <f t="shared" si="976"/>
        <v>398830441.06631678</v>
      </c>
      <c r="S431">
        <f t="shared" si="977"/>
        <v>3988.3044106631678</v>
      </c>
      <c r="T431">
        <f t="shared" si="978"/>
        <v>3.9883044106631678</v>
      </c>
    </row>
    <row r="432" spans="1:20" x14ac:dyDescent="0.25">
      <c r="A432" s="5">
        <v>44161</v>
      </c>
      <c r="B432">
        <v>0.69889999999999997</v>
      </c>
      <c r="C432">
        <v>0.73760000000000003</v>
      </c>
      <c r="D432">
        <v>0.50960000000000005</v>
      </c>
      <c r="E432">
        <v>0.55820000000000003</v>
      </c>
      <c r="F432">
        <v>88648456.310000002</v>
      </c>
      <c r="G432">
        <v>0</v>
      </c>
      <c r="L432" t="s">
        <v>8</v>
      </c>
      <c r="M432" t="s">
        <v>7</v>
      </c>
      <c r="N432" t="s">
        <v>7</v>
      </c>
      <c r="P432">
        <f t="shared" si="974"/>
        <v>-0.57368421052631591</v>
      </c>
      <c r="Q432">
        <f t="shared" si="975"/>
        <v>-50856219.672578961</v>
      </c>
      <c r="R432">
        <f t="shared" si="976"/>
        <v>400930195.35323977</v>
      </c>
      <c r="S432">
        <f t="shared" si="977"/>
        <v>4009.3019535323979</v>
      </c>
      <c r="T432">
        <f t="shared" si="978"/>
        <v>4.0093019535323977</v>
      </c>
    </row>
    <row r="433" spans="1:20" x14ac:dyDescent="0.25">
      <c r="A433" s="5">
        <v>44160</v>
      </c>
      <c r="B433">
        <v>0.63839999999999997</v>
      </c>
      <c r="C433">
        <v>0.71220000000000006</v>
      </c>
      <c r="D433">
        <v>0.60209999999999997</v>
      </c>
      <c r="E433">
        <v>0.69920000000000004</v>
      </c>
      <c r="F433">
        <v>59157346.829999998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0.76385104450499541</v>
      </c>
      <c r="Q433">
        <f t="shared" si="975"/>
        <v>45187401.166239776</v>
      </c>
      <c r="R433">
        <f t="shared" si="976"/>
        <v>451786415.02581877</v>
      </c>
      <c r="S433">
        <f t="shared" si="977"/>
        <v>4517.8641502581877</v>
      </c>
      <c r="T433">
        <f t="shared" si="978"/>
        <v>4.5178641502581875</v>
      </c>
    </row>
    <row r="434" spans="1:20" x14ac:dyDescent="0.25">
      <c r="A434" s="5">
        <v>44159</v>
      </c>
      <c r="B434">
        <v>0.60850000000000004</v>
      </c>
      <c r="C434">
        <v>0.66100000000000003</v>
      </c>
      <c r="D434">
        <v>0.57599999999999996</v>
      </c>
      <c r="E434">
        <v>0.63880000000000003</v>
      </c>
      <c r="F434">
        <v>49519725.990000002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0.47764705882352992</v>
      </c>
      <c r="Q434">
        <f t="shared" si="975"/>
        <v>23652951.472870614</v>
      </c>
      <c r="R434">
        <f t="shared" si="976"/>
        <v>406599013.85957897</v>
      </c>
      <c r="S434">
        <f t="shared" si="977"/>
        <v>4065.9901385957896</v>
      </c>
      <c r="T434">
        <f t="shared" si="978"/>
        <v>4.0659901385957893</v>
      </c>
    </row>
    <row r="435" spans="1:20" x14ac:dyDescent="0.25">
      <c r="A435" s="5">
        <v>44158</v>
      </c>
      <c r="B435">
        <v>0.5534</v>
      </c>
      <c r="C435">
        <v>0.60970000000000002</v>
      </c>
      <c r="D435">
        <v>0.53510000000000002</v>
      </c>
      <c r="E435">
        <v>0.60840000000000005</v>
      </c>
      <c r="F435">
        <v>33016208.859999999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0.96514745308311078</v>
      </c>
      <c r="Q435">
        <f t="shared" si="975"/>
        <v>31865509.891689036</v>
      </c>
      <c r="R435">
        <f t="shared" si="976"/>
        <v>382946062.38670838</v>
      </c>
      <c r="S435">
        <f t="shared" si="977"/>
        <v>3829.460623867084</v>
      </c>
      <c r="T435">
        <f t="shared" si="978"/>
        <v>3.8294606238670839</v>
      </c>
    </row>
    <row r="436" spans="1:20" x14ac:dyDescent="0.25">
      <c r="A436" s="5">
        <v>44157</v>
      </c>
      <c r="B436">
        <v>0.58260000000000001</v>
      </c>
      <c r="C436">
        <v>0.59209999999999996</v>
      </c>
      <c r="D436">
        <v>0.52329999999999999</v>
      </c>
      <c r="E436">
        <v>0.55300000000000005</v>
      </c>
      <c r="F436">
        <v>32089449.260000002</v>
      </c>
      <c r="G436">
        <v>0</v>
      </c>
      <c r="L436" t="s">
        <v>8</v>
      </c>
      <c r="M436" t="s">
        <v>8</v>
      </c>
      <c r="N436" t="s">
        <v>8</v>
      </c>
      <c r="P436">
        <f t="shared" si="974"/>
        <v>-0.1366279069767421</v>
      </c>
      <c r="Q436">
        <f t="shared" si="975"/>
        <v>-4384314.2884301655</v>
      </c>
      <c r="R436">
        <f t="shared" si="976"/>
        <v>351080552.49501932</v>
      </c>
      <c r="S436">
        <f t="shared" si="977"/>
        <v>3510.8055249501931</v>
      </c>
      <c r="T436">
        <f t="shared" si="978"/>
        <v>3.510805524950193</v>
      </c>
    </row>
    <row r="437" spans="1:20" x14ac:dyDescent="0.25">
      <c r="A437" s="5">
        <v>44156</v>
      </c>
      <c r="B437">
        <v>0.50939999999999996</v>
      </c>
      <c r="C437">
        <v>0.58479999999999999</v>
      </c>
      <c r="D437">
        <v>0.50739999999999996</v>
      </c>
      <c r="E437">
        <v>0.58250000000000002</v>
      </c>
      <c r="F437">
        <v>34278782.219999999</v>
      </c>
      <c r="G437">
        <v>0</v>
      </c>
      <c r="L437" t="s">
        <v>8</v>
      </c>
      <c r="M437" t="s">
        <v>8</v>
      </c>
      <c r="N437" t="s">
        <v>8</v>
      </c>
      <c r="P437">
        <f t="shared" si="974"/>
        <v>0.94056847545219724</v>
      </c>
      <c r="Q437">
        <f t="shared" si="975"/>
        <v>32241541.933023285</v>
      </c>
      <c r="R437">
        <f t="shared" si="976"/>
        <v>355464866.78344947</v>
      </c>
      <c r="S437">
        <f t="shared" si="977"/>
        <v>3554.6486678344945</v>
      </c>
      <c r="T437">
        <f t="shared" si="978"/>
        <v>3.5546486678344946</v>
      </c>
    </row>
    <row r="438" spans="1:20" x14ac:dyDescent="0.25">
      <c r="A438" s="5">
        <v>44155</v>
      </c>
      <c r="B438">
        <v>0.48620000000000002</v>
      </c>
      <c r="C438">
        <v>0.51449999999999996</v>
      </c>
      <c r="D438">
        <v>0.48549999999999999</v>
      </c>
      <c r="E438">
        <v>0.50939999999999996</v>
      </c>
      <c r="F438">
        <v>15566116.810000001</v>
      </c>
      <c r="G438">
        <v>0</v>
      </c>
      <c r="L438" t="s">
        <v>8</v>
      </c>
      <c r="M438" t="s">
        <v>8</v>
      </c>
      <c r="N438" t="s">
        <v>7</v>
      </c>
      <c r="P438">
        <f t="shared" si="974"/>
        <v>0.64827586206896559</v>
      </c>
      <c r="Q438">
        <f t="shared" si="975"/>
        <v>10091137.794068968</v>
      </c>
      <c r="R438">
        <f t="shared" si="976"/>
        <v>323223324.8504262</v>
      </c>
      <c r="S438">
        <f t="shared" si="977"/>
        <v>3232.2332485042621</v>
      </c>
      <c r="T438">
        <f t="shared" si="978"/>
        <v>3.232233248504262</v>
      </c>
    </row>
    <row r="439" spans="1:20" x14ac:dyDescent="0.25">
      <c r="A439" s="5">
        <v>44154</v>
      </c>
      <c r="B439">
        <v>0.48949999999999999</v>
      </c>
      <c r="C439">
        <v>0.49759999999999999</v>
      </c>
      <c r="D439">
        <v>0.4738</v>
      </c>
      <c r="E439">
        <v>0.48570000000000002</v>
      </c>
      <c r="F439">
        <v>14034095.859999999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2.332401312237725E-15</v>
      </c>
      <c r="Q439">
        <f t="shared" si="975"/>
        <v>3.2733143599934023E-8</v>
      </c>
      <c r="R439">
        <f t="shared" si="976"/>
        <v>313132187.0563572</v>
      </c>
      <c r="S439">
        <f t="shared" si="977"/>
        <v>3131.3218705635722</v>
      </c>
      <c r="T439">
        <f t="shared" si="978"/>
        <v>3.1313218705635721</v>
      </c>
    </row>
    <row r="440" spans="1:20" x14ac:dyDescent="0.25">
      <c r="A440" s="5">
        <v>44153</v>
      </c>
      <c r="B440">
        <v>0.505</v>
      </c>
      <c r="C440">
        <v>0.51019999999999999</v>
      </c>
      <c r="D440">
        <v>0.46899999999999997</v>
      </c>
      <c r="E440">
        <v>0.48980000000000001</v>
      </c>
      <c r="F440">
        <v>18715316.010000002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9.7087378640792928E-3</v>
      </c>
      <c r="Q440">
        <f t="shared" si="975"/>
        <v>181702.09718449641</v>
      </c>
      <c r="R440">
        <f t="shared" si="976"/>
        <v>313132187.05635715</v>
      </c>
      <c r="S440">
        <f t="shared" si="977"/>
        <v>3131.3218705635713</v>
      </c>
      <c r="T440">
        <f t="shared" si="978"/>
        <v>3.1313218705635713</v>
      </c>
    </row>
    <row r="441" spans="1:20" x14ac:dyDescent="0.25">
      <c r="A441" s="5">
        <v>44152</v>
      </c>
      <c r="B441">
        <v>0.47460000000000002</v>
      </c>
      <c r="C441">
        <v>0.51680000000000004</v>
      </c>
      <c r="D441">
        <v>0.47370000000000001</v>
      </c>
      <c r="E441">
        <v>0.505</v>
      </c>
      <c r="F441">
        <v>20200027.289999999</v>
      </c>
      <c r="G441">
        <v>0</v>
      </c>
      <c r="L441" t="s">
        <v>8</v>
      </c>
      <c r="M441" t="s">
        <v>8</v>
      </c>
      <c r="N441" t="s">
        <v>7</v>
      </c>
      <c r="P441">
        <f t="shared" si="974"/>
        <v>0.45243619489559045</v>
      </c>
      <c r="Q441">
        <f t="shared" si="975"/>
        <v>9139223.4838746861</v>
      </c>
      <c r="R441">
        <f t="shared" si="976"/>
        <v>312950484.95917267</v>
      </c>
      <c r="S441">
        <f t="shared" si="977"/>
        <v>3129.5048495917267</v>
      </c>
      <c r="T441">
        <f t="shared" si="978"/>
        <v>3.1295048495917266</v>
      </c>
    </row>
    <row r="442" spans="1:20" x14ac:dyDescent="0.25">
      <c r="A442" s="5">
        <v>44151</v>
      </c>
      <c r="B442">
        <v>0.46289999999999998</v>
      </c>
      <c r="C442">
        <v>0.48120000000000002</v>
      </c>
      <c r="D442">
        <v>0.45829999999999999</v>
      </c>
      <c r="E442">
        <v>0.47460000000000002</v>
      </c>
      <c r="F442">
        <v>9009570.5999999996</v>
      </c>
      <c r="G442">
        <v>0</v>
      </c>
      <c r="L442" t="s">
        <v>8</v>
      </c>
      <c r="M442" t="s">
        <v>8</v>
      </c>
      <c r="N442" t="s">
        <v>7</v>
      </c>
      <c r="P442">
        <f t="shared" si="974"/>
        <v>0.42358078602620214</v>
      </c>
      <c r="Q442">
        <f t="shared" si="975"/>
        <v>3816280.9965065615</v>
      </c>
      <c r="R442">
        <f t="shared" si="976"/>
        <v>303811261.47529799</v>
      </c>
      <c r="S442">
        <f t="shared" si="977"/>
        <v>3038.1126147529799</v>
      </c>
      <c r="T442">
        <f t="shared" si="978"/>
        <v>3.03811261475298</v>
      </c>
    </row>
    <row r="443" spans="1:20" x14ac:dyDescent="0.25">
      <c r="A443" s="5">
        <v>44150</v>
      </c>
      <c r="B443">
        <v>0.47739999999999999</v>
      </c>
      <c r="C443">
        <v>0.48259999999999997</v>
      </c>
      <c r="D443">
        <v>0.45269999999999999</v>
      </c>
      <c r="E443">
        <v>0.46300000000000002</v>
      </c>
      <c r="F443">
        <v>9831712.6699999999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-0.31103678929765638</v>
      </c>
      <c r="Q443">
        <f t="shared" si="975"/>
        <v>-3058024.3421738888</v>
      </c>
      <c r="R443">
        <f t="shared" si="976"/>
        <v>299994980.47879142</v>
      </c>
      <c r="S443">
        <f t="shared" si="977"/>
        <v>2999.9498047879142</v>
      </c>
      <c r="T443">
        <f t="shared" si="978"/>
        <v>2.9999498047879141</v>
      </c>
    </row>
    <row r="444" spans="1:20" x14ac:dyDescent="0.25">
      <c r="A444" s="5">
        <v>44149</v>
      </c>
      <c r="B444">
        <v>0.48880000000000001</v>
      </c>
      <c r="C444">
        <v>0.49790000000000001</v>
      </c>
      <c r="D444">
        <v>0.46750000000000003</v>
      </c>
      <c r="E444">
        <v>0.47710000000000002</v>
      </c>
      <c r="F444">
        <v>9108285.8399999999</v>
      </c>
      <c r="G444">
        <v>0</v>
      </c>
      <c r="L444" t="s">
        <v>8</v>
      </c>
      <c r="M444" t="s">
        <v>8</v>
      </c>
      <c r="N444" t="s">
        <v>7</v>
      </c>
      <c r="P444">
        <f t="shared" si="974"/>
        <v>-0.36842105263157876</v>
      </c>
      <c r="Q444">
        <f t="shared" si="975"/>
        <v>-3355684.2568421033</v>
      </c>
      <c r="R444">
        <f t="shared" si="976"/>
        <v>303053004.82096529</v>
      </c>
      <c r="S444">
        <f t="shared" si="977"/>
        <v>3030.5300482096527</v>
      </c>
      <c r="T444">
        <f t="shared" si="978"/>
        <v>3.0305300482096529</v>
      </c>
    </row>
    <row r="445" spans="1:20" x14ac:dyDescent="0.25">
      <c r="A445" s="5">
        <v>44148</v>
      </c>
      <c r="B445">
        <v>0.46539999999999998</v>
      </c>
      <c r="C445">
        <v>0.49259999999999998</v>
      </c>
      <c r="D445">
        <v>0.46429999999999999</v>
      </c>
      <c r="E445">
        <v>0.48870000000000002</v>
      </c>
      <c r="F445">
        <v>8310455.9900000002</v>
      </c>
      <c r="G445">
        <v>0</v>
      </c>
      <c r="L445" t="s">
        <v>8</v>
      </c>
      <c r="M445" t="s">
        <v>8</v>
      </c>
      <c r="N445" t="s">
        <v>7</v>
      </c>
      <c r="P445">
        <f t="shared" si="974"/>
        <v>0.72438162544169893</v>
      </c>
      <c r="Q445">
        <f t="shared" si="975"/>
        <v>6019941.618197903</v>
      </c>
      <c r="R445">
        <f t="shared" si="976"/>
        <v>306408689.07780737</v>
      </c>
      <c r="S445">
        <f t="shared" si="977"/>
        <v>3064.0868907780737</v>
      </c>
      <c r="T445">
        <f t="shared" si="978"/>
        <v>3.0640868907780736</v>
      </c>
    </row>
    <row r="446" spans="1:20" x14ac:dyDescent="0.25">
      <c r="A446" s="5">
        <v>44147</v>
      </c>
      <c r="B446">
        <v>0.47699999999999998</v>
      </c>
      <c r="C446">
        <v>0.48959999999999998</v>
      </c>
      <c r="D446">
        <v>0.46329999999999999</v>
      </c>
      <c r="E446">
        <v>0.46550000000000002</v>
      </c>
      <c r="F446">
        <v>9654828.1199999992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-0.83269961977186036</v>
      </c>
      <c r="Q446">
        <f t="shared" si="975"/>
        <v>-8039571.7044866644</v>
      </c>
      <c r="R446">
        <f t="shared" si="976"/>
        <v>300388747.45960945</v>
      </c>
      <c r="S446">
        <f t="shared" si="977"/>
        <v>3003.8874745960943</v>
      </c>
      <c r="T446">
        <f t="shared" si="978"/>
        <v>3.0038874745960942</v>
      </c>
    </row>
    <row r="447" spans="1:20" x14ac:dyDescent="0.25">
      <c r="A447" s="5">
        <v>44146</v>
      </c>
      <c r="B447">
        <v>0.48080000000000001</v>
      </c>
      <c r="C447">
        <v>0.49580000000000002</v>
      </c>
      <c r="D447">
        <v>0.47589999999999999</v>
      </c>
      <c r="E447">
        <v>0.47699999999999998</v>
      </c>
      <c r="F447">
        <v>12453121.51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-0.88944723618090571</v>
      </c>
      <c r="Q447">
        <f t="shared" si="975"/>
        <v>-11076394.508894486</v>
      </c>
      <c r="R447">
        <f t="shared" si="976"/>
        <v>308428319.16409612</v>
      </c>
      <c r="S447">
        <f t="shared" si="977"/>
        <v>3084.2831916409614</v>
      </c>
      <c r="T447">
        <f t="shared" si="978"/>
        <v>3.0842831916409614</v>
      </c>
    </row>
    <row r="448" spans="1:20" x14ac:dyDescent="0.25">
      <c r="A448" s="5">
        <v>44145</v>
      </c>
      <c r="B448">
        <v>0.46889999999999998</v>
      </c>
      <c r="C448">
        <v>0.48620000000000002</v>
      </c>
      <c r="D448">
        <v>0.46489999999999998</v>
      </c>
      <c r="E448">
        <v>0.48080000000000001</v>
      </c>
      <c r="F448">
        <v>10564029.65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0.49295774647887275</v>
      </c>
      <c r="Q448">
        <f t="shared" si="975"/>
        <v>5207620.2499999953</v>
      </c>
      <c r="R448">
        <f t="shared" si="976"/>
        <v>319504713.67299062</v>
      </c>
      <c r="S448">
        <f t="shared" si="977"/>
        <v>3195.047136729906</v>
      </c>
      <c r="T448">
        <f t="shared" si="978"/>
        <v>3.1950471367299058</v>
      </c>
    </row>
    <row r="449" spans="1:20" x14ac:dyDescent="0.25">
      <c r="A449" s="5">
        <v>44144</v>
      </c>
      <c r="B449">
        <v>0.47089999999999999</v>
      </c>
      <c r="C449">
        <v>0.48</v>
      </c>
      <c r="D449">
        <v>0.45029999999999998</v>
      </c>
      <c r="E449">
        <v>0.46889999999999998</v>
      </c>
      <c r="F449">
        <v>11758989.859999999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0.25252525252525271</v>
      </c>
      <c r="Q449">
        <f t="shared" si="975"/>
        <v>2969441.8838383858</v>
      </c>
      <c r="R449">
        <f t="shared" si="976"/>
        <v>314297093.42299062</v>
      </c>
      <c r="S449">
        <f t="shared" si="977"/>
        <v>3142.9709342299061</v>
      </c>
      <c r="T449">
        <f t="shared" si="978"/>
        <v>3.1429709342299059</v>
      </c>
    </row>
    <row r="450" spans="1:20" x14ac:dyDescent="0.25">
      <c r="A450" s="5">
        <v>44143</v>
      </c>
      <c r="B450">
        <v>0.44269999999999998</v>
      </c>
      <c r="C450">
        <v>0.47370000000000001</v>
      </c>
      <c r="D450">
        <v>0.43819999999999998</v>
      </c>
      <c r="E450">
        <v>0.4708</v>
      </c>
      <c r="F450">
        <v>8961182.4399999995</v>
      </c>
      <c r="G450">
        <v>0</v>
      </c>
      <c r="L450" t="s">
        <v>7</v>
      </c>
      <c r="M450" t="s">
        <v>8</v>
      </c>
      <c r="N450" t="s">
        <v>7</v>
      </c>
      <c r="P450">
        <f t="shared" si="974"/>
        <v>0.83661971830985848</v>
      </c>
      <c r="Q450">
        <f t="shared" si="975"/>
        <v>7497101.9286760502</v>
      </c>
      <c r="R450">
        <f t="shared" si="976"/>
        <v>311327651.5391522</v>
      </c>
      <c r="S450">
        <f t="shared" si="977"/>
        <v>3113.276515391522</v>
      </c>
      <c r="T450">
        <f t="shared" si="978"/>
        <v>3.1132765153915218</v>
      </c>
    </row>
    <row r="451" spans="1:20" x14ac:dyDescent="0.25">
      <c r="A451" s="5">
        <v>44142</v>
      </c>
      <c r="B451">
        <v>0.47449999999999998</v>
      </c>
      <c r="C451">
        <v>0.49609999999999999</v>
      </c>
      <c r="D451">
        <v>0.43440000000000001</v>
      </c>
      <c r="E451">
        <v>0.44219999999999998</v>
      </c>
      <c r="F451">
        <v>29006587.170000002</v>
      </c>
      <c r="G451">
        <v>0</v>
      </c>
      <c r="L451" t="s">
        <v>8</v>
      </c>
      <c r="M451" t="s">
        <v>8</v>
      </c>
      <c r="N451" t="s">
        <v>7</v>
      </c>
      <c r="P451">
        <f t="shared" si="974"/>
        <v>-0.74716369529983873</v>
      </c>
      <c r="Q451">
        <f t="shared" si="975"/>
        <v>-21672668.857974093</v>
      </c>
      <c r="R451">
        <f t="shared" si="976"/>
        <v>303830549.61047614</v>
      </c>
      <c r="S451">
        <f t="shared" si="977"/>
        <v>3038.3054961047615</v>
      </c>
      <c r="T451">
        <f t="shared" si="978"/>
        <v>3.0383054961047615</v>
      </c>
    </row>
    <row r="452" spans="1:20" x14ac:dyDescent="0.25">
      <c r="A452" s="5">
        <v>44141</v>
      </c>
      <c r="B452">
        <v>0.434</v>
      </c>
      <c r="C452">
        <v>0.47570000000000001</v>
      </c>
      <c r="D452">
        <v>0.43130000000000002</v>
      </c>
      <c r="E452">
        <v>0.47410000000000002</v>
      </c>
      <c r="F452">
        <v>15039615.439999999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0.92792792792792833</v>
      </c>
      <c r="Q452">
        <f t="shared" si="975"/>
        <v>13955679.192072077</v>
      </c>
      <c r="R452">
        <f t="shared" si="976"/>
        <v>325503218.46845025</v>
      </c>
      <c r="S452">
        <f t="shared" si="977"/>
        <v>3255.0321846845027</v>
      </c>
      <c r="T452">
        <f t="shared" si="978"/>
        <v>3.2550321846845027</v>
      </c>
    </row>
    <row r="453" spans="1:20" x14ac:dyDescent="0.25">
      <c r="A453" s="5">
        <v>44140</v>
      </c>
      <c r="B453">
        <v>0.41930000000000001</v>
      </c>
      <c r="C453">
        <v>0.43980000000000002</v>
      </c>
      <c r="D453">
        <v>0.4138</v>
      </c>
      <c r="E453">
        <v>0.434</v>
      </c>
      <c r="F453">
        <v>11295792.880000001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0.5538461538461521</v>
      </c>
      <c r="Q453">
        <f t="shared" si="975"/>
        <v>6256131.4412307497</v>
      </c>
      <c r="R453">
        <f t="shared" si="976"/>
        <v>311547539.27637815</v>
      </c>
      <c r="S453">
        <f t="shared" si="977"/>
        <v>3115.4753927637817</v>
      </c>
      <c r="T453">
        <f t="shared" si="978"/>
        <v>3.1154753927637815</v>
      </c>
    </row>
    <row r="454" spans="1:20" x14ac:dyDescent="0.25">
      <c r="A454" s="5">
        <v>44139</v>
      </c>
      <c r="B454">
        <v>0.42430000000000001</v>
      </c>
      <c r="C454">
        <v>0.42499999999999999</v>
      </c>
      <c r="D454">
        <v>0.40329999999999999</v>
      </c>
      <c r="E454">
        <v>0.41880000000000001</v>
      </c>
      <c r="F454">
        <v>8727650.0600000005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0.42857142857143005</v>
      </c>
      <c r="Q454">
        <f t="shared" ref="Q454:Q517" si="980">F454*P454</f>
        <v>3740421.4542857273</v>
      </c>
      <c r="R454">
        <f t="shared" ref="R454:R517" si="981">R455+Q454</f>
        <v>305291407.83514738</v>
      </c>
      <c r="S454">
        <f t="shared" ref="S454:S517" si="982">R454/100000</f>
        <v>3052.914078351474</v>
      </c>
      <c r="T454">
        <f t="shared" ref="T454:T517" si="983">S454/1000</f>
        <v>3.0529140783514741</v>
      </c>
    </row>
    <row r="455" spans="1:20" x14ac:dyDescent="0.25">
      <c r="A455" s="5">
        <v>44138</v>
      </c>
      <c r="B455">
        <v>0.43380000000000002</v>
      </c>
      <c r="C455">
        <v>0.437</v>
      </c>
      <c r="D455">
        <v>0.40629999999999999</v>
      </c>
      <c r="E455">
        <v>0.42420000000000002</v>
      </c>
      <c r="F455">
        <v>11471470.91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0.16612377850163024</v>
      </c>
      <c r="Q455">
        <f t="shared" si="980"/>
        <v>1905684.0925407347</v>
      </c>
      <c r="R455">
        <f t="shared" si="981"/>
        <v>301550986.38086164</v>
      </c>
      <c r="S455">
        <f t="shared" si="982"/>
        <v>3015.5098638086165</v>
      </c>
      <c r="T455">
        <f t="shared" si="983"/>
        <v>3.0155098638086164</v>
      </c>
    </row>
    <row r="456" spans="1:20" x14ac:dyDescent="0.25">
      <c r="A456" s="5">
        <v>44137</v>
      </c>
      <c r="B456">
        <v>0.45479999999999998</v>
      </c>
      <c r="C456">
        <v>0.46410000000000001</v>
      </c>
      <c r="D456">
        <v>0.43180000000000002</v>
      </c>
      <c r="E456">
        <v>0.43380000000000002</v>
      </c>
      <c r="F456">
        <v>10918623.880000001</v>
      </c>
      <c r="G456">
        <v>0</v>
      </c>
      <c r="L456" t="s">
        <v>8</v>
      </c>
      <c r="M456" t="s">
        <v>7</v>
      </c>
      <c r="N456" t="s">
        <v>7</v>
      </c>
      <c r="P456">
        <f t="shared" si="979"/>
        <v>-0.87616099071207421</v>
      </c>
      <c r="Q456">
        <f t="shared" si="980"/>
        <v>-9566472.3159133121</v>
      </c>
      <c r="R456">
        <f t="shared" si="981"/>
        <v>299645302.2883209</v>
      </c>
      <c r="S456">
        <f t="shared" si="982"/>
        <v>2996.4530228832091</v>
      </c>
      <c r="T456">
        <f t="shared" si="983"/>
        <v>2.9964530228832089</v>
      </c>
    </row>
    <row r="457" spans="1:20" x14ac:dyDescent="0.25">
      <c r="A457" s="5">
        <v>44136</v>
      </c>
      <c r="B457">
        <v>0.44330000000000003</v>
      </c>
      <c r="C457">
        <v>0.45479999999999998</v>
      </c>
      <c r="D457">
        <v>0.43669999999999998</v>
      </c>
      <c r="E457">
        <v>0.45469999999999999</v>
      </c>
      <c r="F457">
        <v>7318347.5800000001</v>
      </c>
      <c r="G457">
        <v>0</v>
      </c>
      <c r="L457" t="s">
        <v>8</v>
      </c>
      <c r="M457" t="s">
        <v>7</v>
      </c>
      <c r="N457" t="s">
        <v>7</v>
      </c>
      <c r="P457">
        <f t="shared" si="979"/>
        <v>0.98895027624309517</v>
      </c>
      <c r="Q457">
        <f t="shared" si="980"/>
        <v>7237481.8608839875</v>
      </c>
      <c r="R457">
        <f t="shared" si="981"/>
        <v>309211774.60423422</v>
      </c>
      <c r="S457">
        <f t="shared" si="982"/>
        <v>3092.1177460423423</v>
      </c>
      <c r="T457">
        <f t="shared" si="983"/>
        <v>3.0921177460423421</v>
      </c>
    </row>
    <row r="458" spans="1:20" x14ac:dyDescent="0.25">
      <c r="A458" s="5">
        <v>44135</v>
      </c>
      <c r="B458">
        <v>0.44600000000000001</v>
      </c>
      <c r="C458">
        <v>0.46029999999999999</v>
      </c>
      <c r="D458">
        <v>0.44130000000000003</v>
      </c>
      <c r="E458">
        <v>0.44369999999999998</v>
      </c>
      <c r="F458">
        <v>9904341.8399999999</v>
      </c>
      <c r="G458">
        <v>0</v>
      </c>
      <c r="L458" t="s">
        <v>8</v>
      </c>
      <c r="M458" t="s">
        <v>7</v>
      </c>
      <c r="N458" t="s">
        <v>7</v>
      </c>
      <c r="P458">
        <f t="shared" si="979"/>
        <v>-0.74736842105263557</v>
      </c>
      <c r="Q458">
        <f t="shared" si="980"/>
        <v>-7402192.3225263553</v>
      </c>
      <c r="R458">
        <f t="shared" si="981"/>
        <v>301974292.74335021</v>
      </c>
      <c r="S458">
        <f t="shared" si="982"/>
        <v>3019.7429274335022</v>
      </c>
      <c r="T458">
        <f t="shared" si="983"/>
        <v>3.0197429274335024</v>
      </c>
    </row>
    <row r="459" spans="1:20" x14ac:dyDescent="0.25">
      <c r="A459" s="5">
        <v>44134</v>
      </c>
      <c r="B459">
        <v>0.45340000000000003</v>
      </c>
      <c r="C459">
        <v>0.45639999999999997</v>
      </c>
      <c r="D459">
        <v>0.41799999999999998</v>
      </c>
      <c r="E459">
        <v>0.4461</v>
      </c>
      <c r="F459">
        <v>17591365.98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0.4635416666666678</v>
      </c>
      <c r="Q459">
        <f t="shared" si="980"/>
        <v>8154331.1053125197</v>
      </c>
      <c r="R459">
        <f t="shared" si="981"/>
        <v>309376485.06587654</v>
      </c>
      <c r="S459">
        <f t="shared" si="982"/>
        <v>3093.7648506587652</v>
      </c>
      <c r="T459">
        <f t="shared" si="983"/>
        <v>3.0937648506587654</v>
      </c>
    </row>
    <row r="460" spans="1:20" x14ac:dyDescent="0.25">
      <c r="A460" s="5">
        <v>44133</v>
      </c>
      <c r="B460">
        <v>0.47499999999999998</v>
      </c>
      <c r="C460">
        <v>0.48670000000000002</v>
      </c>
      <c r="D460">
        <v>0.44190000000000002</v>
      </c>
      <c r="E460">
        <v>0.4536</v>
      </c>
      <c r="F460">
        <v>15978413.779999999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-0.47767857142857201</v>
      </c>
      <c r="Q460">
        <f t="shared" si="980"/>
        <v>-7632545.8681250094</v>
      </c>
      <c r="R460">
        <f t="shared" si="981"/>
        <v>301222153.96056402</v>
      </c>
      <c r="S460">
        <f t="shared" si="982"/>
        <v>3012.2215396056404</v>
      </c>
      <c r="T460">
        <f t="shared" si="983"/>
        <v>3.0122215396056404</v>
      </c>
    </row>
    <row r="461" spans="1:20" x14ac:dyDescent="0.25">
      <c r="A461" s="5">
        <v>44132</v>
      </c>
      <c r="B461">
        <v>0.51049999999999995</v>
      </c>
      <c r="C461">
        <v>0.51339999999999997</v>
      </c>
      <c r="D461">
        <v>0.4677</v>
      </c>
      <c r="E461">
        <v>0.4753</v>
      </c>
      <c r="F461">
        <v>19851738.68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-0.66739606126914652</v>
      </c>
      <c r="Q461">
        <f t="shared" si="980"/>
        <v>-13248972.204376366</v>
      </c>
      <c r="R461">
        <f t="shared" si="981"/>
        <v>308854699.82868904</v>
      </c>
      <c r="S461">
        <f t="shared" si="982"/>
        <v>3088.5469982868904</v>
      </c>
      <c r="T461">
        <f t="shared" si="983"/>
        <v>3.0885469982868905</v>
      </c>
    </row>
    <row r="462" spans="1:20" x14ac:dyDescent="0.25">
      <c r="A462" s="5">
        <v>44131</v>
      </c>
      <c r="B462">
        <v>0.51470000000000005</v>
      </c>
      <c r="C462">
        <v>0.52490000000000003</v>
      </c>
      <c r="D462">
        <v>0.50070000000000003</v>
      </c>
      <c r="E462">
        <v>0.51019999999999999</v>
      </c>
      <c r="F462">
        <v>12608170.699999999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-0.2148760330578551</v>
      </c>
      <c r="Q462">
        <f t="shared" si="980"/>
        <v>-2709193.7041322798</v>
      </c>
      <c r="R462">
        <f t="shared" si="981"/>
        <v>322103672.03306538</v>
      </c>
      <c r="S462">
        <f t="shared" si="982"/>
        <v>3221.0367203306537</v>
      </c>
      <c r="T462">
        <f t="shared" si="983"/>
        <v>3.2210367203306536</v>
      </c>
    </row>
    <row r="463" spans="1:20" x14ac:dyDescent="0.25">
      <c r="A463" s="5">
        <v>44130</v>
      </c>
      <c r="B463">
        <v>0.53659999999999997</v>
      </c>
      <c r="C463">
        <v>0.54410000000000003</v>
      </c>
      <c r="D463">
        <v>0.50609999999999999</v>
      </c>
      <c r="E463">
        <v>0.51490000000000002</v>
      </c>
      <c r="F463">
        <v>8761583.7899999991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-0.53684210526315668</v>
      </c>
      <c r="Q463">
        <f t="shared" si="980"/>
        <v>-4703587.0872631464</v>
      </c>
      <c r="R463">
        <f t="shared" si="981"/>
        <v>324812865.73719764</v>
      </c>
      <c r="S463">
        <f t="shared" si="982"/>
        <v>3248.1286573719763</v>
      </c>
      <c r="T463">
        <f t="shared" si="983"/>
        <v>3.2481286573719763</v>
      </c>
    </row>
    <row r="464" spans="1:20" x14ac:dyDescent="0.25">
      <c r="A464" s="5">
        <v>44129</v>
      </c>
      <c r="B464">
        <v>0.54849999999999999</v>
      </c>
      <c r="C464">
        <v>0.55179999999999996</v>
      </c>
      <c r="D464">
        <v>0.53249999999999997</v>
      </c>
      <c r="E464">
        <v>0.53659999999999997</v>
      </c>
      <c r="F464">
        <v>5442048.3799999999</v>
      </c>
      <c r="G464">
        <v>0</v>
      </c>
      <c r="L464" t="s">
        <v>7</v>
      </c>
      <c r="M464" t="s">
        <v>7</v>
      </c>
      <c r="N464" t="s">
        <v>7</v>
      </c>
      <c r="P464">
        <f t="shared" si="979"/>
        <v>-0.57512953367875685</v>
      </c>
      <c r="Q464">
        <f t="shared" si="980"/>
        <v>-3129882.7470466341</v>
      </c>
      <c r="R464">
        <f t="shared" si="981"/>
        <v>329516452.8244608</v>
      </c>
      <c r="S464">
        <f t="shared" si="982"/>
        <v>3295.1645282446079</v>
      </c>
      <c r="T464">
        <f t="shared" si="983"/>
        <v>3.2951645282446078</v>
      </c>
    </row>
    <row r="465" spans="1:20" x14ac:dyDescent="0.25">
      <c r="A465" s="5">
        <v>44128</v>
      </c>
      <c r="B465">
        <v>0.54210000000000003</v>
      </c>
      <c r="C465">
        <v>0.55369999999999997</v>
      </c>
      <c r="D465">
        <v>0.53979999999999995</v>
      </c>
      <c r="E465">
        <v>0.54849999999999999</v>
      </c>
      <c r="F465">
        <v>5353681.2300000004</v>
      </c>
      <c r="G465">
        <v>0</v>
      </c>
      <c r="L465" t="s">
        <v>7</v>
      </c>
      <c r="M465" t="s">
        <v>7</v>
      </c>
      <c r="N465" t="s">
        <v>7</v>
      </c>
      <c r="P465">
        <f t="shared" si="979"/>
        <v>0.25179856115108296</v>
      </c>
      <c r="Q465">
        <f t="shared" si="980"/>
        <v>1348049.2305755601</v>
      </c>
      <c r="R465">
        <f t="shared" si="981"/>
        <v>332646335.57150745</v>
      </c>
      <c r="S465">
        <f t="shared" si="982"/>
        <v>3326.4633557150746</v>
      </c>
      <c r="T465">
        <f t="shared" si="983"/>
        <v>3.3264633557150747</v>
      </c>
    </row>
    <row r="466" spans="1:20" x14ac:dyDescent="0.25">
      <c r="A466" s="5">
        <v>44127</v>
      </c>
      <c r="B466">
        <v>0.55359999999999998</v>
      </c>
      <c r="C466">
        <v>0.55710000000000004</v>
      </c>
      <c r="D466">
        <v>0.53059999999999996</v>
      </c>
      <c r="E466">
        <v>0.5423</v>
      </c>
      <c r="F466">
        <v>8141823.2699999996</v>
      </c>
      <c r="G466">
        <v>0</v>
      </c>
      <c r="L466" t="s">
        <v>7</v>
      </c>
      <c r="M466" t="s">
        <v>7</v>
      </c>
      <c r="N466" t="s">
        <v>7</v>
      </c>
      <c r="P466">
        <f t="shared" si="979"/>
        <v>-0.11698113207547103</v>
      </c>
      <c r="Q466">
        <f t="shared" si="980"/>
        <v>-952439.70328301343</v>
      </c>
      <c r="R466">
        <f t="shared" si="981"/>
        <v>331298286.34093189</v>
      </c>
      <c r="S466">
        <f t="shared" si="982"/>
        <v>3312.9828634093187</v>
      </c>
      <c r="T466">
        <f t="shared" si="983"/>
        <v>3.3129828634093186</v>
      </c>
    </row>
    <row r="467" spans="1:20" x14ac:dyDescent="0.25">
      <c r="A467" s="5">
        <v>44126</v>
      </c>
      <c r="B467">
        <v>0.54690000000000005</v>
      </c>
      <c r="C467">
        <v>0.5675</v>
      </c>
      <c r="D467">
        <v>0.54679999999999995</v>
      </c>
      <c r="E467">
        <v>0.55369999999999997</v>
      </c>
      <c r="F467">
        <v>9351595.9199999999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-0.33333333333333331</v>
      </c>
      <c r="Q467">
        <f t="shared" si="980"/>
        <v>-3117198.6399999997</v>
      </c>
      <c r="R467">
        <f t="shared" si="981"/>
        <v>332250726.0442149</v>
      </c>
      <c r="S467">
        <f t="shared" si="982"/>
        <v>3322.5072604421489</v>
      </c>
      <c r="T467">
        <f t="shared" si="983"/>
        <v>3.3225072604421491</v>
      </c>
    </row>
    <row r="468" spans="1:20" x14ac:dyDescent="0.25">
      <c r="A468" s="5">
        <v>44125</v>
      </c>
      <c r="B468">
        <v>0.51580000000000004</v>
      </c>
      <c r="C468">
        <v>0.55720000000000003</v>
      </c>
      <c r="D468">
        <v>0.51219999999999999</v>
      </c>
      <c r="E468">
        <v>0.54700000000000004</v>
      </c>
      <c r="F468">
        <v>14069248.49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0.54666666666666763</v>
      </c>
      <c r="Q468">
        <f t="shared" si="980"/>
        <v>7691189.1745333467</v>
      </c>
      <c r="R468">
        <f t="shared" si="981"/>
        <v>335367924.68421489</v>
      </c>
      <c r="S468">
        <f t="shared" si="982"/>
        <v>3353.679246842149</v>
      </c>
      <c r="T468">
        <f t="shared" si="983"/>
        <v>3.353679246842149</v>
      </c>
    </row>
    <row r="469" spans="1:20" x14ac:dyDescent="0.25">
      <c r="A469" s="5">
        <v>44124</v>
      </c>
      <c r="B469">
        <v>0.56330000000000002</v>
      </c>
      <c r="C469">
        <v>0.56559999999999999</v>
      </c>
      <c r="D469">
        <v>0.51229999999999998</v>
      </c>
      <c r="E469">
        <v>0.51600000000000001</v>
      </c>
      <c r="F469">
        <v>14173825.07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-0.86116322701688419</v>
      </c>
      <c r="Q469">
        <f t="shared" si="980"/>
        <v>-12205976.936454015</v>
      </c>
      <c r="R469">
        <f t="shared" si="981"/>
        <v>327676735.50968152</v>
      </c>
      <c r="S469">
        <f t="shared" si="982"/>
        <v>3276.7673550968152</v>
      </c>
      <c r="T469">
        <f t="shared" si="983"/>
        <v>3.276767355096815</v>
      </c>
    </row>
    <row r="470" spans="1:20" x14ac:dyDescent="0.25">
      <c r="A470" s="5">
        <v>44123</v>
      </c>
      <c r="B470">
        <v>0.55630000000000002</v>
      </c>
      <c r="C470">
        <v>0.57169999999999999</v>
      </c>
      <c r="D470">
        <v>0.54759999999999998</v>
      </c>
      <c r="E470">
        <v>0.56340000000000001</v>
      </c>
      <c r="F470">
        <v>6331521.4699999997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0.31120331950207714</v>
      </c>
      <c r="Q470">
        <f t="shared" si="980"/>
        <v>1970390.498962671</v>
      </c>
      <c r="R470">
        <f t="shared" si="981"/>
        <v>339882712.44613552</v>
      </c>
      <c r="S470">
        <f t="shared" si="982"/>
        <v>3398.8271244613552</v>
      </c>
      <c r="T470">
        <f t="shared" si="983"/>
        <v>3.3988271244613553</v>
      </c>
    </row>
    <row r="471" spans="1:20" x14ac:dyDescent="0.25">
      <c r="A471" s="5">
        <v>44122</v>
      </c>
      <c r="B471">
        <v>0.55969999999999998</v>
      </c>
      <c r="C471">
        <v>0.56599999999999995</v>
      </c>
      <c r="D471">
        <v>0.55420000000000003</v>
      </c>
      <c r="E471">
        <v>0.55620000000000003</v>
      </c>
      <c r="F471">
        <v>3983360.31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-0.66101694915253983</v>
      </c>
      <c r="Q471">
        <f t="shared" si="980"/>
        <v>-2633068.6794915153</v>
      </c>
      <c r="R471">
        <f t="shared" si="981"/>
        <v>337912321.94717282</v>
      </c>
      <c r="S471">
        <f t="shared" si="982"/>
        <v>3379.1232194717281</v>
      </c>
      <c r="T471">
        <f t="shared" si="983"/>
        <v>3.3791232194717282</v>
      </c>
    </row>
    <row r="472" spans="1:20" x14ac:dyDescent="0.25">
      <c r="A472" s="5">
        <v>44121</v>
      </c>
      <c r="B472">
        <v>0.54810000000000003</v>
      </c>
      <c r="C472">
        <v>0.56640000000000001</v>
      </c>
      <c r="D472">
        <v>0.54110000000000003</v>
      </c>
      <c r="E472">
        <v>0.55940000000000001</v>
      </c>
      <c r="F472">
        <v>6593876.2199999997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0.44664031620553285</v>
      </c>
      <c r="Q472">
        <f t="shared" si="980"/>
        <v>2945090.9599209437</v>
      </c>
      <c r="R472">
        <f t="shared" si="981"/>
        <v>340545390.62666434</v>
      </c>
      <c r="S472">
        <f t="shared" si="982"/>
        <v>3405.4539062666436</v>
      </c>
      <c r="T472">
        <f t="shared" si="983"/>
        <v>3.4054539062666436</v>
      </c>
    </row>
    <row r="473" spans="1:20" x14ac:dyDescent="0.25">
      <c r="A473" s="5">
        <v>44120</v>
      </c>
      <c r="B473">
        <v>0.56240000000000001</v>
      </c>
      <c r="C473">
        <v>0.5696</v>
      </c>
      <c r="D473">
        <v>0.5333</v>
      </c>
      <c r="E473">
        <v>0.54720000000000002</v>
      </c>
      <c r="F473">
        <v>10219984.92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-0.23415977961432374</v>
      </c>
      <c r="Q473">
        <f t="shared" si="980"/>
        <v>-2393109.4165289123</v>
      </c>
      <c r="R473">
        <f t="shared" si="981"/>
        <v>337600299.6667434</v>
      </c>
      <c r="S473">
        <f t="shared" si="982"/>
        <v>3376.0029966674338</v>
      </c>
      <c r="T473">
        <f t="shared" si="983"/>
        <v>3.3760029966674336</v>
      </c>
    </row>
    <row r="474" spans="1:20" x14ac:dyDescent="0.25">
      <c r="A474" s="5">
        <v>44119</v>
      </c>
      <c r="B474">
        <v>0.57020000000000004</v>
      </c>
      <c r="C474">
        <v>0.57110000000000005</v>
      </c>
      <c r="D474">
        <v>0.54859999999999998</v>
      </c>
      <c r="E474">
        <v>0.56210000000000004</v>
      </c>
      <c r="F474">
        <v>8497151.1500000004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0.20000000000000198</v>
      </c>
      <c r="Q474">
        <f t="shared" si="980"/>
        <v>1699430.230000017</v>
      </c>
      <c r="R474">
        <f t="shared" si="981"/>
        <v>339993409.08327234</v>
      </c>
      <c r="S474">
        <f t="shared" si="982"/>
        <v>3399.9340908327235</v>
      </c>
      <c r="T474">
        <f t="shared" si="983"/>
        <v>3.3999340908327236</v>
      </c>
    </row>
    <row r="475" spans="1:20" x14ac:dyDescent="0.25">
      <c r="A475" s="5">
        <v>44118</v>
      </c>
      <c r="B475">
        <v>0.57999999999999996</v>
      </c>
      <c r="C475">
        <v>0.58730000000000004</v>
      </c>
      <c r="D475">
        <v>0.56069999999999998</v>
      </c>
      <c r="E475">
        <v>0.57020000000000004</v>
      </c>
      <c r="F475">
        <v>9215039.5700000003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-0.28571428571428276</v>
      </c>
      <c r="Q475">
        <f t="shared" si="980"/>
        <v>-2632868.4485714012</v>
      </c>
      <c r="R475">
        <f t="shared" si="981"/>
        <v>338293978.85327232</v>
      </c>
      <c r="S475">
        <f t="shared" si="982"/>
        <v>3382.939788532723</v>
      </c>
      <c r="T475">
        <f t="shared" si="983"/>
        <v>3.382939788532723</v>
      </c>
    </row>
    <row r="476" spans="1:20" x14ac:dyDescent="0.25">
      <c r="A476" s="5">
        <v>44117</v>
      </c>
      <c r="B476">
        <v>0.58750000000000002</v>
      </c>
      <c r="C476">
        <v>0.59150000000000003</v>
      </c>
      <c r="D476">
        <v>0.5706</v>
      </c>
      <c r="E476">
        <v>0.57979999999999998</v>
      </c>
      <c r="F476">
        <v>12169694.34</v>
      </c>
      <c r="G476">
        <v>0</v>
      </c>
      <c r="L476" t="s">
        <v>7</v>
      </c>
      <c r="M476" t="s">
        <v>7</v>
      </c>
      <c r="N476" t="s">
        <v>7</v>
      </c>
      <c r="P476">
        <f t="shared" si="979"/>
        <v>-0.11961722488038537</v>
      </c>
      <c r="Q476">
        <f t="shared" si="980"/>
        <v>-1455705.0645933331</v>
      </c>
      <c r="R476">
        <f t="shared" si="981"/>
        <v>340926847.3018437</v>
      </c>
      <c r="S476">
        <f t="shared" si="982"/>
        <v>3409.2684730184369</v>
      </c>
      <c r="T476">
        <f t="shared" si="983"/>
        <v>3.4092684730184368</v>
      </c>
    </row>
    <row r="477" spans="1:20" x14ac:dyDescent="0.25">
      <c r="A477" s="5">
        <v>44116</v>
      </c>
      <c r="B477">
        <v>0.59199999999999997</v>
      </c>
      <c r="C477">
        <v>0.6</v>
      </c>
      <c r="D477">
        <v>0.57410000000000005</v>
      </c>
      <c r="E477">
        <v>0.5877</v>
      </c>
      <c r="F477">
        <v>11403226.74</v>
      </c>
      <c r="G477">
        <v>0</v>
      </c>
      <c r="L477" t="s">
        <v>7</v>
      </c>
      <c r="M477" t="s">
        <v>7</v>
      </c>
      <c r="N477" t="s">
        <v>7</v>
      </c>
      <c r="P477">
        <f t="shared" si="979"/>
        <v>5.01930501930491E-2</v>
      </c>
      <c r="Q477">
        <f t="shared" si="980"/>
        <v>572362.73212353967</v>
      </c>
      <c r="R477">
        <f t="shared" si="981"/>
        <v>342382552.36643702</v>
      </c>
      <c r="S477">
        <f t="shared" si="982"/>
        <v>3423.8255236643704</v>
      </c>
      <c r="T477">
        <f t="shared" si="983"/>
        <v>3.4238255236643704</v>
      </c>
    </row>
    <row r="478" spans="1:20" x14ac:dyDescent="0.25">
      <c r="A478" s="5">
        <v>44115</v>
      </c>
      <c r="B478">
        <v>0.58579999999999999</v>
      </c>
      <c r="C478">
        <v>0.59940000000000004</v>
      </c>
      <c r="D478">
        <v>0.57899999999999996</v>
      </c>
      <c r="E478">
        <v>0.59209999999999996</v>
      </c>
      <c r="F478">
        <v>12048127.18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0.28431372549019079</v>
      </c>
      <c r="Q478">
        <f t="shared" si="980"/>
        <v>3425447.9237254267</v>
      </c>
      <c r="R478">
        <f t="shared" si="981"/>
        <v>341810189.63431346</v>
      </c>
      <c r="S478">
        <f t="shared" si="982"/>
        <v>3418.1018963431347</v>
      </c>
      <c r="T478">
        <f t="shared" si="983"/>
        <v>3.4181018963431349</v>
      </c>
    </row>
    <row r="479" spans="1:20" x14ac:dyDescent="0.25">
      <c r="A479" s="5">
        <v>44114</v>
      </c>
      <c r="B479">
        <v>0.59219999999999995</v>
      </c>
      <c r="C479">
        <v>0.61450000000000005</v>
      </c>
      <c r="D479">
        <v>0.58179999999999998</v>
      </c>
      <c r="E479">
        <v>0.58579999999999999</v>
      </c>
      <c r="F479">
        <v>13170105.449999999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-0.75535168195718683</v>
      </c>
      <c r="Q479">
        <f t="shared" si="980"/>
        <v>-9948061.3032110129</v>
      </c>
      <c r="R479">
        <f t="shared" si="981"/>
        <v>338384741.71058804</v>
      </c>
      <c r="S479">
        <f t="shared" si="982"/>
        <v>3383.8474171058806</v>
      </c>
      <c r="T479">
        <f t="shared" si="983"/>
        <v>3.3838474171058808</v>
      </c>
    </row>
    <row r="480" spans="1:20" x14ac:dyDescent="0.25">
      <c r="A480" s="5">
        <v>44113</v>
      </c>
      <c r="B480">
        <v>0.57779999999999998</v>
      </c>
      <c r="C480">
        <v>0.59570000000000001</v>
      </c>
      <c r="D480">
        <v>0.56589999999999996</v>
      </c>
      <c r="E480">
        <v>0.59219999999999995</v>
      </c>
      <c r="F480">
        <v>15203323.140000001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0.76510067114093605</v>
      </c>
      <c r="Q480">
        <f t="shared" si="980"/>
        <v>11632072.737986524</v>
      </c>
      <c r="R480">
        <f t="shared" si="981"/>
        <v>348332803.01379907</v>
      </c>
      <c r="S480">
        <f t="shared" si="982"/>
        <v>3483.3280301379909</v>
      </c>
      <c r="T480">
        <f t="shared" si="983"/>
        <v>3.483328030137991</v>
      </c>
    </row>
    <row r="481" spans="1:20" x14ac:dyDescent="0.25">
      <c r="A481" s="5">
        <v>44112</v>
      </c>
      <c r="B481">
        <v>0.56589999999999996</v>
      </c>
      <c r="C481">
        <v>0.58179999999999998</v>
      </c>
      <c r="D481">
        <v>0.54020000000000001</v>
      </c>
      <c r="E481">
        <v>0.57799999999999996</v>
      </c>
      <c r="F481">
        <v>11250592.779999999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0.81730769230769096</v>
      </c>
      <c r="Q481">
        <f t="shared" si="980"/>
        <v>9195196.0221153684</v>
      </c>
      <c r="R481">
        <f t="shared" si="981"/>
        <v>336700730.27581257</v>
      </c>
      <c r="S481">
        <f t="shared" si="982"/>
        <v>3367.0073027581257</v>
      </c>
      <c r="T481">
        <f t="shared" si="983"/>
        <v>3.3670073027581258</v>
      </c>
    </row>
    <row r="482" spans="1:20" x14ac:dyDescent="0.25">
      <c r="A482" s="5">
        <v>44111</v>
      </c>
      <c r="B482">
        <v>0.55720000000000003</v>
      </c>
      <c r="C482">
        <v>0.57089999999999996</v>
      </c>
      <c r="D482">
        <v>0.5363</v>
      </c>
      <c r="E482">
        <v>0.56589999999999996</v>
      </c>
      <c r="F482">
        <v>10205279.970000001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0.71098265895953705</v>
      </c>
      <c r="Q482">
        <f t="shared" si="980"/>
        <v>7255777.0884971051</v>
      </c>
      <c r="R482">
        <f t="shared" si="981"/>
        <v>327505534.25369722</v>
      </c>
      <c r="S482">
        <f t="shared" si="982"/>
        <v>3275.0553425369721</v>
      </c>
      <c r="T482">
        <f t="shared" si="983"/>
        <v>3.2750553425369722</v>
      </c>
    </row>
    <row r="483" spans="1:20" x14ac:dyDescent="0.25">
      <c r="A483" s="5">
        <v>44110</v>
      </c>
      <c r="B483">
        <v>0.59899999999999998</v>
      </c>
      <c r="C483">
        <v>0.60070000000000001</v>
      </c>
      <c r="D483">
        <v>0.54869999999999997</v>
      </c>
      <c r="E483">
        <v>0.55720000000000003</v>
      </c>
      <c r="F483">
        <v>11569859.66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-0.67307692307692091</v>
      </c>
      <c r="Q483">
        <f t="shared" si="980"/>
        <v>-7787405.5403845906</v>
      </c>
      <c r="R483">
        <f t="shared" si="981"/>
        <v>320249757.16520011</v>
      </c>
      <c r="S483">
        <f t="shared" si="982"/>
        <v>3202.4975716520012</v>
      </c>
      <c r="T483">
        <f t="shared" si="983"/>
        <v>3.202497571652001</v>
      </c>
    </row>
    <row r="484" spans="1:20" x14ac:dyDescent="0.25">
      <c r="A484" s="5">
        <v>44109</v>
      </c>
      <c r="B484">
        <v>0.5988</v>
      </c>
      <c r="C484">
        <v>0.60680000000000001</v>
      </c>
      <c r="D484">
        <v>0.5837</v>
      </c>
      <c r="E484">
        <v>0.59830000000000005</v>
      </c>
      <c r="F484">
        <v>5065219.54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0.26406926406926851</v>
      </c>
      <c r="Q484">
        <f t="shared" si="980"/>
        <v>1337568.7962770788</v>
      </c>
      <c r="R484">
        <f t="shared" si="981"/>
        <v>328037162.7055847</v>
      </c>
      <c r="S484">
        <f t="shared" si="982"/>
        <v>3280.3716270558471</v>
      </c>
      <c r="T484">
        <f t="shared" si="983"/>
        <v>3.280371627055847</v>
      </c>
    </row>
    <row r="485" spans="1:20" x14ac:dyDescent="0.25">
      <c r="A485" s="5">
        <v>44108</v>
      </c>
      <c r="B485">
        <v>0.59240000000000004</v>
      </c>
      <c r="C485">
        <v>0.60250000000000004</v>
      </c>
      <c r="D485">
        <v>0.57620000000000005</v>
      </c>
      <c r="E485">
        <v>0.59889999999999999</v>
      </c>
      <c r="F485">
        <v>4998113.25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0.72623574144486325</v>
      </c>
      <c r="Q485">
        <f t="shared" si="980"/>
        <v>3629808.4819391454</v>
      </c>
      <c r="R485">
        <f t="shared" si="981"/>
        <v>326699593.9093076</v>
      </c>
      <c r="S485">
        <f t="shared" si="982"/>
        <v>3266.9959390930758</v>
      </c>
      <c r="T485">
        <f t="shared" si="983"/>
        <v>3.2669959390930758</v>
      </c>
    </row>
    <row r="486" spans="1:20" x14ac:dyDescent="0.25">
      <c r="A486" s="5">
        <v>44107</v>
      </c>
      <c r="B486">
        <v>0.59840000000000004</v>
      </c>
      <c r="C486">
        <v>0.60840000000000005</v>
      </c>
      <c r="D486">
        <v>0.58630000000000004</v>
      </c>
      <c r="E486">
        <v>0.59189999999999998</v>
      </c>
      <c r="F486">
        <v>4583506.34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-0.49321266968326372</v>
      </c>
      <c r="Q486">
        <f t="shared" si="980"/>
        <v>-2260643.3984615649</v>
      </c>
      <c r="R486">
        <f t="shared" si="981"/>
        <v>323069785.42736846</v>
      </c>
      <c r="S486">
        <f t="shared" si="982"/>
        <v>3230.6978542736847</v>
      </c>
      <c r="T486">
        <f t="shared" si="983"/>
        <v>3.2306978542736848</v>
      </c>
    </row>
    <row r="487" spans="1:20" x14ac:dyDescent="0.25">
      <c r="A487" s="5">
        <v>44106</v>
      </c>
      <c r="B487">
        <v>0.61799999999999999</v>
      </c>
      <c r="C487">
        <v>0.61799999999999999</v>
      </c>
      <c r="D487">
        <v>0.56610000000000005</v>
      </c>
      <c r="E487">
        <v>0.59819999999999995</v>
      </c>
      <c r="F487">
        <v>11998730.4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0.23699421965317688</v>
      </c>
      <c r="Q487">
        <f t="shared" si="980"/>
        <v>2843629.7479768512</v>
      </c>
      <c r="R487">
        <f t="shared" si="981"/>
        <v>325330428.82583004</v>
      </c>
      <c r="S487">
        <f t="shared" si="982"/>
        <v>3253.3042882583004</v>
      </c>
      <c r="T487">
        <f t="shared" si="983"/>
        <v>3.2533042882583003</v>
      </c>
    </row>
    <row r="488" spans="1:20" x14ac:dyDescent="0.25">
      <c r="A488" s="5">
        <v>44105</v>
      </c>
      <c r="B488">
        <v>0.62809999999999999</v>
      </c>
      <c r="C488">
        <v>0.65339999999999998</v>
      </c>
      <c r="D488">
        <v>0.60460000000000003</v>
      </c>
      <c r="E488">
        <v>0.61850000000000005</v>
      </c>
      <c r="F488">
        <v>11097934.109999999</v>
      </c>
      <c r="G488">
        <v>0</v>
      </c>
      <c r="L488" t="s">
        <v>7</v>
      </c>
      <c r="M488" t="s">
        <v>8</v>
      </c>
      <c r="N488" t="s">
        <v>7</v>
      </c>
      <c r="P488">
        <f t="shared" si="979"/>
        <v>-0.43032786885245755</v>
      </c>
      <c r="Q488">
        <f t="shared" si="980"/>
        <v>-4775750.3342212951</v>
      </c>
      <c r="R488">
        <f t="shared" si="981"/>
        <v>322486799.0778532</v>
      </c>
      <c r="S488">
        <f t="shared" si="982"/>
        <v>3224.8679907785322</v>
      </c>
      <c r="T488">
        <f t="shared" si="983"/>
        <v>3.2248679907785323</v>
      </c>
    </row>
    <row r="489" spans="1:20" x14ac:dyDescent="0.25">
      <c r="A489" s="5">
        <v>44104</v>
      </c>
      <c r="B489">
        <v>0.64</v>
      </c>
      <c r="C489">
        <v>0.64080000000000004</v>
      </c>
      <c r="D489">
        <v>0.60980000000000001</v>
      </c>
      <c r="E489">
        <v>0.62780000000000002</v>
      </c>
      <c r="F489">
        <v>11492312.220000001</v>
      </c>
      <c r="G489">
        <v>0</v>
      </c>
      <c r="L489" t="s">
        <v>7</v>
      </c>
      <c r="M489" t="s">
        <v>8</v>
      </c>
      <c r="N489" t="s">
        <v>7</v>
      </c>
      <c r="P489">
        <f t="shared" si="979"/>
        <v>0.16129032258064516</v>
      </c>
      <c r="Q489">
        <f t="shared" si="980"/>
        <v>1853598.7451612903</v>
      </c>
      <c r="R489">
        <f t="shared" si="981"/>
        <v>327262549.41207451</v>
      </c>
      <c r="S489">
        <f t="shared" si="982"/>
        <v>3272.6254941207449</v>
      </c>
      <c r="T489">
        <f t="shared" si="983"/>
        <v>3.2726254941207449</v>
      </c>
    </row>
    <row r="490" spans="1:20" x14ac:dyDescent="0.25">
      <c r="A490" s="5">
        <v>44103</v>
      </c>
      <c r="B490">
        <v>0.63839999999999997</v>
      </c>
      <c r="C490">
        <v>0.65059999999999996</v>
      </c>
      <c r="D490">
        <v>0.61419999999999997</v>
      </c>
      <c r="E490">
        <v>0.64</v>
      </c>
      <c r="F490">
        <v>10330211.27</v>
      </c>
      <c r="G490">
        <v>0</v>
      </c>
      <c r="L490" t="s">
        <v>7</v>
      </c>
      <c r="M490" t="s">
        <v>8</v>
      </c>
      <c r="N490" t="s">
        <v>7</v>
      </c>
      <c r="P490">
        <f t="shared" si="979"/>
        <v>0.41758241758242054</v>
      </c>
      <c r="Q490">
        <f t="shared" si="980"/>
        <v>4313714.5962637663</v>
      </c>
      <c r="R490">
        <f t="shared" si="981"/>
        <v>325408950.66691321</v>
      </c>
      <c r="S490">
        <f t="shared" si="982"/>
        <v>3254.0895066691323</v>
      </c>
      <c r="T490">
        <f t="shared" si="983"/>
        <v>3.2540895066691324</v>
      </c>
    </row>
    <row r="491" spans="1:20" x14ac:dyDescent="0.25">
      <c r="A491" s="5">
        <v>44102</v>
      </c>
      <c r="B491">
        <v>0.66259999999999997</v>
      </c>
      <c r="C491">
        <v>0.67620000000000002</v>
      </c>
      <c r="D491">
        <v>0.63470000000000004</v>
      </c>
      <c r="E491">
        <v>0.63900000000000001</v>
      </c>
      <c r="F491">
        <v>14174701.460000001</v>
      </c>
      <c r="G491">
        <v>0</v>
      </c>
      <c r="L491" t="s">
        <v>7</v>
      </c>
      <c r="M491" t="s">
        <v>8</v>
      </c>
      <c r="N491" t="s">
        <v>7</v>
      </c>
      <c r="P491">
        <f t="shared" si="979"/>
        <v>-0.79277108433735077</v>
      </c>
      <c r="Q491">
        <f t="shared" si="980"/>
        <v>-11237293.44660243</v>
      </c>
      <c r="R491">
        <f t="shared" si="981"/>
        <v>321095236.07064945</v>
      </c>
      <c r="S491">
        <f t="shared" si="982"/>
        <v>3210.9523607064943</v>
      </c>
      <c r="T491">
        <f t="shared" si="983"/>
        <v>3.2109523607064943</v>
      </c>
    </row>
    <row r="492" spans="1:20" x14ac:dyDescent="0.25">
      <c r="A492" s="5">
        <v>44101</v>
      </c>
      <c r="B492">
        <v>0.68879999999999997</v>
      </c>
      <c r="C492">
        <v>0.69579999999999997</v>
      </c>
      <c r="D492">
        <v>0.64580000000000004</v>
      </c>
      <c r="E492">
        <v>0.66239999999999999</v>
      </c>
      <c r="F492">
        <v>12650044.470000001</v>
      </c>
      <c r="G492">
        <v>0</v>
      </c>
      <c r="L492" t="s">
        <v>7</v>
      </c>
      <c r="M492" t="s">
        <v>8</v>
      </c>
      <c r="N492" t="s">
        <v>7</v>
      </c>
      <c r="P492">
        <f t="shared" si="979"/>
        <v>-0.33600000000000119</v>
      </c>
      <c r="Q492">
        <f t="shared" si="980"/>
        <v>-4250414.941920015</v>
      </c>
      <c r="R492">
        <f t="shared" si="981"/>
        <v>332332529.51725185</v>
      </c>
      <c r="S492">
        <f t="shared" si="982"/>
        <v>3323.3252951725185</v>
      </c>
      <c r="T492">
        <f t="shared" si="983"/>
        <v>3.3233252951725185</v>
      </c>
    </row>
    <row r="493" spans="1:20" x14ac:dyDescent="0.25">
      <c r="A493" s="5">
        <v>44100</v>
      </c>
      <c r="B493">
        <v>0.65329999999999999</v>
      </c>
      <c r="C493">
        <v>0.70430000000000004</v>
      </c>
      <c r="D493">
        <v>0.64759999999999995</v>
      </c>
      <c r="E493">
        <v>0.68830000000000002</v>
      </c>
      <c r="F493">
        <v>16776372.99</v>
      </c>
      <c r="G493">
        <v>0</v>
      </c>
      <c r="L493" t="s">
        <v>8</v>
      </c>
      <c r="M493" t="s">
        <v>8</v>
      </c>
      <c r="N493" t="s">
        <v>7</v>
      </c>
      <c r="P493">
        <f t="shared" si="979"/>
        <v>0.43562610229276927</v>
      </c>
      <c r="Q493">
        <f t="shared" si="980"/>
        <v>7308225.9762433916</v>
      </c>
      <c r="R493">
        <f t="shared" si="981"/>
        <v>336582944.45917189</v>
      </c>
      <c r="S493">
        <f t="shared" si="982"/>
        <v>3365.829444591719</v>
      </c>
      <c r="T493">
        <f t="shared" si="983"/>
        <v>3.3658294445917192</v>
      </c>
    </row>
    <row r="494" spans="1:20" x14ac:dyDescent="0.25">
      <c r="A494" s="5">
        <v>44099</v>
      </c>
      <c r="B494">
        <v>0.63629999999999998</v>
      </c>
      <c r="C494">
        <v>0.66559999999999997</v>
      </c>
      <c r="D494">
        <v>0.62239999999999995</v>
      </c>
      <c r="E494">
        <v>0.65329999999999999</v>
      </c>
      <c r="F494">
        <v>14245104.279999999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0.4305555555555568</v>
      </c>
      <c r="Q494">
        <f t="shared" si="980"/>
        <v>6133308.7872222401</v>
      </c>
      <c r="R494">
        <f t="shared" si="981"/>
        <v>329274718.48292851</v>
      </c>
      <c r="S494">
        <f t="shared" si="982"/>
        <v>3292.7471848292853</v>
      </c>
      <c r="T494">
        <f t="shared" si="983"/>
        <v>3.2927471848292851</v>
      </c>
    </row>
    <row r="495" spans="1:20" x14ac:dyDescent="0.25">
      <c r="A495" s="5">
        <v>44098</v>
      </c>
      <c r="B495">
        <v>0.58040000000000003</v>
      </c>
      <c r="C495">
        <v>0.64380000000000004</v>
      </c>
      <c r="D495">
        <v>0.57199999999999995</v>
      </c>
      <c r="E495">
        <v>0.63649999999999995</v>
      </c>
      <c r="F495">
        <v>18165269.879999999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0.79665738161559674</v>
      </c>
      <c r="Q495">
        <f t="shared" si="980"/>
        <v>14471496.338941464</v>
      </c>
      <c r="R495">
        <f t="shared" si="981"/>
        <v>323141409.69570625</v>
      </c>
      <c r="S495">
        <f t="shared" si="982"/>
        <v>3231.4140969570626</v>
      </c>
      <c r="T495">
        <f t="shared" si="983"/>
        <v>3.2314140969570628</v>
      </c>
    </row>
    <row r="496" spans="1:20" x14ac:dyDescent="0.25">
      <c r="A496" s="5">
        <v>44097</v>
      </c>
      <c r="B496">
        <v>0.64749999999999996</v>
      </c>
      <c r="C496">
        <v>0.65839999999999999</v>
      </c>
      <c r="D496">
        <v>0.57650000000000001</v>
      </c>
      <c r="E496">
        <v>0.57979999999999998</v>
      </c>
      <c r="F496">
        <v>16598310.050000001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-0.91941391941392014</v>
      </c>
      <c r="Q496">
        <f t="shared" si="980"/>
        <v>-15260717.298717961</v>
      </c>
      <c r="R496">
        <f t="shared" si="981"/>
        <v>308669913.35676479</v>
      </c>
      <c r="S496">
        <f t="shared" si="982"/>
        <v>3086.699133567648</v>
      </c>
      <c r="T496">
        <f t="shared" si="983"/>
        <v>3.0866991335676479</v>
      </c>
    </row>
    <row r="497" spans="1:20" x14ac:dyDescent="0.25">
      <c r="A497" s="5">
        <v>44096</v>
      </c>
      <c r="B497">
        <v>0.64349999999999996</v>
      </c>
      <c r="C497">
        <v>0.65759999999999996</v>
      </c>
      <c r="D497">
        <v>0.61939999999999995</v>
      </c>
      <c r="E497">
        <v>0.64729999999999999</v>
      </c>
      <c r="F497">
        <v>11843448.699999999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0.46073298429319515</v>
      </c>
      <c r="Q497">
        <f t="shared" si="980"/>
        <v>5456667.4638743624</v>
      </c>
      <c r="R497">
        <f t="shared" si="981"/>
        <v>323930630.65548277</v>
      </c>
      <c r="S497">
        <f t="shared" si="982"/>
        <v>3239.3063065548276</v>
      </c>
      <c r="T497">
        <f t="shared" si="983"/>
        <v>3.2393063065548278</v>
      </c>
    </row>
    <row r="498" spans="1:20" x14ac:dyDescent="0.25">
      <c r="A498" s="5">
        <v>44095</v>
      </c>
      <c r="B498">
        <v>0.71250000000000002</v>
      </c>
      <c r="C498">
        <v>0.7288</v>
      </c>
      <c r="D498">
        <v>0.62549999999999994</v>
      </c>
      <c r="E498">
        <v>0.64319999999999999</v>
      </c>
      <c r="F498">
        <v>25873482.710000001</v>
      </c>
      <c r="G498">
        <v>0</v>
      </c>
      <c r="L498" t="s">
        <v>7</v>
      </c>
      <c r="M498" t="s">
        <v>7</v>
      </c>
      <c r="N498" t="s">
        <v>8</v>
      </c>
      <c r="P498">
        <f t="shared" si="979"/>
        <v>-0.6573088092933197</v>
      </c>
      <c r="Q498">
        <f t="shared" si="980"/>
        <v>-17006868.112381395</v>
      </c>
      <c r="R498">
        <f t="shared" si="981"/>
        <v>318473963.19160843</v>
      </c>
      <c r="S498">
        <f t="shared" si="982"/>
        <v>3184.7396319160844</v>
      </c>
      <c r="T498">
        <f t="shared" si="983"/>
        <v>3.1847396319160843</v>
      </c>
    </row>
    <row r="499" spans="1:20" x14ac:dyDescent="0.25">
      <c r="A499" s="5">
        <v>44094</v>
      </c>
      <c r="B499">
        <v>0.7681</v>
      </c>
      <c r="C499">
        <v>0.78280000000000005</v>
      </c>
      <c r="D499">
        <v>0.70099999999999996</v>
      </c>
      <c r="E499">
        <v>0.71299999999999997</v>
      </c>
      <c r="F499">
        <v>19319228.850000001</v>
      </c>
      <c r="G499">
        <v>0</v>
      </c>
      <c r="L499" t="s">
        <v>7</v>
      </c>
      <c r="M499" t="s">
        <v>7</v>
      </c>
      <c r="N499" t="s">
        <v>8</v>
      </c>
      <c r="P499">
        <f t="shared" si="979"/>
        <v>-0.70660146699266513</v>
      </c>
      <c r="Q499">
        <f t="shared" si="980"/>
        <v>-13650995.44657702</v>
      </c>
      <c r="R499">
        <f t="shared" si="981"/>
        <v>335480831.30398983</v>
      </c>
      <c r="S499">
        <f t="shared" si="982"/>
        <v>3354.8083130398982</v>
      </c>
      <c r="T499">
        <f t="shared" si="983"/>
        <v>3.3548083130398982</v>
      </c>
    </row>
    <row r="500" spans="1:20" x14ac:dyDescent="0.25">
      <c r="A500" s="5">
        <v>44093</v>
      </c>
      <c r="B500">
        <v>0.80449999999999999</v>
      </c>
      <c r="C500">
        <v>0.81879999999999997</v>
      </c>
      <c r="D500">
        <v>0.7581</v>
      </c>
      <c r="E500">
        <v>0.76870000000000005</v>
      </c>
      <c r="F500">
        <v>22372441.27</v>
      </c>
      <c r="G500">
        <v>0</v>
      </c>
      <c r="L500" t="s">
        <v>7</v>
      </c>
      <c r="M500" t="s">
        <v>8</v>
      </c>
      <c r="N500" t="s">
        <v>8</v>
      </c>
      <c r="P500">
        <f t="shared" si="979"/>
        <v>-0.65074135090609364</v>
      </c>
      <c r="Q500">
        <f t="shared" si="980"/>
        <v>-14558672.655107042</v>
      </c>
      <c r="R500">
        <f t="shared" si="981"/>
        <v>349131826.75056684</v>
      </c>
      <c r="S500">
        <f t="shared" si="982"/>
        <v>3491.3182675056682</v>
      </c>
      <c r="T500">
        <f t="shared" si="983"/>
        <v>3.4913182675056684</v>
      </c>
    </row>
    <row r="501" spans="1:20" x14ac:dyDescent="0.25">
      <c r="A501" s="5">
        <v>44092</v>
      </c>
      <c r="B501">
        <v>0.83179999999999998</v>
      </c>
      <c r="C501">
        <v>0.85550000000000004</v>
      </c>
      <c r="D501">
        <v>0.7883</v>
      </c>
      <c r="E501">
        <v>0.80469999999999997</v>
      </c>
      <c r="F501">
        <v>39149859.579999998</v>
      </c>
      <c r="G501">
        <v>0</v>
      </c>
      <c r="L501" t="s">
        <v>7</v>
      </c>
      <c r="M501" t="s">
        <v>8</v>
      </c>
      <c r="N501" t="s">
        <v>8</v>
      </c>
      <c r="P501">
        <f t="shared" si="979"/>
        <v>-0.51190476190476308</v>
      </c>
      <c r="Q501">
        <f t="shared" si="980"/>
        <v>-20040999.546904806</v>
      </c>
      <c r="R501">
        <f t="shared" si="981"/>
        <v>363690499.40567386</v>
      </c>
      <c r="S501">
        <f t="shared" si="982"/>
        <v>3636.9049940567388</v>
      </c>
      <c r="T501">
        <f t="shared" si="983"/>
        <v>3.6369049940567386</v>
      </c>
    </row>
    <row r="502" spans="1:20" x14ac:dyDescent="0.25">
      <c r="A502" s="5">
        <v>44091</v>
      </c>
      <c r="B502">
        <v>0.82169999999999999</v>
      </c>
      <c r="C502">
        <v>0.85550000000000004</v>
      </c>
      <c r="D502">
        <v>0.78200000000000003</v>
      </c>
      <c r="E502">
        <v>0.83179999999999998</v>
      </c>
      <c r="F502">
        <v>40193538.630000003</v>
      </c>
      <c r="G502">
        <v>0</v>
      </c>
      <c r="L502" t="s">
        <v>8</v>
      </c>
      <c r="M502" t="s">
        <v>8</v>
      </c>
      <c r="N502" t="s">
        <v>8</v>
      </c>
      <c r="P502">
        <f t="shared" si="979"/>
        <v>0.35510204081632513</v>
      </c>
      <c r="Q502">
        <f t="shared" si="980"/>
        <v>14272807.595142802</v>
      </c>
      <c r="R502">
        <f t="shared" si="981"/>
        <v>383731498.95257866</v>
      </c>
      <c r="S502">
        <f t="shared" si="982"/>
        <v>3837.3149895257866</v>
      </c>
      <c r="T502">
        <f t="shared" si="983"/>
        <v>3.8373149895257868</v>
      </c>
    </row>
    <row r="503" spans="1:20" x14ac:dyDescent="0.25">
      <c r="A503" s="5">
        <v>44090</v>
      </c>
      <c r="B503">
        <v>0.79459999999999997</v>
      </c>
      <c r="C503">
        <v>0.89680000000000004</v>
      </c>
      <c r="D503">
        <v>0.76229999999999998</v>
      </c>
      <c r="E503">
        <v>0.82189999999999996</v>
      </c>
      <c r="F503">
        <v>63660385.990000002</v>
      </c>
      <c r="G503">
        <v>0</v>
      </c>
      <c r="L503" t="s">
        <v>7</v>
      </c>
      <c r="M503" t="s">
        <v>8</v>
      </c>
      <c r="N503" t="s">
        <v>8</v>
      </c>
      <c r="P503">
        <f t="shared" si="979"/>
        <v>-0.11375464684014933</v>
      </c>
      <c r="Q503">
        <f t="shared" si="980"/>
        <v>-7241664.7260000398</v>
      </c>
      <c r="R503">
        <f t="shared" si="981"/>
        <v>369458691.35743588</v>
      </c>
      <c r="S503">
        <f t="shared" si="982"/>
        <v>3694.5869135743587</v>
      </c>
      <c r="T503">
        <f t="shared" si="983"/>
        <v>3.6945869135743585</v>
      </c>
    </row>
    <row r="504" spans="1:20" x14ac:dyDescent="0.25">
      <c r="A504" s="5">
        <v>44089</v>
      </c>
      <c r="B504">
        <v>0.85519999999999996</v>
      </c>
      <c r="C504">
        <v>0.88</v>
      </c>
      <c r="D504">
        <v>0.78949999999999998</v>
      </c>
      <c r="E504">
        <v>0.79469999999999996</v>
      </c>
      <c r="F504">
        <v>45140312.119999997</v>
      </c>
      <c r="G504">
        <v>0</v>
      </c>
      <c r="L504" t="s">
        <v>7</v>
      </c>
      <c r="M504" t="s">
        <v>8</v>
      </c>
      <c r="N504" t="s">
        <v>8</v>
      </c>
      <c r="P504">
        <f t="shared" si="979"/>
        <v>-0.88508287292817722</v>
      </c>
      <c r="Q504">
        <f t="shared" si="980"/>
        <v>-39952917.136044219</v>
      </c>
      <c r="R504">
        <f t="shared" si="981"/>
        <v>376700356.08343589</v>
      </c>
      <c r="S504">
        <f t="shared" si="982"/>
        <v>3767.0035608343587</v>
      </c>
      <c r="T504">
        <f t="shared" si="983"/>
        <v>3.7670035608343588</v>
      </c>
    </row>
    <row r="505" spans="1:20" x14ac:dyDescent="0.25">
      <c r="A505" s="5">
        <v>44088</v>
      </c>
      <c r="B505">
        <v>0.77110000000000001</v>
      </c>
      <c r="C505">
        <v>0.89290000000000003</v>
      </c>
      <c r="D505">
        <v>0.7429</v>
      </c>
      <c r="E505">
        <v>0.85560000000000003</v>
      </c>
      <c r="F505">
        <v>55413344.030000001</v>
      </c>
      <c r="G505">
        <v>0</v>
      </c>
      <c r="L505" t="s">
        <v>8</v>
      </c>
      <c r="M505" t="s">
        <v>8</v>
      </c>
      <c r="N505" t="s">
        <v>8</v>
      </c>
      <c r="P505">
        <f t="shared" si="979"/>
        <v>0.50266666666666671</v>
      </c>
      <c r="Q505">
        <f t="shared" si="980"/>
        <v>27854440.932413336</v>
      </c>
      <c r="R505">
        <f t="shared" si="981"/>
        <v>416653273.2194801</v>
      </c>
      <c r="S505">
        <f t="shared" si="982"/>
        <v>4166.5327321948007</v>
      </c>
      <c r="T505">
        <f t="shared" si="983"/>
        <v>4.1665327321948009</v>
      </c>
    </row>
    <row r="506" spans="1:20" x14ac:dyDescent="0.25">
      <c r="A506" s="5">
        <v>44087</v>
      </c>
      <c r="B506">
        <v>0.80869999999999997</v>
      </c>
      <c r="C506">
        <v>0.80989999999999995</v>
      </c>
      <c r="D506">
        <v>0.72609999999999997</v>
      </c>
      <c r="E506">
        <v>0.77080000000000004</v>
      </c>
      <c r="F506">
        <v>27818090.82</v>
      </c>
      <c r="G506">
        <v>0</v>
      </c>
      <c r="L506" t="s">
        <v>7</v>
      </c>
      <c r="M506" t="s">
        <v>7</v>
      </c>
      <c r="N506" t="s">
        <v>8</v>
      </c>
      <c r="P506">
        <f t="shared" si="979"/>
        <v>6.6825775656326511E-2</v>
      </c>
      <c r="Q506">
        <f t="shared" si="980"/>
        <v>1858965.496324636</v>
      </c>
      <c r="R506">
        <f t="shared" si="981"/>
        <v>388798832.28706676</v>
      </c>
      <c r="S506">
        <f t="shared" si="982"/>
        <v>3887.9883228706676</v>
      </c>
      <c r="T506">
        <f t="shared" si="983"/>
        <v>3.8879883228706675</v>
      </c>
    </row>
    <row r="507" spans="1:20" x14ac:dyDescent="0.25">
      <c r="A507" s="5">
        <v>44086</v>
      </c>
      <c r="B507">
        <v>0.85809999999999997</v>
      </c>
      <c r="C507">
        <v>0.86319999999999997</v>
      </c>
      <c r="D507">
        <v>0.78910000000000002</v>
      </c>
      <c r="E507">
        <v>0.80969999999999998</v>
      </c>
      <c r="F507">
        <v>23890985.579999998</v>
      </c>
      <c r="G507">
        <v>0</v>
      </c>
      <c r="L507" t="s">
        <v>7</v>
      </c>
      <c r="M507" t="s">
        <v>8</v>
      </c>
      <c r="N507" t="s">
        <v>8</v>
      </c>
      <c r="P507">
        <f t="shared" si="979"/>
        <v>-0.44399460188933959</v>
      </c>
      <c r="Q507">
        <f t="shared" si="980"/>
        <v>-10607468.631336052</v>
      </c>
      <c r="R507">
        <f t="shared" si="981"/>
        <v>386939866.7907421</v>
      </c>
      <c r="S507">
        <f t="shared" si="982"/>
        <v>3869.398667907421</v>
      </c>
      <c r="T507">
        <f t="shared" si="983"/>
        <v>3.8693986679074208</v>
      </c>
    </row>
    <row r="508" spans="1:20" x14ac:dyDescent="0.25">
      <c r="A508" s="5">
        <v>44085</v>
      </c>
      <c r="B508">
        <v>0.76690000000000003</v>
      </c>
      <c r="C508">
        <v>0.87639999999999996</v>
      </c>
      <c r="D508">
        <v>0.72399999999999998</v>
      </c>
      <c r="E508">
        <v>0.85829999999999995</v>
      </c>
      <c r="F508">
        <v>35624572.399999999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0.76246719160104981</v>
      </c>
      <c r="Q508">
        <f t="shared" si="980"/>
        <v>27162567.66981627</v>
      </c>
      <c r="R508">
        <f t="shared" si="981"/>
        <v>397547335.42207813</v>
      </c>
      <c r="S508">
        <f t="shared" si="982"/>
        <v>3975.4733542207814</v>
      </c>
      <c r="T508">
        <f t="shared" si="983"/>
        <v>3.9754733542207812</v>
      </c>
    </row>
    <row r="509" spans="1:20" x14ac:dyDescent="0.25">
      <c r="A509" s="5">
        <v>44084</v>
      </c>
      <c r="B509">
        <v>0.68210000000000004</v>
      </c>
      <c r="C509">
        <v>0.77290000000000003</v>
      </c>
      <c r="D509">
        <v>0.66959999999999997</v>
      </c>
      <c r="E509">
        <v>0.76629999999999998</v>
      </c>
      <c r="F509">
        <v>20534228.710000001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0.87221684414327116</v>
      </c>
      <c r="Q509">
        <f t="shared" si="980"/>
        <v>17910300.162352353</v>
      </c>
      <c r="R509">
        <f t="shared" si="981"/>
        <v>370384767.75226188</v>
      </c>
      <c r="S509">
        <f t="shared" si="982"/>
        <v>3703.8476775226186</v>
      </c>
      <c r="T509">
        <f t="shared" si="983"/>
        <v>3.7038476775226186</v>
      </c>
    </row>
    <row r="510" spans="1:20" x14ac:dyDescent="0.25">
      <c r="A510" s="5">
        <v>44083</v>
      </c>
      <c r="B510">
        <v>0.67479999999999996</v>
      </c>
      <c r="C510">
        <v>0.69979999999999998</v>
      </c>
      <c r="D510">
        <v>0.64810000000000001</v>
      </c>
      <c r="E510">
        <v>0.68179999999999996</v>
      </c>
      <c r="F510">
        <v>20041587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0.30367504835589837</v>
      </c>
      <c r="Q510">
        <f t="shared" si="980"/>
        <v>6086129.9013539441</v>
      </c>
      <c r="R510">
        <f t="shared" si="981"/>
        <v>352474467.58990949</v>
      </c>
      <c r="S510">
        <f t="shared" si="982"/>
        <v>3524.744675899095</v>
      </c>
      <c r="T510">
        <f t="shared" si="983"/>
        <v>3.524744675899095</v>
      </c>
    </row>
    <row r="511" spans="1:20" x14ac:dyDescent="0.25">
      <c r="A511" s="5">
        <v>44082</v>
      </c>
      <c r="B511">
        <v>0.63649999999999995</v>
      </c>
      <c r="C511">
        <v>0.67630000000000001</v>
      </c>
      <c r="D511">
        <v>0.61329999999999996</v>
      </c>
      <c r="E511">
        <v>0.67559999999999998</v>
      </c>
      <c r="F511">
        <v>28756612.210000001</v>
      </c>
      <c r="G511">
        <v>0</v>
      </c>
      <c r="L511" t="s">
        <v>8</v>
      </c>
      <c r="M511" t="s">
        <v>7</v>
      </c>
      <c r="N511" t="s">
        <v>7</v>
      </c>
      <c r="P511">
        <f t="shared" si="979"/>
        <v>0.97777777777777675</v>
      </c>
      <c r="Q511">
        <f t="shared" si="980"/>
        <v>28117576.383111082</v>
      </c>
      <c r="R511">
        <f t="shared" si="981"/>
        <v>346388337.68855554</v>
      </c>
      <c r="S511">
        <f t="shared" si="982"/>
        <v>3463.8833768855552</v>
      </c>
      <c r="T511">
        <f t="shared" si="983"/>
        <v>3.4638833768855553</v>
      </c>
    </row>
    <row r="512" spans="1:20" x14ac:dyDescent="0.25">
      <c r="A512" s="5">
        <v>44081</v>
      </c>
      <c r="B512">
        <v>0.64300000000000002</v>
      </c>
      <c r="C512">
        <v>0.66949999999999998</v>
      </c>
      <c r="D512">
        <v>0.58089999999999997</v>
      </c>
      <c r="E512">
        <v>0.63649999999999995</v>
      </c>
      <c r="F512">
        <v>24118710.850000001</v>
      </c>
      <c r="G512">
        <v>0</v>
      </c>
      <c r="L512" t="s">
        <v>7</v>
      </c>
      <c r="M512" t="s">
        <v>7</v>
      </c>
      <c r="N512" t="s">
        <v>7</v>
      </c>
      <c r="P512">
        <f t="shared" si="979"/>
        <v>0.25507900677200845</v>
      </c>
      <c r="Q512">
        <f t="shared" si="980"/>
        <v>6152176.8082392644</v>
      </c>
      <c r="R512">
        <f t="shared" si="981"/>
        <v>318270761.30544448</v>
      </c>
      <c r="S512">
        <f t="shared" si="982"/>
        <v>3182.7076130544447</v>
      </c>
      <c r="T512">
        <f t="shared" si="983"/>
        <v>3.1827076130544447</v>
      </c>
    </row>
    <row r="513" spans="1:20" x14ac:dyDescent="0.25">
      <c r="A513" s="5">
        <v>44080</v>
      </c>
      <c r="B513">
        <v>0.63319999999999999</v>
      </c>
      <c r="C513">
        <v>0.6593</v>
      </c>
      <c r="D513">
        <v>0.59250000000000003</v>
      </c>
      <c r="E513">
        <v>0.64329999999999998</v>
      </c>
      <c r="F513">
        <v>24830686.800000001</v>
      </c>
      <c r="G513">
        <v>0</v>
      </c>
      <c r="L513" t="s">
        <v>7</v>
      </c>
      <c r="M513" t="s">
        <v>8</v>
      </c>
      <c r="N513" t="s">
        <v>7</v>
      </c>
      <c r="P513">
        <f t="shared" si="979"/>
        <v>0.52095808383233466</v>
      </c>
      <c r="Q513">
        <f t="shared" si="980"/>
        <v>12935747.015568847</v>
      </c>
      <c r="R513">
        <f t="shared" si="981"/>
        <v>312118584.4972052</v>
      </c>
      <c r="S513">
        <f t="shared" si="982"/>
        <v>3121.1858449720521</v>
      </c>
      <c r="T513">
        <f t="shared" si="983"/>
        <v>3.121185844972052</v>
      </c>
    </row>
    <row r="514" spans="1:20" x14ac:dyDescent="0.25">
      <c r="A514" s="5">
        <v>44079</v>
      </c>
      <c r="B514">
        <v>0.64690000000000003</v>
      </c>
      <c r="C514">
        <v>0.69569999999999999</v>
      </c>
      <c r="D514">
        <v>0.60050000000000003</v>
      </c>
      <c r="E514">
        <v>0.63339999999999996</v>
      </c>
      <c r="F514">
        <v>51053870.18</v>
      </c>
      <c r="G514">
        <v>0</v>
      </c>
      <c r="L514" t="s">
        <v>8</v>
      </c>
      <c r="M514" t="s">
        <v>8</v>
      </c>
      <c r="N514" t="s">
        <v>7</v>
      </c>
      <c r="P514">
        <f t="shared" si="979"/>
        <v>-0.30882352941176583</v>
      </c>
      <c r="Q514">
        <f t="shared" si="980"/>
        <v>-15766636.379117705</v>
      </c>
      <c r="R514">
        <f t="shared" si="981"/>
        <v>299182837.48163635</v>
      </c>
      <c r="S514">
        <f t="shared" si="982"/>
        <v>2991.8283748163635</v>
      </c>
      <c r="T514">
        <f t="shared" si="983"/>
        <v>2.9918283748163637</v>
      </c>
    </row>
    <row r="515" spans="1:20" x14ac:dyDescent="0.25">
      <c r="A515" s="5">
        <v>44078</v>
      </c>
      <c r="B515">
        <v>0.61119999999999997</v>
      </c>
      <c r="C515">
        <v>0.67930000000000001</v>
      </c>
      <c r="D515">
        <v>0.55110000000000003</v>
      </c>
      <c r="E515">
        <v>0.64649999999999996</v>
      </c>
      <c r="F515">
        <v>53669932.770000003</v>
      </c>
      <c r="G515">
        <v>0</v>
      </c>
      <c r="L515" t="s">
        <v>8</v>
      </c>
      <c r="M515" t="s">
        <v>8</v>
      </c>
      <c r="N515" t="s">
        <v>7</v>
      </c>
      <c r="P515">
        <f t="shared" si="979"/>
        <v>0.4882995319812784</v>
      </c>
      <c r="Q515">
        <f t="shared" si="980"/>
        <v>26207003.053057678</v>
      </c>
      <c r="R515">
        <f t="shared" si="981"/>
        <v>314949473.86075407</v>
      </c>
      <c r="S515">
        <f t="shared" si="982"/>
        <v>3149.4947386075405</v>
      </c>
      <c r="T515">
        <f t="shared" si="983"/>
        <v>3.1494947386075407</v>
      </c>
    </row>
    <row r="516" spans="1:20" x14ac:dyDescent="0.25">
      <c r="A516" s="5">
        <v>44077</v>
      </c>
      <c r="B516">
        <v>0.80730000000000002</v>
      </c>
      <c r="C516">
        <v>0.81840000000000002</v>
      </c>
      <c r="D516">
        <v>0.54500000000000004</v>
      </c>
      <c r="E516">
        <v>0.61129999999999995</v>
      </c>
      <c r="F516">
        <v>39493743.439999998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-0.51499634235552361</v>
      </c>
      <c r="Q516">
        <f t="shared" si="980"/>
        <v>-20339133.417527452</v>
      </c>
      <c r="R516">
        <f t="shared" si="981"/>
        <v>288742470.8076964</v>
      </c>
      <c r="S516">
        <f t="shared" si="982"/>
        <v>2887.4247080769642</v>
      </c>
      <c r="T516">
        <f t="shared" si="983"/>
        <v>2.8874247080769644</v>
      </c>
    </row>
    <row r="517" spans="1:20" x14ac:dyDescent="0.25">
      <c r="A517" s="5">
        <v>44076</v>
      </c>
      <c r="B517">
        <v>0.8841</v>
      </c>
      <c r="C517">
        <v>0.9042</v>
      </c>
      <c r="D517">
        <v>0.751</v>
      </c>
      <c r="E517">
        <v>0.80700000000000005</v>
      </c>
      <c r="F517">
        <v>22868351.329999998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-0.26892950391644843</v>
      </c>
      <c r="Q517">
        <f t="shared" si="980"/>
        <v>-6149974.3785639536</v>
      </c>
      <c r="R517">
        <f t="shared" si="981"/>
        <v>309081604.22522384</v>
      </c>
      <c r="S517">
        <f t="shared" si="982"/>
        <v>3090.8160422522383</v>
      </c>
      <c r="T517">
        <f t="shared" si="983"/>
        <v>3.0908160422522384</v>
      </c>
    </row>
    <row r="518" spans="1:20" x14ac:dyDescent="0.25">
      <c r="A518" s="5">
        <v>44075</v>
      </c>
      <c r="B518">
        <v>0.88160000000000005</v>
      </c>
      <c r="C518">
        <v>0.92100000000000004</v>
      </c>
      <c r="D518">
        <v>0.87009999999999998</v>
      </c>
      <c r="E518">
        <v>0.88449999999999995</v>
      </c>
      <c r="F518">
        <v>18003527.68</v>
      </c>
      <c r="G518">
        <v>0</v>
      </c>
      <c r="L518" t="s">
        <v>7</v>
      </c>
      <c r="M518" t="s">
        <v>8</v>
      </c>
      <c r="N518" t="s">
        <v>8</v>
      </c>
      <c r="P518">
        <f t="shared" ref="P518:P581" si="984">IF(C518=D518,0,((E518-D518)-(C518-E518))/(C518-D518))</f>
        <v>-0.43418467583497239</v>
      </c>
      <c r="Q518">
        <f t="shared" ref="Q518:Q581" si="985">F518*P518</f>
        <v>-7816855.8296267521</v>
      </c>
      <c r="R518">
        <f t="shared" ref="R518:R581" si="986">R519+Q518</f>
        <v>315231578.60378778</v>
      </c>
      <c r="S518">
        <f t="shared" ref="S518:S581" si="987">R518/100000</f>
        <v>3152.3157860378778</v>
      </c>
      <c r="T518">
        <f t="shared" ref="T518:T581" si="988">S518/1000</f>
        <v>3.1523157860378777</v>
      </c>
    </row>
    <row r="519" spans="1:20" x14ac:dyDescent="0.25">
      <c r="A519" s="5">
        <v>44074</v>
      </c>
      <c r="B519">
        <v>0.89039999999999997</v>
      </c>
      <c r="C519">
        <v>0.92600000000000005</v>
      </c>
      <c r="D519">
        <v>0.86809999999999998</v>
      </c>
      <c r="E519">
        <v>0.88170000000000004</v>
      </c>
      <c r="F519">
        <v>18436701.359999999</v>
      </c>
      <c r="G519">
        <v>0</v>
      </c>
      <c r="L519" t="s">
        <v>7</v>
      </c>
      <c r="M519" t="s">
        <v>8</v>
      </c>
      <c r="N519" t="s">
        <v>8</v>
      </c>
      <c r="P519">
        <f t="shared" si="984"/>
        <v>-0.53022452504317641</v>
      </c>
      <c r="Q519">
        <f t="shared" si="985"/>
        <v>-9775591.2219688836</v>
      </c>
      <c r="R519">
        <f t="shared" si="986"/>
        <v>323048434.43341452</v>
      </c>
      <c r="S519">
        <f t="shared" si="987"/>
        <v>3230.4843443341451</v>
      </c>
      <c r="T519">
        <f t="shared" si="988"/>
        <v>3.2304843443341453</v>
      </c>
    </row>
    <row r="520" spans="1:20" x14ac:dyDescent="0.25">
      <c r="A520" s="5">
        <v>44073</v>
      </c>
      <c r="B520">
        <v>0.91349999999999998</v>
      </c>
      <c r="C520">
        <v>0.96660000000000001</v>
      </c>
      <c r="D520">
        <v>0.871</v>
      </c>
      <c r="E520">
        <v>0.89100000000000001</v>
      </c>
      <c r="F520">
        <v>21018021.460000001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-0.5815899581589955</v>
      </c>
      <c r="Q520">
        <f t="shared" si="985"/>
        <v>-12223870.22150627</v>
      </c>
      <c r="R520">
        <f t="shared" si="986"/>
        <v>332824025.65538341</v>
      </c>
      <c r="S520">
        <f t="shared" si="987"/>
        <v>3328.2402565538341</v>
      </c>
      <c r="T520">
        <f t="shared" si="988"/>
        <v>3.3282402565538343</v>
      </c>
    </row>
    <row r="521" spans="1:20" x14ac:dyDescent="0.25">
      <c r="A521" s="5">
        <v>44072</v>
      </c>
      <c r="B521">
        <v>0.83950000000000002</v>
      </c>
      <c r="C521">
        <v>0.93459999999999999</v>
      </c>
      <c r="D521">
        <v>0.8246</v>
      </c>
      <c r="E521">
        <v>0.91349999999999998</v>
      </c>
      <c r="F521">
        <v>20128019.710000001</v>
      </c>
      <c r="G521">
        <v>0</v>
      </c>
      <c r="L521" t="s">
        <v>8</v>
      </c>
      <c r="M521" t="s">
        <v>7</v>
      </c>
      <c r="N521" t="s">
        <v>8</v>
      </c>
      <c r="P521">
        <f t="shared" si="984"/>
        <v>0.61636363636363622</v>
      </c>
      <c r="Q521">
        <f t="shared" si="985"/>
        <v>12406179.421254544</v>
      </c>
      <c r="R521">
        <f t="shared" si="986"/>
        <v>345047895.87688971</v>
      </c>
      <c r="S521">
        <f t="shared" si="987"/>
        <v>3450.478958768897</v>
      </c>
      <c r="T521">
        <f t="shared" si="988"/>
        <v>3.4504789587688971</v>
      </c>
    </row>
    <row r="522" spans="1:20" x14ac:dyDescent="0.25">
      <c r="A522" s="5">
        <v>44071</v>
      </c>
      <c r="B522">
        <v>0.84219999999999995</v>
      </c>
      <c r="C522">
        <v>0.85699999999999998</v>
      </c>
      <c r="D522">
        <v>0.82399999999999995</v>
      </c>
      <c r="E522">
        <v>0.84009999999999996</v>
      </c>
      <c r="F522">
        <v>10860213.18</v>
      </c>
      <c r="G522">
        <v>0</v>
      </c>
      <c r="L522" t="s">
        <v>7</v>
      </c>
      <c r="M522" t="s">
        <v>7</v>
      </c>
      <c r="N522" t="s">
        <v>8</v>
      </c>
      <c r="P522">
        <f t="shared" si="984"/>
        <v>-2.4242424242424915E-2</v>
      </c>
      <c r="Q522">
        <f t="shared" si="985"/>
        <v>-263277.89527273457</v>
      </c>
      <c r="R522">
        <f t="shared" si="986"/>
        <v>332641716.45563519</v>
      </c>
      <c r="S522">
        <f t="shared" si="987"/>
        <v>3326.417164556352</v>
      </c>
      <c r="T522">
        <f t="shared" si="988"/>
        <v>3.3264171645563518</v>
      </c>
    </row>
    <row r="523" spans="1:20" x14ac:dyDescent="0.25">
      <c r="A523" s="5">
        <v>44070</v>
      </c>
      <c r="B523">
        <v>0.88039999999999996</v>
      </c>
      <c r="C523">
        <v>0.89229999999999998</v>
      </c>
      <c r="D523">
        <v>0.8075</v>
      </c>
      <c r="E523">
        <v>0.84130000000000005</v>
      </c>
      <c r="F523">
        <v>27537099.260000002</v>
      </c>
      <c r="G523">
        <v>0</v>
      </c>
      <c r="L523" t="s">
        <v>7</v>
      </c>
      <c r="M523" t="s">
        <v>7</v>
      </c>
      <c r="N523" t="s">
        <v>8</v>
      </c>
      <c r="P523">
        <f t="shared" si="984"/>
        <v>-0.20283018867924393</v>
      </c>
      <c r="Q523">
        <f t="shared" si="985"/>
        <v>-5585355.0385848684</v>
      </c>
      <c r="R523">
        <f t="shared" si="986"/>
        <v>332904994.35090792</v>
      </c>
      <c r="S523">
        <f t="shared" si="987"/>
        <v>3329.0499435090792</v>
      </c>
      <c r="T523">
        <f t="shared" si="988"/>
        <v>3.3290499435090792</v>
      </c>
    </row>
    <row r="524" spans="1:20" x14ac:dyDescent="0.25">
      <c r="A524" s="5">
        <v>44069</v>
      </c>
      <c r="B524">
        <v>0.83040000000000003</v>
      </c>
      <c r="C524">
        <v>0.9163</v>
      </c>
      <c r="D524">
        <v>0.81240000000000001</v>
      </c>
      <c r="E524">
        <v>0.88100000000000001</v>
      </c>
      <c r="F524">
        <v>34020488.100000001</v>
      </c>
      <c r="G524">
        <v>0</v>
      </c>
      <c r="L524" t="s">
        <v>8</v>
      </c>
      <c r="M524" t="s">
        <v>7</v>
      </c>
      <c r="N524" t="s">
        <v>8</v>
      </c>
      <c r="P524">
        <f t="shared" si="984"/>
        <v>0.32050048123195379</v>
      </c>
      <c r="Q524">
        <f t="shared" si="985"/>
        <v>10903582.807795959</v>
      </c>
      <c r="R524">
        <f t="shared" si="986"/>
        <v>338490349.38949281</v>
      </c>
      <c r="S524">
        <f t="shared" si="987"/>
        <v>3384.903493894928</v>
      </c>
      <c r="T524">
        <f t="shared" si="988"/>
        <v>3.3849034938949281</v>
      </c>
    </row>
    <row r="525" spans="1:20" x14ac:dyDescent="0.25">
      <c r="A525" s="5">
        <v>44068</v>
      </c>
      <c r="B525">
        <v>0.89080000000000004</v>
      </c>
      <c r="C525">
        <v>0.89610000000000001</v>
      </c>
      <c r="D525">
        <v>0.79010000000000002</v>
      </c>
      <c r="E525">
        <v>0.8306</v>
      </c>
      <c r="F525">
        <v>24480450.059999999</v>
      </c>
      <c r="G525">
        <v>0</v>
      </c>
      <c r="L525" t="s">
        <v>7</v>
      </c>
      <c r="M525" t="s">
        <v>7</v>
      </c>
      <c r="N525" t="s">
        <v>8</v>
      </c>
      <c r="P525">
        <f t="shared" si="984"/>
        <v>-0.23584905660377384</v>
      </c>
      <c r="Q525">
        <f t="shared" si="985"/>
        <v>-5773691.0518867979</v>
      </c>
      <c r="R525">
        <f t="shared" si="986"/>
        <v>327586766.58169687</v>
      </c>
      <c r="S525">
        <f t="shared" si="987"/>
        <v>3275.8676658169688</v>
      </c>
      <c r="T525">
        <f t="shared" si="988"/>
        <v>3.275867665816969</v>
      </c>
    </row>
    <row r="526" spans="1:20" x14ac:dyDescent="0.25">
      <c r="A526" s="5">
        <v>44067</v>
      </c>
      <c r="B526">
        <v>0.88959999999999995</v>
      </c>
      <c r="C526">
        <v>0.92179999999999995</v>
      </c>
      <c r="D526">
        <v>0.86219999999999997</v>
      </c>
      <c r="E526">
        <v>0.89049999999999996</v>
      </c>
      <c r="F526">
        <v>15005808.699999999</v>
      </c>
      <c r="G526">
        <v>0</v>
      </c>
      <c r="L526" t="s">
        <v>7</v>
      </c>
      <c r="M526" t="s">
        <v>7</v>
      </c>
      <c r="N526" t="s">
        <v>8</v>
      </c>
      <c r="P526">
        <f t="shared" si="984"/>
        <v>-5.0335570469798717E-2</v>
      </c>
      <c r="Q526">
        <f t="shared" si="985"/>
        <v>-755325.94127516868</v>
      </c>
      <c r="R526">
        <f t="shared" si="986"/>
        <v>333360457.63358366</v>
      </c>
      <c r="S526">
        <f t="shared" si="987"/>
        <v>3333.6045763358366</v>
      </c>
      <c r="T526">
        <f t="shared" si="988"/>
        <v>3.3336045763358366</v>
      </c>
    </row>
    <row r="527" spans="1:20" x14ac:dyDescent="0.25">
      <c r="A527" s="5">
        <v>44066</v>
      </c>
      <c r="B527">
        <v>0.91800000000000004</v>
      </c>
      <c r="C527">
        <v>0.93659999999999999</v>
      </c>
      <c r="D527">
        <v>0.84599999999999997</v>
      </c>
      <c r="E527">
        <v>0.88859999999999995</v>
      </c>
      <c r="F527">
        <v>26081193.949999999</v>
      </c>
      <c r="G527">
        <v>0</v>
      </c>
      <c r="L527" t="s">
        <v>8</v>
      </c>
      <c r="M527" t="s">
        <v>7</v>
      </c>
      <c r="N527" t="s">
        <v>8</v>
      </c>
      <c r="P527">
        <f t="shared" si="984"/>
        <v>-5.9602649006623293E-2</v>
      </c>
      <c r="Q527">
        <f t="shared" si="985"/>
        <v>-1554508.2486755168</v>
      </c>
      <c r="R527">
        <f t="shared" si="986"/>
        <v>334115783.57485884</v>
      </c>
      <c r="S527">
        <f t="shared" si="987"/>
        <v>3341.1578357485882</v>
      </c>
      <c r="T527">
        <f t="shared" si="988"/>
        <v>3.341157835748588</v>
      </c>
    </row>
    <row r="528" spans="1:20" x14ac:dyDescent="0.25">
      <c r="A528" s="5">
        <v>44065</v>
      </c>
      <c r="B528">
        <v>0.83740000000000003</v>
      </c>
      <c r="C528">
        <v>0.92200000000000004</v>
      </c>
      <c r="D528">
        <v>0.79869999999999997</v>
      </c>
      <c r="E528">
        <v>0.91779999999999995</v>
      </c>
      <c r="F528">
        <v>38611533.880000003</v>
      </c>
      <c r="G528">
        <v>0</v>
      </c>
      <c r="L528" t="s">
        <v>7</v>
      </c>
      <c r="M528" t="s">
        <v>7</v>
      </c>
      <c r="N528" t="s">
        <v>8</v>
      </c>
      <c r="P528">
        <f t="shared" si="984"/>
        <v>0.93187347931873332</v>
      </c>
      <c r="Q528">
        <f t="shared" si="985"/>
        <v>35981064.41858875</v>
      </c>
      <c r="R528">
        <f t="shared" si="986"/>
        <v>335670291.82353437</v>
      </c>
      <c r="S528">
        <f t="shared" si="987"/>
        <v>3356.7029182353435</v>
      </c>
      <c r="T528">
        <f t="shared" si="988"/>
        <v>3.3567029182353436</v>
      </c>
    </row>
    <row r="529" spans="1:20" x14ac:dyDescent="0.25">
      <c r="A529" s="5">
        <v>44064</v>
      </c>
      <c r="B529">
        <v>0.85509999999999997</v>
      </c>
      <c r="C529">
        <v>1.0067999999999999</v>
      </c>
      <c r="D529">
        <v>0.83199999999999996</v>
      </c>
      <c r="E529">
        <v>0.83740000000000003</v>
      </c>
      <c r="F529">
        <v>79579586.379999995</v>
      </c>
      <c r="G529">
        <v>0</v>
      </c>
      <c r="L529" t="s">
        <v>8</v>
      </c>
      <c r="M529" t="s">
        <v>8</v>
      </c>
      <c r="N529" t="s">
        <v>8</v>
      </c>
      <c r="P529">
        <f t="shared" si="984"/>
        <v>-0.93821510297482758</v>
      </c>
      <c r="Q529">
        <f t="shared" si="985"/>
        <v>-74662769.830205888</v>
      </c>
      <c r="R529">
        <f t="shared" si="986"/>
        <v>299689227.40494561</v>
      </c>
      <c r="S529">
        <f t="shared" si="987"/>
        <v>2996.8922740494563</v>
      </c>
      <c r="T529">
        <f t="shared" si="988"/>
        <v>2.9968922740494564</v>
      </c>
    </row>
    <row r="530" spans="1:20" x14ac:dyDescent="0.25">
      <c r="A530" s="5">
        <v>44063</v>
      </c>
      <c r="B530">
        <v>0.7782</v>
      </c>
      <c r="C530">
        <v>0.86209999999999998</v>
      </c>
      <c r="D530">
        <v>0.77559999999999996</v>
      </c>
      <c r="E530">
        <v>0.8548</v>
      </c>
      <c r="F530">
        <v>20536093.870000001</v>
      </c>
      <c r="G530">
        <v>0</v>
      </c>
      <c r="L530" t="s">
        <v>8</v>
      </c>
      <c r="M530" t="s">
        <v>7</v>
      </c>
      <c r="N530" t="s">
        <v>8</v>
      </c>
      <c r="P530">
        <f t="shared" si="984"/>
        <v>0.83121387283237058</v>
      </c>
      <c r="Q530">
        <f t="shared" si="985"/>
        <v>17069886.118531805</v>
      </c>
      <c r="R530">
        <f t="shared" si="986"/>
        <v>374351997.23515147</v>
      </c>
      <c r="S530">
        <f t="shared" si="987"/>
        <v>3743.5199723515148</v>
      </c>
      <c r="T530">
        <f t="shared" si="988"/>
        <v>3.7435199723515149</v>
      </c>
    </row>
    <row r="531" spans="1:20" x14ac:dyDescent="0.25">
      <c r="A531" s="5">
        <v>44062</v>
      </c>
      <c r="B531">
        <v>0.84279999999999999</v>
      </c>
      <c r="C531">
        <v>0.86719999999999997</v>
      </c>
      <c r="D531">
        <v>0.75660000000000005</v>
      </c>
      <c r="E531">
        <v>0.77949999999999997</v>
      </c>
      <c r="F531">
        <v>28158050.260000002</v>
      </c>
      <c r="G531">
        <v>0</v>
      </c>
      <c r="L531" t="s">
        <v>7</v>
      </c>
      <c r="M531" t="s">
        <v>7</v>
      </c>
      <c r="N531" t="s">
        <v>8</v>
      </c>
      <c r="P531">
        <f t="shared" si="984"/>
        <v>-0.58589511754068835</v>
      </c>
      <c r="Q531">
        <f t="shared" si="985"/>
        <v>-16497664.166799311</v>
      </c>
      <c r="R531">
        <f t="shared" si="986"/>
        <v>357282111.11661965</v>
      </c>
      <c r="S531">
        <f t="shared" si="987"/>
        <v>3572.8211111661963</v>
      </c>
      <c r="T531">
        <f t="shared" si="988"/>
        <v>3.5728211111661961</v>
      </c>
    </row>
    <row r="532" spans="1:20" x14ac:dyDescent="0.25">
      <c r="A532" s="5">
        <v>44061</v>
      </c>
      <c r="B532">
        <v>0.88949999999999996</v>
      </c>
      <c r="C532">
        <v>0.92989999999999995</v>
      </c>
      <c r="D532">
        <v>0.81779999999999997</v>
      </c>
      <c r="E532">
        <v>0.84279999999999999</v>
      </c>
      <c r="F532">
        <v>22525030.77</v>
      </c>
      <c r="G532">
        <v>0</v>
      </c>
      <c r="L532" t="s">
        <v>7</v>
      </c>
      <c r="M532" t="s">
        <v>8</v>
      </c>
      <c r="N532" t="s">
        <v>8</v>
      </c>
      <c r="P532">
        <f t="shared" si="984"/>
        <v>-0.55396966993755525</v>
      </c>
      <c r="Q532">
        <f t="shared" si="985"/>
        <v>-12478183.860990176</v>
      </c>
      <c r="R532">
        <f t="shared" si="986"/>
        <v>373779775.28341895</v>
      </c>
      <c r="S532">
        <f t="shared" si="987"/>
        <v>3737.7977528341894</v>
      </c>
      <c r="T532">
        <f t="shared" si="988"/>
        <v>3.7377977528341892</v>
      </c>
    </row>
    <row r="533" spans="1:20" x14ac:dyDescent="0.25">
      <c r="A533" s="5">
        <v>44060</v>
      </c>
      <c r="B533">
        <v>0.89090000000000003</v>
      </c>
      <c r="C533">
        <v>0.94499999999999995</v>
      </c>
      <c r="D533">
        <v>0.88</v>
      </c>
      <c r="E533">
        <v>0.88959999999999995</v>
      </c>
      <c r="F533">
        <v>25826321.75</v>
      </c>
      <c r="G533">
        <v>0</v>
      </c>
      <c r="L533" t="s">
        <v>8</v>
      </c>
      <c r="M533" t="s">
        <v>8</v>
      </c>
      <c r="N533" t="s">
        <v>8</v>
      </c>
      <c r="P533">
        <f t="shared" si="984"/>
        <v>-0.7046153846153862</v>
      </c>
      <c r="Q533">
        <f t="shared" si="985"/>
        <v>-18197623.633076962</v>
      </c>
      <c r="R533">
        <f t="shared" si="986"/>
        <v>386257959.14440912</v>
      </c>
      <c r="S533">
        <f t="shared" si="987"/>
        <v>3862.5795914440914</v>
      </c>
      <c r="T533">
        <f t="shared" si="988"/>
        <v>3.8625795914440912</v>
      </c>
    </row>
    <row r="534" spans="1:20" x14ac:dyDescent="0.25">
      <c r="A534" s="5">
        <v>44059</v>
      </c>
      <c r="B534">
        <v>0.83050000000000002</v>
      </c>
      <c r="C534">
        <v>0.90490000000000004</v>
      </c>
      <c r="D534">
        <v>0.80420000000000003</v>
      </c>
      <c r="E534">
        <v>0.89129999999999998</v>
      </c>
      <c r="F534">
        <v>23007757.350000001</v>
      </c>
      <c r="G534">
        <v>0</v>
      </c>
      <c r="L534" t="s">
        <v>8</v>
      </c>
      <c r="M534" t="s">
        <v>8</v>
      </c>
      <c r="N534" t="s">
        <v>8</v>
      </c>
      <c r="P534">
        <f t="shared" si="984"/>
        <v>0.72989076464746661</v>
      </c>
      <c r="Q534">
        <f t="shared" si="985"/>
        <v>16793149.605014872</v>
      </c>
      <c r="R534">
        <f t="shared" si="986"/>
        <v>404455582.77748609</v>
      </c>
      <c r="S534">
        <f t="shared" si="987"/>
        <v>4044.555827774861</v>
      </c>
      <c r="T534">
        <f t="shared" si="988"/>
        <v>4.044555827774861</v>
      </c>
    </row>
    <row r="535" spans="1:20" x14ac:dyDescent="0.25">
      <c r="A535" s="5">
        <v>44058</v>
      </c>
      <c r="B535">
        <v>0.82869999999999999</v>
      </c>
      <c r="C535">
        <v>0.8518</v>
      </c>
      <c r="D535">
        <v>0.80110000000000003</v>
      </c>
      <c r="E535">
        <v>0.83040000000000003</v>
      </c>
      <c r="F535">
        <v>13622979.130000001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0.15581854043392551</v>
      </c>
      <c r="Q535">
        <f t="shared" si="985"/>
        <v>2122712.7243984286</v>
      </c>
      <c r="R535">
        <f t="shared" si="986"/>
        <v>387662433.17247123</v>
      </c>
      <c r="S535">
        <f t="shared" si="987"/>
        <v>3876.6243317247122</v>
      </c>
      <c r="T535">
        <f t="shared" si="988"/>
        <v>3.8766243317247122</v>
      </c>
    </row>
    <row r="536" spans="1:20" x14ac:dyDescent="0.25">
      <c r="A536" s="5">
        <v>44057</v>
      </c>
      <c r="B536">
        <v>0.80710000000000004</v>
      </c>
      <c r="C536">
        <v>0.84489999999999998</v>
      </c>
      <c r="D536">
        <v>0.7964</v>
      </c>
      <c r="E536">
        <v>0.82830000000000004</v>
      </c>
      <c r="F536">
        <v>27354203.84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0.31546391752577518</v>
      </c>
      <c r="Q536">
        <f t="shared" si="985"/>
        <v>8629264.304165002</v>
      </c>
      <c r="R536">
        <f t="shared" si="986"/>
        <v>385539720.44807279</v>
      </c>
      <c r="S536">
        <f t="shared" si="987"/>
        <v>3855.3972044807279</v>
      </c>
      <c r="T536">
        <f t="shared" si="988"/>
        <v>3.8553972044807279</v>
      </c>
    </row>
    <row r="537" spans="1:20" x14ac:dyDescent="0.25">
      <c r="A537" s="5">
        <v>44056</v>
      </c>
      <c r="B537">
        <v>0.81859999999999999</v>
      </c>
      <c r="C537">
        <v>0.83230000000000004</v>
      </c>
      <c r="D537">
        <v>0.754</v>
      </c>
      <c r="E537">
        <v>0.80710000000000004</v>
      </c>
      <c r="F537">
        <v>24422875.379999999</v>
      </c>
      <c r="G537">
        <v>0</v>
      </c>
      <c r="L537" t="s">
        <v>8</v>
      </c>
      <c r="M537" t="s">
        <v>8</v>
      </c>
      <c r="N537" t="s">
        <v>8</v>
      </c>
      <c r="P537">
        <f t="shared" si="984"/>
        <v>0.35632183908046006</v>
      </c>
      <c r="Q537">
        <f t="shared" si="985"/>
        <v>8702403.8710344899</v>
      </c>
      <c r="R537">
        <f t="shared" si="986"/>
        <v>376910456.14390779</v>
      </c>
      <c r="S537">
        <f t="shared" si="987"/>
        <v>3769.1045614390778</v>
      </c>
      <c r="T537">
        <f t="shared" si="988"/>
        <v>3.7691045614390779</v>
      </c>
    </row>
    <row r="538" spans="1:20" x14ac:dyDescent="0.25">
      <c r="A538" s="5">
        <v>44055</v>
      </c>
      <c r="B538">
        <v>0.75800000000000001</v>
      </c>
      <c r="C538">
        <v>0.83130000000000004</v>
      </c>
      <c r="D538">
        <v>0.70860000000000001</v>
      </c>
      <c r="E538">
        <v>0.81840000000000002</v>
      </c>
      <c r="F538">
        <v>27616826.210000001</v>
      </c>
      <c r="G538">
        <v>0</v>
      </c>
      <c r="L538" t="s">
        <v>7</v>
      </c>
      <c r="M538" t="s">
        <v>7</v>
      </c>
      <c r="N538" t="s">
        <v>8</v>
      </c>
      <c r="P538">
        <f t="shared" si="984"/>
        <v>0.78973105134474297</v>
      </c>
      <c r="Q538">
        <f t="shared" si="985"/>
        <v>21809865.197628353</v>
      </c>
      <c r="R538">
        <f t="shared" si="986"/>
        <v>368208052.27287328</v>
      </c>
      <c r="S538">
        <f t="shared" si="987"/>
        <v>3682.0805227287328</v>
      </c>
      <c r="T538">
        <f t="shared" si="988"/>
        <v>3.6820805227287328</v>
      </c>
    </row>
    <row r="539" spans="1:20" x14ac:dyDescent="0.25">
      <c r="A539" s="5">
        <v>44054</v>
      </c>
      <c r="B539">
        <v>0.85699999999999998</v>
      </c>
      <c r="C539">
        <v>0.86660000000000004</v>
      </c>
      <c r="D539">
        <v>0.73109999999999997</v>
      </c>
      <c r="E539">
        <v>0.75800000000000001</v>
      </c>
      <c r="F539">
        <v>36008546.060000002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-0.60295202952029492</v>
      </c>
      <c r="Q539">
        <f t="shared" si="985"/>
        <v>-21711425.926952019</v>
      </c>
      <c r="R539">
        <f t="shared" si="986"/>
        <v>346398187.0752449</v>
      </c>
      <c r="S539">
        <f t="shared" si="987"/>
        <v>3463.9818707524491</v>
      </c>
      <c r="T539">
        <f t="shared" si="988"/>
        <v>3.4639818707524492</v>
      </c>
    </row>
    <row r="540" spans="1:20" x14ac:dyDescent="0.25">
      <c r="A540" s="5">
        <v>44053</v>
      </c>
      <c r="B540">
        <v>0.7974</v>
      </c>
      <c r="C540">
        <v>0.87</v>
      </c>
      <c r="D540">
        <v>0.78180000000000005</v>
      </c>
      <c r="E540">
        <v>0.85740000000000005</v>
      </c>
      <c r="F540">
        <v>29871121.039999999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0.71428571428571541</v>
      </c>
      <c r="Q540">
        <f t="shared" si="985"/>
        <v>21336515.02857146</v>
      </c>
      <c r="R540">
        <f t="shared" si="986"/>
        <v>368109613.00219691</v>
      </c>
      <c r="S540">
        <f t="shared" si="987"/>
        <v>3681.0961300219692</v>
      </c>
      <c r="T540">
        <f t="shared" si="988"/>
        <v>3.6810961300219693</v>
      </c>
    </row>
    <row r="541" spans="1:20" x14ac:dyDescent="0.25">
      <c r="A541" s="5">
        <v>44052</v>
      </c>
      <c r="B541">
        <v>0.73089999999999999</v>
      </c>
      <c r="C541">
        <v>0.81940000000000002</v>
      </c>
      <c r="D541">
        <v>0.71619999999999995</v>
      </c>
      <c r="E541">
        <v>0.7974</v>
      </c>
      <c r="F541">
        <v>21517756.059999999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0.57364341085271309</v>
      </c>
      <c r="Q541">
        <f t="shared" si="985"/>
        <v>12343518.980155036</v>
      </c>
      <c r="R541">
        <f t="shared" si="986"/>
        <v>346773097.97362542</v>
      </c>
      <c r="S541">
        <f t="shared" si="987"/>
        <v>3467.7309797362541</v>
      </c>
      <c r="T541">
        <f t="shared" si="988"/>
        <v>3.4677309797362539</v>
      </c>
    </row>
    <row r="542" spans="1:20" x14ac:dyDescent="0.25">
      <c r="A542" s="5">
        <v>44051</v>
      </c>
      <c r="B542">
        <v>0.70030000000000003</v>
      </c>
      <c r="C542">
        <v>0.73099999999999998</v>
      </c>
      <c r="D542">
        <v>0.69299999999999995</v>
      </c>
      <c r="E542">
        <v>0.73060000000000003</v>
      </c>
      <c r="F542">
        <v>9081454.4199999999</v>
      </c>
      <c r="G542">
        <v>0</v>
      </c>
      <c r="L542" t="s">
        <v>8</v>
      </c>
      <c r="M542" t="s">
        <v>7</v>
      </c>
      <c r="N542" t="s">
        <v>8</v>
      </c>
      <c r="P542">
        <f t="shared" si="984"/>
        <v>0.97894736842105501</v>
      </c>
      <c r="Q542">
        <f t="shared" si="985"/>
        <v>8890265.9058947582</v>
      </c>
      <c r="R542">
        <f t="shared" si="986"/>
        <v>334429578.99347037</v>
      </c>
      <c r="S542">
        <f t="shared" si="987"/>
        <v>3344.2957899347039</v>
      </c>
      <c r="T542">
        <f t="shared" si="988"/>
        <v>3.3442957899347037</v>
      </c>
    </row>
    <row r="543" spans="1:20" x14ac:dyDescent="0.25">
      <c r="A543" s="5">
        <v>44050</v>
      </c>
      <c r="B543">
        <v>0.71140000000000003</v>
      </c>
      <c r="C543">
        <v>0.73470000000000002</v>
      </c>
      <c r="D543">
        <v>0.67769999999999997</v>
      </c>
      <c r="E543">
        <v>0.70030000000000003</v>
      </c>
      <c r="F543">
        <v>12794489.27</v>
      </c>
      <c r="G543">
        <v>0</v>
      </c>
      <c r="L543" t="s">
        <v>7</v>
      </c>
      <c r="M543" t="s">
        <v>7</v>
      </c>
      <c r="N543" t="s">
        <v>8</v>
      </c>
      <c r="P543">
        <f t="shared" si="984"/>
        <v>-0.20701754385964757</v>
      </c>
      <c r="Q543">
        <f t="shared" si="985"/>
        <v>-2648683.7436140152</v>
      </c>
      <c r="R543">
        <f t="shared" si="986"/>
        <v>325539313.08757561</v>
      </c>
      <c r="S543">
        <f t="shared" si="987"/>
        <v>3255.393130875756</v>
      </c>
      <c r="T543">
        <f t="shared" si="988"/>
        <v>3.2553931308757562</v>
      </c>
    </row>
    <row r="544" spans="1:20" x14ac:dyDescent="0.25">
      <c r="A544" s="5">
        <v>44049</v>
      </c>
      <c r="B544">
        <v>0.71079999999999999</v>
      </c>
      <c r="C544">
        <v>0.72770000000000001</v>
      </c>
      <c r="D544">
        <v>0.69330000000000003</v>
      </c>
      <c r="E544">
        <v>0.71079999999999999</v>
      </c>
      <c r="F544">
        <v>10008325.369999999</v>
      </c>
      <c r="G544">
        <v>0</v>
      </c>
      <c r="L544" t="s">
        <v>8</v>
      </c>
      <c r="M544" t="s">
        <v>7</v>
      </c>
      <c r="N544" t="s">
        <v>8</v>
      </c>
      <c r="P544">
        <f t="shared" si="984"/>
        <v>1.7441860465114364E-2</v>
      </c>
      <c r="Q544">
        <f t="shared" si="985"/>
        <v>174563.81459300406</v>
      </c>
      <c r="R544">
        <f t="shared" si="986"/>
        <v>328187996.83118963</v>
      </c>
      <c r="S544">
        <f t="shared" si="987"/>
        <v>3281.8799683118964</v>
      </c>
      <c r="T544">
        <f t="shared" si="988"/>
        <v>3.2818799683118964</v>
      </c>
    </row>
    <row r="545" spans="1:20" x14ac:dyDescent="0.25">
      <c r="A545" s="5">
        <v>44048</v>
      </c>
      <c r="B545">
        <v>0.70499999999999996</v>
      </c>
      <c r="C545">
        <v>0.72899999999999998</v>
      </c>
      <c r="D545">
        <v>0.69589999999999996</v>
      </c>
      <c r="E545">
        <v>0.71130000000000004</v>
      </c>
      <c r="F545">
        <v>9493179.7400000002</v>
      </c>
      <c r="G545">
        <v>0</v>
      </c>
      <c r="L545" t="s">
        <v>8</v>
      </c>
      <c r="M545" t="s">
        <v>7</v>
      </c>
      <c r="N545" t="s">
        <v>8</v>
      </c>
      <c r="P545">
        <f t="shared" si="984"/>
        <v>-6.9486404833832519E-2</v>
      </c>
      <c r="Q545">
        <f t="shared" si="985"/>
        <v>-659646.93057397695</v>
      </c>
      <c r="R545">
        <f t="shared" si="986"/>
        <v>328013433.01659662</v>
      </c>
      <c r="S545">
        <f t="shared" si="987"/>
        <v>3280.1343301659663</v>
      </c>
      <c r="T545">
        <f t="shared" si="988"/>
        <v>3.2801343301659664</v>
      </c>
    </row>
    <row r="546" spans="1:20" x14ac:dyDescent="0.25">
      <c r="A546" s="5">
        <v>44047</v>
      </c>
      <c r="B546">
        <v>0.69820000000000004</v>
      </c>
      <c r="C546">
        <v>0.71440000000000003</v>
      </c>
      <c r="D546">
        <v>0.68600000000000005</v>
      </c>
      <c r="E546">
        <v>0.70469999999999999</v>
      </c>
      <c r="F546">
        <v>10219522.529999999</v>
      </c>
      <c r="G546">
        <v>0</v>
      </c>
      <c r="L546" t="s">
        <v>7</v>
      </c>
      <c r="M546" t="s">
        <v>7</v>
      </c>
      <c r="N546" t="s">
        <v>8</v>
      </c>
      <c r="P546">
        <f t="shared" si="984"/>
        <v>0.31690140845070081</v>
      </c>
      <c r="Q546">
        <f t="shared" si="985"/>
        <v>3238581.083450669</v>
      </c>
      <c r="R546">
        <f t="shared" si="986"/>
        <v>328673079.94717062</v>
      </c>
      <c r="S546">
        <f t="shared" si="987"/>
        <v>3286.7307994717062</v>
      </c>
      <c r="T546">
        <f t="shared" si="988"/>
        <v>3.2867307994717061</v>
      </c>
    </row>
    <row r="547" spans="1:20" x14ac:dyDescent="0.25">
      <c r="A547" s="5">
        <v>44046</v>
      </c>
      <c r="B547">
        <v>0.68810000000000004</v>
      </c>
      <c r="C547">
        <v>0.71650000000000003</v>
      </c>
      <c r="D547">
        <v>0.68</v>
      </c>
      <c r="E547">
        <v>0.69830000000000003</v>
      </c>
      <c r="F547">
        <v>13458569.880000001</v>
      </c>
      <c r="G547">
        <v>0</v>
      </c>
      <c r="L547" t="s">
        <v>7</v>
      </c>
      <c r="M547" t="s">
        <v>7</v>
      </c>
      <c r="N547" t="s">
        <v>8</v>
      </c>
      <c r="P547">
        <f t="shared" si="984"/>
        <v>2.7397260273969602E-3</v>
      </c>
      <c r="Q547">
        <f t="shared" si="985"/>
        <v>36872.794191776782</v>
      </c>
      <c r="R547">
        <f t="shared" si="986"/>
        <v>325434498.86371994</v>
      </c>
      <c r="S547">
        <f t="shared" si="987"/>
        <v>3254.3449886371995</v>
      </c>
      <c r="T547">
        <f t="shared" si="988"/>
        <v>3.2543449886371993</v>
      </c>
    </row>
    <row r="548" spans="1:20" x14ac:dyDescent="0.25">
      <c r="A548" s="5">
        <v>44045</v>
      </c>
      <c r="B548">
        <v>0.74939999999999996</v>
      </c>
      <c r="C548">
        <v>0.77729999999999999</v>
      </c>
      <c r="D548">
        <v>0.61419999999999997</v>
      </c>
      <c r="E548">
        <v>0.68810000000000004</v>
      </c>
      <c r="F548">
        <v>23380768.579999998</v>
      </c>
      <c r="G548">
        <v>0</v>
      </c>
      <c r="L548" t="s">
        <v>8</v>
      </c>
      <c r="M548" t="s">
        <v>7</v>
      </c>
      <c r="N548" t="s">
        <v>8</v>
      </c>
      <c r="P548">
        <f t="shared" si="984"/>
        <v>-9.3807480073573674E-2</v>
      </c>
      <c r="Q548">
        <f t="shared" si="985"/>
        <v>-2193290.9826731873</v>
      </c>
      <c r="R548">
        <f t="shared" si="986"/>
        <v>325397626.06952816</v>
      </c>
      <c r="S548">
        <f t="shared" si="987"/>
        <v>3253.9762606952818</v>
      </c>
      <c r="T548">
        <f t="shared" si="988"/>
        <v>3.2539762606952816</v>
      </c>
    </row>
    <row r="549" spans="1:20" x14ac:dyDescent="0.25">
      <c r="A549" s="5">
        <v>44044</v>
      </c>
      <c r="B549">
        <v>0.71430000000000005</v>
      </c>
      <c r="C549">
        <v>0.76319999999999999</v>
      </c>
      <c r="D549">
        <v>0.71250000000000002</v>
      </c>
      <c r="E549">
        <v>0.74950000000000006</v>
      </c>
      <c r="F549">
        <v>16741876.800000001</v>
      </c>
      <c r="G549">
        <v>0</v>
      </c>
      <c r="L549" t="s">
        <v>8</v>
      </c>
      <c r="M549" t="s">
        <v>7</v>
      </c>
      <c r="N549" t="s">
        <v>8</v>
      </c>
      <c r="P549">
        <f t="shared" si="984"/>
        <v>0.45956607495069257</v>
      </c>
      <c r="Q549">
        <f t="shared" si="985"/>
        <v>7693998.6082840618</v>
      </c>
      <c r="R549">
        <f t="shared" si="986"/>
        <v>327590917.05220133</v>
      </c>
      <c r="S549">
        <f t="shared" si="987"/>
        <v>3275.9091705220135</v>
      </c>
      <c r="T549">
        <f t="shared" si="988"/>
        <v>3.2759091705220134</v>
      </c>
    </row>
    <row r="550" spans="1:20" x14ac:dyDescent="0.25">
      <c r="A550" s="5">
        <v>44043</v>
      </c>
      <c r="B550">
        <v>0.70479999999999998</v>
      </c>
      <c r="C550">
        <v>0.7157</v>
      </c>
      <c r="D550">
        <v>0.69210000000000005</v>
      </c>
      <c r="E550">
        <v>0.7147</v>
      </c>
      <c r="F550">
        <v>8840083.0099999998</v>
      </c>
      <c r="G550">
        <v>0</v>
      </c>
      <c r="L550" t="s">
        <v>8</v>
      </c>
      <c r="M550" t="s">
        <v>7</v>
      </c>
      <c r="N550" t="s">
        <v>8</v>
      </c>
      <c r="P550">
        <f t="shared" si="984"/>
        <v>0.91525423728813537</v>
      </c>
      <c r="Q550">
        <f t="shared" si="985"/>
        <v>8090923.4328813534</v>
      </c>
      <c r="R550">
        <f t="shared" si="986"/>
        <v>319896918.44391727</v>
      </c>
      <c r="S550">
        <f t="shared" si="987"/>
        <v>3198.9691844391727</v>
      </c>
      <c r="T550">
        <f t="shared" si="988"/>
        <v>3.1989691844391728</v>
      </c>
    </row>
    <row r="551" spans="1:20" x14ac:dyDescent="0.25">
      <c r="A551" s="5">
        <v>44042</v>
      </c>
      <c r="B551">
        <v>0.68759999999999999</v>
      </c>
      <c r="C551">
        <v>0.70989999999999998</v>
      </c>
      <c r="D551">
        <v>0.68079999999999996</v>
      </c>
      <c r="E551">
        <v>0.70489999999999997</v>
      </c>
      <c r="F551">
        <v>8168903.2300000004</v>
      </c>
      <c r="G551">
        <v>0</v>
      </c>
      <c r="L551" t="s">
        <v>8</v>
      </c>
      <c r="M551" t="s">
        <v>7</v>
      </c>
      <c r="N551" t="s">
        <v>8</v>
      </c>
      <c r="P551">
        <f t="shared" si="984"/>
        <v>0.65635738831615109</v>
      </c>
      <c r="Q551">
        <f t="shared" si="985"/>
        <v>5361719.9894501716</v>
      </c>
      <c r="R551">
        <f t="shared" si="986"/>
        <v>311805995.01103592</v>
      </c>
      <c r="S551">
        <f t="shared" si="987"/>
        <v>3118.0599501103593</v>
      </c>
      <c r="T551">
        <f t="shared" si="988"/>
        <v>3.1180599501103594</v>
      </c>
    </row>
    <row r="552" spans="1:20" x14ac:dyDescent="0.25">
      <c r="A552" s="5">
        <v>44041</v>
      </c>
      <c r="B552">
        <v>0.69930000000000003</v>
      </c>
      <c r="C552">
        <v>0.72450000000000003</v>
      </c>
      <c r="D552">
        <v>0.68369999999999997</v>
      </c>
      <c r="E552">
        <v>0.68769999999999998</v>
      </c>
      <c r="F552">
        <v>14893396.460000001</v>
      </c>
      <c r="G552">
        <v>0</v>
      </c>
      <c r="L552" t="s">
        <v>8</v>
      </c>
      <c r="M552" t="s">
        <v>7</v>
      </c>
      <c r="N552" t="s">
        <v>8</v>
      </c>
      <c r="P552">
        <f t="shared" si="984"/>
        <v>-0.80392156862745112</v>
      </c>
      <c r="Q552">
        <f t="shared" si="985"/>
        <v>-11973122.644313728</v>
      </c>
      <c r="R552">
        <f t="shared" si="986"/>
        <v>306444275.02158576</v>
      </c>
      <c r="S552">
        <f t="shared" si="987"/>
        <v>3064.4427502158578</v>
      </c>
      <c r="T552">
        <f t="shared" si="988"/>
        <v>3.064442750215858</v>
      </c>
    </row>
    <row r="553" spans="1:20" x14ac:dyDescent="0.25">
      <c r="A553" s="5">
        <v>44040</v>
      </c>
      <c r="B553">
        <v>0.68600000000000005</v>
      </c>
      <c r="C553">
        <v>0.71020000000000005</v>
      </c>
      <c r="D553">
        <v>0.66590000000000005</v>
      </c>
      <c r="E553">
        <v>0.69930000000000003</v>
      </c>
      <c r="F553">
        <v>14637998.439999999</v>
      </c>
      <c r="G553">
        <v>0</v>
      </c>
      <c r="L553" t="s">
        <v>8</v>
      </c>
      <c r="M553" t="s">
        <v>7</v>
      </c>
      <c r="N553" t="s">
        <v>8</v>
      </c>
      <c r="P553">
        <f t="shared" si="984"/>
        <v>0.50790067720090204</v>
      </c>
      <c r="Q553">
        <f t="shared" si="985"/>
        <v>7434649.3205417469</v>
      </c>
      <c r="R553">
        <f t="shared" si="986"/>
        <v>318417397.66589952</v>
      </c>
      <c r="S553">
        <f t="shared" si="987"/>
        <v>3184.1739766589953</v>
      </c>
      <c r="T553">
        <f t="shared" si="988"/>
        <v>3.1841739766589954</v>
      </c>
    </row>
    <row r="554" spans="1:20" x14ac:dyDescent="0.25">
      <c r="A554" s="5">
        <v>44039</v>
      </c>
      <c r="B554">
        <v>0.70820000000000005</v>
      </c>
      <c r="C554">
        <v>0.71260000000000001</v>
      </c>
      <c r="D554">
        <v>0.64700000000000002</v>
      </c>
      <c r="E554">
        <v>0.68620000000000003</v>
      </c>
      <c r="F554">
        <v>23127491.760000002</v>
      </c>
      <c r="G554">
        <v>0</v>
      </c>
      <c r="L554" t="s">
        <v>7</v>
      </c>
      <c r="M554" t="s">
        <v>7</v>
      </c>
      <c r="N554" t="s">
        <v>8</v>
      </c>
      <c r="P554">
        <f t="shared" si="984"/>
        <v>0.19512195121951273</v>
      </c>
      <c r="Q554">
        <f t="shared" si="985"/>
        <v>4512681.3190244026</v>
      </c>
      <c r="R554">
        <f t="shared" si="986"/>
        <v>310982748.34535778</v>
      </c>
      <c r="S554">
        <f t="shared" si="987"/>
        <v>3109.8274834535778</v>
      </c>
      <c r="T554">
        <f t="shared" si="988"/>
        <v>3.1098274834535777</v>
      </c>
    </row>
    <row r="555" spans="1:20" x14ac:dyDescent="0.25">
      <c r="A555" s="5">
        <v>44038</v>
      </c>
      <c r="B555">
        <v>0.71460000000000001</v>
      </c>
      <c r="C555">
        <v>0.73839999999999995</v>
      </c>
      <c r="D555">
        <v>0.70020000000000004</v>
      </c>
      <c r="E555">
        <v>0.70779999999999998</v>
      </c>
      <c r="F555">
        <v>12756170.83</v>
      </c>
      <c r="G555">
        <v>0</v>
      </c>
      <c r="L555" t="s">
        <v>7</v>
      </c>
      <c r="M555" t="s">
        <v>8</v>
      </c>
      <c r="N555" t="s">
        <v>8</v>
      </c>
      <c r="P555">
        <f t="shared" si="984"/>
        <v>-0.60209424083769847</v>
      </c>
      <c r="Q555">
        <f t="shared" si="985"/>
        <v>-7680416.9918848444</v>
      </c>
      <c r="R555">
        <f t="shared" si="986"/>
        <v>306470067.02633339</v>
      </c>
      <c r="S555">
        <f t="shared" si="987"/>
        <v>3064.7006702633339</v>
      </c>
      <c r="T555">
        <f t="shared" si="988"/>
        <v>3.0647006702633339</v>
      </c>
    </row>
    <row r="556" spans="1:20" x14ac:dyDescent="0.25">
      <c r="A556" s="5">
        <v>44037</v>
      </c>
      <c r="B556">
        <v>0.69769999999999999</v>
      </c>
      <c r="C556">
        <v>0.71819999999999995</v>
      </c>
      <c r="D556">
        <v>0.69650000000000001</v>
      </c>
      <c r="E556">
        <v>0.71440000000000003</v>
      </c>
      <c r="F556">
        <v>9661115.0399999991</v>
      </c>
      <c r="G556">
        <v>0</v>
      </c>
      <c r="L556" t="s">
        <v>7</v>
      </c>
      <c r="M556" t="s">
        <v>8</v>
      </c>
      <c r="N556" t="s">
        <v>8</v>
      </c>
      <c r="P556">
        <f t="shared" si="984"/>
        <v>0.64976958525346318</v>
      </c>
      <c r="Q556">
        <f t="shared" si="985"/>
        <v>6277498.7126267944</v>
      </c>
      <c r="R556">
        <f t="shared" si="986"/>
        <v>314150484.01821822</v>
      </c>
      <c r="S556">
        <f t="shared" si="987"/>
        <v>3141.5048401821823</v>
      </c>
      <c r="T556">
        <f t="shared" si="988"/>
        <v>3.1415048401821823</v>
      </c>
    </row>
    <row r="557" spans="1:20" x14ac:dyDescent="0.25">
      <c r="A557" s="5">
        <v>44036</v>
      </c>
      <c r="B557">
        <v>0.72209999999999996</v>
      </c>
      <c r="C557">
        <v>0.72240000000000004</v>
      </c>
      <c r="D557">
        <v>0.69350000000000001</v>
      </c>
      <c r="E557">
        <v>0.69779999999999998</v>
      </c>
      <c r="F557">
        <v>11426403.800000001</v>
      </c>
      <c r="G557">
        <v>0</v>
      </c>
      <c r="L557" t="s">
        <v>7</v>
      </c>
      <c r="M557" t="s">
        <v>8</v>
      </c>
      <c r="N557" t="s">
        <v>8</v>
      </c>
      <c r="P557">
        <f t="shared" si="984"/>
        <v>-0.70242214532872216</v>
      </c>
      <c r="Q557">
        <f t="shared" si="985"/>
        <v>-8026159.0705882637</v>
      </c>
      <c r="R557">
        <f t="shared" si="986"/>
        <v>307872985.3055914</v>
      </c>
      <c r="S557">
        <f t="shared" si="987"/>
        <v>3078.7298530559142</v>
      </c>
      <c r="T557">
        <f t="shared" si="988"/>
        <v>3.0787298530559144</v>
      </c>
    </row>
    <row r="558" spans="1:20" x14ac:dyDescent="0.25">
      <c r="A558" s="5">
        <v>44035</v>
      </c>
      <c r="B558">
        <v>0.74529999999999996</v>
      </c>
      <c r="C558">
        <v>0.75129999999999997</v>
      </c>
      <c r="D558">
        <v>0.71679999999999999</v>
      </c>
      <c r="E558">
        <v>0.72260000000000002</v>
      </c>
      <c r="F558">
        <v>10253834.449999999</v>
      </c>
      <c r="G558">
        <v>0</v>
      </c>
      <c r="L558" t="s">
        <v>7</v>
      </c>
      <c r="M558" t="s">
        <v>8</v>
      </c>
      <c r="N558" t="s">
        <v>8</v>
      </c>
      <c r="P558">
        <f t="shared" si="984"/>
        <v>-0.66376811594202711</v>
      </c>
      <c r="Q558">
        <f t="shared" si="985"/>
        <v>-6806168.3740579514</v>
      </c>
      <c r="R558">
        <f t="shared" si="986"/>
        <v>315899144.3761797</v>
      </c>
      <c r="S558">
        <f t="shared" si="987"/>
        <v>3158.9914437617967</v>
      </c>
      <c r="T558">
        <f t="shared" si="988"/>
        <v>3.1589914437617965</v>
      </c>
    </row>
    <row r="559" spans="1:20" x14ac:dyDescent="0.25">
      <c r="A559" s="5">
        <v>44034</v>
      </c>
      <c r="B559">
        <v>0.73309999999999997</v>
      </c>
      <c r="C559">
        <v>0.74860000000000004</v>
      </c>
      <c r="D559">
        <v>0.71840000000000004</v>
      </c>
      <c r="E559">
        <v>0.74470000000000003</v>
      </c>
      <c r="F559">
        <v>10064958.130000001</v>
      </c>
      <c r="G559">
        <v>0</v>
      </c>
      <c r="L559" t="s">
        <v>7</v>
      </c>
      <c r="M559" t="s">
        <v>8</v>
      </c>
      <c r="N559" t="s">
        <v>8</v>
      </c>
      <c r="P559">
        <f t="shared" si="984"/>
        <v>0.74172185430463489</v>
      </c>
      <c r="Q559">
        <f t="shared" si="985"/>
        <v>7465399.4076821106</v>
      </c>
      <c r="R559">
        <f t="shared" si="986"/>
        <v>322705312.75023764</v>
      </c>
      <c r="S559">
        <f t="shared" si="987"/>
        <v>3227.0531275023764</v>
      </c>
      <c r="T559">
        <f t="shared" si="988"/>
        <v>3.2270531275023764</v>
      </c>
    </row>
    <row r="560" spans="1:20" x14ac:dyDescent="0.25">
      <c r="A560" s="5">
        <v>44033</v>
      </c>
      <c r="B560">
        <v>0.72560000000000002</v>
      </c>
      <c r="C560">
        <v>0.74199999999999999</v>
      </c>
      <c r="D560">
        <v>0.70630000000000004</v>
      </c>
      <c r="E560">
        <v>0.73280000000000001</v>
      </c>
      <c r="F560">
        <v>12018162.57</v>
      </c>
      <c r="G560">
        <v>0</v>
      </c>
      <c r="L560" t="s">
        <v>7</v>
      </c>
      <c r="M560" t="s">
        <v>8</v>
      </c>
      <c r="N560" t="s">
        <v>8</v>
      </c>
      <c r="P560">
        <f t="shared" si="984"/>
        <v>0.48459383753501412</v>
      </c>
      <c r="Q560">
        <f t="shared" si="985"/>
        <v>5823927.5199159682</v>
      </c>
      <c r="R560">
        <f t="shared" si="986"/>
        <v>315239913.34255552</v>
      </c>
      <c r="S560">
        <f t="shared" si="987"/>
        <v>3152.3991334255552</v>
      </c>
      <c r="T560">
        <f t="shared" si="988"/>
        <v>3.152399133425555</v>
      </c>
    </row>
    <row r="561" spans="1:104" x14ac:dyDescent="0.25">
      <c r="A561" s="5">
        <v>44032</v>
      </c>
      <c r="B561">
        <v>0.75129999999999997</v>
      </c>
      <c r="C561">
        <v>0.75880000000000003</v>
      </c>
      <c r="D561">
        <v>0.7208</v>
      </c>
      <c r="E561">
        <v>0.72560000000000002</v>
      </c>
      <c r="F561">
        <v>12261811.99</v>
      </c>
      <c r="G561">
        <v>0</v>
      </c>
      <c r="L561" t="s">
        <v>7</v>
      </c>
      <c r="M561" t="s">
        <v>8</v>
      </c>
      <c r="N561" t="s">
        <v>8</v>
      </c>
      <c r="P561">
        <f t="shared" si="984"/>
        <v>-0.74736842105263046</v>
      </c>
      <c r="Q561">
        <f t="shared" si="985"/>
        <v>-9164091.0662105121</v>
      </c>
      <c r="R561">
        <f t="shared" si="986"/>
        <v>309415985.82263958</v>
      </c>
      <c r="S561">
        <f t="shared" si="987"/>
        <v>3094.159858226396</v>
      </c>
      <c r="T561">
        <f t="shared" si="988"/>
        <v>3.0941598582263961</v>
      </c>
      <c r="CZ561" t="s">
        <v>7</v>
      </c>
    </row>
    <row r="562" spans="1:104" x14ac:dyDescent="0.25">
      <c r="A562" s="5">
        <v>44031</v>
      </c>
      <c r="B562">
        <v>0.76119999999999999</v>
      </c>
      <c r="C562">
        <v>0.8</v>
      </c>
      <c r="D562">
        <v>0.72570000000000001</v>
      </c>
      <c r="E562">
        <v>0.75149999999999995</v>
      </c>
      <c r="F562">
        <v>17636617.82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-0.30551816958277461</v>
      </c>
      <c r="Q562">
        <f t="shared" si="985"/>
        <v>-5388307.1939973449</v>
      </c>
      <c r="R562">
        <f t="shared" si="986"/>
        <v>318580076.88885009</v>
      </c>
      <c r="S562">
        <f t="shared" si="987"/>
        <v>3185.8007688885009</v>
      </c>
      <c r="T562">
        <f t="shared" si="988"/>
        <v>3.1858007688885008</v>
      </c>
      <c r="CZ562" t="s">
        <v>7</v>
      </c>
    </row>
    <row r="563" spans="1:104" x14ac:dyDescent="0.25">
      <c r="A563" s="5">
        <v>44030</v>
      </c>
      <c r="B563">
        <v>0.74950000000000006</v>
      </c>
      <c r="C563">
        <v>0.78369999999999995</v>
      </c>
      <c r="D563">
        <v>0.72409999999999997</v>
      </c>
      <c r="E563">
        <v>0.76080000000000003</v>
      </c>
      <c r="F563">
        <v>20426411.809999999</v>
      </c>
      <c r="G563">
        <v>0</v>
      </c>
      <c r="L563" t="s">
        <v>8</v>
      </c>
      <c r="M563" t="s">
        <v>8</v>
      </c>
      <c r="N563" t="s">
        <v>8</v>
      </c>
      <c r="P563">
        <f t="shared" si="984"/>
        <v>0.23154362416107632</v>
      </c>
      <c r="Q563">
        <f t="shared" si="985"/>
        <v>4729605.4190940103</v>
      </c>
      <c r="R563">
        <f t="shared" si="986"/>
        <v>323968384.08284742</v>
      </c>
      <c r="S563">
        <f t="shared" si="987"/>
        <v>3239.6838408284743</v>
      </c>
      <c r="T563">
        <f t="shared" si="988"/>
        <v>3.2396838408284743</v>
      </c>
      <c r="CZ563" t="s">
        <v>7</v>
      </c>
    </row>
    <row r="564" spans="1:104" x14ac:dyDescent="0.25">
      <c r="A564" s="5">
        <v>44029</v>
      </c>
      <c r="B564">
        <v>0.73809999999999998</v>
      </c>
      <c r="C564">
        <v>0.77110000000000001</v>
      </c>
      <c r="D564">
        <v>0.70279999999999998</v>
      </c>
      <c r="E564">
        <v>0.74970000000000003</v>
      </c>
      <c r="F564">
        <v>23448692.870000001</v>
      </c>
      <c r="G564">
        <v>0</v>
      </c>
      <c r="L564" t="s">
        <v>8</v>
      </c>
      <c r="M564" t="s">
        <v>7</v>
      </c>
      <c r="N564" t="s">
        <v>8</v>
      </c>
      <c r="P564">
        <f t="shared" si="984"/>
        <v>0.37335285505124549</v>
      </c>
      <c r="Q564">
        <f t="shared" si="985"/>
        <v>8754636.4302342832</v>
      </c>
      <c r="R564">
        <f t="shared" si="986"/>
        <v>319238778.66375339</v>
      </c>
      <c r="S564">
        <f t="shared" si="987"/>
        <v>3192.3877866375337</v>
      </c>
      <c r="T564">
        <f t="shared" si="988"/>
        <v>3.1923877866375339</v>
      </c>
    </row>
    <row r="565" spans="1:104" x14ac:dyDescent="0.25">
      <c r="A565" s="5">
        <v>44028</v>
      </c>
      <c r="B565">
        <v>0.72609999999999997</v>
      </c>
      <c r="C565">
        <v>0.75070000000000003</v>
      </c>
      <c r="D565">
        <v>0.65839999999999999</v>
      </c>
      <c r="E565">
        <v>0.73729999999999996</v>
      </c>
      <c r="F565">
        <v>29207416.329999998</v>
      </c>
      <c r="G565">
        <v>0</v>
      </c>
      <c r="L565" t="s">
        <v>7</v>
      </c>
      <c r="M565" t="s">
        <v>7</v>
      </c>
      <c r="N565" t="s">
        <v>8</v>
      </c>
      <c r="P565">
        <f t="shared" si="984"/>
        <v>0.70964247020584892</v>
      </c>
      <c r="Q565">
        <f t="shared" si="985"/>
        <v>20726823.07275185</v>
      </c>
      <c r="R565">
        <f t="shared" si="986"/>
        <v>310484142.23351908</v>
      </c>
      <c r="S565">
        <f t="shared" si="987"/>
        <v>3104.8414223351906</v>
      </c>
      <c r="T565">
        <f t="shared" si="988"/>
        <v>3.1048414223351908</v>
      </c>
    </row>
    <row r="566" spans="1:104" x14ac:dyDescent="0.25">
      <c r="A566" s="5">
        <v>44027</v>
      </c>
      <c r="B566">
        <v>0.76200000000000001</v>
      </c>
      <c r="C566">
        <v>0.78080000000000005</v>
      </c>
      <c r="D566">
        <v>0.7147</v>
      </c>
      <c r="E566">
        <v>0.72589999999999999</v>
      </c>
      <c r="F566">
        <v>25627430.18</v>
      </c>
      <c r="G566">
        <v>0</v>
      </c>
      <c r="L566" t="s">
        <v>7</v>
      </c>
      <c r="M566" t="s">
        <v>8</v>
      </c>
      <c r="N566" t="s">
        <v>8</v>
      </c>
      <c r="P566">
        <f t="shared" si="984"/>
        <v>-0.66111951588502327</v>
      </c>
      <c r="Q566">
        <f t="shared" si="985"/>
        <v>-16942794.233978834</v>
      </c>
      <c r="R566">
        <f t="shared" si="986"/>
        <v>289757319.1607672</v>
      </c>
      <c r="S566">
        <f t="shared" si="987"/>
        <v>2897.573191607672</v>
      </c>
      <c r="T566">
        <f t="shared" si="988"/>
        <v>2.8975731916076719</v>
      </c>
    </row>
    <row r="567" spans="1:104" x14ac:dyDescent="0.25">
      <c r="A567" s="5">
        <v>44026</v>
      </c>
      <c r="B567">
        <v>0.67689999999999995</v>
      </c>
      <c r="C567">
        <v>0.79620000000000002</v>
      </c>
      <c r="D567">
        <v>0.63380000000000003</v>
      </c>
      <c r="E567">
        <v>0.76200000000000001</v>
      </c>
      <c r="F567">
        <v>49063790.380000003</v>
      </c>
      <c r="G567">
        <v>0</v>
      </c>
      <c r="L567" t="s">
        <v>8</v>
      </c>
      <c r="M567" t="s">
        <v>8</v>
      </c>
      <c r="N567" t="s">
        <v>8</v>
      </c>
      <c r="P567">
        <f t="shared" si="984"/>
        <v>0.57881773399014769</v>
      </c>
      <c r="Q567">
        <f t="shared" si="985"/>
        <v>28398991.96871921</v>
      </c>
      <c r="R567">
        <f t="shared" si="986"/>
        <v>306700113.39474601</v>
      </c>
      <c r="S567">
        <f t="shared" si="987"/>
        <v>3067.0011339474599</v>
      </c>
      <c r="T567">
        <f t="shared" si="988"/>
        <v>3.0670011339474601</v>
      </c>
    </row>
    <row r="568" spans="1:104" x14ac:dyDescent="0.25">
      <c r="A568" s="5">
        <v>44025</v>
      </c>
      <c r="B568">
        <v>0.67430000000000001</v>
      </c>
      <c r="C568">
        <v>0.72</v>
      </c>
      <c r="D568">
        <v>0.66279999999999994</v>
      </c>
      <c r="E568">
        <v>0.6764</v>
      </c>
      <c r="F568">
        <v>17351957.25</v>
      </c>
      <c r="G568">
        <v>0</v>
      </c>
      <c r="L568" t="s">
        <v>8</v>
      </c>
      <c r="M568" t="s">
        <v>8</v>
      </c>
      <c r="N568" t="s">
        <v>8</v>
      </c>
      <c r="P568">
        <f t="shared" si="984"/>
        <v>-0.5244755244755227</v>
      </c>
      <c r="Q568">
        <f t="shared" si="985"/>
        <v>-9100676.8793705981</v>
      </c>
      <c r="R568">
        <f t="shared" si="986"/>
        <v>278301121.42602682</v>
      </c>
      <c r="S568">
        <f t="shared" si="987"/>
        <v>2783.0112142602684</v>
      </c>
      <c r="T568">
        <f t="shared" si="988"/>
        <v>2.7830112142602683</v>
      </c>
    </row>
    <row r="569" spans="1:104" x14ac:dyDescent="0.25">
      <c r="A569" s="5">
        <v>44024</v>
      </c>
      <c r="B569">
        <v>0.68630000000000002</v>
      </c>
      <c r="C569">
        <v>0.71050000000000002</v>
      </c>
      <c r="D569">
        <v>0.64910000000000001</v>
      </c>
      <c r="E569">
        <v>0.67430000000000001</v>
      </c>
      <c r="F569">
        <v>15677388.039999999</v>
      </c>
      <c r="G569">
        <v>0</v>
      </c>
      <c r="L569" t="s">
        <v>8</v>
      </c>
      <c r="M569" t="s">
        <v>8</v>
      </c>
      <c r="N569" t="s">
        <v>8</v>
      </c>
      <c r="P569">
        <f t="shared" si="984"/>
        <v>-0.17915309446254085</v>
      </c>
      <c r="Q569">
        <f t="shared" si="985"/>
        <v>-2808652.5804560282</v>
      </c>
      <c r="R569">
        <f t="shared" si="986"/>
        <v>287401798.30539739</v>
      </c>
      <c r="S569">
        <f t="shared" si="987"/>
        <v>2874.0179830539737</v>
      </c>
      <c r="T569">
        <f t="shared" si="988"/>
        <v>2.8740179830539736</v>
      </c>
    </row>
    <row r="570" spans="1:104" x14ac:dyDescent="0.25">
      <c r="A570" s="5">
        <v>44023</v>
      </c>
      <c r="B570">
        <v>0.61860000000000004</v>
      </c>
      <c r="C570">
        <v>0.69640000000000002</v>
      </c>
      <c r="D570">
        <v>0.61860000000000004</v>
      </c>
      <c r="E570">
        <v>0.68569999999999998</v>
      </c>
      <c r="F570">
        <v>17495630.280000001</v>
      </c>
      <c r="G570">
        <v>0</v>
      </c>
      <c r="L570" t="s">
        <v>8</v>
      </c>
      <c r="M570" t="s">
        <v>8</v>
      </c>
      <c r="N570" t="s">
        <v>8</v>
      </c>
      <c r="P570">
        <f t="shared" si="984"/>
        <v>0.72493573264781375</v>
      </c>
      <c r="Q570">
        <f t="shared" si="985"/>
        <v>12683207.555167075</v>
      </c>
      <c r="R570">
        <f t="shared" si="986"/>
        <v>290210450.88585341</v>
      </c>
      <c r="S570">
        <f t="shared" si="987"/>
        <v>2902.1045088585342</v>
      </c>
      <c r="T570">
        <f t="shared" si="988"/>
        <v>2.9021045088585344</v>
      </c>
    </row>
    <row r="571" spans="1:104" x14ac:dyDescent="0.25">
      <c r="A571" s="5">
        <v>44022</v>
      </c>
      <c r="B571">
        <v>0.63339999999999996</v>
      </c>
      <c r="C571">
        <v>0.63360000000000005</v>
      </c>
      <c r="D571">
        <v>0.60499999999999998</v>
      </c>
      <c r="E571">
        <v>0.61860000000000004</v>
      </c>
      <c r="F571">
        <v>8751531.2300000004</v>
      </c>
      <c r="G571">
        <v>0</v>
      </c>
      <c r="L571" t="s">
        <v>7</v>
      </c>
      <c r="M571" t="s">
        <v>8</v>
      </c>
      <c r="N571" t="s">
        <v>8</v>
      </c>
      <c r="P571">
        <f t="shared" si="984"/>
        <v>-4.8951048951047321E-2</v>
      </c>
      <c r="Q571">
        <f t="shared" si="985"/>
        <v>-428396.6336363494</v>
      </c>
      <c r="R571">
        <f t="shared" si="986"/>
        <v>277527243.33068633</v>
      </c>
      <c r="S571">
        <f t="shared" si="987"/>
        <v>2775.2724333068631</v>
      </c>
      <c r="T571">
        <f t="shared" si="988"/>
        <v>2.775272433306863</v>
      </c>
    </row>
    <row r="572" spans="1:104" x14ac:dyDescent="0.25">
      <c r="A572" s="5">
        <v>44021</v>
      </c>
      <c r="B572">
        <v>0.65180000000000005</v>
      </c>
      <c r="C572">
        <v>0.66500000000000004</v>
      </c>
      <c r="D572">
        <v>0.61</v>
      </c>
      <c r="E572">
        <v>0.63290000000000002</v>
      </c>
      <c r="F572">
        <v>13564089.199999999</v>
      </c>
      <c r="G572">
        <v>0</v>
      </c>
      <c r="L572" t="s">
        <v>8</v>
      </c>
      <c r="M572" t="s">
        <v>8</v>
      </c>
      <c r="N572" t="s">
        <v>8</v>
      </c>
      <c r="P572">
        <f t="shared" si="984"/>
        <v>-0.16727272727272688</v>
      </c>
      <c r="Q572">
        <f t="shared" si="985"/>
        <v>-2268902.1934545399</v>
      </c>
      <c r="R572">
        <f t="shared" si="986"/>
        <v>277955639.96432269</v>
      </c>
      <c r="S572">
        <f t="shared" si="987"/>
        <v>2779.556399643227</v>
      </c>
      <c r="T572">
        <f t="shared" si="988"/>
        <v>2.7795563996432269</v>
      </c>
    </row>
    <row r="573" spans="1:104" x14ac:dyDescent="0.25">
      <c r="A573" s="5">
        <v>44020</v>
      </c>
      <c r="B573">
        <v>0.6139</v>
      </c>
      <c r="C573">
        <v>0.65880000000000005</v>
      </c>
      <c r="D573">
        <v>0.60599999999999998</v>
      </c>
      <c r="E573">
        <v>0.65169999999999995</v>
      </c>
      <c r="F573">
        <v>14665580.35</v>
      </c>
      <c r="G573">
        <v>0</v>
      </c>
      <c r="L573" t="s">
        <v>8</v>
      </c>
      <c r="M573" t="s">
        <v>8</v>
      </c>
      <c r="N573" t="s">
        <v>8</v>
      </c>
      <c r="P573">
        <f t="shared" si="984"/>
        <v>0.73106060606060241</v>
      </c>
      <c r="Q573">
        <f t="shared" si="985"/>
        <v>10721428.058901461</v>
      </c>
      <c r="R573">
        <f t="shared" si="986"/>
        <v>280224542.15777725</v>
      </c>
      <c r="S573">
        <f t="shared" si="987"/>
        <v>2802.2454215777725</v>
      </c>
      <c r="T573">
        <f t="shared" si="988"/>
        <v>2.8022454215777723</v>
      </c>
    </row>
    <row r="574" spans="1:104" x14ac:dyDescent="0.25">
      <c r="A574" s="5">
        <v>44019</v>
      </c>
      <c r="B574">
        <v>0.62229999999999996</v>
      </c>
      <c r="C574">
        <v>0.63249999999999995</v>
      </c>
      <c r="D574">
        <v>0.59960000000000002</v>
      </c>
      <c r="E574">
        <v>0.61370000000000002</v>
      </c>
      <c r="F574">
        <v>9549095.1999999993</v>
      </c>
      <c r="G574">
        <v>0</v>
      </c>
      <c r="L574" t="s">
        <v>8</v>
      </c>
      <c r="M574" t="s">
        <v>7</v>
      </c>
      <c r="N574" t="s">
        <v>8</v>
      </c>
      <c r="P574">
        <f t="shared" si="984"/>
        <v>-0.14285714285714093</v>
      </c>
      <c r="Q574">
        <f t="shared" si="985"/>
        <v>-1364156.4571428387</v>
      </c>
      <c r="R574">
        <f t="shared" si="986"/>
        <v>269503114.09887576</v>
      </c>
      <c r="S574">
        <f t="shared" si="987"/>
        <v>2695.0311409887577</v>
      </c>
      <c r="T574">
        <f t="shared" si="988"/>
        <v>2.6950311409887577</v>
      </c>
    </row>
    <row r="575" spans="1:104" x14ac:dyDescent="0.25">
      <c r="A575" s="5">
        <v>44018</v>
      </c>
      <c r="B575">
        <v>0.61480000000000001</v>
      </c>
      <c r="C575">
        <v>0.62429999999999997</v>
      </c>
      <c r="D575">
        <v>0.59930000000000005</v>
      </c>
      <c r="E575">
        <v>0.62250000000000005</v>
      </c>
      <c r="F575">
        <v>12528447.289999999</v>
      </c>
      <c r="G575">
        <v>0</v>
      </c>
      <c r="L575" t="s">
        <v>8</v>
      </c>
      <c r="M575" t="s">
        <v>7</v>
      </c>
      <c r="N575" t="s">
        <v>8</v>
      </c>
      <c r="P575">
        <f t="shared" si="984"/>
        <v>0.85600000000000642</v>
      </c>
      <c r="Q575">
        <f t="shared" si="985"/>
        <v>10724350.880240079</v>
      </c>
      <c r="R575">
        <f t="shared" si="986"/>
        <v>270867270.55601859</v>
      </c>
      <c r="S575">
        <f t="shared" si="987"/>
        <v>2708.6727055601859</v>
      </c>
      <c r="T575">
        <f t="shared" si="988"/>
        <v>2.7086727055601858</v>
      </c>
    </row>
    <row r="576" spans="1:104" x14ac:dyDescent="0.25">
      <c r="A576" s="5">
        <v>44017</v>
      </c>
      <c r="B576">
        <v>0.57169999999999999</v>
      </c>
      <c r="C576">
        <v>0.61699999999999999</v>
      </c>
      <c r="D576">
        <v>0.55600000000000005</v>
      </c>
      <c r="E576">
        <v>0.61470000000000002</v>
      </c>
      <c r="F576">
        <v>21925638.52</v>
      </c>
      <c r="G576">
        <v>0</v>
      </c>
      <c r="L576" t="s">
        <v>8</v>
      </c>
      <c r="M576" t="s">
        <v>7</v>
      </c>
      <c r="N576" t="s">
        <v>8</v>
      </c>
      <c r="P576">
        <f t="shared" si="984"/>
        <v>0.92459016393442717</v>
      </c>
      <c r="Q576">
        <f t="shared" si="985"/>
        <v>20272229.713573791</v>
      </c>
      <c r="R576">
        <f t="shared" si="986"/>
        <v>260142919.67577851</v>
      </c>
      <c r="S576">
        <f t="shared" si="987"/>
        <v>2601.4291967577851</v>
      </c>
      <c r="T576">
        <f t="shared" si="988"/>
        <v>2.6014291967577852</v>
      </c>
    </row>
    <row r="577" spans="1:20" x14ac:dyDescent="0.25">
      <c r="A577" s="5">
        <v>44016</v>
      </c>
      <c r="B577">
        <v>0.55420000000000003</v>
      </c>
      <c r="C577">
        <v>0.58720000000000006</v>
      </c>
      <c r="D577">
        <v>0.55330000000000001</v>
      </c>
      <c r="E577">
        <v>0.57220000000000004</v>
      </c>
      <c r="F577">
        <v>10920010.82</v>
      </c>
      <c r="G577">
        <v>0</v>
      </c>
      <c r="L577" t="s">
        <v>8</v>
      </c>
      <c r="M577" t="s">
        <v>7</v>
      </c>
      <c r="N577" t="s">
        <v>8</v>
      </c>
      <c r="P577">
        <f t="shared" si="984"/>
        <v>0.11504424778761091</v>
      </c>
      <c r="Q577">
        <f t="shared" si="985"/>
        <v>1256284.4306194722</v>
      </c>
      <c r="R577">
        <f t="shared" si="986"/>
        <v>239870689.96220472</v>
      </c>
      <c r="S577">
        <f t="shared" si="987"/>
        <v>2398.7068996220473</v>
      </c>
      <c r="T577">
        <f t="shared" si="988"/>
        <v>2.3987068996220473</v>
      </c>
    </row>
    <row r="578" spans="1:20" x14ac:dyDescent="0.25">
      <c r="A578" s="5">
        <v>44015</v>
      </c>
      <c r="B578">
        <v>0.56040000000000001</v>
      </c>
      <c r="C578">
        <v>0.57220000000000004</v>
      </c>
      <c r="D578">
        <v>0.55100000000000005</v>
      </c>
      <c r="E578">
        <v>0.55500000000000005</v>
      </c>
      <c r="F578">
        <v>8886195.0899999999</v>
      </c>
      <c r="G578">
        <v>0</v>
      </c>
      <c r="L578" t="s">
        <v>7</v>
      </c>
      <c r="M578" t="s">
        <v>7</v>
      </c>
      <c r="N578" t="s">
        <v>8</v>
      </c>
      <c r="P578">
        <f t="shared" si="984"/>
        <v>-0.6226415094339619</v>
      </c>
      <c r="Q578">
        <f t="shared" si="985"/>
        <v>-5532913.9239622606</v>
      </c>
      <c r="R578">
        <f t="shared" si="986"/>
        <v>238614405.53158525</v>
      </c>
      <c r="S578">
        <f t="shared" si="987"/>
        <v>2386.1440553158523</v>
      </c>
      <c r="T578">
        <f t="shared" si="988"/>
        <v>2.3861440553158522</v>
      </c>
    </row>
    <row r="579" spans="1:20" x14ac:dyDescent="0.25">
      <c r="A579" s="5">
        <v>44014</v>
      </c>
      <c r="B579">
        <v>0.58220000000000005</v>
      </c>
      <c r="C579">
        <v>0.59</v>
      </c>
      <c r="D579">
        <v>0.53580000000000005</v>
      </c>
      <c r="E579">
        <v>0.55959999999999999</v>
      </c>
      <c r="F579">
        <v>13810025.720000001</v>
      </c>
      <c r="G579">
        <v>0</v>
      </c>
      <c r="L579" t="s">
        <v>7</v>
      </c>
      <c r="M579" t="s">
        <v>7</v>
      </c>
      <c r="N579" t="s">
        <v>8</v>
      </c>
      <c r="P579">
        <f t="shared" si="984"/>
        <v>-0.12177121771217823</v>
      </c>
      <c r="Q579">
        <f t="shared" si="985"/>
        <v>-1681663.6485609009</v>
      </c>
      <c r="R579">
        <f t="shared" si="986"/>
        <v>244147319.45554751</v>
      </c>
      <c r="S579">
        <f t="shared" si="987"/>
        <v>2441.4731945554749</v>
      </c>
      <c r="T579">
        <f t="shared" si="988"/>
        <v>2.4414731945554751</v>
      </c>
    </row>
    <row r="580" spans="1:20" x14ac:dyDescent="0.25">
      <c r="A580" s="5">
        <v>44013</v>
      </c>
      <c r="B580">
        <v>0.57420000000000004</v>
      </c>
      <c r="C580">
        <v>0.59019999999999995</v>
      </c>
      <c r="D580">
        <v>0.55930000000000002</v>
      </c>
      <c r="E580">
        <v>0.58279999999999998</v>
      </c>
      <c r="F580">
        <v>11542412.550000001</v>
      </c>
      <c r="G580">
        <v>0</v>
      </c>
      <c r="L580" t="s">
        <v>7</v>
      </c>
      <c r="M580" t="s">
        <v>8</v>
      </c>
      <c r="N580" t="s">
        <v>8</v>
      </c>
      <c r="P580">
        <f t="shared" si="984"/>
        <v>0.52103559870550298</v>
      </c>
      <c r="Q580">
        <f t="shared" si="985"/>
        <v>6014007.8334951615</v>
      </c>
      <c r="R580">
        <f t="shared" si="986"/>
        <v>245828983.10410842</v>
      </c>
      <c r="S580">
        <f t="shared" si="987"/>
        <v>2458.2898310410842</v>
      </c>
      <c r="T580">
        <f t="shared" si="988"/>
        <v>2.4582898310410841</v>
      </c>
    </row>
    <row r="581" spans="1:20" x14ac:dyDescent="0.25">
      <c r="A581" s="5">
        <v>44012</v>
      </c>
      <c r="B581">
        <v>0.59940000000000004</v>
      </c>
      <c r="C581">
        <v>0.6028</v>
      </c>
      <c r="D581">
        <v>0.57150000000000001</v>
      </c>
      <c r="E581">
        <v>0.57430000000000003</v>
      </c>
      <c r="F581">
        <v>8762942</v>
      </c>
      <c r="G581">
        <v>0</v>
      </c>
      <c r="L581" t="s">
        <v>7</v>
      </c>
      <c r="M581" t="s">
        <v>8</v>
      </c>
      <c r="N581" t="s">
        <v>8</v>
      </c>
      <c r="P581">
        <f t="shared" si="984"/>
        <v>-0.82108626198082901</v>
      </c>
      <c r="Q581">
        <f t="shared" si="985"/>
        <v>-7195131.2907348098</v>
      </c>
      <c r="R581">
        <f t="shared" si="986"/>
        <v>239814975.27061325</v>
      </c>
      <c r="S581">
        <f t="shared" si="987"/>
        <v>2398.1497527061324</v>
      </c>
      <c r="T581">
        <f t="shared" si="988"/>
        <v>2.3981497527061326</v>
      </c>
    </row>
    <row r="582" spans="1:20" x14ac:dyDescent="0.25">
      <c r="A582" s="5">
        <v>44011</v>
      </c>
      <c r="B582">
        <v>0.59499999999999997</v>
      </c>
      <c r="C582">
        <v>0.60629999999999995</v>
      </c>
      <c r="D582">
        <v>0.57679999999999998</v>
      </c>
      <c r="E582">
        <v>0.59899999999999998</v>
      </c>
      <c r="F582">
        <v>13412038.02</v>
      </c>
      <c r="G582">
        <v>0</v>
      </c>
      <c r="L582" t="s">
        <v>8</v>
      </c>
      <c r="M582" t="s">
        <v>8</v>
      </c>
      <c r="N582" t="s">
        <v>8</v>
      </c>
      <c r="P582">
        <f t="shared" ref="P582:P645" si="989">IF(C582=D582,0,((E582-D582)-(C582-E582))/(C582-D582))</f>
        <v>0.50508474576271323</v>
      </c>
      <c r="Q582">
        <f t="shared" ref="Q582:Q645" si="990">F582*P582</f>
        <v>6774215.8134915438</v>
      </c>
      <c r="R582">
        <f t="shared" ref="R582:R645" si="991">R583+Q582</f>
        <v>247010106.56134805</v>
      </c>
      <c r="S582">
        <f t="shared" ref="S582:S645" si="992">R582/100000</f>
        <v>2470.1010656134804</v>
      </c>
      <c r="T582">
        <f t="shared" ref="T582:T645" si="993">S582/1000</f>
        <v>2.4701010656134805</v>
      </c>
    </row>
    <row r="583" spans="1:20" x14ac:dyDescent="0.25">
      <c r="A583" s="5">
        <v>44010</v>
      </c>
      <c r="B583">
        <v>0.59670000000000001</v>
      </c>
      <c r="C583">
        <v>0.60960000000000003</v>
      </c>
      <c r="D583">
        <v>0.56799999999999995</v>
      </c>
      <c r="E583">
        <v>0.59450000000000003</v>
      </c>
      <c r="F583">
        <v>11857919.119999999</v>
      </c>
      <c r="G583">
        <v>0</v>
      </c>
      <c r="L583" t="s">
        <v>8</v>
      </c>
      <c r="M583" t="s">
        <v>8</v>
      </c>
      <c r="N583" t="s">
        <v>8</v>
      </c>
      <c r="P583">
        <f t="shared" si="989"/>
        <v>0.27403846153846284</v>
      </c>
      <c r="Q583">
        <f t="shared" si="990"/>
        <v>3249525.9126923229</v>
      </c>
      <c r="R583">
        <f t="shared" si="991"/>
        <v>240235890.7478565</v>
      </c>
      <c r="S583">
        <f t="shared" si="992"/>
        <v>2402.358907478565</v>
      </c>
      <c r="T583">
        <f t="shared" si="993"/>
        <v>2.4023589074785652</v>
      </c>
    </row>
    <row r="584" spans="1:20" x14ac:dyDescent="0.25">
      <c r="A584" s="5">
        <v>44009</v>
      </c>
      <c r="B584">
        <v>0.64180000000000004</v>
      </c>
      <c r="C584">
        <v>0.64259999999999995</v>
      </c>
      <c r="D584">
        <v>0.56879999999999997</v>
      </c>
      <c r="E584">
        <v>0.59650000000000003</v>
      </c>
      <c r="F584">
        <v>16922800.34</v>
      </c>
      <c r="G584">
        <v>0</v>
      </c>
      <c r="L584" t="s">
        <v>7</v>
      </c>
      <c r="M584" t="s">
        <v>8</v>
      </c>
      <c r="N584" t="s">
        <v>8</v>
      </c>
      <c r="P584">
        <f t="shared" si="989"/>
        <v>-0.24932249322493044</v>
      </c>
      <c r="Q584">
        <f t="shared" si="990"/>
        <v>-4219234.7731165001</v>
      </c>
      <c r="R584">
        <f t="shared" si="991"/>
        <v>236986364.83516419</v>
      </c>
      <c r="S584">
        <f t="shared" si="992"/>
        <v>2369.863648351642</v>
      </c>
      <c r="T584">
        <f t="shared" si="993"/>
        <v>2.3698636483516422</v>
      </c>
    </row>
    <row r="585" spans="1:20" x14ac:dyDescent="0.25">
      <c r="A585" s="5">
        <v>44008</v>
      </c>
      <c r="B585">
        <v>0.63049999999999995</v>
      </c>
      <c r="C585">
        <v>0.65359999999999996</v>
      </c>
      <c r="D585">
        <v>0.60929999999999995</v>
      </c>
      <c r="E585">
        <v>0.64229999999999998</v>
      </c>
      <c r="F585">
        <v>26303606.690000001</v>
      </c>
      <c r="G585">
        <v>0</v>
      </c>
      <c r="L585" t="s">
        <v>8</v>
      </c>
      <c r="M585" t="s">
        <v>8</v>
      </c>
      <c r="N585" t="s">
        <v>8</v>
      </c>
      <c r="P585">
        <f t="shared" si="989"/>
        <v>0.48984198645598304</v>
      </c>
      <c r="Q585">
        <f t="shared" si="990"/>
        <v>12884610.951986486</v>
      </c>
      <c r="R585">
        <f t="shared" si="991"/>
        <v>241205599.60828069</v>
      </c>
      <c r="S585">
        <f t="shared" si="992"/>
        <v>2412.0559960828068</v>
      </c>
      <c r="T585">
        <f t="shared" si="993"/>
        <v>2.412055996082807</v>
      </c>
    </row>
    <row r="586" spans="1:20" x14ac:dyDescent="0.25">
      <c r="A586" s="5">
        <v>44007</v>
      </c>
      <c r="B586">
        <v>0.60760000000000003</v>
      </c>
      <c r="C586">
        <v>0.64139999999999997</v>
      </c>
      <c r="D586">
        <v>0.57640000000000002</v>
      </c>
      <c r="E586">
        <v>0.63029999999999997</v>
      </c>
      <c r="F586">
        <v>18558340.550000001</v>
      </c>
      <c r="G586">
        <v>0</v>
      </c>
      <c r="L586" t="s">
        <v>7</v>
      </c>
      <c r="M586" t="s">
        <v>8</v>
      </c>
      <c r="N586" t="s">
        <v>8</v>
      </c>
      <c r="P586">
        <f t="shared" si="989"/>
        <v>0.65846153846153821</v>
      </c>
      <c r="Q586">
        <f t="shared" si="990"/>
        <v>12219953.46984615</v>
      </c>
      <c r="R586">
        <f t="shared" si="991"/>
        <v>228320988.6562942</v>
      </c>
      <c r="S586">
        <f t="shared" si="992"/>
        <v>2283.2098865629418</v>
      </c>
      <c r="T586">
        <f t="shared" si="993"/>
        <v>2.283209886562942</v>
      </c>
    </row>
    <row r="587" spans="1:20" x14ac:dyDescent="0.25">
      <c r="A587" s="5">
        <v>44006</v>
      </c>
      <c r="B587">
        <v>0.62849999999999995</v>
      </c>
      <c r="C587">
        <v>0.65669999999999995</v>
      </c>
      <c r="D587">
        <v>0.59650000000000003</v>
      </c>
      <c r="E587">
        <v>0.60770000000000002</v>
      </c>
      <c r="F587">
        <v>15040081.77</v>
      </c>
      <c r="G587">
        <v>0</v>
      </c>
      <c r="L587" t="s">
        <v>7</v>
      </c>
      <c r="M587" t="s">
        <v>8</v>
      </c>
      <c r="N587" t="s">
        <v>8</v>
      </c>
      <c r="P587">
        <f t="shared" si="989"/>
        <v>-0.62790697674418594</v>
      </c>
      <c r="Q587">
        <f t="shared" si="990"/>
        <v>-9443772.2741860449</v>
      </c>
      <c r="R587">
        <f t="shared" si="991"/>
        <v>216101035.18644804</v>
      </c>
      <c r="S587">
        <f t="shared" si="992"/>
        <v>2161.0103518644805</v>
      </c>
      <c r="T587">
        <f t="shared" si="993"/>
        <v>2.1610103518644803</v>
      </c>
    </row>
    <row r="588" spans="1:20" x14ac:dyDescent="0.25">
      <c r="A588" s="5">
        <v>44005</v>
      </c>
      <c r="B588">
        <v>0.64549999999999996</v>
      </c>
      <c r="C588">
        <v>0.67149999999999999</v>
      </c>
      <c r="D588">
        <v>0.626</v>
      </c>
      <c r="E588">
        <v>0.62839999999999996</v>
      </c>
      <c r="F588">
        <v>19216148.75</v>
      </c>
      <c r="G588">
        <v>0</v>
      </c>
      <c r="L588" t="s">
        <v>8</v>
      </c>
      <c r="M588" t="s">
        <v>8</v>
      </c>
      <c r="N588" t="s">
        <v>8</v>
      </c>
      <c r="P588">
        <f t="shared" si="989"/>
        <v>-0.89450549450549632</v>
      </c>
      <c r="Q588">
        <f t="shared" si="990"/>
        <v>-17188950.640109926</v>
      </c>
      <c r="R588">
        <f t="shared" si="991"/>
        <v>225544807.46063408</v>
      </c>
      <c r="S588">
        <f t="shared" si="992"/>
        <v>2255.4480746063409</v>
      </c>
      <c r="T588">
        <f t="shared" si="993"/>
        <v>2.255448074606341</v>
      </c>
    </row>
    <row r="589" spans="1:20" x14ac:dyDescent="0.25">
      <c r="A589" s="5">
        <v>44004</v>
      </c>
      <c r="B589">
        <v>0.58499999999999996</v>
      </c>
      <c r="C589">
        <v>0.65539999999999998</v>
      </c>
      <c r="D589">
        <v>0.58279999999999998</v>
      </c>
      <c r="E589">
        <v>0.64549999999999996</v>
      </c>
      <c r="F589">
        <v>26959047.23</v>
      </c>
      <c r="G589">
        <v>0</v>
      </c>
      <c r="L589" t="s">
        <v>8</v>
      </c>
      <c r="M589" t="s">
        <v>8</v>
      </c>
      <c r="N589" t="s">
        <v>8</v>
      </c>
      <c r="P589">
        <f t="shared" si="989"/>
        <v>0.72727272727272674</v>
      </c>
      <c r="Q589">
        <f t="shared" si="990"/>
        <v>19606579.80363635</v>
      </c>
      <c r="R589">
        <f t="shared" si="991"/>
        <v>242733758.10074401</v>
      </c>
      <c r="S589">
        <f t="shared" si="992"/>
        <v>2427.3375810074399</v>
      </c>
      <c r="T589">
        <f t="shared" si="993"/>
        <v>2.42733758100744</v>
      </c>
    </row>
    <row r="590" spans="1:20" x14ac:dyDescent="0.25">
      <c r="A590" s="5">
        <v>44003</v>
      </c>
      <c r="B590">
        <v>0.56630000000000003</v>
      </c>
      <c r="C590">
        <v>0.59670000000000001</v>
      </c>
      <c r="D590">
        <v>0.5655</v>
      </c>
      <c r="E590">
        <v>0.58489999999999998</v>
      </c>
      <c r="F590">
        <v>8999090.0700000003</v>
      </c>
      <c r="G590">
        <v>0</v>
      </c>
      <c r="L590" t="s">
        <v>8</v>
      </c>
      <c r="M590" t="s">
        <v>8</v>
      </c>
      <c r="N590" t="s">
        <v>8</v>
      </c>
      <c r="P590">
        <f t="shared" si="989"/>
        <v>0.24358974358974164</v>
      </c>
      <c r="Q590">
        <f t="shared" si="990"/>
        <v>2192086.0426922902</v>
      </c>
      <c r="R590">
        <f t="shared" si="991"/>
        <v>223127178.29710767</v>
      </c>
      <c r="S590">
        <f t="shared" si="992"/>
        <v>2231.2717829710768</v>
      </c>
      <c r="T590">
        <f t="shared" si="993"/>
        <v>2.2312717829710769</v>
      </c>
    </row>
    <row r="591" spans="1:20" x14ac:dyDescent="0.25">
      <c r="A591" s="5">
        <v>44002</v>
      </c>
      <c r="B591">
        <v>0.56779999999999997</v>
      </c>
      <c r="C591">
        <v>0.57240000000000002</v>
      </c>
      <c r="D591">
        <v>0.54910000000000003</v>
      </c>
      <c r="E591">
        <v>0.56620000000000004</v>
      </c>
      <c r="F591">
        <v>5033773.0999999996</v>
      </c>
      <c r="G591">
        <v>0</v>
      </c>
      <c r="L591" t="s">
        <v>7</v>
      </c>
      <c r="M591" t="s">
        <v>8</v>
      </c>
      <c r="N591" t="s">
        <v>8</v>
      </c>
      <c r="P591">
        <f t="shared" si="989"/>
        <v>0.46781115879828439</v>
      </c>
      <c r="Q591">
        <f t="shared" si="990"/>
        <v>2354855.2270386321</v>
      </c>
      <c r="R591">
        <f t="shared" si="991"/>
        <v>220935092.25441536</v>
      </c>
      <c r="S591">
        <f t="shared" si="992"/>
        <v>2209.3509225441535</v>
      </c>
      <c r="T591">
        <f t="shared" si="993"/>
        <v>2.2093509225441537</v>
      </c>
    </row>
    <row r="592" spans="1:20" x14ac:dyDescent="0.25">
      <c r="A592" s="5">
        <v>44001</v>
      </c>
      <c r="B592">
        <v>0.5786</v>
      </c>
      <c r="C592">
        <v>0.58020000000000005</v>
      </c>
      <c r="D592">
        <v>0.55820000000000003</v>
      </c>
      <c r="E592">
        <v>0.56740000000000002</v>
      </c>
      <c r="F592">
        <v>6953506.9900000002</v>
      </c>
      <c r="G592">
        <v>0</v>
      </c>
      <c r="L592" t="s">
        <v>8</v>
      </c>
      <c r="M592" t="s">
        <v>8</v>
      </c>
      <c r="N592" t="s">
        <v>8</v>
      </c>
      <c r="P592">
        <f t="shared" si="989"/>
        <v>-0.16363636363636566</v>
      </c>
      <c r="Q592">
        <f t="shared" si="990"/>
        <v>-1137846.5983636505</v>
      </c>
      <c r="R592">
        <f t="shared" si="991"/>
        <v>218580237.02737674</v>
      </c>
      <c r="S592">
        <f t="shared" si="992"/>
        <v>2185.8023702737673</v>
      </c>
      <c r="T592">
        <f t="shared" si="993"/>
        <v>2.1858023702737674</v>
      </c>
    </row>
    <row r="593" spans="1:20" x14ac:dyDescent="0.25">
      <c r="A593" s="5">
        <v>44000</v>
      </c>
      <c r="B593">
        <v>0.5665</v>
      </c>
      <c r="C593">
        <v>0.5948</v>
      </c>
      <c r="D593">
        <v>0.56110000000000004</v>
      </c>
      <c r="E593">
        <v>0.57850000000000001</v>
      </c>
      <c r="F593">
        <v>10735349.210000001</v>
      </c>
      <c r="G593">
        <v>0</v>
      </c>
      <c r="L593" t="s">
        <v>8</v>
      </c>
      <c r="M593" t="s">
        <v>8</v>
      </c>
      <c r="N593" t="s">
        <v>8</v>
      </c>
      <c r="P593">
        <f t="shared" si="989"/>
        <v>3.2640949554895889E-2</v>
      </c>
      <c r="Q593">
        <f t="shared" si="990"/>
        <v>350411.99201780144</v>
      </c>
      <c r="R593">
        <f t="shared" si="991"/>
        <v>219718083.62574038</v>
      </c>
      <c r="S593">
        <f t="shared" si="992"/>
        <v>2197.1808362574038</v>
      </c>
      <c r="T593">
        <f t="shared" si="993"/>
        <v>2.1971808362574037</v>
      </c>
    </row>
    <row r="594" spans="1:20" x14ac:dyDescent="0.25">
      <c r="A594" s="5">
        <v>43999</v>
      </c>
      <c r="B594">
        <v>0.56259999999999999</v>
      </c>
      <c r="C594">
        <v>0.5776</v>
      </c>
      <c r="D594">
        <v>0.55230000000000001</v>
      </c>
      <c r="E594">
        <v>0.56659999999999999</v>
      </c>
      <c r="F594">
        <v>11319718.57</v>
      </c>
      <c r="G594">
        <v>0</v>
      </c>
      <c r="L594" t="s">
        <v>8</v>
      </c>
      <c r="M594" t="s">
        <v>7</v>
      </c>
      <c r="N594" t="s">
        <v>8</v>
      </c>
      <c r="P594">
        <f t="shared" si="989"/>
        <v>0.13043478260869451</v>
      </c>
      <c r="Q594">
        <f t="shared" si="990"/>
        <v>1476485.0308695524</v>
      </c>
      <c r="R594">
        <f t="shared" si="991"/>
        <v>219367671.63372257</v>
      </c>
      <c r="S594">
        <f t="shared" si="992"/>
        <v>2193.6767163372256</v>
      </c>
      <c r="T594">
        <f t="shared" si="993"/>
        <v>2.1936767163372255</v>
      </c>
    </row>
    <row r="595" spans="1:20" x14ac:dyDescent="0.25">
      <c r="A595" s="5">
        <v>43998</v>
      </c>
      <c r="B595">
        <v>0.53949999999999998</v>
      </c>
      <c r="C595">
        <v>0.5635</v>
      </c>
      <c r="D595">
        <v>0.53469999999999995</v>
      </c>
      <c r="E595">
        <v>0.56200000000000006</v>
      </c>
      <c r="F595">
        <v>26019666.850000001</v>
      </c>
      <c r="G595">
        <v>0</v>
      </c>
      <c r="L595" t="s">
        <v>8</v>
      </c>
      <c r="M595" t="s">
        <v>7</v>
      </c>
      <c r="N595" t="s">
        <v>8</v>
      </c>
      <c r="P595">
        <f t="shared" si="989"/>
        <v>0.89583333333333726</v>
      </c>
      <c r="Q595">
        <f t="shared" si="990"/>
        <v>23309284.886458438</v>
      </c>
      <c r="R595">
        <f t="shared" si="991"/>
        <v>217891186.60285303</v>
      </c>
      <c r="S595">
        <f t="shared" si="992"/>
        <v>2178.9118660285303</v>
      </c>
      <c r="T595">
        <f t="shared" si="993"/>
        <v>2.1789118660285305</v>
      </c>
    </row>
    <row r="596" spans="1:20" x14ac:dyDescent="0.25">
      <c r="A596" s="5">
        <v>43997</v>
      </c>
      <c r="B596">
        <v>0.54900000000000004</v>
      </c>
      <c r="C596">
        <v>0.54930000000000001</v>
      </c>
      <c r="D596">
        <v>0.502</v>
      </c>
      <c r="E596">
        <v>0.53949999999999998</v>
      </c>
      <c r="F596">
        <v>17452826.640000001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0.58562367864693321</v>
      </c>
      <c r="Q596">
        <f t="shared" si="990"/>
        <v>10220788.539703995</v>
      </c>
      <c r="R596">
        <f t="shared" si="991"/>
        <v>194581901.7163946</v>
      </c>
      <c r="S596">
        <f t="shared" si="992"/>
        <v>1945.819017163946</v>
      </c>
      <c r="T596">
        <f t="shared" si="993"/>
        <v>1.945819017163946</v>
      </c>
    </row>
    <row r="597" spans="1:20" x14ac:dyDescent="0.25">
      <c r="A597" s="5">
        <v>43996</v>
      </c>
      <c r="B597">
        <v>0.57399999999999995</v>
      </c>
      <c r="C597">
        <v>0.57499999999999996</v>
      </c>
      <c r="D597">
        <v>0.54269999999999996</v>
      </c>
      <c r="E597">
        <v>0.54890000000000005</v>
      </c>
      <c r="F597">
        <v>6992627.4500000002</v>
      </c>
      <c r="G597">
        <v>0</v>
      </c>
      <c r="L597" t="s">
        <v>8</v>
      </c>
      <c r="M597" t="s">
        <v>7</v>
      </c>
      <c r="N597" t="s">
        <v>8</v>
      </c>
      <c r="P597">
        <f t="shared" si="989"/>
        <v>-0.61609907120742446</v>
      </c>
      <c r="Q597">
        <f t="shared" si="990"/>
        <v>-4308151.2772445409</v>
      </c>
      <c r="R597">
        <f t="shared" si="991"/>
        <v>184361113.17669061</v>
      </c>
      <c r="S597">
        <f t="shared" si="992"/>
        <v>1843.6111317669061</v>
      </c>
      <c r="T597">
        <f t="shared" si="993"/>
        <v>1.8436111317669062</v>
      </c>
    </row>
    <row r="598" spans="1:20" x14ac:dyDescent="0.25">
      <c r="A598" s="5">
        <v>43995</v>
      </c>
      <c r="B598">
        <v>0.55630000000000002</v>
      </c>
      <c r="C598">
        <v>0.5796</v>
      </c>
      <c r="D598">
        <v>0.55000000000000004</v>
      </c>
      <c r="E598">
        <v>0.57399999999999995</v>
      </c>
      <c r="F598">
        <v>7160665.3600000003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0.62162162162161771</v>
      </c>
      <c r="Q598">
        <f t="shared" si="990"/>
        <v>4451224.4129729448</v>
      </c>
      <c r="R598">
        <f t="shared" si="991"/>
        <v>188669264.45393515</v>
      </c>
      <c r="S598">
        <f t="shared" si="992"/>
        <v>1886.6926445393515</v>
      </c>
      <c r="T598">
        <f t="shared" si="993"/>
        <v>1.8866926445393515</v>
      </c>
    </row>
    <row r="599" spans="1:20" x14ac:dyDescent="0.25">
      <c r="A599" s="5">
        <v>43994</v>
      </c>
      <c r="B599">
        <v>0.53700000000000003</v>
      </c>
      <c r="C599">
        <v>0.56720000000000004</v>
      </c>
      <c r="D599">
        <v>0.53129999999999999</v>
      </c>
      <c r="E599">
        <v>0.55659999999999998</v>
      </c>
      <c r="F599">
        <v>7061037.3399999999</v>
      </c>
      <c r="G599">
        <v>0</v>
      </c>
      <c r="L599" t="s">
        <v>8</v>
      </c>
      <c r="M599" t="s">
        <v>7</v>
      </c>
      <c r="N599" t="s">
        <v>8</v>
      </c>
      <c r="P599">
        <f t="shared" si="989"/>
        <v>0.40947075208913419</v>
      </c>
      <c r="Q599">
        <f t="shared" si="990"/>
        <v>2891288.2701392593</v>
      </c>
      <c r="R599">
        <f t="shared" si="991"/>
        <v>184218040.04096219</v>
      </c>
      <c r="S599">
        <f t="shared" si="992"/>
        <v>1842.1804004096218</v>
      </c>
      <c r="T599">
        <f t="shared" si="993"/>
        <v>1.8421804004096218</v>
      </c>
    </row>
    <row r="600" spans="1:20" x14ac:dyDescent="0.25">
      <c r="A600" s="5">
        <v>43993</v>
      </c>
      <c r="B600">
        <v>0.60529999999999995</v>
      </c>
      <c r="C600">
        <v>0.60750000000000004</v>
      </c>
      <c r="D600">
        <v>0.52769999999999995</v>
      </c>
      <c r="E600">
        <v>0.53720000000000001</v>
      </c>
      <c r="F600">
        <v>18018845.280000001</v>
      </c>
      <c r="G600">
        <v>0</v>
      </c>
      <c r="L600" t="s">
        <v>7</v>
      </c>
      <c r="M600" t="s">
        <v>7</v>
      </c>
      <c r="N600" t="s">
        <v>8</v>
      </c>
      <c r="P600">
        <f t="shared" si="989"/>
        <v>-0.76190476190476053</v>
      </c>
      <c r="Q600">
        <f t="shared" si="990"/>
        <v>-13728644.022857118</v>
      </c>
      <c r="R600">
        <f t="shared" si="991"/>
        <v>181326751.77082294</v>
      </c>
      <c r="S600">
        <f t="shared" si="992"/>
        <v>1813.2675177082294</v>
      </c>
      <c r="T600">
        <f t="shared" si="993"/>
        <v>1.8132675177082294</v>
      </c>
    </row>
    <row r="601" spans="1:20" x14ac:dyDescent="0.25">
      <c r="A601" s="5">
        <v>43992</v>
      </c>
      <c r="B601">
        <v>0.59819999999999995</v>
      </c>
      <c r="C601">
        <v>0.61480000000000001</v>
      </c>
      <c r="D601">
        <v>0.59050000000000002</v>
      </c>
      <c r="E601">
        <v>0.60519999999999996</v>
      </c>
      <c r="F601">
        <v>21918839.510000002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0.20987654320987181</v>
      </c>
      <c r="Q601">
        <f t="shared" si="990"/>
        <v>4600250.2675307607</v>
      </c>
      <c r="R601">
        <f t="shared" si="991"/>
        <v>195055395.79368007</v>
      </c>
      <c r="S601">
        <f t="shared" si="992"/>
        <v>1950.5539579368008</v>
      </c>
      <c r="T601">
        <f t="shared" si="993"/>
        <v>1.9505539579368008</v>
      </c>
    </row>
    <row r="602" spans="1:20" x14ac:dyDescent="0.25">
      <c r="A602" s="5">
        <v>43991</v>
      </c>
      <c r="B602">
        <v>0.57420000000000004</v>
      </c>
      <c r="C602">
        <v>0.60840000000000005</v>
      </c>
      <c r="D602">
        <v>0.56279999999999997</v>
      </c>
      <c r="E602">
        <v>0.59819999999999995</v>
      </c>
      <c r="F602">
        <v>13702153.619999999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0.55263157894736492</v>
      </c>
      <c r="Q602">
        <f t="shared" si="990"/>
        <v>7572242.7899999516</v>
      </c>
      <c r="R602">
        <f t="shared" si="991"/>
        <v>190455145.5261493</v>
      </c>
      <c r="S602">
        <f t="shared" si="992"/>
        <v>1904.5514552614929</v>
      </c>
      <c r="T602">
        <f t="shared" si="993"/>
        <v>1.9045514552614931</v>
      </c>
    </row>
    <row r="603" spans="1:20" x14ac:dyDescent="0.25">
      <c r="A603" s="5">
        <v>43990</v>
      </c>
      <c r="B603">
        <v>0.57320000000000004</v>
      </c>
      <c r="C603">
        <v>0.57930000000000004</v>
      </c>
      <c r="D603">
        <v>0.56559999999999999</v>
      </c>
      <c r="E603">
        <v>0.57440000000000002</v>
      </c>
      <c r="F603">
        <v>5357787.6100000003</v>
      </c>
      <c r="G603">
        <v>0</v>
      </c>
      <c r="L603" t="s">
        <v>7</v>
      </c>
      <c r="M603" t="s">
        <v>8</v>
      </c>
      <c r="N603" t="s">
        <v>8</v>
      </c>
      <c r="P603">
        <f t="shared" si="989"/>
        <v>0.28467153284671542</v>
      </c>
      <c r="Q603">
        <f t="shared" si="990"/>
        <v>1525209.61160584</v>
      </c>
      <c r="R603">
        <f t="shared" si="991"/>
        <v>182882902.73614934</v>
      </c>
      <c r="S603">
        <f t="shared" si="992"/>
        <v>1828.8290273614934</v>
      </c>
      <c r="T603">
        <f t="shared" si="993"/>
        <v>1.8288290273614936</v>
      </c>
    </row>
    <row r="604" spans="1:20" x14ac:dyDescent="0.25">
      <c r="A604" s="5">
        <v>43989</v>
      </c>
      <c r="B604">
        <v>0.57720000000000005</v>
      </c>
      <c r="C604">
        <v>0.5847</v>
      </c>
      <c r="D604">
        <v>0.55000000000000004</v>
      </c>
      <c r="E604">
        <v>0.57289999999999996</v>
      </c>
      <c r="F604">
        <v>6084421.8399999999</v>
      </c>
      <c r="G604">
        <v>0</v>
      </c>
      <c r="L604" t="s">
        <v>7</v>
      </c>
      <c r="M604" t="s">
        <v>8</v>
      </c>
      <c r="N604" t="s">
        <v>8</v>
      </c>
      <c r="P604">
        <f t="shared" si="989"/>
        <v>0.31988472622478104</v>
      </c>
      <c r="Q604">
        <f t="shared" si="990"/>
        <v>1946313.6145244783</v>
      </c>
      <c r="R604">
        <f t="shared" si="991"/>
        <v>181357693.12454349</v>
      </c>
      <c r="S604">
        <f t="shared" si="992"/>
        <v>1813.5769312454349</v>
      </c>
      <c r="T604">
        <f t="shared" si="993"/>
        <v>1.8135769312454348</v>
      </c>
    </row>
    <row r="605" spans="1:20" x14ac:dyDescent="0.25">
      <c r="A605" s="5">
        <v>43988</v>
      </c>
      <c r="B605">
        <v>0.57020000000000004</v>
      </c>
      <c r="C605">
        <v>0.58379999999999999</v>
      </c>
      <c r="D605">
        <v>0.55900000000000005</v>
      </c>
      <c r="E605">
        <v>0.57750000000000001</v>
      </c>
      <c r="F605">
        <v>6201557.4199999999</v>
      </c>
      <c r="G605">
        <v>0</v>
      </c>
      <c r="L605" t="s">
        <v>7</v>
      </c>
      <c r="M605" t="s">
        <v>8</v>
      </c>
      <c r="N605" t="s">
        <v>8</v>
      </c>
      <c r="P605">
        <f t="shared" si="989"/>
        <v>0.49193548387096858</v>
      </c>
      <c r="Q605">
        <f t="shared" si="990"/>
        <v>3050766.1501612957</v>
      </c>
      <c r="R605">
        <f t="shared" si="991"/>
        <v>179411379.510019</v>
      </c>
      <c r="S605">
        <f t="shared" si="992"/>
        <v>1794.1137951001901</v>
      </c>
      <c r="T605">
        <f t="shared" si="993"/>
        <v>1.7941137951001902</v>
      </c>
    </row>
    <row r="606" spans="1:20" x14ac:dyDescent="0.25">
      <c r="A606" s="5">
        <v>43987</v>
      </c>
      <c r="B606">
        <v>0.59840000000000004</v>
      </c>
      <c r="C606">
        <v>0.60229999999999995</v>
      </c>
      <c r="D606">
        <v>0.56899999999999995</v>
      </c>
      <c r="E606">
        <v>0.57040000000000002</v>
      </c>
      <c r="F606">
        <v>8370210.4800000004</v>
      </c>
      <c r="G606">
        <v>0</v>
      </c>
      <c r="L606" t="s">
        <v>7</v>
      </c>
      <c r="M606" t="s">
        <v>8</v>
      </c>
      <c r="N606" t="s">
        <v>8</v>
      </c>
      <c r="P606">
        <f t="shared" si="989"/>
        <v>-0.91591591591591182</v>
      </c>
      <c r="Q606">
        <f t="shared" si="990"/>
        <v>-7666408.9981981646</v>
      </c>
      <c r="R606">
        <f t="shared" si="991"/>
        <v>176360613.35985771</v>
      </c>
      <c r="S606">
        <f t="shared" si="992"/>
        <v>1763.6061335985771</v>
      </c>
      <c r="T606">
        <f t="shared" si="993"/>
        <v>1.7636061335985771</v>
      </c>
    </row>
    <row r="607" spans="1:20" x14ac:dyDescent="0.25">
      <c r="A607" s="5">
        <v>43986</v>
      </c>
      <c r="B607">
        <v>0.60350000000000004</v>
      </c>
      <c r="C607">
        <v>0.61339999999999995</v>
      </c>
      <c r="D607">
        <v>0.57889999999999997</v>
      </c>
      <c r="E607">
        <v>0.59850000000000003</v>
      </c>
      <c r="F607">
        <v>10140732.800000001</v>
      </c>
      <c r="G607">
        <v>0</v>
      </c>
      <c r="L607" t="s">
        <v>7</v>
      </c>
      <c r="M607" t="s">
        <v>8</v>
      </c>
      <c r="N607" t="s">
        <v>8</v>
      </c>
      <c r="P607">
        <f t="shared" si="989"/>
        <v>0.13623188405797543</v>
      </c>
      <c r="Q607">
        <f t="shared" si="990"/>
        <v>1381491.1350725086</v>
      </c>
      <c r="R607">
        <f t="shared" si="991"/>
        <v>184027022.35805586</v>
      </c>
      <c r="S607">
        <f t="shared" si="992"/>
        <v>1840.2702235805586</v>
      </c>
      <c r="T607">
        <f t="shared" si="993"/>
        <v>1.8402702235805586</v>
      </c>
    </row>
    <row r="608" spans="1:20" x14ac:dyDescent="0.25">
      <c r="A608" s="5">
        <v>43985</v>
      </c>
      <c r="B608">
        <v>0.59850000000000003</v>
      </c>
      <c r="C608">
        <v>0.61099999999999999</v>
      </c>
      <c r="D608">
        <v>0.58399999999999996</v>
      </c>
      <c r="E608">
        <v>0.60340000000000005</v>
      </c>
      <c r="F608">
        <v>9426544.4199999999</v>
      </c>
      <c r="G608">
        <v>0</v>
      </c>
      <c r="L608" t="s">
        <v>7</v>
      </c>
      <c r="M608" t="s">
        <v>8</v>
      </c>
      <c r="N608" t="s">
        <v>8</v>
      </c>
      <c r="P608">
        <f t="shared" si="989"/>
        <v>0.437037037037042</v>
      </c>
      <c r="Q608">
        <f t="shared" si="990"/>
        <v>4119749.0428148615</v>
      </c>
      <c r="R608">
        <f t="shared" si="991"/>
        <v>182645531.22298336</v>
      </c>
      <c r="S608">
        <f t="shared" si="992"/>
        <v>1826.4553122298337</v>
      </c>
      <c r="T608">
        <f t="shared" si="993"/>
        <v>1.8264553122298337</v>
      </c>
    </row>
    <row r="609" spans="1:20" x14ac:dyDescent="0.25">
      <c r="A609" s="5">
        <v>43984</v>
      </c>
      <c r="B609">
        <v>0.59889999999999999</v>
      </c>
      <c r="C609">
        <v>0.63460000000000005</v>
      </c>
      <c r="D609">
        <v>0.54849999999999999</v>
      </c>
      <c r="E609">
        <v>0.59850000000000003</v>
      </c>
      <c r="F609">
        <v>20104668.5</v>
      </c>
      <c r="G609">
        <v>0</v>
      </c>
      <c r="L609" t="s">
        <v>8</v>
      </c>
      <c r="M609" t="s">
        <v>8</v>
      </c>
      <c r="N609" t="s">
        <v>8</v>
      </c>
      <c r="P609">
        <f t="shared" si="989"/>
        <v>0.16144018583042988</v>
      </c>
      <c r="Q609">
        <f t="shared" si="990"/>
        <v>3245701.41869919</v>
      </c>
      <c r="R609">
        <f t="shared" si="991"/>
        <v>178525782.18016851</v>
      </c>
      <c r="S609">
        <f t="shared" si="992"/>
        <v>1785.2578218016852</v>
      </c>
      <c r="T609">
        <f t="shared" si="993"/>
        <v>1.7852578218016852</v>
      </c>
    </row>
    <row r="610" spans="1:20" x14ac:dyDescent="0.25">
      <c r="A610" s="5">
        <v>43983</v>
      </c>
      <c r="B610">
        <v>0.54830000000000001</v>
      </c>
      <c r="C610">
        <v>0.61509999999999998</v>
      </c>
      <c r="D610">
        <v>0.54479999999999995</v>
      </c>
      <c r="E610">
        <v>0.59899999999999998</v>
      </c>
      <c r="F610">
        <v>27746138.559999999</v>
      </c>
      <c r="G610">
        <v>0</v>
      </c>
      <c r="L610" t="s">
        <v>8</v>
      </c>
      <c r="M610" t="s">
        <v>8</v>
      </c>
      <c r="N610" t="s">
        <v>8</v>
      </c>
      <c r="P610">
        <f t="shared" si="989"/>
        <v>0.54196301564722626</v>
      </c>
      <c r="Q610">
        <f t="shared" si="990"/>
        <v>15037380.926543387</v>
      </c>
      <c r="R610">
        <f t="shared" si="991"/>
        <v>175280080.7614693</v>
      </c>
      <c r="S610">
        <f t="shared" si="992"/>
        <v>1752.800807614693</v>
      </c>
      <c r="T610">
        <f t="shared" si="993"/>
        <v>1.752800807614693</v>
      </c>
    </row>
    <row r="611" spans="1:20" x14ac:dyDescent="0.25">
      <c r="A611" s="5">
        <v>43982</v>
      </c>
      <c r="B611">
        <v>0.56389999999999996</v>
      </c>
      <c r="C611">
        <v>0.58809999999999996</v>
      </c>
      <c r="D611">
        <v>0.53920000000000001</v>
      </c>
      <c r="E611">
        <v>0.54830000000000001</v>
      </c>
      <c r="F611">
        <v>19816815.289999999</v>
      </c>
      <c r="G611">
        <v>0</v>
      </c>
      <c r="L611" t="s">
        <v>8</v>
      </c>
      <c r="M611" t="s">
        <v>8</v>
      </c>
      <c r="N611" t="s">
        <v>8</v>
      </c>
      <c r="P611">
        <f t="shared" si="989"/>
        <v>-0.62781186094069497</v>
      </c>
      <c r="Q611">
        <f t="shared" si="990"/>
        <v>-12441231.685132917</v>
      </c>
      <c r="R611">
        <f t="shared" si="991"/>
        <v>160242699.83492592</v>
      </c>
      <c r="S611">
        <f t="shared" si="992"/>
        <v>1602.4269983492593</v>
      </c>
      <c r="T611">
        <f t="shared" si="993"/>
        <v>1.6024269983492594</v>
      </c>
    </row>
    <row r="612" spans="1:20" x14ac:dyDescent="0.25">
      <c r="A612" s="5">
        <v>43981</v>
      </c>
      <c r="B612">
        <v>0.51549999999999996</v>
      </c>
      <c r="C612">
        <v>0.57099999999999995</v>
      </c>
      <c r="D612">
        <v>0.50939999999999996</v>
      </c>
      <c r="E612">
        <v>0.56389999999999996</v>
      </c>
      <c r="F612">
        <v>22802228.039999999</v>
      </c>
      <c r="G612">
        <v>0</v>
      </c>
      <c r="L612" t="s">
        <v>8</v>
      </c>
      <c r="M612" t="s">
        <v>8</v>
      </c>
      <c r="N612" t="s">
        <v>8</v>
      </c>
      <c r="P612">
        <f t="shared" si="989"/>
        <v>0.76948051948051954</v>
      </c>
      <c r="Q612">
        <f t="shared" si="990"/>
        <v>17545870.277532469</v>
      </c>
      <c r="R612">
        <f t="shared" si="991"/>
        <v>172683931.52005884</v>
      </c>
      <c r="S612">
        <f t="shared" si="992"/>
        <v>1726.8393152005883</v>
      </c>
      <c r="T612">
        <f t="shared" si="993"/>
        <v>1.7268393152005883</v>
      </c>
    </row>
    <row r="613" spans="1:20" x14ac:dyDescent="0.25">
      <c r="A613" s="5">
        <v>43980</v>
      </c>
      <c r="B613">
        <v>0.52110000000000001</v>
      </c>
      <c r="C613">
        <v>0.53049999999999997</v>
      </c>
      <c r="D613">
        <v>0.50819999999999999</v>
      </c>
      <c r="E613">
        <v>0.51570000000000005</v>
      </c>
      <c r="F613">
        <v>9193878.9000000004</v>
      </c>
      <c r="G613">
        <v>0</v>
      </c>
      <c r="L613" t="s">
        <v>8</v>
      </c>
      <c r="M613" t="s">
        <v>8</v>
      </c>
      <c r="N613" t="s">
        <v>8</v>
      </c>
      <c r="P613">
        <f t="shared" si="989"/>
        <v>-0.3273542600896801</v>
      </c>
      <c r="Q613">
        <f t="shared" si="990"/>
        <v>-3009655.4246636219</v>
      </c>
      <c r="R613">
        <f t="shared" si="991"/>
        <v>155138061.24252638</v>
      </c>
      <c r="S613">
        <f t="shared" si="992"/>
        <v>1551.3806124252637</v>
      </c>
      <c r="T613">
        <f t="shared" si="993"/>
        <v>1.5513806124252638</v>
      </c>
    </row>
    <row r="614" spans="1:20" x14ac:dyDescent="0.25">
      <c r="A614" s="5">
        <v>43979</v>
      </c>
      <c r="B614">
        <v>0.50449999999999995</v>
      </c>
      <c r="C614">
        <v>0.5272</v>
      </c>
      <c r="D614">
        <v>0.49709999999999999</v>
      </c>
      <c r="E614">
        <v>0.52110000000000001</v>
      </c>
      <c r="F614">
        <v>11330211.84</v>
      </c>
      <c r="G614">
        <v>0</v>
      </c>
      <c r="L614" t="s">
        <v>8</v>
      </c>
      <c r="M614" t="s">
        <v>8</v>
      </c>
      <c r="N614" t="s">
        <v>8</v>
      </c>
      <c r="P614">
        <f t="shared" si="989"/>
        <v>0.59468438538206037</v>
      </c>
      <c r="Q614">
        <f t="shared" si="990"/>
        <v>6737900.0643189428</v>
      </c>
      <c r="R614">
        <f t="shared" si="991"/>
        <v>158147716.66719002</v>
      </c>
      <c r="S614">
        <f t="shared" si="992"/>
        <v>1581.4771666719002</v>
      </c>
      <c r="T614">
        <f t="shared" si="993"/>
        <v>1.5814771666719003</v>
      </c>
    </row>
    <row r="615" spans="1:20" x14ac:dyDescent="0.25">
      <c r="A615" s="5">
        <v>43978</v>
      </c>
      <c r="B615">
        <v>0.5081</v>
      </c>
      <c r="C615">
        <v>0.51470000000000005</v>
      </c>
      <c r="D615">
        <v>0.49680000000000002</v>
      </c>
      <c r="E615">
        <v>0.50490000000000002</v>
      </c>
      <c r="F615">
        <v>13989874.939999999</v>
      </c>
      <c r="G615">
        <v>0</v>
      </c>
      <c r="L615" t="s">
        <v>8</v>
      </c>
      <c r="M615" t="s">
        <v>8</v>
      </c>
      <c r="N615" t="s">
        <v>8</v>
      </c>
      <c r="P615">
        <f t="shared" si="989"/>
        <v>-9.4972067039107946E-2</v>
      </c>
      <c r="Q615">
        <f t="shared" si="990"/>
        <v>-1328647.3406704161</v>
      </c>
      <c r="R615">
        <f t="shared" si="991"/>
        <v>151409816.60287106</v>
      </c>
      <c r="S615">
        <f t="shared" si="992"/>
        <v>1514.0981660287107</v>
      </c>
      <c r="T615">
        <f t="shared" si="993"/>
        <v>1.5140981660287107</v>
      </c>
    </row>
    <row r="616" spans="1:20" x14ac:dyDescent="0.25">
      <c r="A616" s="5">
        <v>43977</v>
      </c>
      <c r="B616">
        <v>0.4919</v>
      </c>
      <c r="C616">
        <v>0.52980000000000005</v>
      </c>
      <c r="D616">
        <v>0.47449999999999998</v>
      </c>
      <c r="E616">
        <v>0.50819999999999999</v>
      </c>
      <c r="F616">
        <v>25381638.02</v>
      </c>
      <c r="G616">
        <v>0</v>
      </c>
      <c r="L616" t="s">
        <v>8</v>
      </c>
      <c r="M616" t="s">
        <v>8</v>
      </c>
      <c r="N616" t="s">
        <v>8</v>
      </c>
      <c r="P616">
        <f t="shared" si="989"/>
        <v>0.21880650994574916</v>
      </c>
      <c r="Q616">
        <f t="shared" si="990"/>
        <v>5553667.6318625351</v>
      </c>
      <c r="R616">
        <f t="shared" si="991"/>
        <v>152738463.94354147</v>
      </c>
      <c r="S616">
        <f t="shared" si="992"/>
        <v>1527.3846394354148</v>
      </c>
      <c r="T616">
        <f t="shared" si="993"/>
        <v>1.5273846394354147</v>
      </c>
    </row>
    <row r="617" spans="1:20" x14ac:dyDescent="0.25">
      <c r="A617" s="5">
        <v>43976</v>
      </c>
      <c r="B617">
        <v>0.46629999999999999</v>
      </c>
      <c r="C617">
        <v>0.49359999999999998</v>
      </c>
      <c r="D617">
        <v>0.46210000000000001</v>
      </c>
      <c r="E617">
        <v>0.49170000000000003</v>
      </c>
      <c r="F617">
        <v>12366218.85</v>
      </c>
      <c r="G617">
        <v>0</v>
      </c>
      <c r="L617" t="s">
        <v>7</v>
      </c>
      <c r="M617" t="s">
        <v>8</v>
      </c>
      <c r="N617" t="s">
        <v>8</v>
      </c>
      <c r="P617">
        <f t="shared" si="989"/>
        <v>0.87936507936508201</v>
      </c>
      <c r="Q617">
        <f t="shared" si="990"/>
        <v>10874421.020476222</v>
      </c>
      <c r="R617">
        <f t="shared" si="991"/>
        <v>147184796.31167895</v>
      </c>
      <c r="S617">
        <f t="shared" si="992"/>
        <v>1471.8479631167895</v>
      </c>
      <c r="T617">
        <f t="shared" si="993"/>
        <v>1.4718479631167896</v>
      </c>
    </row>
    <row r="618" spans="1:20" x14ac:dyDescent="0.25">
      <c r="A618" s="5">
        <v>43975</v>
      </c>
      <c r="B618">
        <v>0.50009999999999999</v>
      </c>
      <c r="C618">
        <v>0.51129999999999998</v>
      </c>
      <c r="D618">
        <v>0.46550000000000002</v>
      </c>
      <c r="E618">
        <v>0.46600000000000003</v>
      </c>
      <c r="F618">
        <v>11165925.51</v>
      </c>
      <c r="G618">
        <v>0</v>
      </c>
      <c r="L618" t="s">
        <v>7</v>
      </c>
      <c r="M618" t="s">
        <v>8</v>
      </c>
      <c r="N618" t="s">
        <v>8</v>
      </c>
      <c r="P618">
        <f t="shared" si="989"/>
        <v>-0.97816593886462877</v>
      </c>
      <c r="Q618">
        <f t="shared" si="990"/>
        <v>-10922128.009781659</v>
      </c>
      <c r="R618">
        <f t="shared" si="991"/>
        <v>136310375.29120272</v>
      </c>
      <c r="S618">
        <f t="shared" si="992"/>
        <v>1363.1037529120272</v>
      </c>
      <c r="T618">
        <f t="shared" si="993"/>
        <v>1.3631037529120271</v>
      </c>
    </row>
    <row r="619" spans="1:20" x14ac:dyDescent="0.25">
      <c r="A619" s="5">
        <v>43974</v>
      </c>
      <c r="B619">
        <v>0.51639999999999997</v>
      </c>
      <c r="C619">
        <v>0.52249999999999996</v>
      </c>
      <c r="D619">
        <v>0.49809999999999999</v>
      </c>
      <c r="E619">
        <v>0.50009999999999999</v>
      </c>
      <c r="F619">
        <v>9855592.0999999996</v>
      </c>
      <c r="G619">
        <v>0</v>
      </c>
      <c r="L619" t="s">
        <v>7</v>
      </c>
      <c r="M619" t="s">
        <v>8</v>
      </c>
      <c r="N619" t="s">
        <v>8</v>
      </c>
      <c r="P619">
        <f t="shared" si="989"/>
        <v>-0.83606557377049151</v>
      </c>
      <c r="Q619">
        <f t="shared" si="990"/>
        <v>-8239921.2639344232</v>
      </c>
      <c r="R619">
        <f t="shared" si="991"/>
        <v>147232503.30098438</v>
      </c>
      <c r="S619">
        <f t="shared" si="992"/>
        <v>1472.3250330098438</v>
      </c>
      <c r="T619">
        <f t="shared" si="993"/>
        <v>1.4723250330098439</v>
      </c>
    </row>
    <row r="620" spans="1:20" x14ac:dyDescent="0.25">
      <c r="A620" s="5">
        <v>43973</v>
      </c>
      <c r="B620">
        <v>0.46329999999999999</v>
      </c>
      <c r="C620">
        <v>0.53400000000000003</v>
      </c>
      <c r="D620">
        <v>0.45529999999999998</v>
      </c>
      <c r="E620">
        <v>0.51649999999999996</v>
      </c>
      <c r="F620">
        <v>22158696.75</v>
      </c>
      <c r="G620">
        <v>0</v>
      </c>
      <c r="L620" t="s">
        <v>8</v>
      </c>
      <c r="M620" t="s">
        <v>8</v>
      </c>
      <c r="N620" t="s">
        <v>8</v>
      </c>
      <c r="P620">
        <f t="shared" si="989"/>
        <v>0.55527318932655501</v>
      </c>
      <c r="Q620">
        <f t="shared" si="990"/>
        <v>12304130.21569247</v>
      </c>
      <c r="R620">
        <f t="shared" si="991"/>
        <v>155472424.56491882</v>
      </c>
      <c r="S620">
        <f t="shared" si="992"/>
        <v>1554.7242456491881</v>
      </c>
      <c r="T620">
        <f t="shared" si="993"/>
        <v>1.5547242456491881</v>
      </c>
    </row>
    <row r="621" spans="1:20" x14ac:dyDescent="0.25">
      <c r="A621" s="5">
        <v>43972</v>
      </c>
      <c r="B621">
        <v>0.49199999999999999</v>
      </c>
      <c r="C621">
        <v>0.49840000000000001</v>
      </c>
      <c r="D621">
        <v>0.4496</v>
      </c>
      <c r="E621">
        <v>0.46300000000000002</v>
      </c>
      <c r="F621">
        <v>12359635.119999999</v>
      </c>
      <c r="G621">
        <v>0</v>
      </c>
      <c r="L621" t="s">
        <v>7</v>
      </c>
      <c r="M621" t="s">
        <v>8</v>
      </c>
      <c r="N621" t="s">
        <v>8</v>
      </c>
      <c r="P621">
        <f t="shared" si="989"/>
        <v>-0.45081967213114671</v>
      </c>
      <c r="Q621">
        <f t="shared" si="990"/>
        <v>-5571966.6524590058</v>
      </c>
      <c r="R621">
        <f t="shared" si="991"/>
        <v>143168294.34922636</v>
      </c>
      <c r="S621">
        <f t="shared" si="992"/>
        <v>1431.6829434922636</v>
      </c>
      <c r="T621">
        <f t="shared" si="993"/>
        <v>1.4316829434922635</v>
      </c>
    </row>
    <row r="622" spans="1:20" x14ac:dyDescent="0.25">
      <c r="A622" s="5">
        <v>43971</v>
      </c>
      <c r="B622">
        <v>0.48480000000000001</v>
      </c>
      <c r="C622">
        <v>0.50780000000000003</v>
      </c>
      <c r="D622">
        <v>0.47260000000000002</v>
      </c>
      <c r="E622">
        <v>0.49170000000000003</v>
      </c>
      <c r="F622">
        <v>12765230.1</v>
      </c>
      <c r="G622">
        <v>0</v>
      </c>
      <c r="L622" t="s">
        <v>8</v>
      </c>
      <c r="M622" t="s">
        <v>8</v>
      </c>
      <c r="N622" t="s">
        <v>8</v>
      </c>
      <c r="P622">
        <f t="shared" si="989"/>
        <v>8.5227272727272776E-2</v>
      </c>
      <c r="Q622">
        <f t="shared" si="990"/>
        <v>1087945.7471590915</v>
      </c>
      <c r="R622">
        <f t="shared" si="991"/>
        <v>148740261.00168535</v>
      </c>
      <c r="S622">
        <f t="shared" si="992"/>
        <v>1487.4026100168535</v>
      </c>
      <c r="T622">
        <f t="shared" si="993"/>
        <v>1.4874026100168536</v>
      </c>
    </row>
    <row r="623" spans="1:20" x14ac:dyDescent="0.25">
      <c r="A623" s="5">
        <v>43970</v>
      </c>
      <c r="B623">
        <v>0.48259999999999997</v>
      </c>
      <c r="C623">
        <v>0.48520000000000002</v>
      </c>
      <c r="D623">
        <v>0.46789999999999998</v>
      </c>
      <c r="E623">
        <v>0.4844</v>
      </c>
      <c r="F623">
        <v>5551620.9199999999</v>
      </c>
      <c r="G623">
        <v>0</v>
      </c>
      <c r="L623" t="s">
        <v>8</v>
      </c>
      <c r="M623" t="s">
        <v>8</v>
      </c>
      <c r="N623" t="s">
        <v>8</v>
      </c>
      <c r="P623">
        <f t="shared" si="989"/>
        <v>0.90751445086704963</v>
      </c>
      <c r="Q623">
        <f t="shared" si="990"/>
        <v>5038176.2106358251</v>
      </c>
      <c r="R623">
        <f t="shared" si="991"/>
        <v>147652315.25452626</v>
      </c>
      <c r="S623">
        <f t="shared" si="992"/>
        <v>1476.5231525452625</v>
      </c>
      <c r="T623">
        <f t="shared" si="993"/>
        <v>1.4765231525452625</v>
      </c>
    </row>
    <row r="624" spans="1:20" x14ac:dyDescent="0.25">
      <c r="A624" s="5">
        <v>43969</v>
      </c>
      <c r="B624">
        <v>0.47</v>
      </c>
      <c r="C624">
        <v>0.49230000000000002</v>
      </c>
      <c r="D624">
        <v>0.46820000000000001</v>
      </c>
      <c r="E624">
        <v>0.48230000000000001</v>
      </c>
      <c r="F624">
        <v>7090366.3200000003</v>
      </c>
      <c r="G624">
        <v>0</v>
      </c>
      <c r="L624" t="s">
        <v>8</v>
      </c>
      <c r="M624" t="s">
        <v>8</v>
      </c>
      <c r="N624" t="s">
        <v>8</v>
      </c>
      <c r="P624">
        <f t="shared" si="989"/>
        <v>0.17012448132780045</v>
      </c>
      <c r="Q624">
        <f t="shared" si="990"/>
        <v>1206244.8926141053</v>
      </c>
      <c r="R624">
        <f t="shared" si="991"/>
        <v>142614139.04389045</v>
      </c>
      <c r="S624">
        <f t="shared" si="992"/>
        <v>1426.1413904389044</v>
      </c>
      <c r="T624">
        <f t="shared" si="993"/>
        <v>1.4261413904389044</v>
      </c>
    </row>
    <row r="625" spans="1:20" x14ac:dyDescent="0.25">
      <c r="A625" s="5">
        <v>43968</v>
      </c>
      <c r="B625">
        <v>0.46820000000000001</v>
      </c>
      <c r="C625">
        <v>0.48420000000000002</v>
      </c>
      <c r="D625">
        <v>0.46660000000000001</v>
      </c>
      <c r="E625">
        <v>0.47</v>
      </c>
      <c r="F625">
        <v>5799922.29</v>
      </c>
      <c r="G625">
        <v>0</v>
      </c>
      <c r="L625" t="s">
        <v>8</v>
      </c>
      <c r="M625" t="s">
        <v>8</v>
      </c>
      <c r="N625" t="s">
        <v>8</v>
      </c>
      <c r="P625">
        <f t="shared" si="989"/>
        <v>-0.61363636363636842</v>
      </c>
      <c r="Q625">
        <f t="shared" si="990"/>
        <v>-3559043.2234091186</v>
      </c>
      <c r="R625">
        <f t="shared" si="991"/>
        <v>141407894.15127635</v>
      </c>
      <c r="S625">
        <f t="shared" si="992"/>
        <v>1414.0789415127635</v>
      </c>
      <c r="T625">
        <f t="shared" si="993"/>
        <v>1.4140789415127635</v>
      </c>
    </row>
    <row r="626" spans="1:20" x14ac:dyDescent="0.25">
      <c r="A626" s="5">
        <v>43967</v>
      </c>
      <c r="B626">
        <v>0.46650000000000003</v>
      </c>
      <c r="C626">
        <v>0.47520000000000001</v>
      </c>
      <c r="D626">
        <v>0.46260000000000001</v>
      </c>
      <c r="E626">
        <v>0.46860000000000002</v>
      </c>
      <c r="F626">
        <v>6808818.3200000003</v>
      </c>
      <c r="G626">
        <v>0</v>
      </c>
      <c r="L626" t="s">
        <v>8</v>
      </c>
      <c r="M626" t="s">
        <v>8</v>
      </c>
      <c r="N626" t="s">
        <v>8</v>
      </c>
      <c r="P626">
        <f t="shared" si="989"/>
        <v>-4.7619047619046777E-2</v>
      </c>
      <c r="Q626">
        <f t="shared" si="990"/>
        <v>-324229.44380951807</v>
      </c>
      <c r="R626">
        <f t="shared" si="991"/>
        <v>144966937.37468547</v>
      </c>
      <c r="S626">
        <f t="shared" si="992"/>
        <v>1449.6693737468547</v>
      </c>
      <c r="T626">
        <f t="shared" si="993"/>
        <v>1.4496693737468547</v>
      </c>
    </row>
    <row r="627" spans="1:20" x14ac:dyDescent="0.25">
      <c r="A627" s="5">
        <v>43966</v>
      </c>
      <c r="B627">
        <v>0.47720000000000001</v>
      </c>
      <c r="C627">
        <v>0.48749999999999999</v>
      </c>
      <c r="D627">
        <v>0.4622</v>
      </c>
      <c r="E627">
        <v>0.4662</v>
      </c>
      <c r="F627">
        <v>9977358.1799999997</v>
      </c>
      <c r="G627">
        <v>0</v>
      </c>
      <c r="L627" t="s">
        <v>8</v>
      </c>
      <c r="M627" t="s">
        <v>8</v>
      </c>
      <c r="N627" t="s">
        <v>8</v>
      </c>
      <c r="P627">
        <f t="shared" si="989"/>
        <v>-0.68379446640316166</v>
      </c>
      <c r="Q627">
        <f t="shared" si="990"/>
        <v>-6822462.3128063204</v>
      </c>
      <c r="R627">
        <f t="shared" si="991"/>
        <v>145291166.81849498</v>
      </c>
      <c r="S627">
        <f t="shared" si="992"/>
        <v>1452.9116681849498</v>
      </c>
      <c r="T627">
        <f t="shared" si="993"/>
        <v>1.4529116681849499</v>
      </c>
    </row>
    <row r="628" spans="1:20" x14ac:dyDescent="0.25">
      <c r="A628" s="5">
        <v>43965</v>
      </c>
      <c r="B628">
        <v>0.4667</v>
      </c>
      <c r="C628">
        <v>0.48139999999999999</v>
      </c>
      <c r="D628">
        <v>0.45779999999999998</v>
      </c>
      <c r="E628">
        <v>0.47720000000000001</v>
      </c>
      <c r="F628">
        <v>8943196.0199999996</v>
      </c>
      <c r="G628">
        <v>0</v>
      </c>
      <c r="L628" t="s">
        <v>8</v>
      </c>
      <c r="M628" t="s">
        <v>8</v>
      </c>
      <c r="N628" t="s">
        <v>8</v>
      </c>
      <c r="P628">
        <f t="shared" si="989"/>
        <v>0.64406779661017122</v>
      </c>
      <c r="Q628">
        <f t="shared" si="990"/>
        <v>5760024.5552542526</v>
      </c>
      <c r="R628">
        <f t="shared" si="991"/>
        <v>152113629.13130128</v>
      </c>
      <c r="S628">
        <f t="shared" si="992"/>
        <v>1521.1362913130129</v>
      </c>
      <c r="T628">
        <f t="shared" si="993"/>
        <v>1.5211362913130129</v>
      </c>
    </row>
    <row r="629" spans="1:20" x14ac:dyDescent="0.25">
      <c r="A629" s="5">
        <v>43964</v>
      </c>
      <c r="B629">
        <v>0.46360000000000001</v>
      </c>
      <c r="C629">
        <v>0.4753</v>
      </c>
      <c r="D629">
        <v>0.45729999999999998</v>
      </c>
      <c r="E629">
        <v>0.46650000000000003</v>
      </c>
      <c r="F629">
        <v>6189734.2999999998</v>
      </c>
      <c r="G629">
        <v>0</v>
      </c>
      <c r="L629" t="s">
        <v>8</v>
      </c>
      <c r="M629" t="s">
        <v>7</v>
      </c>
      <c r="N629" t="s">
        <v>8</v>
      </c>
      <c r="P629">
        <f t="shared" si="989"/>
        <v>2.2222222222225922E-2</v>
      </c>
      <c r="Q629">
        <f t="shared" si="990"/>
        <v>137549.65111113401</v>
      </c>
      <c r="R629">
        <f t="shared" si="991"/>
        <v>146353604.57604703</v>
      </c>
      <c r="S629">
        <f t="shared" si="992"/>
        <v>1463.5360457604704</v>
      </c>
      <c r="T629">
        <f t="shared" si="993"/>
        <v>1.4635360457604705</v>
      </c>
    </row>
    <row r="630" spans="1:20" x14ac:dyDescent="0.25">
      <c r="A630" s="5">
        <v>43963</v>
      </c>
      <c r="B630">
        <v>0.4501</v>
      </c>
      <c r="C630">
        <v>0.46679999999999999</v>
      </c>
      <c r="D630">
        <v>0.44779999999999998</v>
      </c>
      <c r="E630">
        <v>0.46379999999999999</v>
      </c>
      <c r="F630">
        <v>7645812.0499999998</v>
      </c>
      <c r="G630">
        <v>0</v>
      </c>
      <c r="L630" t="s">
        <v>8</v>
      </c>
      <c r="M630" t="s">
        <v>7</v>
      </c>
      <c r="N630" t="s">
        <v>8</v>
      </c>
      <c r="P630">
        <f t="shared" si="989"/>
        <v>0.68421052631578949</v>
      </c>
      <c r="Q630">
        <f t="shared" si="990"/>
        <v>5231345.0868421057</v>
      </c>
      <c r="R630">
        <f t="shared" si="991"/>
        <v>146216054.92493591</v>
      </c>
      <c r="S630">
        <f t="shared" si="992"/>
        <v>1462.1605492493591</v>
      </c>
      <c r="T630">
        <f t="shared" si="993"/>
        <v>1.462160549249359</v>
      </c>
    </row>
    <row r="631" spans="1:20" x14ac:dyDescent="0.25">
      <c r="A631" s="5">
        <v>43962</v>
      </c>
      <c r="B631">
        <v>0.4637</v>
      </c>
      <c r="C631">
        <v>0.47270000000000001</v>
      </c>
      <c r="D631">
        <v>0.4224</v>
      </c>
      <c r="E631">
        <v>0.45040000000000002</v>
      </c>
      <c r="F631">
        <v>12880046.25</v>
      </c>
      <c r="G631">
        <v>0</v>
      </c>
      <c r="L631" t="s">
        <v>8</v>
      </c>
      <c r="M631" t="s">
        <v>7</v>
      </c>
      <c r="N631" t="s">
        <v>8</v>
      </c>
      <c r="P631">
        <f t="shared" si="989"/>
        <v>0.11332007952286356</v>
      </c>
      <c r="Q631">
        <f t="shared" si="990"/>
        <v>1459567.8653081607</v>
      </c>
      <c r="R631">
        <f t="shared" si="991"/>
        <v>140984709.83809379</v>
      </c>
      <c r="S631">
        <f t="shared" si="992"/>
        <v>1409.847098380938</v>
      </c>
      <c r="T631">
        <f t="shared" si="993"/>
        <v>1.4098470983809379</v>
      </c>
    </row>
    <row r="632" spans="1:20" x14ac:dyDescent="0.25">
      <c r="A632" s="5">
        <v>43961</v>
      </c>
      <c r="B632">
        <v>0.49109999999999998</v>
      </c>
      <c r="C632">
        <v>0.49180000000000001</v>
      </c>
      <c r="D632">
        <v>0.40100000000000002</v>
      </c>
      <c r="E632">
        <v>0.4637</v>
      </c>
      <c r="F632">
        <v>22298945.100000001</v>
      </c>
      <c r="G632">
        <v>0</v>
      </c>
      <c r="L632" t="s">
        <v>7</v>
      </c>
      <c r="M632" t="s">
        <v>7</v>
      </c>
      <c r="N632" t="s">
        <v>8</v>
      </c>
      <c r="P632">
        <f t="shared" si="989"/>
        <v>0.38105726872246659</v>
      </c>
      <c r="Q632">
        <f t="shared" si="990"/>
        <v>8497175.1151982304</v>
      </c>
      <c r="R632">
        <f t="shared" si="991"/>
        <v>139525141.97278562</v>
      </c>
      <c r="S632">
        <f t="shared" si="992"/>
        <v>1395.2514197278563</v>
      </c>
      <c r="T632">
        <f t="shared" si="993"/>
        <v>1.3952514197278563</v>
      </c>
    </row>
    <row r="633" spans="1:20" x14ac:dyDescent="0.25">
      <c r="A633" s="5">
        <v>43960</v>
      </c>
      <c r="B633">
        <v>0.51590000000000003</v>
      </c>
      <c r="C633">
        <v>0.53480000000000005</v>
      </c>
      <c r="D633">
        <v>0.4909</v>
      </c>
      <c r="E633">
        <v>0.49120000000000003</v>
      </c>
      <c r="F633">
        <v>10804036.82</v>
      </c>
      <c r="G633">
        <v>0</v>
      </c>
      <c r="L633" t="s">
        <v>8</v>
      </c>
      <c r="M633" t="s">
        <v>8</v>
      </c>
      <c r="N633" t="s">
        <v>8</v>
      </c>
      <c r="P633">
        <f t="shared" si="989"/>
        <v>-0.98633257403188968</v>
      </c>
      <c r="Q633">
        <f t="shared" si="990"/>
        <v>-10656373.446605911</v>
      </c>
      <c r="R633">
        <f t="shared" si="991"/>
        <v>131027966.85758738</v>
      </c>
      <c r="S633">
        <f t="shared" si="992"/>
        <v>1310.2796685758738</v>
      </c>
      <c r="T633">
        <f t="shared" si="993"/>
        <v>1.3102796685758737</v>
      </c>
    </row>
    <row r="634" spans="1:20" x14ac:dyDescent="0.25">
      <c r="A634" s="5">
        <v>43959</v>
      </c>
      <c r="B634">
        <v>0.47989999999999999</v>
      </c>
      <c r="C634">
        <v>0.52869999999999995</v>
      </c>
      <c r="D634">
        <v>0.47060000000000002</v>
      </c>
      <c r="E634">
        <v>0.51549999999999996</v>
      </c>
      <c r="F634">
        <v>11128629.84</v>
      </c>
      <c r="G634">
        <v>0</v>
      </c>
      <c r="L634" t="s">
        <v>8</v>
      </c>
      <c r="M634" t="s">
        <v>7</v>
      </c>
      <c r="N634" t="s">
        <v>8</v>
      </c>
      <c r="P634">
        <f t="shared" si="989"/>
        <v>0.54561101549053337</v>
      </c>
      <c r="Q634">
        <f t="shared" si="990"/>
        <v>6071903.028020652</v>
      </c>
      <c r="R634">
        <f t="shared" si="991"/>
        <v>141684340.30419329</v>
      </c>
      <c r="S634">
        <f t="shared" si="992"/>
        <v>1416.8434030419328</v>
      </c>
      <c r="T634">
        <f t="shared" si="993"/>
        <v>1.4168434030419328</v>
      </c>
    </row>
    <row r="635" spans="1:20" x14ac:dyDescent="0.25">
      <c r="A635" s="5">
        <v>43958</v>
      </c>
      <c r="B635">
        <v>0.45860000000000001</v>
      </c>
      <c r="C635">
        <v>0.48849999999999999</v>
      </c>
      <c r="D635">
        <v>0.45429999999999998</v>
      </c>
      <c r="E635">
        <v>0.4798</v>
      </c>
      <c r="F635">
        <v>8088752.71</v>
      </c>
      <c r="G635">
        <v>0</v>
      </c>
      <c r="L635" t="s">
        <v>7</v>
      </c>
      <c r="M635" t="s">
        <v>7</v>
      </c>
      <c r="N635" t="s">
        <v>8</v>
      </c>
      <c r="P635">
        <f t="shared" si="989"/>
        <v>0.49122807017543957</v>
      </c>
      <c r="Q635">
        <f t="shared" si="990"/>
        <v>3973422.3838596568</v>
      </c>
      <c r="R635">
        <f t="shared" si="991"/>
        <v>135612437.27617264</v>
      </c>
      <c r="S635">
        <f t="shared" si="992"/>
        <v>1356.1243727617264</v>
      </c>
      <c r="T635">
        <f t="shared" si="993"/>
        <v>1.3561243727617263</v>
      </c>
    </row>
    <row r="636" spans="1:20" x14ac:dyDescent="0.25">
      <c r="A636" s="5">
        <v>43957</v>
      </c>
      <c r="B636">
        <v>0.47539999999999999</v>
      </c>
      <c r="C636">
        <v>0.49030000000000001</v>
      </c>
      <c r="D636">
        <v>0.45710000000000001</v>
      </c>
      <c r="E636">
        <v>0.45889999999999997</v>
      </c>
      <c r="F636">
        <v>7485727.29</v>
      </c>
      <c r="G636">
        <v>0</v>
      </c>
      <c r="L636" t="s">
        <v>8</v>
      </c>
      <c r="M636" t="s">
        <v>7</v>
      </c>
      <c r="N636" t="s">
        <v>8</v>
      </c>
      <c r="P636">
        <f t="shared" si="989"/>
        <v>-0.89156626506024295</v>
      </c>
      <c r="Q636">
        <f t="shared" si="990"/>
        <v>-6674021.9212048342</v>
      </c>
      <c r="R636">
        <f t="shared" si="991"/>
        <v>131639014.89231297</v>
      </c>
      <c r="S636">
        <f t="shared" si="992"/>
        <v>1316.3901489231298</v>
      </c>
      <c r="T636">
        <f t="shared" si="993"/>
        <v>1.3163901489231298</v>
      </c>
    </row>
    <row r="637" spans="1:20" x14ac:dyDescent="0.25">
      <c r="A637" s="5">
        <v>43956</v>
      </c>
      <c r="B637">
        <v>0.4803</v>
      </c>
      <c r="C637">
        <v>0.48949999999999999</v>
      </c>
      <c r="D637">
        <v>0.46879999999999999</v>
      </c>
      <c r="E637">
        <v>0.47539999999999999</v>
      </c>
      <c r="F637">
        <v>8356712.4299999997</v>
      </c>
      <c r="G637">
        <v>0</v>
      </c>
      <c r="L637" t="s">
        <v>8</v>
      </c>
      <c r="M637" t="s">
        <v>7</v>
      </c>
      <c r="N637" t="s">
        <v>8</v>
      </c>
      <c r="P637">
        <f t="shared" si="989"/>
        <v>-0.36231884057971053</v>
      </c>
      <c r="Q637">
        <f t="shared" si="990"/>
        <v>-3027794.3586956551</v>
      </c>
      <c r="R637">
        <f t="shared" si="991"/>
        <v>138313036.81351781</v>
      </c>
      <c r="S637">
        <f t="shared" si="992"/>
        <v>1383.1303681351781</v>
      </c>
      <c r="T637">
        <f t="shared" si="993"/>
        <v>1.3831303681351781</v>
      </c>
    </row>
    <row r="638" spans="1:20" x14ac:dyDescent="0.25">
      <c r="A638" s="5">
        <v>43955</v>
      </c>
      <c r="B638">
        <v>0.4879</v>
      </c>
      <c r="C638">
        <v>0.49030000000000001</v>
      </c>
      <c r="D638">
        <v>0.4481</v>
      </c>
      <c r="E638">
        <v>0.48039999999999999</v>
      </c>
      <c r="F638">
        <v>10440757.939999999</v>
      </c>
      <c r="G638">
        <v>0</v>
      </c>
      <c r="L638" t="s">
        <v>7</v>
      </c>
      <c r="M638" t="s">
        <v>7</v>
      </c>
      <c r="N638" t="s">
        <v>8</v>
      </c>
      <c r="P638">
        <f t="shared" si="989"/>
        <v>0.53080568720379073</v>
      </c>
      <c r="Q638">
        <f t="shared" si="990"/>
        <v>5542013.6932701338</v>
      </c>
      <c r="R638">
        <f t="shared" si="991"/>
        <v>141340831.17221346</v>
      </c>
      <c r="S638">
        <f t="shared" si="992"/>
        <v>1413.4083117221346</v>
      </c>
      <c r="T638">
        <f t="shared" si="993"/>
        <v>1.4134083117221345</v>
      </c>
    </row>
    <row r="639" spans="1:20" x14ac:dyDescent="0.25">
      <c r="A639" s="5">
        <v>43954</v>
      </c>
      <c r="B639">
        <v>0.50660000000000005</v>
      </c>
      <c r="C639">
        <v>0.51490000000000002</v>
      </c>
      <c r="D639">
        <v>0.47699999999999998</v>
      </c>
      <c r="E639">
        <v>0.48730000000000001</v>
      </c>
      <c r="F639">
        <v>8270965.71</v>
      </c>
      <c r="G639">
        <v>0</v>
      </c>
      <c r="L639" t="s">
        <v>7</v>
      </c>
      <c r="M639" t="s">
        <v>8</v>
      </c>
      <c r="N639" t="s">
        <v>8</v>
      </c>
      <c r="P639">
        <f t="shared" si="989"/>
        <v>-0.45646437994722855</v>
      </c>
      <c r="Q639">
        <f t="shared" si="990"/>
        <v>-3775401.2343799388</v>
      </c>
      <c r="R639">
        <f t="shared" si="991"/>
        <v>135798817.47894332</v>
      </c>
      <c r="S639">
        <f t="shared" si="992"/>
        <v>1357.9881747894333</v>
      </c>
      <c r="T639">
        <f t="shared" si="993"/>
        <v>1.3579881747894333</v>
      </c>
    </row>
    <row r="640" spans="1:20" x14ac:dyDescent="0.25">
      <c r="A640" s="5">
        <v>43953</v>
      </c>
      <c r="B640">
        <v>0.50109999999999999</v>
      </c>
      <c r="C640">
        <v>0.50880000000000003</v>
      </c>
      <c r="D640">
        <v>0.49020000000000002</v>
      </c>
      <c r="E640">
        <v>0.50660000000000005</v>
      </c>
      <c r="F640">
        <v>6088155.9199999999</v>
      </c>
      <c r="G640">
        <v>0</v>
      </c>
      <c r="L640" t="s">
        <v>7</v>
      </c>
      <c r="M640" t="s">
        <v>8</v>
      </c>
      <c r="N640" t="s">
        <v>8</v>
      </c>
      <c r="P640">
        <f t="shared" si="989"/>
        <v>0.76344086021505597</v>
      </c>
      <c r="Q640">
        <f t="shared" si="990"/>
        <v>4647946.9926881855</v>
      </c>
      <c r="R640">
        <f t="shared" si="991"/>
        <v>139574218.71332327</v>
      </c>
      <c r="S640">
        <f t="shared" si="992"/>
        <v>1395.7421871332326</v>
      </c>
      <c r="T640">
        <f t="shared" si="993"/>
        <v>1.3957421871332327</v>
      </c>
    </row>
    <row r="641" spans="1:20" x14ac:dyDescent="0.25">
      <c r="A641" s="5">
        <v>43952</v>
      </c>
      <c r="B641">
        <v>0.48820000000000002</v>
      </c>
      <c r="C641">
        <v>0.51549999999999996</v>
      </c>
      <c r="D641">
        <v>0.48770000000000002</v>
      </c>
      <c r="E641">
        <v>0.501</v>
      </c>
      <c r="F641">
        <v>8726378.6999999993</v>
      </c>
      <c r="G641">
        <v>0</v>
      </c>
      <c r="L641" t="s">
        <v>7</v>
      </c>
      <c r="M641" t="s">
        <v>8</v>
      </c>
      <c r="N641" t="s">
        <v>8</v>
      </c>
      <c r="P641">
        <f t="shared" si="989"/>
        <v>-4.3165467625898617E-2</v>
      </c>
      <c r="Q641">
        <f t="shared" si="990"/>
        <v>-376678.21726618125</v>
      </c>
      <c r="R641">
        <f t="shared" si="991"/>
        <v>134926271.72063509</v>
      </c>
      <c r="S641">
        <f t="shared" si="992"/>
        <v>1349.2627172063508</v>
      </c>
      <c r="T641">
        <f t="shared" si="993"/>
        <v>1.3492627172063507</v>
      </c>
    </row>
    <row r="642" spans="1:20" x14ac:dyDescent="0.25">
      <c r="A642" s="5">
        <v>43951</v>
      </c>
      <c r="B642">
        <v>0.51700000000000002</v>
      </c>
      <c r="C642">
        <v>0.53669999999999995</v>
      </c>
      <c r="D642">
        <v>0.47160000000000002</v>
      </c>
      <c r="E642">
        <v>0.48859999999999998</v>
      </c>
      <c r="F642">
        <v>16143905.439999999</v>
      </c>
      <c r="G642">
        <v>0</v>
      </c>
      <c r="L642" t="s">
        <v>8</v>
      </c>
      <c r="M642" t="s">
        <v>8</v>
      </c>
      <c r="N642" t="s">
        <v>8</v>
      </c>
      <c r="P642">
        <f t="shared" si="989"/>
        <v>-0.47772657450076877</v>
      </c>
      <c r="Q642">
        <f t="shared" si="990"/>
        <v>-7712372.6449155258</v>
      </c>
      <c r="R642">
        <f t="shared" si="991"/>
        <v>135302949.93790126</v>
      </c>
      <c r="S642">
        <f t="shared" si="992"/>
        <v>1353.0294993790126</v>
      </c>
      <c r="T642">
        <f t="shared" si="993"/>
        <v>1.3530294993790126</v>
      </c>
    </row>
    <row r="643" spans="1:20" x14ac:dyDescent="0.25">
      <c r="A643" s="5">
        <v>43950</v>
      </c>
      <c r="B643">
        <v>0.48749999999999999</v>
      </c>
      <c r="C643">
        <v>0.52659999999999996</v>
      </c>
      <c r="D643">
        <v>0.48180000000000001</v>
      </c>
      <c r="E643">
        <v>0.51700000000000002</v>
      </c>
      <c r="F643">
        <v>16014794.119999999</v>
      </c>
      <c r="G643">
        <v>0</v>
      </c>
      <c r="L643" t="s">
        <v>8</v>
      </c>
      <c r="M643" t="s">
        <v>8</v>
      </c>
      <c r="N643" t="s">
        <v>8</v>
      </c>
      <c r="P643">
        <f t="shared" si="989"/>
        <v>0.57142857142857351</v>
      </c>
      <c r="Q643">
        <f t="shared" si="990"/>
        <v>9151310.9257143177</v>
      </c>
      <c r="R643">
        <f t="shared" si="991"/>
        <v>143015322.58281678</v>
      </c>
      <c r="S643">
        <f t="shared" si="992"/>
        <v>1430.1532258281677</v>
      </c>
      <c r="T643">
        <f t="shared" si="993"/>
        <v>1.4301532258281677</v>
      </c>
    </row>
    <row r="644" spans="1:20" x14ac:dyDescent="0.25">
      <c r="A644" s="5">
        <v>43949</v>
      </c>
      <c r="B644">
        <v>0.47310000000000002</v>
      </c>
      <c r="C644">
        <v>0.49569999999999997</v>
      </c>
      <c r="D644">
        <v>0.45739999999999997</v>
      </c>
      <c r="E644">
        <v>0.4874</v>
      </c>
      <c r="F644">
        <v>10495350.609999999</v>
      </c>
      <c r="G644">
        <v>0</v>
      </c>
      <c r="L644" t="s">
        <v>8</v>
      </c>
      <c r="M644" t="s">
        <v>8</v>
      </c>
      <c r="N644" t="s">
        <v>8</v>
      </c>
      <c r="P644">
        <f t="shared" si="989"/>
        <v>0.56657963446475335</v>
      </c>
      <c r="Q644">
        <f t="shared" si="990"/>
        <v>5946451.9121932257</v>
      </c>
      <c r="R644">
        <f t="shared" si="991"/>
        <v>133864011.65710245</v>
      </c>
      <c r="S644">
        <f t="shared" si="992"/>
        <v>1338.6401165710245</v>
      </c>
      <c r="T644">
        <f t="shared" si="993"/>
        <v>1.3386401165710244</v>
      </c>
    </row>
    <row r="645" spans="1:20" x14ac:dyDescent="0.25">
      <c r="A645" s="5">
        <v>43948</v>
      </c>
      <c r="B645">
        <v>0.49349999999999999</v>
      </c>
      <c r="C645">
        <v>0.498</v>
      </c>
      <c r="D645">
        <v>0.45079999999999998</v>
      </c>
      <c r="E645">
        <v>0.47339999999999999</v>
      </c>
      <c r="F645">
        <v>11337323.130000001</v>
      </c>
      <c r="G645">
        <v>0</v>
      </c>
      <c r="L645" t="s">
        <v>7</v>
      </c>
      <c r="M645" t="s">
        <v>8</v>
      </c>
      <c r="N645" t="s">
        <v>8</v>
      </c>
      <c r="P645">
        <f t="shared" si="989"/>
        <v>-4.2372881355932222E-2</v>
      </c>
      <c r="Q645">
        <f t="shared" si="990"/>
        <v>-480395.04788135621</v>
      </c>
      <c r="R645">
        <f t="shared" si="991"/>
        <v>127917559.74490923</v>
      </c>
      <c r="S645">
        <f t="shared" si="992"/>
        <v>1279.1755974490923</v>
      </c>
      <c r="T645">
        <f t="shared" si="993"/>
        <v>1.2791755974490924</v>
      </c>
    </row>
    <row r="646" spans="1:20" x14ac:dyDescent="0.25">
      <c r="A646" s="5">
        <v>43947</v>
      </c>
      <c r="B646">
        <v>0.46039999999999998</v>
      </c>
      <c r="C646">
        <v>0.49830000000000002</v>
      </c>
      <c r="D646">
        <v>0.45889999999999997</v>
      </c>
      <c r="E646">
        <v>0.49320000000000003</v>
      </c>
      <c r="F646">
        <v>14302709.560000001</v>
      </c>
      <c r="G646">
        <v>0</v>
      </c>
      <c r="L646" t="s">
        <v>8</v>
      </c>
      <c r="M646" t="s">
        <v>8</v>
      </c>
      <c r="N646" t="s">
        <v>8</v>
      </c>
      <c r="P646">
        <f t="shared" ref="P646:P709" si="994">IF(C646=D646,0,((E646-D646)-(C646-E646))/(C646-D646))</f>
        <v>0.7411167512690362</v>
      </c>
      <c r="Q646">
        <f t="shared" ref="Q646:Q709" si="995">F646*P646</f>
        <v>10599977.643451786</v>
      </c>
      <c r="R646">
        <f t="shared" ref="R646:R709" si="996">R647+Q646</f>
        <v>128397954.79279058</v>
      </c>
      <c r="S646">
        <f t="shared" ref="S646:S709" si="997">R646/100000</f>
        <v>1283.9795479279057</v>
      </c>
      <c r="T646">
        <f t="shared" ref="T646:T709" si="998">S646/1000</f>
        <v>1.2839795479279057</v>
      </c>
    </row>
    <row r="647" spans="1:20" x14ac:dyDescent="0.25">
      <c r="A647" s="5">
        <v>43946</v>
      </c>
      <c r="B647">
        <v>0.45100000000000001</v>
      </c>
      <c r="C647">
        <v>0.4839</v>
      </c>
      <c r="D647">
        <v>0.44330000000000003</v>
      </c>
      <c r="E647">
        <v>0.46089999999999998</v>
      </c>
      <c r="F647">
        <v>9122380.6999999993</v>
      </c>
      <c r="G647">
        <v>0</v>
      </c>
      <c r="L647" t="s">
        <v>8</v>
      </c>
      <c r="M647" t="s">
        <v>8</v>
      </c>
      <c r="N647" t="s">
        <v>8</v>
      </c>
      <c r="P647">
        <f t="shared" si="994"/>
        <v>-0.13300492610837625</v>
      </c>
      <c r="Q647">
        <f t="shared" si="995"/>
        <v>-1213321.5709359774</v>
      </c>
      <c r="R647">
        <f t="shared" si="996"/>
        <v>117797977.1493388</v>
      </c>
      <c r="S647">
        <f t="shared" si="997"/>
        <v>1177.9797714933879</v>
      </c>
      <c r="T647">
        <f t="shared" si="998"/>
        <v>1.177979771493388</v>
      </c>
    </row>
    <row r="648" spans="1:20" x14ac:dyDescent="0.25">
      <c r="A648" s="5">
        <v>43945</v>
      </c>
      <c r="B648">
        <v>0.42549999999999999</v>
      </c>
      <c r="C648">
        <v>0.46410000000000001</v>
      </c>
      <c r="D648">
        <v>0.4244</v>
      </c>
      <c r="E648">
        <v>0.4506</v>
      </c>
      <c r="F648">
        <v>11371721.140000001</v>
      </c>
      <c r="G648">
        <v>0</v>
      </c>
      <c r="L648" t="s">
        <v>8</v>
      </c>
      <c r="M648" t="s">
        <v>8</v>
      </c>
      <c r="N648" t="s">
        <v>8</v>
      </c>
      <c r="P648">
        <f t="shared" si="994"/>
        <v>0.31989924433249334</v>
      </c>
      <c r="Q648">
        <f t="shared" si="995"/>
        <v>3637804.9994458398</v>
      </c>
      <c r="R648">
        <f t="shared" si="996"/>
        <v>119011298.72027478</v>
      </c>
      <c r="S648">
        <f t="shared" si="997"/>
        <v>1190.1129872027477</v>
      </c>
      <c r="T648">
        <f t="shared" si="998"/>
        <v>1.1901129872027476</v>
      </c>
    </row>
    <row r="649" spans="1:20" x14ac:dyDescent="0.25">
      <c r="A649" s="5">
        <v>43944</v>
      </c>
      <c r="B649">
        <v>0.41370000000000001</v>
      </c>
      <c r="C649">
        <v>0.43780000000000002</v>
      </c>
      <c r="D649">
        <v>0.40939999999999999</v>
      </c>
      <c r="E649">
        <v>0.42570000000000002</v>
      </c>
      <c r="F649">
        <v>7615994.1399999997</v>
      </c>
      <c r="G649">
        <v>0</v>
      </c>
      <c r="L649" t="s">
        <v>8</v>
      </c>
      <c r="M649" t="s">
        <v>8</v>
      </c>
      <c r="N649" t="s">
        <v>8</v>
      </c>
      <c r="P649">
        <f t="shared" si="994"/>
        <v>0.14788732394366308</v>
      </c>
      <c r="Q649">
        <f t="shared" si="995"/>
        <v>1126308.9925352198</v>
      </c>
      <c r="R649">
        <f t="shared" si="996"/>
        <v>115373493.72082894</v>
      </c>
      <c r="S649">
        <f t="shared" si="997"/>
        <v>1153.7349372082895</v>
      </c>
      <c r="T649">
        <f t="shared" si="998"/>
        <v>1.1537349372082895</v>
      </c>
    </row>
    <row r="650" spans="1:20" x14ac:dyDescent="0.25">
      <c r="A650" s="5">
        <v>43943</v>
      </c>
      <c r="B650">
        <v>0.39589999999999997</v>
      </c>
      <c r="C650">
        <v>0.41909999999999997</v>
      </c>
      <c r="D650">
        <v>0.3926</v>
      </c>
      <c r="E650">
        <v>0.41360000000000002</v>
      </c>
      <c r="F650">
        <v>4613921.92</v>
      </c>
      <c r="G650">
        <v>0</v>
      </c>
      <c r="L650" t="s">
        <v>8</v>
      </c>
      <c r="M650" t="s">
        <v>7</v>
      </c>
      <c r="N650" t="s">
        <v>8</v>
      </c>
      <c r="P650">
        <f t="shared" si="994"/>
        <v>0.5849056603773618</v>
      </c>
      <c r="Q650">
        <f t="shared" si="995"/>
        <v>2698709.0475471849</v>
      </c>
      <c r="R650">
        <f t="shared" si="996"/>
        <v>114247184.72829372</v>
      </c>
      <c r="S650">
        <f t="shared" si="997"/>
        <v>1142.4718472829372</v>
      </c>
      <c r="T650">
        <f t="shared" si="998"/>
        <v>1.1424718472829372</v>
      </c>
    </row>
    <row r="651" spans="1:20" x14ac:dyDescent="0.25">
      <c r="A651" s="5">
        <v>43942</v>
      </c>
      <c r="B651">
        <v>0.39700000000000002</v>
      </c>
      <c r="C651">
        <v>0.40560000000000002</v>
      </c>
      <c r="D651">
        <v>0.39240000000000003</v>
      </c>
      <c r="E651">
        <v>0.39610000000000001</v>
      </c>
      <c r="F651">
        <v>5405351.6900000004</v>
      </c>
      <c r="G651">
        <v>0</v>
      </c>
      <c r="L651" t="s">
        <v>7</v>
      </c>
      <c r="M651" t="s">
        <v>7</v>
      </c>
      <c r="N651" t="s">
        <v>8</v>
      </c>
      <c r="P651">
        <f t="shared" si="994"/>
        <v>-0.43939393939394183</v>
      </c>
      <c r="Q651">
        <f t="shared" si="995"/>
        <v>-2375078.7728788015</v>
      </c>
      <c r="R651">
        <f t="shared" si="996"/>
        <v>111548475.68074653</v>
      </c>
      <c r="S651">
        <f t="shared" si="997"/>
        <v>1115.4847568074651</v>
      </c>
      <c r="T651">
        <f t="shared" si="998"/>
        <v>1.1154847568074651</v>
      </c>
    </row>
    <row r="652" spans="1:20" x14ac:dyDescent="0.25">
      <c r="A652" s="5">
        <v>43941</v>
      </c>
      <c r="B652">
        <v>0.40920000000000001</v>
      </c>
      <c r="C652">
        <v>0.42449999999999999</v>
      </c>
      <c r="D652">
        <v>0.39360000000000001</v>
      </c>
      <c r="E652">
        <v>0.3977</v>
      </c>
      <c r="F652">
        <v>11548228.380000001</v>
      </c>
      <c r="G652">
        <v>0</v>
      </c>
      <c r="L652" t="s">
        <v>7</v>
      </c>
      <c r="M652" t="s">
        <v>7</v>
      </c>
      <c r="N652" t="s">
        <v>8</v>
      </c>
      <c r="P652">
        <f t="shared" si="994"/>
        <v>-0.73462783171521073</v>
      </c>
      <c r="Q652">
        <f t="shared" si="995"/>
        <v>-8483649.974951461</v>
      </c>
      <c r="R652">
        <f t="shared" si="996"/>
        <v>113923554.45362532</v>
      </c>
      <c r="S652">
        <f t="shared" si="997"/>
        <v>1139.2355445362532</v>
      </c>
      <c r="T652">
        <f t="shared" si="998"/>
        <v>1.1392355445362532</v>
      </c>
    </row>
    <row r="653" spans="1:20" x14ac:dyDescent="0.25">
      <c r="A653" s="5">
        <v>43940</v>
      </c>
      <c r="B653">
        <v>0.42180000000000001</v>
      </c>
      <c r="C653">
        <v>0.42480000000000001</v>
      </c>
      <c r="D653">
        <v>0.40429999999999999</v>
      </c>
      <c r="E653">
        <v>0.40949999999999998</v>
      </c>
      <c r="F653">
        <v>4222632.29</v>
      </c>
      <c r="G653">
        <v>0</v>
      </c>
      <c r="L653" t="s">
        <v>8</v>
      </c>
      <c r="M653" t="s">
        <v>7</v>
      </c>
      <c r="N653" t="s">
        <v>8</v>
      </c>
      <c r="P653">
        <f t="shared" si="994"/>
        <v>-0.49268292682927045</v>
      </c>
      <c r="Q653">
        <f t="shared" si="995"/>
        <v>-2080418.8355609847</v>
      </c>
      <c r="R653">
        <f t="shared" si="996"/>
        <v>122407204.42857678</v>
      </c>
      <c r="S653">
        <f t="shared" si="997"/>
        <v>1224.0720442857678</v>
      </c>
      <c r="T653">
        <f t="shared" si="998"/>
        <v>1.2240720442857678</v>
      </c>
    </row>
    <row r="654" spans="1:20" x14ac:dyDescent="0.25">
      <c r="A654" s="5">
        <v>43939</v>
      </c>
      <c r="B654">
        <v>0.40510000000000002</v>
      </c>
      <c r="C654">
        <v>0.42949999999999999</v>
      </c>
      <c r="D654">
        <v>0.40460000000000002</v>
      </c>
      <c r="E654">
        <v>0.42180000000000001</v>
      </c>
      <c r="F654">
        <v>5249025</v>
      </c>
      <c r="G654">
        <v>0</v>
      </c>
      <c r="L654" t="s">
        <v>8</v>
      </c>
      <c r="M654" t="s">
        <v>7</v>
      </c>
      <c r="N654" t="s">
        <v>8</v>
      </c>
      <c r="P654">
        <f t="shared" si="994"/>
        <v>0.38152610441767137</v>
      </c>
      <c r="Q654">
        <f t="shared" si="995"/>
        <v>2002640.0602409674</v>
      </c>
      <c r="R654">
        <f t="shared" si="996"/>
        <v>124487623.26413776</v>
      </c>
      <c r="S654">
        <f t="shared" si="997"/>
        <v>1244.8762326413776</v>
      </c>
      <c r="T654">
        <f t="shared" si="998"/>
        <v>1.2448762326413776</v>
      </c>
    </row>
    <row r="655" spans="1:20" x14ac:dyDescent="0.25">
      <c r="A655" s="5">
        <v>43938</v>
      </c>
      <c r="B655">
        <v>0.4113</v>
      </c>
      <c r="C655">
        <v>0.41389999999999999</v>
      </c>
      <c r="D655">
        <v>0.40250000000000002</v>
      </c>
      <c r="E655">
        <v>0.40529999999999999</v>
      </c>
      <c r="F655">
        <v>4317867.96</v>
      </c>
      <c r="G655">
        <v>0</v>
      </c>
      <c r="L655" t="s">
        <v>8</v>
      </c>
      <c r="M655" t="s">
        <v>7</v>
      </c>
      <c r="N655" t="s">
        <v>8</v>
      </c>
      <c r="P655">
        <f t="shared" si="994"/>
        <v>-0.50877192982456532</v>
      </c>
      <c r="Q655">
        <f t="shared" si="995"/>
        <v>-2196810.0147368591</v>
      </c>
      <c r="R655">
        <f t="shared" si="996"/>
        <v>122484983.20389679</v>
      </c>
      <c r="S655">
        <f t="shared" si="997"/>
        <v>1224.8498320389679</v>
      </c>
      <c r="T655">
        <f t="shared" si="998"/>
        <v>1.2248498320389678</v>
      </c>
    </row>
    <row r="656" spans="1:20" x14ac:dyDescent="0.25">
      <c r="A656" s="5">
        <v>43937</v>
      </c>
      <c r="B656">
        <v>0.38030000000000003</v>
      </c>
      <c r="C656">
        <v>0.42030000000000001</v>
      </c>
      <c r="D656">
        <v>0.3679</v>
      </c>
      <c r="E656">
        <v>0.4113</v>
      </c>
      <c r="F656">
        <v>10549329.439999999</v>
      </c>
      <c r="G656">
        <v>0</v>
      </c>
      <c r="L656" t="s">
        <v>7</v>
      </c>
      <c r="M656" t="s">
        <v>7</v>
      </c>
      <c r="N656" t="s">
        <v>8</v>
      </c>
      <c r="P656">
        <f t="shared" si="994"/>
        <v>0.65648854961832037</v>
      </c>
      <c r="Q656">
        <f t="shared" si="995"/>
        <v>6925513.9835114479</v>
      </c>
      <c r="R656">
        <f t="shared" si="996"/>
        <v>124681793.21863365</v>
      </c>
      <c r="S656">
        <f t="shared" si="997"/>
        <v>1246.8179321863365</v>
      </c>
      <c r="T656">
        <f t="shared" si="998"/>
        <v>1.2468179321863366</v>
      </c>
    </row>
    <row r="657" spans="1:20" x14ac:dyDescent="0.25">
      <c r="A657" s="5">
        <v>43936</v>
      </c>
      <c r="B657">
        <v>0.38779999999999998</v>
      </c>
      <c r="C657">
        <v>0.39879999999999999</v>
      </c>
      <c r="D657">
        <v>0.379</v>
      </c>
      <c r="E657">
        <v>0.38019999999999998</v>
      </c>
      <c r="F657">
        <v>4559029.97</v>
      </c>
      <c r="G657">
        <v>0</v>
      </c>
      <c r="L657" t="s">
        <v>7</v>
      </c>
      <c r="M657" t="s">
        <v>7</v>
      </c>
      <c r="N657" t="s">
        <v>8</v>
      </c>
      <c r="P657">
        <f t="shared" si="994"/>
        <v>-0.87878787878788078</v>
      </c>
      <c r="Q657">
        <f t="shared" si="995"/>
        <v>-4006420.2766666757</v>
      </c>
      <c r="R657">
        <f t="shared" si="996"/>
        <v>117756279.2351222</v>
      </c>
      <c r="S657">
        <f t="shared" si="997"/>
        <v>1177.562792351222</v>
      </c>
      <c r="T657">
        <f t="shared" si="998"/>
        <v>1.177562792351222</v>
      </c>
    </row>
    <row r="658" spans="1:20" x14ac:dyDescent="0.25">
      <c r="A658" s="5">
        <v>43935</v>
      </c>
      <c r="B658">
        <v>0.38679999999999998</v>
      </c>
      <c r="C658">
        <v>0.39560000000000001</v>
      </c>
      <c r="D658">
        <v>0.38069999999999998</v>
      </c>
      <c r="E658">
        <v>0.3876</v>
      </c>
      <c r="F658">
        <v>6377123.8200000003</v>
      </c>
      <c r="G658">
        <v>0</v>
      </c>
      <c r="L658" t="s">
        <v>7</v>
      </c>
      <c r="M658" t="s">
        <v>7</v>
      </c>
      <c r="N658" t="s">
        <v>8</v>
      </c>
      <c r="P658">
        <f t="shared" si="994"/>
        <v>-7.3825503355703898E-2</v>
      </c>
      <c r="Q658">
        <f t="shared" si="995"/>
        <v>-470794.37597314926</v>
      </c>
      <c r="R658">
        <f t="shared" si="996"/>
        <v>121762699.51178887</v>
      </c>
      <c r="S658">
        <f t="shared" si="997"/>
        <v>1217.6269951178888</v>
      </c>
      <c r="T658">
        <f t="shared" si="998"/>
        <v>1.2176269951178889</v>
      </c>
    </row>
    <row r="659" spans="1:20" x14ac:dyDescent="0.25">
      <c r="A659" s="5">
        <v>43934</v>
      </c>
      <c r="B659">
        <v>0.40160000000000001</v>
      </c>
      <c r="C659">
        <v>0.4017</v>
      </c>
      <c r="D659">
        <v>0.3795</v>
      </c>
      <c r="E659">
        <v>0.38690000000000002</v>
      </c>
      <c r="F659">
        <v>10052981.300000001</v>
      </c>
      <c r="G659">
        <v>0</v>
      </c>
      <c r="L659" t="s">
        <v>7</v>
      </c>
      <c r="M659" t="s">
        <v>7</v>
      </c>
      <c r="N659" t="s">
        <v>8</v>
      </c>
      <c r="P659">
        <f t="shared" si="994"/>
        <v>-0.33333333333333165</v>
      </c>
      <c r="Q659">
        <f t="shared" si="995"/>
        <v>-3350993.7666666498</v>
      </c>
      <c r="R659">
        <f t="shared" si="996"/>
        <v>122233493.88776202</v>
      </c>
      <c r="S659">
        <f t="shared" si="997"/>
        <v>1222.3349388776203</v>
      </c>
      <c r="T659">
        <f t="shared" si="998"/>
        <v>1.2223349388776203</v>
      </c>
    </row>
    <row r="660" spans="1:20" x14ac:dyDescent="0.25">
      <c r="A660" s="5">
        <v>43933</v>
      </c>
      <c r="B660">
        <v>0.40400000000000003</v>
      </c>
      <c r="C660">
        <v>0.42180000000000001</v>
      </c>
      <c r="D660">
        <v>0.39579999999999999</v>
      </c>
      <c r="E660">
        <v>0.4017</v>
      </c>
      <c r="F660">
        <v>5211102.63</v>
      </c>
      <c r="G660">
        <v>0</v>
      </c>
      <c r="L660" t="s">
        <v>8</v>
      </c>
      <c r="M660" t="s">
        <v>7</v>
      </c>
      <c r="N660" t="s">
        <v>8</v>
      </c>
      <c r="P660">
        <f t="shared" si="994"/>
        <v>-0.54615384615384532</v>
      </c>
      <c r="Q660">
        <f t="shared" si="995"/>
        <v>-2846063.7440769188</v>
      </c>
      <c r="R660">
        <f t="shared" si="996"/>
        <v>125584487.65442868</v>
      </c>
      <c r="S660">
        <f t="shared" si="997"/>
        <v>1255.8448765442868</v>
      </c>
      <c r="T660">
        <f t="shared" si="998"/>
        <v>1.2558448765442867</v>
      </c>
    </row>
    <row r="661" spans="1:20" x14ac:dyDescent="0.25">
      <c r="A661" s="5">
        <v>43932</v>
      </c>
      <c r="B661">
        <v>0.40139999999999998</v>
      </c>
      <c r="C661">
        <v>0.41399999999999998</v>
      </c>
      <c r="D661">
        <v>0.39279999999999998</v>
      </c>
      <c r="E661">
        <v>0.40429999999999999</v>
      </c>
      <c r="F661">
        <v>5345053.8600000003</v>
      </c>
      <c r="G661">
        <v>0</v>
      </c>
      <c r="L661" t="s">
        <v>7</v>
      </c>
      <c r="M661" t="s">
        <v>7</v>
      </c>
      <c r="N661" t="s">
        <v>8</v>
      </c>
      <c r="P661">
        <f t="shared" si="994"/>
        <v>8.4905660377359624E-2</v>
      </c>
      <c r="Q661">
        <f t="shared" si="995"/>
        <v>453825.32773585513</v>
      </c>
      <c r="R661">
        <f t="shared" si="996"/>
        <v>128430551.3985056</v>
      </c>
      <c r="S661">
        <f t="shared" si="997"/>
        <v>1284.305513985056</v>
      </c>
      <c r="T661">
        <f t="shared" si="998"/>
        <v>1.2843055139850561</v>
      </c>
    </row>
    <row r="662" spans="1:20" x14ac:dyDescent="0.25">
      <c r="A662" s="5">
        <v>43931</v>
      </c>
      <c r="B662">
        <v>0.44800000000000001</v>
      </c>
      <c r="C662">
        <v>0.44850000000000001</v>
      </c>
      <c r="D662">
        <v>0.3891</v>
      </c>
      <c r="E662">
        <v>0.40110000000000001</v>
      </c>
      <c r="F662">
        <v>11081997.34</v>
      </c>
      <c r="G662">
        <v>0</v>
      </c>
      <c r="L662" t="s">
        <v>7</v>
      </c>
      <c r="M662" t="s">
        <v>7</v>
      </c>
      <c r="N662" t="s">
        <v>8</v>
      </c>
      <c r="P662">
        <f t="shared" si="994"/>
        <v>-0.59595959595959569</v>
      </c>
      <c r="Q662">
        <f t="shared" si="995"/>
        <v>-6604422.6571717141</v>
      </c>
      <c r="R662">
        <f t="shared" si="996"/>
        <v>127976726.07076974</v>
      </c>
      <c r="S662">
        <f t="shared" si="997"/>
        <v>1279.7672607076975</v>
      </c>
      <c r="T662">
        <f t="shared" si="998"/>
        <v>1.2797672607076975</v>
      </c>
    </row>
    <row r="663" spans="1:20" x14ac:dyDescent="0.25">
      <c r="A663" s="5">
        <v>43930</v>
      </c>
      <c r="B663">
        <v>0.45179999999999998</v>
      </c>
      <c r="C663">
        <v>0.46899999999999997</v>
      </c>
      <c r="D663">
        <v>0.433</v>
      </c>
      <c r="E663">
        <v>0.44850000000000001</v>
      </c>
      <c r="F663">
        <v>7959813.2999999998</v>
      </c>
      <c r="G663">
        <v>0</v>
      </c>
      <c r="L663" t="s">
        <v>8</v>
      </c>
      <c r="M663" t="s">
        <v>8</v>
      </c>
      <c r="N663" t="s">
        <v>8</v>
      </c>
      <c r="P663">
        <f t="shared" si="994"/>
        <v>-0.13888888888888756</v>
      </c>
      <c r="Q663">
        <f t="shared" si="995"/>
        <v>-1105529.6249999895</v>
      </c>
      <c r="R663">
        <f t="shared" si="996"/>
        <v>134581148.72794145</v>
      </c>
      <c r="S663">
        <f t="shared" si="997"/>
        <v>1345.8114872794145</v>
      </c>
      <c r="T663">
        <f t="shared" si="998"/>
        <v>1.3458114872794145</v>
      </c>
    </row>
    <row r="664" spans="1:20" x14ac:dyDescent="0.25">
      <c r="A664" s="5">
        <v>43929</v>
      </c>
      <c r="B664">
        <v>0.4219</v>
      </c>
      <c r="C664">
        <v>0.46</v>
      </c>
      <c r="D664">
        <v>0.4148</v>
      </c>
      <c r="E664">
        <v>0.45150000000000001</v>
      </c>
      <c r="F664">
        <v>8844792.5800000001</v>
      </c>
      <c r="G664">
        <v>0</v>
      </c>
      <c r="L664" t="s">
        <v>8</v>
      </c>
      <c r="M664" t="s">
        <v>8</v>
      </c>
      <c r="N664" t="s">
        <v>8</v>
      </c>
      <c r="P664">
        <f t="shared" si="994"/>
        <v>0.62389380530973437</v>
      </c>
      <c r="Q664">
        <f t="shared" si="995"/>
        <v>5518211.2999115037</v>
      </c>
      <c r="R664">
        <f t="shared" si="996"/>
        <v>135686678.35294145</v>
      </c>
      <c r="S664">
        <f t="shared" si="997"/>
        <v>1356.8667835294145</v>
      </c>
      <c r="T664">
        <f t="shared" si="998"/>
        <v>1.3568667835294146</v>
      </c>
    </row>
    <row r="665" spans="1:20" x14ac:dyDescent="0.25">
      <c r="A665" s="5">
        <v>43928</v>
      </c>
      <c r="B665">
        <v>0.4355</v>
      </c>
      <c r="C665">
        <v>0.44419999999999998</v>
      </c>
      <c r="D665">
        <v>0.40579999999999999</v>
      </c>
      <c r="E665">
        <v>0.4219</v>
      </c>
      <c r="F665">
        <v>11558495.1</v>
      </c>
      <c r="G665">
        <v>0</v>
      </c>
      <c r="L665" t="s">
        <v>8</v>
      </c>
      <c r="M665" t="s">
        <v>8</v>
      </c>
      <c r="N665" t="s">
        <v>8</v>
      </c>
      <c r="P665">
        <f t="shared" si="994"/>
        <v>-0.16145833333333295</v>
      </c>
      <c r="Q665">
        <f t="shared" si="995"/>
        <v>-1866215.3546874956</v>
      </c>
      <c r="R665">
        <f t="shared" si="996"/>
        <v>130168467.05302994</v>
      </c>
      <c r="S665">
        <f t="shared" si="997"/>
        <v>1301.6846705302994</v>
      </c>
      <c r="T665">
        <f t="shared" si="998"/>
        <v>1.3016846705302993</v>
      </c>
    </row>
    <row r="666" spans="1:20" x14ac:dyDescent="0.25">
      <c r="A666" s="5">
        <v>43927</v>
      </c>
      <c r="B666">
        <v>0.38179999999999997</v>
      </c>
      <c r="C666">
        <v>0.43590000000000001</v>
      </c>
      <c r="D666">
        <v>0.38179999999999997</v>
      </c>
      <c r="E666">
        <v>0.435</v>
      </c>
      <c r="F666">
        <v>9688860.4299999997</v>
      </c>
      <c r="G666">
        <v>0</v>
      </c>
      <c r="L666" t="s">
        <v>8</v>
      </c>
      <c r="M666" t="s">
        <v>8</v>
      </c>
      <c r="N666" t="s">
        <v>8</v>
      </c>
      <c r="P666">
        <f t="shared" si="994"/>
        <v>0.96672828096118257</v>
      </c>
      <c r="Q666">
        <f t="shared" si="995"/>
        <v>9366495.3879667241</v>
      </c>
      <c r="R666">
        <f t="shared" si="996"/>
        <v>132034682.40771744</v>
      </c>
      <c r="S666">
        <f t="shared" si="997"/>
        <v>1320.3468240771745</v>
      </c>
      <c r="T666">
        <f t="shared" si="998"/>
        <v>1.3203468240771745</v>
      </c>
    </row>
    <row r="667" spans="1:20" x14ac:dyDescent="0.25">
      <c r="A667" s="5">
        <v>43926</v>
      </c>
      <c r="B667">
        <v>0.39269999999999999</v>
      </c>
      <c r="C667">
        <v>0.39629999999999999</v>
      </c>
      <c r="D667">
        <v>0.3785</v>
      </c>
      <c r="E667">
        <v>0.38169999999999998</v>
      </c>
      <c r="F667">
        <v>4216411.2300000004</v>
      </c>
      <c r="G667">
        <v>0</v>
      </c>
      <c r="L667" t="s">
        <v>8</v>
      </c>
      <c r="M667" t="s">
        <v>8</v>
      </c>
      <c r="N667" t="s">
        <v>8</v>
      </c>
      <c r="P667">
        <f t="shared" si="994"/>
        <v>-0.64044943820224898</v>
      </c>
      <c r="Q667">
        <f t="shared" si="995"/>
        <v>-2700398.2034831541</v>
      </c>
      <c r="R667">
        <f t="shared" si="996"/>
        <v>122668187.01975071</v>
      </c>
      <c r="S667">
        <f t="shared" si="997"/>
        <v>1226.6818701975071</v>
      </c>
      <c r="T667">
        <f t="shared" si="998"/>
        <v>1.2266818701975071</v>
      </c>
    </row>
    <row r="668" spans="1:20" x14ac:dyDescent="0.25">
      <c r="A668" s="5">
        <v>43925</v>
      </c>
      <c r="B668">
        <v>0.38150000000000001</v>
      </c>
      <c r="C668">
        <v>0.39960000000000001</v>
      </c>
      <c r="D668">
        <v>0.37540000000000001</v>
      </c>
      <c r="E668">
        <v>0.3926</v>
      </c>
      <c r="F668">
        <v>7344931.9800000004</v>
      </c>
      <c r="G668">
        <v>0</v>
      </c>
      <c r="L668" t="s">
        <v>8</v>
      </c>
      <c r="M668" t="s">
        <v>8</v>
      </c>
      <c r="N668" t="s">
        <v>8</v>
      </c>
      <c r="P668">
        <f t="shared" si="994"/>
        <v>0.42148760330578461</v>
      </c>
      <c r="Q668">
        <f t="shared" si="995"/>
        <v>3095797.7766942112</v>
      </c>
      <c r="R668">
        <f t="shared" si="996"/>
        <v>125368585.22323386</v>
      </c>
      <c r="S668">
        <f t="shared" si="997"/>
        <v>1253.6858522323387</v>
      </c>
      <c r="T668">
        <f t="shared" si="998"/>
        <v>1.2536858522323386</v>
      </c>
    </row>
    <row r="669" spans="1:20" x14ac:dyDescent="0.25">
      <c r="A669" s="5">
        <v>43924</v>
      </c>
      <c r="B669">
        <v>0.37840000000000001</v>
      </c>
      <c r="C669">
        <v>0.38900000000000001</v>
      </c>
      <c r="D669">
        <v>0.374</v>
      </c>
      <c r="E669">
        <v>0.38169999999999998</v>
      </c>
      <c r="F669">
        <v>6157790.3499999996</v>
      </c>
      <c r="G669">
        <v>0</v>
      </c>
      <c r="L669" t="s">
        <v>8</v>
      </c>
      <c r="M669" t="s">
        <v>8</v>
      </c>
      <c r="N669" t="s">
        <v>8</v>
      </c>
      <c r="P669">
        <f t="shared" si="994"/>
        <v>2.6666666666663705E-2</v>
      </c>
      <c r="Q669">
        <f t="shared" si="995"/>
        <v>164207.74266664841</v>
      </c>
      <c r="R669">
        <f t="shared" si="996"/>
        <v>122272787.44653966</v>
      </c>
      <c r="S669">
        <f t="shared" si="997"/>
        <v>1222.7278744653966</v>
      </c>
      <c r="T669">
        <f t="shared" si="998"/>
        <v>1.2227278744653967</v>
      </c>
    </row>
    <row r="670" spans="1:20" x14ac:dyDescent="0.25">
      <c r="A670" s="5">
        <v>43923</v>
      </c>
      <c r="B670">
        <v>0.37280000000000002</v>
      </c>
      <c r="C670">
        <v>0.4</v>
      </c>
      <c r="D670">
        <v>0.36990000000000001</v>
      </c>
      <c r="E670">
        <v>0.3785</v>
      </c>
      <c r="F670">
        <v>6754069.0099999998</v>
      </c>
      <c r="G670">
        <v>0</v>
      </c>
      <c r="L670" t="s">
        <v>8</v>
      </c>
      <c r="M670" t="s">
        <v>8</v>
      </c>
      <c r="N670" t="s">
        <v>8</v>
      </c>
      <c r="P670">
        <f t="shared" si="994"/>
        <v>-0.4285714285714291</v>
      </c>
      <c r="Q670">
        <f t="shared" si="995"/>
        <v>-2894601.0042857178</v>
      </c>
      <c r="R670">
        <f t="shared" si="996"/>
        <v>122108579.70387301</v>
      </c>
      <c r="S670">
        <f t="shared" si="997"/>
        <v>1221.0857970387301</v>
      </c>
      <c r="T670">
        <f t="shared" si="998"/>
        <v>1.2210857970387301</v>
      </c>
    </row>
    <row r="671" spans="1:20" x14ac:dyDescent="0.25">
      <c r="A671" s="5">
        <v>43922</v>
      </c>
      <c r="B671">
        <v>0.37030000000000002</v>
      </c>
      <c r="C671">
        <v>0.37590000000000001</v>
      </c>
      <c r="D671">
        <v>0.35560000000000003</v>
      </c>
      <c r="E671">
        <v>0.37219999999999998</v>
      </c>
      <c r="F671">
        <v>3891338.34</v>
      </c>
      <c r="G671">
        <v>0</v>
      </c>
      <c r="L671" t="s">
        <v>8</v>
      </c>
      <c r="M671" t="s">
        <v>7</v>
      </c>
      <c r="N671" t="s">
        <v>8</v>
      </c>
      <c r="P671">
        <f t="shared" si="994"/>
        <v>0.63546798029556262</v>
      </c>
      <c r="Q671">
        <f t="shared" si="995"/>
        <v>2472820.9155664872</v>
      </c>
      <c r="R671">
        <f t="shared" si="996"/>
        <v>125003180.70815873</v>
      </c>
      <c r="S671">
        <f t="shared" si="997"/>
        <v>1250.0318070815872</v>
      </c>
      <c r="T671">
        <f t="shared" si="998"/>
        <v>1.2500318070815872</v>
      </c>
    </row>
    <row r="672" spans="1:20" x14ac:dyDescent="0.25">
      <c r="A672" s="5">
        <v>43921</v>
      </c>
      <c r="B672">
        <v>0.36609999999999998</v>
      </c>
      <c r="C672">
        <v>0.37619999999999998</v>
      </c>
      <c r="D672">
        <v>0.3619</v>
      </c>
      <c r="E672">
        <v>0.37019999999999997</v>
      </c>
      <c r="F672">
        <v>3077274.59</v>
      </c>
      <c r="G672">
        <v>0</v>
      </c>
      <c r="L672" t="s">
        <v>8</v>
      </c>
      <c r="M672" t="s">
        <v>7</v>
      </c>
      <c r="N672" t="s">
        <v>8</v>
      </c>
      <c r="P672">
        <f t="shared" si="994"/>
        <v>0.16083916083915889</v>
      </c>
      <c r="Q672">
        <f t="shared" si="995"/>
        <v>494946.2627272667</v>
      </c>
      <c r="R672">
        <f t="shared" si="996"/>
        <v>122530359.79259224</v>
      </c>
      <c r="S672">
        <f t="shared" si="997"/>
        <v>1225.3035979259225</v>
      </c>
      <c r="T672">
        <f t="shared" si="998"/>
        <v>1.2253035979259226</v>
      </c>
    </row>
    <row r="673" spans="1:20" x14ac:dyDescent="0.25">
      <c r="A673" s="5">
        <v>43920</v>
      </c>
      <c r="B673">
        <v>0.34660000000000002</v>
      </c>
      <c r="C673">
        <v>0.37490000000000001</v>
      </c>
      <c r="D673">
        <v>0.34639999999999999</v>
      </c>
      <c r="E673">
        <v>0.36609999999999998</v>
      </c>
      <c r="F673">
        <v>4366994.25</v>
      </c>
      <c r="G673">
        <v>0</v>
      </c>
      <c r="L673" t="s">
        <v>8</v>
      </c>
      <c r="M673" t="s">
        <v>7</v>
      </c>
      <c r="N673" t="s">
        <v>8</v>
      </c>
      <c r="P673">
        <f t="shared" si="994"/>
        <v>0.38245614035087566</v>
      </c>
      <c r="Q673">
        <f t="shared" si="995"/>
        <v>1670183.7657894669</v>
      </c>
      <c r="R673">
        <f t="shared" si="996"/>
        <v>122035413.52986498</v>
      </c>
      <c r="S673">
        <f t="shared" si="997"/>
        <v>1220.3541352986499</v>
      </c>
      <c r="T673">
        <f t="shared" si="998"/>
        <v>1.22035413529865</v>
      </c>
    </row>
    <row r="674" spans="1:20" x14ac:dyDescent="0.25">
      <c r="A674" s="5">
        <v>43919</v>
      </c>
      <c r="B674">
        <v>0.36199999999999999</v>
      </c>
      <c r="C674">
        <v>0.36380000000000001</v>
      </c>
      <c r="D674">
        <v>0.34499999999999997</v>
      </c>
      <c r="E674">
        <v>0.34699999999999998</v>
      </c>
      <c r="F674">
        <v>2929402.63</v>
      </c>
      <c r="G674">
        <v>0</v>
      </c>
      <c r="L674" t="s">
        <v>7</v>
      </c>
      <c r="M674" t="s">
        <v>7</v>
      </c>
      <c r="N674" t="s">
        <v>8</v>
      </c>
      <c r="P674">
        <f t="shared" si="994"/>
        <v>-0.78723404255319174</v>
      </c>
      <c r="Q674">
        <f t="shared" si="995"/>
        <v>-2306125.4746808517</v>
      </c>
      <c r="R674">
        <f t="shared" si="996"/>
        <v>120365229.76407552</v>
      </c>
      <c r="S674">
        <f t="shared" si="997"/>
        <v>1203.6522976407553</v>
      </c>
      <c r="T674">
        <f t="shared" si="998"/>
        <v>1.2036522976407553</v>
      </c>
    </row>
    <row r="675" spans="1:20" x14ac:dyDescent="0.25">
      <c r="A675" s="5">
        <v>43918</v>
      </c>
      <c r="B675">
        <v>0.36370000000000002</v>
      </c>
      <c r="C675">
        <v>0.371</v>
      </c>
      <c r="D675">
        <v>0.34460000000000002</v>
      </c>
      <c r="E675">
        <v>0.36149999999999999</v>
      </c>
      <c r="F675">
        <v>5418923.2199999997</v>
      </c>
      <c r="G675">
        <v>0</v>
      </c>
      <c r="L675" t="s">
        <v>7</v>
      </c>
      <c r="M675" t="s">
        <v>7</v>
      </c>
      <c r="N675" t="s">
        <v>8</v>
      </c>
      <c r="P675">
        <f t="shared" si="994"/>
        <v>0.28030303030302911</v>
      </c>
      <c r="Q675">
        <f t="shared" si="995"/>
        <v>1518940.5995454481</v>
      </c>
      <c r="R675">
        <f t="shared" si="996"/>
        <v>122671355.23875637</v>
      </c>
      <c r="S675">
        <f t="shared" si="997"/>
        <v>1226.7135523875638</v>
      </c>
      <c r="T675">
        <f t="shared" si="998"/>
        <v>1.2267135523875639</v>
      </c>
    </row>
    <row r="676" spans="1:20" x14ac:dyDescent="0.25">
      <c r="A676" s="5">
        <v>43917</v>
      </c>
      <c r="B676">
        <v>0.3856</v>
      </c>
      <c r="C676">
        <v>0.39069999999999999</v>
      </c>
      <c r="D676">
        <v>0.36030000000000001</v>
      </c>
      <c r="E676">
        <v>0.36399999999999999</v>
      </c>
      <c r="F676">
        <v>4257882.66</v>
      </c>
      <c r="G676">
        <v>0</v>
      </c>
      <c r="L676" t="s">
        <v>7</v>
      </c>
      <c r="M676" t="s">
        <v>7</v>
      </c>
      <c r="N676" t="s">
        <v>8</v>
      </c>
      <c r="P676">
        <f t="shared" si="994"/>
        <v>-0.75657894736842213</v>
      </c>
      <c r="Q676">
        <f t="shared" si="995"/>
        <v>-3221424.3809210574</v>
      </c>
      <c r="R676">
        <f t="shared" si="996"/>
        <v>121152414.63921092</v>
      </c>
      <c r="S676">
        <f t="shared" si="997"/>
        <v>1211.5241463921093</v>
      </c>
      <c r="T676">
        <f t="shared" si="998"/>
        <v>1.2115241463921094</v>
      </c>
    </row>
    <row r="677" spans="1:20" x14ac:dyDescent="0.25">
      <c r="A677" s="5">
        <v>43916</v>
      </c>
      <c r="B677">
        <v>0.37309999999999999</v>
      </c>
      <c r="C677">
        <v>0.3871</v>
      </c>
      <c r="D677">
        <v>0.36380000000000001</v>
      </c>
      <c r="E677">
        <v>0.38529999999999998</v>
      </c>
      <c r="F677">
        <v>4212322.46</v>
      </c>
      <c r="G677">
        <v>0</v>
      </c>
      <c r="L677" t="s">
        <v>8</v>
      </c>
      <c r="M677" t="s">
        <v>7</v>
      </c>
      <c r="N677" t="s">
        <v>8</v>
      </c>
      <c r="P677">
        <f t="shared" si="994"/>
        <v>0.84549356223175753</v>
      </c>
      <c r="Q677">
        <f t="shared" si="995"/>
        <v>3561491.52197424</v>
      </c>
      <c r="R677">
        <f t="shared" si="996"/>
        <v>124373839.02013198</v>
      </c>
      <c r="S677">
        <f t="shared" si="997"/>
        <v>1243.7383902013198</v>
      </c>
      <c r="T677">
        <f t="shared" si="998"/>
        <v>1.2437383902013197</v>
      </c>
    </row>
    <row r="678" spans="1:20" x14ac:dyDescent="0.25">
      <c r="A678" s="5">
        <v>43915</v>
      </c>
      <c r="B678">
        <v>0.38750000000000001</v>
      </c>
      <c r="C678">
        <v>0.38750000000000001</v>
      </c>
      <c r="D678">
        <v>0.36209999999999998</v>
      </c>
      <c r="E678">
        <v>0.37259999999999999</v>
      </c>
      <c r="F678">
        <v>5982315.96</v>
      </c>
      <c r="G678">
        <v>0</v>
      </c>
      <c r="L678" t="s">
        <v>7</v>
      </c>
      <c r="M678" t="s">
        <v>7</v>
      </c>
      <c r="N678" t="s">
        <v>8</v>
      </c>
      <c r="P678">
        <f t="shared" si="994"/>
        <v>-0.17322834645669327</v>
      </c>
      <c r="Q678">
        <f t="shared" si="995"/>
        <v>-1036306.7017322856</v>
      </c>
      <c r="R678">
        <f t="shared" si="996"/>
        <v>120812347.49815774</v>
      </c>
      <c r="S678">
        <f t="shared" si="997"/>
        <v>1208.1234749815774</v>
      </c>
      <c r="T678">
        <f t="shared" si="998"/>
        <v>1.2081234749815775</v>
      </c>
    </row>
    <row r="679" spans="1:20" x14ac:dyDescent="0.25">
      <c r="A679" s="5">
        <v>43914</v>
      </c>
      <c r="B679">
        <v>0.37369999999999998</v>
      </c>
      <c r="C679">
        <v>0.39529999999999998</v>
      </c>
      <c r="D679">
        <v>0.3654</v>
      </c>
      <c r="E679">
        <v>0.38750000000000001</v>
      </c>
      <c r="F679">
        <v>8367645</v>
      </c>
      <c r="G679">
        <v>0</v>
      </c>
      <c r="L679" t="s">
        <v>8</v>
      </c>
      <c r="M679" t="s">
        <v>7</v>
      </c>
      <c r="N679" t="s">
        <v>8</v>
      </c>
      <c r="P679">
        <f t="shared" si="994"/>
        <v>0.47826086956521885</v>
      </c>
      <c r="Q679">
        <f t="shared" si="995"/>
        <v>4001917.1739130556</v>
      </c>
      <c r="R679">
        <f t="shared" si="996"/>
        <v>121848654.19989003</v>
      </c>
      <c r="S679">
        <f t="shared" si="997"/>
        <v>1218.4865419989003</v>
      </c>
      <c r="T679">
        <f t="shared" si="998"/>
        <v>1.2184865419989004</v>
      </c>
    </row>
    <row r="680" spans="1:20" x14ac:dyDescent="0.25">
      <c r="A680" s="5">
        <v>43913</v>
      </c>
      <c r="B680">
        <v>0.34489999999999998</v>
      </c>
      <c r="C680">
        <v>0.38040000000000002</v>
      </c>
      <c r="D680">
        <v>0.33850000000000002</v>
      </c>
      <c r="E680">
        <v>0.37330000000000002</v>
      </c>
      <c r="F680">
        <v>7858594.8899999997</v>
      </c>
      <c r="G680">
        <v>0</v>
      </c>
      <c r="L680" t="s">
        <v>8</v>
      </c>
      <c r="M680" t="s">
        <v>7</v>
      </c>
      <c r="N680" t="s">
        <v>8</v>
      </c>
      <c r="P680">
        <f t="shared" si="994"/>
        <v>0.6610978520286398</v>
      </c>
      <c r="Q680">
        <f t="shared" si="995"/>
        <v>5195300.2017422449</v>
      </c>
      <c r="R680">
        <f t="shared" si="996"/>
        <v>117846737.02597697</v>
      </c>
      <c r="S680">
        <f t="shared" si="997"/>
        <v>1178.4673702597697</v>
      </c>
      <c r="T680">
        <f t="shared" si="998"/>
        <v>1.1784673702597697</v>
      </c>
    </row>
    <row r="681" spans="1:20" x14ac:dyDescent="0.25">
      <c r="A681" s="5">
        <v>43912</v>
      </c>
      <c r="B681">
        <v>0.3735</v>
      </c>
      <c r="C681">
        <v>0.4</v>
      </c>
      <c r="D681">
        <v>0.3427</v>
      </c>
      <c r="E681">
        <v>0.34539999999999998</v>
      </c>
      <c r="F681">
        <v>8342732.9299999997</v>
      </c>
      <c r="G681">
        <v>0</v>
      </c>
      <c r="L681" t="s">
        <v>7</v>
      </c>
      <c r="M681" t="s">
        <v>7</v>
      </c>
      <c r="N681" t="s">
        <v>8</v>
      </c>
      <c r="P681">
        <f t="shared" si="994"/>
        <v>-0.9057591623036656</v>
      </c>
      <c r="Q681">
        <f t="shared" si="995"/>
        <v>-7556506.7900000056</v>
      </c>
      <c r="R681">
        <f t="shared" si="996"/>
        <v>112651436.82423472</v>
      </c>
      <c r="S681">
        <f t="shared" si="997"/>
        <v>1126.5143682423472</v>
      </c>
      <c r="T681">
        <f t="shared" si="998"/>
        <v>1.1265143682423473</v>
      </c>
    </row>
    <row r="682" spans="1:20" x14ac:dyDescent="0.25">
      <c r="A682" s="5">
        <v>43911</v>
      </c>
      <c r="B682">
        <v>0.37880000000000003</v>
      </c>
      <c r="C682">
        <v>0.38779999999999998</v>
      </c>
      <c r="D682">
        <v>0.35139999999999999</v>
      </c>
      <c r="E682">
        <v>0.3735</v>
      </c>
      <c r="F682">
        <v>9550407.8499999996</v>
      </c>
      <c r="G682">
        <v>0</v>
      </c>
      <c r="L682" t="s">
        <v>7</v>
      </c>
      <c r="M682" t="s">
        <v>7</v>
      </c>
      <c r="N682" t="s">
        <v>8</v>
      </c>
      <c r="P682">
        <f t="shared" si="994"/>
        <v>0.21428571428571516</v>
      </c>
      <c r="Q682">
        <f t="shared" si="995"/>
        <v>2046515.9678571511</v>
      </c>
      <c r="R682">
        <f t="shared" si="996"/>
        <v>120207943.61423473</v>
      </c>
      <c r="S682">
        <f t="shared" si="997"/>
        <v>1202.0794361423473</v>
      </c>
      <c r="T682">
        <f t="shared" si="998"/>
        <v>1.2020794361423472</v>
      </c>
    </row>
    <row r="683" spans="1:20" x14ac:dyDescent="0.25">
      <c r="A683" s="5">
        <v>43910</v>
      </c>
      <c r="B683">
        <v>0.378</v>
      </c>
      <c r="C683">
        <v>0.42780000000000001</v>
      </c>
      <c r="D683">
        <v>0.3417</v>
      </c>
      <c r="E683">
        <v>0.37880000000000003</v>
      </c>
      <c r="F683">
        <v>15483935.939999999</v>
      </c>
      <c r="G683">
        <v>0</v>
      </c>
      <c r="L683" t="s">
        <v>8</v>
      </c>
      <c r="M683" t="s">
        <v>8</v>
      </c>
      <c r="N683" t="s">
        <v>8</v>
      </c>
      <c r="P683">
        <f t="shared" si="994"/>
        <v>-0.13821138211382072</v>
      </c>
      <c r="Q683">
        <f t="shared" si="995"/>
        <v>-2140056.1868292619</v>
      </c>
      <c r="R683">
        <f t="shared" si="996"/>
        <v>118161427.64637758</v>
      </c>
      <c r="S683">
        <f t="shared" si="997"/>
        <v>1181.6142764637757</v>
      </c>
      <c r="T683">
        <f t="shared" si="998"/>
        <v>1.1816142764637756</v>
      </c>
    </row>
    <row r="684" spans="1:20" x14ac:dyDescent="0.25">
      <c r="A684" s="5">
        <v>43909</v>
      </c>
      <c r="B684">
        <v>0.3332</v>
      </c>
      <c r="C684">
        <v>0.39700000000000002</v>
      </c>
      <c r="D684">
        <v>0.33040000000000003</v>
      </c>
      <c r="E684">
        <v>0.378</v>
      </c>
      <c r="F684">
        <v>12501710.74</v>
      </c>
      <c r="G684">
        <v>0</v>
      </c>
      <c r="L684" t="s">
        <v>8</v>
      </c>
      <c r="M684" t="s">
        <v>8</v>
      </c>
      <c r="N684" t="s">
        <v>8</v>
      </c>
      <c r="P684">
        <f t="shared" si="994"/>
        <v>0.42942942942942885</v>
      </c>
      <c r="Q684">
        <f t="shared" si="995"/>
        <v>5368602.5099699628</v>
      </c>
      <c r="R684">
        <f t="shared" si="996"/>
        <v>120301483.83320685</v>
      </c>
      <c r="S684">
        <f t="shared" si="997"/>
        <v>1203.0148383320684</v>
      </c>
      <c r="T684">
        <f t="shared" si="998"/>
        <v>1.2030148383320685</v>
      </c>
    </row>
    <row r="685" spans="1:20" x14ac:dyDescent="0.25">
      <c r="A685" s="5">
        <v>43908</v>
      </c>
      <c r="B685">
        <v>0.32700000000000001</v>
      </c>
      <c r="C685">
        <v>0.33410000000000001</v>
      </c>
      <c r="D685">
        <v>0.30990000000000001</v>
      </c>
      <c r="E685">
        <v>0.33260000000000001</v>
      </c>
      <c r="F685">
        <v>7922542.75</v>
      </c>
      <c r="G685">
        <v>0</v>
      </c>
      <c r="L685" t="s">
        <v>7</v>
      </c>
      <c r="M685" t="s">
        <v>8</v>
      </c>
      <c r="N685" t="s">
        <v>8</v>
      </c>
      <c r="P685">
        <f t="shared" si="994"/>
        <v>0.87603305785123953</v>
      </c>
      <c r="Q685">
        <f t="shared" si="995"/>
        <v>6940409.3512396682</v>
      </c>
      <c r="R685">
        <f t="shared" si="996"/>
        <v>114932881.32323688</v>
      </c>
      <c r="S685">
        <f t="shared" si="997"/>
        <v>1149.3288132323689</v>
      </c>
      <c r="T685">
        <f t="shared" si="998"/>
        <v>1.1493288132323689</v>
      </c>
    </row>
    <row r="686" spans="1:20" x14ac:dyDescent="0.25">
      <c r="A686" s="5">
        <v>43907</v>
      </c>
      <c r="B686">
        <v>0.30890000000000001</v>
      </c>
      <c r="C686">
        <v>0.33779999999999999</v>
      </c>
      <c r="D686">
        <v>0.30530000000000002</v>
      </c>
      <c r="E686">
        <v>0.32669999999999999</v>
      </c>
      <c r="F686">
        <v>10184730.77</v>
      </c>
      <c r="G686">
        <v>0</v>
      </c>
      <c r="L686" t="s">
        <v>8</v>
      </c>
      <c r="M686" t="s">
        <v>8</v>
      </c>
      <c r="N686" t="s">
        <v>8</v>
      </c>
      <c r="P686">
        <f t="shared" si="994"/>
        <v>0.31692307692307642</v>
      </c>
      <c r="Q686">
        <f t="shared" si="995"/>
        <v>3227776.2132615331</v>
      </c>
      <c r="R686">
        <f t="shared" si="996"/>
        <v>107992471.97199722</v>
      </c>
      <c r="S686">
        <f t="shared" si="997"/>
        <v>1079.9247197199722</v>
      </c>
      <c r="T686">
        <f t="shared" si="998"/>
        <v>1.0799247197199722</v>
      </c>
    </row>
    <row r="687" spans="1:20" x14ac:dyDescent="0.25">
      <c r="A687" s="5">
        <v>43906</v>
      </c>
      <c r="B687">
        <v>0.34699999999999998</v>
      </c>
      <c r="C687">
        <v>0.35189999999999999</v>
      </c>
      <c r="D687">
        <v>0.2767</v>
      </c>
      <c r="E687">
        <v>0.3085</v>
      </c>
      <c r="F687">
        <v>20934867.079999998</v>
      </c>
      <c r="G687">
        <v>0</v>
      </c>
      <c r="L687" t="s">
        <v>7</v>
      </c>
      <c r="M687" t="s">
        <v>7</v>
      </c>
      <c r="N687" t="s">
        <v>8</v>
      </c>
      <c r="P687">
        <f t="shared" si="994"/>
        <v>-0.15425531914893617</v>
      </c>
      <c r="Q687">
        <f t="shared" si="995"/>
        <v>-3229314.6027659574</v>
      </c>
      <c r="R687">
        <f t="shared" si="996"/>
        <v>104764695.75873569</v>
      </c>
      <c r="S687">
        <f t="shared" si="997"/>
        <v>1047.6469575873568</v>
      </c>
      <c r="T687">
        <f t="shared" si="998"/>
        <v>1.0476469575873568</v>
      </c>
    </row>
    <row r="688" spans="1:20" x14ac:dyDescent="0.25">
      <c r="A688" s="5">
        <v>43905</v>
      </c>
      <c r="B688">
        <v>0.33</v>
      </c>
      <c r="C688">
        <v>0.37280000000000002</v>
      </c>
      <c r="D688">
        <v>0.3251</v>
      </c>
      <c r="E688">
        <v>0.34710000000000002</v>
      </c>
      <c r="F688">
        <v>13540278.73</v>
      </c>
      <c r="G688">
        <v>0</v>
      </c>
      <c r="L688" t="s">
        <v>8</v>
      </c>
      <c r="M688" t="s">
        <v>8</v>
      </c>
      <c r="N688" t="s">
        <v>8</v>
      </c>
      <c r="P688">
        <f t="shared" si="994"/>
        <v>-7.7568134171907333E-2</v>
      </c>
      <c r="Q688">
        <f t="shared" si="995"/>
        <v>-1050294.1572536631</v>
      </c>
      <c r="R688">
        <f t="shared" si="996"/>
        <v>107994010.36150165</v>
      </c>
      <c r="S688">
        <f t="shared" si="997"/>
        <v>1079.9401036150166</v>
      </c>
      <c r="T688">
        <f t="shared" si="998"/>
        <v>1.0799401036150167</v>
      </c>
    </row>
    <row r="689" spans="1:20" x14ac:dyDescent="0.25">
      <c r="A689" s="5">
        <v>43904</v>
      </c>
      <c r="B689">
        <v>0.34489999999999998</v>
      </c>
      <c r="C689">
        <v>0.35410000000000003</v>
      </c>
      <c r="D689">
        <v>0.31969999999999998</v>
      </c>
      <c r="E689">
        <v>0.32979999999999998</v>
      </c>
      <c r="F689">
        <v>13327776.220000001</v>
      </c>
      <c r="G689">
        <v>0</v>
      </c>
      <c r="L689" t="s">
        <v>8</v>
      </c>
      <c r="M689" t="s">
        <v>8</v>
      </c>
      <c r="N689" t="s">
        <v>8</v>
      </c>
      <c r="P689">
        <f t="shared" si="994"/>
        <v>-0.41279069767441945</v>
      </c>
      <c r="Q689">
        <f t="shared" si="995"/>
        <v>-5501582.0443023369</v>
      </c>
      <c r="R689">
        <f t="shared" si="996"/>
        <v>109044304.51875532</v>
      </c>
      <c r="S689">
        <f t="shared" si="997"/>
        <v>1090.4430451875533</v>
      </c>
      <c r="T689">
        <f t="shared" si="998"/>
        <v>1.0904430451875533</v>
      </c>
    </row>
    <row r="690" spans="1:20" x14ac:dyDescent="0.25">
      <c r="A690" s="5">
        <v>43903</v>
      </c>
      <c r="B690">
        <v>0.30409999999999998</v>
      </c>
      <c r="C690">
        <v>0.37680000000000002</v>
      </c>
      <c r="D690">
        <v>0.2107</v>
      </c>
      <c r="E690">
        <v>0.34429999999999999</v>
      </c>
      <c r="F690">
        <v>30337554.850000001</v>
      </c>
      <c r="G690">
        <v>0</v>
      </c>
      <c r="L690" t="s">
        <v>7</v>
      </c>
      <c r="M690" t="s">
        <v>7</v>
      </c>
      <c r="N690" t="s">
        <v>7</v>
      </c>
      <c r="P690">
        <f t="shared" si="994"/>
        <v>0.6086694762191448</v>
      </c>
      <c r="Q690">
        <f t="shared" si="995"/>
        <v>18465543.620319076</v>
      </c>
      <c r="R690">
        <f t="shared" si="996"/>
        <v>114545886.56305766</v>
      </c>
      <c r="S690">
        <f t="shared" si="997"/>
        <v>1145.4588656305766</v>
      </c>
      <c r="T690">
        <f t="shared" si="998"/>
        <v>1.1454588656305766</v>
      </c>
    </row>
    <row r="691" spans="1:20" x14ac:dyDescent="0.25">
      <c r="A691" s="5">
        <v>43902</v>
      </c>
      <c r="B691">
        <v>0.5786</v>
      </c>
      <c r="C691">
        <v>0.58040000000000003</v>
      </c>
      <c r="D691">
        <v>0.28960000000000002</v>
      </c>
      <c r="E691">
        <v>0.30620000000000003</v>
      </c>
      <c r="F691">
        <v>28998868.813999999</v>
      </c>
      <c r="G691">
        <v>0</v>
      </c>
      <c r="L691" t="s">
        <v>7</v>
      </c>
      <c r="M691" t="s">
        <v>7</v>
      </c>
      <c r="N691" t="s">
        <v>7</v>
      </c>
      <c r="P691">
        <f t="shared" si="994"/>
        <v>-0.88583218707015132</v>
      </c>
      <c r="Q691">
        <f t="shared" si="995"/>
        <v>-25688131.384066023</v>
      </c>
      <c r="R691">
        <f t="shared" si="996"/>
        <v>96080342.942738593</v>
      </c>
      <c r="S691">
        <f t="shared" si="997"/>
        <v>960.80342942738594</v>
      </c>
      <c r="T691">
        <f t="shared" si="998"/>
        <v>0.96080342942738595</v>
      </c>
    </row>
    <row r="692" spans="1:20" x14ac:dyDescent="0.25">
      <c r="A692" s="5">
        <v>43901</v>
      </c>
      <c r="B692">
        <v>0.59150000000000003</v>
      </c>
      <c r="C692">
        <v>0.59630000000000005</v>
      </c>
      <c r="D692">
        <v>0.53769999999999996</v>
      </c>
      <c r="E692">
        <v>0.5776</v>
      </c>
      <c r="F692">
        <v>10062807.9</v>
      </c>
      <c r="G692">
        <v>0</v>
      </c>
      <c r="L692" t="s">
        <v>7</v>
      </c>
      <c r="M692" t="s">
        <v>7</v>
      </c>
      <c r="N692" t="s">
        <v>7</v>
      </c>
      <c r="P692">
        <f t="shared" si="994"/>
        <v>0.36177474402730309</v>
      </c>
      <c r="Q692">
        <f t="shared" si="995"/>
        <v>3640469.7522184234</v>
      </c>
      <c r="R692">
        <f t="shared" si="996"/>
        <v>121768474.32680461</v>
      </c>
      <c r="S692">
        <f t="shared" si="997"/>
        <v>1217.6847432680461</v>
      </c>
      <c r="T692">
        <f t="shared" si="998"/>
        <v>1.217684743268046</v>
      </c>
    </row>
    <row r="693" spans="1:20" x14ac:dyDescent="0.25">
      <c r="A693" s="5">
        <v>43900</v>
      </c>
      <c r="B693">
        <v>0.58730000000000004</v>
      </c>
      <c r="C693">
        <v>0.60550000000000004</v>
      </c>
      <c r="D693">
        <v>0.57110000000000005</v>
      </c>
      <c r="E693">
        <v>0.59040000000000004</v>
      </c>
      <c r="F693">
        <v>8211154.3899999997</v>
      </c>
      <c r="G693">
        <v>0</v>
      </c>
      <c r="L693" t="s">
        <v>8</v>
      </c>
      <c r="M693" t="s">
        <v>7</v>
      </c>
      <c r="N693" t="s">
        <v>7</v>
      </c>
      <c r="P693">
        <f t="shared" si="994"/>
        <v>0.12209302325581346</v>
      </c>
      <c r="Q693">
        <f t="shared" si="995"/>
        <v>1002524.6638953447</v>
      </c>
      <c r="R693">
        <f t="shared" si="996"/>
        <v>118128004.57458618</v>
      </c>
      <c r="S693">
        <f t="shared" si="997"/>
        <v>1181.2800457458618</v>
      </c>
      <c r="T693">
        <f t="shared" si="998"/>
        <v>1.1812800457458619</v>
      </c>
    </row>
    <row r="694" spans="1:20" x14ac:dyDescent="0.25">
      <c r="A694" s="5">
        <v>43899</v>
      </c>
      <c r="B694">
        <v>0.60609999999999997</v>
      </c>
      <c r="C694">
        <v>0.62119999999999997</v>
      </c>
      <c r="D694">
        <v>0.54079999999999995</v>
      </c>
      <c r="E694">
        <v>0.58809999999999996</v>
      </c>
      <c r="F694">
        <v>14048175.24</v>
      </c>
      <c r="G694">
        <v>0</v>
      </c>
      <c r="L694" t="s">
        <v>7</v>
      </c>
      <c r="M694" t="s">
        <v>7</v>
      </c>
      <c r="N694" t="s">
        <v>7</v>
      </c>
      <c r="P694">
        <f t="shared" si="994"/>
        <v>0.17661691542288541</v>
      </c>
      <c r="Q694">
        <f t="shared" si="995"/>
        <v>2481145.378208953</v>
      </c>
      <c r="R694">
        <f t="shared" si="996"/>
        <v>117125479.91069084</v>
      </c>
      <c r="S694">
        <f t="shared" si="997"/>
        <v>1171.2547991069084</v>
      </c>
      <c r="T694">
        <f t="shared" si="998"/>
        <v>1.1712547991069084</v>
      </c>
    </row>
    <row r="695" spans="1:20" x14ac:dyDescent="0.25">
      <c r="A695" s="5">
        <v>43898</v>
      </c>
      <c r="B695">
        <v>0.71830000000000005</v>
      </c>
      <c r="C695">
        <v>0.71830000000000005</v>
      </c>
      <c r="D695">
        <v>0.60099999999999998</v>
      </c>
      <c r="E695">
        <v>0.60560000000000003</v>
      </c>
      <c r="F695">
        <v>9245651.3000000007</v>
      </c>
      <c r="G695">
        <v>0</v>
      </c>
      <c r="L695" t="s">
        <v>7</v>
      </c>
      <c r="M695" t="s">
        <v>7</v>
      </c>
      <c r="N695" t="s">
        <v>7</v>
      </c>
      <c r="P695">
        <f t="shared" si="994"/>
        <v>-0.92156862745097956</v>
      </c>
      <c r="Q695">
        <f t="shared" si="995"/>
        <v>-8520502.1784313656</v>
      </c>
      <c r="R695">
        <f t="shared" si="996"/>
        <v>114644334.53248189</v>
      </c>
      <c r="S695">
        <f t="shared" si="997"/>
        <v>1146.4433453248189</v>
      </c>
      <c r="T695">
        <f t="shared" si="998"/>
        <v>1.1464433453248188</v>
      </c>
    </row>
    <row r="696" spans="1:20" x14ac:dyDescent="0.25">
      <c r="A696" s="5">
        <v>43897</v>
      </c>
      <c r="B696">
        <v>0.74239999999999995</v>
      </c>
      <c r="C696">
        <v>0.76600000000000001</v>
      </c>
      <c r="D696">
        <v>0.71489999999999998</v>
      </c>
      <c r="E696">
        <v>0.71860000000000002</v>
      </c>
      <c r="F696">
        <v>6619950.1600000001</v>
      </c>
      <c r="G696">
        <v>0</v>
      </c>
      <c r="L696" t="s">
        <v>8</v>
      </c>
      <c r="M696" t="s">
        <v>7</v>
      </c>
      <c r="N696" t="s">
        <v>7</v>
      </c>
      <c r="P696">
        <f t="shared" si="994"/>
        <v>-0.8551859099804292</v>
      </c>
      <c r="Q696">
        <f t="shared" si="995"/>
        <v>-5661288.101604688</v>
      </c>
      <c r="R696">
        <f t="shared" si="996"/>
        <v>123164836.71091326</v>
      </c>
      <c r="S696">
        <f t="shared" si="997"/>
        <v>1231.6483671091326</v>
      </c>
      <c r="T696">
        <f t="shared" si="998"/>
        <v>1.2316483671091325</v>
      </c>
    </row>
    <row r="697" spans="1:20" x14ac:dyDescent="0.25">
      <c r="A697" s="5">
        <v>43896</v>
      </c>
      <c r="B697">
        <v>0.73040000000000005</v>
      </c>
      <c r="C697">
        <v>0.74329999999999996</v>
      </c>
      <c r="D697">
        <v>0.7198</v>
      </c>
      <c r="E697">
        <v>0.74199999999999999</v>
      </c>
      <c r="F697">
        <v>4237572.9400000004</v>
      </c>
      <c r="G697">
        <v>0</v>
      </c>
      <c r="L697" t="s">
        <v>8</v>
      </c>
      <c r="M697" t="s">
        <v>7</v>
      </c>
      <c r="N697" t="s">
        <v>7</v>
      </c>
      <c r="P697">
        <f t="shared" si="994"/>
        <v>0.88936170212766219</v>
      </c>
      <c r="Q697">
        <f t="shared" si="995"/>
        <v>3768735.082808522</v>
      </c>
      <c r="R697">
        <f t="shared" si="996"/>
        <v>128826124.81251794</v>
      </c>
      <c r="S697">
        <f t="shared" si="997"/>
        <v>1288.2612481251795</v>
      </c>
      <c r="T697">
        <f t="shared" si="998"/>
        <v>1.2882612481251794</v>
      </c>
    </row>
    <row r="698" spans="1:20" x14ac:dyDescent="0.25">
      <c r="A698" s="5">
        <v>43895</v>
      </c>
      <c r="B698">
        <v>0.71709999999999996</v>
      </c>
      <c r="C698">
        <v>0.74570000000000003</v>
      </c>
      <c r="D698">
        <v>0.71699999999999997</v>
      </c>
      <c r="E698">
        <v>0.73099999999999998</v>
      </c>
      <c r="F698">
        <v>6624996.3099999996</v>
      </c>
      <c r="G698">
        <v>0</v>
      </c>
      <c r="L698" t="s">
        <v>8</v>
      </c>
      <c r="M698" t="s">
        <v>7</v>
      </c>
      <c r="N698" t="s">
        <v>7</v>
      </c>
      <c r="P698">
        <f t="shared" si="994"/>
        <v>-2.4390243902440156E-2</v>
      </c>
      <c r="Q698">
        <f t="shared" si="995"/>
        <v>-161585.27585366601</v>
      </c>
      <c r="R698">
        <f t="shared" si="996"/>
        <v>125057389.72970942</v>
      </c>
      <c r="S698">
        <f t="shared" si="997"/>
        <v>1250.5738972970942</v>
      </c>
      <c r="T698">
        <f t="shared" si="998"/>
        <v>1.2505738972970941</v>
      </c>
    </row>
    <row r="699" spans="1:20" x14ac:dyDescent="0.25">
      <c r="A699" s="5">
        <v>43894</v>
      </c>
      <c r="B699">
        <v>0.70369999999999999</v>
      </c>
      <c r="C699">
        <v>0.72160000000000002</v>
      </c>
      <c r="D699">
        <v>0.69940000000000002</v>
      </c>
      <c r="E699">
        <v>0.71660000000000001</v>
      </c>
      <c r="F699">
        <v>4296559.17</v>
      </c>
      <c r="G699">
        <v>0</v>
      </c>
      <c r="L699" t="s">
        <v>8</v>
      </c>
      <c r="M699" t="s">
        <v>7</v>
      </c>
      <c r="N699" t="s">
        <v>7</v>
      </c>
      <c r="P699">
        <f t="shared" si="994"/>
        <v>0.54954954954954915</v>
      </c>
      <c r="Q699">
        <f t="shared" si="995"/>
        <v>2361172.1564864847</v>
      </c>
      <c r="R699">
        <f t="shared" si="996"/>
        <v>125218975.00556308</v>
      </c>
      <c r="S699">
        <f t="shared" si="997"/>
        <v>1252.1897500556308</v>
      </c>
      <c r="T699">
        <f t="shared" si="998"/>
        <v>1.2521897500556309</v>
      </c>
    </row>
    <row r="700" spans="1:20" x14ac:dyDescent="0.25">
      <c r="A700" s="5">
        <v>43893</v>
      </c>
      <c r="B700">
        <v>0.72440000000000004</v>
      </c>
      <c r="C700">
        <v>0.72529999999999994</v>
      </c>
      <c r="D700">
        <v>0.69330000000000003</v>
      </c>
      <c r="E700">
        <v>0.70330000000000004</v>
      </c>
      <c r="F700">
        <v>6444969.96</v>
      </c>
      <c r="G700">
        <v>0</v>
      </c>
      <c r="L700" t="s">
        <v>8</v>
      </c>
      <c r="M700" t="s">
        <v>7</v>
      </c>
      <c r="N700" t="s">
        <v>7</v>
      </c>
      <c r="P700">
        <f t="shared" si="994"/>
        <v>-0.37499999999999784</v>
      </c>
      <c r="Q700">
        <f t="shared" si="995"/>
        <v>-2416863.7349999859</v>
      </c>
      <c r="R700">
        <f t="shared" si="996"/>
        <v>122857802.8490766</v>
      </c>
      <c r="S700">
        <f t="shared" si="997"/>
        <v>1228.578028490766</v>
      </c>
      <c r="T700">
        <f t="shared" si="998"/>
        <v>1.2285780284907659</v>
      </c>
    </row>
    <row r="701" spans="1:20" x14ac:dyDescent="0.25">
      <c r="A701" s="5">
        <v>43892</v>
      </c>
      <c r="B701">
        <v>0.68230000000000002</v>
      </c>
      <c r="C701">
        <v>0.73680000000000001</v>
      </c>
      <c r="D701">
        <v>0.67910000000000004</v>
      </c>
      <c r="E701">
        <v>0.72399999999999998</v>
      </c>
      <c r="F701">
        <v>6903500.3499999996</v>
      </c>
      <c r="G701">
        <v>0</v>
      </c>
      <c r="L701" t="s">
        <v>8</v>
      </c>
      <c r="M701" t="s">
        <v>7</v>
      </c>
      <c r="N701" t="s">
        <v>7</v>
      </c>
      <c r="P701">
        <f t="shared" si="994"/>
        <v>0.55632582322356883</v>
      </c>
      <c r="Q701">
        <f t="shared" si="995"/>
        <v>3840595.5153379454</v>
      </c>
      <c r="R701">
        <f t="shared" si="996"/>
        <v>125274666.58407658</v>
      </c>
      <c r="S701">
        <f t="shared" si="997"/>
        <v>1252.7466658407659</v>
      </c>
      <c r="T701">
        <f t="shared" si="998"/>
        <v>1.252746665840766</v>
      </c>
    </row>
    <row r="702" spans="1:20" x14ac:dyDescent="0.25">
      <c r="A702" s="5">
        <v>43891</v>
      </c>
      <c r="B702">
        <v>0.66639999999999999</v>
      </c>
      <c r="C702">
        <v>0.70930000000000004</v>
      </c>
      <c r="D702">
        <v>0.6653</v>
      </c>
      <c r="E702">
        <v>0.68230000000000002</v>
      </c>
      <c r="F702">
        <v>6851293.9400000004</v>
      </c>
      <c r="G702">
        <v>0</v>
      </c>
      <c r="L702" t="s">
        <v>8</v>
      </c>
      <c r="M702" t="s">
        <v>7</v>
      </c>
      <c r="N702" t="s">
        <v>7</v>
      </c>
      <c r="P702">
        <f t="shared" si="994"/>
        <v>-0.22727272727272727</v>
      </c>
      <c r="Q702">
        <f t="shared" si="995"/>
        <v>-1557112.259090909</v>
      </c>
      <c r="R702">
        <f t="shared" si="996"/>
        <v>121434071.06873864</v>
      </c>
      <c r="S702">
        <f t="shared" si="997"/>
        <v>1214.3407106873865</v>
      </c>
      <c r="T702">
        <f t="shared" si="998"/>
        <v>1.2143407106873865</v>
      </c>
    </row>
    <row r="703" spans="1:20" x14ac:dyDescent="0.25">
      <c r="A703" s="5">
        <v>43890</v>
      </c>
      <c r="B703">
        <v>0.69179999999999997</v>
      </c>
      <c r="C703">
        <v>0.70960000000000001</v>
      </c>
      <c r="D703">
        <v>0.66579999999999995</v>
      </c>
      <c r="E703">
        <v>0.66610000000000003</v>
      </c>
      <c r="F703">
        <v>5437248.0700000003</v>
      </c>
      <c r="G703">
        <v>0</v>
      </c>
      <c r="L703" t="s">
        <v>8</v>
      </c>
      <c r="M703" t="s">
        <v>7</v>
      </c>
      <c r="N703" t="s">
        <v>7</v>
      </c>
      <c r="P703">
        <f t="shared" si="994"/>
        <v>-0.9863013698630102</v>
      </c>
      <c r="Q703">
        <f t="shared" si="995"/>
        <v>-5362765.2197260084</v>
      </c>
      <c r="R703">
        <f t="shared" si="996"/>
        <v>122991183.32782955</v>
      </c>
      <c r="S703">
        <f t="shared" si="997"/>
        <v>1229.9118332782955</v>
      </c>
      <c r="T703">
        <f t="shared" si="998"/>
        <v>1.2299118332782955</v>
      </c>
    </row>
    <row r="704" spans="1:20" x14ac:dyDescent="0.25">
      <c r="A704" s="5">
        <v>43889</v>
      </c>
      <c r="B704">
        <v>0.70420000000000005</v>
      </c>
      <c r="C704">
        <v>0.72209999999999996</v>
      </c>
      <c r="D704">
        <v>0.65410000000000001</v>
      </c>
      <c r="E704">
        <v>0.6915</v>
      </c>
      <c r="F704">
        <v>10351304.15</v>
      </c>
      <c r="G704">
        <v>0</v>
      </c>
      <c r="L704" t="s">
        <v>7</v>
      </c>
      <c r="M704" t="s">
        <v>7</v>
      </c>
      <c r="N704" t="s">
        <v>7</v>
      </c>
      <c r="P704">
        <f t="shared" si="994"/>
        <v>0.10000000000000049</v>
      </c>
      <c r="Q704">
        <f t="shared" si="995"/>
        <v>1035130.4150000052</v>
      </c>
      <c r="R704">
        <f t="shared" si="996"/>
        <v>128353948.54755557</v>
      </c>
      <c r="S704">
        <f t="shared" si="997"/>
        <v>1283.5394854755557</v>
      </c>
      <c r="T704">
        <f t="shared" si="998"/>
        <v>1.2835394854755557</v>
      </c>
    </row>
    <row r="705" spans="1:20" x14ac:dyDescent="0.25">
      <c r="A705" s="5">
        <v>43888</v>
      </c>
      <c r="B705">
        <v>0.68479999999999996</v>
      </c>
      <c r="C705">
        <v>0.72689999999999999</v>
      </c>
      <c r="D705">
        <v>0.6472</v>
      </c>
      <c r="E705">
        <v>0.70330000000000004</v>
      </c>
      <c r="F705">
        <v>11476971.99</v>
      </c>
      <c r="G705">
        <v>0</v>
      </c>
      <c r="L705" t="s">
        <v>8</v>
      </c>
      <c r="M705" t="s">
        <v>7</v>
      </c>
      <c r="N705" t="s">
        <v>7</v>
      </c>
      <c r="P705">
        <f t="shared" si="994"/>
        <v>0.40777917189460589</v>
      </c>
      <c r="Q705">
        <f t="shared" si="995"/>
        <v>4680070.1339397868</v>
      </c>
      <c r="R705">
        <f t="shared" si="996"/>
        <v>127318818.13255556</v>
      </c>
      <c r="S705">
        <f t="shared" si="997"/>
        <v>1273.1881813255557</v>
      </c>
      <c r="T705">
        <f t="shared" si="998"/>
        <v>1.2731881813255557</v>
      </c>
    </row>
    <row r="706" spans="1:20" x14ac:dyDescent="0.25">
      <c r="A706" s="5">
        <v>43887</v>
      </c>
      <c r="B706">
        <v>0.77810000000000001</v>
      </c>
      <c r="C706">
        <v>0.78600000000000003</v>
      </c>
      <c r="D706">
        <v>0.6583</v>
      </c>
      <c r="E706">
        <v>0.68520000000000003</v>
      </c>
      <c r="F706">
        <v>11770056.470000001</v>
      </c>
      <c r="G706">
        <v>0</v>
      </c>
      <c r="L706" t="s">
        <v>7</v>
      </c>
      <c r="M706" t="s">
        <v>7</v>
      </c>
      <c r="N706" t="s">
        <v>7</v>
      </c>
      <c r="P706">
        <f t="shared" si="994"/>
        <v>-0.5787000783085352</v>
      </c>
      <c r="Q706">
        <f t="shared" si="995"/>
        <v>-6811332.6008848818</v>
      </c>
      <c r="R706">
        <f t="shared" si="996"/>
        <v>122638747.99861577</v>
      </c>
      <c r="S706">
        <f t="shared" si="997"/>
        <v>1226.3874799861578</v>
      </c>
      <c r="T706">
        <f t="shared" si="998"/>
        <v>1.2263874799861578</v>
      </c>
    </row>
    <row r="707" spans="1:20" x14ac:dyDescent="0.25">
      <c r="A707" s="5">
        <v>43886</v>
      </c>
      <c r="B707">
        <v>0.85950000000000004</v>
      </c>
      <c r="C707">
        <v>0.86199999999999999</v>
      </c>
      <c r="D707">
        <v>0.76580000000000004</v>
      </c>
      <c r="E707">
        <v>0.77690000000000003</v>
      </c>
      <c r="F707">
        <v>5478588.5</v>
      </c>
      <c r="G707">
        <v>0</v>
      </c>
      <c r="L707" t="s">
        <v>7</v>
      </c>
      <c r="M707" t="s">
        <v>7</v>
      </c>
      <c r="N707" t="s">
        <v>8</v>
      </c>
      <c r="P707">
        <f t="shared" si="994"/>
        <v>-0.76923076923076916</v>
      </c>
      <c r="Q707">
        <f t="shared" si="995"/>
        <v>-4214298.846153846</v>
      </c>
      <c r="R707">
        <f t="shared" si="996"/>
        <v>129450080.59950066</v>
      </c>
      <c r="S707">
        <f t="shared" si="997"/>
        <v>1294.5008059950067</v>
      </c>
      <c r="T707">
        <f t="shared" si="998"/>
        <v>1.2945008059950067</v>
      </c>
    </row>
    <row r="708" spans="1:20" x14ac:dyDescent="0.25">
      <c r="A708" s="5">
        <v>43885</v>
      </c>
      <c r="B708">
        <v>0.89300000000000002</v>
      </c>
      <c r="C708">
        <v>0.89629999999999999</v>
      </c>
      <c r="D708">
        <v>0.82720000000000005</v>
      </c>
      <c r="E708">
        <v>0.8589</v>
      </c>
      <c r="F708">
        <v>6755345.2999999998</v>
      </c>
      <c r="G708">
        <v>0</v>
      </c>
      <c r="L708" t="s">
        <v>7</v>
      </c>
      <c r="M708" t="s">
        <v>7</v>
      </c>
      <c r="N708" t="s">
        <v>8</v>
      </c>
      <c r="P708">
        <f t="shared" si="994"/>
        <v>-8.2489146164978919E-2</v>
      </c>
      <c r="Q708">
        <f t="shared" si="995"/>
        <v>-557242.66584660334</v>
      </c>
      <c r="R708">
        <f t="shared" si="996"/>
        <v>133664379.4456545</v>
      </c>
      <c r="S708">
        <f t="shared" si="997"/>
        <v>1336.643794456545</v>
      </c>
      <c r="T708">
        <f t="shared" si="998"/>
        <v>1.336643794456545</v>
      </c>
    </row>
    <row r="709" spans="1:20" x14ac:dyDescent="0.25">
      <c r="A709" s="5">
        <v>43884</v>
      </c>
      <c r="B709">
        <v>0.84489999999999998</v>
      </c>
      <c r="C709">
        <v>0.8972</v>
      </c>
      <c r="D709">
        <v>0.84460000000000002</v>
      </c>
      <c r="E709">
        <v>0.89249999999999996</v>
      </c>
      <c r="F709">
        <v>4877936.8099999996</v>
      </c>
      <c r="G709">
        <v>0</v>
      </c>
      <c r="L709" t="s">
        <v>8</v>
      </c>
      <c r="M709" t="s">
        <v>7</v>
      </c>
      <c r="N709" t="s">
        <v>8</v>
      </c>
      <c r="P709">
        <f t="shared" si="994"/>
        <v>0.82129277566539771</v>
      </c>
      <c r="Q709">
        <f t="shared" si="995"/>
        <v>4006214.2622053153</v>
      </c>
      <c r="R709">
        <f t="shared" si="996"/>
        <v>134221622.1115011</v>
      </c>
      <c r="S709">
        <f t="shared" si="997"/>
        <v>1342.216221115011</v>
      </c>
      <c r="T709">
        <f t="shared" si="998"/>
        <v>1.342216221115011</v>
      </c>
    </row>
    <row r="710" spans="1:20" x14ac:dyDescent="0.25">
      <c r="A710" s="5">
        <v>43883</v>
      </c>
      <c r="B710">
        <v>0.85299999999999998</v>
      </c>
      <c r="C710">
        <v>0.86080000000000001</v>
      </c>
      <c r="D710">
        <v>0.82</v>
      </c>
      <c r="E710">
        <v>0.84640000000000004</v>
      </c>
      <c r="F710">
        <v>4286408.54</v>
      </c>
      <c r="G710">
        <v>0</v>
      </c>
      <c r="L710" t="s">
        <v>7</v>
      </c>
      <c r="M710" t="s">
        <v>7</v>
      </c>
      <c r="N710" t="s">
        <v>8</v>
      </c>
      <c r="P710">
        <f t="shared" ref="P710:P766" si="999">IF(C710=D710,0,((E710-D710)-(C710-E710))/(C710-D710))</f>
        <v>0.29411764705882609</v>
      </c>
      <c r="Q710">
        <f t="shared" ref="Q710:Q766" si="1000">F710*P710</f>
        <v>1260708.394117658</v>
      </c>
      <c r="R710">
        <f t="shared" ref="R710:R766" si="1001">R711+Q710</f>
        <v>130215407.84929579</v>
      </c>
      <c r="S710">
        <f t="shared" ref="S710:S766" si="1002">R710/100000</f>
        <v>1302.154078492958</v>
      </c>
      <c r="T710">
        <f t="shared" ref="T710:T766" si="1003">S710/1000</f>
        <v>1.3021540784929579</v>
      </c>
    </row>
    <row r="711" spans="1:20" x14ac:dyDescent="0.25">
      <c r="A711" s="5">
        <v>43882</v>
      </c>
      <c r="B711">
        <v>0.82979999999999998</v>
      </c>
      <c r="C711">
        <v>0.87439999999999996</v>
      </c>
      <c r="D711">
        <v>0.8206</v>
      </c>
      <c r="E711">
        <v>0.85250000000000004</v>
      </c>
      <c r="F711">
        <v>5523498.29</v>
      </c>
      <c r="G711">
        <v>0</v>
      </c>
      <c r="L711" t="s">
        <v>8</v>
      </c>
      <c r="M711" t="s">
        <v>7</v>
      </c>
      <c r="N711" t="s">
        <v>8</v>
      </c>
      <c r="P711">
        <f t="shared" si="999"/>
        <v>0.18587360594795777</v>
      </c>
      <c r="Q711">
        <f t="shared" si="1000"/>
        <v>1026672.5446096786</v>
      </c>
      <c r="R711">
        <f t="shared" si="1001"/>
        <v>128954699.45517814</v>
      </c>
      <c r="S711">
        <f t="shared" si="1002"/>
        <v>1289.5469945517814</v>
      </c>
      <c r="T711">
        <f t="shared" si="1003"/>
        <v>1.2895469945517815</v>
      </c>
    </row>
    <row r="712" spans="1:20" x14ac:dyDescent="0.25">
      <c r="A712" s="5">
        <v>43881</v>
      </c>
      <c r="B712">
        <v>0.84850000000000003</v>
      </c>
      <c r="C712">
        <v>0.86480000000000001</v>
      </c>
      <c r="D712">
        <v>0.79220000000000002</v>
      </c>
      <c r="E712">
        <v>0.82979999999999998</v>
      </c>
      <c r="F712">
        <v>10507050.199999999</v>
      </c>
      <c r="G712">
        <v>0</v>
      </c>
      <c r="L712" t="s">
        <v>7</v>
      </c>
      <c r="M712" t="s">
        <v>7</v>
      </c>
      <c r="N712" t="s">
        <v>8</v>
      </c>
      <c r="P712">
        <f t="shared" si="999"/>
        <v>3.5812672176307653E-2</v>
      </c>
      <c r="Q712">
        <f t="shared" si="1000"/>
        <v>376285.54435260774</v>
      </c>
      <c r="R712">
        <f t="shared" si="1001"/>
        <v>127928026.91056846</v>
      </c>
      <c r="S712">
        <f t="shared" si="1002"/>
        <v>1279.2802691056845</v>
      </c>
      <c r="T712">
        <f t="shared" si="1003"/>
        <v>1.2792802691056846</v>
      </c>
    </row>
    <row r="713" spans="1:20" x14ac:dyDescent="0.25">
      <c r="A713" s="5">
        <v>43880</v>
      </c>
      <c r="B713">
        <v>0.92400000000000004</v>
      </c>
      <c r="C713">
        <v>0.93500000000000005</v>
      </c>
      <c r="D713">
        <v>0.82640000000000002</v>
      </c>
      <c r="E713">
        <v>0.85</v>
      </c>
      <c r="F713">
        <v>7137715.1299999999</v>
      </c>
      <c r="G713">
        <v>0</v>
      </c>
      <c r="L713" t="s">
        <v>7</v>
      </c>
      <c r="M713" t="s">
        <v>7</v>
      </c>
      <c r="N713" t="s">
        <v>8</v>
      </c>
      <c r="P713">
        <f t="shared" si="999"/>
        <v>-0.56537753222836196</v>
      </c>
      <c r="Q713">
        <f t="shared" si="1000"/>
        <v>-4035503.7659484418</v>
      </c>
      <c r="R713">
        <f t="shared" si="1001"/>
        <v>127551741.36621585</v>
      </c>
      <c r="S713">
        <f t="shared" si="1002"/>
        <v>1275.5174136621586</v>
      </c>
      <c r="T713">
        <f t="shared" si="1003"/>
        <v>1.2755174136621585</v>
      </c>
    </row>
    <row r="714" spans="1:20" x14ac:dyDescent="0.25">
      <c r="A714" s="5">
        <v>43879</v>
      </c>
      <c r="B714">
        <v>0.88170000000000004</v>
      </c>
      <c r="C714">
        <v>0.94259999999999999</v>
      </c>
      <c r="D714">
        <v>0.83350000000000002</v>
      </c>
      <c r="E714">
        <v>0.92130000000000001</v>
      </c>
      <c r="F714">
        <v>9425083.0099999998</v>
      </c>
      <c r="G714">
        <v>0</v>
      </c>
      <c r="L714" t="s">
        <v>8</v>
      </c>
      <c r="M714" t="s">
        <v>7</v>
      </c>
      <c r="N714" t="s">
        <v>8</v>
      </c>
      <c r="P714">
        <f t="shared" si="999"/>
        <v>0.6095325389550873</v>
      </c>
      <c r="Q714">
        <f t="shared" si="1000"/>
        <v>5744894.7769477563</v>
      </c>
      <c r="R714">
        <f t="shared" si="1001"/>
        <v>131587245.1321643</v>
      </c>
      <c r="S714">
        <f t="shared" si="1002"/>
        <v>1315.872451321643</v>
      </c>
      <c r="T714">
        <f t="shared" si="1003"/>
        <v>1.3158724513216429</v>
      </c>
    </row>
    <row r="715" spans="1:20" x14ac:dyDescent="0.25">
      <c r="A715" s="5">
        <v>43878</v>
      </c>
      <c r="B715">
        <v>0.90049999999999997</v>
      </c>
      <c r="C715">
        <v>0.91149999999999998</v>
      </c>
      <c r="D715">
        <v>0.80500000000000005</v>
      </c>
      <c r="E715">
        <v>0.88170000000000004</v>
      </c>
      <c r="F715">
        <v>15010775.92</v>
      </c>
      <c r="G715">
        <v>0</v>
      </c>
      <c r="L715" t="s">
        <v>8</v>
      </c>
      <c r="M715" t="s">
        <v>7</v>
      </c>
      <c r="N715" t="s">
        <v>8</v>
      </c>
      <c r="P715">
        <f t="shared" si="999"/>
        <v>0.44037558685446088</v>
      </c>
      <c r="Q715">
        <f t="shared" si="1000"/>
        <v>6610379.2549108099</v>
      </c>
      <c r="R715">
        <f t="shared" si="1001"/>
        <v>125842350.35521655</v>
      </c>
      <c r="S715">
        <f t="shared" si="1002"/>
        <v>1258.4235035521656</v>
      </c>
      <c r="T715">
        <f t="shared" si="1003"/>
        <v>1.2584235035521656</v>
      </c>
    </row>
    <row r="716" spans="1:20" x14ac:dyDescent="0.25">
      <c r="A716" s="5">
        <v>43877</v>
      </c>
      <c r="B716">
        <v>0.95920000000000005</v>
      </c>
      <c r="C716">
        <v>1.0057</v>
      </c>
      <c r="D716">
        <v>0.8145</v>
      </c>
      <c r="E716">
        <v>0.90129999999999999</v>
      </c>
      <c r="F716">
        <v>18608198.989999998</v>
      </c>
      <c r="G716">
        <v>0</v>
      </c>
      <c r="L716" t="s">
        <v>7</v>
      </c>
      <c r="M716" t="s">
        <v>7</v>
      </c>
      <c r="N716" t="s">
        <v>8</v>
      </c>
      <c r="P716">
        <f t="shared" si="999"/>
        <v>-9.2050209205021216E-2</v>
      </c>
      <c r="Q716">
        <f t="shared" si="1000"/>
        <v>-1712888.6099581644</v>
      </c>
      <c r="R716">
        <f t="shared" si="1001"/>
        <v>119231971.10030574</v>
      </c>
      <c r="S716">
        <f t="shared" si="1002"/>
        <v>1192.3197110030574</v>
      </c>
      <c r="T716">
        <f t="shared" si="1003"/>
        <v>1.1923197110030574</v>
      </c>
    </row>
    <row r="717" spans="1:20" x14ac:dyDescent="0.25">
      <c r="A717" s="5">
        <v>43876</v>
      </c>
      <c r="B717">
        <v>1.0726</v>
      </c>
      <c r="C717">
        <v>1.0974999999999999</v>
      </c>
      <c r="D717">
        <v>0.93520000000000003</v>
      </c>
      <c r="E717">
        <v>0.96089999999999998</v>
      </c>
      <c r="F717">
        <v>13383119.07</v>
      </c>
      <c r="G717">
        <v>0</v>
      </c>
      <c r="L717" t="s">
        <v>7</v>
      </c>
      <c r="M717" t="s">
        <v>8</v>
      </c>
      <c r="N717" t="s">
        <v>8</v>
      </c>
      <c r="P717">
        <f t="shared" si="999"/>
        <v>-0.68330252618607568</v>
      </c>
      <c r="Q717">
        <f t="shared" si="1000"/>
        <v>-9144719.0687800441</v>
      </c>
      <c r="R717">
        <f t="shared" si="1001"/>
        <v>120944859.71026391</v>
      </c>
      <c r="S717">
        <f t="shared" si="1002"/>
        <v>1209.448597102639</v>
      </c>
      <c r="T717">
        <f t="shared" si="1003"/>
        <v>1.209448597102639</v>
      </c>
    </row>
    <row r="718" spans="1:20" x14ac:dyDescent="0.25">
      <c r="A718" s="5">
        <v>43875</v>
      </c>
      <c r="B718">
        <v>1.0254000000000001</v>
      </c>
      <c r="C718">
        <v>1.0733999999999999</v>
      </c>
      <c r="D718">
        <v>0.99550000000000005</v>
      </c>
      <c r="E718">
        <v>1.0727</v>
      </c>
      <c r="F718">
        <v>7493026.46</v>
      </c>
      <c r="G718">
        <v>0</v>
      </c>
      <c r="L718" t="s">
        <v>7</v>
      </c>
      <c r="M718" t="s">
        <v>8</v>
      </c>
      <c r="N718" t="s">
        <v>8</v>
      </c>
      <c r="P718">
        <f t="shared" si="999"/>
        <v>0.98202824133504685</v>
      </c>
      <c r="Q718">
        <f t="shared" si="1000"/>
        <v>7358363.5967907719</v>
      </c>
      <c r="R718">
        <f t="shared" si="1001"/>
        <v>130089578.77904396</v>
      </c>
      <c r="S718">
        <f t="shared" si="1002"/>
        <v>1300.8957877904395</v>
      </c>
      <c r="T718">
        <f t="shared" si="1003"/>
        <v>1.3008957877904395</v>
      </c>
    </row>
    <row r="719" spans="1:20" x14ac:dyDescent="0.25">
      <c r="A719" s="5">
        <v>43874</v>
      </c>
      <c r="B719">
        <v>1.0356000000000001</v>
      </c>
      <c r="C719">
        <v>1.0737000000000001</v>
      </c>
      <c r="D719">
        <v>0.97760000000000002</v>
      </c>
      <c r="E719">
        <v>1.0250999999999999</v>
      </c>
      <c r="F719">
        <v>13993120.970000001</v>
      </c>
      <c r="G719">
        <v>0</v>
      </c>
      <c r="L719" t="s">
        <v>8</v>
      </c>
      <c r="M719" t="s">
        <v>8</v>
      </c>
      <c r="N719" t="s">
        <v>8</v>
      </c>
      <c r="P719">
        <f t="shared" si="999"/>
        <v>-1.1446409989597525E-2</v>
      </c>
      <c r="Q719">
        <f t="shared" si="1000"/>
        <v>-160170.9996566546</v>
      </c>
      <c r="R719">
        <f t="shared" si="1001"/>
        <v>122731215.18225318</v>
      </c>
      <c r="S719">
        <f t="shared" si="1002"/>
        <v>1227.3121518225319</v>
      </c>
      <c r="T719">
        <f t="shared" si="1003"/>
        <v>1.2273121518225318</v>
      </c>
    </row>
    <row r="720" spans="1:20" x14ac:dyDescent="0.25">
      <c r="A720" s="5">
        <v>43873</v>
      </c>
      <c r="B720">
        <v>0.97670000000000001</v>
      </c>
      <c r="C720">
        <v>1.06</v>
      </c>
      <c r="D720">
        <v>0.97489999999999999</v>
      </c>
      <c r="E720">
        <v>1.0349999999999999</v>
      </c>
      <c r="F720">
        <v>16688307.300000001</v>
      </c>
      <c r="G720">
        <v>0</v>
      </c>
      <c r="L720" t="s">
        <v>8</v>
      </c>
      <c r="M720" t="s">
        <v>8</v>
      </c>
      <c r="N720" t="s">
        <v>8</v>
      </c>
      <c r="P720">
        <f t="shared" si="999"/>
        <v>0.41245593419506194</v>
      </c>
      <c r="Q720">
        <f t="shared" si="1000"/>
        <v>6883191.3775557717</v>
      </c>
      <c r="R720">
        <f t="shared" si="1001"/>
        <v>122891386.18190983</v>
      </c>
      <c r="S720">
        <f t="shared" si="1002"/>
        <v>1228.9138618190982</v>
      </c>
      <c r="T720">
        <f t="shared" si="1003"/>
        <v>1.2289138618190982</v>
      </c>
    </row>
    <row r="721" spans="1:20" x14ac:dyDescent="0.25">
      <c r="A721" s="5">
        <v>43872</v>
      </c>
      <c r="B721">
        <v>0.95789999999999997</v>
      </c>
      <c r="C721">
        <v>0.98319999999999996</v>
      </c>
      <c r="D721">
        <v>0.91249999999999998</v>
      </c>
      <c r="E721">
        <v>0.97670000000000001</v>
      </c>
      <c r="F721">
        <v>11368341.27</v>
      </c>
      <c r="G721">
        <v>0</v>
      </c>
      <c r="L721" t="s">
        <v>8</v>
      </c>
      <c r="M721" t="s">
        <v>8</v>
      </c>
      <c r="N721" t="s">
        <v>8</v>
      </c>
      <c r="P721">
        <f t="shared" si="999"/>
        <v>0.81612446958981755</v>
      </c>
      <c r="Q721">
        <f t="shared" si="1000"/>
        <v>9277981.4890947826</v>
      </c>
      <c r="R721">
        <f t="shared" si="1001"/>
        <v>116008194.80435406</v>
      </c>
      <c r="S721">
        <f t="shared" si="1002"/>
        <v>1160.0819480435405</v>
      </c>
      <c r="T721">
        <f t="shared" si="1003"/>
        <v>1.1600819480435405</v>
      </c>
    </row>
    <row r="722" spans="1:20" x14ac:dyDescent="0.25">
      <c r="A722" s="5">
        <v>43871</v>
      </c>
      <c r="B722">
        <v>0.91839999999999999</v>
      </c>
      <c r="C722">
        <v>0.97370000000000001</v>
      </c>
      <c r="D722">
        <v>0.86360000000000003</v>
      </c>
      <c r="E722">
        <v>0.95809999999999995</v>
      </c>
      <c r="F722">
        <v>18704356.120000001</v>
      </c>
      <c r="G722">
        <v>0</v>
      </c>
      <c r="L722" t="s">
        <v>8</v>
      </c>
      <c r="M722" t="s">
        <v>8</v>
      </c>
      <c r="N722" t="s">
        <v>8</v>
      </c>
      <c r="P722">
        <f t="shared" si="999"/>
        <v>0.71662125340599347</v>
      </c>
      <c r="Q722">
        <f t="shared" si="1000"/>
        <v>13403939.126866465</v>
      </c>
      <c r="R722">
        <f t="shared" si="1001"/>
        <v>106730213.31525928</v>
      </c>
      <c r="S722">
        <f t="shared" si="1002"/>
        <v>1067.3021331525929</v>
      </c>
      <c r="T722">
        <f t="shared" si="1003"/>
        <v>1.0673021331525929</v>
      </c>
    </row>
    <row r="723" spans="1:20" x14ac:dyDescent="0.25">
      <c r="A723" s="5">
        <v>43870</v>
      </c>
      <c r="B723">
        <v>0.8458</v>
      </c>
      <c r="C723">
        <v>0.92830000000000001</v>
      </c>
      <c r="D723">
        <v>0.84570000000000001</v>
      </c>
      <c r="E723">
        <v>0.91879999999999995</v>
      </c>
      <c r="F723">
        <v>8990705.0399999991</v>
      </c>
      <c r="G723">
        <v>0</v>
      </c>
      <c r="L723" t="s">
        <v>8</v>
      </c>
      <c r="M723" t="s">
        <v>8</v>
      </c>
      <c r="N723" t="s">
        <v>8</v>
      </c>
      <c r="P723">
        <f t="shared" si="999"/>
        <v>0.76997578692493795</v>
      </c>
      <c r="Q723">
        <f t="shared" si="1000"/>
        <v>6922625.1881840052</v>
      </c>
      <c r="R723">
        <f t="shared" si="1001"/>
        <v>93326274.188392818</v>
      </c>
      <c r="S723">
        <f t="shared" si="1002"/>
        <v>933.26274188392813</v>
      </c>
      <c r="T723">
        <f t="shared" si="1003"/>
        <v>0.9332627418839281</v>
      </c>
    </row>
    <row r="724" spans="1:20" x14ac:dyDescent="0.25">
      <c r="A724" s="5">
        <v>43869</v>
      </c>
      <c r="B724">
        <v>0.86950000000000005</v>
      </c>
      <c r="C724">
        <v>0.87050000000000005</v>
      </c>
      <c r="D724">
        <v>0.81240000000000001</v>
      </c>
      <c r="E724">
        <v>0.84570000000000001</v>
      </c>
      <c r="F724">
        <v>5232435.59</v>
      </c>
      <c r="G724">
        <v>0</v>
      </c>
      <c r="L724" t="s">
        <v>7</v>
      </c>
      <c r="M724" t="s">
        <v>8</v>
      </c>
      <c r="N724" t="s">
        <v>8</v>
      </c>
      <c r="P724">
        <f t="shared" si="999"/>
        <v>0.14629948364888032</v>
      </c>
      <c r="Q724">
        <f t="shared" si="1000"/>
        <v>765502.62504302443</v>
      </c>
      <c r="R724">
        <f t="shared" si="1001"/>
        <v>86403649.00020881</v>
      </c>
      <c r="S724">
        <f t="shared" si="1002"/>
        <v>864.03649000208804</v>
      </c>
      <c r="T724">
        <f t="shared" si="1003"/>
        <v>0.86403649000208804</v>
      </c>
    </row>
    <row r="725" spans="1:20" x14ac:dyDescent="0.25">
      <c r="A725" s="5">
        <v>43868</v>
      </c>
      <c r="B725">
        <v>0.8619</v>
      </c>
      <c r="C725">
        <v>0.88549999999999995</v>
      </c>
      <c r="D725">
        <v>0.84970000000000001</v>
      </c>
      <c r="E725">
        <v>0.86950000000000005</v>
      </c>
      <c r="F725">
        <v>5907399.54</v>
      </c>
      <c r="G725">
        <v>0</v>
      </c>
      <c r="L725" t="s">
        <v>8</v>
      </c>
      <c r="M725" t="s">
        <v>8</v>
      </c>
      <c r="N725" t="s">
        <v>8</v>
      </c>
      <c r="P725">
        <f t="shared" si="999"/>
        <v>0.10614525139665203</v>
      </c>
      <c r="Q725">
        <f t="shared" si="1000"/>
        <v>627042.40927376656</v>
      </c>
      <c r="R725">
        <f t="shared" si="1001"/>
        <v>85638146.37516579</v>
      </c>
      <c r="S725">
        <f t="shared" si="1002"/>
        <v>856.38146375165786</v>
      </c>
      <c r="T725">
        <f t="shared" si="1003"/>
        <v>0.85638146375165791</v>
      </c>
    </row>
    <row r="726" spans="1:20" x14ac:dyDescent="0.25">
      <c r="A726" s="5">
        <v>43867</v>
      </c>
      <c r="B726">
        <v>0.84750000000000003</v>
      </c>
      <c r="C726">
        <v>0.87250000000000005</v>
      </c>
      <c r="D726">
        <v>0.8286</v>
      </c>
      <c r="E726">
        <v>0.86199999999999999</v>
      </c>
      <c r="F726">
        <v>6573192</v>
      </c>
      <c r="G726">
        <v>0</v>
      </c>
      <c r="L726" t="s">
        <v>8</v>
      </c>
      <c r="M726" t="s">
        <v>8</v>
      </c>
      <c r="N726" t="s">
        <v>8</v>
      </c>
      <c r="P726">
        <f t="shared" si="999"/>
        <v>0.52164009111617071</v>
      </c>
      <c r="Q726">
        <f t="shared" si="1000"/>
        <v>3428840.4738040846</v>
      </c>
      <c r="R726">
        <f t="shared" si="1001"/>
        <v>85011103.965892017</v>
      </c>
      <c r="S726">
        <f t="shared" si="1002"/>
        <v>850.11103965892016</v>
      </c>
      <c r="T726">
        <f t="shared" si="1003"/>
        <v>0.85011103965892021</v>
      </c>
    </row>
    <row r="727" spans="1:20" x14ac:dyDescent="0.25">
      <c r="A727" s="5">
        <v>43866</v>
      </c>
      <c r="B727">
        <v>0.8196</v>
      </c>
      <c r="C727">
        <v>0.84750000000000003</v>
      </c>
      <c r="D727">
        <v>0.80989999999999995</v>
      </c>
      <c r="E727">
        <v>0.84750000000000003</v>
      </c>
      <c r="F727">
        <v>5615491.5499999998</v>
      </c>
      <c r="G727">
        <v>0</v>
      </c>
      <c r="L727" t="s">
        <v>8</v>
      </c>
      <c r="M727" t="s">
        <v>8</v>
      </c>
      <c r="N727" t="s">
        <v>8</v>
      </c>
      <c r="P727">
        <f t="shared" si="999"/>
        <v>1</v>
      </c>
      <c r="Q727">
        <f t="shared" si="1000"/>
        <v>5615491.5499999998</v>
      </c>
      <c r="R727">
        <f t="shared" si="1001"/>
        <v>81582263.49208793</v>
      </c>
      <c r="S727">
        <f t="shared" si="1002"/>
        <v>815.8226349208793</v>
      </c>
      <c r="T727">
        <f t="shared" si="1003"/>
        <v>0.81582263492087925</v>
      </c>
    </row>
    <row r="728" spans="1:20" x14ac:dyDescent="0.25">
      <c r="A728" s="5">
        <v>43865</v>
      </c>
      <c r="B728">
        <v>0.78100000000000003</v>
      </c>
      <c r="C728">
        <v>0.82650000000000001</v>
      </c>
      <c r="D728">
        <v>0.74860000000000004</v>
      </c>
      <c r="E728">
        <v>0.8206</v>
      </c>
      <c r="F728">
        <v>4828878.68</v>
      </c>
      <c r="G728">
        <v>0</v>
      </c>
      <c r="L728" t="s">
        <v>8</v>
      </c>
      <c r="M728" t="s">
        <v>8</v>
      </c>
      <c r="N728" t="s">
        <v>8</v>
      </c>
      <c r="P728">
        <f t="shared" si="999"/>
        <v>0.84852374839537825</v>
      </c>
      <c r="Q728">
        <f t="shared" si="1000"/>
        <v>4097418.2381001259</v>
      </c>
      <c r="R728">
        <f t="shared" si="1001"/>
        <v>75966771.942087933</v>
      </c>
      <c r="S728">
        <f t="shared" si="1002"/>
        <v>759.66771942087928</v>
      </c>
      <c r="T728">
        <f t="shared" si="1003"/>
        <v>0.75966771942087929</v>
      </c>
    </row>
    <row r="729" spans="1:20" x14ac:dyDescent="0.25">
      <c r="A729" s="5">
        <v>43864</v>
      </c>
      <c r="B729">
        <v>0.78559999999999997</v>
      </c>
      <c r="C729">
        <v>0.80900000000000005</v>
      </c>
      <c r="D729">
        <v>0.76339999999999997</v>
      </c>
      <c r="E729">
        <v>0.78090000000000004</v>
      </c>
      <c r="F729">
        <v>4042134.16</v>
      </c>
      <c r="G729">
        <v>0</v>
      </c>
      <c r="L729" t="s">
        <v>8</v>
      </c>
      <c r="M729" t="s">
        <v>8</v>
      </c>
      <c r="N729" t="s">
        <v>8</v>
      </c>
      <c r="P729">
        <f t="shared" si="999"/>
        <v>-0.2324561403508755</v>
      </c>
      <c r="Q729">
        <f t="shared" si="1000"/>
        <v>-939618.90561402834</v>
      </c>
      <c r="R729">
        <f t="shared" si="1001"/>
        <v>71869353.703987807</v>
      </c>
      <c r="S729">
        <f t="shared" si="1002"/>
        <v>718.69353703987804</v>
      </c>
      <c r="T729">
        <f t="shared" si="1003"/>
        <v>0.71869353703987804</v>
      </c>
    </row>
    <row r="730" spans="1:20" x14ac:dyDescent="0.25">
      <c r="A730" s="5">
        <v>43863</v>
      </c>
      <c r="B730">
        <v>0.76229999999999998</v>
      </c>
      <c r="C730">
        <v>0.81</v>
      </c>
      <c r="D730">
        <v>0.74460000000000004</v>
      </c>
      <c r="E730">
        <v>0.78520000000000001</v>
      </c>
      <c r="F730">
        <v>6980324.8499999996</v>
      </c>
      <c r="G730">
        <v>0</v>
      </c>
      <c r="L730" t="s">
        <v>8</v>
      </c>
      <c r="M730" t="s">
        <v>8</v>
      </c>
      <c r="N730" t="s">
        <v>8</v>
      </c>
      <c r="P730">
        <f t="shared" si="999"/>
        <v>0.2415902140672771</v>
      </c>
      <c r="Q730">
        <f t="shared" si="1000"/>
        <v>1686378.1747706339</v>
      </c>
      <c r="R730">
        <f t="shared" si="1001"/>
        <v>72808972.60960184</v>
      </c>
      <c r="S730">
        <f t="shared" si="1002"/>
        <v>728.08972609601835</v>
      </c>
      <c r="T730">
        <f t="shared" si="1003"/>
        <v>0.72808972609601841</v>
      </c>
    </row>
    <row r="731" spans="1:20" x14ac:dyDescent="0.25">
      <c r="A731" s="5">
        <v>43862</v>
      </c>
      <c r="B731">
        <v>0.77039999999999997</v>
      </c>
      <c r="C731">
        <v>0.77890000000000004</v>
      </c>
      <c r="D731">
        <v>0.74399999999999999</v>
      </c>
      <c r="E731">
        <v>0.7621</v>
      </c>
      <c r="F731">
        <v>4138921</v>
      </c>
      <c r="G731">
        <v>0</v>
      </c>
      <c r="L731" t="s">
        <v>8</v>
      </c>
      <c r="M731" t="s">
        <v>8</v>
      </c>
      <c r="N731" t="s">
        <v>8</v>
      </c>
      <c r="P731">
        <f t="shared" si="999"/>
        <v>3.7249283667620807E-2</v>
      </c>
      <c r="Q731">
        <f t="shared" si="1000"/>
        <v>154171.84240687278</v>
      </c>
      <c r="R731">
        <f t="shared" si="1001"/>
        <v>71122594.434831202</v>
      </c>
      <c r="S731">
        <f t="shared" si="1002"/>
        <v>711.22594434831205</v>
      </c>
      <c r="T731">
        <f t="shared" si="1003"/>
        <v>0.7112259443483121</v>
      </c>
    </row>
    <row r="732" spans="1:20" x14ac:dyDescent="0.25">
      <c r="A732" s="5">
        <v>43861</v>
      </c>
      <c r="B732">
        <v>0.73540000000000005</v>
      </c>
      <c r="C732">
        <v>0.78259999999999996</v>
      </c>
      <c r="D732">
        <v>0.71940000000000004</v>
      </c>
      <c r="E732">
        <v>0.77049999999999996</v>
      </c>
      <c r="F732">
        <v>8485963.3900000006</v>
      </c>
      <c r="G732">
        <v>0</v>
      </c>
      <c r="L732" t="s">
        <v>8</v>
      </c>
      <c r="M732" t="s">
        <v>8</v>
      </c>
      <c r="N732" t="s">
        <v>8</v>
      </c>
      <c r="P732">
        <f t="shared" si="999"/>
        <v>0.61708860759493622</v>
      </c>
      <c r="Q732">
        <f t="shared" si="1000"/>
        <v>5236591.332436705</v>
      </c>
      <c r="R732">
        <f t="shared" si="1001"/>
        <v>70968422.592424333</v>
      </c>
      <c r="S732">
        <f t="shared" si="1002"/>
        <v>709.68422592424338</v>
      </c>
      <c r="T732">
        <f t="shared" si="1003"/>
        <v>0.70968422592424341</v>
      </c>
    </row>
    <row r="733" spans="1:20" x14ac:dyDescent="0.25">
      <c r="A733" s="5">
        <v>43860</v>
      </c>
      <c r="B733">
        <v>0.72950000000000004</v>
      </c>
      <c r="C733">
        <v>0.7419</v>
      </c>
      <c r="D733">
        <v>0.70820000000000005</v>
      </c>
      <c r="E733">
        <v>0.73440000000000005</v>
      </c>
      <c r="F733">
        <v>5264886.09</v>
      </c>
      <c r="G733">
        <v>0</v>
      </c>
      <c r="L733" t="s">
        <v>8</v>
      </c>
      <c r="M733" t="s">
        <v>8</v>
      </c>
      <c r="N733" t="s">
        <v>8</v>
      </c>
      <c r="P733">
        <f t="shared" si="999"/>
        <v>0.55489614243323671</v>
      </c>
      <c r="Q733">
        <f t="shared" si="1000"/>
        <v>2921464.9816914066</v>
      </c>
      <c r="R733">
        <f t="shared" si="1001"/>
        <v>65731831.25998763</v>
      </c>
      <c r="S733">
        <f t="shared" si="1002"/>
        <v>657.31831259987632</v>
      </c>
      <c r="T733">
        <f t="shared" si="1003"/>
        <v>0.65731831259987628</v>
      </c>
    </row>
    <row r="734" spans="1:20" x14ac:dyDescent="0.25">
      <c r="A734" s="5">
        <v>43859</v>
      </c>
      <c r="B734">
        <v>0.69710000000000005</v>
      </c>
      <c r="C734">
        <v>0.753</v>
      </c>
      <c r="D734">
        <v>0.69399999999999995</v>
      </c>
      <c r="E734">
        <v>0.72970000000000002</v>
      </c>
      <c r="F734">
        <v>8323187.3300000001</v>
      </c>
      <c r="G734">
        <v>0</v>
      </c>
      <c r="L734" t="s">
        <v>8</v>
      </c>
      <c r="M734" t="s">
        <v>8</v>
      </c>
      <c r="N734" t="s">
        <v>8</v>
      </c>
      <c r="P734">
        <f t="shared" si="999"/>
        <v>0.21016949152542486</v>
      </c>
      <c r="Q734">
        <f t="shared" si="1000"/>
        <v>1749280.0490169586</v>
      </c>
      <c r="R734">
        <f t="shared" si="1001"/>
        <v>62810366.278296225</v>
      </c>
      <c r="S734">
        <f t="shared" si="1002"/>
        <v>628.10366278296226</v>
      </c>
      <c r="T734">
        <f t="shared" si="1003"/>
        <v>0.62810366278296226</v>
      </c>
    </row>
    <row r="735" spans="1:20" x14ac:dyDescent="0.25">
      <c r="A735" s="5">
        <v>43858</v>
      </c>
      <c r="B735">
        <v>0.6845</v>
      </c>
      <c r="C735">
        <v>0.7</v>
      </c>
      <c r="D735">
        <v>0.67479999999999996</v>
      </c>
      <c r="E735">
        <v>0.69589999999999996</v>
      </c>
      <c r="F735">
        <v>4863091.2699999996</v>
      </c>
      <c r="G735">
        <v>0</v>
      </c>
      <c r="L735" t="s">
        <v>8</v>
      </c>
      <c r="M735" t="s">
        <v>7</v>
      </c>
      <c r="N735" t="s">
        <v>8</v>
      </c>
      <c r="P735">
        <f t="shared" si="999"/>
        <v>0.6746031746031752</v>
      </c>
      <c r="Q735">
        <f t="shared" si="1000"/>
        <v>3280656.8091269867</v>
      </c>
      <c r="R735">
        <f t="shared" si="1001"/>
        <v>61061086.229279265</v>
      </c>
      <c r="S735">
        <f t="shared" si="1002"/>
        <v>610.6108622927926</v>
      </c>
      <c r="T735">
        <f t="shared" si="1003"/>
        <v>0.6106108622927926</v>
      </c>
    </row>
    <row r="736" spans="1:20" x14ac:dyDescent="0.25">
      <c r="A736" s="5">
        <v>43857</v>
      </c>
      <c r="B736">
        <v>0.6482</v>
      </c>
      <c r="C736">
        <v>0.68759999999999999</v>
      </c>
      <c r="D736">
        <v>0.63529999999999998</v>
      </c>
      <c r="E736">
        <v>0.68520000000000003</v>
      </c>
      <c r="F736">
        <v>5454517.5099999998</v>
      </c>
      <c r="G736">
        <v>0</v>
      </c>
      <c r="L736" t="s">
        <v>8</v>
      </c>
      <c r="M736" t="s">
        <v>7</v>
      </c>
      <c r="N736" t="s">
        <v>8</v>
      </c>
      <c r="P736">
        <f t="shared" si="999"/>
        <v>0.90822179732313735</v>
      </c>
      <c r="Q736">
        <f t="shared" si="1000"/>
        <v>4953911.6964627234</v>
      </c>
      <c r="R736">
        <f t="shared" si="1001"/>
        <v>57780429.420152277</v>
      </c>
      <c r="S736">
        <f t="shared" si="1002"/>
        <v>577.80429420152279</v>
      </c>
      <c r="T736">
        <f t="shared" si="1003"/>
        <v>0.57780429420152279</v>
      </c>
    </row>
    <row r="737" spans="1:20" x14ac:dyDescent="0.25">
      <c r="A737" s="5">
        <v>43856</v>
      </c>
      <c r="B737">
        <v>0.63070000000000004</v>
      </c>
      <c r="C737">
        <v>0.65700000000000003</v>
      </c>
      <c r="D737">
        <v>0.62660000000000005</v>
      </c>
      <c r="E737">
        <v>0.64700000000000002</v>
      </c>
      <c r="F737">
        <v>2283113.2599999998</v>
      </c>
      <c r="G737">
        <v>0</v>
      </c>
      <c r="L737" t="s">
        <v>8</v>
      </c>
      <c r="M737" t="s">
        <v>7</v>
      </c>
      <c r="N737" t="s">
        <v>8</v>
      </c>
      <c r="P737">
        <f t="shared" si="999"/>
        <v>0.3421052631578938</v>
      </c>
      <c r="Q737">
        <f t="shared" si="1000"/>
        <v>781065.06263157679</v>
      </c>
      <c r="R737">
        <f t="shared" si="1001"/>
        <v>52826517.723689556</v>
      </c>
      <c r="S737">
        <f t="shared" si="1002"/>
        <v>528.26517723689551</v>
      </c>
      <c r="T737">
        <f t="shared" si="1003"/>
        <v>0.52826517723689548</v>
      </c>
    </row>
    <row r="738" spans="1:20" x14ac:dyDescent="0.25">
      <c r="A738" s="5">
        <v>43855</v>
      </c>
      <c r="B738">
        <v>0.62490000000000001</v>
      </c>
      <c r="C738">
        <v>0.63749999999999996</v>
      </c>
      <c r="D738">
        <v>0.61219999999999997</v>
      </c>
      <c r="E738">
        <v>0.63129999999999997</v>
      </c>
      <c r="F738">
        <v>1792216.6</v>
      </c>
      <c r="G738">
        <v>0</v>
      </c>
      <c r="L738" t="s">
        <v>7</v>
      </c>
      <c r="M738" t="s">
        <v>7</v>
      </c>
      <c r="N738" t="s">
        <v>8</v>
      </c>
      <c r="P738">
        <f t="shared" si="999"/>
        <v>0.50988142292490235</v>
      </c>
      <c r="Q738">
        <f t="shared" si="1000"/>
        <v>913817.95019763056</v>
      </c>
      <c r="R738">
        <f t="shared" si="1001"/>
        <v>52045452.661057979</v>
      </c>
      <c r="S738">
        <f t="shared" si="1002"/>
        <v>520.45452661057982</v>
      </c>
      <c r="T738">
        <f t="shared" si="1003"/>
        <v>0.52045452661057978</v>
      </c>
    </row>
    <row r="739" spans="1:20" x14ac:dyDescent="0.25">
      <c r="A739" s="5">
        <v>43854</v>
      </c>
      <c r="B739">
        <v>0.63880000000000003</v>
      </c>
      <c r="C739">
        <v>0.64049999999999996</v>
      </c>
      <c r="D739">
        <v>0.60950000000000004</v>
      </c>
      <c r="E739">
        <v>0.62549999999999994</v>
      </c>
      <c r="F739">
        <v>4149490.22</v>
      </c>
      <c r="G739">
        <v>0</v>
      </c>
      <c r="L739" t="s">
        <v>7</v>
      </c>
      <c r="M739" t="s">
        <v>7</v>
      </c>
      <c r="N739" t="s">
        <v>8</v>
      </c>
      <c r="P739">
        <f t="shared" si="999"/>
        <v>3.2258064516125569E-2</v>
      </c>
      <c r="Q739">
        <f t="shared" si="1000"/>
        <v>133854.52322579207</v>
      </c>
      <c r="R739">
        <f t="shared" si="1001"/>
        <v>51131634.710860349</v>
      </c>
      <c r="S739">
        <f t="shared" si="1002"/>
        <v>511.31634710860351</v>
      </c>
      <c r="T739">
        <f t="shared" si="1003"/>
        <v>0.51131634710860352</v>
      </c>
    </row>
    <row r="740" spans="1:20" x14ac:dyDescent="0.25">
      <c r="A740" s="5">
        <v>43853</v>
      </c>
      <c r="B740">
        <v>0.6694</v>
      </c>
      <c r="C740">
        <v>0.67179999999999995</v>
      </c>
      <c r="D740">
        <v>0.61960000000000004</v>
      </c>
      <c r="E740">
        <v>0.63859999999999995</v>
      </c>
      <c r="F740">
        <v>3456840.15</v>
      </c>
      <c r="G740">
        <v>0</v>
      </c>
      <c r="L740" t="s">
        <v>7</v>
      </c>
      <c r="M740" t="s">
        <v>7</v>
      </c>
      <c r="N740" t="s">
        <v>8</v>
      </c>
      <c r="P740">
        <f t="shared" si="999"/>
        <v>-0.27203065134099857</v>
      </c>
      <c r="Q740">
        <f t="shared" si="1000"/>
        <v>-940366.47758621525</v>
      </c>
      <c r="R740">
        <f t="shared" si="1001"/>
        <v>50997780.187634557</v>
      </c>
      <c r="S740">
        <f t="shared" si="1002"/>
        <v>509.97780187634555</v>
      </c>
      <c r="T740">
        <f t="shared" si="1003"/>
        <v>0.50997780187634556</v>
      </c>
    </row>
    <row r="741" spans="1:20" x14ac:dyDescent="0.25">
      <c r="A741" s="5">
        <v>43852</v>
      </c>
      <c r="B741">
        <v>0.66339999999999999</v>
      </c>
      <c r="C741">
        <v>0.68200000000000005</v>
      </c>
      <c r="D741">
        <v>0.65529999999999999</v>
      </c>
      <c r="E741">
        <v>0.66879999999999995</v>
      </c>
      <c r="F741">
        <v>2564655.39</v>
      </c>
      <c r="G741">
        <v>0</v>
      </c>
      <c r="L741" t="s">
        <v>8</v>
      </c>
      <c r="M741" t="s">
        <v>7</v>
      </c>
      <c r="N741" t="s">
        <v>8</v>
      </c>
      <c r="P741">
        <f t="shared" si="999"/>
        <v>1.1235955056174356E-2</v>
      </c>
      <c r="Q741">
        <f t="shared" si="1000"/>
        <v>28816.352696615315</v>
      </c>
      <c r="R741">
        <f t="shared" si="1001"/>
        <v>51938146.665220775</v>
      </c>
      <c r="S741">
        <f t="shared" si="1002"/>
        <v>519.38146665220779</v>
      </c>
      <c r="T741">
        <f t="shared" si="1003"/>
        <v>0.51938146665220775</v>
      </c>
    </row>
    <row r="742" spans="1:20" x14ac:dyDescent="0.25">
      <c r="A742" s="5">
        <v>43851</v>
      </c>
      <c r="B742">
        <v>0.65359999999999996</v>
      </c>
      <c r="C742">
        <v>0.66620000000000001</v>
      </c>
      <c r="D742">
        <v>0.63839999999999997</v>
      </c>
      <c r="E742">
        <v>0.66279999999999994</v>
      </c>
      <c r="F742">
        <v>3144021.05</v>
      </c>
      <c r="G742">
        <v>0</v>
      </c>
      <c r="L742" t="s">
        <v>7</v>
      </c>
      <c r="M742" t="s">
        <v>7</v>
      </c>
      <c r="N742" t="s">
        <v>8</v>
      </c>
      <c r="P742">
        <f t="shared" si="999"/>
        <v>0.75539568345323282</v>
      </c>
      <c r="Q742">
        <f t="shared" si="1000"/>
        <v>2374979.9298561006</v>
      </c>
      <c r="R742">
        <f t="shared" si="1001"/>
        <v>51909330.312524162</v>
      </c>
      <c r="S742">
        <f t="shared" si="1002"/>
        <v>519.09330312524162</v>
      </c>
      <c r="T742">
        <f t="shared" si="1003"/>
        <v>0.5190933031252416</v>
      </c>
    </row>
    <row r="743" spans="1:20" x14ac:dyDescent="0.25">
      <c r="A743" s="5">
        <v>43850</v>
      </c>
      <c r="B743">
        <v>0.65449999999999997</v>
      </c>
      <c r="C743">
        <v>0.66959999999999997</v>
      </c>
      <c r="D743">
        <v>0.62780000000000002</v>
      </c>
      <c r="E743">
        <v>0.65349999999999997</v>
      </c>
      <c r="F743">
        <v>2942035.34</v>
      </c>
      <c r="G743">
        <v>0</v>
      </c>
      <c r="L743" t="s">
        <v>7</v>
      </c>
      <c r="M743" t="s">
        <v>7</v>
      </c>
      <c r="N743" t="s">
        <v>8</v>
      </c>
      <c r="P743">
        <f t="shared" si="999"/>
        <v>0.22966507177033382</v>
      </c>
      <c r="Q743">
        <f t="shared" si="1000"/>
        <v>675682.75751195848</v>
      </c>
      <c r="R743">
        <f t="shared" si="1001"/>
        <v>49534350.382668063</v>
      </c>
      <c r="S743">
        <f t="shared" si="1002"/>
        <v>495.3435038266806</v>
      </c>
      <c r="T743">
        <f t="shared" si="1003"/>
        <v>0.49534350382668058</v>
      </c>
    </row>
    <row r="744" spans="1:20" x14ac:dyDescent="0.25">
      <c r="A744" s="5">
        <v>43849</v>
      </c>
      <c r="B744">
        <v>0.68669999999999998</v>
      </c>
      <c r="C744">
        <v>0.71889999999999998</v>
      </c>
      <c r="D744">
        <v>0.63549999999999995</v>
      </c>
      <c r="E744">
        <v>0.6542</v>
      </c>
      <c r="F744">
        <v>6416026.4199999999</v>
      </c>
      <c r="G744">
        <v>0</v>
      </c>
      <c r="L744" t="s">
        <v>7</v>
      </c>
      <c r="M744" t="s">
        <v>7</v>
      </c>
      <c r="N744" t="s">
        <v>8</v>
      </c>
      <c r="P744">
        <f t="shared" si="999"/>
        <v>-0.55155875299760093</v>
      </c>
      <c r="Q744">
        <f t="shared" si="1000"/>
        <v>-3538815.5314148618</v>
      </c>
      <c r="R744">
        <f t="shared" si="1001"/>
        <v>48858667.625156105</v>
      </c>
      <c r="S744">
        <f t="shared" si="1002"/>
        <v>488.58667625156107</v>
      </c>
      <c r="T744">
        <f t="shared" si="1003"/>
        <v>0.48858667625156105</v>
      </c>
    </row>
    <row r="745" spans="1:20" x14ac:dyDescent="0.25">
      <c r="A745" s="5">
        <v>43848</v>
      </c>
      <c r="B745">
        <v>0.71330000000000005</v>
      </c>
      <c r="C745">
        <v>0.73409999999999997</v>
      </c>
      <c r="D745">
        <v>0.67930000000000001</v>
      </c>
      <c r="E745">
        <v>0.68810000000000004</v>
      </c>
      <c r="F745">
        <v>6940337.7000000002</v>
      </c>
      <c r="G745">
        <v>0</v>
      </c>
      <c r="L745" t="s">
        <v>7</v>
      </c>
      <c r="M745" t="s">
        <v>8</v>
      </c>
      <c r="N745" t="s">
        <v>8</v>
      </c>
      <c r="P745">
        <f t="shared" si="999"/>
        <v>-0.67883211678831978</v>
      </c>
      <c r="Q745">
        <f t="shared" si="1000"/>
        <v>-4711324.1321167788</v>
      </c>
      <c r="R745">
        <f t="shared" si="1001"/>
        <v>52397483.156570964</v>
      </c>
      <c r="S745">
        <f t="shared" si="1002"/>
        <v>523.97483156570968</v>
      </c>
      <c r="T745">
        <f t="shared" si="1003"/>
        <v>0.52397483156570968</v>
      </c>
    </row>
    <row r="746" spans="1:20" x14ac:dyDescent="0.25">
      <c r="A746" s="5">
        <v>43847</v>
      </c>
      <c r="B746">
        <v>0.71199999999999997</v>
      </c>
      <c r="C746">
        <v>0.73</v>
      </c>
      <c r="D746">
        <v>0.67620000000000002</v>
      </c>
      <c r="E746">
        <v>0.71360000000000001</v>
      </c>
      <c r="F746">
        <v>7885890.2699999996</v>
      </c>
      <c r="G746">
        <v>0</v>
      </c>
      <c r="L746" t="s">
        <v>8</v>
      </c>
      <c r="M746" t="s">
        <v>8</v>
      </c>
      <c r="N746" t="s">
        <v>8</v>
      </c>
      <c r="P746">
        <f t="shared" si="999"/>
        <v>0.39033457249070697</v>
      </c>
      <c r="Q746">
        <f t="shared" si="1000"/>
        <v>3078135.6072490755</v>
      </c>
      <c r="R746">
        <f t="shared" si="1001"/>
        <v>57108807.288687743</v>
      </c>
      <c r="S746">
        <f t="shared" si="1002"/>
        <v>571.0880728868774</v>
      </c>
      <c r="T746">
        <f t="shared" si="1003"/>
        <v>0.57108807288687735</v>
      </c>
    </row>
    <row r="747" spans="1:20" x14ac:dyDescent="0.25">
      <c r="A747" s="5">
        <v>43846</v>
      </c>
      <c r="B747">
        <v>0.69879999999999998</v>
      </c>
      <c r="C747">
        <v>0.7198</v>
      </c>
      <c r="D747">
        <v>0.64700000000000002</v>
      </c>
      <c r="E747">
        <v>0.7127</v>
      </c>
      <c r="F747">
        <v>7049984.7199999997</v>
      </c>
      <c r="G747">
        <v>0</v>
      </c>
      <c r="L747" t="s">
        <v>7</v>
      </c>
      <c r="M747" t="s">
        <v>8</v>
      </c>
      <c r="N747" t="s">
        <v>8</v>
      </c>
      <c r="P747">
        <f t="shared" si="999"/>
        <v>0.80494505494505497</v>
      </c>
      <c r="Q747">
        <f t="shared" si="1000"/>
        <v>5674850.3378021978</v>
      </c>
      <c r="R747">
        <f t="shared" si="1001"/>
        <v>54030671.68143867</v>
      </c>
      <c r="S747">
        <f t="shared" si="1002"/>
        <v>540.30671681438673</v>
      </c>
      <c r="T747">
        <f t="shared" si="1003"/>
        <v>0.54030671681438669</v>
      </c>
    </row>
    <row r="748" spans="1:20" x14ac:dyDescent="0.25">
      <c r="A748" s="5">
        <v>43845</v>
      </c>
      <c r="B748">
        <v>0.67569999999999997</v>
      </c>
      <c r="C748">
        <v>0.748</v>
      </c>
      <c r="D748">
        <v>0.66110000000000002</v>
      </c>
      <c r="E748">
        <v>0.69910000000000005</v>
      </c>
      <c r="F748">
        <v>12394182</v>
      </c>
      <c r="G748">
        <v>0</v>
      </c>
      <c r="L748" t="s">
        <v>8</v>
      </c>
      <c r="M748" t="s">
        <v>8</v>
      </c>
      <c r="N748" t="s">
        <v>8</v>
      </c>
      <c r="P748">
        <f t="shared" si="999"/>
        <v>-0.12543153049482064</v>
      </c>
      <c r="Q748">
        <f t="shared" si="1000"/>
        <v>-1554621.2174913571</v>
      </c>
      <c r="R748">
        <f t="shared" si="1001"/>
        <v>48355821.343636468</v>
      </c>
      <c r="S748">
        <f t="shared" si="1002"/>
        <v>483.55821343636467</v>
      </c>
      <c r="T748">
        <f t="shared" si="1003"/>
        <v>0.48355821343636468</v>
      </c>
    </row>
    <row r="749" spans="1:20" x14ac:dyDescent="0.25">
      <c r="A749" s="5">
        <v>43844</v>
      </c>
      <c r="B749">
        <v>0.60589999999999999</v>
      </c>
      <c r="C749">
        <v>0.68210000000000004</v>
      </c>
      <c r="D749">
        <v>0.60589999999999999</v>
      </c>
      <c r="E749">
        <v>0.67589999999999995</v>
      </c>
      <c r="F749">
        <v>10410382.25</v>
      </c>
      <c r="G749">
        <v>0</v>
      </c>
      <c r="L749" t="s">
        <v>8</v>
      </c>
      <c r="M749" t="s">
        <v>8</v>
      </c>
      <c r="N749" t="s">
        <v>7</v>
      </c>
      <c r="P749">
        <f t="shared" si="999"/>
        <v>0.83727034120734667</v>
      </c>
      <c r="Q749">
        <f t="shared" si="1000"/>
        <v>8716304.2985564061</v>
      </c>
      <c r="R749">
        <f t="shared" si="1001"/>
        <v>49910442.561127827</v>
      </c>
      <c r="S749">
        <f t="shared" si="1002"/>
        <v>499.10442561127826</v>
      </c>
      <c r="T749">
        <f t="shared" si="1003"/>
        <v>0.49910442561127827</v>
      </c>
    </row>
    <row r="750" spans="1:20" x14ac:dyDescent="0.25">
      <c r="A750" s="5">
        <v>43843</v>
      </c>
      <c r="B750">
        <v>0.61650000000000005</v>
      </c>
      <c r="C750">
        <v>0.61819999999999997</v>
      </c>
      <c r="D750">
        <v>0.58279999999999998</v>
      </c>
      <c r="E750">
        <v>0.60609999999999997</v>
      </c>
      <c r="F750">
        <v>3991168.99</v>
      </c>
      <c r="G750">
        <v>0</v>
      </c>
      <c r="L750" t="s">
        <v>7</v>
      </c>
      <c r="M750" t="s">
        <v>8</v>
      </c>
      <c r="N750" t="s">
        <v>7</v>
      </c>
      <c r="P750">
        <f t="shared" si="999"/>
        <v>0.3163841807909602</v>
      </c>
      <c r="Q750">
        <f t="shared" si="1000"/>
        <v>1262742.7312994341</v>
      </c>
      <c r="R750">
        <f t="shared" si="1001"/>
        <v>41194138.262571424</v>
      </c>
      <c r="S750">
        <f t="shared" si="1002"/>
        <v>411.94138262571425</v>
      </c>
      <c r="T750">
        <f t="shared" si="1003"/>
        <v>0.41194138262571428</v>
      </c>
    </row>
    <row r="751" spans="1:20" x14ac:dyDescent="0.25">
      <c r="A751" s="5">
        <v>43842</v>
      </c>
      <c r="B751">
        <v>0.58340000000000003</v>
      </c>
      <c r="C751">
        <v>0.62990000000000002</v>
      </c>
      <c r="D751">
        <v>0.57809999999999995</v>
      </c>
      <c r="E751">
        <v>0.61650000000000005</v>
      </c>
      <c r="F751">
        <v>5344259.21</v>
      </c>
      <c r="G751">
        <v>0</v>
      </c>
      <c r="L751" t="s">
        <v>8</v>
      </c>
      <c r="M751" t="s">
        <v>8</v>
      </c>
      <c r="N751" t="s">
        <v>7</v>
      </c>
      <c r="P751">
        <f t="shared" si="999"/>
        <v>0.48262548262548455</v>
      </c>
      <c r="Q751">
        <f t="shared" si="1000"/>
        <v>2579275.6805019407</v>
      </c>
      <c r="R751">
        <f t="shared" si="1001"/>
        <v>39931395.531271987</v>
      </c>
      <c r="S751">
        <f t="shared" si="1002"/>
        <v>399.31395531271988</v>
      </c>
      <c r="T751">
        <f t="shared" si="1003"/>
        <v>0.3993139553127199</v>
      </c>
    </row>
    <row r="752" spans="1:20" x14ac:dyDescent="0.25">
      <c r="A752" s="5">
        <v>43841</v>
      </c>
      <c r="B752">
        <v>0.56699999999999995</v>
      </c>
      <c r="C752">
        <v>0.61299999999999999</v>
      </c>
      <c r="D752">
        <v>0.56000000000000005</v>
      </c>
      <c r="E752">
        <v>0.58299999999999996</v>
      </c>
      <c r="F752">
        <v>5553296.6799999997</v>
      </c>
      <c r="G752">
        <v>0</v>
      </c>
      <c r="L752" t="s">
        <v>8</v>
      </c>
      <c r="M752" t="s">
        <v>8</v>
      </c>
      <c r="N752" t="s">
        <v>7</v>
      </c>
      <c r="P752">
        <f t="shared" si="999"/>
        <v>-0.13207547169811557</v>
      </c>
      <c r="Q752">
        <f t="shared" si="1000"/>
        <v>-733454.2784905791</v>
      </c>
      <c r="R752">
        <f t="shared" si="1001"/>
        <v>37352119.850770049</v>
      </c>
      <c r="S752">
        <f t="shared" si="1002"/>
        <v>373.52119850770049</v>
      </c>
      <c r="T752">
        <f t="shared" si="1003"/>
        <v>0.37352119850770049</v>
      </c>
    </row>
    <row r="753" spans="1:20" x14ac:dyDescent="0.25">
      <c r="A753" s="5">
        <v>43840</v>
      </c>
      <c r="B753">
        <v>0.53869999999999996</v>
      </c>
      <c r="C753">
        <v>0.56979999999999997</v>
      </c>
      <c r="D753">
        <v>0.52949999999999997</v>
      </c>
      <c r="E753">
        <v>0.5665</v>
      </c>
      <c r="F753">
        <v>4294614.22</v>
      </c>
      <c r="G753">
        <v>0</v>
      </c>
      <c r="L753" t="s">
        <v>7</v>
      </c>
      <c r="M753" t="s">
        <v>8</v>
      </c>
      <c r="N753" t="s">
        <v>7</v>
      </c>
      <c r="P753">
        <f t="shared" si="999"/>
        <v>0.83622828784119263</v>
      </c>
      <c r="Q753">
        <f t="shared" si="1000"/>
        <v>3591277.8961290387</v>
      </c>
      <c r="R753">
        <f t="shared" si="1001"/>
        <v>38085574.129260629</v>
      </c>
      <c r="S753">
        <f t="shared" si="1002"/>
        <v>380.8557412926063</v>
      </c>
      <c r="T753">
        <f t="shared" si="1003"/>
        <v>0.3808557412926063</v>
      </c>
    </row>
    <row r="754" spans="1:20" x14ac:dyDescent="0.25">
      <c r="A754" s="5">
        <v>43839</v>
      </c>
      <c r="B754">
        <v>0.55320000000000003</v>
      </c>
      <c r="C754">
        <v>0.55320000000000003</v>
      </c>
      <c r="D754">
        <v>0.53110000000000002</v>
      </c>
      <c r="E754">
        <v>0.53869999999999996</v>
      </c>
      <c r="F754">
        <v>2280367.8199999998</v>
      </c>
      <c r="G754">
        <v>0</v>
      </c>
      <c r="L754" t="s">
        <v>7</v>
      </c>
      <c r="M754" t="s">
        <v>8</v>
      </c>
      <c r="N754" t="s">
        <v>7</v>
      </c>
      <c r="P754">
        <f t="shared" si="999"/>
        <v>-0.31221719457014141</v>
      </c>
      <c r="Q754">
        <f t="shared" si="1000"/>
        <v>-711970.04334842914</v>
      </c>
      <c r="R754">
        <f t="shared" si="1001"/>
        <v>34494296.233131588</v>
      </c>
      <c r="S754">
        <f t="shared" si="1002"/>
        <v>344.94296233131587</v>
      </c>
      <c r="T754">
        <f t="shared" si="1003"/>
        <v>0.34494296233131588</v>
      </c>
    </row>
    <row r="755" spans="1:20" x14ac:dyDescent="0.25">
      <c r="A755" s="5">
        <v>43838</v>
      </c>
      <c r="B755">
        <v>0.56359999999999999</v>
      </c>
      <c r="C755">
        <v>0.58930000000000005</v>
      </c>
      <c r="D755">
        <v>0.53859999999999997</v>
      </c>
      <c r="E755">
        <v>0.55379999999999996</v>
      </c>
      <c r="F755">
        <v>4685570.29</v>
      </c>
      <c r="G755">
        <v>0</v>
      </c>
      <c r="L755" t="s">
        <v>7</v>
      </c>
      <c r="M755" t="s">
        <v>8</v>
      </c>
      <c r="N755" t="s">
        <v>7</v>
      </c>
      <c r="P755">
        <f t="shared" si="999"/>
        <v>-0.40039447731755551</v>
      </c>
      <c r="Q755">
        <f t="shared" si="1000"/>
        <v>-1876076.4671992171</v>
      </c>
      <c r="R755">
        <f t="shared" si="1001"/>
        <v>35206266.276480019</v>
      </c>
      <c r="S755">
        <f t="shared" si="1002"/>
        <v>352.06266276480017</v>
      </c>
      <c r="T755">
        <f t="shared" si="1003"/>
        <v>0.35206266276480014</v>
      </c>
    </row>
    <row r="756" spans="1:20" x14ac:dyDescent="0.25">
      <c r="A756" s="5">
        <v>43837</v>
      </c>
      <c r="B756">
        <v>0.58330000000000004</v>
      </c>
      <c r="C756">
        <v>0.59299999999999997</v>
      </c>
      <c r="D756">
        <v>0.54959999999999998</v>
      </c>
      <c r="E756">
        <v>0.56359999999999999</v>
      </c>
      <c r="F756">
        <v>5550311.4500000002</v>
      </c>
      <c r="G756">
        <v>0</v>
      </c>
      <c r="L756" t="s">
        <v>7</v>
      </c>
      <c r="M756" t="s">
        <v>8</v>
      </c>
      <c r="N756" t="s">
        <v>7</v>
      </c>
      <c r="P756">
        <f t="shared" si="999"/>
        <v>-0.35483870967741871</v>
      </c>
      <c r="Q756">
        <f t="shared" si="1000"/>
        <v>-1969465.353225803</v>
      </c>
      <c r="R756">
        <f t="shared" si="1001"/>
        <v>37082342.743679233</v>
      </c>
      <c r="S756">
        <f t="shared" si="1002"/>
        <v>370.82342743679231</v>
      </c>
      <c r="T756">
        <f t="shared" si="1003"/>
        <v>0.37082342743679231</v>
      </c>
    </row>
    <row r="757" spans="1:20" x14ac:dyDescent="0.25">
      <c r="A757" s="5">
        <v>43836</v>
      </c>
      <c r="B757">
        <v>0.54859999999999998</v>
      </c>
      <c r="C757">
        <v>0.58750000000000002</v>
      </c>
      <c r="D757">
        <v>0.54749999999999999</v>
      </c>
      <c r="E757">
        <v>0.58309999999999995</v>
      </c>
      <c r="F757">
        <v>5587043.8799999999</v>
      </c>
      <c r="G757">
        <v>0</v>
      </c>
      <c r="L757" t="s">
        <v>8</v>
      </c>
      <c r="M757" t="s">
        <v>8</v>
      </c>
      <c r="N757" t="s">
        <v>7</v>
      </c>
      <c r="P757">
        <f t="shared" si="999"/>
        <v>0.7799999999999967</v>
      </c>
      <c r="Q757">
        <f t="shared" si="1000"/>
        <v>4357894.2263999814</v>
      </c>
      <c r="R757">
        <f t="shared" si="1001"/>
        <v>39051808.096905038</v>
      </c>
      <c r="S757">
        <f t="shared" si="1002"/>
        <v>390.5180809690504</v>
      </c>
      <c r="T757">
        <f t="shared" si="1003"/>
        <v>0.39051808096905039</v>
      </c>
    </row>
    <row r="758" spans="1:20" x14ac:dyDescent="0.25">
      <c r="A758" s="5">
        <v>43835</v>
      </c>
      <c r="B758">
        <v>0.53169999999999995</v>
      </c>
      <c r="C758">
        <v>0.57289999999999996</v>
      </c>
      <c r="D758">
        <v>0.53039999999999998</v>
      </c>
      <c r="E758">
        <v>0.54830000000000001</v>
      </c>
      <c r="F758">
        <v>4746345.04</v>
      </c>
      <c r="G758">
        <v>0</v>
      </c>
      <c r="L758" t="s">
        <v>8</v>
      </c>
      <c r="M758" t="s">
        <v>7</v>
      </c>
      <c r="N758" t="s">
        <v>7</v>
      </c>
      <c r="P758">
        <f t="shared" si="999"/>
        <v>-0.15764705882352778</v>
      </c>
      <c r="Q758">
        <f t="shared" si="1000"/>
        <v>-748247.3357176393</v>
      </c>
      <c r="R758">
        <f t="shared" si="1001"/>
        <v>34693913.870505057</v>
      </c>
      <c r="S758">
        <f t="shared" si="1002"/>
        <v>346.9391387050506</v>
      </c>
      <c r="T758">
        <f t="shared" si="1003"/>
        <v>0.34693913870505061</v>
      </c>
    </row>
    <row r="759" spans="1:20" x14ac:dyDescent="0.25">
      <c r="A759" s="5">
        <v>43834</v>
      </c>
      <c r="B759">
        <v>0.5282</v>
      </c>
      <c r="C759">
        <v>0.5323</v>
      </c>
      <c r="D759">
        <v>0.51839999999999997</v>
      </c>
      <c r="E759">
        <v>0.53159999999999996</v>
      </c>
      <c r="F759">
        <v>1876901.1</v>
      </c>
      <c r="G759">
        <v>0</v>
      </c>
      <c r="L759" t="s">
        <v>8</v>
      </c>
      <c r="M759" t="s">
        <v>7</v>
      </c>
      <c r="N759" t="s">
        <v>7</v>
      </c>
      <c r="P759">
        <f t="shared" si="999"/>
        <v>0.89928057553956364</v>
      </c>
      <c r="Q759">
        <f t="shared" si="1000"/>
        <v>1687860.7014388402</v>
      </c>
      <c r="R759">
        <f t="shared" si="1001"/>
        <v>35442161.206222698</v>
      </c>
      <c r="S759">
        <f t="shared" si="1002"/>
        <v>354.42161206222698</v>
      </c>
      <c r="T759">
        <f t="shared" si="1003"/>
        <v>0.354421612062227</v>
      </c>
    </row>
    <row r="760" spans="1:20" x14ac:dyDescent="0.25">
      <c r="A760" s="5">
        <v>43833</v>
      </c>
      <c r="B760">
        <v>0.50380000000000003</v>
      </c>
      <c r="C760">
        <v>0.53249999999999997</v>
      </c>
      <c r="D760">
        <v>0.49459999999999998</v>
      </c>
      <c r="E760">
        <v>0.52780000000000005</v>
      </c>
      <c r="F760">
        <v>3111408.42</v>
      </c>
      <c r="G760">
        <v>0</v>
      </c>
      <c r="L760" t="s">
        <v>8</v>
      </c>
      <c r="M760" t="s">
        <v>7</v>
      </c>
      <c r="N760" t="s">
        <v>7</v>
      </c>
      <c r="P760">
        <f t="shared" si="999"/>
        <v>0.75197889182058431</v>
      </c>
      <c r="Q760">
        <f t="shared" si="1000"/>
        <v>2339713.455672835</v>
      </c>
      <c r="R760">
        <f t="shared" si="1001"/>
        <v>33754300.504783861</v>
      </c>
      <c r="S760">
        <f t="shared" si="1002"/>
        <v>337.54300504783862</v>
      </c>
      <c r="T760">
        <f t="shared" si="1003"/>
        <v>0.33754300504783863</v>
      </c>
    </row>
    <row r="761" spans="1:20" x14ac:dyDescent="0.25">
      <c r="A761" s="5">
        <v>43832</v>
      </c>
      <c r="B761">
        <v>0.52669999999999995</v>
      </c>
      <c r="C761">
        <v>0.52759999999999996</v>
      </c>
      <c r="D761">
        <v>0.49690000000000001</v>
      </c>
      <c r="E761">
        <v>0.50370000000000004</v>
      </c>
      <c r="F761">
        <v>2059422.89</v>
      </c>
      <c r="G761">
        <v>0</v>
      </c>
      <c r="L761" t="s">
        <v>7</v>
      </c>
      <c r="M761" t="s">
        <v>7</v>
      </c>
      <c r="N761" t="s">
        <v>7</v>
      </c>
      <c r="P761">
        <f t="shared" si="999"/>
        <v>-0.5570032573289877</v>
      </c>
      <c r="Q761">
        <f t="shared" si="1000"/>
        <v>-1147105.2579478775</v>
      </c>
      <c r="R761">
        <f t="shared" si="1001"/>
        <v>31414587.049111027</v>
      </c>
      <c r="S761">
        <f t="shared" si="1002"/>
        <v>314.14587049111026</v>
      </c>
      <c r="T761">
        <f t="shared" si="1003"/>
        <v>0.31414587049111026</v>
      </c>
    </row>
    <row r="762" spans="1:20" x14ac:dyDescent="0.25">
      <c r="A762" s="5">
        <v>43831</v>
      </c>
      <c r="B762">
        <v>0.51910000000000001</v>
      </c>
      <c r="C762">
        <v>0.5413</v>
      </c>
      <c r="D762">
        <v>0.51700000000000002</v>
      </c>
      <c r="E762">
        <v>0.52749999999999997</v>
      </c>
      <c r="F762">
        <v>1377985.36</v>
      </c>
      <c r="G762">
        <v>0</v>
      </c>
      <c r="L762" t="s">
        <v>7</v>
      </c>
      <c r="M762" t="s">
        <v>7</v>
      </c>
      <c r="N762" t="s">
        <v>7</v>
      </c>
      <c r="P762">
        <f t="shared" si="999"/>
        <v>-0.13580246913580585</v>
      </c>
      <c r="Q762">
        <f t="shared" si="1000"/>
        <v>-187133.81432099233</v>
      </c>
      <c r="R762">
        <f t="shared" si="1001"/>
        <v>32561692.307058904</v>
      </c>
      <c r="S762">
        <f t="shared" si="1002"/>
        <v>325.61692307058905</v>
      </c>
      <c r="T762">
        <f t="shared" si="1003"/>
        <v>0.32561692307058904</v>
      </c>
    </row>
    <row r="763" spans="1:20" x14ac:dyDescent="0.25">
      <c r="A763" s="5">
        <v>43830</v>
      </c>
      <c r="B763">
        <v>0.52569999999999995</v>
      </c>
      <c r="C763">
        <v>0.53029999999999999</v>
      </c>
      <c r="D763">
        <v>0.51690000000000003</v>
      </c>
      <c r="E763">
        <v>0.51849999999999996</v>
      </c>
      <c r="F763">
        <v>1503320.72</v>
      </c>
      <c r="G763">
        <v>0</v>
      </c>
      <c r="L763" t="s">
        <v>7</v>
      </c>
      <c r="M763" t="s">
        <v>7</v>
      </c>
      <c r="N763" t="s">
        <v>7</v>
      </c>
      <c r="P763">
        <f t="shared" si="999"/>
        <v>-0.76119402985075546</v>
      </c>
      <c r="Q763">
        <f t="shared" si="1000"/>
        <v>-1144318.7570149391</v>
      </c>
      <c r="R763">
        <f t="shared" si="1001"/>
        <v>32748826.121379897</v>
      </c>
      <c r="S763">
        <f t="shared" si="1002"/>
        <v>327.48826121379898</v>
      </c>
      <c r="T763">
        <f t="shared" si="1003"/>
        <v>0.32748826121379898</v>
      </c>
    </row>
    <row r="764" spans="1:20" x14ac:dyDescent="0.25">
      <c r="A764" s="5">
        <v>43829</v>
      </c>
      <c r="B764">
        <v>0.54459999999999997</v>
      </c>
      <c r="C764">
        <v>0.54459999999999997</v>
      </c>
      <c r="D764">
        <v>0.52300000000000002</v>
      </c>
      <c r="E764">
        <v>0.5262</v>
      </c>
      <c r="F764">
        <v>2616125.54</v>
      </c>
      <c r="G764">
        <v>0</v>
      </c>
      <c r="L764" t="s">
        <v>8</v>
      </c>
      <c r="M764" t="s">
        <v>7</v>
      </c>
      <c r="N764" t="s">
        <v>7</v>
      </c>
      <c r="P764">
        <f t="shared" si="999"/>
        <v>-0.70370370370370483</v>
      </c>
      <c r="Q764">
        <f t="shared" si="1000"/>
        <v>-1840977.2318518548</v>
      </c>
      <c r="R764">
        <f t="shared" si="1001"/>
        <v>33893144.878394835</v>
      </c>
      <c r="S764">
        <f t="shared" si="1002"/>
        <v>338.93144878394833</v>
      </c>
      <c r="T764">
        <f t="shared" si="1003"/>
        <v>0.33893144878394832</v>
      </c>
    </row>
    <row r="765" spans="1:20" x14ac:dyDescent="0.25">
      <c r="A765" s="5">
        <v>43828</v>
      </c>
      <c r="B765">
        <v>0.53149999999999997</v>
      </c>
      <c r="C765">
        <v>0.55320000000000003</v>
      </c>
      <c r="D765">
        <v>0.52549999999999997</v>
      </c>
      <c r="E765">
        <v>0.54469999999999996</v>
      </c>
      <c r="F765">
        <v>3735733.77</v>
      </c>
      <c r="G765">
        <v>0</v>
      </c>
      <c r="L765" t="s">
        <v>8</v>
      </c>
      <c r="M765" t="s">
        <v>7</v>
      </c>
      <c r="N765" t="s">
        <v>7</v>
      </c>
      <c r="P765">
        <f t="shared" si="999"/>
        <v>0.38628158844765015</v>
      </c>
      <c r="Q765">
        <f t="shared" si="1000"/>
        <v>1443045.1746931286</v>
      </c>
      <c r="R765">
        <f t="shared" si="1001"/>
        <v>35734122.110246688</v>
      </c>
      <c r="S765">
        <f t="shared" si="1002"/>
        <v>357.34122110246687</v>
      </c>
      <c r="T765">
        <f t="shared" si="1003"/>
        <v>0.35734122110246685</v>
      </c>
    </row>
    <row r="766" spans="1:20" x14ac:dyDescent="0.25">
      <c r="A766" s="5">
        <v>43827</v>
      </c>
      <c r="B766">
        <v>0.51959999999999995</v>
      </c>
      <c r="C766">
        <v>0.5393</v>
      </c>
      <c r="D766">
        <v>0.51819999999999999</v>
      </c>
      <c r="E766">
        <v>0.53100000000000003</v>
      </c>
      <c r="F766">
        <v>2912446.35</v>
      </c>
      <c r="G766">
        <v>0</v>
      </c>
      <c r="L766" t="s">
        <v>7</v>
      </c>
      <c r="M766" t="s">
        <v>7</v>
      </c>
      <c r="N766" t="s">
        <v>7</v>
      </c>
      <c r="P766">
        <f t="shared" si="999"/>
        <v>0.21327014218009752</v>
      </c>
      <c r="Q766">
        <f t="shared" si="1000"/>
        <v>621137.84715640603</v>
      </c>
      <c r="R766">
        <f t="shared" si="1001"/>
        <v>34291076.935553558</v>
      </c>
      <c r="S766">
        <f t="shared" si="1002"/>
        <v>342.91076935553559</v>
      </c>
      <c r="T766">
        <f t="shared" si="1003"/>
        <v>0.34291076935553561</v>
      </c>
    </row>
    <row r="767" spans="1:20" x14ac:dyDescent="0.25">
      <c r="A767" s="5">
        <v>43826</v>
      </c>
      <c r="B767">
        <v>0.51470000000000005</v>
      </c>
      <c r="C767">
        <v>0.52749999999999997</v>
      </c>
      <c r="D767">
        <v>0.50590000000000002</v>
      </c>
      <c r="E767">
        <v>0.51970000000000005</v>
      </c>
      <c r="F767">
        <v>2746565.92</v>
      </c>
      <c r="G767">
        <v>0</v>
      </c>
      <c r="L767" t="s">
        <v>7</v>
      </c>
      <c r="M767" t="s">
        <v>7</v>
      </c>
      <c r="N767" t="s">
        <v>7</v>
      </c>
      <c r="P767">
        <f t="shared" ref="P767:P830" si="1004">IF(C767=D767,0,((E767-D767)-(C767-E767))/(C767-D767))</f>
        <v>0.27777777777778379</v>
      </c>
      <c r="Q767">
        <f t="shared" ref="Q767:Q830" si="1005">F767*P767</f>
        <v>762934.97777779424</v>
      </c>
      <c r="R767">
        <f t="shared" ref="R767:R830" si="1006">R768+Q767</f>
        <v>33669939.088397153</v>
      </c>
      <c r="S767">
        <f t="shared" ref="S767:S830" si="1007">R767/100000</f>
        <v>336.69939088397155</v>
      </c>
      <c r="T767">
        <f t="shared" ref="T767:T830" si="1008">S767/1000</f>
        <v>0.33669939088397155</v>
      </c>
    </row>
    <row r="768" spans="1:20" x14ac:dyDescent="0.25">
      <c r="A768" s="5">
        <v>43825</v>
      </c>
      <c r="B768">
        <v>0.51219999999999999</v>
      </c>
      <c r="C768">
        <v>0.53300000000000003</v>
      </c>
      <c r="D768">
        <v>0.505</v>
      </c>
      <c r="E768">
        <v>0.51490000000000002</v>
      </c>
      <c r="F768">
        <v>3828436.38</v>
      </c>
      <c r="G768">
        <v>0</v>
      </c>
      <c r="L768" t="s">
        <v>7</v>
      </c>
      <c r="M768" t="s">
        <v>7</v>
      </c>
      <c r="N768" t="s">
        <v>7</v>
      </c>
      <c r="P768">
        <f t="shared" si="1004"/>
        <v>-0.29285714285714204</v>
      </c>
      <c r="Q768">
        <f t="shared" si="1005"/>
        <v>-1121184.9398571397</v>
      </c>
      <c r="R768">
        <f t="shared" si="1006"/>
        <v>32907004.110619359</v>
      </c>
      <c r="S768">
        <f t="shared" si="1007"/>
        <v>329.07004110619357</v>
      </c>
      <c r="T768">
        <f t="shared" si="1008"/>
        <v>0.32907004110619359</v>
      </c>
    </row>
    <row r="769" spans="1:20" x14ac:dyDescent="0.25">
      <c r="A769" s="5">
        <v>43824</v>
      </c>
      <c r="B769">
        <v>0.5222</v>
      </c>
      <c r="C769">
        <v>0.52259999999999995</v>
      </c>
      <c r="D769">
        <v>0.50429999999999997</v>
      </c>
      <c r="E769">
        <v>0.51219999999999999</v>
      </c>
      <c r="F769">
        <v>2486859.6</v>
      </c>
      <c r="G769">
        <v>0</v>
      </c>
      <c r="L769" t="s">
        <v>7</v>
      </c>
      <c r="M769" t="s">
        <v>7</v>
      </c>
      <c r="N769" t="s">
        <v>7</v>
      </c>
      <c r="P769">
        <f t="shared" si="1004"/>
        <v>-0.13661202185792071</v>
      </c>
      <c r="Q769">
        <f t="shared" si="1005"/>
        <v>-339734.91803277994</v>
      </c>
      <c r="R769">
        <f t="shared" si="1006"/>
        <v>34028189.050476499</v>
      </c>
      <c r="S769">
        <f t="shared" si="1007"/>
        <v>340.28189050476499</v>
      </c>
      <c r="T769">
        <f t="shared" si="1008"/>
        <v>0.34028189050476498</v>
      </c>
    </row>
    <row r="770" spans="1:20" x14ac:dyDescent="0.25">
      <c r="A770" s="5">
        <v>43823</v>
      </c>
      <c r="B770">
        <v>0.52259999999999995</v>
      </c>
      <c r="C770">
        <v>0.5393</v>
      </c>
      <c r="D770">
        <v>0.5171</v>
      </c>
      <c r="E770">
        <v>0.52229999999999999</v>
      </c>
      <c r="F770">
        <v>3555604.93</v>
      </c>
      <c r="G770">
        <v>0</v>
      </c>
      <c r="L770" t="s">
        <v>7</v>
      </c>
      <c r="M770" t="s">
        <v>7</v>
      </c>
      <c r="N770" t="s">
        <v>7</v>
      </c>
      <c r="P770">
        <f t="shared" si="1004"/>
        <v>-0.5315315315315331</v>
      </c>
      <c r="Q770">
        <f t="shared" si="1005"/>
        <v>-1889916.1339639695</v>
      </c>
      <c r="R770">
        <f t="shared" si="1006"/>
        <v>34367923.968509279</v>
      </c>
      <c r="S770">
        <f t="shared" si="1007"/>
        <v>343.6792396850928</v>
      </c>
      <c r="T770">
        <f t="shared" si="1008"/>
        <v>0.34367923968509279</v>
      </c>
    </row>
    <row r="771" spans="1:20" x14ac:dyDescent="0.25">
      <c r="A771" s="5">
        <v>43822</v>
      </c>
      <c r="B771">
        <v>0.55730000000000002</v>
      </c>
      <c r="C771">
        <v>0.56399999999999995</v>
      </c>
      <c r="D771">
        <v>0.5161</v>
      </c>
      <c r="E771">
        <v>0.52229999999999999</v>
      </c>
      <c r="F771">
        <v>5936789.3899999997</v>
      </c>
      <c r="G771">
        <v>0</v>
      </c>
      <c r="L771" t="s">
        <v>7</v>
      </c>
      <c r="M771" t="s">
        <v>7</v>
      </c>
      <c r="N771" t="s">
        <v>7</v>
      </c>
      <c r="P771">
        <f t="shared" si="1004"/>
        <v>-0.74112734864300667</v>
      </c>
      <c r="Q771">
        <f t="shared" si="1005"/>
        <v>-4399916.9800626328</v>
      </c>
      <c r="R771">
        <f t="shared" si="1006"/>
        <v>36257840.102473252</v>
      </c>
      <c r="S771">
        <f t="shared" si="1007"/>
        <v>362.5784010247325</v>
      </c>
      <c r="T771">
        <f t="shared" si="1008"/>
        <v>0.36257840102473249</v>
      </c>
    </row>
    <row r="772" spans="1:20" x14ac:dyDescent="0.25">
      <c r="A772" s="5">
        <v>43821</v>
      </c>
      <c r="B772">
        <v>0.53820000000000001</v>
      </c>
      <c r="C772">
        <v>0.55740000000000001</v>
      </c>
      <c r="D772">
        <v>0.53359999999999996</v>
      </c>
      <c r="E772">
        <v>0.55700000000000005</v>
      </c>
      <c r="F772">
        <v>3599760.07</v>
      </c>
      <c r="G772">
        <v>0</v>
      </c>
      <c r="L772" t="s">
        <v>7</v>
      </c>
      <c r="M772" t="s">
        <v>7</v>
      </c>
      <c r="N772" t="s">
        <v>7</v>
      </c>
      <c r="P772">
        <f t="shared" si="1004"/>
        <v>0.96638655462185252</v>
      </c>
      <c r="Q772">
        <f t="shared" si="1005"/>
        <v>3478759.7315126187</v>
      </c>
      <c r="R772">
        <f t="shared" si="1006"/>
        <v>40657757.082535885</v>
      </c>
      <c r="S772">
        <f t="shared" si="1007"/>
        <v>406.57757082535886</v>
      </c>
      <c r="T772">
        <f t="shared" si="1008"/>
        <v>0.40657757082535884</v>
      </c>
    </row>
    <row r="773" spans="1:20" x14ac:dyDescent="0.25">
      <c r="A773" s="5">
        <v>43820</v>
      </c>
      <c r="B773">
        <v>0.54910000000000003</v>
      </c>
      <c r="C773">
        <v>0.55159999999999998</v>
      </c>
      <c r="D773">
        <v>0.53359999999999996</v>
      </c>
      <c r="E773">
        <v>0.53890000000000005</v>
      </c>
      <c r="F773">
        <v>2272804.6</v>
      </c>
      <c r="G773">
        <v>0</v>
      </c>
      <c r="L773" t="s">
        <v>7</v>
      </c>
      <c r="M773" t="s">
        <v>7</v>
      </c>
      <c r="N773" t="s">
        <v>7</v>
      </c>
      <c r="P773">
        <f t="shared" si="1004"/>
        <v>-0.41111111111110249</v>
      </c>
      <c r="Q773">
        <f t="shared" si="1005"/>
        <v>-934375.22444442485</v>
      </c>
      <c r="R773">
        <f t="shared" si="1006"/>
        <v>37178997.351023264</v>
      </c>
      <c r="S773">
        <f t="shared" si="1007"/>
        <v>371.78997351023264</v>
      </c>
      <c r="T773">
        <f t="shared" si="1008"/>
        <v>0.37178997351023263</v>
      </c>
    </row>
    <row r="774" spans="1:20" x14ac:dyDescent="0.25">
      <c r="A774" s="5">
        <v>43819</v>
      </c>
      <c r="B774">
        <v>0.54120000000000001</v>
      </c>
      <c r="C774">
        <v>0.55900000000000005</v>
      </c>
      <c r="D774">
        <v>0.52829999999999999</v>
      </c>
      <c r="E774">
        <v>0.54869999999999997</v>
      </c>
      <c r="F774">
        <v>2676243.5299999998</v>
      </c>
      <c r="G774">
        <v>0</v>
      </c>
      <c r="L774" t="s">
        <v>7</v>
      </c>
      <c r="M774" t="s">
        <v>7</v>
      </c>
      <c r="N774" t="s">
        <v>7</v>
      </c>
      <c r="P774">
        <f t="shared" si="1004"/>
        <v>0.32899022801302497</v>
      </c>
      <c r="Q774">
        <f t="shared" si="1005"/>
        <v>880457.9691530827</v>
      </c>
      <c r="R774">
        <f t="shared" si="1006"/>
        <v>38113372.575467691</v>
      </c>
      <c r="S774">
        <f t="shared" si="1007"/>
        <v>381.1337257546769</v>
      </c>
      <c r="T774">
        <f t="shared" si="1008"/>
        <v>0.38113372575467691</v>
      </c>
    </row>
    <row r="775" spans="1:20" x14ac:dyDescent="0.25">
      <c r="A775" s="5">
        <v>43818</v>
      </c>
      <c r="B775">
        <v>0.55600000000000005</v>
      </c>
      <c r="C775">
        <v>0.56379999999999997</v>
      </c>
      <c r="D775">
        <v>0.5302</v>
      </c>
      <c r="E775">
        <v>0.54069999999999996</v>
      </c>
      <c r="F775">
        <v>3426303.89</v>
      </c>
      <c r="G775">
        <v>0</v>
      </c>
      <c r="L775" t="s">
        <v>7</v>
      </c>
      <c r="M775" t="s">
        <v>7</v>
      </c>
      <c r="N775" t="s">
        <v>7</v>
      </c>
      <c r="P775">
        <f t="shared" si="1004"/>
        <v>-0.37500000000000205</v>
      </c>
      <c r="Q775">
        <f t="shared" si="1005"/>
        <v>-1284863.958750007</v>
      </c>
      <c r="R775">
        <f t="shared" si="1006"/>
        <v>37232914.606314607</v>
      </c>
      <c r="S775">
        <f t="shared" si="1007"/>
        <v>372.32914606314608</v>
      </c>
      <c r="T775">
        <f t="shared" si="1008"/>
        <v>0.3723291460631461</v>
      </c>
    </row>
    <row r="776" spans="1:20" x14ac:dyDescent="0.25">
      <c r="A776" s="5">
        <v>43817</v>
      </c>
      <c r="B776">
        <v>0.52180000000000004</v>
      </c>
      <c r="C776">
        <v>0.57099999999999995</v>
      </c>
      <c r="D776">
        <v>0.50290000000000001</v>
      </c>
      <c r="E776">
        <v>0.55600000000000005</v>
      </c>
      <c r="F776">
        <v>4628458.91</v>
      </c>
      <c r="G776">
        <v>0</v>
      </c>
      <c r="L776" t="s">
        <v>8</v>
      </c>
      <c r="M776" t="s">
        <v>7</v>
      </c>
      <c r="N776" t="s">
        <v>7</v>
      </c>
      <c r="P776">
        <f t="shared" si="1004"/>
        <v>0.55947136563876898</v>
      </c>
      <c r="Q776">
        <f t="shared" si="1005"/>
        <v>2589490.2271806281</v>
      </c>
      <c r="R776">
        <f t="shared" si="1006"/>
        <v>38517778.565064617</v>
      </c>
      <c r="S776">
        <f t="shared" si="1007"/>
        <v>385.17778565064617</v>
      </c>
      <c r="T776">
        <f t="shared" si="1008"/>
        <v>0.3851777856506462</v>
      </c>
    </row>
    <row r="777" spans="1:20" x14ac:dyDescent="0.25">
      <c r="A777" s="5">
        <v>43816</v>
      </c>
      <c r="B777">
        <v>0.55800000000000005</v>
      </c>
      <c r="C777">
        <v>0.56330000000000002</v>
      </c>
      <c r="D777">
        <v>0.50629999999999997</v>
      </c>
      <c r="E777">
        <v>0.52029999999999998</v>
      </c>
      <c r="F777">
        <v>3603371.97</v>
      </c>
      <c r="G777">
        <v>0</v>
      </c>
      <c r="L777" t="s">
        <v>7</v>
      </c>
      <c r="M777" t="s">
        <v>7</v>
      </c>
      <c r="N777" t="s">
        <v>7</v>
      </c>
      <c r="P777">
        <f t="shared" si="1004"/>
        <v>-0.50877192982456143</v>
      </c>
      <c r="Q777">
        <f t="shared" si="1005"/>
        <v>-1833294.5110526318</v>
      </c>
      <c r="R777">
        <f t="shared" si="1006"/>
        <v>35928288.337883987</v>
      </c>
      <c r="S777">
        <f t="shared" si="1007"/>
        <v>359.28288337883987</v>
      </c>
      <c r="T777">
        <f t="shared" si="1008"/>
        <v>0.35928288337883985</v>
      </c>
    </row>
    <row r="778" spans="1:20" x14ac:dyDescent="0.25">
      <c r="A778" s="5">
        <v>43815</v>
      </c>
      <c r="B778">
        <v>0.59489999999999998</v>
      </c>
      <c r="C778">
        <v>0.59699999999999998</v>
      </c>
      <c r="D778">
        <v>0.55669999999999997</v>
      </c>
      <c r="E778">
        <v>0.55800000000000005</v>
      </c>
      <c r="F778">
        <v>1810686.9</v>
      </c>
      <c r="G778">
        <v>0</v>
      </c>
      <c r="L778" t="s">
        <v>7</v>
      </c>
      <c r="M778" t="s">
        <v>7</v>
      </c>
      <c r="N778" t="s">
        <v>7</v>
      </c>
      <c r="P778">
        <f t="shared" si="1004"/>
        <v>-0.935483870967738</v>
      </c>
      <c r="Q778">
        <f t="shared" si="1005"/>
        <v>-1693868.3903225735</v>
      </c>
      <c r="R778">
        <f t="shared" si="1006"/>
        <v>37761582.848936617</v>
      </c>
      <c r="S778">
        <f t="shared" si="1007"/>
        <v>377.61582848936615</v>
      </c>
      <c r="T778">
        <f t="shared" si="1008"/>
        <v>0.37761582848936615</v>
      </c>
    </row>
    <row r="779" spans="1:20" x14ac:dyDescent="0.25">
      <c r="A779" s="5">
        <v>43814</v>
      </c>
      <c r="B779">
        <v>0.58640000000000003</v>
      </c>
      <c r="C779">
        <v>0.60550000000000004</v>
      </c>
      <c r="D779">
        <v>0.57899999999999996</v>
      </c>
      <c r="E779">
        <v>0.59450000000000003</v>
      </c>
      <c r="F779">
        <v>2041102.75</v>
      </c>
      <c r="G779">
        <v>0</v>
      </c>
      <c r="L779" t="s">
        <v>7</v>
      </c>
      <c r="M779" t="s">
        <v>7</v>
      </c>
      <c r="N779" t="s">
        <v>7</v>
      </c>
      <c r="P779">
        <f t="shared" si="1004"/>
        <v>0.16981132075471872</v>
      </c>
      <c r="Q779">
        <f t="shared" si="1005"/>
        <v>346602.35377358843</v>
      </c>
      <c r="R779">
        <f t="shared" si="1006"/>
        <v>39455451.239259191</v>
      </c>
      <c r="S779">
        <f t="shared" si="1007"/>
        <v>394.5545123925919</v>
      </c>
      <c r="T779">
        <f t="shared" si="1008"/>
        <v>0.39455451239259193</v>
      </c>
    </row>
    <row r="780" spans="1:20" x14ac:dyDescent="0.25">
      <c r="A780" s="5">
        <v>43813</v>
      </c>
      <c r="B780">
        <v>0.61280000000000001</v>
      </c>
      <c r="C780">
        <v>0.61329999999999996</v>
      </c>
      <c r="D780">
        <v>0.58040000000000003</v>
      </c>
      <c r="E780">
        <v>0.58679999999999999</v>
      </c>
      <c r="F780">
        <v>1807734.5</v>
      </c>
      <c r="G780">
        <v>0</v>
      </c>
      <c r="L780" t="s">
        <v>7</v>
      </c>
      <c r="M780" t="s">
        <v>7</v>
      </c>
      <c r="N780" t="s">
        <v>7</v>
      </c>
      <c r="P780">
        <f t="shared" si="1004"/>
        <v>-0.61094224924012308</v>
      </c>
      <c r="Q780">
        <f t="shared" si="1005"/>
        <v>-1104421.3814589693</v>
      </c>
      <c r="R780">
        <f t="shared" si="1006"/>
        <v>39108848.885485604</v>
      </c>
      <c r="S780">
        <f t="shared" si="1007"/>
        <v>391.08848885485605</v>
      </c>
      <c r="T780">
        <f t="shared" si="1008"/>
        <v>0.39108848885485603</v>
      </c>
    </row>
    <row r="781" spans="1:20" x14ac:dyDescent="0.25">
      <c r="A781" s="5">
        <v>43812</v>
      </c>
      <c r="B781">
        <v>0.59209999999999996</v>
      </c>
      <c r="C781">
        <v>0.62860000000000005</v>
      </c>
      <c r="D781">
        <v>0.59160000000000001</v>
      </c>
      <c r="E781">
        <v>0.61219999999999997</v>
      </c>
      <c r="F781">
        <v>3232871.86</v>
      </c>
      <c r="G781">
        <v>0</v>
      </c>
      <c r="L781" t="s">
        <v>8</v>
      </c>
      <c r="M781" t="s">
        <v>7</v>
      </c>
      <c r="N781" t="s">
        <v>7</v>
      </c>
      <c r="P781">
        <f t="shared" si="1004"/>
        <v>0.11351351351350991</v>
      </c>
      <c r="Q781">
        <f t="shared" si="1005"/>
        <v>366974.64356755593</v>
      </c>
      <c r="R781">
        <f t="shared" si="1006"/>
        <v>40213270.266944572</v>
      </c>
      <c r="S781">
        <f t="shared" si="1007"/>
        <v>402.13270266944573</v>
      </c>
      <c r="T781">
        <f t="shared" si="1008"/>
        <v>0.40213270266944573</v>
      </c>
    </row>
    <row r="782" spans="1:20" x14ac:dyDescent="0.25">
      <c r="A782" s="5">
        <v>43811</v>
      </c>
      <c r="B782">
        <v>0.59150000000000003</v>
      </c>
      <c r="C782">
        <v>0.59530000000000005</v>
      </c>
      <c r="D782">
        <v>0.57769999999999999</v>
      </c>
      <c r="E782">
        <v>0.59260000000000002</v>
      </c>
      <c r="F782">
        <v>2165777.4900000002</v>
      </c>
      <c r="G782">
        <v>0</v>
      </c>
      <c r="L782" t="s">
        <v>7</v>
      </c>
      <c r="M782" t="s">
        <v>7</v>
      </c>
      <c r="N782" t="s">
        <v>7</v>
      </c>
      <c r="P782">
        <f t="shared" si="1004"/>
        <v>0.69318181818181512</v>
      </c>
      <c r="Q782">
        <f t="shared" si="1005"/>
        <v>1501277.5782954481</v>
      </c>
      <c r="R782">
        <f t="shared" si="1006"/>
        <v>39846295.623377018</v>
      </c>
      <c r="S782">
        <f t="shared" si="1007"/>
        <v>398.46295623377017</v>
      </c>
      <c r="T782">
        <f t="shared" si="1008"/>
        <v>0.39846295623377015</v>
      </c>
    </row>
    <row r="783" spans="1:20" x14ac:dyDescent="0.25">
      <c r="A783" s="5">
        <v>43810</v>
      </c>
      <c r="B783">
        <v>0.58919999999999995</v>
      </c>
      <c r="C783">
        <v>0.60670000000000002</v>
      </c>
      <c r="D783">
        <v>0.58250000000000002</v>
      </c>
      <c r="E783">
        <v>0.59150000000000003</v>
      </c>
      <c r="F783">
        <v>1613898.25</v>
      </c>
      <c r="G783">
        <v>0</v>
      </c>
      <c r="L783" t="s">
        <v>7</v>
      </c>
      <c r="M783" t="s">
        <v>7</v>
      </c>
      <c r="N783" t="s">
        <v>7</v>
      </c>
      <c r="P783">
        <f t="shared" si="1004"/>
        <v>-0.25619834710743733</v>
      </c>
      <c r="Q783">
        <f t="shared" si="1005"/>
        <v>-413478.06404958566</v>
      </c>
      <c r="R783">
        <f t="shared" si="1006"/>
        <v>38345018.045081571</v>
      </c>
      <c r="S783">
        <f t="shared" si="1007"/>
        <v>383.45018045081571</v>
      </c>
      <c r="T783">
        <f t="shared" si="1008"/>
        <v>0.38345018045081569</v>
      </c>
    </row>
    <row r="784" spans="1:20" x14ac:dyDescent="0.25">
      <c r="A784" s="5">
        <v>43809</v>
      </c>
      <c r="B784">
        <v>0.61150000000000004</v>
      </c>
      <c r="C784">
        <v>0.61560000000000004</v>
      </c>
      <c r="D784">
        <v>0.57820000000000005</v>
      </c>
      <c r="E784">
        <v>0.58979999999999999</v>
      </c>
      <c r="F784">
        <v>3116104.82</v>
      </c>
      <c r="G784">
        <v>0</v>
      </c>
      <c r="L784" t="s">
        <v>7</v>
      </c>
      <c r="M784" t="s">
        <v>7</v>
      </c>
      <c r="N784" t="s">
        <v>7</v>
      </c>
      <c r="P784">
        <f t="shared" si="1004"/>
        <v>-0.37967914438502959</v>
      </c>
      <c r="Q784">
        <f t="shared" si="1005"/>
        <v>-1183120.0118716666</v>
      </c>
      <c r="R784">
        <f t="shared" si="1006"/>
        <v>38758496.109131157</v>
      </c>
      <c r="S784">
        <f t="shared" si="1007"/>
        <v>387.58496109131158</v>
      </c>
      <c r="T784">
        <f t="shared" si="1008"/>
        <v>0.38758496109131158</v>
      </c>
    </row>
    <row r="785" spans="1:20" x14ac:dyDescent="0.25">
      <c r="A785" s="5">
        <v>43808</v>
      </c>
      <c r="B785">
        <v>0.64100000000000001</v>
      </c>
      <c r="C785">
        <v>0.65390000000000004</v>
      </c>
      <c r="D785">
        <v>0.60599999999999998</v>
      </c>
      <c r="E785">
        <v>0.6119</v>
      </c>
      <c r="F785">
        <v>4849402.8</v>
      </c>
      <c r="G785">
        <v>0</v>
      </c>
      <c r="L785" t="s">
        <v>7</v>
      </c>
      <c r="M785" t="s">
        <v>7</v>
      </c>
      <c r="N785" t="s">
        <v>7</v>
      </c>
      <c r="P785">
        <f t="shared" si="1004"/>
        <v>-0.75365344467640882</v>
      </c>
      <c r="Q785">
        <f t="shared" si="1005"/>
        <v>-3654769.1248434219</v>
      </c>
      <c r="R785">
        <f t="shared" si="1006"/>
        <v>39941616.121002823</v>
      </c>
      <c r="S785">
        <f t="shared" si="1007"/>
        <v>399.41616121002824</v>
      </c>
      <c r="T785">
        <f t="shared" si="1008"/>
        <v>0.39941616121002821</v>
      </c>
    </row>
    <row r="786" spans="1:20" x14ac:dyDescent="0.25">
      <c r="A786" s="5">
        <v>43807</v>
      </c>
      <c r="B786">
        <v>0.61719999999999997</v>
      </c>
      <c r="C786">
        <v>0.64939999999999998</v>
      </c>
      <c r="D786">
        <v>0.60419999999999996</v>
      </c>
      <c r="E786">
        <v>0.64019999999999999</v>
      </c>
      <c r="F786">
        <v>3898127.95</v>
      </c>
      <c r="G786">
        <v>0</v>
      </c>
      <c r="L786" t="s">
        <v>8</v>
      </c>
      <c r="M786" t="s">
        <v>7</v>
      </c>
      <c r="N786" t="s">
        <v>7</v>
      </c>
      <c r="P786">
        <f t="shared" si="1004"/>
        <v>0.5929203539823017</v>
      </c>
      <c r="Q786">
        <f t="shared" si="1005"/>
        <v>2311279.403982304</v>
      </c>
      <c r="R786">
        <f t="shared" si="1006"/>
        <v>43596385.245846242</v>
      </c>
      <c r="S786">
        <f t="shared" si="1007"/>
        <v>435.96385245846244</v>
      </c>
      <c r="T786">
        <f t="shared" si="1008"/>
        <v>0.43596385245846242</v>
      </c>
    </row>
    <row r="787" spans="1:20" x14ac:dyDescent="0.25">
      <c r="A787" s="5">
        <v>43806</v>
      </c>
      <c r="B787">
        <v>0.61660000000000004</v>
      </c>
      <c r="C787">
        <v>0.63070000000000004</v>
      </c>
      <c r="D787">
        <v>0.61250000000000004</v>
      </c>
      <c r="E787">
        <v>0.61719999999999997</v>
      </c>
      <c r="F787">
        <v>2315717.61</v>
      </c>
      <c r="G787">
        <v>0</v>
      </c>
      <c r="L787" t="s">
        <v>8</v>
      </c>
      <c r="M787" t="s">
        <v>7</v>
      </c>
      <c r="N787" t="s">
        <v>7</v>
      </c>
      <c r="P787">
        <f t="shared" si="1004"/>
        <v>-0.4835164835164914</v>
      </c>
      <c r="Q787">
        <f t="shared" si="1005"/>
        <v>-1119687.6356044137</v>
      </c>
      <c r="R787">
        <f t="shared" si="1006"/>
        <v>41285105.841863938</v>
      </c>
      <c r="S787">
        <f t="shared" si="1007"/>
        <v>412.85105841863935</v>
      </c>
      <c r="T787">
        <f t="shared" si="1008"/>
        <v>0.41285105841863934</v>
      </c>
    </row>
    <row r="788" spans="1:20" x14ac:dyDescent="0.25">
      <c r="A788" s="5">
        <v>43805</v>
      </c>
      <c r="B788">
        <v>0.61070000000000002</v>
      </c>
      <c r="C788">
        <v>0.61890000000000001</v>
      </c>
      <c r="D788">
        <v>0.59909999999999997</v>
      </c>
      <c r="E788">
        <v>0.61599999999999999</v>
      </c>
      <c r="F788">
        <v>2603091.86</v>
      </c>
      <c r="G788">
        <v>0</v>
      </c>
      <c r="L788" t="s">
        <v>7</v>
      </c>
      <c r="M788" t="s">
        <v>7</v>
      </c>
      <c r="N788" t="s">
        <v>7</v>
      </c>
      <c r="P788">
        <f t="shared" si="1004"/>
        <v>0.70707070707070629</v>
      </c>
      <c r="Q788">
        <f t="shared" si="1005"/>
        <v>1840570.0020202</v>
      </c>
      <c r="R788">
        <f t="shared" si="1006"/>
        <v>42404793.477468349</v>
      </c>
      <c r="S788">
        <f t="shared" si="1007"/>
        <v>424.04793477468348</v>
      </c>
      <c r="T788">
        <f t="shared" si="1008"/>
        <v>0.4240479347746835</v>
      </c>
    </row>
    <row r="789" spans="1:20" x14ac:dyDescent="0.25">
      <c r="A789" s="5">
        <v>43804</v>
      </c>
      <c r="B789">
        <v>0.59340000000000004</v>
      </c>
      <c r="C789">
        <v>0.61719999999999997</v>
      </c>
      <c r="D789">
        <v>0.58860000000000001</v>
      </c>
      <c r="E789">
        <v>0.61050000000000004</v>
      </c>
      <c r="F789">
        <v>2976738.26</v>
      </c>
      <c r="G789">
        <v>0</v>
      </c>
      <c r="L789" t="s">
        <v>7</v>
      </c>
      <c r="M789" t="s">
        <v>7</v>
      </c>
      <c r="N789" t="s">
        <v>7</v>
      </c>
      <c r="P789">
        <f t="shared" si="1004"/>
        <v>0.53146853146853579</v>
      </c>
      <c r="Q789">
        <f t="shared" si="1005"/>
        <v>1582042.7116084043</v>
      </c>
      <c r="R789">
        <f t="shared" si="1006"/>
        <v>40564223.475448146</v>
      </c>
      <c r="S789">
        <f t="shared" si="1007"/>
        <v>405.64223475448148</v>
      </c>
      <c r="T789">
        <f t="shared" si="1008"/>
        <v>0.40564223475448147</v>
      </c>
    </row>
    <row r="790" spans="1:20" x14ac:dyDescent="0.25">
      <c r="A790" s="5">
        <v>43803</v>
      </c>
      <c r="B790">
        <v>0.61729999999999996</v>
      </c>
      <c r="C790">
        <v>0.63539999999999996</v>
      </c>
      <c r="D790">
        <v>0.58130000000000004</v>
      </c>
      <c r="E790">
        <v>0.59360000000000002</v>
      </c>
      <c r="F790">
        <v>5804962.29</v>
      </c>
      <c r="G790">
        <v>0</v>
      </c>
      <c r="L790" t="s">
        <v>7</v>
      </c>
      <c r="M790" t="s">
        <v>7</v>
      </c>
      <c r="N790" t="s">
        <v>7</v>
      </c>
      <c r="P790">
        <f t="shared" si="1004"/>
        <v>-0.54528650646950116</v>
      </c>
      <c r="Q790">
        <f t="shared" si="1005"/>
        <v>-3165367.6073012953</v>
      </c>
      <c r="R790">
        <f t="shared" si="1006"/>
        <v>38982180.763839744</v>
      </c>
      <c r="S790">
        <f t="shared" si="1007"/>
        <v>389.82180763839744</v>
      </c>
      <c r="T790">
        <f t="shared" si="1008"/>
        <v>0.38982180763839747</v>
      </c>
    </row>
    <row r="791" spans="1:20" x14ac:dyDescent="0.25">
      <c r="A791" s="5">
        <v>43802</v>
      </c>
      <c r="B791">
        <v>0.61729999999999996</v>
      </c>
      <c r="C791">
        <v>0.63039999999999996</v>
      </c>
      <c r="D791">
        <v>0.61</v>
      </c>
      <c r="E791">
        <v>0.61709999999999998</v>
      </c>
      <c r="F791">
        <v>2474189.48</v>
      </c>
      <c r="G791">
        <v>0</v>
      </c>
      <c r="L791" t="s">
        <v>7</v>
      </c>
      <c r="M791" t="s">
        <v>8</v>
      </c>
      <c r="N791" t="s">
        <v>7</v>
      </c>
      <c r="P791">
        <f t="shared" si="1004"/>
        <v>-0.30392156862745057</v>
      </c>
      <c r="Q791">
        <f t="shared" si="1005"/>
        <v>-751959.54784313624</v>
      </c>
      <c r="R791">
        <f t="shared" si="1006"/>
        <v>42147548.371141039</v>
      </c>
      <c r="S791">
        <f t="shared" si="1007"/>
        <v>421.47548371141039</v>
      </c>
      <c r="T791">
        <f t="shared" si="1008"/>
        <v>0.42147548371141041</v>
      </c>
    </row>
    <row r="792" spans="1:20" x14ac:dyDescent="0.25">
      <c r="A792" s="5">
        <v>43801</v>
      </c>
      <c r="B792">
        <v>0.63649999999999995</v>
      </c>
      <c r="C792">
        <v>0.63670000000000004</v>
      </c>
      <c r="D792">
        <v>0.60489999999999999</v>
      </c>
      <c r="E792">
        <v>0.61719999999999997</v>
      </c>
      <c r="F792">
        <v>3381459.7</v>
      </c>
      <c r="G792">
        <v>0</v>
      </c>
      <c r="L792" t="s">
        <v>7</v>
      </c>
      <c r="M792" t="s">
        <v>8</v>
      </c>
      <c r="N792" t="s">
        <v>7</v>
      </c>
      <c r="P792">
        <f t="shared" si="1004"/>
        <v>-0.22641509433962528</v>
      </c>
      <c r="Q792">
        <f t="shared" si="1005"/>
        <v>-765613.51698114106</v>
      </c>
      <c r="R792">
        <f t="shared" si="1006"/>
        <v>42899507.918984175</v>
      </c>
      <c r="S792">
        <f t="shared" si="1007"/>
        <v>428.99507918984176</v>
      </c>
      <c r="T792">
        <f t="shared" si="1008"/>
        <v>0.42899507918984175</v>
      </c>
    </row>
    <row r="793" spans="1:20" x14ac:dyDescent="0.25">
      <c r="A793" s="5">
        <v>43800</v>
      </c>
      <c r="B793">
        <v>0.63649999999999995</v>
      </c>
      <c r="C793">
        <v>0.64910000000000001</v>
      </c>
      <c r="D793">
        <v>0.60299999999999998</v>
      </c>
      <c r="E793">
        <v>0.63590000000000002</v>
      </c>
      <c r="F793">
        <v>6485339.5</v>
      </c>
      <c r="G793">
        <v>0</v>
      </c>
      <c r="L793" t="s">
        <v>7</v>
      </c>
      <c r="M793" t="s">
        <v>8</v>
      </c>
      <c r="N793" t="s">
        <v>7</v>
      </c>
      <c r="P793">
        <f t="shared" si="1004"/>
        <v>0.4273318872017362</v>
      </c>
      <c r="Q793">
        <f t="shared" si="1005"/>
        <v>2771392.367678964</v>
      </c>
      <c r="R793">
        <f t="shared" si="1006"/>
        <v>43665121.435965315</v>
      </c>
      <c r="S793">
        <f t="shared" si="1007"/>
        <v>436.65121435965312</v>
      </c>
      <c r="T793">
        <f t="shared" si="1008"/>
        <v>0.43665121435965315</v>
      </c>
    </row>
    <row r="794" spans="1:20" x14ac:dyDescent="0.25">
      <c r="A794" s="5">
        <v>43799</v>
      </c>
      <c r="B794">
        <v>0.67930000000000001</v>
      </c>
      <c r="C794">
        <v>0.6835</v>
      </c>
      <c r="D794">
        <v>0.63260000000000005</v>
      </c>
      <c r="E794">
        <v>0.63680000000000003</v>
      </c>
      <c r="F794">
        <v>4944512.66</v>
      </c>
      <c r="G794">
        <v>0</v>
      </c>
      <c r="L794" t="s">
        <v>7</v>
      </c>
      <c r="M794" t="s">
        <v>8</v>
      </c>
      <c r="N794" t="s">
        <v>7</v>
      </c>
      <c r="P794">
        <f t="shared" si="1004"/>
        <v>-0.83497053045186698</v>
      </c>
      <c r="Q794">
        <f t="shared" si="1005"/>
        <v>-4128522.3585461718</v>
      </c>
      <c r="R794">
        <f t="shared" si="1006"/>
        <v>40893729.068286352</v>
      </c>
      <c r="S794">
        <f t="shared" si="1007"/>
        <v>408.93729068286353</v>
      </c>
      <c r="T794">
        <f t="shared" si="1008"/>
        <v>0.40893729068286355</v>
      </c>
    </row>
    <row r="795" spans="1:20" x14ac:dyDescent="0.25">
      <c r="A795" s="5">
        <v>43798</v>
      </c>
      <c r="B795">
        <v>0.63449999999999995</v>
      </c>
      <c r="C795">
        <v>0.69640000000000002</v>
      </c>
      <c r="D795">
        <v>0.63039999999999996</v>
      </c>
      <c r="E795">
        <v>0.67930000000000001</v>
      </c>
      <c r="F795">
        <v>6786064.9299999997</v>
      </c>
      <c r="G795">
        <v>0</v>
      </c>
      <c r="L795" t="s">
        <v>8</v>
      </c>
      <c r="M795" t="s">
        <v>8</v>
      </c>
      <c r="N795" t="s">
        <v>7</v>
      </c>
      <c r="P795">
        <f t="shared" si="1004"/>
        <v>0.48181818181818215</v>
      </c>
      <c r="Q795">
        <f t="shared" si="1005"/>
        <v>3269649.4662727294</v>
      </c>
      <c r="R795">
        <f t="shared" si="1006"/>
        <v>45022251.426832527</v>
      </c>
      <c r="S795">
        <f t="shared" si="1007"/>
        <v>450.22251426832526</v>
      </c>
      <c r="T795">
        <f t="shared" si="1008"/>
        <v>0.45022251426832527</v>
      </c>
    </row>
    <row r="796" spans="1:20" x14ac:dyDescent="0.25">
      <c r="A796" s="5">
        <v>43797</v>
      </c>
      <c r="B796">
        <v>0.64039999999999997</v>
      </c>
      <c r="C796">
        <v>0.6643</v>
      </c>
      <c r="D796">
        <v>0.62660000000000005</v>
      </c>
      <c r="E796">
        <v>0.63460000000000005</v>
      </c>
      <c r="F796">
        <v>4746636.58</v>
      </c>
      <c r="G796">
        <v>0</v>
      </c>
      <c r="L796" t="s">
        <v>8</v>
      </c>
      <c r="M796" t="s">
        <v>8</v>
      </c>
      <c r="N796" t="s">
        <v>7</v>
      </c>
      <c r="P796">
        <f t="shared" si="1004"/>
        <v>-0.57559681697612641</v>
      </c>
      <c r="Q796">
        <f t="shared" si="1005"/>
        <v>-2732148.9067904465</v>
      </c>
      <c r="R796">
        <f t="shared" si="1006"/>
        <v>41752601.9605598</v>
      </c>
      <c r="S796">
        <f t="shared" si="1007"/>
        <v>417.52601960559798</v>
      </c>
      <c r="T796">
        <f t="shared" si="1008"/>
        <v>0.41752601960559799</v>
      </c>
    </row>
    <row r="797" spans="1:20" x14ac:dyDescent="0.25">
      <c r="A797" s="5">
        <v>43796</v>
      </c>
      <c r="B797">
        <v>0.62690000000000001</v>
      </c>
      <c r="C797">
        <v>0.65890000000000004</v>
      </c>
      <c r="D797">
        <v>0.57879999999999998</v>
      </c>
      <c r="E797">
        <v>0.64039999999999997</v>
      </c>
      <c r="F797">
        <v>6461699.4400000004</v>
      </c>
      <c r="G797">
        <v>0</v>
      </c>
      <c r="L797" t="s">
        <v>8</v>
      </c>
      <c r="M797" t="s">
        <v>8</v>
      </c>
      <c r="N797" t="s">
        <v>7</v>
      </c>
      <c r="P797">
        <f t="shared" si="1004"/>
        <v>0.53807740324594111</v>
      </c>
      <c r="Q797">
        <f t="shared" si="1005"/>
        <v>3476894.4552309522</v>
      </c>
      <c r="R797">
        <f t="shared" si="1006"/>
        <v>44484750.867350243</v>
      </c>
      <c r="S797">
        <f t="shared" si="1007"/>
        <v>444.84750867350243</v>
      </c>
      <c r="T797">
        <f t="shared" si="1008"/>
        <v>0.44484750867350242</v>
      </c>
    </row>
    <row r="798" spans="1:20" x14ac:dyDescent="0.25">
      <c r="A798" s="5">
        <v>43795</v>
      </c>
      <c r="B798">
        <v>0.60060000000000002</v>
      </c>
      <c r="C798">
        <v>0.63439999999999996</v>
      </c>
      <c r="D798">
        <v>0.59570000000000001</v>
      </c>
      <c r="E798">
        <v>0.627</v>
      </c>
      <c r="F798">
        <v>5981132.0300000003</v>
      </c>
      <c r="G798">
        <v>0</v>
      </c>
      <c r="L798" t="s">
        <v>8</v>
      </c>
      <c r="M798" t="s">
        <v>8</v>
      </c>
      <c r="N798" t="s">
        <v>7</v>
      </c>
      <c r="P798">
        <f t="shared" si="1004"/>
        <v>0.61757105943152613</v>
      </c>
      <c r="Q798">
        <f t="shared" si="1005"/>
        <v>3693774.0443669348</v>
      </c>
      <c r="R798">
        <f t="shared" si="1006"/>
        <v>41007856.412119292</v>
      </c>
      <c r="S798">
        <f t="shared" si="1007"/>
        <v>410.07856412119293</v>
      </c>
      <c r="T798">
        <f t="shared" si="1008"/>
        <v>0.41007856412119292</v>
      </c>
    </row>
    <row r="799" spans="1:20" x14ac:dyDescent="0.25">
      <c r="A799" s="5">
        <v>43794</v>
      </c>
      <c r="B799">
        <v>0.56240000000000001</v>
      </c>
      <c r="C799">
        <v>0.64610000000000001</v>
      </c>
      <c r="D799">
        <v>0.52600000000000002</v>
      </c>
      <c r="E799">
        <v>0.60029999999999994</v>
      </c>
      <c r="F799">
        <v>14667450.699999999</v>
      </c>
      <c r="G799">
        <v>0</v>
      </c>
      <c r="L799" t="s">
        <v>7</v>
      </c>
      <c r="M799" t="s">
        <v>7</v>
      </c>
      <c r="N799" t="s">
        <v>7</v>
      </c>
      <c r="P799">
        <f t="shared" si="1004"/>
        <v>0.23730224812656006</v>
      </c>
      <c r="Q799">
        <f t="shared" si="1005"/>
        <v>3480619.025395487</v>
      </c>
      <c r="R799">
        <f t="shared" si="1006"/>
        <v>37314082.367752358</v>
      </c>
      <c r="S799">
        <f t="shared" si="1007"/>
        <v>373.1408236775236</v>
      </c>
      <c r="T799">
        <f t="shared" si="1008"/>
        <v>0.3731408236775236</v>
      </c>
    </row>
    <row r="800" spans="1:20" x14ac:dyDescent="0.25">
      <c r="A800" s="5">
        <v>43793</v>
      </c>
      <c r="B800">
        <v>0.62970000000000004</v>
      </c>
      <c r="C800">
        <v>0.63329999999999997</v>
      </c>
      <c r="D800">
        <v>0.55410000000000004</v>
      </c>
      <c r="E800">
        <v>0.56289999999999996</v>
      </c>
      <c r="F800">
        <v>6744837.5700000003</v>
      </c>
      <c r="G800">
        <v>0</v>
      </c>
      <c r="L800" t="s">
        <v>7</v>
      </c>
      <c r="M800" t="s">
        <v>7</v>
      </c>
      <c r="N800" t="s">
        <v>7</v>
      </c>
      <c r="P800">
        <f t="shared" si="1004"/>
        <v>-0.77777777777777968</v>
      </c>
      <c r="Q800">
        <f t="shared" si="1005"/>
        <v>-5245984.7766666794</v>
      </c>
      <c r="R800">
        <f t="shared" si="1006"/>
        <v>33833463.342356868</v>
      </c>
      <c r="S800">
        <f t="shared" si="1007"/>
        <v>338.33463342356868</v>
      </c>
      <c r="T800">
        <f t="shared" si="1008"/>
        <v>0.33833463342356868</v>
      </c>
    </row>
    <row r="801" spans="1:20" x14ac:dyDescent="0.25">
      <c r="A801" s="5">
        <v>43792</v>
      </c>
      <c r="B801">
        <v>0.60450000000000004</v>
      </c>
      <c r="C801">
        <v>0.63649999999999995</v>
      </c>
      <c r="D801">
        <v>0.58140000000000003</v>
      </c>
      <c r="E801">
        <v>0.62970000000000004</v>
      </c>
      <c r="F801">
        <v>5415818.9199999999</v>
      </c>
      <c r="G801">
        <v>0</v>
      </c>
      <c r="L801" t="s">
        <v>8</v>
      </c>
      <c r="M801" t="s">
        <v>7</v>
      </c>
      <c r="N801" t="s">
        <v>7</v>
      </c>
      <c r="P801">
        <f t="shared" si="1004"/>
        <v>0.75317604355717149</v>
      </c>
      <c r="Q801">
        <f t="shared" si="1005"/>
        <v>4079065.0667876736</v>
      </c>
      <c r="R801">
        <f t="shared" si="1006"/>
        <v>39079448.119023547</v>
      </c>
      <c r="S801">
        <f t="shared" si="1007"/>
        <v>390.79448119023544</v>
      </c>
      <c r="T801">
        <f t="shared" si="1008"/>
        <v>0.39079448119023547</v>
      </c>
    </row>
    <row r="802" spans="1:20" x14ac:dyDescent="0.25">
      <c r="A802" s="5">
        <v>43791</v>
      </c>
      <c r="B802">
        <v>0.66810000000000003</v>
      </c>
      <c r="C802">
        <v>0.67900000000000005</v>
      </c>
      <c r="D802">
        <v>0.55320000000000003</v>
      </c>
      <c r="E802">
        <v>0.60460000000000003</v>
      </c>
      <c r="F802">
        <v>11681816.310000001</v>
      </c>
      <c r="G802">
        <v>0</v>
      </c>
      <c r="L802" t="s">
        <v>7</v>
      </c>
      <c r="M802" t="s">
        <v>7</v>
      </c>
      <c r="N802" t="s">
        <v>7</v>
      </c>
      <c r="P802">
        <f t="shared" si="1004"/>
        <v>-0.18282988871224179</v>
      </c>
      <c r="Q802">
        <f t="shared" si="1005"/>
        <v>-2135785.1759141511</v>
      </c>
      <c r="R802">
        <f t="shared" si="1006"/>
        <v>35000383.052235872</v>
      </c>
      <c r="S802">
        <f t="shared" si="1007"/>
        <v>350.00383052235873</v>
      </c>
      <c r="T802">
        <f t="shared" si="1008"/>
        <v>0.35000383052235873</v>
      </c>
    </row>
    <row r="803" spans="1:20" x14ac:dyDescent="0.25">
      <c r="A803" s="5">
        <v>43790</v>
      </c>
      <c r="B803">
        <v>0.71940000000000004</v>
      </c>
      <c r="C803">
        <v>0.72330000000000005</v>
      </c>
      <c r="D803">
        <v>0.63800000000000001</v>
      </c>
      <c r="E803">
        <v>0.66820000000000002</v>
      </c>
      <c r="F803">
        <v>5614228.0700000003</v>
      </c>
      <c r="G803">
        <v>0</v>
      </c>
      <c r="L803" t="s">
        <v>7</v>
      </c>
      <c r="M803" t="s">
        <v>7</v>
      </c>
      <c r="N803" t="s">
        <v>7</v>
      </c>
      <c r="P803">
        <f t="shared" si="1004"/>
        <v>-0.29191090269636599</v>
      </c>
      <c r="Q803">
        <f t="shared" si="1005"/>
        <v>-1638854.3838569766</v>
      </c>
      <c r="R803">
        <f t="shared" si="1006"/>
        <v>37136168.228150025</v>
      </c>
      <c r="S803">
        <f t="shared" si="1007"/>
        <v>371.36168228150024</v>
      </c>
      <c r="T803">
        <f t="shared" si="1008"/>
        <v>0.37136168228150024</v>
      </c>
    </row>
    <row r="804" spans="1:20" x14ac:dyDescent="0.25">
      <c r="A804" s="5">
        <v>43789</v>
      </c>
      <c r="B804">
        <v>0.72760000000000002</v>
      </c>
      <c r="C804">
        <v>0.75939999999999996</v>
      </c>
      <c r="D804">
        <v>0.70009999999999994</v>
      </c>
      <c r="E804">
        <v>0.71950000000000003</v>
      </c>
      <c r="F804">
        <v>6455862.3600000003</v>
      </c>
      <c r="G804">
        <v>0</v>
      </c>
      <c r="L804" t="s">
        <v>7</v>
      </c>
      <c r="M804" t="s">
        <v>7</v>
      </c>
      <c r="N804" t="s">
        <v>7</v>
      </c>
      <c r="P804">
        <f t="shared" si="1004"/>
        <v>-0.3456998313659333</v>
      </c>
      <c r="Q804">
        <f t="shared" si="1005"/>
        <v>-2231790.5291736764</v>
      </c>
      <c r="R804">
        <f t="shared" si="1006"/>
        <v>38775022.612007</v>
      </c>
      <c r="S804">
        <f t="shared" si="1007"/>
        <v>387.75022612007001</v>
      </c>
      <c r="T804">
        <f t="shared" si="1008"/>
        <v>0.38775022612006999</v>
      </c>
    </row>
    <row r="805" spans="1:20" x14ac:dyDescent="0.25">
      <c r="A805" s="5">
        <v>43788</v>
      </c>
      <c r="B805">
        <v>0.75680000000000003</v>
      </c>
      <c r="C805">
        <v>0.75739999999999996</v>
      </c>
      <c r="D805">
        <v>0.7117</v>
      </c>
      <c r="E805">
        <v>0.72760000000000002</v>
      </c>
      <c r="F805">
        <v>6772942.2300000004</v>
      </c>
      <c r="G805">
        <v>0</v>
      </c>
      <c r="L805" t="s">
        <v>7</v>
      </c>
      <c r="M805" t="s">
        <v>7</v>
      </c>
      <c r="N805" t="s">
        <v>7</v>
      </c>
      <c r="P805">
        <f t="shared" si="1004"/>
        <v>-0.30415754923413402</v>
      </c>
      <c r="Q805">
        <f t="shared" si="1005"/>
        <v>-2060041.5097811706</v>
      </c>
      <c r="R805">
        <f t="shared" si="1006"/>
        <v>41006813.141180679</v>
      </c>
      <c r="S805">
        <f t="shared" si="1007"/>
        <v>410.0681314118068</v>
      </c>
      <c r="T805">
        <f t="shared" si="1008"/>
        <v>0.41006813141180681</v>
      </c>
    </row>
    <row r="806" spans="1:20" x14ac:dyDescent="0.25">
      <c r="A806" s="5">
        <v>43787</v>
      </c>
      <c r="B806">
        <v>0.81950000000000001</v>
      </c>
      <c r="C806">
        <v>0.82079999999999997</v>
      </c>
      <c r="D806">
        <v>0.72770000000000001</v>
      </c>
      <c r="E806">
        <v>0.75680000000000003</v>
      </c>
      <c r="F806">
        <v>4768273.43</v>
      </c>
      <c r="G806">
        <v>0</v>
      </c>
      <c r="L806" t="s">
        <v>7</v>
      </c>
      <c r="M806" t="s">
        <v>7</v>
      </c>
      <c r="N806" t="s">
        <v>7</v>
      </c>
      <c r="P806">
        <f t="shared" si="1004"/>
        <v>-0.37486573576799082</v>
      </c>
      <c r="Q806">
        <f t="shared" si="1005"/>
        <v>-1787462.3276799112</v>
      </c>
      <c r="R806">
        <f t="shared" si="1006"/>
        <v>43066854.650961846</v>
      </c>
      <c r="S806">
        <f t="shared" si="1007"/>
        <v>430.66854650961847</v>
      </c>
      <c r="T806">
        <f t="shared" si="1008"/>
        <v>0.43066854650961844</v>
      </c>
    </row>
    <row r="807" spans="1:20" x14ac:dyDescent="0.25">
      <c r="A807" s="5">
        <v>43786</v>
      </c>
      <c r="B807">
        <v>0.83460000000000001</v>
      </c>
      <c r="C807">
        <v>0.84089999999999998</v>
      </c>
      <c r="D807">
        <v>0.80410000000000004</v>
      </c>
      <c r="E807">
        <v>0.81969999999999998</v>
      </c>
      <c r="F807">
        <v>2624143.42</v>
      </c>
      <c r="G807">
        <v>0</v>
      </c>
      <c r="L807" t="s">
        <v>7</v>
      </c>
      <c r="M807" t="s">
        <v>7</v>
      </c>
      <c r="N807" t="s">
        <v>7</v>
      </c>
      <c r="P807">
        <f t="shared" si="1004"/>
        <v>-0.15217391304347982</v>
      </c>
      <c r="Q807">
        <f t="shared" si="1005"/>
        <v>-399326.17260869977</v>
      </c>
      <c r="R807">
        <f t="shared" si="1006"/>
        <v>44854316.978641756</v>
      </c>
      <c r="S807">
        <f t="shared" si="1007"/>
        <v>448.54316978641754</v>
      </c>
      <c r="T807">
        <f t="shared" si="1008"/>
        <v>0.44854316978641756</v>
      </c>
    </row>
    <row r="808" spans="1:20" x14ac:dyDescent="0.25">
      <c r="A808" s="5">
        <v>43785</v>
      </c>
      <c r="B808">
        <v>0.8306</v>
      </c>
      <c r="C808">
        <v>0.84150000000000003</v>
      </c>
      <c r="D808">
        <v>0.81559999999999999</v>
      </c>
      <c r="E808">
        <v>0.8347</v>
      </c>
      <c r="F808">
        <v>2660936.0099999998</v>
      </c>
      <c r="G808">
        <v>0</v>
      </c>
      <c r="L808" t="s">
        <v>7</v>
      </c>
      <c r="M808" t="s">
        <v>7</v>
      </c>
      <c r="N808" t="s">
        <v>7</v>
      </c>
      <c r="P808">
        <f t="shared" si="1004"/>
        <v>0.4749034749034734</v>
      </c>
      <c r="Q808">
        <f t="shared" si="1005"/>
        <v>1263687.7576447835</v>
      </c>
      <c r="R808">
        <f t="shared" si="1006"/>
        <v>45253643.151250459</v>
      </c>
      <c r="S808">
        <f t="shared" si="1007"/>
        <v>452.53643151250458</v>
      </c>
      <c r="T808">
        <f t="shared" si="1008"/>
        <v>0.45253643151250456</v>
      </c>
    </row>
    <row r="809" spans="1:20" x14ac:dyDescent="0.25">
      <c r="A809" s="5">
        <v>43784</v>
      </c>
      <c r="B809">
        <v>0.88660000000000005</v>
      </c>
      <c r="C809">
        <v>0.89729999999999999</v>
      </c>
      <c r="D809">
        <v>0.79</v>
      </c>
      <c r="E809">
        <v>0.83079999999999998</v>
      </c>
      <c r="F809">
        <v>7208159.75</v>
      </c>
      <c r="G809">
        <v>0</v>
      </c>
      <c r="L809" t="s">
        <v>7</v>
      </c>
      <c r="M809" t="s">
        <v>7</v>
      </c>
      <c r="N809" t="s">
        <v>7</v>
      </c>
      <c r="P809">
        <f t="shared" si="1004"/>
        <v>-0.23951537744641258</v>
      </c>
      <c r="Q809">
        <f t="shared" si="1005"/>
        <v>-1726465.1032152888</v>
      </c>
      <c r="R809">
        <f t="shared" si="1006"/>
        <v>43989955.393605679</v>
      </c>
      <c r="S809">
        <f t="shared" si="1007"/>
        <v>439.8995539360568</v>
      </c>
      <c r="T809">
        <f t="shared" si="1008"/>
        <v>0.43989955393605679</v>
      </c>
    </row>
    <row r="810" spans="1:20" x14ac:dyDescent="0.25">
      <c r="A810" s="5">
        <v>43783</v>
      </c>
      <c r="B810">
        <v>0.93149999999999999</v>
      </c>
      <c r="C810">
        <v>0.93989999999999996</v>
      </c>
      <c r="D810">
        <v>0.85960000000000003</v>
      </c>
      <c r="E810">
        <v>0.88680000000000003</v>
      </c>
      <c r="F810">
        <v>6942302.7199999997</v>
      </c>
      <c r="G810">
        <v>0</v>
      </c>
      <c r="L810" t="s">
        <v>7</v>
      </c>
      <c r="M810" t="s">
        <v>7</v>
      </c>
      <c r="N810" t="s">
        <v>7</v>
      </c>
      <c r="P810">
        <f t="shared" si="1004"/>
        <v>-0.32254047322540408</v>
      </c>
      <c r="Q810">
        <f t="shared" si="1005"/>
        <v>-2239173.6045828098</v>
      </c>
      <c r="R810">
        <f t="shared" si="1006"/>
        <v>45716420.496820971</v>
      </c>
      <c r="S810">
        <f t="shared" si="1007"/>
        <v>457.16420496820973</v>
      </c>
      <c r="T810">
        <f t="shared" si="1008"/>
        <v>0.45716420496820975</v>
      </c>
    </row>
    <row r="811" spans="1:20" x14ac:dyDescent="0.25">
      <c r="A811" s="5">
        <v>43782</v>
      </c>
      <c r="B811">
        <v>0.91739999999999999</v>
      </c>
      <c r="C811">
        <v>0.94869999999999999</v>
      </c>
      <c r="D811">
        <v>0.88500000000000001</v>
      </c>
      <c r="E811">
        <v>0.93130000000000002</v>
      </c>
      <c r="F811">
        <v>6795499.9699999997</v>
      </c>
      <c r="G811">
        <v>0</v>
      </c>
      <c r="L811" t="s">
        <v>8</v>
      </c>
      <c r="M811" t="s">
        <v>7</v>
      </c>
      <c r="N811" t="s">
        <v>7</v>
      </c>
      <c r="P811">
        <f t="shared" si="1004"/>
        <v>0.45368916797488301</v>
      </c>
      <c r="Q811">
        <f t="shared" si="1005"/>
        <v>3083044.7273626425</v>
      </c>
      <c r="R811">
        <f t="shared" si="1006"/>
        <v>47955594.10140378</v>
      </c>
      <c r="S811">
        <f t="shared" si="1007"/>
        <v>479.55594101403778</v>
      </c>
      <c r="T811">
        <f t="shared" si="1008"/>
        <v>0.47955594101403781</v>
      </c>
    </row>
    <row r="812" spans="1:20" x14ac:dyDescent="0.25">
      <c r="A812" s="5">
        <v>43781</v>
      </c>
      <c r="B812">
        <v>0.84630000000000005</v>
      </c>
      <c r="C812">
        <v>0.92</v>
      </c>
      <c r="D812">
        <v>0.83599999999999997</v>
      </c>
      <c r="E812">
        <v>0.91659999999999997</v>
      </c>
      <c r="F812">
        <v>8718380.7599999998</v>
      </c>
      <c r="G812">
        <v>0</v>
      </c>
      <c r="L812" t="s">
        <v>8</v>
      </c>
      <c r="M812" t="s">
        <v>7</v>
      </c>
      <c r="N812" t="s">
        <v>7</v>
      </c>
      <c r="P812">
        <f t="shared" si="1004"/>
        <v>0.91904761904761745</v>
      </c>
      <c r="Q812">
        <f t="shared" si="1005"/>
        <v>8012607.0794285573</v>
      </c>
      <c r="R812">
        <f t="shared" si="1006"/>
        <v>44872549.37404114</v>
      </c>
      <c r="S812">
        <f t="shared" si="1007"/>
        <v>448.72549374041142</v>
      </c>
      <c r="T812">
        <f t="shared" si="1008"/>
        <v>0.44872549374041143</v>
      </c>
    </row>
    <row r="813" spans="1:20" x14ac:dyDescent="0.25">
      <c r="A813" s="5">
        <v>43780</v>
      </c>
      <c r="B813">
        <v>0.85170000000000001</v>
      </c>
      <c r="C813">
        <v>0.85680000000000001</v>
      </c>
      <c r="D813">
        <v>0.80300000000000005</v>
      </c>
      <c r="E813">
        <v>0.84640000000000004</v>
      </c>
      <c r="F813">
        <v>4055290.4</v>
      </c>
      <c r="G813">
        <v>0</v>
      </c>
      <c r="L813" t="s">
        <v>7</v>
      </c>
      <c r="M813" t="s">
        <v>7</v>
      </c>
      <c r="N813" t="s">
        <v>7</v>
      </c>
      <c r="P813">
        <f t="shared" si="1004"/>
        <v>0.61338289962825376</v>
      </c>
      <c r="Q813">
        <f t="shared" si="1005"/>
        <v>2487445.7843866209</v>
      </c>
      <c r="R813">
        <f t="shared" si="1006"/>
        <v>36859942.294612586</v>
      </c>
      <c r="S813">
        <f t="shared" si="1007"/>
        <v>368.59942294612586</v>
      </c>
      <c r="T813">
        <f t="shared" si="1008"/>
        <v>0.36859942294612585</v>
      </c>
    </row>
    <row r="814" spans="1:20" x14ac:dyDescent="0.25">
      <c r="A814" s="5">
        <v>43779</v>
      </c>
      <c r="B814">
        <v>0.82609999999999995</v>
      </c>
      <c r="C814">
        <v>0.86329999999999996</v>
      </c>
      <c r="D814">
        <v>0.82169999999999999</v>
      </c>
      <c r="E814">
        <v>0.8518</v>
      </c>
      <c r="F814">
        <v>3599936.11</v>
      </c>
      <c r="G814">
        <v>0</v>
      </c>
      <c r="L814" t="s">
        <v>7</v>
      </c>
      <c r="M814" t="s">
        <v>7</v>
      </c>
      <c r="N814" t="s">
        <v>7</v>
      </c>
      <c r="P814">
        <f t="shared" si="1004"/>
        <v>0.44711538461538641</v>
      </c>
      <c r="Q814">
        <f t="shared" si="1005"/>
        <v>1609586.8184134678</v>
      </c>
      <c r="R814">
        <f t="shared" si="1006"/>
        <v>34372496.510225967</v>
      </c>
      <c r="S814">
        <f t="shared" si="1007"/>
        <v>343.72496510225966</v>
      </c>
      <c r="T814">
        <f t="shared" si="1008"/>
        <v>0.34372496510225964</v>
      </c>
    </row>
    <row r="815" spans="1:20" x14ac:dyDescent="0.25">
      <c r="A815" s="5">
        <v>43778</v>
      </c>
      <c r="B815">
        <v>0.82310000000000005</v>
      </c>
      <c r="C815">
        <v>0.83819999999999995</v>
      </c>
      <c r="D815">
        <v>0.81620000000000004</v>
      </c>
      <c r="E815">
        <v>0.82630000000000003</v>
      </c>
      <c r="F815">
        <v>2768875.72</v>
      </c>
      <c r="G815">
        <v>0</v>
      </c>
      <c r="L815" t="s">
        <v>7</v>
      </c>
      <c r="M815" t="s">
        <v>7</v>
      </c>
      <c r="N815" t="s">
        <v>7</v>
      </c>
      <c r="P815">
        <f t="shared" si="1004"/>
        <v>-8.1818181818178196E-2</v>
      </c>
      <c r="Q815">
        <f t="shared" si="1005"/>
        <v>-226544.37709089907</v>
      </c>
      <c r="R815">
        <f t="shared" si="1006"/>
        <v>32762909.691812497</v>
      </c>
      <c r="S815">
        <f t="shared" si="1007"/>
        <v>327.62909691812496</v>
      </c>
      <c r="T815">
        <f t="shared" si="1008"/>
        <v>0.32762909691812497</v>
      </c>
    </row>
    <row r="816" spans="1:20" x14ac:dyDescent="0.25">
      <c r="A816" s="5">
        <v>43777</v>
      </c>
      <c r="B816">
        <v>0.8931</v>
      </c>
      <c r="C816">
        <v>0.89529999999999998</v>
      </c>
      <c r="D816">
        <v>0.81269999999999998</v>
      </c>
      <c r="E816">
        <v>0.82320000000000004</v>
      </c>
      <c r="F816">
        <v>5106712.92</v>
      </c>
      <c r="G816">
        <v>0</v>
      </c>
      <c r="L816" t="s">
        <v>7</v>
      </c>
      <c r="M816" t="s">
        <v>7</v>
      </c>
      <c r="N816" t="s">
        <v>7</v>
      </c>
      <c r="P816">
        <f t="shared" si="1004"/>
        <v>-0.74576271186440524</v>
      </c>
      <c r="Q816">
        <f t="shared" si="1005"/>
        <v>-3808396.0759321954</v>
      </c>
      <c r="R816">
        <f t="shared" si="1006"/>
        <v>32989454.068903394</v>
      </c>
      <c r="S816">
        <f t="shared" si="1007"/>
        <v>329.89454068903393</v>
      </c>
      <c r="T816">
        <f t="shared" si="1008"/>
        <v>0.32989454068903395</v>
      </c>
    </row>
    <row r="817" spans="1:20" x14ac:dyDescent="0.25">
      <c r="A817" s="5">
        <v>43776</v>
      </c>
      <c r="B817">
        <v>0.89400000000000002</v>
      </c>
      <c r="C817">
        <v>0.8972</v>
      </c>
      <c r="D817">
        <v>0.85399999999999998</v>
      </c>
      <c r="E817">
        <v>0.8931</v>
      </c>
      <c r="F817">
        <v>6342419.1500000004</v>
      </c>
      <c r="G817">
        <v>0</v>
      </c>
      <c r="L817" t="s">
        <v>7</v>
      </c>
      <c r="M817" t="s">
        <v>7</v>
      </c>
      <c r="N817" t="s">
        <v>7</v>
      </c>
      <c r="P817">
        <f t="shared" si="1004"/>
        <v>0.81018518518518556</v>
      </c>
      <c r="Q817">
        <f t="shared" si="1005"/>
        <v>5138534.0335648172</v>
      </c>
      <c r="R817">
        <f t="shared" si="1006"/>
        <v>36797850.144835591</v>
      </c>
      <c r="S817">
        <f t="shared" si="1007"/>
        <v>367.97850144835593</v>
      </c>
      <c r="T817">
        <f t="shared" si="1008"/>
        <v>0.36797850144835592</v>
      </c>
    </row>
    <row r="818" spans="1:20" x14ac:dyDescent="0.25">
      <c r="A818" s="5">
        <v>43775</v>
      </c>
      <c r="B818">
        <v>0.9002</v>
      </c>
      <c r="C818">
        <v>0.91749999999999998</v>
      </c>
      <c r="D818">
        <v>0.8821</v>
      </c>
      <c r="E818">
        <v>0.8931</v>
      </c>
      <c r="F818">
        <v>4393017.91</v>
      </c>
      <c r="G818">
        <v>0</v>
      </c>
      <c r="L818" t="s">
        <v>8</v>
      </c>
      <c r="M818" t="s">
        <v>7</v>
      </c>
      <c r="N818" t="s">
        <v>7</v>
      </c>
      <c r="P818">
        <f t="shared" si="1004"/>
        <v>-0.37853107344632692</v>
      </c>
      <c r="Q818">
        <f t="shared" si="1005"/>
        <v>-1662893.7851412396</v>
      </c>
      <c r="R818">
        <f t="shared" si="1006"/>
        <v>31659316.111270778</v>
      </c>
      <c r="S818">
        <f t="shared" si="1007"/>
        <v>316.59316111270778</v>
      </c>
      <c r="T818">
        <f t="shared" si="1008"/>
        <v>0.3165931611127078</v>
      </c>
    </row>
    <row r="819" spans="1:20" x14ac:dyDescent="0.25">
      <c r="A819" s="5">
        <v>43774</v>
      </c>
      <c r="B819">
        <v>0.90849999999999997</v>
      </c>
      <c r="C819">
        <v>0.91449999999999998</v>
      </c>
      <c r="D819">
        <v>0.88129999999999997</v>
      </c>
      <c r="E819">
        <v>0.90100000000000002</v>
      </c>
      <c r="F819">
        <v>5340638.95</v>
      </c>
      <c r="G819">
        <v>0</v>
      </c>
      <c r="L819" t="s">
        <v>8</v>
      </c>
      <c r="M819" t="s">
        <v>7</v>
      </c>
      <c r="N819" t="s">
        <v>7</v>
      </c>
      <c r="P819">
        <f t="shared" si="1004"/>
        <v>0.18674698795181002</v>
      </c>
      <c r="Q819">
        <f t="shared" si="1005"/>
        <v>997348.23765061738</v>
      </c>
      <c r="R819">
        <f t="shared" si="1006"/>
        <v>33322209.896412019</v>
      </c>
      <c r="S819">
        <f t="shared" si="1007"/>
        <v>333.22209896412016</v>
      </c>
      <c r="T819">
        <f t="shared" si="1008"/>
        <v>0.33322209896412014</v>
      </c>
    </row>
    <row r="820" spans="1:20" x14ac:dyDescent="0.25">
      <c r="A820" s="5">
        <v>43773</v>
      </c>
      <c r="B820">
        <v>0.89629999999999999</v>
      </c>
      <c r="C820">
        <v>0.93049999999999999</v>
      </c>
      <c r="D820">
        <v>0.88449999999999995</v>
      </c>
      <c r="E820">
        <v>0.90849999999999997</v>
      </c>
      <c r="F820">
        <v>5962390.9100000001</v>
      </c>
      <c r="G820">
        <v>0</v>
      </c>
      <c r="L820" t="s">
        <v>8</v>
      </c>
      <c r="M820" t="s">
        <v>7</v>
      </c>
      <c r="N820" t="s">
        <v>7</v>
      </c>
      <c r="P820">
        <f t="shared" si="1004"/>
        <v>4.3478260869565216E-2</v>
      </c>
      <c r="Q820">
        <f t="shared" si="1005"/>
        <v>259234.38739130434</v>
      </c>
      <c r="R820">
        <f t="shared" si="1006"/>
        <v>32324861.658761401</v>
      </c>
      <c r="S820">
        <f t="shared" si="1007"/>
        <v>323.24861658761398</v>
      </c>
      <c r="T820">
        <f t="shared" si="1008"/>
        <v>0.323248616587614</v>
      </c>
    </row>
    <row r="821" spans="1:20" x14ac:dyDescent="0.25">
      <c r="A821" s="5">
        <v>43772</v>
      </c>
      <c r="B821">
        <v>0.92510000000000003</v>
      </c>
      <c r="C821">
        <v>0.92900000000000005</v>
      </c>
      <c r="D821">
        <v>0.86880000000000002</v>
      </c>
      <c r="E821">
        <v>0.89639999999999997</v>
      </c>
      <c r="F821">
        <v>6841298.1699999999</v>
      </c>
      <c r="G821">
        <v>0</v>
      </c>
      <c r="L821" t="s">
        <v>7</v>
      </c>
      <c r="M821" t="s">
        <v>7</v>
      </c>
      <c r="N821" t="s">
        <v>7</v>
      </c>
      <c r="P821">
        <f t="shared" si="1004"/>
        <v>-8.3056478405317491E-2</v>
      </c>
      <c r="Q821">
        <f t="shared" si="1005"/>
        <v>-568214.13372094301</v>
      </c>
      <c r="R821">
        <f t="shared" si="1006"/>
        <v>32065627.271370098</v>
      </c>
      <c r="S821">
        <f t="shared" si="1007"/>
        <v>320.65627271370096</v>
      </c>
      <c r="T821">
        <f t="shared" si="1008"/>
        <v>0.32065627271370095</v>
      </c>
    </row>
    <row r="822" spans="1:20" x14ac:dyDescent="0.25">
      <c r="A822" s="5">
        <v>43771</v>
      </c>
      <c r="B822">
        <v>0.86870000000000003</v>
      </c>
      <c r="C822">
        <v>0.93899999999999995</v>
      </c>
      <c r="D822">
        <v>0.85160000000000002</v>
      </c>
      <c r="E822">
        <v>0.92549999999999999</v>
      </c>
      <c r="F822">
        <v>13265914.07</v>
      </c>
      <c r="G822">
        <v>0</v>
      </c>
      <c r="L822" t="s">
        <v>8</v>
      </c>
      <c r="M822" t="s">
        <v>7</v>
      </c>
      <c r="N822" t="s">
        <v>7</v>
      </c>
      <c r="P822">
        <f t="shared" si="1004"/>
        <v>0.69107551487414265</v>
      </c>
      <c r="Q822">
        <f t="shared" si="1005"/>
        <v>9167748.3962013833</v>
      </c>
      <c r="R822">
        <f t="shared" si="1006"/>
        <v>32633841.40509104</v>
      </c>
      <c r="S822">
        <f t="shared" si="1007"/>
        <v>326.33841405091039</v>
      </c>
      <c r="T822">
        <f t="shared" si="1008"/>
        <v>0.32633841405091041</v>
      </c>
    </row>
    <row r="823" spans="1:20" x14ac:dyDescent="0.25">
      <c r="A823" s="5">
        <v>43770</v>
      </c>
      <c r="B823">
        <v>0.85519999999999996</v>
      </c>
      <c r="C823">
        <v>0.88</v>
      </c>
      <c r="D823">
        <v>0.83</v>
      </c>
      <c r="E823">
        <v>0.86819999999999997</v>
      </c>
      <c r="F823">
        <v>5094576.8600000003</v>
      </c>
      <c r="G823">
        <v>0</v>
      </c>
      <c r="L823" t="s">
        <v>8</v>
      </c>
      <c r="M823" t="s">
        <v>7</v>
      </c>
      <c r="N823" t="s">
        <v>7</v>
      </c>
      <c r="P823">
        <f t="shared" si="1004"/>
        <v>0.52799999999999914</v>
      </c>
      <c r="Q823">
        <f t="shared" si="1005"/>
        <v>2689936.5820799959</v>
      </c>
      <c r="R823">
        <f t="shared" si="1006"/>
        <v>23466093.008889657</v>
      </c>
      <c r="S823">
        <f t="shared" si="1007"/>
        <v>234.66093008889658</v>
      </c>
      <c r="T823">
        <f t="shared" si="1008"/>
        <v>0.23466093008889657</v>
      </c>
    </row>
    <row r="824" spans="1:20" x14ac:dyDescent="0.25">
      <c r="A824" s="5">
        <v>43769</v>
      </c>
      <c r="B824">
        <v>0.89059999999999995</v>
      </c>
      <c r="C824">
        <v>0.89549999999999996</v>
      </c>
      <c r="D824">
        <v>0.8105</v>
      </c>
      <c r="E824">
        <v>0.85509999999999997</v>
      </c>
      <c r="F824">
        <v>14855631.23</v>
      </c>
      <c r="G824">
        <v>0</v>
      </c>
      <c r="L824" t="s">
        <v>7</v>
      </c>
      <c r="M824" t="s">
        <v>7</v>
      </c>
      <c r="N824" t="s">
        <v>7</v>
      </c>
      <c r="P824">
        <f t="shared" si="1004"/>
        <v>4.9411764705882155E-2</v>
      </c>
      <c r="Q824">
        <f t="shared" si="1005"/>
        <v>734042.95489411475</v>
      </c>
      <c r="R824">
        <f t="shared" si="1006"/>
        <v>20776156.426809661</v>
      </c>
      <c r="S824">
        <f t="shared" si="1007"/>
        <v>207.76156426809661</v>
      </c>
      <c r="T824">
        <f t="shared" si="1008"/>
        <v>0.20776156426809661</v>
      </c>
    </row>
    <row r="825" spans="1:20" x14ac:dyDescent="0.25">
      <c r="A825" s="5">
        <v>43768</v>
      </c>
      <c r="B825">
        <v>0.85560000000000003</v>
      </c>
      <c r="C825">
        <v>0.92949999999999999</v>
      </c>
      <c r="D825">
        <v>0.82</v>
      </c>
      <c r="E825">
        <v>0.8911</v>
      </c>
      <c r="F825">
        <v>22902178.699999999</v>
      </c>
      <c r="G825">
        <v>0</v>
      </c>
      <c r="L825" t="s">
        <v>8</v>
      </c>
      <c r="M825" t="s">
        <v>7</v>
      </c>
      <c r="N825" t="s">
        <v>7</v>
      </c>
      <c r="P825">
        <f t="shared" si="1004"/>
        <v>0.29863013698630181</v>
      </c>
      <c r="Q825">
        <f t="shared" si="1005"/>
        <v>6839280.7624657629</v>
      </c>
      <c r="R825">
        <f t="shared" si="1006"/>
        <v>20042113.471915547</v>
      </c>
      <c r="S825">
        <f t="shared" si="1007"/>
        <v>200.42113471915548</v>
      </c>
      <c r="T825">
        <f t="shared" si="1008"/>
        <v>0.20042113471915549</v>
      </c>
    </row>
    <row r="826" spans="1:20" x14ac:dyDescent="0.25">
      <c r="A826" s="5">
        <v>43767</v>
      </c>
      <c r="B826">
        <v>0.87829999999999997</v>
      </c>
      <c r="C826">
        <v>0.92230000000000001</v>
      </c>
      <c r="D826">
        <v>0.81479999999999997</v>
      </c>
      <c r="E826">
        <v>0.85560000000000003</v>
      </c>
      <c r="F826">
        <v>17306113.940000001</v>
      </c>
      <c r="G826">
        <v>0</v>
      </c>
      <c r="L826" t="s">
        <v>7</v>
      </c>
      <c r="M826" t="s">
        <v>7</v>
      </c>
      <c r="N826" t="s">
        <v>7</v>
      </c>
      <c r="P826">
        <f t="shared" si="1004"/>
        <v>-0.24093023255813872</v>
      </c>
      <c r="Q826">
        <f t="shared" si="1005"/>
        <v>-4169566.0562418466</v>
      </c>
      <c r="R826">
        <f t="shared" si="1006"/>
        <v>13202832.709449783</v>
      </c>
      <c r="S826">
        <f t="shared" si="1007"/>
        <v>132.02832709449783</v>
      </c>
      <c r="T826">
        <f t="shared" si="1008"/>
        <v>0.13202832709449783</v>
      </c>
    </row>
    <row r="827" spans="1:20" x14ac:dyDescent="0.25">
      <c r="A827" s="5">
        <v>43766</v>
      </c>
      <c r="B827">
        <v>0.98099999999999998</v>
      </c>
      <c r="C827">
        <v>1.1512</v>
      </c>
      <c r="D827">
        <v>0.84119999999999995</v>
      </c>
      <c r="E827">
        <v>0.87949999999999995</v>
      </c>
      <c r="F827">
        <v>53994570.469999999</v>
      </c>
      <c r="G827">
        <v>0</v>
      </c>
      <c r="L827" t="s">
        <v>7</v>
      </c>
      <c r="M827" t="s">
        <v>7</v>
      </c>
      <c r="N827" t="s">
        <v>8</v>
      </c>
      <c r="P827">
        <f t="shared" si="1004"/>
        <v>-0.75290322580645164</v>
      </c>
      <c r="Q827">
        <f t="shared" si="1005"/>
        <v>-40652686.282896772</v>
      </c>
      <c r="R827">
        <f t="shared" si="1006"/>
        <v>17372398.765691631</v>
      </c>
      <c r="S827">
        <f t="shared" si="1007"/>
        <v>173.72398765691631</v>
      </c>
      <c r="T827">
        <f t="shared" si="1008"/>
        <v>0.1737239876569163</v>
      </c>
    </row>
    <row r="828" spans="1:20" x14ac:dyDescent="0.25">
      <c r="A828" s="5">
        <v>43765</v>
      </c>
      <c r="B828">
        <v>0.66120000000000001</v>
      </c>
      <c r="C828">
        <v>1.1879999999999999</v>
      </c>
      <c r="D828">
        <v>0.66110000000000002</v>
      </c>
      <c r="E828">
        <v>0.97960000000000003</v>
      </c>
      <c r="F828">
        <v>51879970.82</v>
      </c>
      <c r="G828">
        <v>0</v>
      </c>
      <c r="L828" t="s">
        <v>8</v>
      </c>
      <c r="M828" t="s">
        <v>8</v>
      </c>
      <c r="N828" t="s">
        <v>8</v>
      </c>
      <c r="P828">
        <f t="shared" si="1004"/>
        <v>0.20895805655722169</v>
      </c>
      <c r="Q828">
        <f t="shared" si="1005"/>
        <v>10840737.876792571</v>
      </c>
      <c r="R828">
        <f t="shared" si="1006"/>
        <v>58025085.048588403</v>
      </c>
      <c r="S828">
        <f t="shared" si="1007"/>
        <v>580.25085048588403</v>
      </c>
      <c r="T828">
        <f t="shared" si="1008"/>
        <v>0.58025085048588398</v>
      </c>
    </row>
    <row r="829" spans="1:20" x14ac:dyDescent="0.25">
      <c r="A829" s="5">
        <v>43764</v>
      </c>
      <c r="B829">
        <v>0.61939999999999995</v>
      </c>
      <c r="C829">
        <v>0.70079999999999998</v>
      </c>
      <c r="D829">
        <v>0.61429999999999996</v>
      </c>
      <c r="E829">
        <v>0.6613</v>
      </c>
      <c r="F829">
        <v>12548563.949999999</v>
      </c>
      <c r="G829">
        <v>0</v>
      </c>
      <c r="L829" t="s">
        <v>8</v>
      </c>
      <c r="M829" t="s">
        <v>8</v>
      </c>
      <c r="N829" t="s">
        <v>7</v>
      </c>
      <c r="P829">
        <f t="shared" si="1004"/>
        <v>8.6705202312139421E-2</v>
      </c>
      <c r="Q829">
        <f t="shared" si="1005"/>
        <v>1088025.7760115694</v>
      </c>
      <c r="R829">
        <f t="shared" si="1006"/>
        <v>47184347.17179583</v>
      </c>
      <c r="S829">
        <f t="shared" si="1007"/>
        <v>471.84347171795832</v>
      </c>
      <c r="T829">
        <f t="shared" si="1008"/>
        <v>0.47184347171795832</v>
      </c>
    </row>
    <row r="830" spans="1:20" x14ac:dyDescent="0.25">
      <c r="A830" s="5">
        <v>43763</v>
      </c>
      <c r="B830">
        <v>0.54600000000000004</v>
      </c>
      <c r="C830">
        <v>0.62350000000000005</v>
      </c>
      <c r="D830">
        <v>0.54059999999999997</v>
      </c>
      <c r="E830">
        <v>0.61960000000000004</v>
      </c>
      <c r="F830">
        <v>5990504.1699999999</v>
      </c>
      <c r="G830">
        <v>0</v>
      </c>
      <c r="L830" t="s">
        <v>8</v>
      </c>
      <c r="M830" t="s">
        <v>8</v>
      </c>
      <c r="N830" t="s">
        <v>7</v>
      </c>
      <c r="P830">
        <f t="shared" si="1004"/>
        <v>0.90591073582629644</v>
      </c>
      <c r="Q830">
        <f t="shared" si="1005"/>
        <v>5426862.0406151973</v>
      </c>
      <c r="R830">
        <f t="shared" si="1006"/>
        <v>46096321.395784259</v>
      </c>
      <c r="S830">
        <f t="shared" si="1007"/>
        <v>460.96321395784258</v>
      </c>
      <c r="T830">
        <f t="shared" si="1008"/>
        <v>0.46096321395784257</v>
      </c>
    </row>
    <row r="831" spans="1:20" x14ac:dyDescent="0.25">
      <c r="A831" s="5">
        <v>43762</v>
      </c>
      <c r="B831">
        <v>0.5484</v>
      </c>
      <c r="C831">
        <v>0.55410000000000004</v>
      </c>
      <c r="D831">
        <v>0.53359999999999996</v>
      </c>
      <c r="E831">
        <v>0.54610000000000003</v>
      </c>
      <c r="F831">
        <v>1996648.88</v>
      </c>
      <c r="G831">
        <v>0</v>
      </c>
      <c r="L831" t="s">
        <v>8</v>
      </c>
      <c r="M831" t="s">
        <v>7</v>
      </c>
      <c r="N831" t="s">
        <v>7</v>
      </c>
      <c r="P831">
        <f t="shared" ref="P831:P894" si="1009">IF(C831=D831,0,((E831-D831)-(C831-E831))/(C831-D831))</f>
        <v>0.21951219512195333</v>
      </c>
      <c r="Q831">
        <f t="shared" ref="Q831:Q894" si="1010">F831*P831</f>
        <v>438288.77853658958</v>
      </c>
      <c r="R831">
        <f t="shared" ref="R831:R894" si="1011">R832+Q831</f>
        <v>40669459.355169058</v>
      </c>
      <c r="S831">
        <f t="shared" ref="S831:S894" si="1012">R831/100000</f>
        <v>406.69459355169056</v>
      </c>
      <c r="T831">
        <f t="shared" ref="T831:T894" si="1013">S831/1000</f>
        <v>0.40669459355169058</v>
      </c>
    </row>
    <row r="832" spans="1:20" x14ac:dyDescent="0.25">
      <c r="A832" s="5">
        <v>43761</v>
      </c>
      <c r="B832">
        <v>0.5806</v>
      </c>
      <c r="C832">
        <v>0.58230000000000004</v>
      </c>
      <c r="D832">
        <v>0.51980000000000004</v>
      </c>
      <c r="E832">
        <v>0.54890000000000005</v>
      </c>
      <c r="F832">
        <v>3214330.51</v>
      </c>
      <c r="G832">
        <v>0</v>
      </c>
      <c r="L832" t="s">
        <v>7</v>
      </c>
      <c r="M832" t="s">
        <v>7</v>
      </c>
      <c r="N832" t="s">
        <v>7</v>
      </c>
      <c r="P832">
        <f t="shared" si="1009"/>
        <v>-6.8799999999999528E-2</v>
      </c>
      <c r="Q832">
        <f t="shared" si="1010"/>
        <v>-221145.93908799847</v>
      </c>
      <c r="R832">
        <f t="shared" si="1011"/>
        <v>40231170.57663247</v>
      </c>
      <c r="S832">
        <f t="shared" si="1012"/>
        <v>402.31170576632468</v>
      </c>
      <c r="T832">
        <f t="shared" si="1013"/>
        <v>0.40231170576632469</v>
      </c>
    </row>
    <row r="833" spans="1:20" x14ac:dyDescent="0.25">
      <c r="A833" s="5">
        <v>43760</v>
      </c>
      <c r="B833">
        <v>0.59140000000000004</v>
      </c>
      <c r="C833">
        <v>0.60409999999999997</v>
      </c>
      <c r="D833">
        <v>0.57740000000000002</v>
      </c>
      <c r="E833">
        <v>0.58089999999999997</v>
      </c>
      <c r="F833">
        <v>2350206.0299999998</v>
      </c>
      <c r="G833">
        <v>0</v>
      </c>
      <c r="L833" t="s">
        <v>8</v>
      </c>
      <c r="M833" t="s">
        <v>8</v>
      </c>
      <c r="N833" t="s">
        <v>7</v>
      </c>
      <c r="P833">
        <f t="shared" si="1009"/>
        <v>-0.7378277153558086</v>
      </c>
      <c r="Q833">
        <f t="shared" si="1010"/>
        <v>-1734047.1457303448</v>
      </c>
      <c r="R833">
        <f t="shared" si="1011"/>
        <v>40452316.515720472</v>
      </c>
      <c r="S833">
        <f t="shared" si="1012"/>
        <v>404.52316515720474</v>
      </c>
      <c r="T833">
        <f t="shared" si="1013"/>
        <v>0.40452316515720477</v>
      </c>
    </row>
    <row r="834" spans="1:20" x14ac:dyDescent="0.25">
      <c r="A834" s="5">
        <v>43759</v>
      </c>
      <c r="B834">
        <v>0.58530000000000004</v>
      </c>
      <c r="C834">
        <v>0.59719999999999995</v>
      </c>
      <c r="D834">
        <v>0.5756</v>
      </c>
      <c r="E834">
        <v>0.59140000000000004</v>
      </c>
      <c r="F834">
        <v>2468372.02</v>
      </c>
      <c r="G834">
        <v>0</v>
      </c>
      <c r="L834" t="s">
        <v>7</v>
      </c>
      <c r="M834" t="s">
        <v>8</v>
      </c>
      <c r="N834" t="s">
        <v>7</v>
      </c>
      <c r="P834">
        <f t="shared" si="1009"/>
        <v>0.46296296296296952</v>
      </c>
      <c r="Q834">
        <f t="shared" si="1010"/>
        <v>1142764.8240740902</v>
      </c>
      <c r="R834">
        <f t="shared" si="1011"/>
        <v>42186363.661450818</v>
      </c>
      <c r="S834">
        <f t="shared" si="1012"/>
        <v>421.86363661450821</v>
      </c>
      <c r="T834">
        <f t="shared" si="1013"/>
        <v>0.42186363661450821</v>
      </c>
    </row>
    <row r="835" spans="1:20" x14ac:dyDescent="0.25">
      <c r="A835" s="5">
        <v>43758</v>
      </c>
      <c r="B835">
        <v>0.5837</v>
      </c>
      <c r="C835">
        <v>0.59019999999999995</v>
      </c>
      <c r="D835">
        <v>0.56289999999999996</v>
      </c>
      <c r="E835">
        <v>0.58540000000000003</v>
      </c>
      <c r="F835">
        <v>3144213.41</v>
      </c>
      <c r="G835">
        <v>0</v>
      </c>
      <c r="L835" t="s">
        <v>7</v>
      </c>
      <c r="M835" t="s">
        <v>8</v>
      </c>
      <c r="N835" t="s">
        <v>7</v>
      </c>
      <c r="P835">
        <f t="shared" si="1009"/>
        <v>0.64835164835165437</v>
      </c>
      <c r="Q835">
        <f t="shared" si="1010"/>
        <v>2038555.9471428762</v>
      </c>
      <c r="R835">
        <f t="shared" si="1011"/>
        <v>41043598.837376729</v>
      </c>
      <c r="S835">
        <f t="shared" si="1012"/>
        <v>410.43598837376726</v>
      </c>
      <c r="T835">
        <f t="shared" si="1013"/>
        <v>0.41043598837376727</v>
      </c>
    </row>
    <row r="836" spans="1:20" x14ac:dyDescent="0.25">
      <c r="A836" s="5">
        <v>43757</v>
      </c>
      <c r="B836">
        <v>0.58650000000000002</v>
      </c>
      <c r="C836">
        <v>0.59199999999999997</v>
      </c>
      <c r="D836">
        <v>0.57799999999999996</v>
      </c>
      <c r="E836">
        <v>0.58379999999999999</v>
      </c>
      <c r="F836">
        <v>2193504.1</v>
      </c>
      <c r="G836">
        <v>0</v>
      </c>
      <c r="L836" t="s">
        <v>7</v>
      </c>
      <c r="M836" t="s">
        <v>8</v>
      </c>
      <c r="N836" t="s">
        <v>7</v>
      </c>
      <c r="P836">
        <f t="shared" si="1009"/>
        <v>-0.17142857142856827</v>
      </c>
      <c r="Q836">
        <f t="shared" si="1010"/>
        <v>-376029.27428570739</v>
      </c>
      <c r="R836">
        <f t="shared" si="1011"/>
        <v>39005042.890233852</v>
      </c>
      <c r="S836">
        <f t="shared" si="1012"/>
        <v>390.05042890233852</v>
      </c>
      <c r="T836">
        <f t="shared" si="1013"/>
        <v>0.39005042890233854</v>
      </c>
    </row>
    <row r="837" spans="1:20" x14ac:dyDescent="0.25">
      <c r="A837" s="5">
        <v>43756</v>
      </c>
      <c r="B837">
        <v>0.60160000000000002</v>
      </c>
      <c r="C837">
        <v>0.6079</v>
      </c>
      <c r="D837">
        <v>0.5736</v>
      </c>
      <c r="E837">
        <v>0.58599999999999997</v>
      </c>
      <c r="F837">
        <v>3568923.85</v>
      </c>
      <c r="G837">
        <v>0</v>
      </c>
      <c r="L837" t="s">
        <v>7</v>
      </c>
      <c r="M837" t="s">
        <v>8</v>
      </c>
      <c r="N837" t="s">
        <v>7</v>
      </c>
      <c r="P837">
        <f t="shared" si="1009"/>
        <v>-0.27696793002915643</v>
      </c>
      <c r="Q837">
        <f t="shared" si="1010"/>
        <v>-988477.45116618765</v>
      </c>
      <c r="R837">
        <f t="shared" si="1011"/>
        <v>39381072.164519556</v>
      </c>
      <c r="S837">
        <f t="shared" si="1012"/>
        <v>393.81072164519554</v>
      </c>
      <c r="T837">
        <f t="shared" si="1013"/>
        <v>0.39381072164519554</v>
      </c>
    </row>
    <row r="838" spans="1:20" x14ac:dyDescent="0.25">
      <c r="A838" s="5">
        <v>43755</v>
      </c>
      <c r="B838">
        <v>0.6048</v>
      </c>
      <c r="C838">
        <v>0.61150000000000004</v>
      </c>
      <c r="D838">
        <v>0.58860000000000001</v>
      </c>
      <c r="E838">
        <v>0.60140000000000005</v>
      </c>
      <c r="F838">
        <v>4226391.76</v>
      </c>
      <c r="G838">
        <v>0</v>
      </c>
      <c r="L838" t="s">
        <v>7</v>
      </c>
      <c r="M838" t="s">
        <v>8</v>
      </c>
      <c r="N838" t="s">
        <v>7</v>
      </c>
      <c r="P838">
        <f t="shared" si="1009"/>
        <v>0.11790393013100577</v>
      </c>
      <c r="Q838">
        <f t="shared" si="1010"/>
        <v>498308.19877729844</v>
      </c>
      <c r="R838">
        <f t="shared" si="1011"/>
        <v>40369549.615685746</v>
      </c>
      <c r="S838">
        <f t="shared" si="1012"/>
        <v>403.69549615685747</v>
      </c>
      <c r="T838">
        <f t="shared" si="1013"/>
        <v>0.40369549615685746</v>
      </c>
    </row>
    <row r="839" spans="1:20" x14ac:dyDescent="0.25">
      <c r="A839" s="5">
        <v>43754</v>
      </c>
      <c r="B839">
        <v>0.63549999999999995</v>
      </c>
      <c r="C839">
        <v>0.64659999999999995</v>
      </c>
      <c r="D839">
        <v>0.59009999999999996</v>
      </c>
      <c r="E839">
        <v>0.60509999999999997</v>
      </c>
      <c r="F839">
        <v>4239627.26</v>
      </c>
      <c r="G839">
        <v>0</v>
      </c>
      <c r="L839" t="s">
        <v>7</v>
      </c>
      <c r="M839" t="s">
        <v>8</v>
      </c>
      <c r="N839" t="s">
        <v>7</v>
      </c>
      <c r="P839">
        <f t="shared" si="1009"/>
        <v>-0.46902654867256582</v>
      </c>
      <c r="Q839">
        <f t="shared" si="1010"/>
        <v>-1988497.7414159267</v>
      </c>
      <c r="R839">
        <f t="shared" si="1011"/>
        <v>39871241.41690845</v>
      </c>
      <c r="S839">
        <f t="shared" si="1012"/>
        <v>398.71241416908452</v>
      </c>
      <c r="T839">
        <f t="shared" si="1013"/>
        <v>0.39871241416908454</v>
      </c>
    </row>
    <row r="840" spans="1:20" x14ac:dyDescent="0.25">
      <c r="A840" s="5">
        <v>43753</v>
      </c>
      <c r="B840">
        <v>0.64059999999999995</v>
      </c>
      <c r="C840">
        <v>0.65</v>
      </c>
      <c r="D840">
        <v>0.62719999999999998</v>
      </c>
      <c r="E840">
        <v>0.63549999999999995</v>
      </c>
      <c r="F840">
        <v>4076226.33</v>
      </c>
      <c r="G840">
        <v>0</v>
      </c>
      <c r="L840" t="s">
        <v>8</v>
      </c>
      <c r="M840" t="s">
        <v>8</v>
      </c>
      <c r="N840" t="s">
        <v>7</v>
      </c>
      <c r="P840">
        <f t="shared" si="1009"/>
        <v>-0.27192982456140713</v>
      </c>
      <c r="Q840">
        <f t="shared" si="1010"/>
        <v>-1108447.5107894884</v>
      </c>
      <c r="R840">
        <f t="shared" si="1011"/>
        <v>41859739.158324376</v>
      </c>
      <c r="S840">
        <f t="shared" si="1012"/>
        <v>418.59739158324373</v>
      </c>
      <c r="T840">
        <f t="shared" si="1013"/>
        <v>0.41859739158324372</v>
      </c>
    </row>
    <row r="841" spans="1:20" x14ac:dyDescent="0.25">
      <c r="A841" s="5">
        <v>43752</v>
      </c>
      <c r="B841">
        <v>0.63649999999999995</v>
      </c>
      <c r="C841">
        <v>0.64590000000000003</v>
      </c>
      <c r="D841">
        <v>0.62509999999999999</v>
      </c>
      <c r="E841">
        <v>0.64070000000000005</v>
      </c>
      <c r="F841">
        <v>4329654.13</v>
      </c>
      <c r="G841">
        <v>0</v>
      </c>
      <c r="L841" t="s">
        <v>8</v>
      </c>
      <c r="M841" t="s">
        <v>8</v>
      </c>
      <c r="N841" t="s">
        <v>7</v>
      </c>
      <c r="P841">
        <f t="shared" si="1009"/>
        <v>0.50000000000000266</v>
      </c>
      <c r="Q841">
        <f t="shared" si="1010"/>
        <v>2164827.0650000116</v>
      </c>
      <c r="R841">
        <f t="shared" si="1011"/>
        <v>42968186.669113867</v>
      </c>
      <c r="S841">
        <f t="shared" si="1012"/>
        <v>429.68186669113868</v>
      </c>
      <c r="T841">
        <f t="shared" si="1013"/>
        <v>0.42968186669113867</v>
      </c>
    </row>
    <row r="842" spans="1:20" x14ac:dyDescent="0.25">
      <c r="A842" s="5">
        <v>43751</v>
      </c>
      <c r="B842">
        <v>0.63149999999999995</v>
      </c>
      <c r="C842">
        <v>0.65339999999999998</v>
      </c>
      <c r="D842">
        <v>0.628</v>
      </c>
      <c r="E842">
        <v>0.63660000000000005</v>
      </c>
      <c r="F842">
        <v>3526809.79</v>
      </c>
      <c r="G842">
        <v>0</v>
      </c>
      <c r="L842" t="s">
        <v>8</v>
      </c>
      <c r="M842" t="s">
        <v>8</v>
      </c>
      <c r="N842" t="s">
        <v>7</v>
      </c>
      <c r="P842">
        <f t="shared" si="1009"/>
        <v>-0.32283464566928666</v>
      </c>
      <c r="Q842">
        <f t="shared" si="1010"/>
        <v>-1138576.3888976213</v>
      </c>
      <c r="R842">
        <f t="shared" si="1011"/>
        <v>40803359.604113854</v>
      </c>
      <c r="S842">
        <f t="shared" si="1012"/>
        <v>408.03359604113854</v>
      </c>
      <c r="T842">
        <f t="shared" si="1013"/>
        <v>0.40803359604113854</v>
      </c>
    </row>
    <row r="843" spans="1:20" x14ac:dyDescent="0.25">
      <c r="A843" s="5">
        <v>43750</v>
      </c>
      <c r="B843">
        <v>0.64439999999999997</v>
      </c>
      <c r="C843">
        <v>0.65669999999999995</v>
      </c>
      <c r="D843">
        <v>0.62190000000000001</v>
      </c>
      <c r="E843">
        <v>0.63219999999999998</v>
      </c>
      <c r="F843">
        <v>4327294.33</v>
      </c>
      <c r="G843">
        <v>0</v>
      </c>
      <c r="L843" t="s">
        <v>8</v>
      </c>
      <c r="M843" t="s">
        <v>8</v>
      </c>
      <c r="N843" t="s">
        <v>7</v>
      </c>
      <c r="P843">
        <f t="shared" si="1009"/>
        <v>-0.40804597701149464</v>
      </c>
      <c r="Q843">
        <f t="shared" si="1010"/>
        <v>-1765735.0427011512</v>
      </c>
      <c r="R843">
        <f t="shared" si="1011"/>
        <v>41941935.993011475</v>
      </c>
      <c r="S843">
        <f t="shared" si="1012"/>
        <v>419.41935993011475</v>
      </c>
      <c r="T843">
        <f t="shared" si="1013"/>
        <v>0.41941935993011475</v>
      </c>
    </row>
    <row r="844" spans="1:20" x14ac:dyDescent="0.25">
      <c r="A844" s="5">
        <v>43749</v>
      </c>
      <c r="B844">
        <v>0.64549999999999996</v>
      </c>
      <c r="C844">
        <v>0.66449999999999998</v>
      </c>
      <c r="D844">
        <v>0.62190000000000001</v>
      </c>
      <c r="E844">
        <v>0.64449999999999996</v>
      </c>
      <c r="F844">
        <v>6350836.1200000001</v>
      </c>
      <c r="G844">
        <v>0</v>
      </c>
      <c r="L844" t="s">
        <v>8</v>
      </c>
      <c r="M844" t="s">
        <v>8</v>
      </c>
      <c r="N844" t="s">
        <v>7</v>
      </c>
      <c r="P844">
        <f t="shared" si="1009"/>
        <v>6.1032863849763787E-2</v>
      </c>
      <c r="Q844">
        <f t="shared" si="1010"/>
        <v>387609.71624412213</v>
      </c>
      <c r="R844">
        <f t="shared" si="1011"/>
        <v>43707671.035712622</v>
      </c>
      <c r="S844">
        <f t="shared" si="1012"/>
        <v>437.07671035712622</v>
      </c>
      <c r="T844">
        <f t="shared" si="1013"/>
        <v>0.4370767103571262</v>
      </c>
    </row>
    <row r="845" spans="1:20" x14ac:dyDescent="0.25">
      <c r="A845" s="5">
        <v>43748</v>
      </c>
      <c r="B845">
        <v>0.65590000000000004</v>
      </c>
      <c r="C845">
        <v>0.66239999999999999</v>
      </c>
      <c r="D845">
        <v>0.61850000000000005</v>
      </c>
      <c r="E845">
        <v>0.64549999999999996</v>
      </c>
      <c r="F845">
        <v>4140063.51</v>
      </c>
      <c r="G845">
        <v>0</v>
      </c>
      <c r="L845" t="s">
        <v>7</v>
      </c>
      <c r="M845" t="s">
        <v>8</v>
      </c>
      <c r="N845" t="s">
        <v>7</v>
      </c>
      <c r="P845">
        <f t="shared" si="1009"/>
        <v>0.23006833712983829</v>
      </c>
      <c r="Q845">
        <f t="shared" si="1010"/>
        <v>952497.52735762158</v>
      </c>
      <c r="R845">
        <f t="shared" si="1011"/>
        <v>43320061.319468498</v>
      </c>
      <c r="S845">
        <f t="shared" si="1012"/>
        <v>433.20061319468499</v>
      </c>
      <c r="T845">
        <f t="shared" si="1013"/>
        <v>0.433200613194685</v>
      </c>
    </row>
    <row r="846" spans="1:20" x14ac:dyDescent="0.25">
      <c r="A846" s="5">
        <v>43747</v>
      </c>
      <c r="B846">
        <v>0.63680000000000003</v>
      </c>
      <c r="C846">
        <v>0.67400000000000004</v>
      </c>
      <c r="D846">
        <v>0.62690000000000001</v>
      </c>
      <c r="E846">
        <v>0.65600000000000003</v>
      </c>
      <c r="F846">
        <v>5706946.1399999997</v>
      </c>
      <c r="G846">
        <v>0</v>
      </c>
      <c r="L846" t="s">
        <v>8</v>
      </c>
      <c r="M846" t="s">
        <v>8</v>
      </c>
      <c r="N846" t="s">
        <v>7</v>
      </c>
      <c r="P846">
        <f t="shared" si="1009"/>
        <v>0.23566878980891701</v>
      </c>
      <c r="Q846">
        <f t="shared" si="1010"/>
        <v>1344949.0903184703</v>
      </c>
      <c r="R846">
        <f t="shared" si="1011"/>
        <v>42367563.792110875</v>
      </c>
      <c r="S846">
        <f t="shared" si="1012"/>
        <v>423.67563792110877</v>
      </c>
      <c r="T846">
        <f t="shared" si="1013"/>
        <v>0.42367563792110879</v>
      </c>
    </row>
    <row r="847" spans="1:20" x14ac:dyDescent="0.25">
      <c r="A847" s="5">
        <v>43746</v>
      </c>
      <c r="B847">
        <v>0.63749999999999996</v>
      </c>
      <c r="C847">
        <v>0.65310000000000001</v>
      </c>
      <c r="D847">
        <v>0.62009999999999998</v>
      </c>
      <c r="E847">
        <v>0.63680000000000003</v>
      </c>
      <c r="F847">
        <v>5680378.3300000001</v>
      </c>
      <c r="G847">
        <v>0</v>
      </c>
      <c r="L847" t="s">
        <v>8</v>
      </c>
      <c r="M847" t="s">
        <v>8</v>
      </c>
      <c r="N847" t="s">
        <v>7</v>
      </c>
      <c r="P847">
        <f t="shared" si="1009"/>
        <v>1.212121212121414E-2</v>
      </c>
      <c r="Q847">
        <f t="shared" si="1010"/>
        <v>68853.070666678133</v>
      </c>
      <c r="R847">
        <f t="shared" si="1011"/>
        <v>41022614.701792404</v>
      </c>
      <c r="S847">
        <f t="shared" si="1012"/>
        <v>410.22614701792406</v>
      </c>
      <c r="T847">
        <f t="shared" si="1013"/>
        <v>0.41022614701792404</v>
      </c>
    </row>
    <row r="848" spans="1:20" x14ac:dyDescent="0.25">
      <c r="A848" s="5">
        <v>43745</v>
      </c>
      <c r="B848">
        <v>0.60440000000000005</v>
      </c>
      <c r="C848">
        <v>0.64990000000000003</v>
      </c>
      <c r="D848">
        <v>0.59450000000000003</v>
      </c>
      <c r="E848">
        <v>0.6381</v>
      </c>
      <c r="F848">
        <v>4316342.55</v>
      </c>
      <c r="G848">
        <v>0</v>
      </c>
      <c r="L848" t="s">
        <v>8</v>
      </c>
      <c r="M848" t="s">
        <v>8</v>
      </c>
      <c r="N848" t="s">
        <v>7</v>
      </c>
      <c r="P848">
        <f t="shared" si="1009"/>
        <v>0.57400722021660533</v>
      </c>
      <c r="Q848">
        <f t="shared" si="1010"/>
        <v>2477611.7886281535</v>
      </c>
      <c r="R848">
        <f t="shared" si="1011"/>
        <v>40953761.631125726</v>
      </c>
      <c r="S848">
        <f t="shared" si="1012"/>
        <v>409.53761631125724</v>
      </c>
      <c r="T848">
        <f t="shared" si="1013"/>
        <v>0.40953761631125724</v>
      </c>
    </row>
    <row r="849" spans="1:20" x14ac:dyDescent="0.25">
      <c r="A849" s="5">
        <v>43744</v>
      </c>
      <c r="B849">
        <v>0.62460000000000004</v>
      </c>
      <c r="C849">
        <v>0.63</v>
      </c>
      <c r="D849">
        <v>0.5907</v>
      </c>
      <c r="E849">
        <v>0.60460000000000003</v>
      </c>
      <c r="F849">
        <v>3288484.5</v>
      </c>
      <c r="G849">
        <v>0</v>
      </c>
      <c r="L849" t="s">
        <v>8</v>
      </c>
      <c r="M849" t="s">
        <v>7</v>
      </c>
      <c r="N849" t="s">
        <v>7</v>
      </c>
      <c r="P849">
        <f t="shared" si="1009"/>
        <v>-0.29262086513994795</v>
      </c>
      <c r="Q849">
        <f t="shared" si="1010"/>
        <v>-962279.17938930914</v>
      </c>
      <c r="R849">
        <f t="shared" si="1011"/>
        <v>38476149.842497572</v>
      </c>
      <c r="S849">
        <f t="shared" si="1012"/>
        <v>384.76149842497574</v>
      </c>
      <c r="T849">
        <f t="shared" si="1013"/>
        <v>0.38476149842497576</v>
      </c>
    </row>
    <row r="850" spans="1:20" x14ac:dyDescent="0.25">
      <c r="A850" s="5">
        <v>43743</v>
      </c>
      <c r="B850">
        <v>0.61199999999999999</v>
      </c>
      <c r="C850">
        <v>0.62619999999999998</v>
      </c>
      <c r="D850">
        <v>0.60799999999999998</v>
      </c>
      <c r="E850">
        <v>0.62390000000000001</v>
      </c>
      <c r="F850">
        <v>4270640.13</v>
      </c>
      <c r="G850">
        <v>0</v>
      </c>
      <c r="L850" t="s">
        <v>8</v>
      </c>
      <c r="M850" t="s">
        <v>7</v>
      </c>
      <c r="N850" t="s">
        <v>7</v>
      </c>
      <c r="P850">
        <f t="shared" si="1009"/>
        <v>0.74725274725275059</v>
      </c>
      <c r="Q850">
        <f t="shared" si="1010"/>
        <v>3191247.5696703438</v>
      </c>
      <c r="R850">
        <f t="shared" si="1011"/>
        <v>39438429.021886878</v>
      </c>
      <c r="S850">
        <f t="shared" si="1012"/>
        <v>394.38429021886878</v>
      </c>
      <c r="T850">
        <f t="shared" si="1013"/>
        <v>0.39438429021886878</v>
      </c>
    </row>
    <row r="851" spans="1:20" x14ac:dyDescent="0.25">
      <c r="A851" s="5">
        <v>43742</v>
      </c>
      <c r="B851">
        <v>0.60499999999999998</v>
      </c>
      <c r="C851">
        <v>0.623</v>
      </c>
      <c r="D851">
        <v>0.59260000000000002</v>
      </c>
      <c r="E851">
        <v>0.61209999999999998</v>
      </c>
      <c r="F851">
        <v>1764816.12</v>
      </c>
      <c r="G851">
        <v>0</v>
      </c>
      <c r="L851" t="s">
        <v>8</v>
      </c>
      <c r="M851" t="s">
        <v>7</v>
      </c>
      <c r="N851" t="s">
        <v>7</v>
      </c>
      <c r="P851">
        <f t="shared" si="1009"/>
        <v>0.28289473684210348</v>
      </c>
      <c r="Q851">
        <f t="shared" si="1010"/>
        <v>499257.19184210215</v>
      </c>
      <c r="R851">
        <f t="shared" si="1011"/>
        <v>36247181.452216536</v>
      </c>
      <c r="S851">
        <f t="shared" si="1012"/>
        <v>362.47181452216535</v>
      </c>
      <c r="T851">
        <f t="shared" si="1013"/>
        <v>0.36247181452216537</v>
      </c>
    </row>
    <row r="852" spans="1:20" x14ac:dyDescent="0.25">
      <c r="A852" s="5">
        <v>43741</v>
      </c>
      <c r="B852">
        <v>0.61780000000000002</v>
      </c>
      <c r="C852">
        <v>0.61850000000000005</v>
      </c>
      <c r="D852">
        <v>0.59030000000000005</v>
      </c>
      <c r="E852">
        <v>0.60429999999999995</v>
      </c>
      <c r="F852">
        <v>2472380.31</v>
      </c>
      <c r="G852">
        <v>0</v>
      </c>
      <c r="L852" t="s">
        <v>8</v>
      </c>
      <c r="M852" t="s">
        <v>7</v>
      </c>
      <c r="N852" t="s">
        <v>7</v>
      </c>
      <c r="P852">
        <f t="shared" si="1009"/>
        <v>-7.0921985815673759E-3</v>
      </c>
      <c r="Q852">
        <f t="shared" si="1010"/>
        <v>-17534.612127677108</v>
      </c>
      <c r="R852">
        <f t="shared" si="1011"/>
        <v>35747924.260374434</v>
      </c>
      <c r="S852">
        <f t="shared" si="1012"/>
        <v>357.47924260374435</v>
      </c>
      <c r="T852">
        <f t="shared" si="1013"/>
        <v>0.35747924260374436</v>
      </c>
    </row>
    <row r="853" spans="1:20" x14ac:dyDescent="0.25">
      <c r="A853" s="5">
        <v>43740</v>
      </c>
      <c r="B853">
        <v>0.6048</v>
      </c>
      <c r="C853">
        <v>0.61939999999999995</v>
      </c>
      <c r="D853">
        <v>0.59599999999999997</v>
      </c>
      <c r="E853">
        <v>0.61729999999999996</v>
      </c>
      <c r="F853">
        <v>2929589.5</v>
      </c>
      <c r="G853">
        <v>0</v>
      </c>
      <c r="L853" t="s">
        <v>8</v>
      </c>
      <c r="M853" t="s">
        <v>7</v>
      </c>
      <c r="N853" t="s">
        <v>7</v>
      </c>
      <c r="P853">
        <f t="shared" si="1009"/>
        <v>0.82051282051282115</v>
      </c>
      <c r="Q853">
        <f t="shared" si="1010"/>
        <v>2403765.7435897454</v>
      </c>
      <c r="R853">
        <f t="shared" si="1011"/>
        <v>35765458.872502111</v>
      </c>
      <c r="S853">
        <f t="shared" si="1012"/>
        <v>357.65458872502109</v>
      </c>
      <c r="T853">
        <f t="shared" si="1013"/>
        <v>0.35765458872502109</v>
      </c>
    </row>
    <row r="854" spans="1:20" x14ac:dyDescent="0.25">
      <c r="A854" s="5">
        <v>43739</v>
      </c>
      <c r="B854">
        <v>0.61619999999999997</v>
      </c>
      <c r="C854">
        <v>0.63119999999999998</v>
      </c>
      <c r="D854">
        <v>0.59450000000000003</v>
      </c>
      <c r="E854">
        <v>0.60429999999999995</v>
      </c>
      <c r="F854">
        <v>2681448.7999999998</v>
      </c>
      <c r="G854">
        <v>0</v>
      </c>
      <c r="L854" t="s">
        <v>8</v>
      </c>
      <c r="M854" t="s">
        <v>7</v>
      </c>
      <c r="N854" t="s">
        <v>7</v>
      </c>
      <c r="P854">
        <f t="shared" si="1009"/>
        <v>-0.46594005449591652</v>
      </c>
      <c r="Q854">
        <f t="shared" si="1010"/>
        <v>-1249394.4000000099</v>
      </c>
      <c r="R854">
        <f t="shared" si="1011"/>
        <v>33361693.128912363</v>
      </c>
      <c r="S854">
        <f t="shared" si="1012"/>
        <v>333.61693128912361</v>
      </c>
      <c r="T854">
        <f t="shared" si="1013"/>
        <v>0.33361693128912362</v>
      </c>
    </row>
    <row r="855" spans="1:20" x14ac:dyDescent="0.25">
      <c r="A855" s="5">
        <v>43738</v>
      </c>
      <c r="B855">
        <v>0.58489999999999998</v>
      </c>
      <c r="C855">
        <v>0.61909999999999998</v>
      </c>
      <c r="D855">
        <v>0.56679999999999997</v>
      </c>
      <c r="E855">
        <v>0.61480000000000001</v>
      </c>
      <c r="F855">
        <v>3813199.71</v>
      </c>
      <c r="G855">
        <v>0</v>
      </c>
      <c r="L855" t="s">
        <v>7</v>
      </c>
      <c r="M855" t="s">
        <v>7</v>
      </c>
      <c r="N855" t="s">
        <v>7</v>
      </c>
      <c r="P855">
        <f t="shared" si="1009"/>
        <v>0.83556405353728602</v>
      </c>
      <c r="Q855">
        <f t="shared" si="1010"/>
        <v>3186172.6066348036</v>
      </c>
      <c r="R855">
        <f t="shared" si="1011"/>
        <v>34611087.528912373</v>
      </c>
      <c r="S855">
        <f t="shared" si="1012"/>
        <v>346.11087528912373</v>
      </c>
      <c r="T855">
        <f t="shared" si="1013"/>
        <v>0.34611087528912371</v>
      </c>
    </row>
    <row r="856" spans="1:20" x14ac:dyDescent="0.25">
      <c r="A856" s="5">
        <v>43737</v>
      </c>
      <c r="B856">
        <v>0.60389999999999999</v>
      </c>
      <c r="C856">
        <v>0.61209999999999998</v>
      </c>
      <c r="D856">
        <v>0.56469999999999998</v>
      </c>
      <c r="E856">
        <v>0.58460000000000001</v>
      </c>
      <c r="F856">
        <v>3835266.08</v>
      </c>
      <c r="G856">
        <v>0</v>
      </c>
      <c r="L856" t="s">
        <v>8</v>
      </c>
      <c r="M856" t="s">
        <v>7</v>
      </c>
      <c r="N856" t="s">
        <v>7</v>
      </c>
      <c r="P856">
        <f t="shared" si="1009"/>
        <v>-0.16033755274261477</v>
      </c>
      <c r="Q856">
        <f t="shared" si="1010"/>
        <v>-614937.17738396139</v>
      </c>
      <c r="R856">
        <f t="shared" si="1011"/>
        <v>31424914.922277566</v>
      </c>
      <c r="S856">
        <f t="shared" si="1012"/>
        <v>314.24914922277566</v>
      </c>
      <c r="T856">
        <f t="shared" si="1013"/>
        <v>0.31424914922277564</v>
      </c>
    </row>
    <row r="857" spans="1:20" x14ac:dyDescent="0.25">
      <c r="A857" s="5">
        <v>43736</v>
      </c>
      <c r="B857">
        <v>0.59530000000000005</v>
      </c>
      <c r="C857">
        <v>0.60950000000000004</v>
      </c>
      <c r="D857">
        <v>0.58189999999999997</v>
      </c>
      <c r="E857">
        <v>0.60389999999999999</v>
      </c>
      <c r="F857">
        <v>3461616.61</v>
      </c>
      <c r="G857">
        <v>0</v>
      </c>
      <c r="L857" t="s">
        <v>8</v>
      </c>
      <c r="M857" t="s">
        <v>7</v>
      </c>
      <c r="N857" t="s">
        <v>7</v>
      </c>
      <c r="P857">
        <f t="shared" si="1009"/>
        <v>0.59420289855072206</v>
      </c>
      <c r="Q857">
        <f t="shared" si="1010"/>
        <v>2056902.6233333242</v>
      </c>
      <c r="R857">
        <f t="shared" si="1011"/>
        <v>32039852.099661529</v>
      </c>
      <c r="S857">
        <f t="shared" si="1012"/>
        <v>320.39852099661528</v>
      </c>
      <c r="T857">
        <f t="shared" si="1013"/>
        <v>0.32039852099661525</v>
      </c>
    </row>
    <row r="858" spans="1:20" x14ac:dyDescent="0.25">
      <c r="A858" s="5">
        <v>43735</v>
      </c>
      <c r="B858">
        <v>0.58509999999999995</v>
      </c>
      <c r="C858">
        <v>0.60470000000000002</v>
      </c>
      <c r="D858">
        <v>0.56120000000000003</v>
      </c>
      <c r="E858">
        <v>0.59560000000000002</v>
      </c>
      <c r="F858">
        <v>2857038.45</v>
      </c>
      <c r="G858">
        <v>0</v>
      </c>
      <c r="L858" t="s">
        <v>8</v>
      </c>
      <c r="M858" t="s">
        <v>7</v>
      </c>
      <c r="N858" t="s">
        <v>7</v>
      </c>
      <c r="P858">
        <f t="shared" si="1009"/>
        <v>0.58160919540229883</v>
      </c>
      <c r="Q858">
        <f t="shared" si="1010"/>
        <v>1661679.834137931</v>
      </c>
      <c r="R858">
        <f t="shared" si="1011"/>
        <v>29982949.476328205</v>
      </c>
      <c r="S858">
        <f t="shared" si="1012"/>
        <v>299.82949476328207</v>
      </c>
      <c r="T858">
        <f t="shared" si="1013"/>
        <v>0.29982949476328208</v>
      </c>
    </row>
    <row r="859" spans="1:20" x14ac:dyDescent="0.25">
      <c r="A859" s="5">
        <v>43734</v>
      </c>
      <c r="B859">
        <v>0.61860000000000004</v>
      </c>
      <c r="C859">
        <v>0.62229999999999996</v>
      </c>
      <c r="D859">
        <v>0.54449999999999998</v>
      </c>
      <c r="E859">
        <v>0.58540000000000003</v>
      </c>
      <c r="F859">
        <v>5559065.2000000002</v>
      </c>
      <c r="G859">
        <v>0</v>
      </c>
      <c r="L859" t="s">
        <v>7</v>
      </c>
      <c r="M859" t="s">
        <v>7</v>
      </c>
      <c r="N859" t="s">
        <v>7</v>
      </c>
      <c r="P859">
        <f t="shared" si="1009"/>
        <v>5.1413881748073466E-2</v>
      </c>
      <c r="Q859">
        <f t="shared" si="1010"/>
        <v>285813.12082263036</v>
      </c>
      <c r="R859">
        <f t="shared" si="1011"/>
        <v>28321269.642190274</v>
      </c>
      <c r="S859">
        <f t="shared" si="1012"/>
        <v>283.21269642190276</v>
      </c>
      <c r="T859">
        <f t="shared" si="1013"/>
        <v>0.28321269642190278</v>
      </c>
    </row>
    <row r="860" spans="1:20" x14ac:dyDescent="0.25">
      <c r="A860" s="5">
        <v>43733</v>
      </c>
      <c r="B860">
        <v>0.61029999999999995</v>
      </c>
      <c r="C860">
        <v>0.65210000000000001</v>
      </c>
      <c r="D860">
        <v>0.57599999999999996</v>
      </c>
      <c r="E860">
        <v>0.61850000000000005</v>
      </c>
      <c r="F860">
        <v>8309315.3600000003</v>
      </c>
      <c r="G860">
        <v>0</v>
      </c>
      <c r="L860" t="s">
        <v>8</v>
      </c>
      <c r="M860" t="s">
        <v>7</v>
      </c>
      <c r="N860" t="s">
        <v>7</v>
      </c>
      <c r="P860">
        <f t="shared" si="1009"/>
        <v>0.11695137976347074</v>
      </c>
      <c r="Q860">
        <f t="shared" si="1010"/>
        <v>971785.89624180063</v>
      </c>
      <c r="R860">
        <f t="shared" si="1011"/>
        <v>28035456.521367643</v>
      </c>
      <c r="S860">
        <f t="shared" si="1012"/>
        <v>280.35456521367644</v>
      </c>
      <c r="T860">
        <f t="shared" si="1013"/>
        <v>0.28035456521367641</v>
      </c>
    </row>
    <row r="861" spans="1:20" x14ac:dyDescent="0.25">
      <c r="A861" s="5">
        <v>43732</v>
      </c>
      <c r="B861">
        <v>0.74229999999999996</v>
      </c>
      <c r="C861">
        <v>0.75580000000000003</v>
      </c>
      <c r="D861">
        <v>0.55820000000000003</v>
      </c>
      <c r="E861">
        <v>0.61009999999999998</v>
      </c>
      <c r="F861">
        <v>9410466.3699999992</v>
      </c>
      <c r="G861">
        <v>0</v>
      </c>
      <c r="L861" t="s">
        <v>7</v>
      </c>
      <c r="M861" t="s">
        <v>7</v>
      </c>
      <c r="N861" t="s">
        <v>7</v>
      </c>
      <c r="P861">
        <f t="shared" si="1009"/>
        <v>-0.47469635627530421</v>
      </c>
      <c r="Q861">
        <f t="shared" si="1010"/>
        <v>-4467114.0966902887</v>
      </c>
      <c r="R861">
        <f t="shared" si="1011"/>
        <v>27063670.625125844</v>
      </c>
      <c r="S861">
        <f t="shared" si="1012"/>
        <v>270.63670625125843</v>
      </c>
      <c r="T861">
        <f t="shared" si="1013"/>
        <v>0.27063670625125841</v>
      </c>
    </row>
    <row r="862" spans="1:20" x14ac:dyDescent="0.25">
      <c r="A862" s="5">
        <v>43731</v>
      </c>
      <c r="B862">
        <v>0.79679999999999995</v>
      </c>
      <c r="C862">
        <v>0.80220000000000002</v>
      </c>
      <c r="D862">
        <v>0.73250000000000004</v>
      </c>
      <c r="E862">
        <v>0.7429</v>
      </c>
      <c r="F862">
        <v>3664334.01</v>
      </c>
      <c r="G862">
        <v>0</v>
      </c>
      <c r="L862" t="s">
        <v>7</v>
      </c>
      <c r="M862" t="s">
        <v>8</v>
      </c>
      <c r="N862" t="s">
        <v>7</v>
      </c>
      <c r="P862">
        <f t="shared" si="1009"/>
        <v>-0.70157819225251172</v>
      </c>
      <c r="Q862">
        <f t="shared" si="1010"/>
        <v>-2570816.8305451972</v>
      </c>
      <c r="R862">
        <f t="shared" si="1011"/>
        <v>31530784.721816134</v>
      </c>
      <c r="S862">
        <f t="shared" si="1012"/>
        <v>315.30784721816133</v>
      </c>
      <c r="T862">
        <f t="shared" si="1013"/>
        <v>0.31530784721816135</v>
      </c>
    </row>
    <row r="863" spans="1:20" x14ac:dyDescent="0.25">
      <c r="A863" s="5">
        <v>43730</v>
      </c>
      <c r="B863">
        <v>0.80520000000000003</v>
      </c>
      <c r="C863">
        <v>0.80520000000000003</v>
      </c>
      <c r="D863">
        <v>0.76519999999999999</v>
      </c>
      <c r="E863">
        <v>0.79669999999999996</v>
      </c>
      <c r="F863">
        <v>1813747.17</v>
      </c>
      <c r="G863">
        <v>0</v>
      </c>
      <c r="L863" t="s">
        <v>7</v>
      </c>
      <c r="M863" t="s">
        <v>8</v>
      </c>
      <c r="N863" t="s">
        <v>7</v>
      </c>
      <c r="P863">
        <f t="shared" si="1009"/>
        <v>0.57499999999999718</v>
      </c>
      <c r="Q863">
        <f t="shared" si="1010"/>
        <v>1042904.6227499949</v>
      </c>
      <c r="R863">
        <f t="shared" si="1011"/>
        <v>34101601.552361332</v>
      </c>
      <c r="S863">
        <f t="shared" si="1012"/>
        <v>341.01601552361331</v>
      </c>
      <c r="T863">
        <f t="shared" si="1013"/>
        <v>0.34101601552361333</v>
      </c>
    </row>
    <row r="864" spans="1:20" x14ac:dyDescent="0.25">
      <c r="A864" s="5">
        <v>43729</v>
      </c>
      <c r="B864">
        <v>0.83330000000000004</v>
      </c>
      <c r="C864">
        <v>0.84499999999999997</v>
      </c>
      <c r="D864">
        <v>0.8024</v>
      </c>
      <c r="E864">
        <v>0.80579999999999996</v>
      </c>
      <c r="F864">
        <v>3361784.39</v>
      </c>
      <c r="G864">
        <v>0</v>
      </c>
      <c r="L864" t="s">
        <v>8</v>
      </c>
      <c r="M864" t="s">
        <v>8</v>
      </c>
      <c r="N864" t="s">
        <v>7</v>
      </c>
      <c r="P864">
        <f t="shared" si="1009"/>
        <v>-0.8403755868544619</v>
      </c>
      <c r="Q864">
        <f t="shared" si="1010"/>
        <v>-2825161.5296244193</v>
      </c>
      <c r="R864">
        <f t="shared" si="1011"/>
        <v>33058696.92961134</v>
      </c>
      <c r="S864">
        <f t="shared" si="1012"/>
        <v>330.58696929611341</v>
      </c>
      <c r="T864">
        <f t="shared" si="1013"/>
        <v>0.33058696929611342</v>
      </c>
    </row>
    <row r="865" spans="1:20" x14ac:dyDescent="0.25">
      <c r="A865" s="5">
        <v>43728</v>
      </c>
      <c r="B865">
        <v>0.81730000000000003</v>
      </c>
      <c r="C865">
        <v>0.83560000000000001</v>
      </c>
      <c r="D865">
        <v>0.79569999999999996</v>
      </c>
      <c r="E865">
        <v>0.83330000000000004</v>
      </c>
      <c r="F865">
        <v>2385528.04</v>
      </c>
      <c r="G865">
        <v>0</v>
      </c>
      <c r="L865" t="s">
        <v>8</v>
      </c>
      <c r="M865" t="s">
        <v>8</v>
      </c>
      <c r="N865" t="s">
        <v>7</v>
      </c>
      <c r="P865">
        <f t="shared" si="1009"/>
        <v>0.88471177944862323</v>
      </c>
      <c r="Q865">
        <f t="shared" si="1010"/>
        <v>2110504.7571929866</v>
      </c>
      <c r="R865">
        <f t="shared" si="1011"/>
        <v>35883858.459235758</v>
      </c>
      <c r="S865">
        <f t="shared" si="1012"/>
        <v>358.83858459235756</v>
      </c>
      <c r="T865">
        <f t="shared" si="1013"/>
        <v>0.35883858459235757</v>
      </c>
    </row>
    <row r="866" spans="1:20" x14ac:dyDescent="0.25">
      <c r="A866" s="5">
        <v>43727</v>
      </c>
      <c r="B866">
        <v>0.82240000000000002</v>
      </c>
      <c r="C866">
        <v>0.84340000000000004</v>
      </c>
      <c r="D866">
        <v>0.76870000000000005</v>
      </c>
      <c r="E866">
        <v>0.81730000000000003</v>
      </c>
      <c r="F866">
        <v>6447166.2599999998</v>
      </c>
      <c r="G866">
        <v>0</v>
      </c>
      <c r="L866" t="s">
        <v>7</v>
      </c>
      <c r="M866" t="s">
        <v>8</v>
      </c>
      <c r="N866" t="s">
        <v>7</v>
      </c>
      <c r="P866">
        <f t="shared" si="1009"/>
        <v>0.30120481927710802</v>
      </c>
      <c r="Q866">
        <f t="shared" si="1010"/>
        <v>1941917.5481927684</v>
      </c>
      <c r="R866">
        <f t="shared" si="1011"/>
        <v>33773353.702042773</v>
      </c>
      <c r="S866">
        <f t="shared" si="1012"/>
        <v>337.73353702042772</v>
      </c>
      <c r="T866">
        <f t="shared" si="1013"/>
        <v>0.33773353702042774</v>
      </c>
    </row>
    <row r="867" spans="1:20" x14ac:dyDescent="0.25">
      <c r="A867" s="5">
        <v>43726</v>
      </c>
      <c r="B867">
        <v>0.78900000000000003</v>
      </c>
      <c r="C867">
        <v>0.8609</v>
      </c>
      <c r="D867">
        <v>0.78769999999999996</v>
      </c>
      <c r="E867">
        <v>0.82230000000000003</v>
      </c>
      <c r="F867">
        <v>6697264.71</v>
      </c>
      <c r="G867">
        <v>0</v>
      </c>
      <c r="L867" t="s">
        <v>8</v>
      </c>
      <c r="M867" t="s">
        <v>8</v>
      </c>
      <c r="N867" t="s">
        <v>7</v>
      </c>
      <c r="P867">
        <f t="shared" si="1009"/>
        <v>-5.4644808743167898E-2</v>
      </c>
      <c r="Q867">
        <f t="shared" si="1010"/>
        <v>-365970.7491803178</v>
      </c>
      <c r="R867">
        <f t="shared" si="1011"/>
        <v>31831436.153850008</v>
      </c>
      <c r="S867">
        <f t="shared" si="1012"/>
        <v>318.31436153850007</v>
      </c>
      <c r="T867">
        <f t="shared" si="1013"/>
        <v>0.31831436153850007</v>
      </c>
    </row>
    <row r="868" spans="1:20" x14ac:dyDescent="0.25">
      <c r="A868" s="5">
        <v>43725</v>
      </c>
      <c r="B868">
        <v>0.76419999999999999</v>
      </c>
      <c r="C868">
        <v>0.82330000000000003</v>
      </c>
      <c r="D868">
        <v>0.75739999999999996</v>
      </c>
      <c r="E868">
        <v>0.78939999999999999</v>
      </c>
      <c r="F868">
        <v>16130333.960000001</v>
      </c>
      <c r="G868">
        <v>0</v>
      </c>
      <c r="L868" t="s">
        <v>8</v>
      </c>
      <c r="M868" t="s">
        <v>8</v>
      </c>
      <c r="N868" t="s">
        <v>7</v>
      </c>
      <c r="P868">
        <f t="shared" si="1009"/>
        <v>-2.8831562974203501E-2</v>
      </c>
      <c r="Q868">
        <f t="shared" si="1010"/>
        <v>-465062.73936267337</v>
      </c>
      <c r="R868">
        <f t="shared" si="1011"/>
        <v>32197406.903030325</v>
      </c>
      <c r="S868">
        <f t="shared" si="1012"/>
        <v>321.97406903030327</v>
      </c>
      <c r="T868">
        <f t="shared" si="1013"/>
        <v>0.32197406903030329</v>
      </c>
    </row>
    <row r="869" spans="1:20" x14ac:dyDescent="0.25">
      <c r="A869" s="5">
        <v>43724</v>
      </c>
      <c r="B869">
        <v>0.7571</v>
      </c>
      <c r="C869">
        <v>0.78349999999999997</v>
      </c>
      <c r="D869">
        <v>0.75</v>
      </c>
      <c r="E869">
        <v>0.76400000000000001</v>
      </c>
      <c r="F869">
        <v>2086065.85</v>
      </c>
      <c r="G869">
        <v>0</v>
      </c>
      <c r="L869" t="s">
        <v>8</v>
      </c>
      <c r="M869" t="s">
        <v>7</v>
      </c>
      <c r="N869" t="s">
        <v>7</v>
      </c>
      <c r="P869">
        <f t="shared" si="1009"/>
        <v>-0.16417910447761055</v>
      </c>
      <c r="Q869">
        <f t="shared" si="1010"/>
        <v>-342488.42313432548</v>
      </c>
      <c r="R869">
        <f t="shared" si="1011"/>
        <v>32662469.642392997</v>
      </c>
      <c r="S869">
        <f t="shared" si="1012"/>
        <v>326.62469642392995</v>
      </c>
      <c r="T869">
        <f t="shared" si="1013"/>
        <v>0.32662469642392994</v>
      </c>
    </row>
    <row r="870" spans="1:20" x14ac:dyDescent="0.25">
      <c r="A870" s="5">
        <v>43723</v>
      </c>
      <c r="B870">
        <v>0.75690000000000002</v>
      </c>
      <c r="C870">
        <v>0.76770000000000005</v>
      </c>
      <c r="D870">
        <v>0.74770000000000003</v>
      </c>
      <c r="E870">
        <v>0.7571</v>
      </c>
      <c r="F870">
        <v>1538365.35</v>
      </c>
      <c r="G870">
        <v>0</v>
      </c>
      <c r="L870" t="s">
        <v>8</v>
      </c>
      <c r="M870" t="s">
        <v>7</v>
      </c>
      <c r="N870" t="s">
        <v>7</v>
      </c>
      <c r="P870">
        <f t="shared" si="1009"/>
        <v>-6.0000000000004439E-2</v>
      </c>
      <c r="Q870">
        <f t="shared" si="1010"/>
        <v>-92301.921000006827</v>
      </c>
      <c r="R870">
        <f t="shared" si="1011"/>
        <v>33004958.065527324</v>
      </c>
      <c r="S870">
        <f t="shared" si="1012"/>
        <v>330.04958065527325</v>
      </c>
      <c r="T870">
        <f t="shared" si="1013"/>
        <v>0.33004958065527323</v>
      </c>
    </row>
    <row r="871" spans="1:20" x14ac:dyDescent="0.25">
      <c r="A871" s="5">
        <v>43722</v>
      </c>
      <c r="B871">
        <v>0.74829999999999997</v>
      </c>
      <c r="C871">
        <v>0.76670000000000005</v>
      </c>
      <c r="D871">
        <v>0.73089999999999999</v>
      </c>
      <c r="E871">
        <v>0.75649999999999995</v>
      </c>
      <c r="F871">
        <v>2198731.84</v>
      </c>
      <c r="G871">
        <v>0</v>
      </c>
      <c r="L871" t="s">
        <v>8</v>
      </c>
      <c r="M871" t="s">
        <v>7</v>
      </c>
      <c r="N871" t="s">
        <v>7</v>
      </c>
      <c r="P871">
        <f t="shared" si="1009"/>
        <v>0.43016759776535851</v>
      </c>
      <c r="Q871">
        <f t="shared" si="1010"/>
        <v>945823.19374300656</v>
      </c>
      <c r="R871">
        <f t="shared" si="1011"/>
        <v>33097259.986527331</v>
      </c>
      <c r="S871">
        <f t="shared" si="1012"/>
        <v>330.97259986527331</v>
      </c>
      <c r="T871">
        <f t="shared" si="1013"/>
        <v>0.33097259986527333</v>
      </c>
    </row>
    <row r="872" spans="1:20" x14ac:dyDescent="0.25">
      <c r="A872" s="5">
        <v>43721</v>
      </c>
      <c r="B872">
        <v>0.7339</v>
      </c>
      <c r="C872">
        <v>0.76390000000000002</v>
      </c>
      <c r="D872">
        <v>0.72899999999999998</v>
      </c>
      <c r="E872">
        <v>0.748</v>
      </c>
      <c r="F872">
        <v>2556315.34</v>
      </c>
      <c r="G872">
        <v>0</v>
      </c>
      <c r="L872" t="s">
        <v>8</v>
      </c>
      <c r="M872" t="s">
        <v>7</v>
      </c>
      <c r="N872" t="s">
        <v>7</v>
      </c>
      <c r="P872">
        <f t="shared" si="1009"/>
        <v>8.8825214899713123E-2</v>
      </c>
      <c r="Q872">
        <f t="shared" si="1010"/>
        <v>227065.25942693322</v>
      </c>
      <c r="R872">
        <f t="shared" si="1011"/>
        <v>32151436.792784326</v>
      </c>
      <c r="S872">
        <f t="shared" si="1012"/>
        <v>321.51436792784324</v>
      </c>
      <c r="T872">
        <f t="shared" si="1013"/>
        <v>0.32151436792784321</v>
      </c>
    </row>
    <row r="873" spans="1:20" x14ac:dyDescent="0.25">
      <c r="A873" s="5">
        <v>43720</v>
      </c>
      <c r="B873">
        <v>0.73450000000000004</v>
      </c>
      <c r="C873">
        <v>0.74009999999999998</v>
      </c>
      <c r="D873">
        <v>0.69799999999999995</v>
      </c>
      <c r="E873">
        <v>0.7339</v>
      </c>
      <c r="F873">
        <v>3221111.56</v>
      </c>
      <c r="G873">
        <v>0</v>
      </c>
      <c r="L873" t="s">
        <v>7</v>
      </c>
      <c r="M873" t="s">
        <v>7</v>
      </c>
      <c r="N873" t="s">
        <v>7</v>
      </c>
      <c r="P873">
        <f t="shared" si="1009"/>
        <v>0.70546318289786325</v>
      </c>
      <c r="Q873">
        <f t="shared" si="1010"/>
        <v>2272375.6135867015</v>
      </c>
      <c r="R873">
        <f t="shared" si="1011"/>
        <v>31924371.533357393</v>
      </c>
      <c r="S873">
        <f t="shared" si="1012"/>
        <v>319.2437153335739</v>
      </c>
      <c r="T873">
        <f t="shared" si="1013"/>
        <v>0.31924371533357393</v>
      </c>
    </row>
    <row r="874" spans="1:20" x14ac:dyDescent="0.25">
      <c r="A874" s="5">
        <v>43719</v>
      </c>
      <c r="B874">
        <v>0.76239999999999997</v>
      </c>
      <c r="C874">
        <v>0.77129999999999999</v>
      </c>
      <c r="D874">
        <v>0.72</v>
      </c>
      <c r="E874">
        <v>0.73380000000000001</v>
      </c>
      <c r="F874">
        <v>2132891.0499999998</v>
      </c>
      <c r="G874">
        <v>0</v>
      </c>
      <c r="L874" t="s">
        <v>7</v>
      </c>
      <c r="M874" t="s">
        <v>7</v>
      </c>
      <c r="N874" t="s">
        <v>7</v>
      </c>
      <c r="P874">
        <f t="shared" si="1009"/>
        <v>-0.46198830409356606</v>
      </c>
      <c r="Q874">
        <f t="shared" si="1010"/>
        <v>-985370.71900584537</v>
      </c>
      <c r="R874">
        <f t="shared" si="1011"/>
        <v>29651995.919770692</v>
      </c>
      <c r="S874">
        <f t="shared" si="1012"/>
        <v>296.5199591977069</v>
      </c>
      <c r="T874">
        <f t="shared" si="1013"/>
        <v>0.29651995919770691</v>
      </c>
    </row>
    <row r="875" spans="1:20" x14ac:dyDescent="0.25">
      <c r="A875" s="5">
        <v>43718</v>
      </c>
      <c r="B875">
        <v>0.76459999999999995</v>
      </c>
      <c r="C875">
        <v>0.80930000000000002</v>
      </c>
      <c r="D875">
        <v>0.75229999999999997</v>
      </c>
      <c r="E875">
        <v>0.76239999999999997</v>
      </c>
      <c r="F875">
        <v>2567581.02</v>
      </c>
      <c r="G875">
        <v>0</v>
      </c>
      <c r="L875" t="s">
        <v>8</v>
      </c>
      <c r="M875" t="s">
        <v>7</v>
      </c>
      <c r="N875" t="s">
        <v>7</v>
      </c>
      <c r="P875">
        <f t="shared" si="1009"/>
        <v>-0.64561403508771964</v>
      </c>
      <c r="Q875">
        <f t="shared" si="1010"/>
        <v>-1657666.342736843</v>
      </c>
      <c r="R875">
        <f t="shared" si="1011"/>
        <v>30637366.638776537</v>
      </c>
      <c r="S875">
        <f t="shared" si="1012"/>
        <v>306.37366638776535</v>
      </c>
      <c r="T875">
        <f t="shared" si="1013"/>
        <v>0.30637366638776536</v>
      </c>
    </row>
    <row r="876" spans="1:20" x14ac:dyDescent="0.25">
      <c r="A876" s="5">
        <v>43717</v>
      </c>
      <c r="B876">
        <v>0.75819999999999999</v>
      </c>
      <c r="C876">
        <v>0.79</v>
      </c>
      <c r="D876">
        <v>0.73040000000000005</v>
      </c>
      <c r="E876">
        <v>0.76580000000000004</v>
      </c>
      <c r="F876">
        <v>3212373.62</v>
      </c>
      <c r="G876">
        <v>0</v>
      </c>
      <c r="L876" t="s">
        <v>8</v>
      </c>
      <c r="M876" t="s">
        <v>7</v>
      </c>
      <c r="N876" t="s">
        <v>7</v>
      </c>
      <c r="P876">
        <f t="shared" si="1009"/>
        <v>0.18791946308724816</v>
      </c>
      <c r="Q876">
        <f t="shared" si="1010"/>
        <v>603667.52590603975</v>
      </c>
      <c r="R876">
        <f t="shared" si="1011"/>
        <v>32295032.981513381</v>
      </c>
      <c r="S876">
        <f t="shared" si="1012"/>
        <v>322.95032981513378</v>
      </c>
      <c r="T876">
        <f t="shared" si="1013"/>
        <v>0.32295032981513377</v>
      </c>
    </row>
    <row r="877" spans="1:20" x14ac:dyDescent="0.25">
      <c r="A877" s="5">
        <v>43716</v>
      </c>
      <c r="B877">
        <v>0.71</v>
      </c>
      <c r="C877">
        <v>0.77070000000000005</v>
      </c>
      <c r="D877">
        <v>0.70569999999999999</v>
      </c>
      <c r="E877">
        <v>0.75800000000000001</v>
      </c>
      <c r="F877">
        <v>4155919.49</v>
      </c>
      <c r="G877">
        <v>0</v>
      </c>
      <c r="L877" t="s">
        <v>8</v>
      </c>
      <c r="M877" t="s">
        <v>7</v>
      </c>
      <c r="N877" t="s">
        <v>7</v>
      </c>
      <c r="P877">
        <f t="shared" si="1009"/>
        <v>0.60923076923076824</v>
      </c>
      <c r="Q877">
        <f t="shared" si="1010"/>
        <v>2531914.0277538421</v>
      </c>
      <c r="R877">
        <f t="shared" si="1011"/>
        <v>31691365.45560734</v>
      </c>
      <c r="S877">
        <f t="shared" si="1012"/>
        <v>316.91365455607342</v>
      </c>
      <c r="T877">
        <f t="shared" si="1013"/>
        <v>0.3169136545560734</v>
      </c>
    </row>
    <row r="878" spans="1:20" x14ac:dyDescent="0.25">
      <c r="A878" s="5">
        <v>43715</v>
      </c>
      <c r="B878">
        <v>0.6895</v>
      </c>
      <c r="C878">
        <v>0.72109999999999996</v>
      </c>
      <c r="D878">
        <v>0.68269999999999997</v>
      </c>
      <c r="E878">
        <v>0.71020000000000005</v>
      </c>
      <c r="F878">
        <v>1206176.7</v>
      </c>
      <c r="G878">
        <v>0</v>
      </c>
      <c r="L878" t="s">
        <v>7</v>
      </c>
      <c r="M878" t="s">
        <v>7</v>
      </c>
      <c r="N878" t="s">
        <v>7</v>
      </c>
      <c r="P878">
        <f t="shared" si="1009"/>
        <v>0.43229166666667124</v>
      </c>
      <c r="Q878">
        <f t="shared" si="1010"/>
        <v>521420.13593750552</v>
      </c>
      <c r="R878">
        <f t="shared" si="1011"/>
        <v>29159451.427853499</v>
      </c>
      <c r="S878">
        <f t="shared" si="1012"/>
        <v>291.59451427853497</v>
      </c>
      <c r="T878">
        <f t="shared" si="1013"/>
        <v>0.291594514278535</v>
      </c>
    </row>
    <row r="879" spans="1:20" x14ac:dyDescent="0.25">
      <c r="A879" s="5">
        <v>43714</v>
      </c>
      <c r="B879">
        <v>0.70720000000000005</v>
      </c>
      <c r="C879">
        <v>0.72799999999999998</v>
      </c>
      <c r="D879">
        <v>0.67789999999999995</v>
      </c>
      <c r="E879">
        <v>0.68920000000000003</v>
      </c>
      <c r="F879">
        <v>1889929.6</v>
      </c>
      <c r="G879">
        <v>0</v>
      </c>
      <c r="L879" t="s">
        <v>7</v>
      </c>
      <c r="M879" t="s">
        <v>7</v>
      </c>
      <c r="N879" t="s">
        <v>7</v>
      </c>
      <c r="P879">
        <f t="shared" si="1009"/>
        <v>-0.54890219560877929</v>
      </c>
      <c r="Q879">
        <f t="shared" si="1010"/>
        <v>-1037386.506986022</v>
      </c>
      <c r="R879">
        <f t="shared" si="1011"/>
        <v>28638031.291915994</v>
      </c>
      <c r="S879">
        <f t="shared" si="1012"/>
        <v>286.38031291915996</v>
      </c>
      <c r="T879">
        <f t="shared" si="1013"/>
        <v>0.28638031291915994</v>
      </c>
    </row>
    <row r="880" spans="1:20" x14ac:dyDescent="0.25">
      <c r="A880" s="5">
        <v>43713</v>
      </c>
      <c r="B880">
        <v>0.70720000000000005</v>
      </c>
      <c r="C880">
        <v>0.72450000000000003</v>
      </c>
      <c r="D880">
        <v>0.69540000000000002</v>
      </c>
      <c r="E880">
        <v>0.70709999999999995</v>
      </c>
      <c r="F880">
        <v>1880455.15</v>
      </c>
      <c r="G880">
        <v>0</v>
      </c>
      <c r="L880" t="s">
        <v>7</v>
      </c>
      <c r="M880" t="s">
        <v>7</v>
      </c>
      <c r="N880" t="s">
        <v>7</v>
      </c>
      <c r="P880">
        <f t="shared" si="1009"/>
        <v>-0.19587628865979884</v>
      </c>
      <c r="Q880">
        <f t="shared" si="1010"/>
        <v>-368336.57577320532</v>
      </c>
      <c r="R880">
        <f t="shared" si="1011"/>
        <v>29675417.798902016</v>
      </c>
      <c r="S880">
        <f t="shared" si="1012"/>
        <v>296.75417798902015</v>
      </c>
      <c r="T880">
        <f t="shared" si="1013"/>
        <v>0.29675417798902015</v>
      </c>
    </row>
    <row r="881" spans="1:20" x14ac:dyDescent="0.25">
      <c r="A881" s="5">
        <v>43712</v>
      </c>
      <c r="B881">
        <v>0.71619999999999995</v>
      </c>
      <c r="C881">
        <v>0.72599999999999998</v>
      </c>
      <c r="D881">
        <v>0.70189999999999997</v>
      </c>
      <c r="E881">
        <v>0.70650000000000002</v>
      </c>
      <c r="F881">
        <v>1515385.23</v>
      </c>
      <c r="G881">
        <v>0</v>
      </c>
      <c r="L881" t="s">
        <v>8</v>
      </c>
      <c r="M881" t="s">
        <v>7</v>
      </c>
      <c r="N881" t="s">
        <v>7</v>
      </c>
      <c r="P881">
        <f t="shared" si="1009"/>
        <v>-0.61825726141078452</v>
      </c>
      <c r="Q881">
        <f t="shared" si="1010"/>
        <v>-936897.92228215176</v>
      </c>
      <c r="R881">
        <f t="shared" si="1011"/>
        <v>30043754.374675222</v>
      </c>
      <c r="S881">
        <f t="shared" si="1012"/>
        <v>300.43754374675223</v>
      </c>
      <c r="T881">
        <f t="shared" si="1013"/>
        <v>0.30043754374675224</v>
      </c>
    </row>
    <row r="882" spans="1:20" x14ac:dyDescent="0.25">
      <c r="A882" s="5">
        <v>43711</v>
      </c>
      <c r="B882">
        <v>0.73419999999999996</v>
      </c>
      <c r="C882">
        <v>0.74629999999999996</v>
      </c>
      <c r="D882">
        <v>0.71</v>
      </c>
      <c r="E882">
        <v>0.71609999999999996</v>
      </c>
      <c r="F882">
        <v>1907447.59</v>
      </c>
      <c r="G882">
        <v>0</v>
      </c>
      <c r="L882" t="s">
        <v>8</v>
      </c>
      <c r="M882" t="s">
        <v>7</v>
      </c>
      <c r="N882" t="s">
        <v>7</v>
      </c>
      <c r="P882">
        <f t="shared" si="1009"/>
        <v>-0.66391184573002782</v>
      </c>
      <c r="Q882">
        <f t="shared" si="1010"/>
        <v>-1266377.0501101934</v>
      </c>
      <c r="R882">
        <f t="shared" si="1011"/>
        <v>30980652.296957374</v>
      </c>
      <c r="S882">
        <f t="shared" si="1012"/>
        <v>309.80652296957373</v>
      </c>
      <c r="T882">
        <f t="shared" si="1013"/>
        <v>0.30980652296957373</v>
      </c>
    </row>
    <row r="883" spans="1:20" x14ac:dyDescent="0.25">
      <c r="A883" s="5">
        <v>43710</v>
      </c>
      <c r="B883">
        <v>0.71350000000000002</v>
      </c>
      <c r="C883">
        <v>0.74270000000000003</v>
      </c>
      <c r="D883">
        <v>0.69940000000000002</v>
      </c>
      <c r="E883">
        <v>0.73299999999999998</v>
      </c>
      <c r="F883">
        <v>877735.44</v>
      </c>
      <c r="G883">
        <v>0</v>
      </c>
      <c r="L883" t="s">
        <v>8</v>
      </c>
      <c r="M883" t="s">
        <v>7</v>
      </c>
      <c r="N883" t="s">
        <v>7</v>
      </c>
      <c r="P883">
        <f t="shared" si="1009"/>
        <v>0.55196304849884337</v>
      </c>
      <c r="Q883">
        <f t="shared" si="1010"/>
        <v>484477.52923787362</v>
      </c>
      <c r="R883">
        <f t="shared" si="1011"/>
        <v>32247029.347067568</v>
      </c>
      <c r="S883">
        <f t="shared" si="1012"/>
        <v>322.4702934706757</v>
      </c>
      <c r="T883">
        <f t="shared" si="1013"/>
        <v>0.32247029347067568</v>
      </c>
    </row>
    <row r="884" spans="1:20" x14ac:dyDescent="0.25">
      <c r="A884" s="5">
        <v>43709</v>
      </c>
      <c r="B884">
        <v>0.70799999999999996</v>
      </c>
      <c r="C884">
        <v>0.71960000000000002</v>
      </c>
      <c r="D884">
        <v>0.6855</v>
      </c>
      <c r="E884">
        <v>0.71440000000000003</v>
      </c>
      <c r="F884">
        <v>747361.1</v>
      </c>
      <c r="G884">
        <v>0</v>
      </c>
      <c r="L884" t="s">
        <v>7</v>
      </c>
      <c r="M884" t="s">
        <v>7</v>
      </c>
      <c r="N884" t="s">
        <v>7</v>
      </c>
      <c r="P884">
        <f t="shared" si="1009"/>
        <v>0.6950146627565994</v>
      </c>
      <c r="Q884">
        <f t="shared" si="1010"/>
        <v>519426.92287390115</v>
      </c>
      <c r="R884">
        <f t="shared" si="1011"/>
        <v>31762551.817829695</v>
      </c>
      <c r="S884">
        <f t="shared" si="1012"/>
        <v>317.62551817829694</v>
      </c>
      <c r="T884">
        <f t="shared" si="1013"/>
        <v>0.31762551817829693</v>
      </c>
    </row>
    <row r="885" spans="1:20" x14ac:dyDescent="0.25">
      <c r="A885" s="5">
        <v>43708</v>
      </c>
      <c r="B885">
        <v>0.7228</v>
      </c>
      <c r="C885">
        <v>0.73560000000000003</v>
      </c>
      <c r="D885">
        <v>0.69679999999999997</v>
      </c>
      <c r="E885">
        <v>0.70850000000000002</v>
      </c>
      <c r="F885">
        <v>1261018.3700000001</v>
      </c>
      <c r="G885">
        <v>0</v>
      </c>
      <c r="L885" t="s">
        <v>7</v>
      </c>
      <c r="M885" t="s">
        <v>7</v>
      </c>
      <c r="N885" t="s">
        <v>7</v>
      </c>
      <c r="P885">
        <f t="shared" si="1009"/>
        <v>-0.39690721649484401</v>
      </c>
      <c r="Q885">
        <f t="shared" si="1010"/>
        <v>-500507.29118556535</v>
      </c>
      <c r="R885">
        <f t="shared" si="1011"/>
        <v>31243124.894955795</v>
      </c>
      <c r="S885">
        <f t="shared" si="1012"/>
        <v>312.43124894955793</v>
      </c>
      <c r="T885">
        <f t="shared" si="1013"/>
        <v>0.31243124894955793</v>
      </c>
    </row>
    <row r="886" spans="1:20" x14ac:dyDescent="0.25">
      <c r="A886" s="5">
        <v>43707</v>
      </c>
      <c r="B886">
        <v>0.71689999999999998</v>
      </c>
      <c r="C886">
        <v>0.73229999999999995</v>
      </c>
      <c r="D886">
        <v>0.7</v>
      </c>
      <c r="E886">
        <v>0.72350000000000003</v>
      </c>
      <c r="F886">
        <v>1127870.58</v>
      </c>
      <c r="G886">
        <v>0</v>
      </c>
      <c r="L886" t="s">
        <v>7</v>
      </c>
      <c r="M886" t="s">
        <v>7</v>
      </c>
      <c r="N886" t="s">
        <v>7</v>
      </c>
      <c r="P886">
        <f t="shared" si="1009"/>
        <v>0.45510835913313186</v>
      </c>
      <c r="Q886">
        <f t="shared" si="1010"/>
        <v>513303.32897833374</v>
      </c>
      <c r="R886">
        <f t="shared" si="1011"/>
        <v>31743632.186141361</v>
      </c>
      <c r="S886">
        <f t="shared" si="1012"/>
        <v>317.4363218614136</v>
      </c>
      <c r="T886">
        <f t="shared" si="1013"/>
        <v>0.31743632186141363</v>
      </c>
    </row>
    <row r="887" spans="1:20" x14ac:dyDescent="0.25">
      <c r="A887" s="5">
        <v>43706</v>
      </c>
      <c r="B887">
        <v>0.72899999999999998</v>
      </c>
      <c r="C887">
        <v>0.72899999999999998</v>
      </c>
      <c r="D887">
        <v>0.69099999999999995</v>
      </c>
      <c r="E887">
        <v>0.71699999999999997</v>
      </c>
      <c r="F887">
        <v>3303898.89</v>
      </c>
      <c r="G887">
        <v>0</v>
      </c>
      <c r="L887" t="s">
        <v>7</v>
      </c>
      <c r="M887" t="s">
        <v>7</v>
      </c>
      <c r="N887" t="s">
        <v>7</v>
      </c>
      <c r="P887">
        <f t="shared" si="1009"/>
        <v>0.36842105263157893</v>
      </c>
      <c r="Q887">
        <f t="shared" si="1010"/>
        <v>1217225.9068421053</v>
      </c>
      <c r="R887">
        <f t="shared" si="1011"/>
        <v>31230328.857163027</v>
      </c>
      <c r="S887">
        <f t="shared" si="1012"/>
        <v>312.30328857163028</v>
      </c>
      <c r="T887">
        <f t="shared" si="1013"/>
        <v>0.31230328857163026</v>
      </c>
    </row>
    <row r="888" spans="1:20" x14ac:dyDescent="0.25">
      <c r="A888" s="5">
        <v>43705</v>
      </c>
      <c r="B888">
        <v>0.78080000000000005</v>
      </c>
      <c r="C888">
        <v>0.79630000000000001</v>
      </c>
      <c r="D888">
        <v>0.7</v>
      </c>
      <c r="E888">
        <v>0.72940000000000005</v>
      </c>
      <c r="F888">
        <v>4076764.3</v>
      </c>
      <c r="G888">
        <v>0</v>
      </c>
      <c r="L888" t="s">
        <v>7</v>
      </c>
      <c r="M888" t="s">
        <v>7</v>
      </c>
      <c r="N888" t="s">
        <v>7</v>
      </c>
      <c r="P888">
        <f t="shared" si="1009"/>
        <v>-0.3894080996884719</v>
      </c>
      <c r="Q888">
        <f t="shared" si="1010"/>
        <v>-1587525.0389408034</v>
      </c>
      <c r="R888">
        <f t="shared" si="1011"/>
        <v>30013102.950320922</v>
      </c>
      <c r="S888">
        <f t="shared" si="1012"/>
        <v>300.13102950320922</v>
      </c>
      <c r="T888">
        <f t="shared" si="1013"/>
        <v>0.30013102950320925</v>
      </c>
    </row>
    <row r="889" spans="1:20" x14ac:dyDescent="0.25">
      <c r="A889" s="5">
        <v>43704</v>
      </c>
      <c r="B889">
        <v>0.80130000000000001</v>
      </c>
      <c r="C889">
        <v>0.80130000000000001</v>
      </c>
      <c r="D889">
        <v>0.76149999999999995</v>
      </c>
      <c r="E889">
        <v>0.78120000000000001</v>
      </c>
      <c r="F889">
        <v>1672825.2</v>
      </c>
      <c r="G889">
        <v>0</v>
      </c>
      <c r="L889" t="s">
        <v>7</v>
      </c>
      <c r="M889" t="s">
        <v>8</v>
      </c>
      <c r="N889" t="s">
        <v>7</v>
      </c>
      <c r="P889">
        <f t="shared" si="1009"/>
        <v>-1.0050251256280285E-2</v>
      </c>
      <c r="Q889">
        <f t="shared" si="1010"/>
        <v>-16812.313567837318</v>
      </c>
      <c r="R889">
        <f t="shared" si="1011"/>
        <v>31600627.989261724</v>
      </c>
      <c r="S889">
        <f t="shared" si="1012"/>
        <v>316.00627989261721</v>
      </c>
      <c r="T889">
        <f t="shared" si="1013"/>
        <v>0.3160062798926172</v>
      </c>
    </row>
    <row r="890" spans="1:20" x14ac:dyDescent="0.25">
      <c r="A890" s="5">
        <v>43703</v>
      </c>
      <c r="B890">
        <v>0.80420000000000003</v>
      </c>
      <c r="C890">
        <v>0.83530000000000004</v>
      </c>
      <c r="D890">
        <v>0.79039999999999999</v>
      </c>
      <c r="E890">
        <v>0.80079999999999996</v>
      </c>
      <c r="F890">
        <v>1880073.99</v>
      </c>
      <c r="G890">
        <v>0</v>
      </c>
      <c r="L890" t="s">
        <v>7</v>
      </c>
      <c r="M890" t="s">
        <v>8</v>
      </c>
      <c r="N890" t="s">
        <v>7</v>
      </c>
      <c r="P890">
        <f t="shared" si="1009"/>
        <v>-0.53674832962138297</v>
      </c>
      <c r="Q890">
        <f t="shared" si="1010"/>
        <v>-1009126.5736971087</v>
      </c>
      <c r="R890">
        <f t="shared" si="1011"/>
        <v>31617440.30282956</v>
      </c>
      <c r="S890">
        <f t="shared" si="1012"/>
        <v>316.17440302829561</v>
      </c>
      <c r="T890">
        <f t="shared" si="1013"/>
        <v>0.31617440302829564</v>
      </c>
    </row>
    <row r="891" spans="1:20" x14ac:dyDescent="0.25">
      <c r="A891" s="5">
        <v>43702</v>
      </c>
      <c r="B891">
        <v>0.83030000000000004</v>
      </c>
      <c r="C891">
        <v>0.90159999999999996</v>
      </c>
      <c r="D891">
        <v>0.77769999999999995</v>
      </c>
      <c r="E891">
        <v>0.80459999999999998</v>
      </c>
      <c r="F891">
        <v>5676243.7300000004</v>
      </c>
      <c r="G891">
        <v>0</v>
      </c>
      <c r="L891" t="s">
        <v>8</v>
      </c>
      <c r="M891" t="s">
        <v>8</v>
      </c>
      <c r="N891" t="s">
        <v>7</v>
      </c>
      <c r="P891">
        <f t="shared" si="1009"/>
        <v>-0.5657788539144466</v>
      </c>
      <c r="Q891">
        <f t="shared" si="1010"/>
        <v>-3211498.6720984639</v>
      </c>
      <c r="R891">
        <f t="shared" si="1011"/>
        <v>32626566.876526669</v>
      </c>
      <c r="S891">
        <f t="shared" si="1012"/>
        <v>326.2656687652667</v>
      </c>
      <c r="T891">
        <f t="shared" si="1013"/>
        <v>0.32626566876526669</v>
      </c>
    </row>
    <row r="892" spans="1:20" x14ac:dyDescent="0.25">
      <c r="A892" s="5">
        <v>43701</v>
      </c>
      <c r="B892">
        <v>0.76349999999999996</v>
      </c>
      <c r="C892">
        <v>0.85050000000000003</v>
      </c>
      <c r="D892">
        <v>0.76349999999999996</v>
      </c>
      <c r="E892">
        <v>0.83030000000000004</v>
      </c>
      <c r="F892">
        <v>5631245.71</v>
      </c>
      <c r="G892">
        <v>0</v>
      </c>
      <c r="L892" t="s">
        <v>8</v>
      </c>
      <c r="M892" t="s">
        <v>7</v>
      </c>
      <c r="N892" t="s">
        <v>7</v>
      </c>
      <c r="P892">
        <f t="shared" si="1009"/>
        <v>0.53563218390804646</v>
      </c>
      <c r="Q892">
        <f t="shared" si="1010"/>
        <v>3016276.4377701175</v>
      </c>
      <c r="R892">
        <f t="shared" si="1011"/>
        <v>35838065.548625134</v>
      </c>
      <c r="S892">
        <f t="shared" si="1012"/>
        <v>358.38065548625133</v>
      </c>
      <c r="T892">
        <f t="shared" si="1013"/>
        <v>0.35838065548625131</v>
      </c>
    </row>
    <row r="893" spans="1:20" x14ac:dyDescent="0.25">
      <c r="A893" s="5">
        <v>43700</v>
      </c>
      <c r="B893">
        <v>0.75719999999999998</v>
      </c>
      <c r="C893">
        <v>0.76939999999999997</v>
      </c>
      <c r="D893">
        <v>0.73970000000000002</v>
      </c>
      <c r="E893">
        <v>0.76319999999999999</v>
      </c>
      <c r="F893">
        <v>1227112.78</v>
      </c>
      <c r="G893">
        <v>0</v>
      </c>
      <c r="L893" t="s">
        <v>8</v>
      </c>
      <c r="M893" t="s">
        <v>7</v>
      </c>
      <c r="N893" t="s">
        <v>7</v>
      </c>
      <c r="P893">
        <f t="shared" si="1009"/>
        <v>0.58249158249158295</v>
      </c>
      <c r="Q893">
        <f t="shared" si="1010"/>
        <v>714782.86511784571</v>
      </c>
      <c r="R893">
        <f t="shared" si="1011"/>
        <v>32821789.110855017</v>
      </c>
      <c r="S893">
        <f t="shared" si="1012"/>
        <v>328.21789110855019</v>
      </c>
      <c r="T893">
        <f t="shared" si="1013"/>
        <v>0.32821789110855021</v>
      </c>
    </row>
    <row r="894" spans="1:20" x14ac:dyDescent="0.25">
      <c r="A894" s="5">
        <v>43699</v>
      </c>
      <c r="B894">
        <v>0.74229999999999996</v>
      </c>
      <c r="C894">
        <v>0.7732</v>
      </c>
      <c r="D894">
        <v>0.71309999999999996</v>
      </c>
      <c r="E894">
        <v>0.7581</v>
      </c>
      <c r="F894">
        <v>1517603.61</v>
      </c>
      <c r="G894">
        <v>0</v>
      </c>
      <c r="L894" t="s">
        <v>8</v>
      </c>
      <c r="M894" t="s">
        <v>7</v>
      </c>
      <c r="N894" t="s">
        <v>7</v>
      </c>
      <c r="P894">
        <f t="shared" si="1009"/>
        <v>0.49750415973377732</v>
      </c>
      <c r="Q894">
        <f t="shared" si="1010"/>
        <v>755014.10880199715</v>
      </c>
      <c r="R894">
        <f t="shared" si="1011"/>
        <v>32107006.245737173</v>
      </c>
      <c r="S894">
        <f t="shared" si="1012"/>
        <v>321.07006245737171</v>
      </c>
      <c r="T894">
        <f t="shared" si="1013"/>
        <v>0.32107006245737169</v>
      </c>
    </row>
    <row r="895" spans="1:20" x14ac:dyDescent="0.25">
      <c r="A895" s="5">
        <v>43698</v>
      </c>
      <c r="B895">
        <v>0.78269999999999995</v>
      </c>
      <c r="C895">
        <v>0.78400000000000003</v>
      </c>
      <c r="D895">
        <v>0.71130000000000004</v>
      </c>
      <c r="E895">
        <v>0.74219999999999997</v>
      </c>
      <c r="F895">
        <v>1556898.25</v>
      </c>
      <c r="G895">
        <v>0</v>
      </c>
      <c r="L895" t="s">
        <v>7</v>
      </c>
      <c r="M895" t="s">
        <v>7</v>
      </c>
      <c r="N895" t="s">
        <v>7</v>
      </c>
      <c r="P895">
        <f t="shared" ref="P895:P958" si="1014">IF(C895=D895,0,((E895-D895)-(C895-E895))/(C895-D895))</f>
        <v>-0.14993122420908025</v>
      </c>
      <c r="Q895">
        <f t="shared" ref="Q895:Q958" si="1015">F895*P895</f>
        <v>-233427.66059147468</v>
      </c>
      <c r="R895">
        <f t="shared" ref="R895:R958" si="1016">R896+Q895</f>
        <v>31351992.136935174</v>
      </c>
      <c r="S895">
        <f t="shared" ref="S895:S958" si="1017">R895/100000</f>
        <v>313.51992136935172</v>
      </c>
      <c r="T895">
        <f t="shared" ref="T895:T958" si="1018">S895/1000</f>
        <v>0.3135199213693517</v>
      </c>
    </row>
    <row r="896" spans="1:20" x14ac:dyDescent="0.25">
      <c r="A896" s="5">
        <v>43697</v>
      </c>
      <c r="B896">
        <v>0.81289999999999996</v>
      </c>
      <c r="C896">
        <v>0.81520000000000004</v>
      </c>
      <c r="D896">
        <v>0.77610000000000001</v>
      </c>
      <c r="E896">
        <v>0.78220000000000001</v>
      </c>
      <c r="F896">
        <v>823671.89</v>
      </c>
      <c r="G896">
        <v>0</v>
      </c>
      <c r="L896" t="s">
        <v>8</v>
      </c>
      <c r="M896" t="s">
        <v>7</v>
      </c>
      <c r="N896" t="s">
        <v>7</v>
      </c>
      <c r="P896">
        <f t="shared" si="1014"/>
        <v>-0.68797953964194425</v>
      </c>
      <c r="Q896">
        <f t="shared" si="1015"/>
        <v>-566669.4076982101</v>
      </c>
      <c r="R896">
        <f t="shared" si="1016"/>
        <v>31585419.79752665</v>
      </c>
      <c r="S896">
        <f t="shared" si="1017"/>
        <v>315.85419797526652</v>
      </c>
      <c r="T896">
        <f t="shared" si="1018"/>
        <v>0.31585419797526654</v>
      </c>
    </row>
    <row r="897" spans="1:20" x14ac:dyDescent="0.25">
      <c r="A897" s="5">
        <v>43696</v>
      </c>
      <c r="B897">
        <v>0.77890000000000004</v>
      </c>
      <c r="C897">
        <v>0.82540000000000002</v>
      </c>
      <c r="D897">
        <v>0.77110000000000001</v>
      </c>
      <c r="E897">
        <v>0.81320000000000003</v>
      </c>
      <c r="F897">
        <v>1300735.31</v>
      </c>
      <c r="G897">
        <v>0</v>
      </c>
      <c r="L897" t="s">
        <v>8</v>
      </c>
      <c r="M897" t="s">
        <v>7</v>
      </c>
      <c r="N897" t="s">
        <v>7</v>
      </c>
      <c r="P897">
        <f t="shared" si="1014"/>
        <v>0.55064456721915345</v>
      </c>
      <c r="Q897">
        <f t="shared" si="1015"/>
        <v>716242.83184162143</v>
      </c>
      <c r="R897">
        <f t="shared" si="1016"/>
        <v>32152089.20522486</v>
      </c>
      <c r="S897">
        <f t="shared" si="1017"/>
        <v>321.5208920522486</v>
      </c>
      <c r="T897">
        <f t="shared" si="1018"/>
        <v>0.3215208920522486</v>
      </c>
    </row>
    <row r="898" spans="1:20" x14ac:dyDescent="0.25">
      <c r="A898" s="5">
        <v>43695</v>
      </c>
      <c r="B898">
        <v>0.75990000000000002</v>
      </c>
      <c r="C898">
        <v>0.80300000000000005</v>
      </c>
      <c r="D898">
        <v>0.7581</v>
      </c>
      <c r="E898">
        <v>0.78039999999999998</v>
      </c>
      <c r="F898">
        <v>1517213.46</v>
      </c>
      <c r="G898">
        <v>0</v>
      </c>
      <c r="L898" t="s">
        <v>8</v>
      </c>
      <c r="M898" t="s">
        <v>7</v>
      </c>
      <c r="N898" t="s">
        <v>7</v>
      </c>
      <c r="P898">
        <f t="shared" si="1014"/>
        <v>-6.6815144766164281E-3</v>
      </c>
      <c r="Q898">
        <f t="shared" si="1015"/>
        <v>-10137.283697107299</v>
      </c>
      <c r="R898">
        <f t="shared" si="1016"/>
        <v>31435846.373383239</v>
      </c>
      <c r="S898">
        <f t="shared" si="1017"/>
        <v>314.35846373383237</v>
      </c>
      <c r="T898">
        <f t="shared" si="1018"/>
        <v>0.31435846373383236</v>
      </c>
    </row>
    <row r="899" spans="1:20" x14ac:dyDescent="0.25">
      <c r="A899" s="5">
        <v>43694</v>
      </c>
      <c r="B899">
        <v>0.74970000000000003</v>
      </c>
      <c r="C899">
        <v>0.76729999999999998</v>
      </c>
      <c r="D899">
        <v>0.74299999999999999</v>
      </c>
      <c r="E899">
        <v>0.75929999999999997</v>
      </c>
      <c r="F899">
        <v>1120284.18</v>
      </c>
      <c r="G899">
        <v>0</v>
      </c>
      <c r="L899" t="s">
        <v>7</v>
      </c>
      <c r="M899" t="s">
        <v>7</v>
      </c>
      <c r="N899" t="s">
        <v>7</v>
      </c>
      <c r="P899">
        <f t="shared" si="1014"/>
        <v>0.34156378600822956</v>
      </c>
      <c r="Q899">
        <f t="shared" si="1015"/>
        <v>382648.50592592492</v>
      </c>
      <c r="R899">
        <f t="shared" si="1016"/>
        <v>31445983.657080345</v>
      </c>
      <c r="S899">
        <f t="shared" si="1017"/>
        <v>314.45983657080347</v>
      </c>
      <c r="T899">
        <f t="shared" si="1018"/>
        <v>0.31445983657080345</v>
      </c>
    </row>
    <row r="900" spans="1:20" x14ac:dyDescent="0.25">
      <c r="A900" s="5">
        <v>43693</v>
      </c>
      <c r="B900">
        <v>0.77400000000000002</v>
      </c>
      <c r="C900">
        <v>0.79090000000000005</v>
      </c>
      <c r="D900">
        <v>0.73340000000000005</v>
      </c>
      <c r="E900">
        <v>0.75019999999999998</v>
      </c>
      <c r="F900">
        <v>1505480.39</v>
      </c>
      <c r="G900">
        <v>0</v>
      </c>
      <c r="L900" t="s">
        <v>7</v>
      </c>
      <c r="M900" t="s">
        <v>7</v>
      </c>
      <c r="N900" t="s">
        <v>7</v>
      </c>
      <c r="P900">
        <f t="shared" si="1014"/>
        <v>-0.41565217391304599</v>
      </c>
      <c r="Q900">
        <f t="shared" si="1015"/>
        <v>-625756.1968869603</v>
      </c>
      <c r="R900">
        <f t="shared" si="1016"/>
        <v>31063335.151154421</v>
      </c>
      <c r="S900">
        <f t="shared" si="1017"/>
        <v>310.63335151154422</v>
      </c>
      <c r="T900">
        <f t="shared" si="1018"/>
        <v>0.3106333515115442</v>
      </c>
    </row>
    <row r="901" spans="1:20" x14ac:dyDescent="0.25">
      <c r="A901" s="5">
        <v>43692</v>
      </c>
      <c r="B901">
        <v>0.78739999999999999</v>
      </c>
      <c r="C901">
        <v>0.80689999999999995</v>
      </c>
      <c r="D901">
        <v>0.748</v>
      </c>
      <c r="E901">
        <v>0.77490000000000003</v>
      </c>
      <c r="F901">
        <v>1530612.26</v>
      </c>
      <c r="G901">
        <v>0</v>
      </c>
      <c r="L901" t="s">
        <v>7</v>
      </c>
      <c r="M901" t="s">
        <v>7</v>
      </c>
      <c r="N901" t="s">
        <v>7</v>
      </c>
      <c r="P901">
        <f t="shared" si="1014"/>
        <v>-8.6587436332765472E-2</v>
      </c>
      <c r="Q901">
        <f t="shared" si="1015"/>
        <v>-132531.79161290027</v>
      </c>
      <c r="R901">
        <f t="shared" si="1016"/>
        <v>31689091.348041382</v>
      </c>
      <c r="S901">
        <f t="shared" si="1017"/>
        <v>316.89091348041381</v>
      </c>
      <c r="T901">
        <f t="shared" si="1018"/>
        <v>0.31689091348041382</v>
      </c>
    </row>
    <row r="902" spans="1:20" x14ac:dyDescent="0.25">
      <c r="A902" s="5">
        <v>43691</v>
      </c>
      <c r="B902">
        <v>0.85819999999999996</v>
      </c>
      <c r="C902">
        <v>0.86890000000000001</v>
      </c>
      <c r="D902">
        <v>0.76970000000000005</v>
      </c>
      <c r="E902">
        <v>0.78769999999999996</v>
      </c>
      <c r="F902">
        <v>1705058.63</v>
      </c>
      <c r="G902">
        <v>0</v>
      </c>
      <c r="L902" t="s">
        <v>7</v>
      </c>
      <c r="M902" t="s">
        <v>7</v>
      </c>
      <c r="N902" t="s">
        <v>7</v>
      </c>
      <c r="P902">
        <f t="shared" si="1014"/>
        <v>-0.63709677419355015</v>
      </c>
      <c r="Q902">
        <f t="shared" si="1015"/>
        <v>-1086287.3529838738</v>
      </c>
      <c r="R902">
        <f t="shared" si="1016"/>
        <v>31821623.139654282</v>
      </c>
      <c r="S902">
        <f t="shared" si="1017"/>
        <v>318.21623139654281</v>
      </c>
      <c r="T902">
        <f t="shared" si="1018"/>
        <v>0.31821623139654281</v>
      </c>
    </row>
    <row r="903" spans="1:20" x14ac:dyDescent="0.25">
      <c r="A903" s="5">
        <v>43690</v>
      </c>
      <c r="B903">
        <v>0.87919999999999998</v>
      </c>
      <c r="C903">
        <v>0.88239999999999996</v>
      </c>
      <c r="D903">
        <v>0.8417</v>
      </c>
      <c r="E903">
        <v>0.85899999999999999</v>
      </c>
      <c r="F903">
        <v>1216315.8899999999</v>
      </c>
      <c r="G903">
        <v>0</v>
      </c>
      <c r="L903" t="s">
        <v>7</v>
      </c>
      <c r="M903" t="s">
        <v>7</v>
      </c>
      <c r="N903" t="s">
        <v>7</v>
      </c>
      <c r="P903">
        <f t="shared" si="1014"/>
        <v>-0.1498771498771499</v>
      </c>
      <c r="Q903">
        <f t="shared" si="1015"/>
        <v>-182297.95894348895</v>
      </c>
      <c r="R903">
        <f t="shared" si="1016"/>
        <v>32907910.492638156</v>
      </c>
      <c r="S903">
        <f t="shared" si="1017"/>
        <v>329.07910492638155</v>
      </c>
      <c r="T903">
        <f t="shared" si="1018"/>
        <v>0.32907910492638154</v>
      </c>
    </row>
    <row r="904" spans="1:20" x14ac:dyDescent="0.25">
      <c r="A904" s="5">
        <v>43689</v>
      </c>
      <c r="B904">
        <v>0.90159999999999996</v>
      </c>
      <c r="C904">
        <v>0.90580000000000005</v>
      </c>
      <c r="D904">
        <v>0.875</v>
      </c>
      <c r="E904">
        <v>0.87990000000000002</v>
      </c>
      <c r="F904">
        <v>830107.02</v>
      </c>
      <c r="G904">
        <v>0</v>
      </c>
      <c r="L904" t="s">
        <v>8</v>
      </c>
      <c r="M904" t="s">
        <v>7</v>
      </c>
      <c r="N904" t="s">
        <v>7</v>
      </c>
      <c r="P904">
        <f t="shared" si="1014"/>
        <v>-0.68181818181818132</v>
      </c>
      <c r="Q904">
        <f t="shared" si="1015"/>
        <v>-565982.05909090873</v>
      </c>
      <c r="R904">
        <f t="shared" si="1016"/>
        <v>33090208.451581646</v>
      </c>
      <c r="S904">
        <f t="shared" si="1017"/>
        <v>330.90208451581645</v>
      </c>
      <c r="T904">
        <f t="shared" si="1018"/>
        <v>0.33090208451581643</v>
      </c>
    </row>
    <row r="905" spans="1:20" x14ac:dyDescent="0.25">
      <c r="A905" s="5">
        <v>43688</v>
      </c>
      <c r="B905">
        <v>0.89359999999999995</v>
      </c>
      <c r="C905">
        <v>0.91779999999999995</v>
      </c>
      <c r="D905">
        <v>0.87690000000000001</v>
      </c>
      <c r="E905">
        <v>0.90100000000000002</v>
      </c>
      <c r="F905">
        <v>1518789.97</v>
      </c>
      <c r="G905">
        <v>0</v>
      </c>
      <c r="L905" t="s">
        <v>8</v>
      </c>
      <c r="M905" t="s">
        <v>7</v>
      </c>
      <c r="N905" t="s">
        <v>7</v>
      </c>
      <c r="P905">
        <f t="shared" si="1014"/>
        <v>0.17848410757946445</v>
      </c>
      <c r="Q905">
        <f t="shared" si="1015"/>
        <v>271079.87239609158</v>
      </c>
      <c r="R905">
        <f t="shared" si="1016"/>
        <v>33656190.510672554</v>
      </c>
      <c r="S905">
        <f t="shared" si="1017"/>
        <v>336.56190510672553</v>
      </c>
      <c r="T905">
        <f t="shared" si="1018"/>
        <v>0.33656190510672551</v>
      </c>
    </row>
    <row r="906" spans="1:20" x14ac:dyDescent="0.25">
      <c r="A906" s="5">
        <v>43687</v>
      </c>
      <c r="B906">
        <v>0.871</v>
      </c>
      <c r="C906">
        <v>0.89770000000000005</v>
      </c>
      <c r="D906">
        <v>0.84309999999999996</v>
      </c>
      <c r="E906">
        <v>0.89370000000000005</v>
      </c>
      <c r="F906">
        <v>1711673.49</v>
      </c>
      <c r="G906">
        <v>0</v>
      </c>
      <c r="L906" t="s">
        <v>7</v>
      </c>
      <c r="M906" t="s">
        <v>7</v>
      </c>
      <c r="N906" t="s">
        <v>7</v>
      </c>
      <c r="P906">
        <f t="shared" si="1014"/>
        <v>0.85347985347985356</v>
      </c>
      <c r="Q906">
        <f t="shared" si="1015"/>
        <v>1460878.8394505496</v>
      </c>
      <c r="R906">
        <f t="shared" si="1016"/>
        <v>33385110.638276465</v>
      </c>
      <c r="S906">
        <f t="shared" si="1017"/>
        <v>333.85110638276467</v>
      </c>
      <c r="T906">
        <f t="shared" si="1018"/>
        <v>0.33385110638276466</v>
      </c>
    </row>
    <row r="907" spans="1:20" x14ac:dyDescent="0.25">
      <c r="A907" s="5">
        <v>43686</v>
      </c>
      <c r="B907">
        <v>0.90959999999999996</v>
      </c>
      <c r="C907">
        <v>0.92210000000000003</v>
      </c>
      <c r="D907">
        <v>0.84709999999999996</v>
      </c>
      <c r="E907">
        <v>0.87009999999999998</v>
      </c>
      <c r="F907">
        <v>1597459.41</v>
      </c>
      <c r="G907">
        <v>0</v>
      </c>
      <c r="L907" t="s">
        <v>7</v>
      </c>
      <c r="M907" t="s">
        <v>7</v>
      </c>
      <c r="N907" t="s">
        <v>7</v>
      </c>
      <c r="P907">
        <f t="shared" si="1014"/>
        <v>-0.38666666666666666</v>
      </c>
      <c r="Q907">
        <f t="shared" si="1015"/>
        <v>-617684.30519999994</v>
      </c>
      <c r="R907">
        <f t="shared" si="1016"/>
        <v>31924231.798825916</v>
      </c>
      <c r="S907">
        <f t="shared" si="1017"/>
        <v>319.24231798825917</v>
      </c>
      <c r="T907">
        <f t="shared" si="1018"/>
        <v>0.31924231798825919</v>
      </c>
    </row>
    <row r="908" spans="1:20" x14ac:dyDescent="0.25">
      <c r="A908" s="5">
        <v>43685</v>
      </c>
      <c r="B908">
        <v>0.92849999999999999</v>
      </c>
      <c r="C908">
        <v>0.94669999999999999</v>
      </c>
      <c r="D908">
        <v>0.89749999999999996</v>
      </c>
      <c r="E908">
        <v>0.90790000000000004</v>
      </c>
      <c r="F908">
        <v>1431971</v>
      </c>
      <c r="G908">
        <v>0</v>
      </c>
      <c r="L908" t="s">
        <v>7</v>
      </c>
      <c r="M908" t="s">
        <v>7</v>
      </c>
      <c r="N908" t="s">
        <v>7</v>
      </c>
      <c r="P908">
        <f t="shared" si="1014"/>
        <v>-0.57723577235772072</v>
      </c>
      <c r="Q908">
        <f t="shared" si="1015"/>
        <v>-826584.88617885765</v>
      </c>
      <c r="R908">
        <f t="shared" si="1016"/>
        <v>32541916.104025915</v>
      </c>
      <c r="S908">
        <f t="shared" si="1017"/>
        <v>325.41916104025916</v>
      </c>
      <c r="T908">
        <f t="shared" si="1018"/>
        <v>0.32541916104025914</v>
      </c>
    </row>
    <row r="909" spans="1:20" x14ac:dyDescent="0.25">
      <c r="A909" s="5">
        <v>43684</v>
      </c>
      <c r="B909">
        <v>0.95909999999999995</v>
      </c>
      <c r="C909">
        <v>0.96789999999999998</v>
      </c>
      <c r="D909">
        <v>0.9224</v>
      </c>
      <c r="E909">
        <v>0.92930000000000001</v>
      </c>
      <c r="F909">
        <v>1546217.63</v>
      </c>
      <c r="G909">
        <v>0</v>
      </c>
      <c r="L909" t="s">
        <v>7</v>
      </c>
      <c r="M909" t="s">
        <v>8</v>
      </c>
      <c r="N909" t="s">
        <v>7</v>
      </c>
      <c r="P909">
        <f t="shared" si="1014"/>
        <v>-0.69670329670329589</v>
      </c>
      <c r="Q909">
        <f t="shared" si="1015"/>
        <v>-1077254.9202417568</v>
      </c>
      <c r="R909">
        <f t="shared" si="1016"/>
        <v>33368500.990204774</v>
      </c>
      <c r="S909">
        <f t="shared" si="1017"/>
        <v>333.68500990204774</v>
      </c>
      <c r="T909">
        <f t="shared" si="1018"/>
        <v>0.33368500990204775</v>
      </c>
    </row>
    <row r="910" spans="1:20" x14ac:dyDescent="0.25">
      <c r="A910" s="5">
        <v>43683</v>
      </c>
      <c r="B910">
        <v>1.0035000000000001</v>
      </c>
      <c r="C910">
        <v>1.0097</v>
      </c>
      <c r="D910">
        <v>0.95179999999999998</v>
      </c>
      <c r="E910">
        <v>0.96120000000000005</v>
      </c>
      <c r="F910">
        <v>1974879.74</v>
      </c>
      <c r="G910">
        <v>0</v>
      </c>
      <c r="L910" t="s">
        <v>7</v>
      </c>
      <c r="M910" t="s">
        <v>8</v>
      </c>
      <c r="N910" t="s">
        <v>7</v>
      </c>
      <c r="P910">
        <f t="shared" si="1014"/>
        <v>-0.67530224525042959</v>
      </c>
      <c r="Q910">
        <f t="shared" si="1015"/>
        <v>-1333640.7225215847</v>
      </c>
      <c r="R910">
        <f t="shared" si="1016"/>
        <v>34445755.910446532</v>
      </c>
      <c r="S910">
        <f t="shared" si="1017"/>
        <v>344.4575591044653</v>
      </c>
      <c r="T910">
        <f t="shared" si="1018"/>
        <v>0.34445755910446529</v>
      </c>
    </row>
    <row r="911" spans="1:20" x14ac:dyDescent="0.25">
      <c r="A911" s="5">
        <v>43682</v>
      </c>
      <c r="B911">
        <v>0.95820000000000005</v>
      </c>
      <c r="C911">
        <v>1.02</v>
      </c>
      <c r="D911">
        <v>0.95699999999999996</v>
      </c>
      <c r="E911">
        <v>1.0027999999999999</v>
      </c>
      <c r="F911">
        <v>2068354.07</v>
      </c>
      <c r="G911">
        <v>0</v>
      </c>
      <c r="L911" t="s">
        <v>7</v>
      </c>
      <c r="M911" t="s">
        <v>8</v>
      </c>
      <c r="N911" t="s">
        <v>7</v>
      </c>
      <c r="P911">
        <f t="shared" si="1014"/>
        <v>0.45396825396825113</v>
      </c>
      <c r="Q911">
        <f t="shared" si="1015"/>
        <v>938967.0857460259</v>
      </c>
      <c r="R911">
        <f t="shared" si="1016"/>
        <v>35779396.63296812</v>
      </c>
      <c r="S911">
        <f t="shared" si="1017"/>
        <v>357.79396632968121</v>
      </c>
      <c r="T911">
        <f t="shared" si="1018"/>
        <v>0.35779396632968119</v>
      </c>
    </row>
    <row r="912" spans="1:20" x14ac:dyDescent="0.25">
      <c r="A912" s="5">
        <v>43681</v>
      </c>
      <c r="B912">
        <v>0.97770000000000001</v>
      </c>
      <c r="C912">
        <v>0.98880000000000001</v>
      </c>
      <c r="D912">
        <v>0.9506</v>
      </c>
      <c r="E912">
        <v>0.95889999999999997</v>
      </c>
      <c r="F912">
        <v>1118809.54</v>
      </c>
      <c r="G912">
        <v>0</v>
      </c>
      <c r="L912" t="s">
        <v>7</v>
      </c>
      <c r="M912" t="s">
        <v>8</v>
      </c>
      <c r="N912" t="s">
        <v>7</v>
      </c>
      <c r="P912">
        <f t="shared" si="1014"/>
        <v>-0.56544502617801196</v>
      </c>
      <c r="Q912">
        <f t="shared" si="1015"/>
        <v>-632625.28963350959</v>
      </c>
      <c r="R912">
        <f t="shared" si="1016"/>
        <v>34840429.547222093</v>
      </c>
      <c r="S912">
        <f t="shared" si="1017"/>
        <v>348.40429547222095</v>
      </c>
      <c r="T912">
        <f t="shared" si="1018"/>
        <v>0.34840429547222096</v>
      </c>
    </row>
    <row r="913" spans="1:20" x14ac:dyDescent="0.25">
      <c r="A913" s="5">
        <v>43680</v>
      </c>
      <c r="B913">
        <v>0.96819999999999995</v>
      </c>
      <c r="C913">
        <v>0.99980000000000002</v>
      </c>
      <c r="D913">
        <v>0.96430000000000005</v>
      </c>
      <c r="E913">
        <v>0.97860000000000003</v>
      </c>
      <c r="F913">
        <v>1174964.31</v>
      </c>
      <c r="G913">
        <v>0</v>
      </c>
      <c r="L913" t="s">
        <v>7</v>
      </c>
      <c r="M913" t="s">
        <v>8</v>
      </c>
      <c r="N913" t="s">
        <v>7</v>
      </c>
      <c r="P913">
        <f t="shared" si="1014"/>
        <v>-0.19436619718309922</v>
      </c>
      <c r="Q913">
        <f t="shared" si="1015"/>
        <v>-228373.34476056413</v>
      </c>
      <c r="R913">
        <f t="shared" si="1016"/>
        <v>35473054.836855605</v>
      </c>
      <c r="S913">
        <f t="shared" si="1017"/>
        <v>354.73054836855607</v>
      </c>
      <c r="T913">
        <f t="shared" si="1018"/>
        <v>0.35473054836855605</v>
      </c>
    </row>
    <row r="914" spans="1:20" x14ac:dyDescent="0.25">
      <c r="A914" s="5">
        <v>43679</v>
      </c>
      <c r="B914">
        <v>0.98350000000000004</v>
      </c>
      <c r="C914">
        <v>1.0001</v>
      </c>
      <c r="D914">
        <v>0.95809999999999995</v>
      </c>
      <c r="E914">
        <v>0.96989999999999998</v>
      </c>
      <c r="F914">
        <v>1497487.55</v>
      </c>
      <c r="G914">
        <v>0</v>
      </c>
      <c r="L914" t="s">
        <v>7</v>
      </c>
      <c r="M914" t="s">
        <v>8</v>
      </c>
      <c r="N914" t="s">
        <v>7</v>
      </c>
      <c r="P914">
        <f t="shared" si="1014"/>
        <v>-0.43809523809523704</v>
      </c>
      <c r="Q914">
        <f t="shared" si="1015"/>
        <v>-656042.16476190323</v>
      </c>
      <c r="R914">
        <f t="shared" si="1016"/>
        <v>35701428.181616172</v>
      </c>
      <c r="S914">
        <f t="shared" si="1017"/>
        <v>357.01428181616171</v>
      </c>
      <c r="T914">
        <f t="shared" si="1018"/>
        <v>0.35701428181616174</v>
      </c>
    </row>
    <row r="915" spans="1:20" x14ac:dyDescent="0.25">
      <c r="A915" s="5">
        <v>43678</v>
      </c>
      <c r="B915">
        <v>1.0039</v>
      </c>
      <c r="C915">
        <v>1.01</v>
      </c>
      <c r="D915">
        <v>0.95909999999999995</v>
      </c>
      <c r="E915">
        <v>0.98219999999999996</v>
      </c>
      <c r="F915">
        <v>1217512.56</v>
      </c>
      <c r="G915">
        <v>0</v>
      </c>
      <c r="L915" t="s">
        <v>7</v>
      </c>
      <c r="M915" t="s">
        <v>8</v>
      </c>
      <c r="N915" t="s">
        <v>7</v>
      </c>
      <c r="P915">
        <f t="shared" si="1014"/>
        <v>-9.2337917485265861E-2</v>
      </c>
      <c r="Q915">
        <f t="shared" si="1015"/>
        <v>-112422.5743025548</v>
      </c>
      <c r="R915">
        <f t="shared" si="1016"/>
        <v>36357470.346378073</v>
      </c>
      <c r="S915">
        <f t="shared" si="1017"/>
        <v>363.57470346378074</v>
      </c>
      <c r="T915">
        <f t="shared" si="1018"/>
        <v>0.36357470346378074</v>
      </c>
    </row>
    <row r="916" spans="1:20" x14ac:dyDescent="0.25">
      <c r="A916" s="5">
        <v>43677</v>
      </c>
      <c r="B916">
        <v>0.96450000000000002</v>
      </c>
      <c r="C916">
        <v>1.02</v>
      </c>
      <c r="D916">
        <v>0.96340000000000003</v>
      </c>
      <c r="E916">
        <v>1.0029999999999999</v>
      </c>
      <c r="F916">
        <v>1462022.63</v>
      </c>
      <c r="G916">
        <v>0</v>
      </c>
      <c r="L916" t="s">
        <v>7</v>
      </c>
      <c r="M916" t="s">
        <v>8</v>
      </c>
      <c r="N916" t="s">
        <v>7</v>
      </c>
      <c r="P916">
        <f t="shared" si="1014"/>
        <v>0.39929328621907662</v>
      </c>
      <c r="Q916">
        <f t="shared" si="1015"/>
        <v>583775.82045935711</v>
      </c>
      <c r="R916">
        <f t="shared" si="1016"/>
        <v>36469892.920680627</v>
      </c>
      <c r="S916">
        <f t="shared" si="1017"/>
        <v>364.69892920680627</v>
      </c>
      <c r="T916">
        <f t="shared" si="1018"/>
        <v>0.36469892920680624</v>
      </c>
    </row>
    <row r="917" spans="1:20" x14ac:dyDescent="0.25">
      <c r="A917" s="5">
        <v>43676</v>
      </c>
      <c r="B917">
        <v>0.97370000000000001</v>
      </c>
      <c r="C917">
        <v>0.98599999999999999</v>
      </c>
      <c r="D917">
        <v>0.95020000000000004</v>
      </c>
      <c r="E917">
        <v>0.96640000000000004</v>
      </c>
      <c r="F917">
        <v>1043900.34</v>
      </c>
      <c r="G917">
        <v>0</v>
      </c>
      <c r="L917" t="s">
        <v>7</v>
      </c>
      <c r="M917" t="s">
        <v>8</v>
      </c>
      <c r="N917" t="s">
        <v>7</v>
      </c>
      <c r="P917">
        <f t="shared" si="1014"/>
        <v>-9.4972067039105143E-2</v>
      </c>
      <c r="Q917">
        <f t="shared" si="1015"/>
        <v>-99141.373072624643</v>
      </c>
      <c r="R917">
        <f t="shared" si="1016"/>
        <v>35886117.100221269</v>
      </c>
      <c r="S917">
        <f t="shared" si="1017"/>
        <v>358.8611710022127</v>
      </c>
      <c r="T917">
        <f t="shared" si="1018"/>
        <v>0.35886117100221271</v>
      </c>
    </row>
    <row r="918" spans="1:20" x14ac:dyDescent="0.25">
      <c r="A918" s="5">
        <v>43675</v>
      </c>
      <c r="B918">
        <v>0.97499999999999998</v>
      </c>
      <c r="C918">
        <v>1.0216000000000001</v>
      </c>
      <c r="D918">
        <v>0.96299999999999997</v>
      </c>
      <c r="E918">
        <v>0.97619999999999996</v>
      </c>
      <c r="F918">
        <v>1728127.12</v>
      </c>
      <c r="G918">
        <v>0</v>
      </c>
      <c r="L918" t="s">
        <v>8</v>
      </c>
      <c r="M918" t="s">
        <v>8</v>
      </c>
      <c r="N918" t="s">
        <v>7</v>
      </c>
      <c r="P918">
        <f t="shared" si="1014"/>
        <v>-0.5494880546075096</v>
      </c>
      <c r="Q918">
        <f t="shared" si="1015"/>
        <v>-949585.20928327832</v>
      </c>
      <c r="R918">
        <f t="shared" si="1016"/>
        <v>35985258.473293893</v>
      </c>
      <c r="S918">
        <f t="shared" si="1017"/>
        <v>359.85258473293891</v>
      </c>
      <c r="T918">
        <f t="shared" si="1018"/>
        <v>0.35985258473293891</v>
      </c>
    </row>
    <row r="919" spans="1:20" x14ac:dyDescent="0.25">
      <c r="A919" s="5">
        <v>43674</v>
      </c>
      <c r="B919">
        <v>0.97770000000000001</v>
      </c>
      <c r="C919">
        <v>0.99080000000000001</v>
      </c>
      <c r="D919">
        <v>0.92879999999999996</v>
      </c>
      <c r="E919">
        <v>0.97489999999999999</v>
      </c>
      <c r="F919">
        <v>1198317.27</v>
      </c>
      <c r="G919">
        <v>0</v>
      </c>
      <c r="L919" t="s">
        <v>7</v>
      </c>
      <c r="M919" t="s">
        <v>8</v>
      </c>
      <c r="N919" t="s">
        <v>7</v>
      </c>
      <c r="P919">
        <f t="shared" si="1014"/>
        <v>0.48709677419354802</v>
      </c>
      <c r="Q919">
        <f t="shared" si="1015"/>
        <v>583696.47667741892</v>
      </c>
      <c r="R919">
        <f t="shared" si="1016"/>
        <v>36934843.68257717</v>
      </c>
      <c r="S919">
        <f t="shared" si="1017"/>
        <v>369.34843682577173</v>
      </c>
      <c r="T919">
        <f t="shared" si="1018"/>
        <v>0.36934843682577173</v>
      </c>
    </row>
    <row r="920" spans="1:20" x14ac:dyDescent="0.25">
      <c r="A920" s="5">
        <v>43673</v>
      </c>
      <c r="B920">
        <v>1.0612999999999999</v>
      </c>
      <c r="C920">
        <v>1.0873999999999999</v>
      </c>
      <c r="D920">
        <v>0.9395</v>
      </c>
      <c r="E920">
        <v>0.97740000000000005</v>
      </c>
      <c r="F920">
        <v>2972772.71</v>
      </c>
      <c r="G920">
        <v>0</v>
      </c>
      <c r="L920" t="s">
        <v>7</v>
      </c>
      <c r="M920" t="s">
        <v>8</v>
      </c>
      <c r="N920" t="s">
        <v>7</v>
      </c>
      <c r="P920">
        <f t="shared" si="1014"/>
        <v>-0.48749154834347441</v>
      </c>
      <c r="Q920">
        <f t="shared" si="1015"/>
        <v>-1449201.5712711264</v>
      </c>
      <c r="R920">
        <f t="shared" si="1016"/>
        <v>36351147.205899753</v>
      </c>
      <c r="S920">
        <f t="shared" si="1017"/>
        <v>363.51147205899753</v>
      </c>
      <c r="T920">
        <f t="shared" si="1018"/>
        <v>0.36351147205899753</v>
      </c>
    </row>
    <row r="921" spans="1:20" x14ac:dyDescent="0.25">
      <c r="A921" s="5">
        <v>43672</v>
      </c>
      <c r="B921">
        <v>1.0399</v>
      </c>
      <c r="C921">
        <v>1.0881000000000001</v>
      </c>
      <c r="D921">
        <v>1.002</v>
      </c>
      <c r="E921">
        <v>1.0613999999999999</v>
      </c>
      <c r="F921">
        <v>2297662.13</v>
      </c>
      <c r="G921">
        <v>0</v>
      </c>
      <c r="L921" t="s">
        <v>8</v>
      </c>
      <c r="M921" t="s">
        <v>8</v>
      </c>
      <c r="N921" t="s">
        <v>7</v>
      </c>
      <c r="P921">
        <f t="shared" si="1014"/>
        <v>0.37979094076654707</v>
      </c>
      <c r="Q921">
        <f t="shared" si="1015"/>
        <v>872631.26191636838</v>
      </c>
      <c r="R921">
        <f t="shared" si="1016"/>
        <v>37800348.777170882</v>
      </c>
      <c r="S921">
        <f t="shared" si="1017"/>
        <v>378.00348777170882</v>
      </c>
      <c r="T921">
        <f t="shared" si="1018"/>
        <v>0.37800348777170883</v>
      </c>
    </row>
    <row r="922" spans="1:20" x14ac:dyDescent="0.25">
      <c r="A922" s="5">
        <v>43671</v>
      </c>
      <c r="B922">
        <v>1.02</v>
      </c>
      <c r="C922">
        <v>1.0605</v>
      </c>
      <c r="D922">
        <v>1.0072000000000001</v>
      </c>
      <c r="E922">
        <v>1.0410999999999999</v>
      </c>
      <c r="F922">
        <v>1759154.78</v>
      </c>
      <c r="G922">
        <v>0</v>
      </c>
      <c r="L922" t="s">
        <v>8</v>
      </c>
      <c r="M922" t="s">
        <v>8</v>
      </c>
      <c r="N922" t="s">
        <v>7</v>
      </c>
      <c r="P922">
        <f t="shared" si="1014"/>
        <v>0.27204502814258463</v>
      </c>
      <c r="Q922">
        <f t="shared" si="1015"/>
        <v>478569.31163226231</v>
      </c>
      <c r="R922">
        <f t="shared" si="1016"/>
        <v>36927717.515254512</v>
      </c>
      <c r="S922">
        <f t="shared" si="1017"/>
        <v>369.27717515254511</v>
      </c>
      <c r="T922">
        <f t="shared" si="1018"/>
        <v>0.3692771751525451</v>
      </c>
    </row>
    <row r="923" spans="1:20" x14ac:dyDescent="0.25">
      <c r="A923" s="5">
        <v>43670</v>
      </c>
      <c r="B923">
        <v>0.93889999999999996</v>
      </c>
      <c r="C923">
        <v>1.0331999999999999</v>
      </c>
      <c r="D923">
        <v>0.90480000000000005</v>
      </c>
      <c r="E923">
        <v>1.0222</v>
      </c>
      <c r="F923">
        <v>1920464.19</v>
      </c>
      <c r="G923">
        <v>0</v>
      </c>
      <c r="L923" t="s">
        <v>7</v>
      </c>
      <c r="M923" t="s">
        <v>7</v>
      </c>
      <c r="N923" t="s">
        <v>7</v>
      </c>
      <c r="P923">
        <f t="shared" si="1014"/>
        <v>0.82866043613707308</v>
      </c>
      <c r="Q923">
        <f t="shared" si="1015"/>
        <v>1591412.6932710307</v>
      </c>
      <c r="R923">
        <f t="shared" si="1016"/>
        <v>36449148.203622252</v>
      </c>
      <c r="S923">
        <f t="shared" si="1017"/>
        <v>364.49148203622252</v>
      </c>
      <c r="T923">
        <f t="shared" si="1018"/>
        <v>0.3644914820362225</v>
      </c>
    </row>
    <row r="924" spans="1:20" x14ac:dyDescent="0.25">
      <c r="A924" s="5">
        <v>43669</v>
      </c>
      <c r="B924">
        <v>0.9919</v>
      </c>
      <c r="C924">
        <v>0.99619999999999997</v>
      </c>
      <c r="D924">
        <v>0.91320000000000001</v>
      </c>
      <c r="E924">
        <v>0.94159999999999999</v>
      </c>
      <c r="F924">
        <v>1617454.44</v>
      </c>
      <c r="G924">
        <v>0</v>
      </c>
      <c r="L924" t="s">
        <v>7</v>
      </c>
      <c r="M924" t="s">
        <v>8</v>
      </c>
      <c r="N924" t="s">
        <v>7</v>
      </c>
      <c r="P924">
        <f t="shared" si="1014"/>
        <v>-0.31566265060240978</v>
      </c>
      <c r="Q924">
        <f t="shared" si="1015"/>
        <v>-510569.95575903635</v>
      </c>
      <c r="R924">
        <f t="shared" si="1016"/>
        <v>34857735.510351218</v>
      </c>
      <c r="S924">
        <f t="shared" si="1017"/>
        <v>348.57735510351216</v>
      </c>
      <c r="T924">
        <f t="shared" si="1018"/>
        <v>0.34857735510351218</v>
      </c>
    </row>
    <row r="925" spans="1:20" x14ac:dyDescent="0.25">
      <c r="A925" s="5">
        <v>43668</v>
      </c>
      <c r="B925">
        <v>1.0302</v>
      </c>
      <c r="C925">
        <v>1.0458000000000001</v>
      </c>
      <c r="D925">
        <v>0.95750000000000002</v>
      </c>
      <c r="E925">
        <v>0.9929</v>
      </c>
      <c r="F925">
        <v>1367184.89</v>
      </c>
      <c r="G925">
        <v>0</v>
      </c>
      <c r="L925" t="s">
        <v>7</v>
      </c>
      <c r="M925" t="s">
        <v>8</v>
      </c>
      <c r="N925" t="s">
        <v>7</v>
      </c>
      <c r="P925">
        <f t="shared" si="1014"/>
        <v>-0.19818799546998939</v>
      </c>
      <c r="Q925">
        <f t="shared" si="1015"/>
        <v>-270959.63278595789</v>
      </c>
      <c r="R925">
        <f t="shared" si="1016"/>
        <v>35368305.466110252</v>
      </c>
      <c r="S925">
        <f t="shared" si="1017"/>
        <v>353.68305466110252</v>
      </c>
      <c r="T925">
        <f t="shared" si="1018"/>
        <v>0.3536830546611025</v>
      </c>
    </row>
    <row r="926" spans="1:20" x14ac:dyDescent="0.25">
      <c r="A926" s="5">
        <v>43667</v>
      </c>
      <c r="B926">
        <v>1.0282</v>
      </c>
      <c r="C926">
        <v>1.0567</v>
      </c>
      <c r="D926">
        <v>0.9778</v>
      </c>
      <c r="E926">
        <v>1.03</v>
      </c>
      <c r="F926">
        <v>2010258.97</v>
      </c>
      <c r="G926">
        <v>0</v>
      </c>
      <c r="L926" t="s">
        <v>7</v>
      </c>
      <c r="M926" t="s">
        <v>8</v>
      </c>
      <c r="N926" t="s">
        <v>7</v>
      </c>
      <c r="P926">
        <f t="shared" si="1014"/>
        <v>0.32319391634981098</v>
      </c>
      <c r="Q926">
        <f t="shared" si="1015"/>
        <v>649703.46939163713</v>
      </c>
      <c r="R926">
        <f t="shared" si="1016"/>
        <v>35639265.098896213</v>
      </c>
      <c r="S926">
        <f t="shared" si="1017"/>
        <v>356.39265098896215</v>
      </c>
      <c r="T926">
        <f t="shared" si="1018"/>
        <v>0.35639265098896217</v>
      </c>
    </row>
    <row r="927" spans="1:20" x14ac:dyDescent="0.25">
      <c r="A927" s="5">
        <v>43666</v>
      </c>
      <c r="B927">
        <v>0.94630000000000003</v>
      </c>
      <c r="C927">
        <v>1.0999000000000001</v>
      </c>
      <c r="D927">
        <v>0.93879999999999997</v>
      </c>
      <c r="E927">
        <v>1.026</v>
      </c>
      <c r="F927">
        <v>3723583.14</v>
      </c>
      <c r="G927">
        <v>0</v>
      </c>
      <c r="L927" t="s">
        <v>8</v>
      </c>
      <c r="M927" t="s">
        <v>8</v>
      </c>
      <c r="N927" t="s">
        <v>7</v>
      </c>
      <c r="P927">
        <f t="shared" si="1014"/>
        <v>8.2557417752948281E-2</v>
      </c>
      <c r="Q927">
        <f t="shared" si="1015"/>
        <v>307409.40882681491</v>
      </c>
      <c r="R927">
        <f t="shared" si="1016"/>
        <v>34989561.629504576</v>
      </c>
      <c r="S927">
        <f t="shared" si="1017"/>
        <v>349.89561629504578</v>
      </c>
      <c r="T927">
        <f t="shared" si="1018"/>
        <v>0.34989561629504579</v>
      </c>
    </row>
    <row r="928" spans="1:20" x14ac:dyDescent="0.25">
      <c r="A928" s="5">
        <v>43665</v>
      </c>
      <c r="B928">
        <v>0.94369999999999998</v>
      </c>
      <c r="C928">
        <v>0.96399999999999997</v>
      </c>
      <c r="D928">
        <v>0.90229999999999999</v>
      </c>
      <c r="E928">
        <v>0.94399999999999995</v>
      </c>
      <c r="F928">
        <v>1839553.69</v>
      </c>
      <c r="G928">
        <v>0</v>
      </c>
      <c r="L928" t="s">
        <v>7</v>
      </c>
      <c r="M928" t="s">
        <v>8</v>
      </c>
      <c r="N928" t="s">
        <v>7</v>
      </c>
      <c r="P928">
        <f t="shared" si="1014"/>
        <v>0.35170178282009645</v>
      </c>
      <c r="Q928">
        <f t="shared" si="1015"/>
        <v>646974.31236628699</v>
      </c>
      <c r="R928">
        <f t="shared" si="1016"/>
        <v>34682152.220677763</v>
      </c>
      <c r="S928">
        <f t="shared" si="1017"/>
        <v>346.82152220677762</v>
      </c>
      <c r="T928">
        <f t="shared" si="1018"/>
        <v>0.34682152220677759</v>
      </c>
    </row>
    <row r="929" spans="1:20" x14ac:dyDescent="0.25">
      <c r="A929" s="5">
        <v>43664</v>
      </c>
      <c r="B929">
        <v>0.84109999999999996</v>
      </c>
      <c r="C929">
        <v>0.98470000000000002</v>
      </c>
      <c r="D929">
        <v>0.82340000000000002</v>
      </c>
      <c r="E929">
        <v>0.94489999999999996</v>
      </c>
      <c r="F929">
        <v>5558146.1200000001</v>
      </c>
      <c r="G929">
        <v>0</v>
      </c>
      <c r="L929" t="s">
        <v>8</v>
      </c>
      <c r="M929" t="s">
        <v>8</v>
      </c>
      <c r="N929" t="s">
        <v>7</v>
      </c>
      <c r="P929">
        <f t="shared" si="1014"/>
        <v>0.50650960942343393</v>
      </c>
      <c r="Q929">
        <f t="shared" si="1015"/>
        <v>2815254.4203595747</v>
      </c>
      <c r="R929">
        <f t="shared" si="1016"/>
        <v>34035177.908311479</v>
      </c>
      <c r="S929">
        <f t="shared" si="1017"/>
        <v>340.35177908311476</v>
      </c>
      <c r="T929">
        <f t="shared" si="1018"/>
        <v>0.34035177908311476</v>
      </c>
    </row>
    <row r="930" spans="1:20" x14ac:dyDescent="0.25">
      <c r="A930" s="5">
        <v>43663</v>
      </c>
      <c r="B930">
        <v>0.7954</v>
      </c>
      <c r="C930">
        <v>0.89200000000000002</v>
      </c>
      <c r="D930">
        <v>0.77649999999999997</v>
      </c>
      <c r="E930">
        <v>0.84179999999999999</v>
      </c>
      <c r="F930">
        <v>3638286.78</v>
      </c>
      <c r="G930">
        <v>0</v>
      </c>
      <c r="L930" t="s">
        <v>8</v>
      </c>
      <c r="M930" t="s">
        <v>7</v>
      </c>
      <c r="N930" t="s">
        <v>7</v>
      </c>
      <c r="P930">
        <f t="shared" si="1014"/>
        <v>0.13073593073593071</v>
      </c>
      <c r="Q930">
        <f t="shared" si="1015"/>
        <v>475654.80846753233</v>
      </c>
      <c r="R930">
        <f t="shared" si="1016"/>
        <v>31219923.487951905</v>
      </c>
      <c r="S930">
        <f t="shared" si="1017"/>
        <v>312.19923487951905</v>
      </c>
      <c r="T930">
        <f t="shared" si="1018"/>
        <v>0.31219923487951906</v>
      </c>
    </row>
    <row r="931" spans="1:20" x14ac:dyDescent="0.25">
      <c r="A931" s="5">
        <v>43662</v>
      </c>
      <c r="B931">
        <v>0.9123</v>
      </c>
      <c r="C931">
        <v>0.95030000000000003</v>
      </c>
      <c r="D931">
        <v>0.77180000000000004</v>
      </c>
      <c r="E931">
        <v>0.79469999999999996</v>
      </c>
      <c r="F931">
        <v>4631157.75</v>
      </c>
      <c r="G931">
        <v>0</v>
      </c>
      <c r="L931" t="s">
        <v>7</v>
      </c>
      <c r="M931" t="s">
        <v>7</v>
      </c>
      <c r="N931" t="s">
        <v>7</v>
      </c>
      <c r="P931">
        <f t="shared" si="1014"/>
        <v>-0.74341736694677962</v>
      </c>
      <c r="Q931">
        <f t="shared" si="1015"/>
        <v>-3442883.1004201723</v>
      </c>
      <c r="R931">
        <f t="shared" si="1016"/>
        <v>30744268.679484371</v>
      </c>
      <c r="S931">
        <f t="shared" si="1017"/>
        <v>307.44268679484372</v>
      </c>
      <c r="T931">
        <f t="shared" si="1018"/>
        <v>0.30744268679484371</v>
      </c>
    </row>
    <row r="932" spans="1:20" x14ac:dyDescent="0.25">
      <c r="A932" s="5">
        <v>43661</v>
      </c>
      <c r="B932">
        <v>0.89490000000000003</v>
      </c>
      <c r="C932">
        <v>0.92900000000000005</v>
      </c>
      <c r="D932">
        <v>0.80900000000000005</v>
      </c>
      <c r="E932">
        <v>0.91080000000000005</v>
      </c>
      <c r="F932">
        <v>4062866.34</v>
      </c>
      <c r="G932">
        <v>0</v>
      </c>
      <c r="L932" t="s">
        <v>7</v>
      </c>
      <c r="M932" t="s">
        <v>7</v>
      </c>
      <c r="N932" t="s">
        <v>7</v>
      </c>
      <c r="P932">
        <f t="shared" si="1014"/>
        <v>0.69666666666666677</v>
      </c>
      <c r="Q932">
        <f t="shared" si="1015"/>
        <v>2830463.5502000004</v>
      </c>
      <c r="R932">
        <f t="shared" si="1016"/>
        <v>34187151.779904544</v>
      </c>
      <c r="S932">
        <f t="shared" si="1017"/>
        <v>341.87151779904542</v>
      </c>
      <c r="T932">
        <f t="shared" si="1018"/>
        <v>0.3418715177990454</v>
      </c>
    </row>
    <row r="933" spans="1:20" x14ac:dyDescent="0.25">
      <c r="A933" s="5">
        <v>43660</v>
      </c>
      <c r="B933">
        <v>1.0666</v>
      </c>
      <c r="C933">
        <v>1.077</v>
      </c>
      <c r="D933">
        <v>0.88649999999999995</v>
      </c>
      <c r="E933">
        <v>0.89480000000000004</v>
      </c>
      <c r="F933">
        <v>3728640.38</v>
      </c>
      <c r="G933">
        <v>0</v>
      </c>
      <c r="L933" t="s">
        <v>7</v>
      </c>
      <c r="M933" t="s">
        <v>7</v>
      </c>
      <c r="N933" t="s">
        <v>7</v>
      </c>
      <c r="P933">
        <f t="shared" si="1014"/>
        <v>-0.91286089238845058</v>
      </c>
      <c r="Q933">
        <f t="shared" si="1015"/>
        <v>-3403729.9846824114</v>
      </c>
      <c r="R933">
        <f t="shared" si="1016"/>
        <v>31356688.229704544</v>
      </c>
      <c r="S933">
        <f t="shared" si="1017"/>
        <v>313.56688229704542</v>
      </c>
      <c r="T933">
        <f t="shared" si="1018"/>
        <v>0.31356688229704544</v>
      </c>
    </row>
    <row r="934" spans="1:20" x14ac:dyDescent="0.25">
      <c r="A934" s="5">
        <v>43659</v>
      </c>
      <c r="B934">
        <v>1.1195999999999999</v>
      </c>
      <c r="C934">
        <v>1.1281000000000001</v>
      </c>
      <c r="D934">
        <v>1.034</v>
      </c>
      <c r="E934">
        <v>1.0656000000000001</v>
      </c>
      <c r="F934">
        <v>1710900.85</v>
      </c>
      <c r="G934">
        <v>0</v>
      </c>
      <c r="L934" t="s">
        <v>7</v>
      </c>
      <c r="M934" t="s">
        <v>7</v>
      </c>
      <c r="N934" t="s">
        <v>7</v>
      </c>
      <c r="P934">
        <f t="shared" si="1014"/>
        <v>-0.3283740701381499</v>
      </c>
      <c r="Q934">
        <f t="shared" si="1015"/>
        <v>-561815.47571732034</v>
      </c>
      <c r="R934">
        <f t="shared" si="1016"/>
        <v>34760418.214386955</v>
      </c>
      <c r="S934">
        <f t="shared" si="1017"/>
        <v>347.60418214386954</v>
      </c>
      <c r="T934">
        <f t="shared" si="1018"/>
        <v>0.34760418214386951</v>
      </c>
    </row>
    <row r="935" spans="1:20" x14ac:dyDescent="0.25">
      <c r="A935" s="5">
        <v>43658</v>
      </c>
      <c r="B935">
        <v>1.0703</v>
      </c>
      <c r="C935">
        <v>1.1355</v>
      </c>
      <c r="D935">
        <v>1.0331999999999999</v>
      </c>
      <c r="E935">
        <v>1.1196999999999999</v>
      </c>
      <c r="F935">
        <v>2308804.4700000002</v>
      </c>
      <c r="G935">
        <v>0</v>
      </c>
      <c r="L935" t="s">
        <v>8</v>
      </c>
      <c r="M935" t="s">
        <v>7</v>
      </c>
      <c r="N935" t="s">
        <v>7</v>
      </c>
      <c r="P935">
        <f t="shared" si="1014"/>
        <v>0.69110459433040028</v>
      </c>
      <c r="Q935">
        <f t="shared" si="1015"/>
        <v>1595625.3766275649</v>
      </c>
      <c r="R935">
        <f t="shared" si="1016"/>
        <v>35322233.690104276</v>
      </c>
      <c r="S935">
        <f t="shared" si="1017"/>
        <v>353.22233690104275</v>
      </c>
      <c r="T935">
        <f t="shared" si="1018"/>
        <v>0.35322233690104277</v>
      </c>
    </row>
    <row r="936" spans="1:20" x14ac:dyDescent="0.25">
      <c r="A936" s="5">
        <v>43657</v>
      </c>
      <c r="B936">
        <v>1.2310000000000001</v>
      </c>
      <c r="C936">
        <v>1.2310000000000001</v>
      </c>
      <c r="D936">
        <v>1.0018</v>
      </c>
      <c r="E936">
        <v>1.0705</v>
      </c>
      <c r="F936">
        <v>5243843.6500000004</v>
      </c>
      <c r="G936">
        <v>0</v>
      </c>
      <c r="L936" t="s">
        <v>7</v>
      </c>
      <c r="M936" t="s">
        <v>7</v>
      </c>
      <c r="N936" t="s">
        <v>7</v>
      </c>
      <c r="P936">
        <f t="shared" si="1014"/>
        <v>-0.40052356020942442</v>
      </c>
      <c r="Q936">
        <f t="shared" si="1015"/>
        <v>-2100282.9278795831</v>
      </c>
      <c r="R936">
        <f t="shared" si="1016"/>
        <v>33726608.313476712</v>
      </c>
      <c r="S936">
        <f t="shared" si="1017"/>
        <v>337.26608313476714</v>
      </c>
      <c r="T936">
        <f t="shared" si="1018"/>
        <v>0.33726608313476714</v>
      </c>
    </row>
    <row r="937" spans="1:20" x14ac:dyDescent="0.25">
      <c r="A937" s="5">
        <v>43656</v>
      </c>
      <c r="B937">
        <v>1.3611</v>
      </c>
      <c r="C937">
        <v>1.37</v>
      </c>
      <c r="D937">
        <v>1.1537999999999999</v>
      </c>
      <c r="E937">
        <v>1.2310000000000001</v>
      </c>
      <c r="F937">
        <v>3988707.97</v>
      </c>
      <c r="G937">
        <v>0</v>
      </c>
      <c r="L937" t="s">
        <v>7</v>
      </c>
      <c r="M937" t="s">
        <v>7</v>
      </c>
      <c r="N937" t="s">
        <v>7</v>
      </c>
      <c r="P937">
        <f t="shared" si="1014"/>
        <v>-0.28584643848288532</v>
      </c>
      <c r="Q937">
        <f t="shared" si="1015"/>
        <v>-1140157.9673727995</v>
      </c>
      <c r="R937">
        <f t="shared" si="1016"/>
        <v>35826891.241356298</v>
      </c>
      <c r="S937">
        <f t="shared" si="1017"/>
        <v>358.26891241356299</v>
      </c>
      <c r="T937">
        <f t="shared" si="1018"/>
        <v>0.35826891241356301</v>
      </c>
    </row>
    <row r="938" spans="1:20" x14ac:dyDescent="0.25">
      <c r="A938" s="5">
        <v>43655</v>
      </c>
      <c r="B938">
        <v>1.3806</v>
      </c>
      <c r="C938">
        <v>1.4191</v>
      </c>
      <c r="D938">
        <v>1.34</v>
      </c>
      <c r="E938">
        <v>1.3621000000000001</v>
      </c>
      <c r="F938">
        <v>1564775.26</v>
      </c>
      <c r="G938">
        <v>0</v>
      </c>
      <c r="L938" t="s">
        <v>7</v>
      </c>
      <c r="M938" t="s">
        <v>7</v>
      </c>
      <c r="N938" t="s">
        <v>7</v>
      </c>
      <c r="P938">
        <f t="shared" si="1014"/>
        <v>-0.44121365360303355</v>
      </c>
      <c r="Q938">
        <f t="shared" si="1015"/>
        <v>-690400.2095322368</v>
      </c>
      <c r="R938">
        <f t="shared" si="1016"/>
        <v>36967049.208729096</v>
      </c>
      <c r="S938">
        <f t="shared" si="1017"/>
        <v>369.67049208729094</v>
      </c>
      <c r="T938">
        <f t="shared" si="1018"/>
        <v>0.36967049208729091</v>
      </c>
    </row>
    <row r="939" spans="1:20" x14ac:dyDescent="0.25">
      <c r="A939" s="5">
        <v>43654</v>
      </c>
      <c r="B939">
        <v>1.3875999999999999</v>
      </c>
      <c r="C939">
        <v>1.3935999999999999</v>
      </c>
      <c r="D939">
        <v>1.365</v>
      </c>
      <c r="E939">
        <v>1.3806</v>
      </c>
      <c r="F939">
        <v>1177953.46</v>
      </c>
      <c r="G939">
        <v>0</v>
      </c>
      <c r="L939" t="s">
        <v>7</v>
      </c>
      <c r="M939" t="s">
        <v>7</v>
      </c>
      <c r="N939" t="s">
        <v>7</v>
      </c>
      <c r="P939">
        <f t="shared" si="1014"/>
        <v>9.090909090909656E-2</v>
      </c>
      <c r="Q939">
        <f t="shared" si="1015"/>
        <v>107086.67818182484</v>
      </c>
      <c r="R939">
        <f t="shared" si="1016"/>
        <v>37657449.418261334</v>
      </c>
      <c r="S939">
        <f t="shared" si="1017"/>
        <v>376.57449418261336</v>
      </c>
      <c r="T939">
        <f t="shared" si="1018"/>
        <v>0.37657449418261335</v>
      </c>
    </row>
    <row r="940" spans="1:20" x14ac:dyDescent="0.25">
      <c r="A940" s="5">
        <v>43653</v>
      </c>
      <c r="B940">
        <v>1.3701000000000001</v>
      </c>
      <c r="C940">
        <v>1.3938999999999999</v>
      </c>
      <c r="D940">
        <v>1.3445</v>
      </c>
      <c r="E940">
        <v>1.3866000000000001</v>
      </c>
      <c r="F940">
        <v>831055.3</v>
      </c>
      <c r="G940">
        <v>0</v>
      </c>
      <c r="L940" t="s">
        <v>7</v>
      </c>
      <c r="M940" t="s">
        <v>7</v>
      </c>
      <c r="N940" t="s">
        <v>7</v>
      </c>
      <c r="P940">
        <f t="shared" si="1014"/>
        <v>0.70445344129555143</v>
      </c>
      <c r="Q940">
        <f t="shared" si="1015"/>
        <v>585439.76599190687</v>
      </c>
      <c r="R940">
        <f t="shared" si="1016"/>
        <v>37550362.740079507</v>
      </c>
      <c r="S940">
        <f t="shared" si="1017"/>
        <v>375.5036274007951</v>
      </c>
      <c r="T940">
        <f t="shared" si="1018"/>
        <v>0.37550362740079507</v>
      </c>
    </row>
    <row r="941" spans="1:20" x14ac:dyDescent="0.25">
      <c r="A941" s="5">
        <v>43652</v>
      </c>
      <c r="B941">
        <v>1.3525</v>
      </c>
      <c r="C941">
        <v>1.4</v>
      </c>
      <c r="D941">
        <v>1.35</v>
      </c>
      <c r="E941">
        <v>1.37</v>
      </c>
      <c r="F941">
        <v>788805.04</v>
      </c>
      <c r="G941">
        <v>0</v>
      </c>
      <c r="L941" t="s">
        <v>7</v>
      </c>
      <c r="M941" t="s">
        <v>7</v>
      </c>
      <c r="N941" t="s">
        <v>7</v>
      </c>
      <c r="P941">
        <f t="shared" si="1014"/>
        <v>-0.19999999999999646</v>
      </c>
      <c r="Q941">
        <f t="shared" si="1015"/>
        <v>-157761.00799999721</v>
      </c>
      <c r="R941">
        <f t="shared" si="1016"/>
        <v>36964922.974087603</v>
      </c>
      <c r="S941">
        <f t="shared" si="1017"/>
        <v>369.64922974087602</v>
      </c>
      <c r="T941">
        <f t="shared" si="1018"/>
        <v>0.36964922974087605</v>
      </c>
    </row>
    <row r="942" spans="1:20" x14ac:dyDescent="0.25">
      <c r="A942" s="5">
        <v>43651</v>
      </c>
      <c r="B942">
        <v>1.3727</v>
      </c>
      <c r="C942">
        <v>1.3862000000000001</v>
      </c>
      <c r="D942">
        <v>1.3314999999999999</v>
      </c>
      <c r="E942">
        <v>1.3499000000000001</v>
      </c>
      <c r="F942">
        <v>1069278.74</v>
      </c>
      <c r="G942">
        <v>0</v>
      </c>
      <c r="L942" t="s">
        <v>7</v>
      </c>
      <c r="M942" t="s">
        <v>7</v>
      </c>
      <c r="N942" t="s">
        <v>7</v>
      </c>
      <c r="P942">
        <f t="shared" si="1014"/>
        <v>-0.3272394881169971</v>
      </c>
      <c r="Q942">
        <f t="shared" si="1015"/>
        <v>-349910.22753198765</v>
      </c>
      <c r="R942">
        <f t="shared" si="1016"/>
        <v>37122683.982087597</v>
      </c>
      <c r="S942">
        <f t="shared" si="1017"/>
        <v>371.22683982087597</v>
      </c>
      <c r="T942">
        <f t="shared" si="1018"/>
        <v>0.37122683982087595</v>
      </c>
    </row>
    <row r="943" spans="1:20" x14ac:dyDescent="0.25">
      <c r="A943" s="5">
        <v>43650</v>
      </c>
      <c r="B943">
        <v>1.4192</v>
      </c>
      <c r="C943">
        <v>1.4552</v>
      </c>
      <c r="D943">
        <v>1.3677999999999999</v>
      </c>
      <c r="E943">
        <v>1.3732</v>
      </c>
      <c r="F943">
        <v>1635466.66</v>
      </c>
      <c r="G943">
        <v>0</v>
      </c>
      <c r="L943" t="s">
        <v>8</v>
      </c>
      <c r="M943" t="s">
        <v>7</v>
      </c>
      <c r="N943" t="s">
        <v>7</v>
      </c>
      <c r="P943">
        <f t="shared" si="1014"/>
        <v>-0.87643020594965537</v>
      </c>
      <c r="Q943">
        <f t="shared" si="1015"/>
        <v>-1433372.381647595</v>
      </c>
      <c r="R943">
        <f t="shared" si="1016"/>
        <v>37472594.209619582</v>
      </c>
      <c r="S943">
        <f t="shared" si="1017"/>
        <v>374.72594209619581</v>
      </c>
      <c r="T943">
        <f t="shared" si="1018"/>
        <v>0.37472594209619581</v>
      </c>
    </row>
    <row r="944" spans="1:20" x14ac:dyDescent="0.25">
      <c r="A944" s="5">
        <v>43649</v>
      </c>
      <c r="B944">
        <v>1.3976</v>
      </c>
      <c r="C944">
        <v>1.4288000000000001</v>
      </c>
      <c r="D944">
        <v>1.3764000000000001</v>
      </c>
      <c r="E944">
        <v>1.421</v>
      </c>
      <c r="F944">
        <v>1513372.35</v>
      </c>
      <c r="G944">
        <v>0</v>
      </c>
      <c r="L944" t="s">
        <v>8</v>
      </c>
      <c r="M944" t="s">
        <v>7</v>
      </c>
      <c r="N944" t="s">
        <v>7</v>
      </c>
      <c r="P944">
        <f t="shared" si="1014"/>
        <v>0.70229007633587681</v>
      </c>
      <c r="Q944">
        <f t="shared" si="1015"/>
        <v>1062826.3832061053</v>
      </c>
      <c r="R944">
        <f t="shared" si="1016"/>
        <v>38905966.591267176</v>
      </c>
      <c r="S944">
        <f t="shared" si="1017"/>
        <v>389.05966591267173</v>
      </c>
      <c r="T944">
        <f t="shared" si="1018"/>
        <v>0.38905966591267171</v>
      </c>
    </row>
    <row r="945" spans="1:20" x14ac:dyDescent="0.25">
      <c r="A945" s="5">
        <v>43648</v>
      </c>
      <c r="B945">
        <v>1.4280999999999999</v>
      </c>
      <c r="C945">
        <v>1.4379999999999999</v>
      </c>
      <c r="D945">
        <v>1.2987</v>
      </c>
      <c r="E945">
        <v>1.3960999999999999</v>
      </c>
      <c r="F945">
        <v>2555068.9300000002</v>
      </c>
      <c r="G945">
        <v>0</v>
      </c>
      <c r="L945" t="s">
        <v>7</v>
      </c>
      <c r="M945" t="s">
        <v>7</v>
      </c>
      <c r="N945" t="s">
        <v>7</v>
      </c>
      <c r="P945">
        <f t="shared" si="1014"/>
        <v>0.39842067480258359</v>
      </c>
      <c r="Q945">
        <f t="shared" si="1015"/>
        <v>1017992.2872577152</v>
      </c>
      <c r="R945">
        <f t="shared" si="1016"/>
        <v>37843140.208061069</v>
      </c>
      <c r="S945">
        <f t="shared" si="1017"/>
        <v>378.43140208061067</v>
      </c>
      <c r="T945">
        <f t="shared" si="1018"/>
        <v>0.37843140208061066</v>
      </c>
    </row>
    <row r="946" spans="1:20" x14ac:dyDescent="0.25">
      <c r="A946" s="5">
        <v>43647</v>
      </c>
      <c r="B946">
        <v>1.4379999999999999</v>
      </c>
      <c r="C946">
        <v>1.5057</v>
      </c>
      <c r="D946">
        <v>1.3380000000000001</v>
      </c>
      <c r="E946">
        <v>1.4285000000000001</v>
      </c>
      <c r="F946">
        <v>3119308.37</v>
      </c>
      <c r="G946">
        <v>0</v>
      </c>
      <c r="L946" t="s">
        <v>7</v>
      </c>
      <c r="M946" t="s">
        <v>7</v>
      </c>
      <c r="N946" t="s">
        <v>8</v>
      </c>
      <c r="P946">
        <f t="shared" si="1014"/>
        <v>7.9308288610614744E-2</v>
      </c>
      <c r="Q946">
        <f t="shared" si="1015"/>
        <v>247387.00847346624</v>
      </c>
      <c r="R946">
        <f t="shared" si="1016"/>
        <v>36825147.920803353</v>
      </c>
      <c r="S946">
        <f t="shared" si="1017"/>
        <v>368.25147920803352</v>
      </c>
      <c r="T946">
        <f t="shared" si="1018"/>
        <v>0.36825147920803353</v>
      </c>
    </row>
    <row r="947" spans="1:20" x14ac:dyDescent="0.25">
      <c r="A947" s="5">
        <v>43646</v>
      </c>
      <c r="B947">
        <v>1.5587</v>
      </c>
      <c r="C947">
        <v>1.6647000000000001</v>
      </c>
      <c r="D947">
        <v>1.4279999999999999</v>
      </c>
      <c r="E947">
        <v>1.4366000000000001</v>
      </c>
      <c r="F947">
        <v>4026554.68</v>
      </c>
      <c r="G947">
        <v>0</v>
      </c>
      <c r="L947" t="s">
        <v>8</v>
      </c>
      <c r="M947" t="s">
        <v>8</v>
      </c>
      <c r="N947" t="s">
        <v>8</v>
      </c>
      <c r="P947">
        <f t="shared" si="1014"/>
        <v>-0.92733417828474729</v>
      </c>
      <c r="Q947">
        <f t="shared" si="1015"/>
        <v>-3733961.7754964037</v>
      </c>
      <c r="R947">
        <f t="shared" si="1016"/>
        <v>36577760.91232989</v>
      </c>
      <c r="S947">
        <f t="shared" si="1017"/>
        <v>365.77760912329887</v>
      </c>
      <c r="T947">
        <f t="shared" si="1018"/>
        <v>0.36577760912329887</v>
      </c>
    </row>
    <row r="948" spans="1:20" x14ac:dyDescent="0.25">
      <c r="A948" s="5">
        <v>43645</v>
      </c>
      <c r="B948">
        <v>1.5336000000000001</v>
      </c>
      <c r="C948">
        <v>1.5712999999999999</v>
      </c>
      <c r="D948">
        <v>1.4650000000000001</v>
      </c>
      <c r="E948">
        <v>1.5573999999999999</v>
      </c>
      <c r="F948">
        <v>2871981.52</v>
      </c>
      <c r="G948">
        <v>0</v>
      </c>
      <c r="L948" t="s">
        <v>8</v>
      </c>
      <c r="M948" t="s">
        <v>7</v>
      </c>
      <c r="N948" t="s">
        <v>8</v>
      </c>
      <c r="P948">
        <f t="shared" si="1014"/>
        <v>0.73847601128880447</v>
      </c>
      <c r="Q948">
        <f t="shared" si="1015"/>
        <v>2120889.4573847577</v>
      </c>
      <c r="R948">
        <f t="shared" si="1016"/>
        <v>40311722.687826291</v>
      </c>
      <c r="S948">
        <f t="shared" si="1017"/>
        <v>403.1172268782629</v>
      </c>
      <c r="T948">
        <f t="shared" si="1018"/>
        <v>0.4031172268782629</v>
      </c>
    </row>
    <row r="949" spans="1:20" x14ac:dyDescent="0.25">
      <c r="A949" s="5">
        <v>43644</v>
      </c>
      <c r="B949">
        <v>1.4590000000000001</v>
      </c>
      <c r="C949">
        <v>1.5698000000000001</v>
      </c>
      <c r="D949">
        <v>1.4432</v>
      </c>
      <c r="E949">
        <v>1.5337000000000001</v>
      </c>
      <c r="F949">
        <v>3183137.13</v>
      </c>
      <c r="G949">
        <v>0</v>
      </c>
      <c r="L949" t="s">
        <v>8</v>
      </c>
      <c r="M949" t="s">
        <v>7</v>
      </c>
      <c r="N949" t="s">
        <v>8</v>
      </c>
      <c r="P949">
        <f t="shared" si="1014"/>
        <v>0.42969984202211675</v>
      </c>
      <c r="Q949">
        <f t="shared" si="1015"/>
        <v>1367793.5218957341</v>
      </c>
      <c r="R949">
        <f t="shared" si="1016"/>
        <v>38190833.230441533</v>
      </c>
      <c r="S949">
        <f t="shared" si="1017"/>
        <v>381.90833230441535</v>
      </c>
      <c r="T949">
        <f t="shared" si="1018"/>
        <v>0.38190833230441534</v>
      </c>
    </row>
    <row r="950" spans="1:20" x14ac:dyDescent="0.25">
      <c r="A950" s="5">
        <v>43643</v>
      </c>
      <c r="B950">
        <v>1.6859999999999999</v>
      </c>
      <c r="C950">
        <v>1.7256</v>
      </c>
      <c r="D950">
        <v>1.407</v>
      </c>
      <c r="E950">
        <v>1.4619</v>
      </c>
      <c r="F950">
        <v>6164323.6100000003</v>
      </c>
      <c r="G950">
        <v>0</v>
      </c>
      <c r="L950" t="s">
        <v>7</v>
      </c>
      <c r="M950" t="s">
        <v>7</v>
      </c>
      <c r="N950" t="s">
        <v>8</v>
      </c>
      <c r="P950">
        <f t="shared" si="1014"/>
        <v>-0.65536723163841837</v>
      </c>
      <c r="Q950">
        <f t="shared" si="1015"/>
        <v>-4039895.6992090414</v>
      </c>
      <c r="R950">
        <f t="shared" si="1016"/>
        <v>36823039.708545797</v>
      </c>
      <c r="S950">
        <f t="shared" si="1017"/>
        <v>368.23039708545798</v>
      </c>
      <c r="T950">
        <f t="shared" si="1018"/>
        <v>0.36823039708545796</v>
      </c>
    </row>
    <row r="951" spans="1:20" x14ac:dyDescent="0.25">
      <c r="A951" s="5">
        <v>43642</v>
      </c>
      <c r="B951">
        <v>1.7787999999999999</v>
      </c>
      <c r="C951">
        <v>1.8560000000000001</v>
      </c>
      <c r="D951">
        <v>1.58</v>
      </c>
      <c r="E951">
        <v>1.6869000000000001</v>
      </c>
      <c r="F951">
        <v>7956429.6550000003</v>
      </c>
      <c r="G951">
        <v>0</v>
      </c>
      <c r="L951" t="s">
        <v>8</v>
      </c>
      <c r="M951" t="s">
        <v>8</v>
      </c>
      <c r="N951" t="s">
        <v>8</v>
      </c>
      <c r="P951">
        <f t="shared" si="1014"/>
        <v>-0.22536231884057981</v>
      </c>
      <c r="Q951">
        <f t="shared" si="1015"/>
        <v>-1793079.4367427544</v>
      </c>
      <c r="R951">
        <f t="shared" si="1016"/>
        <v>40862935.407754838</v>
      </c>
      <c r="S951">
        <f t="shared" si="1017"/>
        <v>408.62935407754838</v>
      </c>
      <c r="T951">
        <f t="shared" si="1018"/>
        <v>0.40862935407754841</v>
      </c>
    </row>
    <row r="952" spans="1:20" x14ac:dyDescent="0.25">
      <c r="A952" s="5">
        <v>43641</v>
      </c>
      <c r="B952">
        <v>1.6198999999999999</v>
      </c>
      <c r="C952">
        <v>1.8168</v>
      </c>
      <c r="D952">
        <v>1.5853999999999999</v>
      </c>
      <c r="E952">
        <v>1.7758</v>
      </c>
      <c r="F952">
        <v>8235468.0389999999</v>
      </c>
      <c r="G952">
        <v>0</v>
      </c>
      <c r="L952" t="s">
        <v>8</v>
      </c>
      <c r="M952" t="s">
        <v>8</v>
      </c>
      <c r="N952" t="s">
        <v>8</v>
      </c>
      <c r="P952">
        <f t="shared" si="1014"/>
        <v>0.64563526361279244</v>
      </c>
      <c r="Q952">
        <f t="shared" si="1015"/>
        <v>5317108.5783344917</v>
      </c>
      <c r="R952">
        <f t="shared" si="1016"/>
        <v>42656014.844497591</v>
      </c>
      <c r="S952">
        <f t="shared" si="1017"/>
        <v>426.56014844497594</v>
      </c>
      <c r="T952">
        <f t="shared" si="1018"/>
        <v>0.42656014844497592</v>
      </c>
    </row>
    <row r="953" spans="1:20" x14ac:dyDescent="0.25">
      <c r="A953" s="5">
        <v>43640</v>
      </c>
      <c r="B953">
        <v>1.5430999999999999</v>
      </c>
      <c r="C953">
        <v>1.62</v>
      </c>
      <c r="D953">
        <v>1.4946999999999999</v>
      </c>
      <c r="E953">
        <v>1.6198999999999999</v>
      </c>
      <c r="F953">
        <v>3285178.31</v>
      </c>
      <c r="G953">
        <v>0</v>
      </c>
      <c r="L953" t="s">
        <v>7</v>
      </c>
      <c r="M953" t="s">
        <v>8</v>
      </c>
      <c r="N953" t="s">
        <v>8</v>
      </c>
      <c r="P953">
        <f t="shared" si="1014"/>
        <v>0.9984038308060621</v>
      </c>
      <c r="Q953">
        <f t="shared" si="1015"/>
        <v>3279934.6095849853</v>
      </c>
      <c r="R953">
        <f t="shared" si="1016"/>
        <v>37338906.266163096</v>
      </c>
      <c r="S953">
        <f t="shared" si="1017"/>
        <v>373.38906266163093</v>
      </c>
      <c r="T953">
        <f t="shared" si="1018"/>
        <v>0.37338906266163091</v>
      </c>
    </row>
    <row r="954" spans="1:20" x14ac:dyDescent="0.25">
      <c r="A954" s="5">
        <v>43639</v>
      </c>
      <c r="B954">
        <v>1.6012</v>
      </c>
      <c r="C954">
        <v>1.6798</v>
      </c>
      <c r="D954">
        <v>1.5303</v>
      </c>
      <c r="E954">
        <v>1.5455000000000001</v>
      </c>
      <c r="F954">
        <v>4231541.7300000004</v>
      </c>
      <c r="G954">
        <v>0</v>
      </c>
      <c r="L954" t="s">
        <v>7</v>
      </c>
      <c r="M954" t="s">
        <v>8</v>
      </c>
      <c r="N954" t="s">
        <v>8</v>
      </c>
      <c r="P954">
        <f t="shared" si="1014"/>
        <v>-0.79665551839464743</v>
      </c>
      <c r="Q954">
        <f t="shared" si="1015"/>
        <v>-3371081.0705217337</v>
      </c>
      <c r="R954">
        <f t="shared" si="1016"/>
        <v>34058971.656578109</v>
      </c>
      <c r="S954">
        <f t="shared" si="1017"/>
        <v>340.58971656578109</v>
      </c>
      <c r="T954">
        <f t="shared" si="1018"/>
        <v>0.34058971656578108</v>
      </c>
    </row>
    <row r="955" spans="1:20" x14ac:dyDescent="0.25">
      <c r="A955" s="5">
        <v>43638</v>
      </c>
      <c r="B955">
        <v>1.4244000000000001</v>
      </c>
      <c r="C955">
        <v>1.6835</v>
      </c>
      <c r="D955">
        <v>1.4054</v>
      </c>
      <c r="E955">
        <v>1.6013999999999999</v>
      </c>
      <c r="F955">
        <v>9123967.2400000002</v>
      </c>
      <c r="G955">
        <v>0</v>
      </c>
      <c r="L955" t="s">
        <v>8</v>
      </c>
      <c r="M955" t="s">
        <v>8</v>
      </c>
      <c r="N955" t="s">
        <v>8</v>
      </c>
      <c r="P955">
        <f t="shared" si="1014"/>
        <v>0.40956490471053536</v>
      </c>
      <c r="Q955">
        <f t="shared" si="1015"/>
        <v>3736856.7732326463</v>
      </c>
      <c r="R955">
        <f t="shared" si="1016"/>
        <v>37430052.727099843</v>
      </c>
      <c r="S955">
        <f t="shared" si="1017"/>
        <v>374.30052727099843</v>
      </c>
      <c r="T955">
        <f t="shared" si="1018"/>
        <v>0.37430052727099844</v>
      </c>
    </row>
    <row r="956" spans="1:20" x14ac:dyDescent="0.25">
      <c r="A956" s="5">
        <v>43637</v>
      </c>
      <c r="B956">
        <v>1.4029</v>
      </c>
      <c r="C956">
        <v>1.452</v>
      </c>
      <c r="D956">
        <v>1.3897999999999999</v>
      </c>
      <c r="E956">
        <v>1.4227000000000001</v>
      </c>
      <c r="F956">
        <v>3208636.96</v>
      </c>
      <c r="G956">
        <v>0</v>
      </c>
      <c r="L956" t="s">
        <v>7</v>
      </c>
      <c r="M956" t="s">
        <v>8</v>
      </c>
      <c r="N956" t="s">
        <v>8</v>
      </c>
      <c r="P956">
        <f t="shared" si="1014"/>
        <v>5.7877813504827458E-2</v>
      </c>
      <c r="Q956">
        <f t="shared" si="1015"/>
        <v>185708.8915755765</v>
      </c>
      <c r="R956">
        <f t="shared" si="1016"/>
        <v>33693195.953867197</v>
      </c>
      <c r="S956">
        <f t="shared" si="1017"/>
        <v>336.93195953867195</v>
      </c>
      <c r="T956">
        <f t="shared" si="1018"/>
        <v>0.33693195953867194</v>
      </c>
    </row>
    <row r="957" spans="1:20" x14ac:dyDescent="0.25">
      <c r="A957" s="5">
        <v>43636</v>
      </c>
      <c r="B957">
        <v>1.4346000000000001</v>
      </c>
      <c r="C957">
        <v>1.4638</v>
      </c>
      <c r="D957">
        <v>1.37</v>
      </c>
      <c r="E957">
        <v>1.4017999999999999</v>
      </c>
      <c r="F957">
        <v>2019910.81</v>
      </c>
      <c r="G957">
        <v>0</v>
      </c>
      <c r="L957" t="s">
        <v>7</v>
      </c>
      <c r="M957" t="s">
        <v>8</v>
      </c>
      <c r="N957" t="s">
        <v>8</v>
      </c>
      <c r="P957">
        <f t="shared" si="1014"/>
        <v>-0.321961620469086</v>
      </c>
      <c r="Q957">
        <f t="shared" si="1015"/>
        <v>-650333.75759062404</v>
      </c>
      <c r="R957">
        <f t="shared" si="1016"/>
        <v>33507487.062291618</v>
      </c>
      <c r="S957">
        <f t="shared" si="1017"/>
        <v>335.07487062291619</v>
      </c>
      <c r="T957">
        <f t="shared" si="1018"/>
        <v>0.33507487062291619</v>
      </c>
    </row>
    <row r="958" spans="1:20" x14ac:dyDescent="0.25">
      <c r="A958" s="5">
        <v>43635</v>
      </c>
      <c r="B958">
        <v>1.4298999999999999</v>
      </c>
      <c r="C958">
        <v>1.4642999999999999</v>
      </c>
      <c r="D958">
        <v>1.4117</v>
      </c>
      <c r="E958">
        <v>1.4334</v>
      </c>
      <c r="F958">
        <v>1751504.14</v>
      </c>
      <c r="G958">
        <v>0</v>
      </c>
      <c r="L958" t="s">
        <v>7</v>
      </c>
      <c r="M958" t="s">
        <v>8</v>
      </c>
      <c r="N958" t="s">
        <v>8</v>
      </c>
      <c r="P958">
        <f t="shared" si="1014"/>
        <v>-0.17490494296577716</v>
      </c>
      <c r="Q958">
        <f t="shared" si="1015"/>
        <v>-306346.73171102256</v>
      </c>
      <c r="R958">
        <f t="shared" si="1016"/>
        <v>34157820.819882244</v>
      </c>
      <c r="S958">
        <f t="shared" si="1017"/>
        <v>341.57820819882244</v>
      </c>
      <c r="T958">
        <f t="shared" si="1018"/>
        <v>0.34157820819882245</v>
      </c>
    </row>
    <row r="959" spans="1:20" x14ac:dyDescent="0.25">
      <c r="A959" s="5">
        <v>43634</v>
      </c>
      <c r="B959">
        <v>1.5435000000000001</v>
      </c>
      <c r="C959">
        <v>1.55</v>
      </c>
      <c r="D959">
        <v>1.4132</v>
      </c>
      <c r="E959">
        <v>1.43</v>
      </c>
      <c r="F959">
        <v>3047733.62</v>
      </c>
      <c r="G959">
        <v>0</v>
      </c>
      <c r="L959" t="s">
        <v>8</v>
      </c>
      <c r="M959" t="s">
        <v>8</v>
      </c>
      <c r="N959" t="s">
        <v>8</v>
      </c>
      <c r="P959">
        <f t="shared" ref="P959:P1022" si="1019">IF(C959=D959,0,((E959-D959)-(C959-E959))/(C959-D959))</f>
        <v>-0.75438596491228183</v>
      </c>
      <c r="Q959">
        <f t="shared" ref="Q959:Q1022" si="1020">F959*P959</f>
        <v>-2299167.4677193016</v>
      </c>
      <c r="R959">
        <f t="shared" ref="R959:R1022" si="1021">R960+Q959</f>
        <v>34464167.551593266</v>
      </c>
      <c r="S959">
        <f t="shared" ref="S959:S1022" si="1022">R959/100000</f>
        <v>344.64167551593266</v>
      </c>
      <c r="T959">
        <f t="shared" ref="T959:T1022" si="1023">S959/1000</f>
        <v>0.34464167551593267</v>
      </c>
    </row>
    <row r="960" spans="1:20" x14ac:dyDescent="0.25">
      <c r="A960" s="5">
        <v>43633</v>
      </c>
      <c r="B960">
        <v>1.4454</v>
      </c>
      <c r="C960">
        <v>1.5432999999999999</v>
      </c>
      <c r="D960">
        <v>1.4402999999999999</v>
      </c>
      <c r="E960">
        <v>1.5417000000000001</v>
      </c>
      <c r="F960">
        <v>3067168.61</v>
      </c>
      <c r="G960">
        <v>0</v>
      </c>
      <c r="L960" t="s">
        <v>8</v>
      </c>
      <c r="M960" t="s">
        <v>8</v>
      </c>
      <c r="N960" t="s">
        <v>8</v>
      </c>
      <c r="P960">
        <f t="shared" si="1019"/>
        <v>0.96893203883495482</v>
      </c>
      <c r="Q960">
        <f t="shared" si="1020"/>
        <v>2971877.9347378742</v>
      </c>
      <c r="R960">
        <f t="shared" si="1021"/>
        <v>36763335.019312568</v>
      </c>
      <c r="S960">
        <f t="shared" si="1022"/>
        <v>367.63335019312569</v>
      </c>
      <c r="T960">
        <f t="shared" si="1023"/>
        <v>0.36763335019312571</v>
      </c>
    </row>
    <row r="961" spans="1:20" x14ac:dyDescent="0.25">
      <c r="A961" s="5">
        <v>43632</v>
      </c>
      <c r="B961">
        <v>1.4371</v>
      </c>
      <c r="C961">
        <v>1.48</v>
      </c>
      <c r="D961">
        <v>1.4104000000000001</v>
      </c>
      <c r="E961">
        <v>1.4455</v>
      </c>
      <c r="F961">
        <v>2824285.61</v>
      </c>
      <c r="G961">
        <v>0</v>
      </c>
      <c r="L961" t="s">
        <v>8</v>
      </c>
      <c r="M961" t="s">
        <v>8</v>
      </c>
      <c r="N961" t="s">
        <v>8</v>
      </c>
      <c r="P961">
        <f t="shared" si="1019"/>
        <v>8.6206896551714787E-3</v>
      </c>
      <c r="Q961">
        <f t="shared" si="1020"/>
        <v>24347.28974137667</v>
      </c>
      <c r="R961">
        <f t="shared" si="1021"/>
        <v>33791457.084574692</v>
      </c>
      <c r="S961">
        <f t="shared" si="1022"/>
        <v>337.91457084574694</v>
      </c>
      <c r="T961">
        <f t="shared" si="1023"/>
        <v>0.33791457084574694</v>
      </c>
    </row>
    <row r="962" spans="1:20" x14ac:dyDescent="0.25">
      <c r="A962" s="5">
        <v>43631</v>
      </c>
      <c r="B962">
        <v>1.4177</v>
      </c>
      <c r="C962">
        <v>1.4628000000000001</v>
      </c>
      <c r="D962">
        <v>1.4077</v>
      </c>
      <c r="E962">
        <v>1.4379</v>
      </c>
      <c r="F962">
        <v>2213106.39</v>
      </c>
      <c r="G962">
        <v>0</v>
      </c>
      <c r="L962" t="s">
        <v>8</v>
      </c>
      <c r="M962" t="s">
        <v>8</v>
      </c>
      <c r="N962" t="s">
        <v>8</v>
      </c>
      <c r="P962">
        <f t="shared" si="1019"/>
        <v>9.6188747731394672E-2</v>
      </c>
      <c r="Q962">
        <f t="shared" si="1020"/>
        <v>212875.93225044757</v>
      </c>
      <c r="R962">
        <f t="shared" si="1021"/>
        <v>33767109.794833317</v>
      </c>
      <c r="S962">
        <f t="shared" si="1022"/>
        <v>337.67109794833317</v>
      </c>
      <c r="T962">
        <f t="shared" si="1023"/>
        <v>0.33767109794833317</v>
      </c>
    </row>
    <row r="963" spans="1:20" x14ac:dyDescent="0.25">
      <c r="A963" s="5">
        <v>43630</v>
      </c>
      <c r="B963">
        <v>1.4294</v>
      </c>
      <c r="C963">
        <v>1.4418</v>
      </c>
      <c r="D963">
        <v>1.3494999999999999</v>
      </c>
      <c r="E963">
        <v>1.4177</v>
      </c>
      <c r="F963">
        <v>3352971.63</v>
      </c>
      <c r="G963">
        <v>0</v>
      </c>
      <c r="L963" t="s">
        <v>7</v>
      </c>
      <c r="M963" t="s">
        <v>8</v>
      </c>
      <c r="N963" t="s">
        <v>8</v>
      </c>
      <c r="P963">
        <f t="shared" si="1019"/>
        <v>0.47778981581798491</v>
      </c>
      <c r="Q963">
        <f t="shared" si="1020"/>
        <v>1602015.6975406285</v>
      </c>
      <c r="R963">
        <f t="shared" si="1021"/>
        <v>33554233.862582874</v>
      </c>
      <c r="S963">
        <f t="shared" si="1022"/>
        <v>335.54233862582873</v>
      </c>
      <c r="T963">
        <f t="shared" si="1023"/>
        <v>0.33554233862582872</v>
      </c>
    </row>
    <row r="964" spans="1:20" x14ac:dyDescent="0.25">
      <c r="A964" s="5">
        <v>43629</v>
      </c>
      <c r="B964">
        <v>1.4208000000000001</v>
      </c>
      <c r="C964">
        <v>1.498</v>
      </c>
      <c r="D964">
        <v>1.3951</v>
      </c>
      <c r="E964">
        <v>1.4281999999999999</v>
      </c>
      <c r="F964">
        <v>3926200.95</v>
      </c>
      <c r="G964">
        <v>0</v>
      </c>
      <c r="L964" t="s">
        <v>8</v>
      </c>
      <c r="M964" t="s">
        <v>8</v>
      </c>
      <c r="N964" t="s">
        <v>8</v>
      </c>
      <c r="P964">
        <f t="shared" si="1019"/>
        <v>-0.35665694849368496</v>
      </c>
      <c r="Q964">
        <f t="shared" si="1020"/>
        <v>-1400306.8500000071</v>
      </c>
      <c r="R964">
        <f t="shared" si="1021"/>
        <v>31952218.165042244</v>
      </c>
      <c r="S964">
        <f t="shared" si="1022"/>
        <v>319.52218165042245</v>
      </c>
      <c r="T964">
        <f t="shared" si="1023"/>
        <v>0.31952218165042245</v>
      </c>
    </row>
    <row r="965" spans="1:20" x14ac:dyDescent="0.25">
      <c r="A965" s="5">
        <v>43628</v>
      </c>
      <c r="B965">
        <v>1.4164000000000001</v>
      </c>
      <c r="C965">
        <v>1.4495</v>
      </c>
      <c r="D965">
        <v>1.3835999999999999</v>
      </c>
      <c r="E965">
        <v>1.4204000000000001</v>
      </c>
      <c r="F965">
        <v>2740552.95</v>
      </c>
      <c r="G965">
        <v>0</v>
      </c>
      <c r="L965" t="s">
        <v>7</v>
      </c>
      <c r="M965" t="s">
        <v>8</v>
      </c>
      <c r="N965" t="s">
        <v>8</v>
      </c>
      <c r="P965">
        <f t="shared" si="1019"/>
        <v>0.11684370257967001</v>
      </c>
      <c r="Q965">
        <f t="shared" si="1020"/>
        <v>320216.3537936373</v>
      </c>
      <c r="R965">
        <f t="shared" si="1021"/>
        <v>33352525.015042253</v>
      </c>
      <c r="S965">
        <f t="shared" si="1022"/>
        <v>333.52525015042255</v>
      </c>
      <c r="T965">
        <f t="shared" si="1023"/>
        <v>0.33352525015042256</v>
      </c>
    </row>
    <row r="966" spans="1:20" x14ac:dyDescent="0.25">
      <c r="A966" s="5">
        <v>43627</v>
      </c>
      <c r="B966">
        <v>1.4032</v>
      </c>
      <c r="C966">
        <v>1.44</v>
      </c>
      <c r="D966">
        <v>1.3612</v>
      </c>
      <c r="E966">
        <v>1.4176</v>
      </c>
      <c r="F966">
        <v>3430802.87</v>
      </c>
      <c r="G966">
        <v>0</v>
      </c>
      <c r="L966" t="s">
        <v>7</v>
      </c>
      <c r="M966" t="s">
        <v>8</v>
      </c>
      <c r="N966" t="s">
        <v>8</v>
      </c>
      <c r="P966">
        <f t="shared" si="1019"/>
        <v>0.43147208121827457</v>
      </c>
      <c r="Q966">
        <f t="shared" si="1020"/>
        <v>1480295.6545685295</v>
      </c>
      <c r="R966">
        <f t="shared" si="1021"/>
        <v>33032308.661248617</v>
      </c>
      <c r="S966">
        <f t="shared" si="1022"/>
        <v>330.32308661248618</v>
      </c>
      <c r="T966">
        <f t="shared" si="1023"/>
        <v>0.33032308661248616</v>
      </c>
    </row>
    <row r="967" spans="1:20" x14ac:dyDescent="0.25">
      <c r="A967" s="5">
        <v>43626</v>
      </c>
      <c r="B967">
        <v>1.3250999999999999</v>
      </c>
      <c r="C967">
        <v>1.5</v>
      </c>
      <c r="D967">
        <v>1.3156000000000001</v>
      </c>
      <c r="E967">
        <v>1.4036</v>
      </c>
      <c r="F967">
        <v>9863665.5800000001</v>
      </c>
      <c r="G967">
        <v>0</v>
      </c>
      <c r="L967" t="s">
        <v>8</v>
      </c>
      <c r="M967" t="s">
        <v>8</v>
      </c>
      <c r="N967" t="s">
        <v>8</v>
      </c>
      <c r="P967">
        <f t="shared" si="1019"/>
        <v>-4.5553145336226626E-2</v>
      </c>
      <c r="Q967">
        <f t="shared" si="1020"/>
        <v>-449320.99171367608</v>
      </c>
      <c r="R967">
        <f t="shared" si="1021"/>
        <v>31552013.006680086</v>
      </c>
      <c r="S967">
        <f t="shared" si="1022"/>
        <v>315.52013006680085</v>
      </c>
      <c r="T967">
        <f t="shared" si="1023"/>
        <v>0.31552013006680085</v>
      </c>
    </row>
    <row r="968" spans="1:20" x14ac:dyDescent="0.25">
      <c r="A968" s="5">
        <v>43625</v>
      </c>
      <c r="B968">
        <v>1.3197000000000001</v>
      </c>
      <c r="C968">
        <v>1.3554999999999999</v>
      </c>
      <c r="D968">
        <v>1.2604</v>
      </c>
      <c r="E968">
        <v>1.3251999999999999</v>
      </c>
      <c r="F968">
        <v>2557321.98</v>
      </c>
      <c r="G968">
        <v>0</v>
      </c>
      <c r="L968" t="s">
        <v>7</v>
      </c>
      <c r="M968" t="s">
        <v>7</v>
      </c>
      <c r="N968" t="s">
        <v>8</v>
      </c>
      <c r="P968">
        <f t="shared" si="1019"/>
        <v>0.36277602523659297</v>
      </c>
      <c r="Q968">
        <f t="shared" si="1020"/>
        <v>927735.10315457394</v>
      </c>
      <c r="R968">
        <f t="shared" si="1021"/>
        <v>32001333.998393763</v>
      </c>
      <c r="S968">
        <f t="shared" si="1022"/>
        <v>320.01333998393761</v>
      </c>
      <c r="T968">
        <f t="shared" si="1023"/>
        <v>0.32001333998393761</v>
      </c>
    </row>
    <row r="969" spans="1:20" x14ac:dyDescent="0.25">
      <c r="A969" s="5">
        <v>43624</v>
      </c>
      <c r="B969">
        <v>1.3230999999999999</v>
      </c>
      <c r="C969">
        <v>1.3657999999999999</v>
      </c>
      <c r="D969">
        <v>1.2764</v>
      </c>
      <c r="E969">
        <v>1.3183</v>
      </c>
      <c r="F969">
        <v>1662859.78</v>
      </c>
      <c r="G969">
        <v>0</v>
      </c>
      <c r="L969" t="s">
        <v>8</v>
      </c>
      <c r="M969" t="s">
        <v>7</v>
      </c>
      <c r="N969" t="s">
        <v>8</v>
      </c>
      <c r="P969">
        <f t="shared" si="1019"/>
        <v>-6.2639821029080903E-2</v>
      </c>
      <c r="Q969">
        <f t="shared" si="1020"/>
        <v>-104161.23901565684</v>
      </c>
      <c r="R969">
        <f t="shared" si="1021"/>
        <v>31073598.895239189</v>
      </c>
      <c r="S969">
        <f t="shared" si="1022"/>
        <v>310.73598895239189</v>
      </c>
      <c r="T969">
        <f t="shared" si="1023"/>
        <v>0.31073598895239191</v>
      </c>
    </row>
    <row r="970" spans="1:20" x14ac:dyDescent="0.25">
      <c r="A970" s="5">
        <v>43623</v>
      </c>
      <c r="B970">
        <v>1.3016000000000001</v>
      </c>
      <c r="C970">
        <v>1.3520000000000001</v>
      </c>
      <c r="D970">
        <v>1.2819</v>
      </c>
      <c r="E970">
        <v>1.3240000000000001</v>
      </c>
      <c r="F970">
        <v>2102687.4</v>
      </c>
      <c r="G970">
        <v>0</v>
      </c>
      <c r="L970" t="s">
        <v>8</v>
      </c>
      <c r="M970" t="s">
        <v>7</v>
      </c>
      <c r="N970" t="s">
        <v>8</v>
      </c>
      <c r="P970">
        <f t="shared" si="1019"/>
        <v>0.20114122681883012</v>
      </c>
      <c r="Q970">
        <f t="shared" si="1020"/>
        <v>422937.12325249618</v>
      </c>
      <c r="R970">
        <f t="shared" si="1021"/>
        <v>31177760.134254847</v>
      </c>
      <c r="S970">
        <f t="shared" si="1022"/>
        <v>311.77760134254845</v>
      </c>
      <c r="T970">
        <f t="shared" si="1023"/>
        <v>0.31177760134254845</v>
      </c>
    </row>
    <row r="971" spans="1:20" x14ac:dyDescent="0.25">
      <c r="A971" s="5">
        <v>43622</v>
      </c>
      <c r="B971">
        <v>1.3043</v>
      </c>
      <c r="C971">
        <v>1.3282</v>
      </c>
      <c r="D971">
        <v>1.2332000000000001</v>
      </c>
      <c r="E971">
        <v>1.3004</v>
      </c>
      <c r="F971">
        <v>2229052.77</v>
      </c>
      <c r="G971">
        <v>0</v>
      </c>
      <c r="L971" t="s">
        <v>8</v>
      </c>
      <c r="M971" t="s">
        <v>7</v>
      </c>
      <c r="N971" t="s">
        <v>8</v>
      </c>
      <c r="P971">
        <f t="shared" si="1019"/>
        <v>0.41473684210526202</v>
      </c>
      <c r="Q971">
        <f t="shared" si="1020"/>
        <v>924470.30671578692</v>
      </c>
      <c r="R971">
        <f t="shared" si="1021"/>
        <v>30754823.011002351</v>
      </c>
      <c r="S971">
        <f t="shared" si="1022"/>
        <v>307.5482301100235</v>
      </c>
      <c r="T971">
        <f t="shared" si="1023"/>
        <v>0.30754823011002352</v>
      </c>
    </row>
    <row r="972" spans="1:20" x14ac:dyDescent="0.25">
      <c r="A972" s="5">
        <v>43621</v>
      </c>
      <c r="B972">
        <v>1.2546999999999999</v>
      </c>
      <c r="C972">
        <v>1.3109</v>
      </c>
      <c r="D972">
        <v>1.2319</v>
      </c>
      <c r="E972">
        <v>1.3030999999999999</v>
      </c>
      <c r="F972">
        <v>3244135.18</v>
      </c>
      <c r="G972">
        <v>0</v>
      </c>
      <c r="L972" t="s">
        <v>8</v>
      </c>
      <c r="M972" t="s">
        <v>7</v>
      </c>
      <c r="N972" t="s">
        <v>8</v>
      </c>
      <c r="P972">
        <f t="shared" si="1019"/>
        <v>0.80253164556961942</v>
      </c>
      <c r="Q972">
        <f t="shared" si="1020"/>
        <v>2603521.1444556937</v>
      </c>
      <c r="R972">
        <f t="shared" si="1021"/>
        <v>29830352.704286564</v>
      </c>
      <c r="S972">
        <f t="shared" si="1022"/>
        <v>298.30352704286565</v>
      </c>
      <c r="T972">
        <f t="shared" si="1023"/>
        <v>0.29830352704286567</v>
      </c>
    </row>
    <row r="973" spans="1:20" x14ac:dyDescent="0.25">
      <c r="A973" s="5">
        <v>43620</v>
      </c>
      <c r="B973">
        <v>1.3458000000000001</v>
      </c>
      <c r="C973">
        <v>1.3592</v>
      </c>
      <c r="D973">
        <v>1.21</v>
      </c>
      <c r="E973">
        <v>1.2546999999999999</v>
      </c>
      <c r="F973">
        <v>4935862.28</v>
      </c>
      <c r="G973">
        <v>0</v>
      </c>
      <c r="L973" t="s">
        <v>7</v>
      </c>
      <c r="M973" t="s">
        <v>7</v>
      </c>
      <c r="N973" t="s">
        <v>8</v>
      </c>
      <c r="P973">
        <f t="shared" si="1019"/>
        <v>-0.40080428954423641</v>
      </c>
      <c r="Q973">
        <f t="shared" si="1020"/>
        <v>-1978314.7744235951</v>
      </c>
      <c r="R973">
        <f t="shared" si="1021"/>
        <v>27226831.55983087</v>
      </c>
      <c r="S973">
        <f t="shared" si="1022"/>
        <v>272.26831559830873</v>
      </c>
      <c r="T973">
        <f t="shared" si="1023"/>
        <v>0.27226831559830872</v>
      </c>
    </row>
    <row r="974" spans="1:20" x14ac:dyDescent="0.25">
      <c r="A974" s="5">
        <v>43619</v>
      </c>
      <c r="B974">
        <v>1.5019</v>
      </c>
      <c r="C974">
        <v>1.5028999999999999</v>
      </c>
      <c r="D974">
        <v>1.3393999999999999</v>
      </c>
      <c r="E974">
        <v>1.3480000000000001</v>
      </c>
      <c r="F974">
        <v>3362158.88</v>
      </c>
      <c r="G974">
        <v>0</v>
      </c>
      <c r="L974" t="s">
        <v>7</v>
      </c>
      <c r="M974" t="s">
        <v>7</v>
      </c>
      <c r="N974" t="s">
        <v>8</v>
      </c>
      <c r="P974">
        <f t="shared" si="1019"/>
        <v>-0.89480122324158817</v>
      </c>
      <c r="Q974">
        <f t="shared" si="1020"/>
        <v>-3008463.8785565682</v>
      </c>
      <c r="R974">
        <f t="shared" si="1021"/>
        <v>29205146.334254466</v>
      </c>
      <c r="S974">
        <f t="shared" si="1022"/>
        <v>292.05146334254465</v>
      </c>
      <c r="T974">
        <f t="shared" si="1023"/>
        <v>0.29205146334254467</v>
      </c>
    </row>
    <row r="975" spans="1:20" x14ac:dyDescent="0.25">
      <c r="A975" s="5">
        <v>43618</v>
      </c>
      <c r="B975">
        <v>1.4638</v>
      </c>
      <c r="C975">
        <v>1.5444</v>
      </c>
      <c r="D975">
        <v>1.4621999999999999</v>
      </c>
      <c r="E975">
        <v>1.5017</v>
      </c>
      <c r="F975">
        <v>2788415.29</v>
      </c>
      <c r="G975">
        <v>0</v>
      </c>
      <c r="L975" t="s">
        <v>8</v>
      </c>
      <c r="M975" t="s">
        <v>7</v>
      </c>
      <c r="N975" t="s">
        <v>8</v>
      </c>
      <c r="P975">
        <f t="shared" si="1019"/>
        <v>-3.8929440389292795E-2</v>
      </c>
      <c r="Q975">
        <f t="shared" si="1020"/>
        <v>-108551.44681264758</v>
      </c>
      <c r="R975">
        <f t="shared" si="1021"/>
        <v>32213610.212811034</v>
      </c>
      <c r="S975">
        <f t="shared" si="1022"/>
        <v>322.13610212811034</v>
      </c>
      <c r="T975">
        <f t="shared" si="1023"/>
        <v>0.32213610212811034</v>
      </c>
    </row>
    <row r="976" spans="1:20" x14ac:dyDescent="0.25">
      <c r="A976" s="5">
        <v>43617</v>
      </c>
      <c r="B976">
        <v>1.5251999999999999</v>
      </c>
      <c r="C976">
        <v>1.5647</v>
      </c>
      <c r="D976">
        <v>1.431</v>
      </c>
      <c r="E976">
        <v>1.4650000000000001</v>
      </c>
      <c r="F976">
        <v>3592579.55</v>
      </c>
      <c r="G976">
        <v>0</v>
      </c>
      <c r="L976" t="s">
        <v>8</v>
      </c>
      <c r="M976" t="s">
        <v>7</v>
      </c>
      <c r="N976" t="s">
        <v>8</v>
      </c>
      <c r="P976">
        <f t="shared" si="1019"/>
        <v>-0.49139865370231789</v>
      </c>
      <c r="Q976">
        <f t="shared" si="1020"/>
        <v>-1765388.7541884789</v>
      </c>
      <c r="R976">
        <f t="shared" si="1021"/>
        <v>32322161.659623682</v>
      </c>
      <c r="S976">
        <f t="shared" si="1022"/>
        <v>323.2216165962368</v>
      </c>
      <c r="T976">
        <f t="shared" si="1023"/>
        <v>0.32322161659623683</v>
      </c>
    </row>
    <row r="977" spans="1:20" x14ac:dyDescent="0.25">
      <c r="A977" s="5">
        <v>43616</v>
      </c>
      <c r="B977">
        <v>1.4419</v>
      </c>
      <c r="C977">
        <v>1.53</v>
      </c>
      <c r="D977">
        <v>1.3925000000000001</v>
      </c>
      <c r="E977">
        <v>1.5268999999999999</v>
      </c>
      <c r="F977">
        <v>3589820.75</v>
      </c>
      <c r="G977">
        <v>0</v>
      </c>
      <c r="L977" t="s">
        <v>7</v>
      </c>
      <c r="M977" t="s">
        <v>7</v>
      </c>
      <c r="N977" t="s">
        <v>8</v>
      </c>
      <c r="P977">
        <f t="shared" si="1019"/>
        <v>0.95490909090908938</v>
      </c>
      <c r="Q977">
        <f t="shared" si="1020"/>
        <v>3427952.4689090853</v>
      </c>
      <c r="R977">
        <f t="shared" si="1021"/>
        <v>34087550.41381216</v>
      </c>
      <c r="S977">
        <f t="shared" si="1022"/>
        <v>340.87550413812158</v>
      </c>
      <c r="T977">
        <f t="shared" si="1023"/>
        <v>0.34087550413812157</v>
      </c>
    </row>
    <row r="978" spans="1:20" x14ac:dyDescent="0.25">
      <c r="A978" s="5">
        <v>43615</v>
      </c>
      <c r="B978">
        <v>1.5281</v>
      </c>
      <c r="C978">
        <v>1.7156</v>
      </c>
      <c r="D978">
        <v>1.38</v>
      </c>
      <c r="E978">
        <v>1.4417</v>
      </c>
      <c r="F978">
        <v>9835250.25</v>
      </c>
      <c r="G978">
        <v>0</v>
      </c>
      <c r="L978" t="s">
        <v>8</v>
      </c>
      <c r="M978" t="s">
        <v>8</v>
      </c>
      <c r="N978" t="s">
        <v>8</v>
      </c>
      <c r="P978">
        <f t="shared" si="1019"/>
        <v>-0.63230035756853353</v>
      </c>
      <c r="Q978">
        <f t="shared" si="1020"/>
        <v>-6218832.2498510089</v>
      </c>
      <c r="R978">
        <f t="shared" si="1021"/>
        <v>30659597.944903076</v>
      </c>
      <c r="S978">
        <f t="shared" si="1022"/>
        <v>306.59597944903078</v>
      </c>
      <c r="T978">
        <f t="shared" si="1023"/>
        <v>0.30659597944903078</v>
      </c>
    </row>
    <row r="979" spans="1:20" x14ac:dyDescent="0.25">
      <c r="A979" s="5">
        <v>43614</v>
      </c>
      <c r="B979">
        <v>1.4763999999999999</v>
      </c>
      <c r="C979">
        <v>1.5960000000000001</v>
      </c>
      <c r="D979">
        <v>1.3755999999999999</v>
      </c>
      <c r="E979">
        <v>1.528</v>
      </c>
      <c r="F979">
        <v>4269718.3499999996</v>
      </c>
      <c r="G979">
        <v>0</v>
      </c>
      <c r="L979" t="s">
        <v>7</v>
      </c>
      <c r="M979" t="s">
        <v>8</v>
      </c>
      <c r="N979" t="s">
        <v>8</v>
      </c>
      <c r="P979">
        <f t="shared" si="1019"/>
        <v>0.38294010889292185</v>
      </c>
      <c r="Q979">
        <f t="shared" si="1020"/>
        <v>1635046.4098911064</v>
      </c>
      <c r="R979">
        <f t="shared" si="1021"/>
        <v>36878430.194754086</v>
      </c>
      <c r="S979">
        <f t="shared" si="1022"/>
        <v>368.78430194754088</v>
      </c>
      <c r="T979">
        <f t="shared" si="1023"/>
        <v>0.36878430194754086</v>
      </c>
    </row>
    <row r="980" spans="1:20" x14ac:dyDescent="0.25">
      <c r="A980" s="5">
        <v>43613</v>
      </c>
      <c r="B980">
        <v>1.4923</v>
      </c>
      <c r="C980">
        <v>1.5351999999999999</v>
      </c>
      <c r="D980">
        <v>1.4229000000000001</v>
      </c>
      <c r="E980">
        <v>1.4762999999999999</v>
      </c>
      <c r="F980">
        <v>2831479.96</v>
      </c>
      <c r="G980">
        <v>0</v>
      </c>
      <c r="L980" t="s">
        <v>7</v>
      </c>
      <c r="M980" t="s">
        <v>8</v>
      </c>
      <c r="N980" t="s">
        <v>8</v>
      </c>
      <c r="P980">
        <f t="shared" si="1019"/>
        <v>-4.8975957257346998E-2</v>
      </c>
      <c r="Q980">
        <f t="shared" si="1020"/>
        <v>-138674.4414959946</v>
      </c>
      <c r="R980">
        <f t="shared" si="1021"/>
        <v>35243383.78486298</v>
      </c>
      <c r="S980">
        <f t="shared" si="1022"/>
        <v>352.43383784862982</v>
      </c>
      <c r="T980">
        <f t="shared" si="1023"/>
        <v>0.35243383784862981</v>
      </c>
    </row>
    <row r="981" spans="1:20" x14ac:dyDescent="0.25">
      <c r="A981" s="5">
        <v>43612</v>
      </c>
      <c r="B981">
        <v>1.4067000000000001</v>
      </c>
      <c r="C981">
        <v>1.54</v>
      </c>
      <c r="D981">
        <v>1.3987000000000001</v>
      </c>
      <c r="E981">
        <v>1.4923</v>
      </c>
      <c r="F981">
        <v>4692238.2</v>
      </c>
      <c r="G981">
        <v>0</v>
      </c>
      <c r="L981" t="s">
        <v>8</v>
      </c>
      <c r="M981" t="s">
        <v>8</v>
      </c>
      <c r="N981" t="s">
        <v>8</v>
      </c>
      <c r="P981">
        <f t="shared" si="1019"/>
        <v>0.32484076433120901</v>
      </c>
      <c r="Q981">
        <f t="shared" si="1020"/>
        <v>1524230.2433120965</v>
      </c>
      <c r="R981">
        <f t="shared" si="1021"/>
        <v>35382058.226358972</v>
      </c>
      <c r="S981">
        <f t="shared" si="1022"/>
        <v>353.8205822635897</v>
      </c>
      <c r="T981">
        <f t="shared" si="1023"/>
        <v>0.3538205822635897</v>
      </c>
    </row>
    <row r="982" spans="1:20" x14ac:dyDescent="0.25">
      <c r="A982" s="5">
        <v>43611</v>
      </c>
      <c r="B982">
        <v>1.3499000000000001</v>
      </c>
      <c r="C982">
        <v>1.4288000000000001</v>
      </c>
      <c r="D982">
        <v>1.3046</v>
      </c>
      <c r="E982">
        <v>1.4067000000000001</v>
      </c>
      <c r="F982">
        <v>2722058.26</v>
      </c>
      <c r="G982">
        <v>0</v>
      </c>
      <c r="L982" t="s">
        <v>8</v>
      </c>
      <c r="M982" t="s">
        <v>7</v>
      </c>
      <c r="N982" t="s">
        <v>8</v>
      </c>
      <c r="P982">
        <f t="shared" si="1019"/>
        <v>0.64412238325281812</v>
      </c>
      <c r="Q982">
        <f t="shared" si="1020"/>
        <v>1753338.6537842192</v>
      </c>
      <c r="R982">
        <f t="shared" si="1021"/>
        <v>33857827.983046874</v>
      </c>
      <c r="S982">
        <f t="shared" si="1022"/>
        <v>338.57827983046872</v>
      </c>
      <c r="T982">
        <f t="shared" si="1023"/>
        <v>0.33857827983046873</v>
      </c>
    </row>
    <row r="983" spans="1:20" x14ac:dyDescent="0.25">
      <c r="A983" s="5">
        <v>43610</v>
      </c>
      <c r="B983">
        <v>1.3351</v>
      </c>
      <c r="C983">
        <v>1.3746</v>
      </c>
      <c r="D983">
        <v>1.321</v>
      </c>
      <c r="E983">
        <v>1.3494999999999999</v>
      </c>
      <c r="F983">
        <v>1532222.87</v>
      </c>
      <c r="G983">
        <v>0</v>
      </c>
      <c r="L983" t="s">
        <v>8</v>
      </c>
      <c r="M983" t="s">
        <v>7</v>
      </c>
      <c r="N983" t="s">
        <v>8</v>
      </c>
      <c r="P983">
        <f t="shared" si="1019"/>
        <v>6.3432835820892569E-2</v>
      </c>
      <c r="Q983">
        <f t="shared" si="1020"/>
        <v>97193.241753726819</v>
      </c>
      <c r="R983">
        <f t="shared" si="1021"/>
        <v>32104489.329262652</v>
      </c>
      <c r="S983">
        <f t="shared" si="1022"/>
        <v>321.04489329262651</v>
      </c>
      <c r="T983">
        <f t="shared" si="1023"/>
        <v>0.32104489329262653</v>
      </c>
    </row>
    <row r="984" spans="1:20" x14ac:dyDescent="0.25">
      <c r="A984" s="5">
        <v>43609</v>
      </c>
      <c r="B984">
        <v>1.3122</v>
      </c>
      <c r="C984">
        <v>1.3918999999999999</v>
      </c>
      <c r="D984">
        <v>1.2929999999999999</v>
      </c>
      <c r="E984">
        <v>1.3368</v>
      </c>
      <c r="F984">
        <v>2541956.11</v>
      </c>
      <c r="G984">
        <v>0</v>
      </c>
      <c r="L984" t="s">
        <v>8</v>
      </c>
      <c r="M984" t="s">
        <v>7</v>
      </c>
      <c r="N984" t="s">
        <v>8</v>
      </c>
      <c r="P984">
        <f t="shared" si="1019"/>
        <v>-0.11425682507583283</v>
      </c>
      <c r="Q984">
        <f t="shared" si="1020"/>
        <v>-290435.83461071446</v>
      </c>
      <c r="R984">
        <f t="shared" si="1021"/>
        <v>32007296.087508924</v>
      </c>
      <c r="S984">
        <f t="shared" si="1022"/>
        <v>320.07296087508922</v>
      </c>
      <c r="T984">
        <f t="shared" si="1023"/>
        <v>0.32007296087508924</v>
      </c>
    </row>
    <row r="985" spans="1:20" x14ac:dyDescent="0.25">
      <c r="A985" s="5">
        <v>43608</v>
      </c>
      <c r="B985">
        <v>1.3169999999999999</v>
      </c>
      <c r="C985">
        <v>1.325</v>
      </c>
      <c r="D985">
        <v>1.2456</v>
      </c>
      <c r="E985">
        <v>1.3122</v>
      </c>
      <c r="F985">
        <v>2307319.6</v>
      </c>
      <c r="G985">
        <v>0</v>
      </c>
      <c r="L985" t="s">
        <v>7</v>
      </c>
      <c r="M985" t="s">
        <v>7</v>
      </c>
      <c r="N985" t="s">
        <v>8</v>
      </c>
      <c r="P985">
        <f t="shared" si="1019"/>
        <v>0.67758186397985043</v>
      </c>
      <c r="Q985">
        <f t="shared" si="1020"/>
        <v>1563397.9153652429</v>
      </c>
      <c r="R985">
        <f t="shared" si="1021"/>
        <v>32297731.92211964</v>
      </c>
      <c r="S985">
        <f t="shared" si="1022"/>
        <v>322.97731922119641</v>
      </c>
      <c r="T985">
        <f t="shared" si="1023"/>
        <v>0.32297731922119643</v>
      </c>
    </row>
    <row r="986" spans="1:20" x14ac:dyDescent="0.25">
      <c r="A986" s="5">
        <v>43607</v>
      </c>
      <c r="B986">
        <v>1.3822000000000001</v>
      </c>
      <c r="C986">
        <v>1.41</v>
      </c>
      <c r="D986">
        <v>1.2849999999999999</v>
      </c>
      <c r="E986">
        <v>1.3169999999999999</v>
      </c>
      <c r="F986">
        <v>3624092</v>
      </c>
      <c r="G986">
        <v>0</v>
      </c>
      <c r="L986" t="s">
        <v>7</v>
      </c>
      <c r="M986" t="s">
        <v>7</v>
      </c>
      <c r="N986" t="s">
        <v>8</v>
      </c>
      <c r="P986">
        <f t="shared" si="1019"/>
        <v>-0.48799999999999955</v>
      </c>
      <c r="Q986">
        <f t="shared" si="1020"/>
        <v>-1768556.8959999983</v>
      </c>
      <c r="R986">
        <f t="shared" si="1021"/>
        <v>30734334.006754398</v>
      </c>
      <c r="S986">
        <f t="shared" si="1022"/>
        <v>307.34334006754398</v>
      </c>
      <c r="T986">
        <f t="shared" si="1023"/>
        <v>0.30734334006754399</v>
      </c>
    </row>
    <row r="987" spans="1:20" x14ac:dyDescent="0.25">
      <c r="A987" s="5">
        <v>43606</v>
      </c>
      <c r="B987">
        <v>1.3661000000000001</v>
      </c>
      <c r="C987">
        <v>1.4119999999999999</v>
      </c>
      <c r="D987">
        <v>1.3334999999999999</v>
      </c>
      <c r="E987">
        <v>1.3817999999999999</v>
      </c>
      <c r="F987">
        <v>3342281.07</v>
      </c>
      <c r="G987">
        <v>0</v>
      </c>
      <c r="L987" t="s">
        <v>8</v>
      </c>
      <c r="M987" t="s">
        <v>7</v>
      </c>
      <c r="N987" t="s">
        <v>8</v>
      </c>
      <c r="P987">
        <f t="shared" si="1019"/>
        <v>0.23057324840764334</v>
      </c>
      <c r="Q987">
        <f t="shared" si="1020"/>
        <v>770640.60340127395</v>
      </c>
      <c r="R987">
        <f t="shared" si="1021"/>
        <v>32502890.902754396</v>
      </c>
      <c r="S987">
        <f t="shared" si="1022"/>
        <v>325.02890902754399</v>
      </c>
      <c r="T987">
        <f t="shared" si="1023"/>
        <v>0.325028909027544</v>
      </c>
    </row>
    <row r="988" spans="1:20" x14ac:dyDescent="0.25">
      <c r="A988" s="5">
        <v>43605</v>
      </c>
      <c r="B988">
        <v>1.4161999999999999</v>
      </c>
      <c r="C988">
        <v>1.4161999999999999</v>
      </c>
      <c r="D988">
        <v>1.3</v>
      </c>
      <c r="E988">
        <v>1.3682000000000001</v>
      </c>
      <c r="F988">
        <v>4035104.14</v>
      </c>
      <c r="G988">
        <v>0</v>
      </c>
      <c r="L988" t="s">
        <v>7</v>
      </c>
      <c r="M988" t="s">
        <v>7</v>
      </c>
      <c r="N988" t="s">
        <v>8</v>
      </c>
      <c r="P988">
        <f t="shared" si="1019"/>
        <v>0.17383820998279037</v>
      </c>
      <c r="Q988">
        <f t="shared" si="1020"/>
        <v>701455.2807917468</v>
      </c>
      <c r="R988">
        <f t="shared" si="1021"/>
        <v>31732250.299353123</v>
      </c>
      <c r="S988">
        <f t="shared" si="1022"/>
        <v>317.3225029935312</v>
      </c>
      <c r="T988">
        <f t="shared" si="1023"/>
        <v>0.31732250299353121</v>
      </c>
    </row>
    <row r="989" spans="1:20" x14ac:dyDescent="0.25">
      <c r="A989" s="5">
        <v>43604</v>
      </c>
      <c r="B989">
        <v>1.3080000000000001</v>
      </c>
      <c r="C989">
        <v>1.4448000000000001</v>
      </c>
      <c r="D989">
        <v>1.3048</v>
      </c>
      <c r="E989">
        <v>1.4185000000000001</v>
      </c>
      <c r="F989">
        <v>4406730.6399999997</v>
      </c>
      <c r="G989">
        <v>0</v>
      </c>
      <c r="L989" t="s">
        <v>8</v>
      </c>
      <c r="M989" t="s">
        <v>7</v>
      </c>
      <c r="N989" t="s">
        <v>8</v>
      </c>
      <c r="P989">
        <f t="shared" si="1019"/>
        <v>0.62428571428571478</v>
      </c>
      <c r="Q989">
        <f t="shared" si="1020"/>
        <v>2751058.985257145</v>
      </c>
      <c r="R989">
        <f t="shared" si="1021"/>
        <v>31030795.018561374</v>
      </c>
      <c r="S989">
        <f t="shared" si="1022"/>
        <v>310.30795018561372</v>
      </c>
      <c r="T989">
        <f t="shared" si="1023"/>
        <v>0.31030795018561375</v>
      </c>
    </row>
    <row r="990" spans="1:20" x14ac:dyDescent="0.25">
      <c r="A990" s="5">
        <v>43603</v>
      </c>
      <c r="B990">
        <v>1.3773</v>
      </c>
      <c r="C990">
        <v>1.3952</v>
      </c>
      <c r="D990">
        <v>1.2916000000000001</v>
      </c>
      <c r="E990">
        <v>1.3080000000000001</v>
      </c>
      <c r="F990">
        <v>3596396.78</v>
      </c>
      <c r="G990">
        <v>0</v>
      </c>
      <c r="L990" t="s">
        <v>8</v>
      </c>
      <c r="M990" t="s">
        <v>7</v>
      </c>
      <c r="N990" t="s">
        <v>8</v>
      </c>
      <c r="P990">
        <f t="shared" si="1019"/>
        <v>-0.6833976833976837</v>
      </c>
      <c r="Q990">
        <f t="shared" si="1020"/>
        <v>-2457769.2280308888</v>
      </c>
      <c r="R990">
        <f t="shared" si="1021"/>
        <v>28279736.033304229</v>
      </c>
      <c r="S990">
        <f t="shared" si="1022"/>
        <v>282.79736033304232</v>
      </c>
      <c r="T990">
        <f t="shared" si="1023"/>
        <v>0.28279736033304231</v>
      </c>
    </row>
    <row r="991" spans="1:20" x14ac:dyDescent="0.25">
      <c r="A991" s="5">
        <v>43602</v>
      </c>
      <c r="B991">
        <v>1.4406000000000001</v>
      </c>
      <c r="C991">
        <v>1.4664999999999999</v>
      </c>
      <c r="D991">
        <v>1.25</v>
      </c>
      <c r="E991">
        <v>1.3766</v>
      </c>
      <c r="F991">
        <v>8041680.7400000002</v>
      </c>
      <c r="G991">
        <v>0</v>
      </c>
      <c r="L991" t="s">
        <v>7</v>
      </c>
      <c r="M991" t="s">
        <v>7</v>
      </c>
      <c r="N991" t="s">
        <v>8</v>
      </c>
      <c r="P991">
        <f t="shared" si="1019"/>
        <v>0.169515011547345</v>
      </c>
      <c r="Q991">
        <f t="shared" si="1020"/>
        <v>1363185.6035011618</v>
      </c>
      <c r="R991">
        <f t="shared" si="1021"/>
        <v>30737505.26133512</v>
      </c>
      <c r="S991">
        <f t="shared" si="1022"/>
        <v>307.37505261335122</v>
      </c>
      <c r="T991">
        <f t="shared" si="1023"/>
        <v>0.30737505261335124</v>
      </c>
    </row>
    <row r="992" spans="1:20" x14ac:dyDescent="0.25">
      <c r="A992" s="5">
        <v>43601</v>
      </c>
      <c r="B992">
        <v>1.5895999999999999</v>
      </c>
      <c r="C992">
        <v>1.6714</v>
      </c>
      <c r="D992">
        <v>1.377</v>
      </c>
      <c r="E992">
        <v>1.4393</v>
      </c>
      <c r="F992">
        <v>10199240.77</v>
      </c>
      <c r="G992">
        <v>0</v>
      </c>
      <c r="L992" t="s">
        <v>8</v>
      </c>
      <c r="M992" t="s">
        <v>8</v>
      </c>
      <c r="N992" t="s">
        <v>8</v>
      </c>
      <c r="P992">
        <f t="shared" si="1019"/>
        <v>-0.57676630434782594</v>
      </c>
      <c r="Q992">
        <f t="shared" si="1020"/>
        <v>-5882578.4060665742</v>
      </c>
      <c r="R992">
        <f t="shared" si="1021"/>
        <v>29374319.657833956</v>
      </c>
      <c r="S992">
        <f t="shared" si="1022"/>
        <v>293.74319657833956</v>
      </c>
      <c r="T992">
        <f t="shared" si="1023"/>
        <v>0.29374319657833958</v>
      </c>
    </row>
    <row r="993" spans="1:20" x14ac:dyDescent="0.25">
      <c r="A993" s="5">
        <v>43600</v>
      </c>
      <c r="B993">
        <v>1.4621999999999999</v>
      </c>
      <c r="C993">
        <v>1.6008</v>
      </c>
      <c r="D993">
        <v>1.4473</v>
      </c>
      <c r="E993">
        <v>1.5920000000000001</v>
      </c>
      <c r="F993">
        <v>4047281.1</v>
      </c>
      <c r="G993">
        <v>0</v>
      </c>
      <c r="L993" t="s">
        <v>8</v>
      </c>
      <c r="M993" t="s">
        <v>8</v>
      </c>
      <c r="N993" t="s">
        <v>8</v>
      </c>
      <c r="P993">
        <f t="shared" si="1019"/>
        <v>0.88534201954397496</v>
      </c>
      <c r="Q993">
        <f t="shared" si="1020"/>
        <v>3583228.0227361606</v>
      </c>
      <c r="R993">
        <f t="shared" si="1021"/>
        <v>35256898.06390053</v>
      </c>
      <c r="S993">
        <f t="shared" si="1022"/>
        <v>352.5689806390053</v>
      </c>
      <c r="T993">
        <f t="shared" si="1023"/>
        <v>0.35256898063900532</v>
      </c>
    </row>
    <row r="994" spans="1:20" x14ac:dyDescent="0.25">
      <c r="A994" s="5">
        <v>43599</v>
      </c>
      <c r="B994">
        <v>1.2703</v>
      </c>
      <c r="C994">
        <v>1.5081</v>
      </c>
      <c r="D994">
        <v>1.2563</v>
      </c>
      <c r="E994">
        <v>1.4619</v>
      </c>
      <c r="F994">
        <v>6978607.25</v>
      </c>
      <c r="G994">
        <v>0</v>
      </c>
      <c r="L994" t="s">
        <v>8</v>
      </c>
      <c r="M994" t="s">
        <v>8</v>
      </c>
      <c r="N994" t="s">
        <v>8</v>
      </c>
      <c r="P994">
        <f t="shared" si="1019"/>
        <v>0.63304209690230329</v>
      </c>
      <c r="Q994">
        <f t="shared" si="1020"/>
        <v>4417752.1669976162</v>
      </c>
      <c r="R994">
        <f t="shared" si="1021"/>
        <v>31673670.041164372</v>
      </c>
      <c r="S994">
        <f t="shared" si="1022"/>
        <v>316.73670041164371</v>
      </c>
      <c r="T994">
        <f t="shared" si="1023"/>
        <v>0.3167367004116437</v>
      </c>
    </row>
    <row r="995" spans="1:20" x14ac:dyDescent="0.25">
      <c r="A995" s="5">
        <v>43598</v>
      </c>
      <c r="B995">
        <v>1.1559999999999999</v>
      </c>
      <c r="C995">
        <v>1.3098000000000001</v>
      </c>
      <c r="D995">
        <v>1.1465000000000001</v>
      </c>
      <c r="E995">
        <v>1.2721</v>
      </c>
      <c r="F995">
        <v>5082877.72</v>
      </c>
      <c r="G995">
        <v>0</v>
      </c>
      <c r="L995" t="s">
        <v>8</v>
      </c>
      <c r="M995" t="s">
        <v>8</v>
      </c>
      <c r="N995" t="s">
        <v>7</v>
      </c>
      <c r="P995">
        <f t="shared" si="1019"/>
        <v>0.53827311696264457</v>
      </c>
      <c r="Q995">
        <f t="shared" si="1020"/>
        <v>2735976.4334843801</v>
      </c>
      <c r="R995">
        <f t="shared" si="1021"/>
        <v>27255917.874166757</v>
      </c>
      <c r="S995">
        <f t="shared" si="1022"/>
        <v>272.55917874166755</v>
      </c>
      <c r="T995">
        <f t="shared" si="1023"/>
        <v>0.27255917874166757</v>
      </c>
    </row>
    <row r="996" spans="1:20" x14ac:dyDescent="0.25">
      <c r="A996" s="5">
        <v>43597</v>
      </c>
      <c r="B996">
        <v>1.1772</v>
      </c>
      <c r="C996">
        <v>1.2444</v>
      </c>
      <c r="D996">
        <v>1.1200000000000001</v>
      </c>
      <c r="E996">
        <v>1.1559999999999999</v>
      </c>
      <c r="F996">
        <v>5299256.8899999997</v>
      </c>
      <c r="G996">
        <v>0</v>
      </c>
      <c r="L996" t="s">
        <v>7</v>
      </c>
      <c r="M996" t="s">
        <v>8</v>
      </c>
      <c r="N996" t="s">
        <v>7</v>
      </c>
      <c r="P996">
        <f t="shared" si="1019"/>
        <v>-0.42122186495177083</v>
      </c>
      <c r="Q996">
        <f t="shared" si="1020"/>
        <v>-2232162.870064321</v>
      </c>
      <c r="R996">
        <f t="shared" si="1021"/>
        <v>24519941.440682378</v>
      </c>
      <c r="S996">
        <f t="shared" si="1022"/>
        <v>245.19941440682376</v>
      </c>
      <c r="T996">
        <f t="shared" si="1023"/>
        <v>0.24519941440682377</v>
      </c>
    </row>
    <row r="997" spans="1:20" x14ac:dyDescent="0.25">
      <c r="A997" s="5">
        <v>43596</v>
      </c>
      <c r="B997">
        <v>1.0610999999999999</v>
      </c>
      <c r="C997">
        <v>1.2616000000000001</v>
      </c>
      <c r="D997">
        <v>1.056</v>
      </c>
      <c r="E997">
        <v>1.179</v>
      </c>
      <c r="F997">
        <v>8455462.8000000007</v>
      </c>
      <c r="G997">
        <v>0</v>
      </c>
      <c r="L997" t="s">
        <v>8</v>
      </c>
      <c r="M997" t="s">
        <v>8</v>
      </c>
      <c r="N997" t="s">
        <v>7</v>
      </c>
      <c r="P997">
        <f t="shared" si="1019"/>
        <v>0.19649805447470811</v>
      </c>
      <c r="Q997">
        <f t="shared" si="1020"/>
        <v>1661481.989883268</v>
      </c>
      <c r="R997">
        <f t="shared" si="1021"/>
        <v>26752104.3107467</v>
      </c>
      <c r="S997">
        <f t="shared" si="1022"/>
        <v>267.52104310746699</v>
      </c>
      <c r="T997">
        <f t="shared" si="1023"/>
        <v>0.26752104310746699</v>
      </c>
    </row>
    <row r="998" spans="1:20" x14ac:dyDescent="0.25">
      <c r="A998" s="5">
        <v>43595</v>
      </c>
      <c r="B998">
        <v>1.0145</v>
      </c>
      <c r="C998">
        <v>1.0833999999999999</v>
      </c>
      <c r="D998">
        <v>0.98960000000000004</v>
      </c>
      <c r="E998">
        <v>1.0617000000000001</v>
      </c>
      <c r="F998">
        <v>4056757.26</v>
      </c>
      <c r="G998">
        <v>0</v>
      </c>
      <c r="L998" t="s">
        <v>7</v>
      </c>
      <c r="M998" t="s">
        <v>7</v>
      </c>
      <c r="N998" t="s">
        <v>7</v>
      </c>
      <c r="P998">
        <f t="shared" si="1019"/>
        <v>0.53731343283582389</v>
      </c>
      <c r="Q998">
        <f t="shared" si="1020"/>
        <v>2179750.1695522508</v>
      </c>
      <c r="R998">
        <f t="shared" si="1021"/>
        <v>25090622.320863433</v>
      </c>
      <c r="S998">
        <f t="shared" si="1022"/>
        <v>250.90622320863434</v>
      </c>
      <c r="T998">
        <f t="shared" si="1023"/>
        <v>0.25090622320863437</v>
      </c>
    </row>
    <row r="999" spans="1:20" x14ac:dyDescent="0.25">
      <c r="A999" s="5">
        <v>43594</v>
      </c>
      <c r="B999">
        <v>1.048</v>
      </c>
      <c r="C999">
        <v>1.0694999999999999</v>
      </c>
      <c r="D999">
        <v>1.0089999999999999</v>
      </c>
      <c r="E999">
        <v>1.0145</v>
      </c>
      <c r="F999">
        <v>2089924.5</v>
      </c>
      <c r="G999">
        <v>0</v>
      </c>
      <c r="L999" t="s">
        <v>7</v>
      </c>
      <c r="M999" t="s">
        <v>8</v>
      </c>
      <c r="N999" t="s">
        <v>7</v>
      </c>
      <c r="P999">
        <f t="shared" si="1019"/>
        <v>-0.81818181818181623</v>
      </c>
      <c r="Q999">
        <f t="shared" si="1020"/>
        <v>-1709938.2272727231</v>
      </c>
      <c r="R999">
        <f t="shared" si="1021"/>
        <v>22910872.151311181</v>
      </c>
      <c r="S999">
        <f t="shared" si="1022"/>
        <v>229.10872151311182</v>
      </c>
      <c r="T999">
        <f t="shared" si="1023"/>
        <v>0.22910872151311182</v>
      </c>
    </row>
    <row r="1000" spans="1:20" x14ac:dyDescent="0.25">
      <c r="A1000" s="5">
        <v>43593</v>
      </c>
      <c r="B1000">
        <v>1.0392999999999999</v>
      </c>
      <c r="C1000">
        <v>1.0749</v>
      </c>
      <c r="D1000">
        <v>1.0245</v>
      </c>
      <c r="E1000">
        <v>1.0474000000000001</v>
      </c>
      <c r="F1000">
        <v>1498766.42</v>
      </c>
      <c r="G1000">
        <v>0</v>
      </c>
      <c r="L1000" t="s">
        <v>7</v>
      </c>
      <c r="M1000" t="s">
        <v>8</v>
      </c>
      <c r="N1000" t="s">
        <v>7</v>
      </c>
      <c r="P1000">
        <f t="shared" si="1019"/>
        <v>-9.1269841269835617E-2</v>
      </c>
      <c r="Q1000">
        <f t="shared" si="1020"/>
        <v>-136792.17325395977</v>
      </c>
      <c r="R1000">
        <f t="shared" si="1021"/>
        <v>24620810.378583904</v>
      </c>
      <c r="S1000">
        <f t="shared" si="1022"/>
        <v>246.20810378583906</v>
      </c>
      <c r="T1000">
        <f t="shared" si="1023"/>
        <v>0.24620810378583904</v>
      </c>
    </row>
    <row r="1001" spans="1:20" x14ac:dyDescent="0.25">
      <c r="A1001" s="5">
        <v>43592</v>
      </c>
      <c r="B1001">
        <v>1.07</v>
      </c>
      <c r="C1001">
        <v>1.1138999999999999</v>
      </c>
      <c r="D1001">
        <v>1.0375000000000001</v>
      </c>
      <c r="E1001">
        <v>1.0410999999999999</v>
      </c>
      <c r="F1001">
        <v>2867660.98</v>
      </c>
      <c r="G1001">
        <v>0</v>
      </c>
      <c r="L1001" t="s">
        <v>8</v>
      </c>
      <c r="M1001" t="s">
        <v>8</v>
      </c>
      <c r="N1001" t="s">
        <v>7</v>
      </c>
      <c r="P1001">
        <f t="shared" si="1019"/>
        <v>-0.90575916230366926</v>
      </c>
      <c r="Q1001">
        <f t="shared" si="1020"/>
        <v>-2597410.2070157193</v>
      </c>
      <c r="R1001">
        <f t="shared" si="1021"/>
        <v>24757602.551837865</v>
      </c>
      <c r="S1001">
        <f t="shared" si="1022"/>
        <v>247.57602551837866</v>
      </c>
      <c r="T1001">
        <f t="shared" si="1023"/>
        <v>0.24757602551837865</v>
      </c>
    </row>
    <row r="1002" spans="1:20" x14ac:dyDescent="0.25">
      <c r="A1002" s="5">
        <v>43591</v>
      </c>
      <c r="B1002">
        <v>1.0829</v>
      </c>
      <c r="C1002">
        <v>1.0887</v>
      </c>
      <c r="D1002">
        <v>1.0174000000000001</v>
      </c>
      <c r="E1002">
        <v>1.0696000000000001</v>
      </c>
      <c r="F1002">
        <v>2389333.8199999998</v>
      </c>
      <c r="G1002">
        <v>0</v>
      </c>
      <c r="L1002" t="s">
        <v>7</v>
      </c>
      <c r="M1002" t="s">
        <v>8</v>
      </c>
      <c r="N1002" t="s">
        <v>7</v>
      </c>
      <c r="P1002">
        <f t="shared" si="1019"/>
        <v>0.46423562412342451</v>
      </c>
      <c r="Q1002">
        <f t="shared" si="1020"/>
        <v>1109213.8771669059</v>
      </c>
      <c r="R1002">
        <f t="shared" si="1021"/>
        <v>27355012.758853585</v>
      </c>
      <c r="S1002">
        <f t="shared" si="1022"/>
        <v>273.55012758853587</v>
      </c>
      <c r="T1002">
        <f t="shared" si="1023"/>
        <v>0.27355012758853586</v>
      </c>
    </row>
    <row r="1003" spans="1:20" x14ac:dyDescent="0.25">
      <c r="A1003" s="5">
        <v>43590</v>
      </c>
      <c r="B1003">
        <v>1.0919000000000001</v>
      </c>
      <c r="C1003">
        <v>1.1100000000000001</v>
      </c>
      <c r="D1003">
        <v>1.0620000000000001</v>
      </c>
      <c r="E1003">
        <v>1.0820000000000001</v>
      </c>
      <c r="F1003">
        <v>1633583.21</v>
      </c>
      <c r="G1003">
        <v>0</v>
      </c>
      <c r="L1003" t="s">
        <v>7</v>
      </c>
      <c r="M1003" t="s">
        <v>8</v>
      </c>
      <c r="N1003" t="s">
        <v>7</v>
      </c>
      <c r="P1003">
        <f t="shared" si="1019"/>
        <v>-0.16666666666666666</v>
      </c>
      <c r="Q1003">
        <f t="shared" si="1020"/>
        <v>-272263.86833333329</v>
      </c>
      <c r="R1003">
        <f t="shared" si="1021"/>
        <v>26245798.88168668</v>
      </c>
      <c r="S1003">
        <f t="shared" si="1022"/>
        <v>262.45798881686682</v>
      </c>
      <c r="T1003">
        <f t="shared" si="1023"/>
        <v>0.26245798881686683</v>
      </c>
    </row>
    <row r="1004" spans="1:20" x14ac:dyDescent="0.25">
      <c r="A1004" s="5">
        <v>43589</v>
      </c>
      <c r="B1004">
        <v>1.1407</v>
      </c>
      <c r="C1004">
        <v>1.1992</v>
      </c>
      <c r="D1004">
        <v>1.0378000000000001</v>
      </c>
      <c r="E1004">
        <v>1.0911</v>
      </c>
      <c r="F1004">
        <v>4484881.91</v>
      </c>
      <c r="G1004">
        <v>0</v>
      </c>
      <c r="L1004" t="s">
        <v>8</v>
      </c>
      <c r="M1004" t="s">
        <v>8</v>
      </c>
      <c r="N1004" t="s">
        <v>7</v>
      </c>
      <c r="P1004">
        <f t="shared" si="1019"/>
        <v>-0.33952912019826631</v>
      </c>
      <c r="Q1004">
        <f t="shared" si="1020"/>
        <v>-1522748.0090954201</v>
      </c>
      <c r="R1004">
        <f t="shared" si="1021"/>
        <v>26518062.750020012</v>
      </c>
      <c r="S1004">
        <f t="shared" si="1022"/>
        <v>265.1806275002001</v>
      </c>
      <c r="T1004">
        <f t="shared" si="1023"/>
        <v>0.26518062750020011</v>
      </c>
    </row>
    <row r="1005" spans="1:20" x14ac:dyDescent="0.25">
      <c r="A1005" s="5">
        <v>43588</v>
      </c>
      <c r="B1005">
        <v>1.1079000000000001</v>
      </c>
      <c r="C1005">
        <v>1.1688000000000001</v>
      </c>
      <c r="D1005">
        <v>1.0992999999999999</v>
      </c>
      <c r="E1005">
        <v>1.1422000000000001</v>
      </c>
      <c r="F1005">
        <v>3108550.75</v>
      </c>
      <c r="G1005">
        <v>0</v>
      </c>
      <c r="L1005" t="s">
        <v>8</v>
      </c>
      <c r="M1005" t="s">
        <v>8</v>
      </c>
      <c r="N1005" t="s">
        <v>7</v>
      </c>
      <c r="P1005">
        <f t="shared" si="1019"/>
        <v>0.23453237410072195</v>
      </c>
      <c r="Q1005">
        <f t="shared" si="1020"/>
        <v>729055.78741007973</v>
      </c>
      <c r="R1005">
        <f t="shared" si="1021"/>
        <v>28040810.759115431</v>
      </c>
      <c r="S1005">
        <f t="shared" si="1022"/>
        <v>280.40810759115431</v>
      </c>
      <c r="T1005">
        <f t="shared" si="1023"/>
        <v>0.28040810759115431</v>
      </c>
    </row>
    <row r="1006" spans="1:20" x14ac:dyDescent="0.25">
      <c r="A1006" s="5">
        <v>43587</v>
      </c>
      <c r="B1006">
        <v>1.1176999999999999</v>
      </c>
      <c r="C1006">
        <v>1.1284000000000001</v>
      </c>
      <c r="D1006">
        <v>1.0935999999999999</v>
      </c>
      <c r="E1006">
        <v>1.1101000000000001</v>
      </c>
      <c r="F1006">
        <v>2107273.91</v>
      </c>
      <c r="G1006">
        <v>0</v>
      </c>
      <c r="L1006" t="s">
        <v>8</v>
      </c>
      <c r="M1006" t="s">
        <v>8</v>
      </c>
      <c r="N1006" t="s">
        <v>7</v>
      </c>
      <c r="P1006">
        <f t="shared" si="1019"/>
        <v>-5.1724137931028542E-2</v>
      </c>
      <c r="Q1006">
        <f t="shared" si="1020"/>
        <v>-108996.92637929783</v>
      </c>
      <c r="R1006">
        <f t="shared" si="1021"/>
        <v>27311754.971705351</v>
      </c>
      <c r="S1006">
        <f t="shared" si="1022"/>
        <v>273.11754971705352</v>
      </c>
      <c r="T1006">
        <f t="shared" si="1023"/>
        <v>0.27311754971705354</v>
      </c>
    </row>
    <row r="1007" spans="1:20" x14ac:dyDescent="0.25">
      <c r="A1007" s="5">
        <v>43586</v>
      </c>
      <c r="B1007">
        <v>1.1094999999999999</v>
      </c>
      <c r="C1007">
        <v>1.1279999999999999</v>
      </c>
      <c r="D1007">
        <v>1.0828</v>
      </c>
      <c r="E1007">
        <v>1.1176999999999999</v>
      </c>
      <c r="F1007">
        <v>1968073.79</v>
      </c>
      <c r="G1007">
        <v>0</v>
      </c>
      <c r="L1007" t="s">
        <v>8</v>
      </c>
      <c r="M1007" t="s">
        <v>8</v>
      </c>
      <c r="N1007" t="s">
        <v>7</v>
      </c>
      <c r="P1007">
        <f t="shared" si="1019"/>
        <v>0.54424778761061965</v>
      </c>
      <c r="Q1007">
        <f t="shared" si="1020"/>
        <v>1071119.8060619473</v>
      </c>
      <c r="R1007">
        <f t="shared" si="1021"/>
        <v>27420751.898084648</v>
      </c>
      <c r="S1007">
        <f t="shared" si="1022"/>
        <v>274.20751898084649</v>
      </c>
      <c r="T1007">
        <f t="shared" si="1023"/>
        <v>0.2742075189808465</v>
      </c>
    </row>
    <row r="1008" spans="1:20" x14ac:dyDescent="0.25">
      <c r="A1008" s="5">
        <v>43585</v>
      </c>
      <c r="B1008">
        <v>1.0499000000000001</v>
      </c>
      <c r="C1008">
        <v>1.123</v>
      </c>
      <c r="D1008">
        <v>1.0286</v>
      </c>
      <c r="E1008">
        <v>1.1080000000000001</v>
      </c>
      <c r="F1008">
        <v>3697765.36</v>
      </c>
      <c r="G1008">
        <v>0</v>
      </c>
      <c r="L1008" t="s">
        <v>8</v>
      </c>
      <c r="M1008" t="s">
        <v>8</v>
      </c>
      <c r="N1008" t="s">
        <v>7</v>
      </c>
      <c r="P1008">
        <f t="shared" si="1019"/>
        <v>0.68220338983051065</v>
      </c>
      <c r="Q1008">
        <f t="shared" si="1020"/>
        <v>2522628.0633898387</v>
      </c>
      <c r="R1008">
        <f t="shared" si="1021"/>
        <v>26349632.092022702</v>
      </c>
      <c r="S1008">
        <f t="shared" si="1022"/>
        <v>263.49632092022705</v>
      </c>
      <c r="T1008">
        <f t="shared" si="1023"/>
        <v>0.26349632092022707</v>
      </c>
    </row>
    <row r="1009" spans="1:20" x14ac:dyDescent="0.25">
      <c r="A1009" s="5">
        <v>43584</v>
      </c>
      <c r="B1009">
        <v>1.1173999999999999</v>
      </c>
      <c r="C1009">
        <v>1.1325000000000001</v>
      </c>
      <c r="D1009">
        <v>1.0078</v>
      </c>
      <c r="E1009">
        <v>1.048</v>
      </c>
      <c r="F1009">
        <v>3821548.99</v>
      </c>
      <c r="G1009">
        <v>0</v>
      </c>
      <c r="L1009" t="s">
        <v>7</v>
      </c>
      <c r="M1009" t="s">
        <v>8</v>
      </c>
      <c r="N1009" t="s">
        <v>7</v>
      </c>
      <c r="P1009">
        <f t="shared" si="1019"/>
        <v>-0.35525260625501198</v>
      </c>
      <c r="Q1009">
        <f t="shared" si="1020"/>
        <v>-1357615.2386287088</v>
      </c>
      <c r="R1009">
        <f t="shared" si="1021"/>
        <v>23827004.028632864</v>
      </c>
      <c r="S1009">
        <f t="shared" si="1022"/>
        <v>238.27004028632865</v>
      </c>
      <c r="T1009">
        <f t="shared" si="1023"/>
        <v>0.23827004028632864</v>
      </c>
    </row>
    <row r="1010" spans="1:20" x14ac:dyDescent="0.25">
      <c r="A1010" s="5">
        <v>43583</v>
      </c>
      <c r="B1010">
        <v>1.1483000000000001</v>
      </c>
      <c r="C1010">
        <v>1.1870000000000001</v>
      </c>
      <c r="D1010">
        <v>1.0982000000000001</v>
      </c>
      <c r="E1010">
        <v>1.1173999999999999</v>
      </c>
      <c r="F1010">
        <v>2571610.41</v>
      </c>
      <c r="G1010">
        <v>0</v>
      </c>
      <c r="L1010" t="s">
        <v>7</v>
      </c>
      <c r="M1010" t="s">
        <v>8</v>
      </c>
      <c r="N1010" t="s">
        <v>7</v>
      </c>
      <c r="P1010">
        <f t="shared" si="1019"/>
        <v>-0.5675675675675701</v>
      </c>
      <c r="Q1010">
        <f t="shared" si="1020"/>
        <v>-1459562.6651351417</v>
      </c>
      <c r="R1010">
        <f t="shared" si="1021"/>
        <v>25184619.267261572</v>
      </c>
      <c r="S1010">
        <f t="shared" si="1022"/>
        <v>251.84619267261573</v>
      </c>
      <c r="T1010">
        <f t="shared" si="1023"/>
        <v>0.25184619267261571</v>
      </c>
    </row>
    <row r="1011" spans="1:20" x14ac:dyDescent="0.25">
      <c r="A1011" s="5">
        <v>43582</v>
      </c>
      <c r="B1011">
        <v>1.0625</v>
      </c>
      <c r="C1011">
        <v>1.1758</v>
      </c>
      <c r="D1011">
        <v>1.0410999999999999</v>
      </c>
      <c r="E1011">
        <v>1.1484000000000001</v>
      </c>
      <c r="F1011">
        <v>5437341.8700000001</v>
      </c>
      <c r="G1011">
        <v>0</v>
      </c>
      <c r="L1011" t="s">
        <v>8</v>
      </c>
      <c r="M1011" t="s">
        <v>8</v>
      </c>
      <c r="N1011" t="s">
        <v>7</v>
      </c>
      <c r="P1011">
        <f t="shared" si="1019"/>
        <v>0.59317000742390702</v>
      </c>
      <c r="Q1011">
        <f t="shared" si="1020"/>
        <v>3225268.1173942205</v>
      </c>
      <c r="R1011">
        <f t="shared" si="1021"/>
        <v>26644181.932396714</v>
      </c>
      <c r="S1011">
        <f t="shared" si="1022"/>
        <v>266.44181932396714</v>
      </c>
      <c r="T1011">
        <f t="shared" si="1023"/>
        <v>0.26644181932396716</v>
      </c>
    </row>
    <row r="1012" spans="1:20" x14ac:dyDescent="0.25">
      <c r="A1012" s="5">
        <v>43581</v>
      </c>
      <c r="B1012">
        <v>1.034</v>
      </c>
      <c r="C1012">
        <v>1.077</v>
      </c>
      <c r="D1012">
        <v>0.9889</v>
      </c>
      <c r="E1012">
        <v>1.0625</v>
      </c>
      <c r="F1012">
        <v>4124344.08</v>
      </c>
      <c r="G1012">
        <v>0</v>
      </c>
      <c r="L1012" t="s">
        <v>7</v>
      </c>
      <c r="M1012" t="s">
        <v>7</v>
      </c>
      <c r="N1012" t="s">
        <v>7</v>
      </c>
      <c r="P1012">
        <f t="shared" si="1019"/>
        <v>0.67082860385925169</v>
      </c>
      <c r="Q1012">
        <f t="shared" si="1020"/>
        <v>2766727.98102157</v>
      </c>
      <c r="R1012">
        <f t="shared" si="1021"/>
        <v>23418913.815002494</v>
      </c>
      <c r="S1012">
        <f t="shared" si="1022"/>
        <v>234.18913815002495</v>
      </c>
      <c r="T1012">
        <f t="shared" si="1023"/>
        <v>0.23418913815002496</v>
      </c>
    </row>
    <row r="1013" spans="1:20" x14ac:dyDescent="0.25">
      <c r="A1013" s="5">
        <v>43580</v>
      </c>
      <c r="B1013">
        <v>1.1242000000000001</v>
      </c>
      <c r="C1013">
        <v>1.1534</v>
      </c>
      <c r="D1013">
        <v>1.012</v>
      </c>
      <c r="E1013">
        <v>1.0347999999999999</v>
      </c>
      <c r="F1013">
        <v>4163910.66</v>
      </c>
      <c r="G1013">
        <v>0</v>
      </c>
      <c r="L1013" t="s">
        <v>7</v>
      </c>
      <c r="M1013" t="s">
        <v>7</v>
      </c>
      <c r="N1013" t="s">
        <v>7</v>
      </c>
      <c r="P1013">
        <f t="shared" si="1019"/>
        <v>-0.67751060820367837</v>
      </c>
      <c r="Q1013">
        <f t="shared" si="1020"/>
        <v>-2821093.6437623799</v>
      </c>
      <c r="R1013">
        <f t="shared" si="1021"/>
        <v>20652185.833980922</v>
      </c>
      <c r="S1013">
        <f t="shared" si="1022"/>
        <v>206.52185833980923</v>
      </c>
      <c r="T1013">
        <f t="shared" si="1023"/>
        <v>0.20652185833980924</v>
      </c>
    </row>
    <row r="1014" spans="1:20" x14ac:dyDescent="0.25">
      <c r="A1014" s="5">
        <v>43579</v>
      </c>
      <c r="B1014">
        <v>1.151</v>
      </c>
      <c r="C1014">
        <v>1.1668000000000001</v>
      </c>
      <c r="D1014">
        <v>1.03</v>
      </c>
      <c r="E1014">
        <v>1.1240000000000001</v>
      </c>
      <c r="F1014">
        <v>7090740.5199999996</v>
      </c>
      <c r="G1014">
        <v>0</v>
      </c>
      <c r="L1014" t="s">
        <v>7</v>
      </c>
      <c r="M1014" t="s">
        <v>7</v>
      </c>
      <c r="N1014" t="s">
        <v>7</v>
      </c>
      <c r="P1014">
        <f t="shared" si="1019"/>
        <v>0.37426900584795408</v>
      </c>
      <c r="Q1014">
        <f t="shared" si="1020"/>
        <v>2653844.4051462049</v>
      </c>
      <c r="R1014">
        <f t="shared" si="1021"/>
        <v>23473279.477743302</v>
      </c>
      <c r="S1014">
        <f t="shared" si="1022"/>
        <v>234.73279477743301</v>
      </c>
      <c r="T1014">
        <f t="shared" si="1023"/>
        <v>0.234732794777433</v>
      </c>
    </row>
    <row r="1015" spans="1:20" x14ac:dyDescent="0.25">
      <c r="A1015" s="5">
        <v>43578</v>
      </c>
      <c r="B1015">
        <v>1.2185999999999999</v>
      </c>
      <c r="C1015">
        <v>1.2798</v>
      </c>
      <c r="D1015">
        <v>1.1467000000000001</v>
      </c>
      <c r="E1015">
        <v>1.151</v>
      </c>
      <c r="F1015">
        <v>4246474.29</v>
      </c>
      <c r="G1015">
        <v>0</v>
      </c>
      <c r="L1015" t="s">
        <v>7</v>
      </c>
      <c r="M1015" t="s">
        <v>7</v>
      </c>
      <c r="N1015" t="s">
        <v>7</v>
      </c>
      <c r="P1015">
        <f t="shared" si="1019"/>
        <v>-0.93538692712246474</v>
      </c>
      <c r="Q1015">
        <f t="shared" si="1020"/>
        <v>-3972096.5372276502</v>
      </c>
      <c r="R1015">
        <f t="shared" si="1021"/>
        <v>20819435.072597098</v>
      </c>
      <c r="S1015">
        <f t="shared" si="1022"/>
        <v>208.19435072597096</v>
      </c>
      <c r="T1015">
        <f t="shared" si="1023"/>
        <v>0.20819435072597095</v>
      </c>
    </row>
    <row r="1016" spans="1:20" x14ac:dyDescent="0.25">
      <c r="A1016" s="5">
        <v>43577</v>
      </c>
      <c r="B1016">
        <v>1.2204999999999999</v>
      </c>
      <c r="C1016">
        <v>1.2410000000000001</v>
      </c>
      <c r="D1016">
        <v>1.1712</v>
      </c>
      <c r="E1016">
        <v>1.2190000000000001</v>
      </c>
      <c r="F1016">
        <v>3794158.34</v>
      </c>
      <c r="G1016">
        <v>0</v>
      </c>
      <c r="L1016" t="s">
        <v>7</v>
      </c>
      <c r="M1016" t="s">
        <v>7</v>
      </c>
      <c r="N1016" t="s">
        <v>7</v>
      </c>
      <c r="P1016">
        <f t="shared" si="1019"/>
        <v>0.36962750716332399</v>
      </c>
      <c r="Q1016">
        <f t="shared" si="1020"/>
        <v>1402425.2889971354</v>
      </c>
      <c r="R1016">
        <f t="shared" si="1021"/>
        <v>24791531.609824747</v>
      </c>
      <c r="S1016">
        <f t="shared" si="1022"/>
        <v>247.91531609824747</v>
      </c>
      <c r="T1016">
        <f t="shared" si="1023"/>
        <v>0.24791531609824746</v>
      </c>
    </row>
    <row r="1017" spans="1:20" x14ac:dyDescent="0.25">
      <c r="A1017" s="5">
        <v>43576</v>
      </c>
      <c r="B1017">
        <v>1.3033999999999999</v>
      </c>
      <c r="C1017">
        <v>1.3186</v>
      </c>
      <c r="D1017">
        <v>1.18</v>
      </c>
      <c r="E1017">
        <v>1.2204999999999999</v>
      </c>
      <c r="F1017">
        <v>3577935.97</v>
      </c>
      <c r="G1017">
        <v>0</v>
      </c>
      <c r="L1017" t="s">
        <v>7</v>
      </c>
      <c r="M1017" t="s">
        <v>7</v>
      </c>
      <c r="N1017" t="s">
        <v>7</v>
      </c>
      <c r="P1017">
        <f t="shared" si="1019"/>
        <v>-0.41558441558441611</v>
      </c>
      <c r="Q1017">
        <f t="shared" si="1020"/>
        <v>-1486934.4290909111</v>
      </c>
      <c r="R1017">
        <f t="shared" si="1021"/>
        <v>23389106.320827611</v>
      </c>
      <c r="S1017">
        <f t="shared" si="1022"/>
        <v>233.89106320827611</v>
      </c>
      <c r="T1017">
        <f t="shared" si="1023"/>
        <v>0.2338910632082761</v>
      </c>
    </row>
    <row r="1018" spans="1:20" x14ac:dyDescent="0.25">
      <c r="A1018" s="5">
        <v>43575</v>
      </c>
      <c r="B1018">
        <v>1.2996000000000001</v>
      </c>
      <c r="C1018">
        <v>1.3157000000000001</v>
      </c>
      <c r="D1018">
        <v>1.2815000000000001</v>
      </c>
      <c r="E1018">
        <v>1.3044</v>
      </c>
      <c r="F1018">
        <v>1746081.55</v>
      </c>
      <c r="G1018">
        <v>0</v>
      </c>
      <c r="L1018" t="s">
        <v>8</v>
      </c>
      <c r="M1018" t="s">
        <v>7</v>
      </c>
      <c r="N1018" t="s">
        <v>8</v>
      </c>
      <c r="P1018">
        <f t="shared" si="1019"/>
        <v>0.33918128654970264</v>
      </c>
      <c r="Q1018">
        <f t="shared" si="1020"/>
        <v>592238.18654969893</v>
      </c>
      <c r="R1018">
        <f t="shared" si="1021"/>
        <v>24876040.74991852</v>
      </c>
      <c r="S1018">
        <f t="shared" si="1022"/>
        <v>248.76040749918519</v>
      </c>
      <c r="T1018">
        <f t="shared" si="1023"/>
        <v>0.24876040749918518</v>
      </c>
    </row>
    <row r="1019" spans="1:20" x14ac:dyDescent="0.25">
      <c r="A1019" s="5">
        <v>43574</v>
      </c>
      <c r="B1019">
        <v>1.3292999999999999</v>
      </c>
      <c r="C1019">
        <v>1.3332999999999999</v>
      </c>
      <c r="D1019">
        <v>1.2781</v>
      </c>
      <c r="E1019">
        <v>1.2988999999999999</v>
      </c>
      <c r="F1019">
        <v>1968625.25</v>
      </c>
      <c r="G1019">
        <v>0</v>
      </c>
      <c r="L1019" t="s">
        <v>8</v>
      </c>
      <c r="M1019" t="s">
        <v>7</v>
      </c>
      <c r="N1019" t="s">
        <v>8</v>
      </c>
      <c r="P1019">
        <f t="shared" si="1019"/>
        <v>-0.2463768115942043</v>
      </c>
      <c r="Q1019">
        <f t="shared" si="1020"/>
        <v>-485023.61231884331</v>
      </c>
      <c r="R1019">
        <f t="shared" si="1021"/>
        <v>24283802.56336882</v>
      </c>
      <c r="S1019">
        <f t="shared" si="1022"/>
        <v>242.8380256336882</v>
      </c>
      <c r="T1019">
        <f t="shared" si="1023"/>
        <v>0.2428380256336882</v>
      </c>
    </row>
    <row r="1020" spans="1:20" x14ac:dyDescent="0.25">
      <c r="A1020" s="5">
        <v>43573</v>
      </c>
      <c r="B1020">
        <v>1.3241000000000001</v>
      </c>
      <c r="C1020">
        <v>1.359</v>
      </c>
      <c r="D1020">
        <v>1.319</v>
      </c>
      <c r="E1020">
        <v>1.3295999999999999</v>
      </c>
      <c r="F1020">
        <v>2059258.28</v>
      </c>
      <c r="G1020">
        <v>0</v>
      </c>
      <c r="L1020" t="s">
        <v>8</v>
      </c>
      <c r="M1020" t="s">
        <v>7</v>
      </c>
      <c r="N1020" t="s">
        <v>8</v>
      </c>
      <c r="P1020">
        <f t="shared" si="1019"/>
        <v>-0.4700000000000033</v>
      </c>
      <c r="Q1020">
        <f t="shared" si="1020"/>
        <v>-967851.39160000684</v>
      </c>
      <c r="R1020">
        <f t="shared" si="1021"/>
        <v>24768826.175687663</v>
      </c>
      <c r="S1020">
        <f t="shared" si="1022"/>
        <v>247.68826175687664</v>
      </c>
      <c r="T1020">
        <f t="shared" si="1023"/>
        <v>0.24768826175687664</v>
      </c>
    </row>
    <row r="1021" spans="1:20" x14ac:dyDescent="0.25">
      <c r="A1021" s="5">
        <v>43572</v>
      </c>
      <c r="B1021">
        <v>1.3102</v>
      </c>
      <c r="C1021">
        <v>1.3593999999999999</v>
      </c>
      <c r="D1021">
        <v>1.3016000000000001</v>
      </c>
      <c r="E1021">
        <v>1.3238000000000001</v>
      </c>
      <c r="F1021">
        <v>2771566.21</v>
      </c>
      <c r="G1021">
        <v>0</v>
      </c>
      <c r="L1021" t="s">
        <v>8</v>
      </c>
      <c r="M1021" t="s">
        <v>7</v>
      </c>
      <c r="N1021" t="s">
        <v>8</v>
      </c>
      <c r="P1021">
        <f t="shared" si="1019"/>
        <v>-0.23183391003460019</v>
      </c>
      <c r="Q1021">
        <f t="shared" si="1020"/>
        <v>-642543.03138407785</v>
      </c>
      <c r="R1021">
        <f t="shared" si="1021"/>
        <v>25736677.567287669</v>
      </c>
      <c r="S1021">
        <f t="shared" si="1022"/>
        <v>257.36677567287671</v>
      </c>
      <c r="T1021">
        <f t="shared" si="1023"/>
        <v>0.25736677567287669</v>
      </c>
    </row>
    <row r="1022" spans="1:20" x14ac:dyDescent="0.25">
      <c r="A1022" s="5">
        <v>43571</v>
      </c>
      <c r="B1022">
        <v>1.2987</v>
      </c>
      <c r="C1022">
        <v>1.3243</v>
      </c>
      <c r="D1022">
        <v>1.2474000000000001</v>
      </c>
      <c r="E1022">
        <v>1.3124</v>
      </c>
      <c r="F1022">
        <v>2878415.49</v>
      </c>
      <c r="G1022">
        <v>0</v>
      </c>
      <c r="L1022" t="s">
        <v>7</v>
      </c>
      <c r="M1022" t="s">
        <v>7</v>
      </c>
      <c r="N1022" t="s">
        <v>8</v>
      </c>
      <c r="P1022">
        <f t="shared" si="1019"/>
        <v>0.69050715214564296</v>
      </c>
      <c r="Q1022">
        <f t="shared" si="1020"/>
        <v>1987566.4826918056</v>
      </c>
      <c r="R1022">
        <f t="shared" si="1021"/>
        <v>26379220.598671746</v>
      </c>
      <c r="S1022">
        <f t="shared" si="1022"/>
        <v>263.79220598671748</v>
      </c>
      <c r="T1022">
        <f t="shared" si="1023"/>
        <v>0.26379220598671749</v>
      </c>
    </row>
    <row r="1023" spans="1:20" x14ac:dyDescent="0.25">
      <c r="A1023" s="5">
        <v>43570</v>
      </c>
      <c r="B1023">
        <v>1.3565</v>
      </c>
      <c r="C1023">
        <v>1.38</v>
      </c>
      <c r="D1023">
        <v>1.2549999999999999</v>
      </c>
      <c r="E1023">
        <v>1.3</v>
      </c>
      <c r="F1023">
        <v>2601418.9500000002</v>
      </c>
      <c r="G1023">
        <v>0</v>
      </c>
      <c r="L1023" t="s">
        <v>7</v>
      </c>
      <c r="M1023" t="s">
        <v>7</v>
      </c>
      <c r="N1023" t="s">
        <v>8</v>
      </c>
      <c r="P1023">
        <f t="shared" ref="P1023:P1086" si="1024">IF(C1023=D1023,0,((E1023-D1023)-(C1023-E1023))/(C1023-D1023))</f>
        <v>-0.27999999999999758</v>
      </c>
      <c r="Q1023">
        <f t="shared" ref="Q1023:Q1086" si="1025">F1023*P1023</f>
        <v>-728397.30599999381</v>
      </c>
      <c r="R1023">
        <f t="shared" ref="R1023:R1086" si="1026">R1024+Q1023</f>
        <v>24391654.11597994</v>
      </c>
      <c r="S1023">
        <f t="shared" ref="S1023:S1086" si="1027">R1023/100000</f>
        <v>243.91654115979941</v>
      </c>
      <c r="T1023">
        <f t="shared" ref="T1023:T1086" si="1028">S1023/1000</f>
        <v>0.24391654115979941</v>
      </c>
    </row>
    <row r="1024" spans="1:20" x14ac:dyDescent="0.25">
      <c r="A1024" s="5">
        <v>43569</v>
      </c>
      <c r="B1024">
        <v>1.3132999999999999</v>
      </c>
      <c r="C1024">
        <v>1.3599000000000001</v>
      </c>
      <c r="D1024">
        <v>1.2781</v>
      </c>
      <c r="E1024">
        <v>1.3574999999999999</v>
      </c>
      <c r="F1024">
        <v>1386664.72</v>
      </c>
      <c r="G1024">
        <v>0</v>
      </c>
      <c r="L1024" t="s">
        <v>7</v>
      </c>
      <c r="M1024" t="s">
        <v>7</v>
      </c>
      <c r="N1024" t="s">
        <v>8</v>
      </c>
      <c r="P1024">
        <f t="shared" si="1024"/>
        <v>0.94132029339852863</v>
      </c>
      <c r="Q1024">
        <f t="shared" si="1025"/>
        <v>1305295.6410757885</v>
      </c>
      <c r="R1024">
        <f t="shared" si="1026"/>
        <v>25120051.421979934</v>
      </c>
      <c r="S1024">
        <f t="shared" si="1027"/>
        <v>251.20051421979935</v>
      </c>
      <c r="T1024">
        <f t="shared" si="1028"/>
        <v>0.25120051421979933</v>
      </c>
    </row>
    <row r="1025" spans="1:20" x14ac:dyDescent="0.25">
      <c r="A1025" s="5">
        <v>43568</v>
      </c>
      <c r="B1025">
        <v>1.3309</v>
      </c>
      <c r="C1025">
        <v>1.3553999999999999</v>
      </c>
      <c r="D1025">
        <v>1.2847999999999999</v>
      </c>
      <c r="E1025">
        <v>1.3132999999999999</v>
      </c>
      <c r="F1025">
        <v>1289796.55</v>
      </c>
      <c r="G1025">
        <v>0</v>
      </c>
      <c r="L1025" t="s">
        <v>7</v>
      </c>
      <c r="M1025" t="s">
        <v>7</v>
      </c>
      <c r="N1025" t="s">
        <v>8</v>
      </c>
      <c r="P1025">
        <f t="shared" si="1024"/>
        <v>-0.1926345609065164</v>
      </c>
      <c r="Q1025">
        <f t="shared" si="1025"/>
        <v>-248459.39206798974</v>
      </c>
      <c r="R1025">
        <f t="shared" si="1026"/>
        <v>23814755.780904144</v>
      </c>
      <c r="S1025">
        <f t="shared" si="1027"/>
        <v>238.14755780904144</v>
      </c>
      <c r="T1025">
        <f t="shared" si="1028"/>
        <v>0.23814755780904145</v>
      </c>
    </row>
    <row r="1026" spans="1:20" x14ac:dyDescent="0.25">
      <c r="A1026" s="5">
        <v>43567</v>
      </c>
      <c r="B1026">
        <v>1.3165</v>
      </c>
      <c r="C1026">
        <v>1.3748</v>
      </c>
      <c r="D1026">
        <v>1.2270000000000001</v>
      </c>
      <c r="E1026">
        <v>1.3320000000000001</v>
      </c>
      <c r="F1026">
        <v>3025641.63</v>
      </c>
      <c r="G1026">
        <v>0</v>
      </c>
      <c r="L1026" t="s">
        <v>8</v>
      </c>
      <c r="M1026" t="s">
        <v>7</v>
      </c>
      <c r="N1026" t="s">
        <v>8</v>
      </c>
      <c r="P1026">
        <f t="shared" si="1024"/>
        <v>0.42083897158322098</v>
      </c>
      <c r="Q1026">
        <f t="shared" si="1025"/>
        <v>1273307.9119485803</v>
      </c>
      <c r="R1026">
        <f t="shared" si="1026"/>
        <v>24063215.172972135</v>
      </c>
      <c r="S1026">
        <f t="shared" si="1027"/>
        <v>240.63215172972136</v>
      </c>
      <c r="T1026">
        <f t="shared" si="1028"/>
        <v>0.24063215172972136</v>
      </c>
    </row>
    <row r="1027" spans="1:20" x14ac:dyDescent="0.25">
      <c r="A1027" s="5">
        <v>43566</v>
      </c>
      <c r="B1027">
        <v>1.4944</v>
      </c>
      <c r="C1027">
        <v>1.502</v>
      </c>
      <c r="D1027">
        <v>1.2221</v>
      </c>
      <c r="E1027">
        <v>1.3166</v>
      </c>
      <c r="F1027">
        <v>6157039.7599999998</v>
      </c>
      <c r="G1027">
        <v>0</v>
      </c>
      <c r="L1027" t="s">
        <v>7</v>
      </c>
      <c r="M1027" t="s">
        <v>7</v>
      </c>
      <c r="N1027" t="s">
        <v>8</v>
      </c>
      <c r="P1027">
        <f t="shared" si="1024"/>
        <v>-0.32475884244372977</v>
      </c>
      <c r="Q1027">
        <f t="shared" si="1025"/>
        <v>-1999553.1053376198</v>
      </c>
      <c r="R1027">
        <f t="shared" si="1026"/>
        <v>22789907.261023555</v>
      </c>
      <c r="S1027">
        <f t="shared" si="1027"/>
        <v>227.89907261023555</v>
      </c>
      <c r="T1027">
        <f t="shared" si="1028"/>
        <v>0.22789907261023554</v>
      </c>
    </row>
    <row r="1028" spans="1:20" x14ac:dyDescent="0.25">
      <c r="A1028" s="5">
        <v>43565</v>
      </c>
      <c r="B1028">
        <v>1.4422999999999999</v>
      </c>
      <c r="C1028">
        <v>1.5357000000000001</v>
      </c>
      <c r="D1028">
        <v>1.4380999999999999</v>
      </c>
      <c r="E1028">
        <v>1.4942</v>
      </c>
      <c r="F1028">
        <v>3243859.61</v>
      </c>
      <c r="G1028">
        <v>0</v>
      </c>
      <c r="L1028" t="s">
        <v>8</v>
      </c>
      <c r="M1028" t="s">
        <v>7</v>
      </c>
      <c r="N1028" t="s">
        <v>8</v>
      </c>
      <c r="P1028">
        <f t="shared" si="1024"/>
        <v>0.14959016393442548</v>
      </c>
      <c r="Q1028">
        <f t="shared" si="1025"/>
        <v>485249.49084016151</v>
      </c>
      <c r="R1028">
        <f t="shared" si="1026"/>
        <v>24789460.366361175</v>
      </c>
      <c r="S1028">
        <f t="shared" si="1027"/>
        <v>247.89460366361175</v>
      </c>
      <c r="T1028">
        <f t="shared" si="1028"/>
        <v>0.24789460366361174</v>
      </c>
    </row>
    <row r="1029" spans="1:20" x14ac:dyDescent="0.25">
      <c r="A1029" s="5">
        <v>43564</v>
      </c>
      <c r="B1029">
        <v>1.5022</v>
      </c>
      <c r="C1029">
        <v>1.5142</v>
      </c>
      <c r="D1029">
        <v>1.3915</v>
      </c>
      <c r="E1029">
        <v>1.4402999999999999</v>
      </c>
      <c r="F1029">
        <v>3597871.62</v>
      </c>
      <c r="G1029">
        <v>0</v>
      </c>
      <c r="L1029" t="s">
        <v>7</v>
      </c>
      <c r="M1029" t="s">
        <v>7</v>
      </c>
      <c r="N1029" t="s">
        <v>8</v>
      </c>
      <c r="P1029">
        <f t="shared" si="1024"/>
        <v>-0.20456397718011504</v>
      </c>
      <c r="Q1029">
        <f t="shared" si="1025"/>
        <v>-735994.92797066353</v>
      </c>
      <c r="R1029">
        <f t="shared" si="1026"/>
        <v>24304210.875521012</v>
      </c>
      <c r="S1029">
        <f t="shared" si="1027"/>
        <v>243.04210875521011</v>
      </c>
      <c r="T1029">
        <f t="shared" si="1028"/>
        <v>0.2430421087552101</v>
      </c>
    </row>
    <row r="1030" spans="1:20" x14ac:dyDescent="0.25">
      <c r="A1030" s="5">
        <v>43563</v>
      </c>
      <c r="B1030">
        <v>1.5314000000000001</v>
      </c>
      <c r="C1030">
        <v>1.5928</v>
      </c>
      <c r="D1030">
        <v>1.411</v>
      </c>
      <c r="E1030">
        <v>1.5022</v>
      </c>
      <c r="F1030">
        <v>7354285.4000000004</v>
      </c>
      <c r="G1030">
        <v>0</v>
      </c>
      <c r="L1030" t="s">
        <v>7</v>
      </c>
      <c r="M1030" t="s">
        <v>8</v>
      </c>
      <c r="N1030" t="s">
        <v>8</v>
      </c>
      <c r="P1030">
        <f t="shared" si="1024"/>
        <v>3.3003300330029374E-3</v>
      </c>
      <c r="Q1030">
        <f t="shared" si="1025"/>
        <v>24271.568976895021</v>
      </c>
      <c r="R1030">
        <f t="shared" si="1026"/>
        <v>25040205.803491674</v>
      </c>
      <c r="S1030">
        <f t="shared" si="1027"/>
        <v>250.40205803491673</v>
      </c>
      <c r="T1030">
        <f t="shared" si="1028"/>
        <v>0.25040205803491672</v>
      </c>
    </row>
    <row r="1031" spans="1:20" x14ac:dyDescent="0.25">
      <c r="A1031" s="5">
        <v>43562</v>
      </c>
      <c r="B1031">
        <v>1.5659000000000001</v>
      </c>
      <c r="C1031">
        <v>1.5860000000000001</v>
      </c>
      <c r="D1031">
        <v>1.478</v>
      </c>
      <c r="E1031">
        <v>1.5313000000000001</v>
      </c>
      <c r="F1031">
        <v>5065782.04</v>
      </c>
      <c r="G1031">
        <v>0</v>
      </c>
      <c r="L1031" t="s">
        <v>7</v>
      </c>
      <c r="M1031" t="s">
        <v>8</v>
      </c>
      <c r="N1031" t="s">
        <v>8</v>
      </c>
      <c r="P1031">
        <f t="shared" si="1024"/>
        <v>-1.2962962962961525E-2</v>
      </c>
      <c r="Q1031">
        <f t="shared" si="1025"/>
        <v>-65667.544962955682</v>
      </c>
      <c r="R1031">
        <f t="shared" si="1026"/>
        <v>25015934.23451478</v>
      </c>
      <c r="S1031">
        <f t="shared" si="1027"/>
        <v>250.15934234514779</v>
      </c>
      <c r="T1031">
        <f t="shared" si="1028"/>
        <v>0.25015934234514781</v>
      </c>
    </row>
    <row r="1032" spans="1:20" x14ac:dyDescent="0.25">
      <c r="A1032" s="5">
        <v>43561</v>
      </c>
      <c r="B1032">
        <v>1.6149</v>
      </c>
      <c r="C1032">
        <v>1.6169</v>
      </c>
      <c r="D1032">
        <v>1.5435000000000001</v>
      </c>
      <c r="E1032">
        <v>1.5623</v>
      </c>
      <c r="F1032">
        <v>3734015.83</v>
      </c>
      <c r="G1032">
        <v>0</v>
      </c>
      <c r="L1032" t="s">
        <v>8</v>
      </c>
      <c r="M1032" t="s">
        <v>8</v>
      </c>
      <c r="N1032" t="s">
        <v>8</v>
      </c>
      <c r="P1032">
        <f t="shared" si="1024"/>
        <v>-0.48773841961852993</v>
      </c>
      <c r="Q1032">
        <f t="shared" si="1025"/>
        <v>-1821222.9797547734</v>
      </c>
      <c r="R1032">
        <f t="shared" si="1026"/>
        <v>25081601.779477738</v>
      </c>
      <c r="S1032">
        <f t="shared" si="1027"/>
        <v>250.81601779477737</v>
      </c>
      <c r="T1032">
        <f t="shared" si="1028"/>
        <v>0.25081601779477736</v>
      </c>
    </row>
    <row r="1033" spans="1:20" x14ac:dyDescent="0.25">
      <c r="A1033" s="5">
        <v>43560</v>
      </c>
      <c r="B1033">
        <v>1.5854999999999999</v>
      </c>
      <c r="C1033">
        <v>1.6378999999999999</v>
      </c>
      <c r="D1033">
        <v>1.5612999999999999</v>
      </c>
      <c r="E1033">
        <v>1.6131</v>
      </c>
      <c r="F1033">
        <v>3672582.23</v>
      </c>
      <c r="G1033">
        <v>0</v>
      </c>
      <c r="L1033" t="s">
        <v>8</v>
      </c>
      <c r="M1033" t="s">
        <v>8</v>
      </c>
      <c r="N1033" t="s">
        <v>8</v>
      </c>
      <c r="P1033">
        <f t="shared" si="1024"/>
        <v>0.35248041775457095</v>
      </c>
      <c r="Q1033">
        <f t="shared" si="1025"/>
        <v>1294513.3186684137</v>
      </c>
      <c r="R1033">
        <f t="shared" si="1026"/>
        <v>26902824.75923251</v>
      </c>
      <c r="S1033">
        <f t="shared" si="1027"/>
        <v>269.0282475923251</v>
      </c>
      <c r="T1033">
        <f t="shared" si="1028"/>
        <v>0.26902824759232508</v>
      </c>
    </row>
    <row r="1034" spans="1:20" x14ac:dyDescent="0.25">
      <c r="A1034" s="5">
        <v>43559</v>
      </c>
      <c r="B1034">
        <v>1.4571000000000001</v>
      </c>
      <c r="C1034">
        <v>1.6531</v>
      </c>
      <c r="D1034">
        <v>1.4204000000000001</v>
      </c>
      <c r="E1034">
        <v>1.5842000000000001</v>
      </c>
      <c r="F1034">
        <v>10645308.74</v>
      </c>
      <c r="G1034">
        <v>0</v>
      </c>
      <c r="L1034" t="s">
        <v>7</v>
      </c>
      <c r="M1034" t="s">
        <v>8</v>
      </c>
      <c r="N1034" t="s">
        <v>8</v>
      </c>
      <c r="P1034">
        <f t="shared" si="1024"/>
        <v>0.4078212290502794</v>
      </c>
      <c r="Q1034">
        <f t="shared" si="1025"/>
        <v>4341382.8939664811</v>
      </c>
      <c r="R1034">
        <f t="shared" si="1026"/>
        <v>25608311.440564096</v>
      </c>
      <c r="S1034">
        <f t="shared" si="1027"/>
        <v>256.08311440564097</v>
      </c>
      <c r="T1034">
        <f t="shared" si="1028"/>
        <v>0.25608311440564097</v>
      </c>
    </row>
    <row r="1035" spans="1:20" x14ac:dyDescent="0.25">
      <c r="A1035" s="5">
        <v>43558</v>
      </c>
      <c r="B1035">
        <v>1.4569000000000001</v>
      </c>
      <c r="C1035">
        <v>1.6859999999999999</v>
      </c>
      <c r="D1035">
        <v>1.3775999999999999</v>
      </c>
      <c r="E1035">
        <v>1.46</v>
      </c>
      <c r="F1035">
        <v>11725599.027000001</v>
      </c>
      <c r="G1035">
        <v>0</v>
      </c>
      <c r="L1035" t="s">
        <v>8</v>
      </c>
      <c r="M1035" t="s">
        <v>8</v>
      </c>
      <c r="N1035" t="s">
        <v>8</v>
      </c>
      <c r="P1035">
        <f t="shared" si="1024"/>
        <v>-0.46562905317769115</v>
      </c>
      <c r="Q1035">
        <f t="shared" si="1025"/>
        <v>-5459779.572883267</v>
      </c>
      <c r="R1035">
        <f t="shared" si="1026"/>
        <v>21266928.546597615</v>
      </c>
      <c r="S1035">
        <f t="shared" si="1027"/>
        <v>212.66928546597615</v>
      </c>
      <c r="T1035">
        <f t="shared" si="1028"/>
        <v>0.21266928546597613</v>
      </c>
    </row>
    <row r="1036" spans="1:20" x14ac:dyDescent="0.25">
      <c r="A1036" s="5">
        <v>43557</v>
      </c>
      <c r="B1036">
        <v>1.3192999999999999</v>
      </c>
      <c r="C1036">
        <v>1.4796</v>
      </c>
      <c r="D1036">
        <v>1.2703</v>
      </c>
      <c r="E1036">
        <v>1.4562999999999999</v>
      </c>
      <c r="F1036">
        <v>10384215.32</v>
      </c>
      <c r="G1036">
        <v>0</v>
      </c>
      <c r="L1036" t="s">
        <v>8</v>
      </c>
      <c r="M1036" t="s">
        <v>8</v>
      </c>
      <c r="N1036" t="s">
        <v>8</v>
      </c>
      <c r="P1036">
        <f t="shared" si="1024"/>
        <v>0.77735308170090689</v>
      </c>
      <c r="Q1036">
        <f t="shared" si="1025"/>
        <v>8072201.7800477697</v>
      </c>
      <c r="R1036">
        <f t="shared" si="1026"/>
        <v>26726708.119480882</v>
      </c>
      <c r="S1036">
        <f t="shared" si="1027"/>
        <v>267.26708119480884</v>
      </c>
      <c r="T1036">
        <f t="shared" si="1028"/>
        <v>0.26726708119480885</v>
      </c>
    </row>
    <row r="1037" spans="1:20" x14ac:dyDescent="0.25">
      <c r="A1037" s="5">
        <v>43556</v>
      </c>
      <c r="B1037">
        <v>1.3067</v>
      </c>
      <c r="C1037">
        <v>1.3845000000000001</v>
      </c>
      <c r="D1037">
        <v>1.28</v>
      </c>
      <c r="E1037">
        <v>1.3186</v>
      </c>
      <c r="F1037">
        <v>4144236.47</v>
      </c>
      <c r="G1037">
        <v>0</v>
      </c>
      <c r="L1037" t="s">
        <v>8</v>
      </c>
      <c r="M1037" t="s">
        <v>8</v>
      </c>
      <c r="N1037" t="s">
        <v>8</v>
      </c>
      <c r="P1037">
        <f t="shared" si="1024"/>
        <v>-0.26124401913875689</v>
      </c>
      <c r="Q1037">
        <f t="shared" si="1025"/>
        <v>-1082656.9916842144</v>
      </c>
      <c r="R1037">
        <f t="shared" si="1026"/>
        <v>18654506.339433111</v>
      </c>
      <c r="S1037">
        <f t="shared" si="1027"/>
        <v>186.54506339433112</v>
      </c>
      <c r="T1037">
        <f t="shared" si="1028"/>
        <v>0.18654506339433113</v>
      </c>
    </row>
    <row r="1038" spans="1:20" x14ac:dyDescent="0.25">
      <c r="A1038" s="5">
        <v>43555</v>
      </c>
      <c r="B1038">
        <v>1.292</v>
      </c>
      <c r="C1038">
        <v>1.3120000000000001</v>
      </c>
      <c r="D1038">
        <v>1.2627999999999999</v>
      </c>
      <c r="E1038">
        <v>1.3067</v>
      </c>
      <c r="F1038">
        <v>1874684.73</v>
      </c>
      <c r="G1038">
        <v>0</v>
      </c>
      <c r="L1038" t="s">
        <v>8</v>
      </c>
      <c r="M1038" t="s">
        <v>8</v>
      </c>
      <c r="N1038" t="s">
        <v>8</v>
      </c>
      <c r="P1038">
        <f t="shared" si="1024"/>
        <v>0.7845528455284525</v>
      </c>
      <c r="Q1038">
        <f t="shared" si="1025"/>
        <v>1470789.2393902387</v>
      </c>
      <c r="R1038">
        <f t="shared" si="1026"/>
        <v>19737163.331117325</v>
      </c>
      <c r="S1038">
        <f t="shared" si="1027"/>
        <v>197.37163331117324</v>
      </c>
      <c r="T1038">
        <f t="shared" si="1028"/>
        <v>0.19737163331117324</v>
      </c>
    </row>
    <row r="1039" spans="1:20" x14ac:dyDescent="0.25">
      <c r="A1039" s="5">
        <v>43554</v>
      </c>
      <c r="B1039">
        <v>1.2450000000000001</v>
      </c>
      <c r="C1039">
        <v>1.3331</v>
      </c>
      <c r="D1039">
        <v>1.2410000000000001</v>
      </c>
      <c r="E1039">
        <v>1.292</v>
      </c>
      <c r="F1039">
        <v>4720015.1500000004</v>
      </c>
      <c r="G1039">
        <v>0</v>
      </c>
      <c r="L1039" t="s">
        <v>8</v>
      </c>
      <c r="M1039" t="s">
        <v>8</v>
      </c>
      <c r="N1039" t="s">
        <v>8</v>
      </c>
      <c r="P1039">
        <f t="shared" si="1024"/>
        <v>0.10749185667752482</v>
      </c>
      <c r="Q1039">
        <f t="shared" si="1025"/>
        <v>507363.19201954588</v>
      </c>
      <c r="R1039">
        <f t="shared" si="1026"/>
        <v>18266374.091727085</v>
      </c>
      <c r="S1039">
        <f t="shared" si="1027"/>
        <v>182.66374091727084</v>
      </c>
      <c r="T1039">
        <f t="shared" si="1028"/>
        <v>0.18266374091727083</v>
      </c>
    </row>
    <row r="1040" spans="1:20" x14ac:dyDescent="0.25">
      <c r="A1040" s="5">
        <v>43553</v>
      </c>
      <c r="B1040">
        <v>1.2214</v>
      </c>
      <c r="C1040">
        <v>1.2554000000000001</v>
      </c>
      <c r="D1040">
        <v>1.2103999999999999</v>
      </c>
      <c r="E1040">
        <v>1.2450000000000001</v>
      </c>
      <c r="F1040">
        <v>2965320.38</v>
      </c>
      <c r="G1040">
        <v>0</v>
      </c>
      <c r="L1040" t="s">
        <v>8</v>
      </c>
      <c r="M1040" t="s">
        <v>7</v>
      </c>
      <c r="N1040" t="s">
        <v>8</v>
      </c>
      <c r="P1040">
        <f t="shared" si="1024"/>
        <v>0.53777777777778091</v>
      </c>
      <c r="Q1040">
        <f t="shared" si="1025"/>
        <v>1594683.4043555649</v>
      </c>
      <c r="R1040">
        <f t="shared" si="1026"/>
        <v>17759010.899707541</v>
      </c>
      <c r="S1040">
        <f t="shared" si="1027"/>
        <v>177.59010899707542</v>
      </c>
      <c r="T1040">
        <f t="shared" si="1028"/>
        <v>0.17759010899707542</v>
      </c>
    </row>
    <row r="1041" spans="1:20" x14ac:dyDescent="0.25">
      <c r="A1041" s="5">
        <v>43552</v>
      </c>
      <c r="B1041">
        <v>1.2519</v>
      </c>
      <c r="C1041">
        <v>1.2595000000000001</v>
      </c>
      <c r="D1041">
        <v>1.2</v>
      </c>
      <c r="E1041">
        <v>1.2225999999999999</v>
      </c>
      <c r="F1041">
        <v>2432937.5299999998</v>
      </c>
      <c r="G1041">
        <v>0</v>
      </c>
      <c r="L1041" t="s">
        <v>8</v>
      </c>
      <c r="M1041" t="s">
        <v>7</v>
      </c>
      <c r="N1041" t="s">
        <v>8</v>
      </c>
      <c r="P1041">
        <f t="shared" si="1024"/>
        <v>-0.24033613445378446</v>
      </c>
      <c r="Q1041">
        <f t="shared" si="1025"/>
        <v>-584722.80132773821</v>
      </c>
      <c r="R1041">
        <f t="shared" si="1026"/>
        <v>16164327.495351976</v>
      </c>
      <c r="S1041">
        <f t="shared" si="1027"/>
        <v>161.64327495351975</v>
      </c>
      <c r="T1041">
        <f t="shared" si="1028"/>
        <v>0.16164327495351974</v>
      </c>
    </row>
    <row r="1042" spans="1:20" x14ac:dyDescent="0.25">
      <c r="A1042" s="5">
        <v>43551</v>
      </c>
      <c r="B1042">
        <v>1.1722999999999999</v>
      </c>
      <c r="C1042">
        <v>1.2695000000000001</v>
      </c>
      <c r="D1042">
        <v>1.1577999999999999</v>
      </c>
      <c r="E1042">
        <v>1.2526999999999999</v>
      </c>
      <c r="F1042">
        <v>4517204.68</v>
      </c>
      <c r="G1042">
        <v>0</v>
      </c>
      <c r="L1042" t="s">
        <v>8</v>
      </c>
      <c r="M1042" t="s">
        <v>7</v>
      </c>
      <c r="N1042" t="s">
        <v>8</v>
      </c>
      <c r="P1042">
        <f t="shared" si="1024"/>
        <v>0.69919427036705228</v>
      </c>
      <c r="Q1042">
        <f t="shared" si="1025"/>
        <v>3158403.6303312336</v>
      </c>
      <c r="R1042">
        <f t="shared" si="1026"/>
        <v>16749050.296679715</v>
      </c>
      <c r="S1042">
        <f t="shared" si="1027"/>
        <v>167.49050296679715</v>
      </c>
      <c r="T1042">
        <f t="shared" si="1028"/>
        <v>0.16749050296679716</v>
      </c>
    </row>
    <row r="1043" spans="1:20" x14ac:dyDescent="0.25">
      <c r="A1043" s="5">
        <v>43550</v>
      </c>
      <c r="B1043">
        <v>1.1916</v>
      </c>
      <c r="C1043">
        <v>1.1996</v>
      </c>
      <c r="D1043">
        <v>1.0989</v>
      </c>
      <c r="E1043">
        <v>1.1725000000000001</v>
      </c>
      <c r="F1043">
        <v>3931993.82</v>
      </c>
      <c r="G1043">
        <v>0</v>
      </c>
      <c r="L1043" t="s">
        <v>7</v>
      </c>
      <c r="M1043" t="s">
        <v>7</v>
      </c>
      <c r="N1043" t="s">
        <v>8</v>
      </c>
      <c r="P1043">
        <f t="shared" si="1024"/>
        <v>0.46176762661370607</v>
      </c>
      <c r="Q1043">
        <f t="shared" si="1025"/>
        <v>1815667.4541211596</v>
      </c>
      <c r="R1043">
        <f t="shared" si="1026"/>
        <v>13590646.666348482</v>
      </c>
      <c r="S1043">
        <f t="shared" si="1027"/>
        <v>135.90646666348482</v>
      </c>
      <c r="T1043">
        <f t="shared" si="1028"/>
        <v>0.13590646666348483</v>
      </c>
    </row>
    <row r="1044" spans="1:20" x14ac:dyDescent="0.25">
      <c r="A1044" s="5">
        <v>43549</v>
      </c>
      <c r="B1044">
        <v>1.2455000000000001</v>
      </c>
      <c r="C1044">
        <v>1.2685999999999999</v>
      </c>
      <c r="D1044">
        <v>1.1475</v>
      </c>
      <c r="E1044">
        <v>1.1916</v>
      </c>
      <c r="F1044">
        <v>4619744.76</v>
      </c>
      <c r="G1044">
        <v>0</v>
      </c>
      <c r="L1044" t="s">
        <v>7</v>
      </c>
      <c r="M1044" t="s">
        <v>7</v>
      </c>
      <c r="N1044" t="s">
        <v>8</v>
      </c>
      <c r="P1044">
        <f t="shared" si="1024"/>
        <v>-0.27167630057803416</v>
      </c>
      <c r="Q1044">
        <f t="shared" si="1025"/>
        <v>-1255075.1660115581</v>
      </c>
      <c r="R1044">
        <f t="shared" si="1026"/>
        <v>11774979.212227322</v>
      </c>
      <c r="S1044">
        <f t="shared" si="1027"/>
        <v>117.74979212227322</v>
      </c>
      <c r="T1044">
        <f t="shared" si="1028"/>
        <v>0.11774979212227323</v>
      </c>
    </row>
    <row r="1045" spans="1:20" x14ac:dyDescent="0.25">
      <c r="A1045" s="5">
        <v>43548</v>
      </c>
      <c r="B1045">
        <v>1.2611000000000001</v>
      </c>
      <c r="C1045">
        <v>1.2611000000000001</v>
      </c>
      <c r="D1045">
        <v>1.2037</v>
      </c>
      <c r="E1045">
        <v>1.2437</v>
      </c>
      <c r="F1045">
        <v>4317948.59</v>
      </c>
      <c r="G1045">
        <v>0</v>
      </c>
      <c r="L1045" t="s">
        <v>7</v>
      </c>
      <c r="M1045" t="s">
        <v>8</v>
      </c>
      <c r="N1045" t="s">
        <v>8</v>
      </c>
      <c r="P1045">
        <f t="shared" si="1024"/>
        <v>0.39372822299651405</v>
      </c>
      <c r="Q1045">
        <f t="shared" si="1025"/>
        <v>1700098.2253310033</v>
      </c>
      <c r="R1045">
        <f t="shared" si="1026"/>
        <v>13030054.378238881</v>
      </c>
      <c r="S1045">
        <f t="shared" si="1027"/>
        <v>130.30054378238881</v>
      </c>
      <c r="T1045">
        <f t="shared" si="1028"/>
        <v>0.13030054378238881</v>
      </c>
    </row>
    <row r="1046" spans="1:20" x14ac:dyDescent="0.25">
      <c r="A1046" s="5">
        <v>43547</v>
      </c>
      <c r="B1046">
        <v>1.2764</v>
      </c>
      <c r="C1046">
        <v>1.3260000000000001</v>
      </c>
      <c r="D1046">
        <v>1.2445999999999999</v>
      </c>
      <c r="E1046">
        <v>1.2608999999999999</v>
      </c>
      <c r="F1046">
        <v>4980198.3899999997</v>
      </c>
      <c r="G1046">
        <v>0</v>
      </c>
      <c r="L1046" t="s">
        <v>8</v>
      </c>
      <c r="M1046" t="s">
        <v>8</v>
      </c>
      <c r="N1046" t="s">
        <v>8</v>
      </c>
      <c r="P1046">
        <f t="shared" si="1024"/>
        <v>-0.59950859950860069</v>
      </c>
      <c r="Q1046">
        <f t="shared" si="1025"/>
        <v>-2985671.7620638879</v>
      </c>
      <c r="R1046">
        <f t="shared" si="1026"/>
        <v>11329956.152907878</v>
      </c>
      <c r="S1046">
        <f t="shared" si="1027"/>
        <v>113.29956152907879</v>
      </c>
      <c r="T1046">
        <f t="shared" si="1028"/>
        <v>0.11329956152907879</v>
      </c>
    </row>
    <row r="1047" spans="1:20" x14ac:dyDescent="0.25">
      <c r="A1047" s="5">
        <v>43546</v>
      </c>
      <c r="B1047">
        <v>1.2801</v>
      </c>
      <c r="C1047">
        <v>1.3459000000000001</v>
      </c>
      <c r="D1047">
        <v>1.2149000000000001</v>
      </c>
      <c r="E1047">
        <v>1.2768999999999999</v>
      </c>
      <c r="F1047">
        <v>6559158.0999999996</v>
      </c>
      <c r="G1047">
        <v>0</v>
      </c>
      <c r="L1047" t="s">
        <v>7</v>
      </c>
      <c r="M1047" t="s">
        <v>8</v>
      </c>
      <c r="N1047" t="s">
        <v>8</v>
      </c>
      <c r="P1047">
        <f t="shared" si="1024"/>
        <v>-5.3435114503819381E-2</v>
      </c>
      <c r="Q1047">
        <f t="shared" si="1025"/>
        <v>-350489.36412215437</v>
      </c>
      <c r="R1047">
        <f t="shared" si="1026"/>
        <v>14315627.914971765</v>
      </c>
      <c r="S1047">
        <f t="shared" si="1027"/>
        <v>143.15627914971765</v>
      </c>
      <c r="T1047">
        <f t="shared" si="1028"/>
        <v>0.14315627914971765</v>
      </c>
    </row>
    <row r="1048" spans="1:20" x14ac:dyDescent="0.25">
      <c r="A1048" s="5">
        <v>43545</v>
      </c>
      <c r="B1048">
        <v>1.3147</v>
      </c>
      <c r="C1048">
        <v>1.4067000000000001</v>
      </c>
      <c r="D1048">
        <v>1.1599999999999999</v>
      </c>
      <c r="E1048">
        <v>1.2801</v>
      </c>
      <c r="F1048">
        <v>16854749.346000001</v>
      </c>
      <c r="G1048">
        <v>0</v>
      </c>
      <c r="L1048" t="s">
        <v>8</v>
      </c>
      <c r="M1048" t="s">
        <v>8</v>
      </c>
      <c r="N1048" t="s">
        <v>8</v>
      </c>
      <c r="P1048">
        <f t="shared" si="1024"/>
        <v>-2.6347790839075583E-2</v>
      </c>
      <c r="Q1048">
        <f t="shared" si="1025"/>
        <v>-444085.410413454</v>
      </c>
      <c r="R1048">
        <f t="shared" si="1026"/>
        <v>14666117.279093919</v>
      </c>
      <c r="S1048">
        <f t="shared" si="1027"/>
        <v>146.66117279093919</v>
      </c>
      <c r="T1048">
        <f t="shared" si="1028"/>
        <v>0.14666117279093918</v>
      </c>
    </row>
    <row r="1049" spans="1:20" x14ac:dyDescent="0.25">
      <c r="A1049" s="5">
        <v>43544</v>
      </c>
      <c r="B1049">
        <v>1.1252</v>
      </c>
      <c r="C1049">
        <v>1.3479000000000001</v>
      </c>
      <c r="D1049">
        <v>1.0750999999999999</v>
      </c>
      <c r="E1049">
        <v>1.3149</v>
      </c>
      <c r="F1049">
        <v>10979889.976</v>
      </c>
      <c r="G1049">
        <v>0</v>
      </c>
      <c r="L1049" t="s">
        <v>8</v>
      </c>
      <c r="M1049" t="s">
        <v>8</v>
      </c>
      <c r="N1049" t="s">
        <v>8</v>
      </c>
      <c r="P1049">
        <f t="shared" si="1024"/>
        <v>0.75806451612903136</v>
      </c>
      <c r="Q1049">
        <f t="shared" si="1025"/>
        <v>8323464.9818064412</v>
      </c>
      <c r="R1049">
        <f t="shared" si="1026"/>
        <v>15110202.689507373</v>
      </c>
      <c r="S1049">
        <f t="shared" si="1027"/>
        <v>151.10202689507372</v>
      </c>
      <c r="T1049">
        <f t="shared" si="1028"/>
        <v>0.15110202689507371</v>
      </c>
    </row>
    <row r="1050" spans="1:20" x14ac:dyDescent="0.25">
      <c r="A1050" s="5">
        <v>43543</v>
      </c>
      <c r="B1050">
        <v>1.0859000000000001</v>
      </c>
      <c r="C1050">
        <v>1.1285000000000001</v>
      </c>
      <c r="D1050">
        <v>1.0596000000000001</v>
      </c>
      <c r="E1050">
        <v>1.1262000000000001</v>
      </c>
      <c r="F1050">
        <v>2997608.51</v>
      </c>
      <c r="G1050">
        <v>0</v>
      </c>
      <c r="L1050" t="s">
        <v>8</v>
      </c>
      <c r="M1050" t="s">
        <v>8</v>
      </c>
      <c r="N1050" t="s">
        <v>8</v>
      </c>
      <c r="P1050">
        <f t="shared" si="1024"/>
        <v>0.93323657474600963</v>
      </c>
      <c r="Q1050">
        <f t="shared" si="1025"/>
        <v>2797477.8983018892</v>
      </c>
      <c r="R1050">
        <f t="shared" si="1026"/>
        <v>6786737.7077009324</v>
      </c>
      <c r="S1050">
        <f t="shared" si="1027"/>
        <v>67.867377077009323</v>
      </c>
      <c r="T1050">
        <f t="shared" si="1028"/>
        <v>6.7867377077009322E-2</v>
      </c>
    </row>
    <row r="1051" spans="1:20" x14ac:dyDescent="0.25">
      <c r="A1051" s="5">
        <v>43542</v>
      </c>
      <c r="B1051">
        <v>1.1181000000000001</v>
      </c>
      <c r="C1051">
        <v>1.1440999999999999</v>
      </c>
      <c r="D1051">
        <v>1.0459000000000001</v>
      </c>
      <c r="E1051">
        <v>1.0861000000000001</v>
      </c>
      <c r="F1051">
        <v>3813846.51</v>
      </c>
      <c r="G1051">
        <v>0</v>
      </c>
      <c r="L1051" t="s">
        <v>7</v>
      </c>
      <c r="M1051" t="s">
        <v>8</v>
      </c>
      <c r="N1051" t="s">
        <v>8</v>
      </c>
      <c r="P1051">
        <f t="shared" si="1024"/>
        <v>-0.18126272912423466</v>
      </c>
      <c r="Q1051">
        <f t="shared" si="1025"/>
        <v>-691308.22686353768</v>
      </c>
      <c r="R1051">
        <f t="shared" si="1026"/>
        <v>3989259.8093990432</v>
      </c>
      <c r="S1051">
        <f t="shared" si="1027"/>
        <v>39.892598093990429</v>
      </c>
      <c r="T1051">
        <f t="shared" si="1028"/>
        <v>3.9892598093990428E-2</v>
      </c>
    </row>
    <row r="1052" spans="1:20" x14ac:dyDescent="0.25">
      <c r="A1052" s="5">
        <v>43541</v>
      </c>
      <c r="B1052">
        <v>1.0728</v>
      </c>
      <c r="C1052">
        <v>1.1534</v>
      </c>
      <c r="D1052">
        <v>1.0205</v>
      </c>
      <c r="E1052">
        <v>1.1178999999999999</v>
      </c>
      <c r="F1052">
        <v>4474213.26</v>
      </c>
      <c r="G1052">
        <v>0</v>
      </c>
      <c r="L1052" t="s">
        <v>8</v>
      </c>
      <c r="M1052" t="s">
        <v>8</v>
      </c>
      <c r="N1052" t="s">
        <v>8</v>
      </c>
      <c r="P1052">
        <f t="shared" si="1024"/>
        <v>0.46576373212941941</v>
      </c>
      <c r="Q1052">
        <f t="shared" si="1025"/>
        <v>2083926.2663205361</v>
      </c>
      <c r="R1052">
        <f t="shared" si="1026"/>
        <v>4680568.0362625811</v>
      </c>
      <c r="S1052">
        <f t="shared" si="1027"/>
        <v>46.805680362625814</v>
      </c>
      <c r="T1052">
        <f t="shared" si="1028"/>
        <v>4.6805680362625814E-2</v>
      </c>
    </row>
    <row r="1053" spans="1:20" x14ac:dyDescent="0.25">
      <c r="A1053" s="5">
        <v>43540</v>
      </c>
      <c r="B1053">
        <v>1.0009999999999999</v>
      </c>
      <c r="C1053">
        <v>1.0878000000000001</v>
      </c>
      <c r="D1053">
        <v>0.99939999999999996</v>
      </c>
      <c r="E1053">
        <v>1.0724</v>
      </c>
      <c r="F1053">
        <v>4959641.29</v>
      </c>
      <c r="G1053">
        <v>0</v>
      </c>
      <c r="L1053" t="s">
        <v>8</v>
      </c>
      <c r="M1053" t="s">
        <v>8</v>
      </c>
      <c r="N1053" t="s">
        <v>7</v>
      </c>
      <c r="P1053">
        <f t="shared" si="1024"/>
        <v>0.65158371040723861</v>
      </c>
      <c r="Q1053">
        <f t="shared" si="1025"/>
        <v>3231621.4740271433</v>
      </c>
      <c r="R1053">
        <f t="shared" si="1026"/>
        <v>2596641.7699420447</v>
      </c>
      <c r="S1053">
        <f t="shared" si="1027"/>
        <v>25.966417699420447</v>
      </c>
      <c r="T1053">
        <f t="shared" si="1028"/>
        <v>2.5966417699420447E-2</v>
      </c>
    </row>
    <row r="1054" spans="1:20" x14ac:dyDescent="0.25">
      <c r="A1054" s="5">
        <v>43539</v>
      </c>
      <c r="B1054">
        <v>0.9929</v>
      </c>
      <c r="C1054">
        <v>1.0195000000000001</v>
      </c>
      <c r="D1054">
        <v>0.97419999999999995</v>
      </c>
      <c r="E1054">
        <v>1.0009999999999999</v>
      </c>
      <c r="F1054">
        <v>2054385.64</v>
      </c>
      <c r="G1054">
        <v>0</v>
      </c>
      <c r="L1054" t="s">
        <v>7</v>
      </c>
      <c r="M1054" t="s">
        <v>8</v>
      </c>
      <c r="N1054" t="s">
        <v>7</v>
      </c>
      <c r="P1054">
        <f t="shared" si="1024"/>
        <v>0.1832229580573892</v>
      </c>
      <c r="Q1054">
        <f t="shared" si="1025"/>
        <v>376410.61395142262</v>
      </c>
      <c r="R1054">
        <f t="shared" si="1026"/>
        <v>-634979.70408509846</v>
      </c>
      <c r="S1054">
        <f t="shared" si="1027"/>
        <v>-6.3497970408509845</v>
      </c>
      <c r="T1054">
        <f t="shared" si="1028"/>
        <v>-6.3497970408509848E-3</v>
      </c>
    </row>
    <row r="1055" spans="1:20" x14ac:dyDescent="0.25">
      <c r="A1055" s="5">
        <v>43538</v>
      </c>
      <c r="B1055">
        <v>1.0134000000000001</v>
      </c>
      <c r="C1055">
        <v>1.0238</v>
      </c>
      <c r="D1055">
        <v>0.95509999999999995</v>
      </c>
      <c r="E1055">
        <v>0.99260000000000004</v>
      </c>
      <c r="F1055">
        <v>3390393.16</v>
      </c>
      <c r="G1055">
        <v>0</v>
      </c>
      <c r="L1055" t="s">
        <v>7</v>
      </c>
      <c r="M1055" t="s">
        <v>8</v>
      </c>
      <c r="N1055" t="s">
        <v>7</v>
      </c>
      <c r="P1055">
        <f t="shared" si="1024"/>
        <v>9.170305676856004E-2</v>
      </c>
      <c r="Q1055">
        <f t="shared" si="1025"/>
        <v>310909.41641921765</v>
      </c>
      <c r="R1055">
        <f t="shared" si="1026"/>
        <v>-1011390.3180365211</v>
      </c>
      <c r="S1055">
        <f t="shared" si="1027"/>
        <v>-10.113903180365211</v>
      </c>
      <c r="T1055">
        <f t="shared" si="1028"/>
        <v>-1.0113903180365211E-2</v>
      </c>
    </row>
    <row r="1056" spans="1:20" x14ac:dyDescent="0.25">
      <c r="A1056" s="5">
        <v>43537</v>
      </c>
      <c r="B1056">
        <v>0.96099999999999997</v>
      </c>
      <c r="C1056">
        <v>1.0608</v>
      </c>
      <c r="D1056">
        <v>0.91959999999999997</v>
      </c>
      <c r="E1056">
        <v>1.0129999999999999</v>
      </c>
      <c r="F1056">
        <v>9727669.7400000002</v>
      </c>
      <c r="G1056">
        <v>0</v>
      </c>
      <c r="L1056" t="s">
        <v>8</v>
      </c>
      <c r="M1056" t="s">
        <v>8</v>
      </c>
      <c r="N1056" t="s">
        <v>7</v>
      </c>
      <c r="P1056">
        <f t="shared" si="1024"/>
        <v>0.32294617563739281</v>
      </c>
      <c r="Q1056">
        <f t="shared" si="1025"/>
        <v>3141513.7403965914</v>
      </c>
      <c r="R1056">
        <f t="shared" si="1026"/>
        <v>-1322299.7344557387</v>
      </c>
      <c r="S1056">
        <f t="shared" si="1027"/>
        <v>-13.222997344557387</v>
      </c>
      <c r="T1056">
        <f t="shared" si="1028"/>
        <v>-1.3222997344557386E-2</v>
      </c>
    </row>
    <row r="1057" spans="1:20" x14ac:dyDescent="0.25">
      <c r="A1057" s="5">
        <v>43536</v>
      </c>
      <c r="B1057">
        <v>0.91039999999999999</v>
      </c>
      <c r="C1057">
        <v>1.0298</v>
      </c>
      <c r="D1057">
        <v>0.87519999999999998</v>
      </c>
      <c r="E1057">
        <v>0.96109999999999995</v>
      </c>
      <c r="F1057">
        <v>6194743.1200000001</v>
      </c>
      <c r="G1057">
        <v>0</v>
      </c>
      <c r="L1057" t="s">
        <v>8</v>
      </c>
      <c r="M1057" t="s">
        <v>7</v>
      </c>
      <c r="N1057" t="s">
        <v>7</v>
      </c>
      <c r="P1057">
        <f t="shared" si="1024"/>
        <v>0.1112548512289772</v>
      </c>
      <c r="Q1057">
        <f t="shared" si="1025"/>
        <v>689195.22421733011</v>
      </c>
      <c r="R1057">
        <f t="shared" si="1026"/>
        <v>-4463813.4748523301</v>
      </c>
      <c r="S1057">
        <f t="shared" si="1027"/>
        <v>-44.638134748523299</v>
      </c>
      <c r="T1057">
        <f t="shared" si="1028"/>
        <v>-4.4638134748523302E-2</v>
      </c>
    </row>
    <row r="1058" spans="1:20" x14ac:dyDescent="0.25">
      <c r="A1058" s="5">
        <v>43535</v>
      </c>
      <c r="B1058">
        <v>0.95589999999999997</v>
      </c>
      <c r="C1058">
        <v>0.97</v>
      </c>
      <c r="D1058">
        <v>0.88090000000000002</v>
      </c>
      <c r="E1058">
        <v>0.91110000000000002</v>
      </c>
      <c r="F1058">
        <v>3019896.41</v>
      </c>
      <c r="G1058">
        <v>0</v>
      </c>
      <c r="L1058" t="s">
        <v>7</v>
      </c>
      <c r="M1058" t="s">
        <v>7</v>
      </c>
      <c r="N1058" t="s">
        <v>7</v>
      </c>
      <c r="P1058">
        <f t="shared" si="1024"/>
        <v>-0.32210998877665503</v>
      </c>
      <c r="Q1058">
        <f t="shared" si="1025"/>
        <v>-972738.79873176082</v>
      </c>
      <c r="R1058">
        <f t="shared" si="1026"/>
        <v>-5153008.6990696602</v>
      </c>
      <c r="S1058">
        <f t="shared" si="1027"/>
        <v>-51.530086990696603</v>
      </c>
      <c r="T1058">
        <f t="shared" si="1028"/>
        <v>-5.1530086990696604E-2</v>
      </c>
    </row>
    <row r="1059" spans="1:20" x14ac:dyDescent="0.25">
      <c r="A1059" s="5">
        <v>43534</v>
      </c>
      <c r="B1059">
        <v>0.98599999999999999</v>
      </c>
      <c r="C1059">
        <v>0.99639999999999995</v>
      </c>
      <c r="D1059">
        <v>0.91859999999999997</v>
      </c>
      <c r="E1059">
        <v>0.95420000000000005</v>
      </c>
      <c r="F1059">
        <v>3497874.74</v>
      </c>
      <c r="G1059">
        <v>0</v>
      </c>
      <c r="L1059" t="s">
        <v>7</v>
      </c>
      <c r="M1059" t="s">
        <v>8</v>
      </c>
      <c r="N1059" t="s">
        <v>7</v>
      </c>
      <c r="P1059">
        <f t="shared" si="1024"/>
        <v>-8.4832904884316579E-2</v>
      </c>
      <c r="Q1059">
        <f t="shared" si="1025"/>
        <v>-296734.87511567358</v>
      </c>
      <c r="R1059">
        <f t="shared" si="1026"/>
        <v>-4180269.9003378996</v>
      </c>
      <c r="S1059">
        <f t="shared" si="1027"/>
        <v>-41.802699003378997</v>
      </c>
      <c r="T1059">
        <f t="shared" si="1028"/>
        <v>-4.1802699003378997E-2</v>
      </c>
    </row>
    <row r="1060" spans="1:20" x14ac:dyDescent="0.25">
      <c r="A1060" s="5">
        <v>43533</v>
      </c>
      <c r="B1060">
        <v>0.97540000000000004</v>
      </c>
      <c r="C1060">
        <v>1.0469999999999999</v>
      </c>
      <c r="D1060">
        <v>0.95899999999999996</v>
      </c>
      <c r="E1060">
        <v>0.98599999999999999</v>
      </c>
      <c r="F1060">
        <v>3989568.01</v>
      </c>
      <c r="G1060">
        <v>0</v>
      </c>
      <c r="L1060" t="s">
        <v>8</v>
      </c>
      <c r="M1060" t="s">
        <v>8</v>
      </c>
      <c r="N1060" t="s">
        <v>7</v>
      </c>
      <c r="P1060">
        <f t="shared" si="1024"/>
        <v>-0.38636363636363558</v>
      </c>
      <c r="Q1060">
        <f t="shared" si="1025"/>
        <v>-1541424.0038636331</v>
      </c>
      <c r="R1060">
        <f t="shared" si="1026"/>
        <v>-3883535.025222226</v>
      </c>
      <c r="S1060">
        <f t="shared" si="1027"/>
        <v>-38.835350252222263</v>
      </c>
      <c r="T1060">
        <f t="shared" si="1028"/>
        <v>-3.8835350252222262E-2</v>
      </c>
    </row>
    <row r="1061" spans="1:20" x14ac:dyDescent="0.25">
      <c r="A1061" s="5">
        <v>43532</v>
      </c>
      <c r="B1061">
        <v>1.0107999999999999</v>
      </c>
      <c r="C1061">
        <v>1.06</v>
      </c>
      <c r="D1061">
        <v>0.95899999999999996</v>
      </c>
      <c r="E1061">
        <v>0.97529999999999994</v>
      </c>
      <c r="F1061">
        <v>7553506.7199999997</v>
      </c>
      <c r="G1061">
        <v>0</v>
      </c>
      <c r="L1061" t="s">
        <v>7</v>
      </c>
      <c r="M1061" t="s">
        <v>8</v>
      </c>
      <c r="N1061" t="s">
        <v>7</v>
      </c>
      <c r="P1061">
        <f t="shared" si="1024"/>
        <v>-0.67722772277227794</v>
      </c>
      <c r="Q1061">
        <f t="shared" si="1025"/>
        <v>-5115444.1549306987</v>
      </c>
      <c r="R1061">
        <f t="shared" si="1026"/>
        <v>-2342111.0213585929</v>
      </c>
      <c r="S1061">
        <f t="shared" si="1027"/>
        <v>-23.42111021358593</v>
      </c>
      <c r="T1061">
        <f t="shared" si="1028"/>
        <v>-2.3421110213585929E-2</v>
      </c>
    </row>
    <row r="1062" spans="1:20" x14ac:dyDescent="0.25">
      <c r="A1062" s="5">
        <v>43531</v>
      </c>
      <c r="B1062">
        <v>0.90029999999999999</v>
      </c>
      <c r="C1062">
        <v>1.0457000000000001</v>
      </c>
      <c r="D1062">
        <v>0.90029999999999999</v>
      </c>
      <c r="E1062">
        <v>1.0106999999999999</v>
      </c>
      <c r="F1062">
        <v>10197014.4</v>
      </c>
      <c r="G1062">
        <v>0</v>
      </c>
      <c r="L1062" t="s">
        <v>8</v>
      </c>
      <c r="M1062" t="s">
        <v>8</v>
      </c>
      <c r="N1062" t="s">
        <v>7</v>
      </c>
      <c r="P1062">
        <f t="shared" si="1024"/>
        <v>0.51856946354882916</v>
      </c>
      <c r="Q1062">
        <f t="shared" si="1025"/>
        <v>5287860.2872076863</v>
      </c>
      <c r="R1062">
        <f t="shared" si="1026"/>
        <v>2773333.1335721058</v>
      </c>
      <c r="S1062">
        <f t="shared" si="1027"/>
        <v>27.733331335721058</v>
      </c>
      <c r="T1062">
        <f t="shared" si="1028"/>
        <v>2.7733331335721059E-2</v>
      </c>
    </row>
    <row r="1063" spans="1:20" x14ac:dyDescent="0.25">
      <c r="A1063" s="5">
        <v>43530</v>
      </c>
      <c r="B1063">
        <v>0.91849999999999998</v>
      </c>
      <c r="C1063">
        <v>0.92659999999999998</v>
      </c>
      <c r="D1063">
        <v>0.88049999999999995</v>
      </c>
      <c r="E1063">
        <v>0.90110000000000001</v>
      </c>
      <c r="F1063">
        <v>3989043.48</v>
      </c>
      <c r="G1063">
        <v>0</v>
      </c>
      <c r="L1063" t="s">
        <v>8</v>
      </c>
      <c r="M1063" t="s">
        <v>8</v>
      </c>
      <c r="N1063" t="s">
        <v>7</v>
      </c>
      <c r="P1063">
        <f t="shared" si="1024"/>
        <v>-0.10629067245119092</v>
      </c>
      <c r="Q1063">
        <f t="shared" si="1025"/>
        <v>-423998.11392623873</v>
      </c>
      <c r="R1063">
        <f t="shared" si="1026"/>
        <v>-2514527.1536355806</v>
      </c>
      <c r="S1063">
        <f t="shared" si="1027"/>
        <v>-25.145271536355807</v>
      </c>
      <c r="T1063">
        <f t="shared" si="1028"/>
        <v>-2.5145271536355807E-2</v>
      </c>
    </row>
    <row r="1064" spans="1:20" x14ac:dyDescent="0.25">
      <c r="A1064" s="5">
        <v>43529</v>
      </c>
      <c r="B1064">
        <v>0.79500000000000004</v>
      </c>
      <c r="C1064">
        <v>0.92700000000000005</v>
      </c>
      <c r="D1064">
        <v>0.76559999999999995</v>
      </c>
      <c r="E1064">
        <v>0.91949999999999998</v>
      </c>
      <c r="F1064">
        <v>7362256.8899999997</v>
      </c>
      <c r="G1064">
        <v>0</v>
      </c>
      <c r="L1064" t="s">
        <v>7</v>
      </c>
      <c r="M1064" t="s">
        <v>8</v>
      </c>
      <c r="N1064" t="s">
        <v>7</v>
      </c>
      <c r="P1064">
        <f t="shared" si="1024"/>
        <v>0.90706319702602156</v>
      </c>
      <c r="Q1064">
        <f t="shared" si="1025"/>
        <v>6678032.2719702544</v>
      </c>
      <c r="R1064">
        <f t="shared" si="1026"/>
        <v>-2090529.0397093417</v>
      </c>
      <c r="S1064">
        <f t="shared" si="1027"/>
        <v>-20.905290397093417</v>
      </c>
      <c r="T1064">
        <f t="shared" si="1028"/>
        <v>-2.0905290397093417E-2</v>
      </c>
    </row>
    <row r="1065" spans="1:20" x14ac:dyDescent="0.25">
      <c r="A1065" s="5">
        <v>43528</v>
      </c>
      <c r="B1065">
        <v>0.87609999999999999</v>
      </c>
      <c r="C1065">
        <v>0.88109999999999999</v>
      </c>
      <c r="D1065">
        <v>0.77370000000000005</v>
      </c>
      <c r="E1065">
        <v>0.79459999999999997</v>
      </c>
      <c r="F1065">
        <v>5340675.0599999996</v>
      </c>
      <c r="G1065">
        <v>0</v>
      </c>
      <c r="L1065" t="s">
        <v>7</v>
      </c>
      <c r="M1065" t="s">
        <v>7</v>
      </c>
      <c r="N1065" t="s">
        <v>7</v>
      </c>
      <c r="P1065">
        <f t="shared" si="1024"/>
        <v>-0.61080074487895841</v>
      </c>
      <c r="Q1065">
        <f t="shared" si="1025"/>
        <v>-3262088.3048044755</v>
      </c>
      <c r="R1065">
        <f t="shared" si="1026"/>
        <v>-8768561.3116795961</v>
      </c>
      <c r="S1065">
        <f t="shared" si="1027"/>
        <v>-87.685613116795963</v>
      </c>
      <c r="T1065">
        <f t="shared" si="1028"/>
        <v>-8.7685613116795957E-2</v>
      </c>
    </row>
    <row r="1066" spans="1:20" x14ac:dyDescent="0.25">
      <c r="A1066" s="5">
        <v>43527</v>
      </c>
      <c r="B1066">
        <v>0.87909999999999999</v>
      </c>
      <c r="C1066">
        <v>0.90090000000000003</v>
      </c>
      <c r="D1066">
        <v>0.86399999999999999</v>
      </c>
      <c r="E1066">
        <v>0.87629999999999997</v>
      </c>
      <c r="F1066">
        <v>1336209.74</v>
      </c>
      <c r="G1066">
        <v>0</v>
      </c>
      <c r="L1066" t="s">
        <v>7</v>
      </c>
      <c r="M1066" t="s">
        <v>7</v>
      </c>
      <c r="N1066" t="s">
        <v>8</v>
      </c>
      <c r="P1066">
        <f t="shared" si="1024"/>
        <v>-0.33333333333333531</v>
      </c>
      <c r="Q1066">
        <f t="shared" si="1025"/>
        <v>-445403.24666666932</v>
      </c>
      <c r="R1066">
        <f t="shared" si="1026"/>
        <v>-5506473.006875121</v>
      </c>
      <c r="S1066">
        <f t="shared" si="1027"/>
        <v>-55.06473006875121</v>
      </c>
      <c r="T1066">
        <f t="shared" si="1028"/>
        <v>-5.5064730068751212E-2</v>
      </c>
    </row>
    <row r="1067" spans="1:20" x14ac:dyDescent="0.25">
      <c r="A1067" s="5">
        <v>43526</v>
      </c>
      <c r="B1067">
        <v>0.92820000000000003</v>
      </c>
      <c r="C1067">
        <v>0.92959999999999998</v>
      </c>
      <c r="D1067">
        <v>0.85940000000000005</v>
      </c>
      <c r="E1067">
        <v>0.87890000000000001</v>
      </c>
      <c r="F1067">
        <v>2827768.11</v>
      </c>
      <c r="G1067">
        <v>0</v>
      </c>
      <c r="L1067" t="s">
        <v>7</v>
      </c>
      <c r="M1067" t="s">
        <v>7</v>
      </c>
      <c r="N1067" t="s">
        <v>8</v>
      </c>
      <c r="P1067">
        <f t="shared" si="1024"/>
        <v>-0.44444444444444497</v>
      </c>
      <c r="Q1067">
        <f t="shared" si="1025"/>
        <v>-1256785.8266666681</v>
      </c>
      <c r="R1067">
        <f t="shared" si="1026"/>
        <v>-5061069.7602084521</v>
      </c>
      <c r="S1067">
        <f t="shared" si="1027"/>
        <v>-50.610697602084521</v>
      </c>
      <c r="T1067">
        <f t="shared" si="1028"/>
        <v>-5.0610697602084524E-2</v>
      </c>
    </row>
    <row r="1068" spans="1:20" x14ac:dyDescent="0.25">
      <c r="A1068" s="5">
        <v>43525</v>
      </c>
      <c r="B1068">
        <v>0.90129999999999999</v>
      </c>
      <c r="C1068">
        <v>0.95369999999999999</v>
      </c>
      <c r="D1068">
        <v>0.8891</v>
      </c>
      <c r="E1068">
        <v>0.92820000000000003</v>
      </c>
      <c r="F1068">
        <v>3571668.59</v>
      </c>
      <c r="G1068">
        <v>0</v>
      </c>
      <c r="L1068" t="s">
        <v>8</v>
      </c>
      <c r="M1068" t="s">
        <v>7</v>
      </c>
      <c r="N1068" t="s">
        <v>8</v>
      </c>
      <c r="P1068">
        <f t="shared" si="1024"/>
        <v>0.21052631578947459</v>
      </c>
      <c r="Q1068">
        <f t="shared" si="1025"/>
        <v>751930.22947368736</v>
      </c>
      <c r="R1068">
        <f t="shared" si="1026"/>
        <v>-3804283.9335417845</v>
      </c>
      <c r="S1068">
        <f t="shared" si="1027"/>
        <v>-38.042839335417845</v>
      </c>
      <c r="T1068">
        <f t="shared" si="1028"/>
        <v>-3.8042839335417848E-2</v>
      </c>
    </row>
    <row r="1069" spans="1:20" x14ac:dyDescent="0.25">
      <c r="A1069" s="5">
        <v>43524</v>
      </c>
      <c r="B1069">
        <v>0.89780000000000004</v>
      </c>
      <c r="C1069">
        <v>0.95099999999999996</v>
      </c>
      <c r="D1069">
        <v>0.87649999999999995</v>
      </c>
      <c r="E1069">
        <v>0.90110000000000001</v>
      </c>
      <c r="F1069">
        <v>6720047.96</v>
      </c>
      <c r="G1069">
        <v>0</v>
      </c>
      <c r="L1069" t="s">
        <v>8</v>
      </c>
      <c r="M1069" t="s">
        <v>7</v>
      </c>
      <c r="N1069" t="s">
        <v>8</v>
      </c>
      <c r="P1069">
        <f t="shared" si="1024"/>
        <v>-0.33959731543623994</v>
      </c>
      <c r="Q1069">
        <f t="shared" si="1025"/>
        <v>-2282110.2468187809</v>
      </c>
      <c r="R1069">
        <f t="shared" si="1026"/>
        <v>-4556214.1630154718</v>
      </c>
      <c r="S1069">
        <f t="shared" si="1027"/>
        <v>-45.56214163015472</v>
      </c>
      <c r="T1069">
        <f t="shared" si="1028"/>
        <v>-4.5562141630154721E-2</v>
      </c>
    </row>
    <row r="1070" spans="1:20" x14ac:dyDescent="0.25">
      <c r="A1070" s="5">
        <v>43523</v>
      </c>
      <c r="B1070">
        <v>0.90600000000000003</v>
      </c>
      <c r="C1070">
        <v>0.91800000000000004</v>
      </c>
      <c r="D1070">
        <v>0.85199999999999998</v>
      </c>
      <c r="E1070">
        <v>0.8992</v>
      </c>
      <c r="F1070">
        <v>6800261.9299999997</v>
      </c>
      <c r="G1070">
        <v>0</v>
      </c>
      <c r="L1070" t="s">
        <v>7</v>
      </c>
      <c r="M1070" t="s">
        <v>7</v>
      </c>
      <c r="N1070" t="s">
        <v>8</v>
      </c>
      <c r="P1070">
        <f t="shared" si="1024"/>
        <v>0.43030303030302963</v>
      </c>
      <c r="Q1070">
        <f t="shared" si="1025"/>
        <v>2926173.3153333287</v>
      </c>
      <c r="R1070">
        <f t="shared" si="1026"/>
        <v>-2274103.9161966904</v>
      </c>
      <c r="S1070">
        <f t="shared" si="1027"/>
        <v>-22.741039161966903</v>
      </c>
      <c r="T1070">
        <f t="shared" si="1028"/>
        <v>-2.2741039161966903E-2</v>
      </c>
    </row>
    <row r="1071" spans="1:20" x14ac:dyDescent="0.25">
      <c r="A1071" s="5">
        <v>43522</v>
      </c>
      <c r="B1071">
        <v>0.97709999999999997</v>
      </c>
      <c r="C1071">
        <v>1.0052000000000001</v>
      </c>
      <c r="D1071">
        <v>0.88109999999999999</v>
      </c>
      <c r="E1071">
        <v>0.90680000000000005</v>
      </c>
      <c r="F1071">
        <v>8461831.6099999994</v>
      </c>
      <c r="G1071">
        <v>0</v>
      </c>
      <c r="L1071" t="s">
        <v>7</v>
      </c>
      <c r="M1071" t="s">
        <v>7</v>
      </c>
      <c r="N1071" t="s">
        <v>8</v>
      </c>
      <c r="P1071">
        <f t="shared" si="1024"/>
        <v>-0.58581788879935481</v>
      </c>
      <c r="Q1071">
        <f t="shared" si="1025"/>
        <v>-4957092.329145845</v>
      </c>
      <c r="R1071">
        <f t="shared" si="1026"/>
        <v>-5200277.2315300191</v>
      </c>
      <c r="S1071">
        <f t="shared" si="1027"/>
        <v>-52.002772315300192</v>
      </c>
      <c r="T1071">
        <f t="shared" si="1028"/>
        <v>-5.2002772315300191E-2</v>
      </c>
    </row>
    <row r="1072" spans="1:20" x14ac:dyDescent="0.25">
      <c r="A1072" s="5">
        <v>43521</v>
      </c>
      <c r="B1072">
        <v>0.97950000000000004</v>
      </c>
      <c r="C1072">
        <v>1.0429999999999999</v>
      </c>
      <c r="D1072">
        <v>0.91039999999999999</v>
      </c>
      <c r="E1072">
        <v>0.97729999999999995</v>
      </c>
      <c r="F1072">
        <v>23767645.84</v>
      </c>
      <c r="G1072">
        <v>0</v>
      </c>
      <c r="L1072" t="s">
        <v>7</v>
      </c>
      <c r="M1072" t="s">
        <v>7</v>
      </c>
      <c r="N1072" t="s">
        <v>8</v>
      </c>
      <c r="P1072">
        <f t="shared" si="1024"/>
        <v>9.0497737556559533E-3</v>
      </c>
      <c r="Q1072">
        <f t="shared" si="1025"/>
        <v>215091.81755655739</v>
      </c>
      <c r="R1072">
        <f t="shared" si="1026"/>
        <v>-243184.90238417391</v>
      </c>
      <c r="S1072">
        <f t="shared" si="1027"/>
        <v>-2.431849023841739</v>
      </c>
      <c r="T1072">
        <f t="shared" si="1028"/>
        <v>-2.4318490238417392E-3</v>
      </c>
    </row>
    <row r="1073" spans="1:20" x14ac:dyDescent="0.25">
      <c r="A1073" s="5">
        <v>43520</v>
      </c>
      <c r="B1073">
        <v>0.96509999999999996</v>
      </c>
      <c r="C1073">
        <v>1.1980999999999999</v>
      </c>
      <c r="D1073">
        <v>0.84099999999999997</v>
      </c>
      <c r="E1073">
        <v>0.97840000000000005</v>
      </c>
      <c r="F1073">
        <v>46356087.313000001</v>
      </c>
      <c r="G1073">
        <v>0</v>
      </c>
      <c r="L1073" t="s">
        <v>8</v>
      </c>
      <c r="M1073" t="s">
        <v>8</v>
      </c>
      <c r="N1073" t="s">
        <v>8</v>
      </c>
      <c r="P1073">
        <f t="shared" si="1024"/>
        <v>-0.23046765611873377</v>
      </c>
      <c r="Q1073">
        <f t="shared" si="1025"/>
        <v>-10683578.789862482</v>
      </c>
      <c r="R1073">
        <f t="shared" si="1026"/>
        <v>-458276.7199407313</v>
      </c>
      <c r="S1073">
        <f t="shared" si="1027"/>
        <v>-4.5827671994073134</v>
      </c>
      <c r="T1073">
        <f t="shared" si="1028"/>
        <v>-4.5827671994073133E-3</v>
      </c>
    </row>
    <row r="1074" spans="1:20" x14ac:dyDescent="0.25">
      <c r="A1074" s="5">
        <v>43519</v>
      </c>
      <c r="B1074">
        <v>0.81320000000000003</v>
      </c>
      <c r="C1074">
        <v>0.998</v>
      </c>
      <c r="D1074">
        <v>0.80330000000000001</v>
      </c>
      <c r="E1074">
        <v>0.96660000000000001</v>
      </c>
      <c r="F1074">
        <v>21873559.943</v>
      </c>
      <c r="G1074">
        <v>0</v>
      </c>
      <c r="L1074" t="s">
        <v>8</v>
      </c>
      <c r="M1074" t="s">
        <v>8</v>
      </c>
      <c r="N1074" t="s">
        <v>8</v>
      </c>
      <c r="P1074">
        <f t="shared" si="1024"/>
        <v>0.67745249101181315</v>
      </c>
      <c r="Q1074">
        <f t="shared" si="1025"/>
        <v>14818297.670681564</v>
      </c>
      <c r="R1074">
        <f t="shared" si="1026"/>
        <v>10225302.069921751</v>
      </c>
      <c r="S1074">
        <f t="shared" si="1027"/>
        <v>102.2530206992175</v>
      </c>
      <c r="T1074">
        <f t="shared" si="1028"/>
        <v>0.1022530206992175</v>
      </c>
    </row>
    <row r="1075" spans="1:20" x14ac:dyDescent="0.25">
      <c r="A1075" s="5">
        <v>43518</v>
      </c>
      <c r="B1075">
        <v>0.73419999999999996</v>
      </c>
      <c r="C1075">
        <v>0.83650000000000002</v>
      </c>
      <c r="D1075">
        <v>0.73299999999999998</v>
      </c>
      <c r="E1075">
        <v>0.81279999999999997</v>
      </c>
      <c r="F1075">
        <v>10694011.905999999</v>
      </c>
      <c r="G1075">
        <v>0</v>
      </c>
      <c r="L1075" t="s">
        <v>8</v>
      </c>
      <c r="M1075" t="s">
        <v>8</v>
      </c>
      <c r="N1075" t="s">
        <v>8</v>
      </c>
      <c r="P1075">
        <f t="shared" si="1024"/>
        <v>0.54202898550724554</v>
      </c>
      <c r="Q1075">
        <f t="shared" si="1025"/>
        <v>5796464.4244115846</v>
      </c>
      <c r="R1075">
        <f t="shared" si="1026"/>
        <v>-4592995.6007598126</v>
      </c>
      <c r="S1075">
        <f t="shared" si="1027"/>
        <v>-45.929956007598129</v>
      </c>
      <c r="T1075">
        <f t="shared" si="1028"/>
        <v>-4.5929956007598131E-2</v>
      </c>
    </row>
    <row r="1076" spans="1:20" x14ac:dyDescent="0.25">
      <c r="A1076" s="5">
        <v>43517</v>
      </c>
      <c r="B1076">
        <v>0.74909999999999999</v>
      </c>
      <c r="C1076">
        <v>0.76600000000000001</v>
      </c>
      <c r="D1076">
        <v>0.69979999999999998</v>
      </c>
      <c r="E1076">
        <v>0.73460000000000003</v>
      </c>
      <c r="F1076">
        <v>6458954.79</v>
      </c>
      <c r="G1076">
        <v>0</v>
      </c>
      <c r="L1076" t="s">
        <v>7</v>
      </c>
      <c r="M1076" t="s">
        <v>8</v>
      </c>
      <c r="N1076" t="s">
        <v>8</v>
      </c>
      <c r="P1076">
        <f t="shared" si="1024"/>
        <v>5.1359516616315222E-2</v>
      </c>
      <c r="Q1076">
        <f t="shared" si="1025"/>
        <v>331728.79586103378</v>
      </c>
      <c r="R1076">
        <f t="shared" si="1026"/>
        <v>-10389460.025171397</v>
      </c>
      <c r="S1076">
        <f t="shared" si="1027"/>
        <v>-103.89460025171397</v>
      </c>
      <c r="T1076">
        <f t="shared" si="1028"/>
        <v>-0.10389460025171397</v>
      </c>
    </row>
    <row r="1077" spans="1:20" x14ac:dyDescent="0.25">
      <c r="A1077" s="5">
        <v>43516</v>
      </c>
      <c r="B1077">
        <v>0.68120000000000003</v>
      </c>
      <c r="C1077">
        <v>0.76739999999999997</v>
      </c>
      <c r="D1077">
        <v>0.65849999999999997</v>
      </c>
      <c r="E1077">
        <v>0.749</v>
      </c>
      <c r="F1077">
        <v>7088711.8300000001</v>
      </c>
      <c r="G1077">
        <v>0</v>
      </c>
      <c r="L1077" t="s">
        <v>8</v>
      </c>
      <c r="M1077" t="s">
        <v>8</v>
      </c>
      <c r="N1077" t="s">
        <v>8</v>
      </c>
      <c r="P1077">
        <f t="shared" si="1024"/>
        <v>0.66207529843893531</v>
      </c>
      <c r="Q1077">
        <f t="shared" si="1025"/>
        <v>4693261.0003948612</v>
      </c>
      <c r="R1077">
        <f t="shared" si="1026"/>
        <v>-10721188.821032431</v>
      </c>
      <c r="S1077">
        <f t="shared" si="1027"/>
        <v>-107.2118882103243</v>
      </c>
      <c r="T1077">
        <f t="shared" si="1028"/>
        <v>-0.1072118882103243</v>
      </c>
    </row>
    <row r="1078" spans="1:20" x14ac:dyDescent="0.25">
      <c r="A1078" s="5">
        <v>43515</v>
      </c>
      <c r="B1078">
        <v>0.67979999999999996</v>
      </c>
      <c r="C1078">
        <v>0.72609999999999997</v>
      </c>
      <c r="D1078">
        <v>0.66600000000000004</v>
      </c>
      <c r="E1078">
        <v>0.68059999999999998</v>
      </c>
      <c r="F1078">
        <v>9423697.5</v>
      </c>
      <c r="G1078">
        <v>0</v>
      </c>
      <c r="L1078" t="s">
        <v>8</v>
      </c>
      <c r="M1078" t="s">
        <v>8</v>
      </c>
      <c r="N1078" t="s">
        <v>8</v>
      </c>
      <c r="P1078">
        <f t="shared" si="1024"/>
        <v>-0.51414309484193133</v>
      </c>
      <c r="Q1078">
        <f t="shared" si="1025"/>
        <v>-4845128.997504171</v>
      </c>
      <c r="R1078">
        <f t="shared" si="1026"/>
        <v>-15414449.821427293</v>
      </c>
      <c r="S1078">
        <f t="shared" si="1027"/>
        <v>-154.14449821427294</v>
      </c>
      <c r="T1078">
        <f t="shared" si="1028"/>
        <v>-0.15414449821427295</v>
      </c>
    </row>
    <row r="1079" spans="1:20" x14ac:dyDescent="0.25">
      <c r="A1079" s="5">
        <v>43514</v>
      </c>
      <c r="B1079">
        <v>0.64700000000000002</v>
      </c>
      <c r="C1079">
        <v>0.68300000000000005</v>
      </c>
      <c r="D1079">
        <v>0.63419999999999999</v>
      </c>
      <c r="E1079">
        <v>0.67910000000000004</v>
      </c>
      <c r="F1079">
        <v>7517901.1399999997</v>
      </c>
      <c r="G1079">
        <v>0</v>
      </c>
      <c r="L1079" t="s">
        <v>8</v>
      </c>
      <c r="M1079" t="s">
        <v>8</v>
      </c>
      <c r="N1079" t="s">
        <v>8</v>
      </c>
      <c r="P1079">
        <f t="shared" si="1024"/>
        <v>0.84016393442622916</v>
      </c>
      <c r="Q1079">
        <f t="shared" si="1025"/>
        <v>6316269.4004098335</v>
      </c>
      <c r="R1079">
        <f t="shared" si="1026"/>
        <v>-10569320.823923122</v>
      </c>
      <c r="S1079">
        <f t="shared" si="1027"/>
        <v>-105.69320823923123</v>
      </c>
      <c r="T1079">
        <f t="shared" si="1028"/>
        <v>-0.10569320823923123</v>
      </c>
    </row>
    <row r="1080" spans="1:20" x14ac:dyDescent="0.25">
      <c r="A1080" s="5">
        <v>43513</v>
      </c>
      <c r="B1080">
        <v>0.62329999999999997</v>
      </c>
      <c r="C1080">
        <v>0.67800000000000005</v>
      </c>
      <c r="D1080">
        <v>0.62</v>
      </c>
      <c r="E1080">
        <v>0.64690000000000003</v>
      </c>
      <c r="F1080">
        <v>6798750.9699999997</v>
      </c>
      <c r="G1080">
        <v>0</v>
      </c>
      <c r="L1080" t="s">
        <v>7</v>
      </c>
      <c r="M1080" t="s">
        <v>8</v>
      </c>
      <c r="N1080" t="s">
        <v>8</v>
      </c>
      <c r="P1080">
        <f t="shared" si="1024"/>
        <v>-7.2413793103447893E-2</v>
      </c>
      <c r="Q1080">
        <f t="shared" si="1025"/>
        <v>-492323.34610344563</v>
      </c>
      <c r="R1080">
        <f t="shared" si="1026"/>
        <v>-16885590.224332955</v>
      </c>
      <c r="S1080">
        <f t="shared" si="1027"/>
        <v>-168.85590224332955</v>
      </c>
      <c r="T1080">
        <f t="shared" si="1028"/>
        <v>-0.16885590224332955</v>
      </c>
    </row>
    <row r="1081" spans="1:20" x14ac:dyDescent="0.25">
      <c r="A1081" s="5">
        <v>43512</v>
      </c>
      <c r="B1081">
        <v>0.67090000000000005</v>
      </c>
      <c r="C1081">
        <v>0.71560000000000001</v>
      </c>
      <c r="D1081">
        <v>0.62290000000000001</v>
      </c>
      <c r="E1081">
        <v>0.62329999999999997</v>
      </c>
      <c r="F1081">
        <v>16687442.689999999</v>
      </c>
      <c r="G1081">
        <v>0</v>
      </c>
      <c r="L1081" t="s">
        <v>8</v>
      </c>
      <c r="M1081" t="s">
        <v>8</v>
      </c>
      <c r="N1081" t="s">
        <v>8</v>
      </c>
      <c r="P1081">
        <f t="shared" si="1024"/>
        <v>-0.99137001078748743</v>
      </c>
      <c r="Q1081">
        <f t="shared" si="1025"/>
        <v>-16543430.239600878</v>
      </c>
      <c r="R1081">
        <f t="shared" si="1026"/>
        <v>-16393266.87822951</v>
      </c>
      <c r="S1081">
        <f t="shared" si="1027"/>
        <v>-163.93266878229511</v>
      </c>
      <c r="T1081">
        <f t="shared" si="1028"/>
        <v>-0.16393266878229512</v>
      </c>
    </row>
    <row r="1082" spans="1:20" x14ac:dyDescent="0.25">
      <c r="A1082" s="5">
        <v>43511</v>
      </c>
      <c r="B1082">
        <v>0.56640000000000001</v>
      </c>
      <c r="C1082">
        <v>0.68320000000000003</v>
      </c>
      <c r="D1082">
        <v>0.5615</v>
      </c>
      <c r="E1082">
        <v>0.66920000000000002</v>
      </c>
      <c r="F1082">
        <v>16754858.92</v>
      </c>
      <c r="G1082">
        <v>0</v>
      </c>
      <c r="L1082" t="s">
        <v>8</v>
      </c>
      <c r="M1082" t="s">
        <v>8</v>
      </c>
      <c r="N1082" t="s">
        <v>8</v>
      </c>
      <c r="P1082">
        <f t="shared" si="1024"/>
        <v>0.76992604765817574</v>
      </c>
      <c r="Q1082">
        <f t="shared" si="1025"/>
        <v>12900002.30734593</v>
      </c>
      <c r="R1082">
        <f t="shared" si="1026"/>
        <v>150163.36137136817</v>
      </c>
      <c r="S1082">
        <f t="shared" si="1027"/>
        <v>1.5016336137136816</v>
      </c>
      <c r="T1082">
        <f t="shared" si="1028"/>
        <v>1.5016336137136817E-3</v>
      </c>
    </row>
    <row r="1083" spans="1:20" x14ac:dyDescent="0.25">
      <c r="A1083" s="5">
        <v>43510</v>
      </c>
      <c r="B1083">
        <v>0.57750000000000001</v>
      </c>
      <c r="C1083">
        <v>0.58260000000000001</v>
      </c>
      <c r="D1083">
        <v>0.55879999999999996</v>
      </c>
      <c r="E1083">
        <v>0.56630000000000003</v>
      </c>
      <c r="F1083">
        <v>948670.4</v>
      </c>
      <c r="G1083">
        <v>0</v>
      </c>
      <c r="L1083" t="s">
        <v>7</v>
      </c>
      <c r="M1083" t="s">
        <v>8</v>
      </c>
      <c r="N1083" t="s">
        <v>7</v>
      </c>
      <c r="P1083">
        <f t="shared" si="1024"/>
        <v>-0.36974789915965978</v>
      </c>
      <c r="Q1083">
        <f t="shared" si="1025"/>
        <v>-350768.8873949541</v>
      </c>
      <c r="R1083">
        <f t="shared" si="1026"/>
        <v>-12749838.945974562</v>
      </c>
      <c r="S1083">
        <f t="shared" si="1027"/>
        <v>-127.49838945974562</v>
      </c>
      <c r="T1083">
        <f t="shared" si="1028"/>
        <v>-0.12749838945974562</v>
      </c>
    </row>
    <row r="1084" spans="1:20" x14ac:dyDescent="0.25">
      <c r="A1084" s="5">
        <v>43509</v>
      </c>
      <c r="B1084">
        <v>0.57769999999999999</v>
      </c>
      <c r="C1084">
        <v>0.61</v>
      </c>
      <c r="D1084">
        <v>0.57010000000000005</v>
      </c>
      <c r="E1084">
        <v>0.57699999999999996</v>
      </c>
      <c r="F1084">
        <v>2694139.18</v>
      </c>
      <c r="G1084">
        <v>0</v>
      </c>
      <c r="L1084" t="s">
        <v>8</v>
      </c>
      <c r="M1084" t="s">
        <v>8</v>
      </c>
      <c r="N1084" t="s">
        <v>7</v>
      </c>
      <c r="P1084">
        <f t="shared" si="1024"/>
        <v>-0.65413533834586879</v>
      </c>
      <c r="Q1084">
        <f t="shared" si="1025"/>
        <v>-1762331.6440601617</v>
      </c>
      <c r="R1084">
        <f t="shared" si="1026"/>
        <v>-12399070.058579609</v>
      </c>
      <c r="S1084">
        <f t="shared" si="1027"/>
        <v>-123.99070058579609</v>
      </c>
      <c r="T1084">
        <f t="shared" si="1028"/>
        <v>-0.12399070058579609</v>
      </c>
    </row>
    <row r="1085" spans="1:20" x14ac:dyDescent="0.25">
      <c r="A1085" s="5">
        <v>43508</v>
      </c>
      <c r="B1085">
        <v>0.57899999999999996</v>
      </c>
      <c r="C1085">
        <v>0.5887</v>
      </c>
      <c r="D1085">
        <v>0.56169999999999998</v>
      </c>
      <c r="E1085">
        <v>0.57899999999999996</v>
      </c>
      <c r="F1085">
        <v>2398179.4500000002</v>
      </c>
      <c r="G1085">
        <v>0</v>
      </c>
      <c r="L1085" t="s">
        <v>7</v>
      </c>
      <c r="M1085" t="s">
        <v>8</v>
      </c>
      <c r="N1085" t="s">
        <v>7</v>
      </c>
      <c r="P1085">
        <f t="shared" si="1024"/>
        <v>0.281481481481479</v>
      </c>
      <c r="Q1085">
        <f t="shared" si="1025"/>
        <v>675043.10444443859</v>
      </c>
      <c r="R1085">
        <f t="shared" si="1026"/>
        <v>-10636738.414519448</v>
      </c>
      <c r="S1085">
        <f t="shared" si="1027"/>
        <v>-106.36738414519448</v>
      </c>
      <c r="T1085">
        <f t="shared" si="1028"/>
        <v>-0.10636738414519448</v>
      </c>
    </row>
    <row r="1086" spans="1:20" x14ac:dyDescent="0.25">
      <c r="A1086" s="5">
        <v>43507</v>
      </c>
      <c r="B1086">
        <v>0.58730000000000004</v>
      </c>
      <c r="C1086">
        <v>0.58740000000000003</v>
      </c>
      <c r="D1086">
        <v>0.56699999999999995</v>
      </c>
      <c r="E1086">
        <v>0.57899999999999996</v>
      </c>
      <c r="F1086">
        <v>1574369.06</v>
      </c>
      <c r="G1086">
        <v>0</v>
      </c>
      <c r="L1086" t="s">
        <v>7</v>
      </c>
      <c r="M1086" t="s">
        <v>8</v>
      </c>
      <c r="N1086" t="s">
        <v>7</v>
      </c>
      <c r="P1086">
        <f t="shared" si="1024"/>
        <v>0.17647058823529027</v>
      </c>
      <c r="Q1086">
        <f t="shared" si="1025"/>
        <v>277829.83411764103</v>
      </c>
      <c r="R1086">
        <f t="shared" si="1026"/>
        <v>-11311781.518963886</v>
      </c>
      <c r="S1086">
        <f t="shared" si="1027"/>
        <v>-113.11781518963886</v>
      </c>
      <c r="T1086">
        <f t="shared" si="1028"/>
        <v>-0.11311781518963886</v>
      </c>
    </row>
    <row r="1087" spans="1:20" x14ac:dyDescent="0.25">
      <c r="A1087" s="5">
        <v>43506</v>
      </c>
      <c r="B1087">
        <v>0.57899999999999996</v>
      </c>
      <c r="C1087">
        <v>0.58830000000000005</v>
      </c>
      <c r="D1087">
        <v>0.55779999999999996</v>
      </c>
      <c r="E1087">
        <v>0.58709999999999996</v>
      </c>
      <c r="F1087">
        <v>2117894.04</v>
      </c>
      <c r="G1087">
        <v>0</v>
      </c>
      <c r="L1087" t="s">
        <v>7</v>
      </c>
      <c r="M1087" t="s">
        <v>8</v>
      </c>
      <c r="N1087" t="s">
        <v>7</v>
      </c>
      <c r="P1087">
        <f t="shared" ref="P1087:P1150" si="1029">IF(C1087=D1087,0,((E1087-D1087)-(C1087-E1087))/(C1087-D1087))</f>
        <v>0.92131147540983038</v>
      </c>
      <c r="Q1087">
        <f t="shared" ref="Q1087:Q1150" si="1030">F1087*P1087</f>
        <v>1951240.0827540865</v>
      </c>
      <c r="R1087">
        <f t="shared" ref="R1087:R1150" si="1031">R1088+Q1087</f>
        <v>-11589611.353081528</v>
      </c>
      <c r="S1087">
        <f t="shared" ref="S1087:S1150" si="1032">R1087/100000</f>
        <v>-115.89611353081528</v>
      </c>
      <c r="T1087">
        <f t="shared" ref="T1087:T1150" si="1033">S1087/1000</f>
        <v>-0.11589611353081529</v>
      </c>
    </row>
    <row r="1088" spans="1:20" x14ac:dyDescent="0.25">
      <c r="A1088" s="5">
        <v>43505</v>
      </c>
      <c r="B1088">
        <v>0.56289999999999996</v>
      </c>
      <c r="C1088">
        <v>0.60350000000000004</v>
      </c>
      <c r="D1088">
        <v>0.55300000000000005</v>
      </c>
      <c r="E1088">
        <v>0.57879999999999998</v>
      </c>
      <c r="F1088">
        <v>3089286.41</v>
      </c>
      <c r="G1088">
        <v>0</v>
      </c>
      <c r="L1088" t="s">
        <v>8</v>
      </c>
      <c r="M1088" t="s">
        <v>8</v>
      </c>
      <c r="N1088" t="s">
        <v>7</v>
      </c>
      <c r="P1088">
        <f t="shared" si="1029"/>
        <v>2.1782178217819387E-2</v>
      </c>
      <c r="Q1088">
        <f t="shared" si="1030"/>
        <v>67291.387148507449</v>
      </c>
      <c r="R1088">
        <f t="shared" si="1031"/>
        <v>-13540851.435835615</v>
      </c>
      <c r="S1088">
        <f t="shared" si="1032"/>
        <v>-135.40851435835614</v>
      </c>
      <c r="T1088">
        <f t="shared" si="1033"/>
        <v>-0.13540851435835613</v>
      </c>
    </row>
    <row r="1089" spans="1:20" x14ac:dyDescent="0.25">
      <c r="A1089" s="5">
        <v>43504</v>
      </c>
      <c r="B1089">
        <v>0.51700000000000002</v>
      </c>
      <c r="C1089">
        <v>0.57989999999999997</v>
      </c>
      <c r="D1089">
        <v>0.51459999999999995</v>
      </c>
      <c r="E1089">
        <v>0.56230000000000002</v>
      </c>
      <c r="F1089">
        <v>2694230.11</v>
      </c>
      <c r="G1089">
        <v>0</v>
      </c>
      <c r="L1089" t="s">
        <v>8</v>
      </c>
      <c r="M1089" t="s">
        <v>7</v>
      </c>
      <c r="N1089" t="s">
        <v>7</v>
      </c>
      <c r="P1089">
        <f t="shared" si="1029"/>
        <v>0.4609494640122529</v>
      </c>
      <c r="Q1089">
        <f t="shared" si="1030"/>
        <v>1241903.9251301731</v>
      </c>
      <c r="R1089">
        <f t="shared" si="1031"/>
        <v>-13608142.822984122</v>
      </c>
      <c r="S1089">
        <f t="shared" si="1032"/>
        <v>-136.08142822984121</v>
      </c>
      <c r="T1089">
        <f t="shared" si="1033"/>
        <v>-0.13608142822984121</v>
      </c>
    </row>
    <row r="1090" spans="1:20" x14ac:dyDescent="0.25">
      <c r="A1090" s="5">
        <v>43503</v>
      </c>
      <c r="B1090">
        <v>0.51429999999999998</v>
      </c>
      <c r="C1090">
        <v>0.52959999999999996</v>
      </c>
      <c r="D1090">
        <v>0.51380000000000003</v>
      </c>
      <c r="E1090">
        <v>0.51800000000000002</v>
      </c>
      <c r="F1090">
        <v>1124149.76</v>
      </c>
      <c r="G1090">
        <v>0</v>
      </c>
      <c r="L1090" t="s">
        <v>7</v>
      </c>
      <c r="M1090" t="s">
        <v>7</v>
      </c>
      <c r="N1090" t="s">
        <v>7</v>
      </c>
      <c r="P1090">
        <f t="shared" si="1029"/>
        <v>-0.46835443037974667</v>
      </c>
      <c r="Q1090">
        <f t="shared" si="1030"/>
        <v>-526500.5205063289</v>
      </c>
      <c r="R1090">
        <f t="shared" si="1031"/>
        <v>-14850046.748114295</v>
      </c>
      <c r="S1090">
        <f t="shared" si="1032"/>
        <v>-148.50046748114295</v>
      </c>
      <c r="T1090">
        <f t="shared" si="1033"/>
        <v>-0.14850046748114296</v>
      </c>
    </row>
    <row r="1091" spans="1:20" x14ac:dyDescent="0.25">
      <c r="A1091" s="5">
        <v>43502</v>
      </c>
      <c r="B1091">
        <v>0.52990000000000004</v>
      </c>
      <c r="C1091">
        <v>0.5323</v>
      </c>
      <c r="D1091">
        <v>0.50360000000000005</v>
      </c>
      <c r="E1091">
        <v>0.51429999999999998</v>
      </c>
      <c r="F1091">
        <v>1553783.56</v>
      </c>
      <c r="G1091">
        <v>0</v>
      </c>
      <c r="L1091" t="s">
        <v>7</v>
      </c>
      <c r="M1091" t="s">
        <v>7</v>
      </c>
      <c r="N1091" t="s">
        <v>7</v>
      </c>
      <c r="P1091">
        <f t="shared" si="1029"/>
        <v>-0.25435540069686752</v>
      </c>
      <c r="Q1091">
        <f t="shared" si="1030"/>
        <v>-395213.24000000529</v>
      </c>
      <c r="R1091">
        <f t="shared" si="1031"/>
        <v>-14323546.227607967</v>
      </c>
      <c r="S1091">
        <f t="shared" si="1032"/>
        <v>-143.23546227607969</v>
      </c>
      <c r="T1091">
        <f t="shared" si="1033"/>
        <v>-0.14323546227607969</v>
      </c>
    </row>
    <row r="1092" spans="1:20" x14ac:dyDescent="0.25">
      <c r="A1092" s="5">
        <v>43501</v>
      </c>
      <c r="B1092">
        <v>0.53390000000000004</v>
      </c>
      <c r="C1092">
        <v>0.53410000000000002</v>
      </c>
      <c r="D1092">
        <v>0.52070000000000005</v>
      </c>
      <c r="E1092">
        <v>0.53049999999999997</v>
      </c>
      <c r="F1092">
        <v>837800.55</v>
      </c>
      <c r="G1092">
        <v>0</v>
      </c>
      <c r="L1092" t="s">
        <v>7</v>
      </c>
      <c r="M1092" t="s">
        <v>7</v>
      </c>
      <c r="N1092" t="s">
        <v>7</v>
      </c>
      <c r="P1092">
        <f t="shared" si="1029"/>
        <v>0.46268656716417067</v>
      </c>
      <c r="Q1092">
        <f t="shared" si="1030"/>
        <v>387639.06044775416</v>
      </c>
      <c r="R1092">
        <f t="shared" si="1031"/>
        <v>-13928332.987607962</v>
      </c>
      <c r="S1092">
        <f t="shared" si="1032"/>
        <v>-139.28332987607962</v>
      </c>
      <c r="T1092">
        <f t="shared" si="1033"/>
        <v>-0.13928332987607961</v>
      </c>
    </row>
    <row r="1093" spans="1:20" x14ac:dyDescent="0.25">
      <c r="A1093" s="5">
        <v>43500</v>
      </c>
      <c r="B1093">
        <v>0.53849999999999998</v>
      </c>
      <c r="C1093">
        <v>0.54400000000000004</v>
      </c>
      <c r="D1093">
        <v>0.53190000000000004</v>
      </c>
      <c r="E1093">
        <v>0.53400000000000003</v>
      </c>
      <c r="F1093">
        <v>639937.98</v>
      </c>
      <c r="G1093">
        <v>0</v>
      </c>
      <c r="L1093" t="s">
        <v>7</v>
      </c>
      <c r="M1093" t="s">
        <v>7</v>
      </c>
      <c r="N1093" t="s">
        <v>7</v>
      </c>
      <c r="P1093">
        <f t="shared" si="1029"/>
        <v>-0.65289256198347256</v>
      </c>
      <c r="Q1093">
        <f t="shared" si="1030"/>
        <v>-417810.74727272819</v>
      </c>
      <c r="R1093">
        <f t="shared" si="1031"/>
        <v>-14315972.048055716</v>
      </c>
      <c r="S1093">
        <f t="shared" si="1032"/>
        <v>-143.15972048055716</v>
      </c>
      <c r="T1093">
        <f t="shared" si="1033"/>
        <v>-0.14315972048055717</v>
      </c>
    </row>
    <row r="1094" spans="1:20" x14ac:dyDescent="0.25">
      <c r="A1094" s="5">
        <v>43499</v>
      </c>
      <c r="B1094">
        <v>0.55149999999999999</v>
      </c>
      <c r="C1094">
        <v>0.5554</v>
      </c>
      <c r="D1094">
        <v>0.52959999999999996</v>
      </c>
      <c r="E1094">
        <v>0.53910000000000002</v>
      </c>
      <c r="F1094">
        <v>1329075.3799999999</v>
      </c>
      <c r="G1094">
        <v>0</v>
      </c>
      <c r="L1094" t="s">
        <v>7</v>
      </c>
      <c r="M1094" t="s">
        <v>7</v>
      </c>
      <c r="N1094" t="s">
        <v>7</v>
      </c>
      <c r="P1094">
        <f t="shared" si="1029"/>
        <v>-0.26356589147286452</v>
      </c>
      <c r="Q1094">
        <f t="shared" si="1030"/>
        <v>-350298.93736433616</v>
      </c>
      <c r="R1094">
        <f t="shared" si="1031"/>
        <v>-13898161.300782988</v>
      </c>
      <c r="S1094">
        <f t="shared" si="1032"/>
        <v>-138.98161300782988</v>
      </c>
      <c r="T1094">
        <f t="shared" si="1033"/>
        <v>-0.13898161300782988</v>
      </c>
    </row>
    <row r="1095" spans="1:20" x14ac:dyDescent="0.25">
      <c r="A1095" s="5">
        <v>43498</v>
      </c>
      <c r="B1095">
        <v>0.54100000000000004</v>
      </c>
      <c r="C1095">
        <v>0.55489999999999995</v>
      </c>
      <c r="D1095">
        <v>0.53390000000000004</v>
      </c>
      <c r="E1095">
        <v>0.55100000000000005</v>
      </c>
      <c r="F1095">
        <v>793926.82</v>
      </c>
      <c r="G1095">
        <v>0</v>
      </c>
      <c r="L1095" t="s">
        <v>7</v>
      </c>
      <c r="M1095" t="s">
        <v>7</v>
      </c>
      <c r="N1095" t="s">
        <v>7</v>
      </c>
      <c r="P1095">
        <f t="shared" si="1029"/>
        <v>0.62857142857143611</v>
      </c>
      <c r="Q1095">
        <f t="shared" si="1030"/>
        <v>499039.71542857739</v>
      </c>
      <c r="R1095">
        <f t="shared" si="1031"/>
        <v>-13547862.363418652</v>
      </c>
      <c r="S1095">
        <f t="shared" si="1032"/>
        <v>-135.4786236341865</v>
      </c>
      <c r="T1095">
        <f t="shared" si="1033"/>
        <v>-0.1354786236341865</v>
      </c>
    </row>
    <row r="1096" spans="1:20" x14ac:dyDescent="0.25">
      <c r="A1096" s="5">
        <v>43497</v>
      </c>
      <c r="B1096">
        <v>0.53139999999999998</v>
      </c>
      <c r="C1096">
        <v>0.54849999999999999</v>
      </c>
      <c r="D1096">
        <v>0.52110000000000001</v>
      </c>
      <c r="E1096">
        <v>0.54049999999999998</v>
      </c>
      <c r="F1096">
        <v>1489345.03</v>
      </c>
      <c r="G1096">
        <v>0</v>
      </c>
      <c r="L1096" t="s">
        <v>7</v>
      </c>
      <c r="M1096" t="s">
        <v>7</v>
      </c>
      <c r="N1096" t="s">
        <v>7</v>
      </c>
      <c r="P1096">
        <f t="shared" si="1029"/>
        <v>0.41605839416058299</v>
      </c>
      <c r="Q1096">
        <f t="shared" si="1030"/>
        <v>619654.50153284532</v>
      </c>
      <c r="R1096">
        <f t="shared" si="1031"/>
        <v>-14046902.078847229</v>
      </c>
      <c r="S1096">
        <f t="shared" si="1032"/>
        <v>-140.46902078847231</v>
      </c>
      <c r="T1096">
        <f t="shared" si="1033"/>
        <v>-0.14046902078847232</v>
      </c>
    </row>
    <row r="1097" spans="1:20" x14ac:dyDescent="0.25">
      <c r="A1097" s="5">
        <v>43496</v>
      </c>
      <c r="B1097">
        <v>0.55159999999999998</v>
      </c>
      <c r="C1097">
        <v>0.5615</v>
      </c>
      <c r="D1097">
        <v>0.52410000000000001</v>
      </c>
      <c r="E1097">
        <v>0.53259999999999996</v>
      </c>
      <c r="F1097">
        <v>2445402.9500000002</v>
      </c>
      <c r="G1097">
        <v>0</v>
      </c>
      <c r="L1097" t="s">
        <v>7</v>
      </c>
      <c r="M1097" t="s">
        <v>7</v>
      </c>
      <c r="N1097" t="s">
        <v>7</v>
      </c>
      <c r="P1097">
        <f t="shared" si="1029"/>
        <v>-0.54545454545454786</v>
      </c>
      <c r="Q1097">
        <f t="shared" si="1030"/>
        <v>-1333856.1545454606</v>
      </c>
      <c r="R1097">
        <f t="shared" si="1031"/>
        <v>-14666556.580380075</v>
      </c>
      <c r="S1097">
        <f t="shared" si="1032"/>
        <v>-146.66556580380075</v>
      </c>
      <c r="T1097">
        <f t="shared" si="1033"/>
        <v>-0.14666556580380075</v>
      </c>
    </row>
    <row r="1098" spans="1:20" x14ac:dyDescent="0.25">
      <c r="A1098" s="5">
        <v>43495</v>
      </c>
      <c r="B1098">
        <v>0.54110000000000003</v>
      </c>
      <c r="C1098">
        <v>0.55659999999999998</v>
      </c>
      <c r="D1098">
        <v>0.53249999999999997</v>
      </c>
      <c r="E1098">
        <v>0.55220000000000002</v>
      </c>
      <c r="F1098">
        <v>3929334.89</v>
      </c>
      <c r="G1098">
        <v>0</v>
      </c>
      <c r="L1098" t="s">
        <v>7</v>
      </c>
      <c r="M1098" t="s">
        <v>7</v>
      </c>
      <c r="N1098" t="s">
        <v>7</v>
      </c>
      <c r="P1098">
        <f t="shared" si="1029"/>
        <v>0.63485477178423588</v>
      </c>
      <c r="Q1098">
        <f t="shared" si="1030"/>
        <v>2494557.0048547857</v>
      </c>
      <c r="R1098">
        <f t="shared" si="1031"/>
        <v>-13332700.425834615</v>
      </c>
      <c r="S1098">
        <f t="shared" si="1032"/>
        <v>-133.32700425834614</v>
      </c>
      <c r="T1098">
        <f t="shared" si="1033"/>
        <v>-0.13332700425834615</v>
      </c>
    </row>
    <row r="1099" spans="1:20" x14ac:dyDescent="0.25">
      <c r="A1099" s="5">
        <v>43494</v>
      </c>
      <c r="B1099">
        <v>0.55679999999999996</v>
      </c>
      <c r="C1099">
        <v>0.56069999999999998</v>
      </c>
      <c r="D1099">
        <v>0.5343</v>
      </c>
      <c r="E1099">
        <v>0.54169999999999996</v>
      </c>
      <c r="F1099">
        <v>2668985.5099999998</v>
      </c>
      <c r="G1099">
        <v>0</v>
      </c>
      <c r="L1099" t="s">
        <v>7</v>
      </c>
      <c r="M1099" t="s">
        <v>7</v>
      </c>
      <c r="N1099" t="s">
        <v>7</v>
      </c>
      <c r="P1099">
        <f t="shared" si="1029"/>
        <v>-0.43939393939394183</v>
      </c>
      <c r="Q1099">
        <f t="shared" si="1030"/>
        <v>-1172736.0574242489</v>
      </c>
      <c r="R1099">
        <f t="shared" si="1031"/>
        <v>-15827257.4306894</v>
      </c>
      <c r="S1099">
        <f t="shared" si="1032"/>
        <v>-158.272574306894</v>
      </c>
      <c r="T1099">
        <f t="shared" si="1033"/>
        <v>-0.15827257430689401</v>
      </c>
    </row>
    <row r="1100" spans="1:20" x14ac:dyDescent="0.25">
      <c r="A1100" s="5">
        <v>43493</v>
      </c>
      <c r="B1100">
        <v>0.59889999999999999</v>
      </c>
      <c r="C1100">
        <v>0.59960000000000002</v>
      </c>
      <c r="D1100">
        <v>0.53149999999999997</v>
      </c>
      <c r="E1100">
        <v>0.55759999999999998</v>
      </c>
      <c r="F1100">
        <v>4122558.06</v>
      </c>
      <c r="G1100">
        <v>0</v>
      </c>
      <c r="L1100" t="s">
        <v>7</v>
      </c>
      <c r="M1100" t="s">
        <v>7</v>
      </c>
      <c r="N1100" t="s">
        <v>7</v>
      </c>
      <c r="P1100">
        <f t="shared" si="1029"/>
        <v>-0.23348017621145395</v>
      </c>
      <c r="Q1100">
        <f t="shared" si="1030"/>
        <v>-962535.58229074976</v>
      </c>
      <c r="R1100">
        <f t="shared" si="1031"/>
        <v>-14654521.373265151</v>
      </c>
      <c r="S1100">
        <f t="shared" si="1032"/>
        <v>-146.54521373265152</v>
      </c>
      <c r="T1100">
        <f t="shared" si="1033"/>
        <v>-0.14654521373265153</v>
      </c>
    </row>
    <row r="1101" spans="1:20" x14ac:dyDescent="0.25">
      <c r="A1101" s="5">
        <v>43492</v>
      </c>
      <c r="B1101">
        <v>0.60599999999999998</v>
      </c>
      <c r="C1101">
        <v>0.61750000000000005</v>
      </c>
      <c r="D1101">
        <v>0.58009999999999995</v>
      </c>
      <c r="E1101">
        <v>0.59899999999999998</v>
      </c>
      <c r="F1101">
        <v>2724461.16</v>
      </c>
      <c r="G1101">
        <v>0</v>
      </c>
      <c r="L1101" t="s">
        <v>7</v>
      </c>
      <c r="M1101" t="s">
        <v>8</v>
      </c>
      <c r="N1101" t="s">
        <v>7</v>
      </c>
      <c r="P1101">
        <f t="shared" si="1029"/>
        <v>1.0695187165774195E-2</v>
      </c>
      <c r="Q1101">
        <f t="shared" si="1030"/>
        <v>29138.622032082276</v>
      </c>
      <c r="R1101">
        <f t="shared" si="1031"/>
        <v>-13691985.790974401</v>
      </c>
      <c r="S1101">
        <f t="shared" si="1032"/>
        <v>-136.919857909744</v>
      </c>
      <c r="T1101">
        <f t="shared" si="1033"/>
        <v>-0.13691985790974401</v>
      </c>
    </row>
    <row r="1102" spans="1:20" x14ac:dyDescent="0.25">
      <c r="A1102" s="5">
        <v>43491</v>
      </c>
      <c r="B1102">
        <v>0.61299999999999999</v>
      </c>
      <c r="C1102">
        <v>0.63639999999999997</v>
      </c>
      <c r="D1102">
        <v>0.60009999999999997</v>
      </c>
      <c r="E1102">
        <v>0.60680000000000001</v>
      </c>
      <c r="F1102">
        <v>3660996.39</v>
      </c>
      <c r="G1102">
        <v>0</v>
      </c>
      <c r="L1102" t="s">
        <v>8</v>
      </c>
      <c r="M1102" t="s">
        <v>8</v>
      </c>
      <c r="N1102" t="s">
        <v>7</v>
      </c>
      <c r="P1102">
        <f t="shared" si="1029"/>
        <v>-0.63085399449035595</v>
      </c>
      <c r="Q1102">
        <f t="shared" si="1030"/>
        <v>-2309554.196446273</v>
      </c>
      <c r="R1102">
        <f t="shared" si="1031"/>
        <v>-13721124.413006483</v>
      </c>
      <c r="S1102">
        <f t="shared" si="1032"/>
        <v>-137.21124413006481</v>
      </c>
      <c r="T1102">
        <f t="shared" si="1033"/>
        <v>-0.1372112441300648</v>
      </c>
    </row>
    <row r="1103" spans="1:20" x14ac:dyDescent="0.25">
      <c r="A1103" s="5">
        <v>43490</v>
      </c>
      <c r="B1103">
        <v>0.59379999999999999</v>
      </c>
      <c r="C1103">
        <v>0.63</v>
      </c>
      <c r="D1103">
        <v>0.58399999999999996</v>
      </c>
      <c r="E1103">
        <v>0.61209999999999998</v>
      </c>
      <c r="F1103">
        <v>4105979.49</v>
      </c>
      <c r="G1103">
        <v>0</v>
      </c>
      <c r="L1103" t="s">
        <v>8</v>
      </c>
      <c r="M1103" t="s">
        <v>8</v>
      </c>
      <c r="N1103" t="s">
        <v>7</v>
      </c>
      <c r="P1103">
        <f t="shared" si="1029"/>
        <v>0.22173913043478213</v>
      </c>
      <c r="Q1103">
        <f t="shared" si="1030"/>
        <v>910456.32169565023</v>
      </c>
      <c r="R1103">
        <f t="shared" si="1031"/>
        <v>-11411570.216560209</v>
      </c>
      <c r="S1103">
        <f t="shared" si="1032"/>
        <v>-114.11570216560209</v>
      </c>
      <c r="T1103">
        <f t="shared" si="1033"/>
        <v>-0.11411570216560209</v>
      </c>
    </row>
    <row r="1104" spans="1:20" x14ac:dyDescent="0.25">
      <c r="A1104" s="5">
        <v>43489</v>
      </c>
      <c r="B1104">
        <v>0.59330000000000005</v>
      </c>
      <c r="C1104">
        <v>0.59989999999999999</v>
      </c>
      <c r="D1104">
        <v>0.58579999999999999</v>
      </c>
      <c r="E1104">
        <v>0.59360000000000002</v>
      </c>
      <c r="F1104">
        <v>1611360.89</v>
      </c>
      <c r="G1104">
        <v>0</v>
      </c>
      <c r="L1104" t="s">
        <v>8</v>
      </c>
      <c r="M1104" t="s">
        <v>8</v>
      </c>
      <c r="N1104" t="s">
        <v>7</v>
      </c>
      <c r="P1104">
        <f t="shared" si="1029"/>
        <v>0.10638297872340828</v>
      </c>
      <c r="Q1104">
        <f t="shared" si="1030"/>
        <v>171421.37127660221</v>
      </c>
      <c r="R1104">
        <f t="shared" si="1031"/>
        <v>-12322026.538255859</v>
      </c>
      <c r="S1104">
        <f t="shared" si="1032"/>
        <v>-123.22026538255859</v>
      </c>
      <c r="T1104">
        <f t="shared" si="1033"/>
        <v>-0.12322026538255859</v>
      </c>
    </row>
    <row r="1105" spans="1:20" x14ac:dyDescent="0.25">
      <c r="A1105" s="5">
        <v>43488</v>
      </c>
      <c r="B1105">
        <v>0.60099999999999998</v>
      </c>
      <c r="C1105">
        <v>0.61199999999999999</v>
      </c>
      <c r="D1105">
        <v>0.57999999999999996</v>
      </c>
      <c r="E1105">
        <v>0.59279999999999999</v>
      </c>
      <c r="F1105">
        <v>2310623.67</v>
      </c>
      <c r="G1105">
        <v>0</v>
      </c>
      <c r="L1105" t="s">
        <v>8</v>
      </c>
      <c r="M1105" t="s">
        <v>8</v>
      </c>
      <c r="N1105" t="s">
        <v>7</v>
      </c>
      <c r="P1105">
        <f t="shared" si="1029"/>
        <v>-0.19999999999999862</v>
      </c>
      <c r="Q1105">
        <f t="shared" si="1030"/>
        <v>-462124.7339999968</v>
      </c>
      <c r="R1105">
        <f t="shared" si="1031"/>
        <v>-12493447.909532461</v>
      </c>
      <c r="S1105">
        <f t="shared" si="1032"/>
        <v>-124.93447909532462</v>
      </c>
      <c r="T1105">
        <f t="shared" si="1033"/>
        <v>-0.12493447909532462</v>
      </c>
    </row>
    <row r="1106" spans="1:20" x14ac:dyDescent="0.25">
      <c r="A1106" s="5">
        <v>43487</v>
      </c>
      <c r="B1106">
        <v>0.57789999999999997</v>
      </c>
      <c r="C1106">
        <v>0.61199999999999999</v>
      </c>
      <c r="D1106">
        <v>0.56489999999999996</v>
      </c>
      <c r="E1106">
        <v>0.60109999999999997</v>
      </c>
      <c r="F1106">
        <v>2762262.52</v>
      </c>
      <c r="G1106">
        <v>0</v>
      </c>
      <c r="L1106" t="s">
        <v>8</v>
      </c>
      <c r="M1106" t="s">
        <v>8</v>
      </c>
      <c r="N1106" t="s">
        <v>7</v>
      </c>
      <c r="P1106">
        <f t="shared" si="1029"/>
        <v>0.53715498938428818</v>
      </c>
      <c r="Q1106">
        <f t="shared" si="1030"/>
        <v>1483763.0946072172</v>
      </c>
      <c r="R1106">
        <f t="shared" si="1031"/>
        <v>-12031323.175532464</v>
      </c>
      <c r="S1106">
        <f t="shared" si="1032"/>
        <v>-120.31323175532464</v>
      </c>
      <c r="T1106">
        <f t="shared" si="1033"/>
        <v>-0.12031323175532464</v>
      </c>
    </row>
    <row r="1107" spans="1:20" x14ac:dyDescent="0.25">
      <c r="A1107" s="5">
        <v>43486</v>
      </c>
      <c r="B1107">
        <v>0.58919999999999995</v>
      </c>
      <c r="C1107">
        <v>0.59770000000000001</v>
      </c>
      <c r="D1107">
        <v>0.56599999999999995</v>
      </c>
      <c r="E1107">
        <v>0.5776</v>
      </c>
      <c r="F1107">
        <v>2279566.2000000002</v>
      </c>
      <c r="G1107">
        <v>0</v>
      </c>
      <c r="L1107" t="s">
        <v>7</v>
      </c>
      <c r="M1107" t="s">
        <v>8</v>
      </c>
      <c r="N1107" t="s">
        <v>7</v>
      </c>
      <c r="P1107">
        <f t="shared" si="1029"/>
        <v>-0.2681388012618276</v>
      </c>
      <c r="Q1107">
        <f t="shared" si="1030"/>
        <v>-611240.14826497959</v>
      </c>
      <c r="R1107">
        <f t="shared" si="1031"/>
        <v>-13515086.270139681</v>
      </c>
      <c r="S1107">
        <f t="shared" si="1032"/>
        <v>-135.15086270139682</v>
      </c>
      <c r="T1107">
        <f t="shared" si="1033"/>
        <v>-0.13515086270139681</v>
      </c>
    </row>
    <row r="1108" spans="1:20" x14ac:dyDescent="0.25">
      <c r="A1108" s="5">
        <v>43485</v>
      </c>
      <c r="B1108">
        <v>0.60980000000000001</v>
      </c>
      <c r="C1108">
        <v>0.62250000000000005</v>
      </c>
      <c r="D1108">
        <v>0.5696</v>
      </c>
      <c r="E1108">
        <v>0.58830000000000005</v>
      </c>
      <c r="F1108">
        <v>3009519.8</v>
      </c>
      <c r="G1108">
        <v>0</v>
      </c>
      <c r="L1108" t="s">
        <v>7</v>
      </c>
      <c r="M1108" t="s">
        <v>8</v>
      </c>
      <c r="N1108" t="s">
        <v>7</v>
      </c>
      <c r="P1108">
        <f t="shared" si="1029"/>
        <v>-0.29300567107750364</v>
      </c>
      <c r="Q1108">
        <f t="shared" si="1030"/>
        <v>-881806.36862003442</v>
      </c>
      <c r="R1108">
        <f t="shared" si="1031"/>
        <v>-12903846.121874701</v>
      </c>
      <c r="S1108">
        <f t="shared" si="1032"/>
        <v>-129.03846121874702</v>
      </c>
      <c r="T1108">
        <f t="shared" si="1033"/>
        <v>-0.12903846121874701</v>
      </c>
    </row>
    <row r="1109" spans="1:20" x14ac:dyDescent="0.25">
      <c r="A1109" s="5">
        <v>43484</v>
      </c>
      <c r="B1109">
        <v>0.59940000000000004</v>
      </c>
      <c r="C1109">
        <v>0.626</v>
      </c>
      <c r="D1109">
        <v>0.59409999999999996</v>
      </c>
      <c r="E1109">
        <v>0.61109999999999998</v>
      </c>
      <c r="F1109">
        <v>3100148.44</v>
      </c>
      <c r="G1109">
        <v>0</v>
      </c>
      <c r="L1109" t="s">
        <v>7</v>
      </c>
      <c r="M1109" t="s">
        <v>8</v>
      </c>
      <c r="N1109" t="s">
        <v>7</v>
      </c>
      <c r="P1109">
        <f t="shared" si="1029"/>
        <v>6.5830721003134432E-2</v>
      </c>
      <c r="Q1109">
        <f t="shared" si="1030"/>
        <v>204085.00702194244</v>
      </c>
      <c r="R1109">
        <f t="shared" si="1031"/>
        <v>-12022039.753254667</v>
      </c>
      <c r="S1109">
        <f t="shared" si="1032"/>
        <v>-120.22039753254667</v>
      </c>
      <c r="T1109">
        <f t="shared" si="1033"/>
        <v>-0.12022039753254667</v>
      </c>
    </row>
    <row r="1110" spans="1:20" x14ac:dyDescent="0.25">
      <c r="A1110" s="5">
        <v>43483</v>
      </c>
      <c r="B1110">
        <v>0.61509999999999998</v>
      </c>
      <c r="C1110">
        <v>0.61680000000000001</v>
      </c>
      <c r="D1110">
        <v>0.59</v>
      </c>
      <c r="E1110">
        <v>0.59860000000000002</v>
      </c>
      <c r="F1110">
        <v>1823263.04</v>
      </c>
      <c r="G1110">
        <v>0</v>
      </c>
      <c r="L1110" t="s">
        <v>7</v>
      </c>
      <c r="M1110" t="s">
        <v>8</v>
      </c>
      <c r="N1110" t="s">
        <v>7</v>
      </c>
      <c r="P1110">
        <f t="shared" si="1029"/>
        <v>-0.3582089552238778</v>
      </c>
      <c r="Q1110">
        <f t="shared" si="1030"/>
        <v>-653109.14865671133</v>
      </c>
      <c r="R1110">
        <f t="shared" si="1031"/>
        <v>-12226124.76027661</v>
      </c>
      <c r="S1110">
        <f t="shared" si="1032"/>
        <v>-122.2612476027661</v>
      </c>
      <c r="T1110">
        <f t="shared" si="1033"/>
        <v>-0.1222612476027661</v>
      </c>
    </row>
    <row r="1111" spans="1:20" x14ac:dyDescent="0.25">
      <c r="A1111" s="5">
        <v>43482</v>
      </c>
      <c r="B1111">
        <v>0.61550000000000005</v>
      </c>
      <c r="C1111">
        <v>0.62170000000000003</v>
      </c>
      <c r="D1111">
        <v>0.59799999999999998</v>
      </c>
      <c r="E1111">
        <v>0.61480000000000001</v>
      </c>
      <c r="F1111">
        <v>3043489.4</v>
      </c>
      <c r="G1111">
        <v>0</v>
      </c>
      <c r="L1111" t="s">
        <v>7</v>
      </c>
      <c r="M1111" t="s">
        <v>8</v>
      </c>
      <c r="N1111" t="s">
        <v>7</v>
      </c>
      <c r="P1111">
        <f t="shared" si="1029"/>
        <v>0.41772151898734167</v>
      </c>
      <c r="Q1111">
        <f t="shared" si="1030"/>
        <v>1271331.0151898731</v>
      </c>
      <c r="R1111">
        <f t="shared" si="1031"/>
        <v>-11573015.611619899</v>
      </c>
      <c r="S1111">
        <f t="shared" si="1032"/>
        <v>-115.73015611619898</v>
      </c>
      <c r="T1111">
        <f t="shared" si="1033"/>
        <v>-0.11573015611619898</v>
      </c>
    </row>
    <row r="1112" spans="1:20" x14ac:dyDescent="0.25">
      <c r="A1112" s="5">
        <v>43481</v>
      </c>
      <c r="B1112">
        <v>0.57950000000000002</v>
      </c>
      <c r="C1112">
        <v>0.6472</v>
      </c>
      <c r="D1112">
        <v>0.5736</v>
      </c>
      <c r="E1112">
        <v>0.61499999999999999</v>
      </c>
      <c r="F1112">
        <v>5288805.03</v>
      </c>
      <c r="G1112">
        <v>0</v>
      </c>
      <c r="L1112" t="s">
        <v>8</v>
      </c>
      <c r="M1112" t="s">
        <v>8</v>
      </c>
      <c r="N1112" t="s">
        <v>7</v>
      </c>
      <c r="P1112">
        <f t="shared" si="1029"/>
        <v>0.12499999999999981</v>
      </c>
      <c r="Q1112">
        <f t="shared" si="1030"/>
        <v>661100.62874999898</v>
      </c>
      <c r="R1112">
        <f t="shared" si="1031"/>
        <v>-12844346.626809772</v>
      </c>
      <c r="S1112">
        <f t="shared" si="1032"/>
        <v>-128.44346626809772</v>
      </c>
      <c r="T1112">
        <f t="shared" si="1033"/>
        <v>-0.12844346626809772</v>
      </c>
    </row>
    <row r="1113" spans="1:20" x14ac:dyDescent="0.25">
      <c r="A1113" s="5">
        <v>43480</v>
      </c>
      <c r="B1113">
        <v>0.59740000000000004</v>
      </c>
      <c r="C1113">
        <v>0.61199999999999999</v>
      </c>
      <c r="D1113">
        <v>0.56179999999999997</v>
      </c>
      <c r="E1113">
        <v>0.57989999999999997</v>
      </c>
      <c r="F1113">
        <v>4525916.68</v>
      </c>
      <c r="G1113">
        <v>0</v>
      </c>
      <c r="L1113" t="s">
        <v>7</v>
      </c>
      <c r="M1113" t="s">
        <v>7</v>
      </c>
      <c r="N1113" t="s">
        <v>7</v>
      </c>
      <c r="P1113">
        <f t="shared" si="1029"/>
        <v>-0.27888446215139456</v>
      </c>
      <c r="Q1113">
        <f t="shared" si="1030"/>
        <v>-1262207.8390438252</v>
      </c>
      <c r="R1113">
        <f t="shared" si="1031"/>
        <v>-13505447.25555977</v>
      </c>
      <c r="S1113">
        <f t="shared" si="1032"/>
        <v>-135.0544725555977</v>
      </c>
      <c r="T1113">
        <f t="shared" si="1033"/>
        <v>-0.13505447255559769</v>
      </c>
    </row>
    <row r="1114" spans="1:20" x14ac:dyDescent="0.25">
      <c r="A1114" s="5">
        <v>43479</v>
      </c>
      <c r="B1114">
        <v>0.56389999999999996</v>
      </c>
      <c r="C1114">
        <v>0.61</v>
      </c>
      <c r="D1114">
        <v>0.55889999999999995</v>
      </c>
      <c r="E1114">
        <v>0.59750000000000003</v>
      </c>
      <c r="F1114">
        <v>5334592.12</v>
      </c>
      <c r="G1114">
        <v>0</v>
      </c>
      <c r="L1114" t="s">
        <v>8</v>
      </c>
      <c r="M1114" t="s">
        <v>7</v>
      </c>
      <c r="N1114" t="s">
        <v>7</v>
      </c>
      <c r="P1114">
        <f t="shared" si="1029"/>
        <v>0.51076320939334841</v>
      </c>
      <c r="Q1114">
        <f t="shared" si="1030"/>
        <v>2724713.3920156662</v>
      </c>
      <c r="R1114">
        <f t="shared" si="1031"/>
        <v>-12243239.416515945</v>
      </c>
      <c r="S1114">
        <f t="shared" si="1032"/>
        <v>-122.43239416515945</v>
      </c>
      <c r="T1114">
        <f t="shared" si="1033"/>
        <v>-0.12243239416515946</v>
      </c>
    </row>
    <row r="1115" spans="1:20" x14ac:dyDescent="0.25">
      <c r="A1115" s="5">
        <v>43478</v>
      </c>
      <c r="B1115">
        <v>0.60540000000000005</v>
      </c>
      <c r="C1115">
        <v>0.61040000000000005</v>
      </c>
      <c r="D1115">
        <v>0.54900000000000004</v>
      </c>
      <c r="E1115">
        <v>0.56379999999999997</v>
      </c>
      <c r="F1115">
        <v>4551286.71</v>
      </c>
      <c r="G1115">
        <v>0</v>
      </c>
      <c r="L1115" t="s">
        <v>7</v>
      </c>
      <c r="M1115" t="s">
        <v>7</v>
      </c>
      <c r="N1115" t="s">
        <v>7</v>
      </c>
      <c r="P1115">
        <f t="shared" si="1029"/>
        <v>-0.51791530944625663</v>
      </c>
      <c r="Q1115">
        <f t="shared" si="1030"/>
        <v>-2357181.0647882852</v>
      </c>
      <c r="R1115">
        <f t="shared" si="1031"/>
        <v>-14967952.80853161</v>
      </c>
      <c r="S1115">
        <f t="shared" si="1032"/>
        <v>-149.67952808531609</v>
      </c>
      <c r="T1115">
        <f t="shared" si="1033"/>
        <v>-0.14967952808531609</v>
      </c>
    </row>
    <row r="1116" spans="1:20" x14ac:dyDescent="0.25">
      <c r="A1116" s="5">
        <v>43477</v>
      </c>
      <c r="B1116">
        <v>0.62919999999999998</v>
      </c>
      <c r="C1116">
        <v>0.64600000000000002</v>
      </c>
      <c r="D1116">
        <v>0.59150000000000003</v>
      </c>
      <c r="E1116">
        <v>0.60489999999999999</v>
      </c>
      <c r="F1116">
        <v>7009077.5300000003</v>
      </c>
      <c r="G1116">
        <v>0</v>
      </c>
      <c r="L1116" t="s">
        <v>7</v>
      </c>
      <c r="M1116" t="s">
        <v>8</v>
      </c>
      <c r="N1116" t="s">
        <v>7</v>
      </c>
      <c r="P1116">
        <f t="shared" si="1029"/>
        <v>-0.50825688073394604</v>
      </c>
      <c r="Q1116">
        <f t="shared" si="1030"/>
        <v>-3562411.8822201914</v>
      </c>
      <c r="R1116">
        <f t="shared" si="1031"/>
        <v>-12610771.743743325</v>
      </c>
      <c r="S1116">
        <f t="shared" si="1032"/>
        <v>-126.10771743743325</v>
      </c>
      <c r="T1116">
        <f t="shared" si="1033"/>
        <v>-0.12610771743743326</v>
      </c>
    </row>
    <row r="1117" spans="1:20" x14ac:dyDescent="0.25">
      <c r="A1117" s="5">
        <v>43476</v>
      </c>
      <c r="B1117">
        <v>0.58340000000000003</v>
      </c>
      <c r="C1117">
        <v>0.64670000000000005</v>
      </c>
      <c r="D1117">
        <v>0.57030000000000003</v>
      </c>
      <c r="E1117">
        <v>0.62890000000000001</v>
      </c>
      <c r="F1117">
        <v>10130710.76</v>
      </c>
      <c r="G1117">
        <v>0</v>
      </c>
      <c r="L1117" t="s">
        <v>8</v>
      </c>
      <c r="M1117" t="s">
        <v>8</v>
      </c>
      <c r="N1117" t="s">
        <v>7</v>
      </c>
      <c r="P1117">
        <f t="shared" si="1029"/>
        <v>0.53403141361256456</v>
      </c>
      <c r="Q1117">
        <f t="shared" si="1030"/>
        <v>5410117.7880628183</v>
      </c>
      <c r="R1117">
        <f t="shared" si="1031"/>
        <v>-9048359.8615231328</v>
      </c>
      <c r="S1117">
        <f t="shared" si="1032"/>
        <v>-90.48359861523133</v>
      </c>
      <c r="T1117">
        <f t="shared" si="1033"/>
        <v>-9.0483598615231337E-2</v>
      </c>
    </row>
    <row r="1118" spans="1:20" x14ac:dyDescent="0.25">
      <c r="A1118" s="5">
        <v>43475</v>
      </c>
      <c r="B1118">
        <v>0.71079999999999999</v>
      </c>
      <c r="C1118">
        <v>0.73709999999999998</v>
      </c>
      <c r="D1118">
        <v>0.55220000000000002</v>
      </c>
      <c r="E1118">
        <v>0.58279999999999998</v>
      </c>
      <c r="F1118">
        <v>10125184.859999999</v>
      </c>
      <c r="G1118">
        <v>0</v>
      </c>
      <c r="L1118" t="s">
        <v>7</v>
      </c>
      <c r="M1118" t="s">
        <v>7</v>
      </c>
      <c r="N1118" t="s">
        <v>7</v>
      </c>
      <c r="P1118">
        <f t="shared" si="1029"/>
        <v>-0.66901027582477046</v>
      </c>
      <c r="Q1118">
        <f t="shared" si="1030"/>
        <v>-6773852.7159653893</v>
      </c>
      <c r="R1118">
        <f t="shared" si="1031"/>
        <v>-14458477.649585951</v>
      </c>
      <c r="S1118">
        <f t="shared" si="1032"/>
        <v>-144.5847764958595</v>
      </c>
      <c r="T1118">
        <f t="shared" si="1033"/>
        <v>-0.14458477649585949</v>
      </c>
    </row>
    <row r="1119" spans="1:20" x14ac:dyDescent="0.25">
      <c r="A1119" s="5">
        <v>43474</v>
      </c>
      <c r="B1119">
        <v>0.63090000000000002</v>
      </c>
      <c r="C1119">
        <v>0.73119999999999996</v>
      </c>
      <c r="D1119">
        <v>0.62970000000000004</v>
      </c>
      <c r="E1119">
        <v>0.71120000000000005</v>
      </c>
      <c r="F1119">
        <v>5843602.2300000004</v>
      </c>
      <c r="G1119">
        <v>0</v>
      </c>
      <c r="L1119" t="s">
        <v>8</v>
      </c>
      <c r="M1119" t="s">
        <v>8</v>
      </c>
      <c r="N1119" t="s">
        <v>7</v>
      </c>
      <c r="P1119">
        <f t="shared" si="1029"/>
        <v>0.60591133004926268</v>
      </c>
      <c r="Q1119">
        <f t="shared" si="1030"/>
        <v>3540704.7994581377</v>
      </c>
      <c r="R1119">
        <f t="shared" si="1031"/>
        <v>-7684624.9336205618</v>
      </c>
      <c r="S1119">
        <f t="shared" si="1032"/>
        <v>-76.846249336205616</v>
      </c>
      <c r="T1119">
        <f t="shared" si="1033"/>
        <v>-7.684624933620561E-2</v>
      </c>
    </row>
    <row r="1120" spans="1:20" x14ac:dyDescent="0.25">
      <c r="A1120" s="5">
        <v>43473</v>
      </c>
      <c r="B1120">
        <v>0.61990000000000001</v>
      </c>
      <c r="C1120">
        <v>0.66400000000000003</v>
      </c>
      <c r="D1120">
        <v>0.60399999999999998</v>
      </c>
      <c r="E1120">
        <v>0.63080000000000003</v>
      </c>
      <c r="F1120">
        <v>3430205.13</v>
      </c>
      <c r="G1120">
        <v>0</v>
      </c>
      <c r="L1120" t="s">
        <v>8</v>
      </c>
      <c r="M1120" t="s">
        <v>8</v>
      </c>
      <c r="N1120" t="s">
        <v>7</v>
      </c>
      <c r="P1120">
        <f t="shared" si="1029"/>
        <v>-0.10666666666666592</v>
      </c>
      <c r="Q1120">
        <f t="shared" si="1030"/>
        <v>-365888.54719999747</v>
      </c>
      <c r="R1120">
        <f t="shared" si="1031"/>
        <v>-11225329.7330787</v>
      </c>
      <c r="S1120">
        <f t="shared" si="1032"/>
        <v>-112.25329733078699</v>
      </c>
      <c r="T1120">
        <f t="shared" si="1033"/>
        <v>-0.112253297330787</v>
      </c>
    </row>
    <row r="1121" spans="1:20" x14ac:dyDescent="0.25">
      <c r="A1121" s="5">
        <v>43472</v>
      </c>
      <c r="B1121">
        <v>0.64059999999999995</v>
      </c>
      <c r="C1121">
        <v>0.65490000000000004</v>
      </c>
      <c r="D1121">
        <v>0.61799999999999999</v>
      </c>
      <c r="E1121">
        <v>0.61960000000000004</v>
      </c>
      <c r="F1121">
        <v>2778265.67</v>
      </c>
      <c r="G1121">
        <v>0</v>
      </c>
      <c r="L1121" t="s">
        <v>8</v>
      </c>
      <c r="M1121" t="s">
        <v>8</v>
      </c>
      <c r="N1121" t="s">
        <v>7</v>
      </c>
      <c r="P1121">
        <f t="shared" si="1029"/>
        <v>-0.91327913279132555</v>
      </c>
      <c r="Q1121">
        <f t="shared" si="1030"/>
        <v>-2537332.061761511</v>
      </c>
      <c r="R1121">
        <f t="shared" si="1031"/>
        <v>-10859441.185878702</v>
      </c>
      <c r="S1121">
        <f t="shared" si="1032"/>
        <v>-108.59441185878701</v>
      </c>
      <c r="T1121">
        <f t="shared" si="1033"/>
        <v>-0.10859441185878702</v>
      </c>
    </row>
    <row r="1122" spans="1:20" x14ac:dyDescent="0.25">
      <c r="A1122" s="5">
        <v>43471</v>
      </c>
      <c r="B1122">
        <v>0.61650000000000005</v>
      </c>
      <c r="C1122">
        <v>0.65549999999999997</v>
      </c>
      <c r="D1122">
        <v>0.59799999999999998</v>
      </c>
      <c r="E1122">
        <v>0.64029999999999998</v>
      </c>
      <c r="F1122">
        <v>3778242.61</v>
      </c>
      <c r="G1122">
        <v>0</v>
      </c>
      <c r="L1122" t="s">
        <v>8</v>
      </c>
      <c r="M1122" t="s">
        <v>8</v>
      </c>
      <c r="N1122" t="s">
        <v>7</v>
      </c>
      <c r="P1122">
        <f t="shared" si="1029"/>
        <v>0.47130434782608721</v>
      </c>
      <c r="Q1122">
        <f t="shared" si="1030"/>
        <v>1780702.1692347836</v>
      </c>
      <c r="R1122">
        <f t="shared" si="1031"/>
        <v>-8322109.1241171909</v>
      </c>
      <c r="S1122">
        <f t="shared" si="1032"/>
        <v>-83.221091241171905</v>
      </c>
      <c r="T1122">
        <f t="shared" si="1033"/>
        <v>-8.3221091241171899E-2</v>
      </c>
    </row>
    <row r="1123" spans="1:20" x14ac:dyDescent="0.25">
      <c r="A1123" s="5">
        <v>43470</v>
      </c>
      <c r="B1123">
        <v>0.59830000000000005</v>
      </c>
      <c r="C1123">
        <v>0.63019999999999998</v>
      </c>
      <c r="D1123">
        <v>0.59299999999999997</v>
      </c>
      <c r="E1123">
        <v>0.61599999999999999</v>
      </c>
      <c r="F1123">
        <v>2919230.88</v>
      </c>
      <c r="G1123">
        <v>0</v>
      </c>
      <c r="L1123" t="s">
        <v>8</v>
      </c>
      <c r="M1123" t="s">
        <v>8</v>
      </c>
      <c r="N1123" t="s">
        <v>7</v>
      </c>
      <c r="P1123">
        <f t="shared" si="1029"/>
        <v>0.23655913978494697</v>
      </c>
      <c r="Q1123">
        <f t="shared" si="1030"/>
        <v>690570.74580645375</v>
      </c>
      <c r="R1123">
        <f t="shared" si="1031"/>
        <v>-10102811.293351974</v>
      </c>
      <c r="S1123">
        <f t="shared" si="1032"/>
        <v>-101.02811293351974</v>
      </c>
      <c r="T1123">
        <f t="shared" si="1033"/>
        <v>-0.10102811293351974</v>
      </c>
    </row>
    <row r="1124" spans="1:20" x14ac:dyDescent="0.25">
      <c r="A1124" s="5">
        <v>43469</v>
      </c>
      <c r="B1124">
        <v>0.59470000000000001</v>
      </c>
      <c r="C1124">
        <v>0.60870000000000002</v>
      </c>
      <c r="D1124">
        <v>0.55000000000000004</v>
      </c>
      <c r="E1124">
        <v>0.59789999999999999</v>
      </c>
      <c r="F1124">
        <v>2500421.96</v>
      </c>
      <c r="G1124">
        <v>0</v>
      </c>
      <c r="L1124" t="s">
        <v>7</v>
      </c>
      <c r="M1124" t="s">
        <v>8</v>
      </c>
      <c r="N1124" t="s">
        <v>7</v>
      </c>
      <c r="P1124">
        <f t="shared" si="1029"/>
        <v>0.63202725724020314</v>
      </c>
      <c r="Q1124">
        <f t="shared" si="1030"/>
        <v>1580334.833321973</v>
      </c>
      <c r="R1124">
        <f t="shared" si="1031"/>
        <v>-10793382.039158428</v>
      </c>
      <c r="S1124">
        <f t="shared" si="1032"/>
        <v>-107.93382039158428</v>
      </c>
      <c r="T1124">
        <f t="shared" si="1033"/>
        <v>-0.10793382039158428</v>
      </c>
    </row>
    <row r="1125" spans="1:20" x14ac:dyDescent="0.25">
      <c r="A1125" s="5">
        <v>43468</v>
      </c>
      <c r="B1125">
        <v>0.63119999999999998</v>
      </c>
      <c r="C1125">
        <v>0.63529999999999998</v>
      </c>
      <c r="D1125">
        <v>0.57999999999999996</v>
      </c>
      <c r="E1125">
        <v>0.59450000000000003</v>
      </c>
      <c r="F1125">
        <v>3003308.37</v>
      </c>
      <c r="G1125">
        <v>0</v>
      </c>
      <c r="L1125" t="s">
        <v>7</v>
      </c>
      <c r="M1125" t="s">
        <v>8</v>
      </c>
      <c r="N1125" t="s">
        <v>7</v>
      </c>
      <c r="P1125">
        <f t="shared" si="1029"/>
        <v>-0.47558770343580237</v>
      </c>
      <c r="Q1125">
        <f t="shared" si="1030"/>
        <v>-1428336.5303978231</v>
      </c>
      <c r="R1125">
        <f t="shared" si="1031"/>
        <v>-12373716.872480402</v>
      </c>
      <c r="S1125">
        <f t="shared" si="1032"/>
        <v>-123.73716872480402</v>
      </c>
      <c r="T1125">
        <f t="shared" si="1033"/>
        <v>-0.12373716872480402</v>
      </c>
    </row>
    <row r="1126" spans="1:20" x14ac:dyDescent="0.25">
      <c r="A1126" s="5">
        <v>43467</v>
      </c>
      <c r="B1126">
        <v>0.59350000000000003</v>
      </c>
      <c r="C1126">
        <v>0.64390000000000003</v>
      </c>
      <c r="D1126">
        <v>0.5877</v>
      </c>
      <c r="E1126">
        <v>0.63060000000000005</v>
      </c>
      <c r="F1126">
        <v>4179137.45</v>
      </c>
      <c r="G1126">
        <v>0</v>
      </c>
      <c r="L1126" t="s">
        <v>8</v>
      </c>
      <c r="M1126" t="s">
        <v>8</v>
      </c>
      <c r="N1126" t="s">
        <v>7</v>
      </c>
      <c r="P1126">
        <f t="shared" si="1029"/>
        <v>0.5266903914590757</v>
      </c>
      <c r="Q1126">
        <f t="shared" si="1030"/>
        <v>2201111.5395017834</v>
      </c>
      <c r="R1126">
        <f t="shared" si="1031"/>
        <v>-10945380.342082579</v>
      </c>
      <c r="S1126">
        <f t="shared" si="1032"/>
        <v>-109.45380342082579</v>
      </c>
      <c r="T1126">
        <f t="shared" si="1033"/>
        <v>-0.10945380342082579</v>
      </c>
    </row>
    <row r="1127" spans="1:20" x14ac:dyDescent="0.25">
      <c r="A1127" s="5">
        <v>43466</v>
      </c>
      <c r="B1127">
        <v>0.58169999999999999</v>
      </c>
      <c r="C1127">
        <v>0.59379999999999999</v>
      </c>
      <c r="D1127">
        <v>0.5665</v>
      </c>
      <c r="E1127">
        <v>0.59350000000000003</v>
      </c>
      <c r="F1127">
        <v>2305249.6800000002</v>
      </c>
      <c r="G1127">
        <v>0</v>
      </c>
      <c r="L1127" t="s">
        <v>7</v>
      </c>
      <c r="M1127" t="s">
        <v>8</v>
      </c>
      <c r="N1127" t="s">
        <v>7</v>
      </c>
      <c r="P1127">
        <f t="shared" si="1029"/>
        <v>0.97802197802198043</v>
      </c>
      <c r="Q1127">
        <f t="shared" si="1030"/>
        <v>2254584.8518681377</v>
      </c>
      <c r="R1127">
        <f t="shared" si="1031"/>
        <v>-13146491.881584361</v>
      </c>
      <c r="S1127">
        <f t="shared" si="1032"/>
        <v>-131.46491881584362</v>
      </c>
      <c r="T1127">
        <f t="shared" si="1033"/>
        <v>-0.13146491881584363</v>
      </c>
    </row>
    <row r="1128" spans="1:20" x14ac:dyDescent="0.25">
      <c r="A1128" s="5">
        <v>43465</v>
      </c>
      <c r="B1128">
        <v>0.61019999999999996</v>
      </c>
      <c r="C1128">
        <v>0.61280000000000001</v>
      </c>
      <c r="D1128">
        <v>0.57210000000000005</v>
      </c>
      <c r="E1128">
        <v>0.58079999999999998</v>
      </c>
      <c r="F1128">
        <v>2384505.46</v>
      </c>
      <c r="G1128">
        <v>0</v>
      </c>
      <c r="L1128" t="s">
        <v>7</v>
      </c>
      <c r="M1128" t="s">
        <v>8</v>
      </c>
      <c r="N1128" t="s">
        <v>7</v>
      </c>
      <c r="P1128">
        <f t="shared" si="1029"/>
        <v>-0.5724815724815755</v>
      </c>
      <c r="Q1128">
        <f t="shared" si="1030"/>
        <v>-1365085.4353317025</v>
      </c>
      <c r="R1128">
        <f t="shared" si="1031"/>
        <v>-15401076.733452499</v>
      </c>
      <c r="S1128">
        <f t="shared" si="1032"/>
        <v>-154.01076733452499</v>
      </c>
      <c r="T1128">
        <f t="shared" si="1033"/>
        <v>-0.15401076733452498</v>
      </c>
    </row>
    <row r="1129" spans="1:20" x14ac:dyDescent="0.25">
      <c r="A1129" s="5">
        <v>43464</v>
      </c>
      <c r="B1129">
        <v>0.58879999999999999</v>
      </c>
      <c r="C1129">
        <v>0.62</v>
      </c>
      <c r="D1129">
        <v>0.57879999999999998</v>
      </c>
      <c r="E1129">
        <v>0.61080000000000001</v>
      </c>
      <c r="F1129">
        <v>3316292.17</v>
      </c>
      <c r="G1129">
        <v>0</v>
      </c>
      <c r="L1129" t="s">
        <v>7</v>
      </c>
      <c r="M1129" t="s">
        <v>8</v>
      </c>
      <c r="N1129" t="s">
        <v>7</v>
      </c>
      <c r="P1129">
        <f t="shared" si="1029"/>
        <v>0.55339805825242805</v>
      </c>
      <c r="Q1129">
        <f t="shared" si="1030"/>
        <v>1835229.6474757311</v>
      </c>
      <c r="R1129">
        <f t="shared" si="1031"/>
        <v>-14035991.298120797</v>
      </c>
      <c r="S1129">
        <f t="shared" si="1032"/>
        <v>-140.35991298120797</v>
      </c>
      <c r="T1129">
        <f t="shared" si="1033"/>
        <v>-0.14035991298120798</v>
      </c>
    </row>
    <row r="1130" spans="1:20" x14ac:dyDescent="0.25">
      <c r="A1130" s="5">
        <v>43463</v>
      </c>
      <c r="B1130">
        <v>0.61509999999999998</v>
      </c>
      <c r="C1130">
        <v>0.63500000000000001</v>
      </c>
      <c r="D1130">
        <v>0.58289999999999997</v>
      </c>
      <c r="E1130">
        <v>0.58979999999999999</v>
      </c>
      <c r="F1130">
        <v>5890022.2599999998</v>
      </c>
      <c r="G1130">
        <v>0</v>
      </c>
      <c r="L1130" t="s">
        <v>8</v>
      </c>
      <c r="M1130" t="s">
        <v>8</v>
      </c>
      <c r="N1130" t="s">
        <v>7</v>
      </c>
      <c r="P1130">
        <f t="shared" si="1029"/>
        <v>-0.73512476007677496</v>
      </c>
      <c r="Q1130">
        <f t="shared" si="1030"/>
        <v>-4329901.2007293636</v>
      </c>
      <c r="R1130">
        <f t="shared" si="1031"/>
        <v>-15871220.945596527</v>
      </c>
      <c r="S1130">
        <f t="shared" si="1032"/>
        <v>-158.71220945596528</v>
      </c>
      <c r="T1130">
        <f t="shared" si="1033"/>
        <v>-0.15871220945596529</v>
      </c>
    </row>
    <row r="1131" spans="1:20" x14ac:dyDescent="0.25">
      <c r="A1131" s="5">
        <v>43462</v>
      </c>
      <c r="B1131">
        <v>0.54679999999999995</v>
      </c>
      <c r="C1131">
        <v>0.63800000000000001</v>
      </c>
      <c r="D1131">
        <v>0.53029999999999999</v>
      </c>
      <c r="E1131">
        <v>0.61599999999999999</v>
      </c>
      <c r="F1131">
        <v>6742999.9900000002</v>
      </c>
      <c r="G1131">
        <v>0</v>
      </c>
      <c r="L1131" t="s">
        <v>7</v>
      </c>
      <c r="M1131" t="s">
        <v>7</v>
      </c>
      <c r="N1131" t="s">
        <v>7</v>
      </c>
      <c r="P1131">
        <f t="shared" si="1029"/>
        <v>0.59145775301764125</v>
      </c>
      <c r="Q1131">
        <f t="shared" si="1030"/>
        <v>3988199.6226833775</v>
      </c>
      <c r="R1131">
        <f t="shared" si="1031"/>
        <v>-11541319.744867163</v>
      </c>
      <c r="S1131">
        <f t="shared" si="1032"/>
        <v>-115.41319744867162</v>
      </c>
      <c r="T1131">
        <f t="shared" si="1033"/>
        <v>-0.11541319744867162</v>
      </c>
    </row>
    <row r="1132" spans="1:20" x14ac:dyDescent="0.25">
      <c r="A1132" s="5">
        <v>43461</v>
      </c>
      <c r="B1132">
        <v>0.62680000000000002</v>
      </c>
      <c r="C1132">
        <v>0.63400000000000001</v>
      </c>
      <c r="D1132">
        <v>0.53649999999999998</v>
      </c>
      <c r="E1132">
        <v>0.54679999999999995</v>
      </c>
      <c r="F1132">
        <v>7495662.6469999999</v>
      </c>
      <c r="G1132">
        <v>0</v>
      </c>
      <c r="L1132" t="s">
        <v>7</v>
      </c>
      <c r="M1132" t="s">
        <v>7</v>
      </c>
      <c r="N1132" t="s">
        <v>7</v>
      </c>
      <c r="P1132">
        <f t="shared" si="1029"/>
        <v>-0.78871794871794931</v>
      </c>
      <c r="Q1132">
        <f t="shared" si="1030"/>
        <v>-5911963.6672235942</v>
      </c>
      <c r="R1132">
        <f t="shared" si="1031"/>
        <v>-15529519.367550541</v>
      </c>
      <c r="S1132">
        <f t="shared" si="1032"/>
        <v>-155.2951936755054</v>
      </c>
      <c r="T1132">
        <f t="shared" si="1033"/>
        <v>-0.1552951936755054</v>
      </c>
    </row>
    <row r="1133" spans="1:20" x14ac:dyDescent="0.25">
      <c r="A1133" s="5">
        <v>43460</v>
      </c>
      <c r="B1133">
        <v>0.65510000000000002</v>
      </c>
      <c r="C1133">
        <v>0.68620000000000003</v>
      </c>
      <c r="D1133">
        <v>0.61280000000000001</v>
      </c>
      <c r="E1133">
        <v>0.62660000000000005</v>
      </c>
      <c r="F1133">
        <v>6026511.2400000002</v>
      </c>
      <c r="G1133">
        <v>0</v>
      </c>
      <c r="L1133" t="s">
        <v>8</v>
      </c>
      <c r="M1133" t="s">
        <v>7</v>
      </c>
      <c r="N1133" t="s">
        <v>8</v>
      </c>
      <c r="P1133">
        <f t="shared" si="1029"/>
        <v>-0.62397820163487661</v>
      </c>
      <c r="Q1133">
        <f t="shared" si="1030"/>
        <v>-3760411.6456675702</v>
      </c>
      <c r="R1133">
        <f t="shared" si="1031"/>
        <v>-9617555.7003269475</v>
      </c>
      <c r="S1133">
        <f t="shared" si="1032"/>
        <v>-96.175557003269475</v>
      </c>
      <c r="T1133">
        <f t="shared" si="1033"/>
        <v>-9.6175557003269477E-2</v>
      </c>
    </row>
    <row r="1134" spans="1:20" x14ac:dyDescent="0.25">
      <c r="A1134" s="5">
        <v>43459</v>
      </c>
      <c r="B1134">
        <v>0.76100000000000001</v>
      </c>
      <c r="C1134">
        <v>0.76800000000000002</v>
      </c>
      <c r="D1134">
        <v>0.59699999999999998</v>
      </c>
      <c r="E1134">
        <v>0.65349999999999997</v>
      </c>
      <c r="F1134">
        <v>7264973.4689999996</v>
      </c>
      <c r="G1134">
        <v>0</v>
      </c>
      <c r="L1134" t="s">
        <v>7</v>
      </c>
      <c r="M1134" t="s">
        <v>7</v>
      </c>
      <c r="N1134" t="s">
        <v>8</v>
      </c>
      <c r="P1134">
        <f t="shared" si="1029"/>
        <v>-0.33918128654970781</v>
      </c>
      <c r="Q1134">
        <f t="shared" si="1030"/>
        <v>-2464143.0479649138</v>
      </c>
      <c r="R1134">
        <f t="shared" si="1031"/>
        <v>-5857144.0546593769</v>
      </c>
      <c r="S1134">
        <f t="shared" si="1032"/>
        <v>-58.57144054659377</v>
      </c>
      <c r="T1134">
        <f t="shared" si="1033"/>
        <v>-5.8571440546593773E-2</v>
      </c>
    </row>
    <row r="1135" spans="1:20" x14ac:dyDescent="0.25">
      <c r="A1135" s="5">
        <v>43458</v>
      </c>
      <c r="B1135">
        <v>0.74099999999999999</v>
      </c>
      <c r="C1135">
        <v>0.82399999999999995</v>
      </c>
      <c r="D1135">
        <v>0.74</v>
      </c>
      <c r="E1135">
        <v>0.76200000000000001</v>
      </c>
      <c r="F1135">
        <v>7971117.3949999996</v>
      </c>
      <c r="G1135">
        <v>0</v>
      </c>
      <c r="L1135" t="s">
        <v>8</v>
      </c>
      <c r="M1135" t="s">
        <v>8</v>
      </c>
      <c r="N1135" t="s">
        <v>8</v>
      </c>
      <c r="P1135">
        <f t="shared" si="1029"/>
        <v>-0.4761904761904755</v>
      </c>
      <c r="Q1135">
        <f t="shared" si="1030"/>
        <v>-3795770.1880952325</v>
      </c>
      <c r="R1135">
        <f t="shared" si="1031"/>
        <v>-3393001.0066944631</v>
      </c>
      <c r="S1135">
        <f t="shared" si="1032"/>
        <v>-33.930010066944632</v>
      </c>
      <c r="T1135">
        <f t="shared" si="1033"/>
        <v>-3.3930010066944634E-2</v>
      </c>
    </row>
    <row r="1136" spans="1:20" x14ac:dyDescent="0.25">
      <c r="A1136" s="5">
        <v>43457</v>
      </c>
      <c r="B1136">
        <v>0.73399999999999999</v>
      </c>
      <c r="C1136">
        <v>0.77700000000000002</v>
      </c>
      <c r="D1136">
        <v>0.71199999999999997</v>
      </c>
      <c r="E1136">
        <v>0.74099999999999999</v>
      </c>
      <c r="F1136">
        <v>4668341.9680000003</v>
      </c>
      <c r="G1136">
        <v>0</v>
      </c>
      <c r="L1136" t="s">
        <v>8</v>
      </c>
      <c r="M1136" t="s">
        <v>8</v>
      </c>
      <c r="N1136" t="s">
        <v>8</v>
      </c>
      <c r="P1136">
        <f t="shared" si="1029"/>
        <v>-0.1076923076923077</v>
      </c>
      <c r="Q1136">
        <f t="shared" si="1030"/>
        <v>-502744.51963076927</v>
      </c>
      <c r="R1136">
        <f t="shared" si="1031"/>
        <v>402769.18140076916</v>
      </c>
      <c r="S1136">
        <f t="shared" si="1032"/>
        <v>4.0276918140076914</v>
      </c>
      <c r="T1136">
        <f t="shared" si="1033"/>
        <v>4.027691814007691E-3</v>
      </c>
    </row>
    <row r="1137" spans="1:20" x14ac:dyDescent="0.25">
      <c r="A1137" s="5">
        <v>43456</v>
      </c>
      <c r="B1137">
        <v>0.70299999999999996</v>
      </c>
      <c r="C1137">
        <v>0.76500000000000001</v>
      </c>
      <c r="D1137">
        <v>0.68799999999999994</v>
      </c>
      <c r="E1137">
        <v>0.73299999999999998</v>
      </c>
      <c r="F1137">
        <v>6590748.7719999999</v>
      </c>
      <c r="G1137">
        <v>0</v>
      </c>
      <c r="L1137" t="s">
        <v>7</v>
      </c>
      <c r="M1137" t="s">
        <v>8</v>
      </c>
      <c r="N1137" t="s">
        <v>8</v>
      </c>
      <c r="P1137">
        <f t="shared" si="1029"/>
        <v>0.16883116883116883</v>
      </c>
      <c r="Q1137">
        <f t="shared" si="1030"/>
        <v>1112723.8186493507</v>
      </c>
      <c r="R1137">
        <f t="shared" si="1031"/>
        <v>905513.70103153843</v>
      </c>
      <c r="S1137">
        <f t="shared" si="1032"/>
        <v>9.0551370103153843</v>
      </c>
      <c r="T1137">
        <f t="shared" si="1033"/>
        <v>9.0551370103153835E-3</v>
      </c>
    </row>
    <row r="1138" spans="1:20" x14ac:dyDescent="0.25">
      <c r="A1138" s="5">
        <v>43455</v>
      </c>
      <c r="B1138">
        <v>0.66200000000000003</v>
      </c>
      <c r="C1138">
        <v>0.8</v>
      </c>
      <c r="D1138">
        <v>0.629</v>
      </c>
      <c r="E1138">
        <v>0.70399999999999996</v>
      </c>
      <c r="F1138">
        <v>11090971.775</v>
      </c>
      <c r="G1138">
        <v>0</v>
      </c>
      <c r="L1138" t="s">
        <v>8</v>
      </c>
      <c r="M1138" t="s">
        <v>8</v>
      </c>
      <c r="N1138" t="s">
        <v>8</v>
      </c>
      <c r="P1138">
        <f t="shared" si="1029"/>
        <v>-0.12280701754386038</v>
      </c>
      <c r="Q1138">
        <f t="shared" si="1030"/>
        <v>-1362049.1653508854</v>
      </c>
      <c r="R1138">
        <f t="shared" si="1031"/>
        <v>-207210.11761781224</v>
      </c>
      <c r="S1138">
        <f t="shared" si="1032"/>
        <v>-2.0721011761781223</v>
      </c>
      <c r="T1138">
        <f t="shared" si="1033"/>
        <v>-2.0721011761781222E-3</v>
      </c>
    </row>
    <row r="1139" spans="1:20" x14ac:dyDescent="0.25">
      <c r="A1139" s="5">
        <v>43454</v>
      </c>
      <c r="B1139">
        <v>0.60499999999999998</v>
      </c>
      <c r="C1139">
        <v>0.67900000000000005</v>
      </c>
      <c r="D1139">
        <v>0.59299999999999997</v>
      </c>
      <c r="E1139">
        <v>0.66200000000000003</v>
      </c>
      <c r="F1139">
        <v>10297575.26</v>
      </c>
      <c r="G1139">
        <v>0</v>
      </c>
      <c r="L1139" t="s">
        <v>7</v>
      </c>
      <c r="M1139" t="s">
        <v>8</v>
      </c>
      <c r="N1139" t="s">
        <v>8</v>
      </c>
      <c r="P1139">
        <f t="shared" si="1029"/>
        <v>0.60465116279069764</v>
      </c>
      <c r="Q1139">
        <f t="shared" si="1030"/>
        <v>6226440.8548837202</v>
      </c>
      <c r="R1139">
        <f t="shared" si="1031"/>
        <v>1154839.0477330731</v>
      </c>
      <c r="S1139">
        <f t="shared" si="1032"/>
        <v>11.548390477330731</v>
      </c>
      <c r="T1139">
        <f t="shared" si="1033"/>
        <v>1.1548390477330731E-2</v>
      </c>
    </row>
    <row r="1140" spans="1:20" x14ac:dyDescent="0.25">
      <c r="A1140" s="5">
        <v>43453</v>
      </c>
      <c r="B1140">
        <v>0.68799999999999994</v>
      </c>
      <c r="C1140">
        <v>0.69899999999999995</v>
      </c>
      <c r="D1140">
        <v>0.6</v>
      </c>
      <c r="E1140">
        <v>0.60399999999999998</v>
      </c>
      <c r="F1140">
        <v>12500867.620999999</v>
      </c>
      <c r="G1140">
        <v>0</v>
      </c>
      <c r="L1140" t="s">
        <v>7</v>
      </c>
      <c r="M1140" t="s">
        <v>8</v>
      </c>
      <c r="N1140" t="s">
        <v>8</v>
      </c>
      <c r="P1140">
        <f t="shared" si="1029"/>
        <v>-0.91919191919191912</v>
      </c>
      <c r="Q1140">
        <f t="shared" si="1030"/>
        <v>-11490696.500111109</v>
      </c>
      <c r="R1140">
        <f t="shared" si="1031"/>
        <v>-5071601.807150647</v>
      </c>
      <c r="S1140">
        <f t="shared" si="1032"/>
        <v>-50.716018071506468</v>
      </c>
      <c r="T1140">
        <f t="shared" si="1033"/>
        <v>-5.0716018071506469E-2</v>
      </c>
    </row>
    <row r="1141" spans="1:20" x14ac:dyDescent="0.25">
      <c r="A1141" s="5">
        <v>43452</v>
      </c>
      <c r="B1141">
        <v>0.57699999999999996</v>
      </c>
      <c r="C1141">
        <v>0.68899999999999995</v>
      </c>
      <c r="D1141">
        <v>0.54300000000000004</v>
      </c>
      <c r="E1141">
        <v>0.68899999999999995</v>
      </c>
      <c r="F1141">
        <v>12897044.216</v>
      </c>
      <c r="G1141">
        <v>0</v>
      </c>
      <c r="L1141" t="s">
        <v>8</v>
      </c>
      <c r="M1141" t="s">
        <v>8</v>
      </c>
      <c r="N1141" t="s">
        <v>8</v>
      </c>
      <c r="P1141">
        <f t="shared" si="1029"/>
        <v>1</v>
      </c>
      <c r="Q1141">
        <f t="shared" si="1030"/>
        <v>12897044.216</v>
      </c>
      <c r="R1141">
        <f t="shared" si="1031"/>
        <v>6419094.6929604616</v>
      </c>
      <c r="S1141">
        <f t="shared" si="1032"/>
        <v>64.190946929604621</v>
      </c>
      <c r="T1141">
        <f t="shared" si="1033"/>
        <v>6.4190946929604614E-2</v>
      </c>
    </row>
    <row r="1142" spans="1:20" x14ac:dyDescent="0.25">
      <c r="A1142" s="5">
        <v>43451</v>
      </c>
      <c r="B1142">
        <v>0.45600000000000002</v>
      </c>
      <c r="C1142">
        <v>0.61199999999999999</v>
      </c>
      <c r="D1142">
        <v>0.45300000000000001</v>
      </c>
      <c r="E1142">
        <v>0.57699999999999996</v>
      </c>
      <c r="F1142">
        <v>8635271.7219999991</v>
      </c>
      <c r="G1142">
        <v>0</v>
      </c>
      <c r="L1142" t="s">
        <v>8</v>
      </c>
      <c r="M1142" t="s">
        <v>8</v>
      </c>
      <c r="N1142" t="s">
        <v>7</v>
      </c>
      <c r="P1142">
        <f t="shared" si="1029"/>
        <v>0.55974842767295552</v>
      </c>
      <c r="Q1142">
        <f t="shared" si="1030"/>
        <v>4833579.7689182349</v>
      </c>
      <c r="R1142">
        <f t="shared" si="1031"/>
        <v>-6477949.5230395384</v>
      </c>
      <c r="S1142">
        <f t="shared" si="1032"/>
        <v>-64.779495230395383</v>
      </c>
      <c r="T1142">
        <f t="shared" si="1033"/>
        <v>-6.477949523039539E-2</v>
      </c>
    </row>
    <row r="1143" spans="1:20" x14ac:dyDescent="0.25">
      <c r="A1143" s="5">
        <v>43450</v>
      </c>
      <c r="B1143">
        <v>0.45100000000000001</v>
      </c>
      <c r="C1143">
        <v>0.47599999999999998</v>
      </c>
      <c r="D1143">
        <v>0.44700000000000001</v>
      </c>
      <c r="E1143">
        <v>0.45500000000000002</v>
      </c>
      <c r="F1143">
        <v>1401167.39</v>
      </c>
      <c r="G1143">
        <v>0</v>
      </c>
      <c r="L1143" t="s">
        <v>8</v>
      </c>
      <c r="M1143" t="s">
        <v>7</v>
      </c>
      <c r="N1143" t="s">
        <v>7</v>
      </c>
      <c r="P1143">
        <f t="shared" si="1029"/>
        <v>-0.44827586206896447</v>
      </c>
      <c r="Q1143">
        <f t="shared" si="1030"/>
        <v>-628109.51965517085</v>
      </c>
      <c r="R1143">
        <f t="shared" si="1031"/>
        <v>-11311529.291957773</v>
      </c>
      <c r="S1143">
        <f t="shared" si="1032"/>
        <v>-113.11529291957773</v>
      </c>
      <c r="T1143">
        <f t="shared" si="1033"/>
        <v>-0.11311529291957773</v>
      </c>
    </row>
    <row r="1144" spans="1:20" x14ac:dyDescent="0.25">
      <c r="A1144" s="5">
        <v>43449</v>
      </c>
      <c r="B1144">
        <v>0.46800000000000003</v>
      </c>
      <c r="C1144">
        <v>0.47499999999999998</v>
      </c>
      <c r="D1144">
        <v>0.43</v>
      </c>
      <c r="E1144">
        <v>0.45</v>
      </c>
      <c r="F1144">
        <v>1580088.517</v>
      </c>
      <c r="G1144">
        <v>0</v>
      </c>
      <c r="L1144" t="s">
        <v>7</v>
      </c>
      <c r="M1144" t="s">
        <v>7</v>
      </c>
      <c r="N1144" t="s">
        <v>7</v>
      </c>
      <c r="P1144">
        <f t="shared" si="1029"/>
        <v>-0.11111111111111001</v>
      </c>
      <c r="Q1144">
        <f t="shared" si="1030"/>
        <v>-175565.39077777605</v>
      </c>
      <c r="R1144">
        <f t="shared" si="1031"/>
        <v>-10683419.772302601</v>
      </c>
      <c r="S1144">
        <f t="shared" si="1032"/>
        <v>-106.83419772302601</v>
      </c>
      <c r="T1144">
        <f t="shared" si="1033"/>
        <v>-0.10683419772302601</v>
      </c>
    </row>
    <row r="1145" spans="1:20" x14ac:dyDescent="0.25">
      <c r="A1145" s="5">
        <v>43448</v>
      </c>
      <c r="B1145">
        <v>0.503</v>
      </c>
      <c r="C1145">
        <v>0.51</v>
      </c>
      <c r="D1145">
        <v>0.45800000000000002</v>
      </c>
      <c r="E1145">
        <v>0.46899999999999997</v>
      </c>
      <c r="F1145">
        <v>1364632.4620000001</v>
      </c>
      <c r="G1145">
        <v>0</v>
      </c>
      <c r="L1145" t="s">
        <v>7</v>
      </c>
      <c r="M1145" t="s">
        <v>7</v>
      </c>
      <c r="N1145" t="s">
        <v>7</v>
      </c>
      <c r="P1145">
        <f t="shared" si="1029"/>
        <v>-0.57692307692307865</v>
      </c>
      <c r="Q1145">
        <f t="shared" si="1030"/>
        <v>-787287.95884615625</v>
      </c>
      <c r="R1145">
        <f t="shared" si="1031"/>
        <v>-10507854.381524825</v>
      </c>
      <c r="S1145">
        <f t="shared" si="1032"/>
        <v>-105.07854381524825</v>
      </c>
      <c r="T1145">
        <f t="shared" si="1033"/>
        <v>-0.10507854381524825</v>
      </c>
    </row>
    <row r="1146" spans="1:20" x14ac:dyDescent="0.25">
      <c r="A1146" s="5">
        <v>43447</v>
      </c>
      <c r="B1146">
        <v>0.53100000000000003</v>
      </c>
      <c r="C1146">
        <v>0.53300000000000003</v>
      </c>
      <c r="D1146">
        <v>0.497</v>
      </c>
      <c r="E1146">
        <v>0.504</v>
      </c>
      <c r="F1146">
        <v>1571874.7930000001</v>
      </c>
      <c r="G1146">
        <v>0</v>
      </c>
      <c r="L1146" t="s">
        <v>7</v>
      </c>
      <c r="M1146" t="s">
        <v>7</v>
      </c>
      <c r="N1146" t="s">
        <v>7</v>
      </c>
      <c r="P1146">
        <f t="shared" si="1029"/>
        <v>-0.61111111111111116</v>
      </c>
      <c r="Q1146">
        <f t="shared" si="1030"/>
        <v>-960590.15127777786</v>
      </c>
      <c r="R1146">
        <f t="shared" si="1031"/>
        <v>-9720566.4226786699</v>
      </c>
      <c r="S1146">
        <f t="shared" si="1032"/>
        <v>-97.205664226786695</v>
      </c>
      <c r="T1146">
        <f t="shared" si="1033"/>
        <v>-9.7205664226786698E-2</v>
      </c>
    </row>
    <row r="1147" spans="1:20" x14ac:dyDescent="0.25">
      <c r="A1147" s="5">
        <v>43446</v>
      </c>
      <c r="B1147">
        <v>0.52200000000000002</v>
      </c>
      <c r="C1147">
        <v>0.54800000000000004</v>
      </c>
      <c r="D1147">
        <v>0.51200000000000001</v>
      </c>
      <c r="E1147">
        <v>0.53100000000000003</v>
      </c>
      <c r="F1147">
        <v>1161259.371</v>
      </c>
      <c r="G1147">
        <v>0</v>
      </c>
      <c r="L1147" t="s">
        <v>8</v>
      </c>
      <c r="M1147" t="s">
        <v>7</v>
      </c>
      <c r="N1147" t="s">
        <v>7</v>
      </c>
      <c r="P1147">
        <f t="shared" si="1029"/>
        <v>5.5555555555555552E-2</v>
      </c>
      <c r="Q1147">
        <f t="shared" si="1030"/>
        <v>64514.409500000002</v>
      </c>
      <c r="R1147">
        <f t="shared" si="1031"/>
        <v>-8759976.2714008912</v>
      </c>
      <c r="S1147">
        <f t="shared" si="1032"/>
        <v>-87.599762714008918</v>
      </c>
      <c r="T1147">
        <f t="shared" si="1033"/>
        <v>-8.7599762714008919E-2</v>
      </c>
    </row>
    <row r="1148" spans="1:20" x14ac:dyDescent="0.25">
      <c r="A1148" s="5">
        <v>43445</v>
      </c>
      <c r="B1148">
        <v>0.53300000000000003</v>
      </c>
      <c r="C1148">
        <v>0.53900000000000003</v>
      </c>
      <c r="D1148">
        <v>0.50900000000000001</v>
      </c>
      <c r="E1148">
        <v>0.52300000000000002</v>
      </c>
      <c r="F1148">
        <v>1065643.325</v>
      </c>
      <c r="G1148">
        <v>0</v>
      </c>
      <c r="L1148" t="s">
        <v>7</v>
      </c>
      <c r="M1148" t="s">
        <v>7</v>
      </c>
      <c r="N1148" t="s">
        <v>7</v>
      </c>
      <c r="P1148">
        <f t="shared" si="1029"/>
        <v>-6.6666666666666666E-2</v>
      </c>
      <c r="Q1148">
        <f t="shared" si="1030"/>
        <v>-71042.888333333336</v>
      </c>
      <c r="R1148">
        <f t="shared" si="1031"/>
        <v>-8824490.6809008904</v>
      </c>
      <c r="S1148">
        <f t="shared" si="1032"/>
        <v>-88.24490680900891</v>
      </c>
      <c r="T1148">
        <f t="shared" si="1033"/>
        <v>-8.8244906809008913E-2</v>
      </c>
    </row>
    <row r="1149" spans="1:20" x14ac:dyDescent="0.25">
      <c r="A1149" s="5">
        <v>43444</v>
      </c>
      <c r="B1149">
        <v>0.56399999999999995</v>
      </c>
      <c r="C1149">
        <v>0.57999999999999996</v>
      </c>
      <c r="D1149">
        <v>0.52200000000000002</v>
      </c>
      <c r="E1149">
        <v>0.53400000000000003</v>
      </c>
      <c r="F1149">
        <v>2543490.31</v>
      </c>
      <c r="G1149">
        <v>0</v>
      </c>
      <c r="L1149" t="s">
        <v>7</v>
      </c>
      <c r="M1149" t="s">
        <v>7</v>
      </c>
      <c r="N1149" t="s">
        <v>7</v>
      </c>
      <c r="P1149">
        <f t="shared" si="1029"/>
        <v>-0.58620689655172331</v>
      </c>
      <c r="Q1149">
        <f t="shared" si="1030"/>
        <v>-1491011.5610344806</v>
      </c>
      <c r="R1149">
        <f t="shared" si="1031"/>
        <v>-8753447.7925675567</v>
      </c>
      <c r="S1149">
        <f t="shared" si="1032"/>
        <v>-87.534477925675574</v>
      </c>
      <c r="T1149">
        <f t="shared" si="1033"/>
        <v>-8.7534477925675577E-2</v>
      </c>
    </row>
    <row r="1150" spans="1:20" x14ac:dyDescent="0.25">
      <c r="A1150" s="5">
        <v>43443</v>
      </c>
      <c r="B1150">
        <v>0.54700000000000004</v>
      </c>
      <c r="C1150">
        <v>0.59</v>
      </c>
      <c r="D1150">
        <v>0.53900000000000003</v>
      </c>
      <c r="E1150">
        <v>0.56399999999999995</v>
      </c>
      <c r="F1150">
        <v>2129333.1690000002</v>
      </c>
      <c r="G1150">
        <v>0</v>
      </c>
      <c r="L1150" t="s">
        <v>7</v>
      </c>
      <c r="M1150" t="s">
        <v>7</v>
      </c>
      <c r="N1150" t="s">
        <v>7</v>
      </c>
      <c r="P1150">
        <f t="shared" si="1029"/>
        <v>-1.9607843137257122E-2</v>
      </c>
      <c r="Q1150">
        <f t="shared" si="1030"/>
        <v>-41751.630764710615</v>
      </c>
      <c r="R1150">
        <f t="shared" si="1031"/>
        <v>-7262436.2315330766</v>
      </c>
      <c r="S1150">
        <f t="shared" si="1032"/>
        <v>-72.624362315330771</v>
      </c>
      <c r="T1150">
        <f t="shared" si="1033"/>
        <v>-7.2624362315330773E-2</v>
      </c>
    </row>
    <row r="1151" spans="1:20" x14ac:dyDescent="0.25">
      <c r="A1151" s="5">
        <v>43442</v>
      </c>
      <c r="B1151">
        <v>0.55600000000000005</v>
      </c>
      <c r="C1151">
        <v>0.61</v>
      </c>
      <c r="D1151">
        <v>0.51700000000000002</v>
      </c>
      <c r="E1151">
        <v>0.54700000000000004</v>
      </c>
      <c r="F1151">
        <v>3513915.6310000001</v>
      </c>
      <c r="G1151">
        <v>0</v>
      </c>
      <c r="L1151" t="s">
        <v>8</v>
      </c>
      <c r="M1151" t="s">
        <v>7</v>
      </c>
      <c r="N1151" t="s">
        <v>7</v>
      </c>
      <c r="P1151">
        <f t="shared" ref="P1151:P1195" si="1034">IF(C1151=D1151,0,((E1151-D1151)-(C1151-E1151))/(C1151-D1151))</f>
        <v>-0.3548387096774186</v>
      </c>
      <c r="Q1151">
        <f t="shared" ref="Q1151:Q1195" si="1035">F1151*P1151</f>
        <v>-1246873.2884193521</v>
      </c>
      <c r="R1151">
        <f t="shared" ref="R1151:R1195" si="1036">R1152+Q1151</f>
        <v>-7220684.6007683659</v>
      </c>
      <c r="S1151">
        <f t="shared" ref="S1151:S1195" si="1037">R1151/100000</f>
        <v>-72.206846007683666</v>
      </c>
      <c r="T1151">
        <f t="shared" ref="T1151:T1195" si="1038">S1151/1000</f>
        <v>-7.2206846007683664E-2</v>
      </c>
    </row>
    <row r="1152" spans="1:20" x14ac:dyDescent="0.25">
      <c r="A1152" s="5">
        <v>43441</v>
      </c>
      <c r="B1152">
        <v>0.55500000000000005</v>
      </c>
      <c r="C1152">
        <v>0.57099999999999995</v>
      </c>
      <c r="D1152">
        <v>0.51200000000000001</v>
      </c>
      <c r="E1152">
        <v>0.55600000000000005</v>
      </c>
      <c r="F1152">
        <v>4892536.4380000001</v>
      </c>
      <c r="G1152">
        <v>0</v>
      </c>
      <c r="L1152" t="s">
        <v>7</v>
      </c>
      <c r="M1152" t="s">
        <v>7</v>
      </c>
      <c r="N1152" t="s">
        <v>7</v>
      </c>
      <c r="P1152">
        <f t="shared" si="1034"/>
        <v>0.49152542372881636</v>
      </c>
      <c r="Q1152">
        <f t="shared" si="1035"/>
        <v>2404806.0457966239</v>
      </c>
      <c r="R1152">
        <f t="shared" si="1036"/>
        <v>-5973811.312349014</v>
      </c>
      <c r="S1152">
        <f t="shared" si="1037"/>
        <v>-59.738113123490137</v>
      </c>
      <c r="T1152">
        <f t="shared" si="1038"/>
        <v>-5.9738113123490137E-2</v>
      </c>
    </row>
    <row r="1153" spans="1:20" x14ac:dyDescent="0.25">
      <c r="A1153" s="5">
        <v>43440</v>
      </c>
      <c r="B1153">
        <v>0.66400000000000003</v>
      </c>
      <c r="C1153">
        <v>0.69</v>
      </c>
      <c r="D1153">
        <v>0.55200000000000005</v>
      </c>
      <c r="E1153">
        <v>0.55300000000000005</v>
      </c>
      <c r="F1153">
        <v>3469674.59</v>
      </c>
      <c r="G1153">
        <v>0</v>
      </c>
      <c r="L1153" t="s">
        <v>7</v>
      </c>
      <c r="M1153" t="s">
        <v>7</v>
      </c>
      <c r="N1153" t="s">
        <v>7</v>
      </c>
      <c r="P1153">
        <f t="shared" si="1034"/>
        <v>-0.98550724637681153</v>
      </c>
      <c r="Q1153">
        <f t="shared" si="1035"/>
        <v>-3419389.4510144922</v>
      </c>
      <c r="R1153">
        <f t="shared" si="1036"/>
        <v>-8378617.3581456374</v>
      </c>
      <c r="S1153">
        <f t="shared" si="1037"/>
        <v>-83.786173581456367</v>
      </c>
      <c r="T1153">
        <f t="shared" si="1038"/>
        <v>-8.3786173581456361E-2</v>
      </c>
    </row>
    <row r="1154" spans="1:20" x14ac:dyDescent="0.25">
      <c r="A1154" s="5">
        <v>43439</v>
      </c>
      <c r="B1154">
        <v>0.73699999999999999</v>
      </c>
      <c r="C1154">
        <v>0.745</v>
      </c>
      <c r="D1154">
        <v>0.66300000000000003</v>
      </c>
      <c r="E1154">
        <v>0.66400000000000003</v>
      </c>
      <c r="F1154">
        <v>2206030.7439999999</v>
      </c>
      <c r="G1154">
        <v>0</v>
      </c>
      <c r="L1154" t="s">
        <v>7</v>
      </c>
      <c r="M1154" t="s">
        <v>7</v>
      </c>
      <c r="N1154" t="s">
        <v>7</v>
      </c>
      <c r="P1154">
        <f t="shared" si="1034"/>
        <v>-0.97560975609756095</v>
      </c>
      <c r="Q1154">
        <f t="shared" si="1035"/>
        <v>-2152225.1160975611</v>
      </c>
      <c r="R1154">
        <f t="shared" si="1036"/>
        <v>-4959227.9071311448</v>
      </c>
      <c r="S1154">
        <f t="shared" si="1037"/>
        <v>-49.592279071311445</v>
      </c>
      <c r="T1154">
        <f t="shared" si="1038"/>
        <v>-4.9592279071311446E-2</v>
      </c>
    </row>
    <row r="1155" spans="1:20" x14ac:dyDescent="0.25">
      <c r="A1155" s="5">
        <v>43438</v>
      </c>
      <c r="B1155">
        <v>0.752</v>
      </c>
      <c r="C1155">
        <v>0.77900000000000003</v>
      </c>
      <c r="D1155">
        <v>0.68500000000000005</v>
      </c>
      <c r="E1155">
        <v>0.73399999999999999</v>
      </c>
      <c r="F1155">
        <v>3453031.8879999998</v>
      </c>
      <c r="G1155">
        <v>0</v>
      </c>
      <c r="L1155" t="s">
        <v>7</v>
      </c>
      <c r="M1155" t="s">
        <v>7</v>
      </c>
      <c r="N1155" t="s">
        <v>7</v>
      </c>
      <c r="P1155">
        <f t="shared" si="1034"/>
        <v>4.255319148936057E-2</v>
      </c>
      <c r="Q1155">
        <f t="shared" si="1035"/>
        <v>146937.52714893225</v>
      </c>
      <c r="R1155">
        <f t="shared" si="1036"/>
        <v>-2807002.7910335837</v>
      </c>
      <c r="S1155">
        <f t="shared" si="1037"/>
        <v>-28.070027910335838</v>
      </c>
      <c r="T1155">
        <f t="shared" si="1038"/>
        <v>-2.8070027910335839E-2</v>
      </c>
    </row>
    <row r="1156" spans="1:20" x14ac:dyDescent="0.25">
      <c r="A1156" s="5">
        <v>43437</v>
      </c>
      <c r="B1156">
        <v>0.82099999999999995</v>
      </c>
      <c r="C1156">
        <v>0.82699999999999996</v>
      </c>
      <c r="D1156">
        <v>0.73199999999999998</v>
      </c>
      <c r="E1156">
        <v>0.75</v>
      </c>
      <c r="F1156">
        <v>2090890.8470000001</v>
      </c>
      <c r="G1156">
        <v>0</v>
      </c>
      <c r="L1156" t="s">
        <v>7</v>
      </c>
      <c r="M1156" t="s">
        <v>7</v>
      </c>
      <c r="N1156" t="s">
        <v>7</v>
      </c>
      <c r="P1156">
        <f t="shared" si="1034"/>
        <v>-0.62105263157894697</v>
      </c>
      <c r="Q1156">
        <f t="shared" si="1035"/>
        <v>-1298553.2628736834</v>
      </c>
      <c r="R1156">
        <f t="shared" si="1036"/>
        <v>-2953940.3181825159</v>
      </c>
      <c r="S1156">
        <f t="shared" si="1037"/>
        <v>-29.539403181825158</v>
      </c>
      <c r="T1156">
        <f t="shared" si="1038"/>
        <v>-2.9539403181825158E-2</v>
      </c>
    </row>
    <row r="1157" spans="1:20" x14ac:dyDescent="0.25">
      <c r="A1157" s="5">
        <v>43436</v>
      </c>
      <c r="B1157">
        <v>0.80600000000000005</v>
      </c>
      <c r="C1157">
        <v>0.85799999999999998</v>
      </c>
      <c r="D1157">
        <v>0.8</v>
      </c>
      <c r="E1157">
        <v>0.82099999999999995</v>
      </c>
      <c r="F1157">
        <v>1930327.1610000001</v>
      </c>
      <c r="G1157">
        <v>0</v>
      </c>
      <c r="L1157" t="s">
        <v>8</v>
      </c>
      <c r="M1157" t="s">
        <v>7</v>
      </c>
      <c r="N1157" t="s">
        <v>7</v>
      </c>
      <c r="P1157">
        <f t="shared" si="1034"/>
        <v>-0.27586206896551968</v>
      </c>
      <c r="Q1157">
        <f t="shared" si="1035"/>
        <v>-532504.04441379779</v>
      </c>
      <c r="R1157">
        <f t="shared" si="1036"/>
        <v>-1655387.0553088323</v>
      </c>
      <c r="S1157">
        <f t="shared" si="1037"/>
        <v>-16.553870553088323</v>
      </c>
      <c r="T1157">
        <f t="shared" si="1038"/>
        <v>-1.6553870553088323E-2</v>
      </c>
    </row>
    <row r="1158" spans="1:20" x14ac:dyDescent="0.25">
      <c r="A1158" s="5">
        <v>43435</v>
      </c>
      <c r="B1158">
        <v>0.78600000000000003</v>
      </c>
      <c r="C1158">
        <v>0.84199999999999997</v>
      </c>
      <c r="D1158">
        <v>0.75600000000000001</v>
      </c>
      <c r="E1158">
        <v>0.80600000000000005</v>
      </c>
      <c r="F1158">
        <v>2352864.5060000001</v>
      </c>
      <c r="G1158">
        <v>0</v>
      </c>
      <c r="L1158" t="s">
        <v>8</v>
      </c>
      <c r="M1158" t="s">
        <v>7</v>
      </c>
      <c r="N1158" t="s">
        <v>7</v>
      </c>
      <c r="P1158">
        <f t="shared" si="1034"/>
        <v>0.16279069767442012</v>
      </c>
      <c r="Q1158">
        <f t="shared" si="1035"/>
        <v>383024.45446511987</v>
      </c>
      <c r="R1158">
        <f t="shared" si="1036"/>
        <v>-1122883.0108950345</v>
      </c>
      <c r="S1158">
        <f t="shared" si="1037"/>
        <v>-11.228830108950346</v>
      </c>
      <c r="T1158">
        <f t="shared" si="1038"/>
        <v>-1.1228830108950346E-2</v>
      </c>
    </row>
    <row r="1159" spans="1:20" x14ac:dyDescent="0.25">
      <c r="A1159" s="5">
        <v>43434</v>
      </c>
      <c r="B1159">
        <v>0.83399999999999996</v>
      </c>
      <c r="C1159">
        <v>0.84499999999999997</v>
      </c>
      <c r="D1159">
        <v>0.74299999999999999</v>
      </c>
      <c r="E1159">
        <v>0.78500000000000003</v>
      </c>
      <c r="F1159">
        <v>3166530.804</v>
      </c>
      <c r="G1159">
        <v>0</v>
      </c>
      <c r="L1159" t="s">
        <v>7</v>
      </c>
      <c r="M1159" t="s">
        <v>7</v>
      </c>
      <c r="N1159" t="s">
        <v>7</v>
      </c>
      <c r="P1159">
        <f t="shared" si="1034"/>
        <v>-0.17647058823529321</v>
      </c>
      <c r="Q1159">
        <f t="shared" si="1035"/>
        <v>-558799.55364705599</v>
      </c>
      <c r="R1159">
        <f t="shared" si="1036"/>
        <v>-1505907.4653601544</v>
      </c>
      <c r="S1159">
        <f t="shared" si="1037"/>
        <v>-15.059074653601543</v>
      </c>
      <c r="T1159">
        <f t="shared" si="1038"/>
        <v>-1.5059074653601543E-2</v>
      </c>
    </row>
    <row r="1160" spans="1:20" x14ac:dyDescent="0.25">
      <c r="A1160" s="5">
        <v>43433</v>
      </c>
      <c r="B1160">
        <v>0.86499999999999999</v>
      </c>
      <c r="C1160">
        <v>0.89100000000000001</v>
      </c>
      <c r="D1160">
        <v>0.80200000000000005</v>
      </c>
      <c r="E1160">
        <v>0.83299999999999996</v>
      </c>
      <c r="F1160">
        <v>4133155.8470000001</v>
      </c>
      <c r="G1160">
        <v>0</v>
      </c>
      <c r="L1160" t="s">
        <v>7</v>
      </c>
      <c r="M1160" t="s">
        <v>8</v>
      </c>
      <c r="N1160" t="s">
        <v>7</v>
      </c>
      <c r="P1160">
        <f t="shared" si="1034"/>
        <v>-0.30337078651685556</v>
      </c>
      <c r="Q1160">
        <f t="shared" si="1035"/>
        <v>-1253878.7401011304</v>
      </c>
      <c r="R1160">
        <f t="shared" si="1036"/>
        <v>-947107.91171309841</v>
      </c>
      <c r="S1160">
        <f t="shared" si="1037"/>
        <v>-9.4710791171309836</v>
      </c>
      <c r="T1160">
        <f t="shared" si="1038"/>
        <v>-9.471079117130984E-3</v>
      </c>
    </row>
    <row r="1161" spans="1:20" x14ac:dyDescent="0.25">
      <c r="A1161" s="5">
        <v>43432</v>
      </c>
      <c r="B1161">
        <v>0.77600000000000002</v>
      </c>
      <c r="C1161">
        <v>0.92500000000000004</v>
      </c>
      <c r="D1161">
        <v>0.77300000000000002</v>
      </c>
      <c r="E1161">
        <v>0.86299999999999999</v>
      </c>
      <c r="F1161">
        <v>6301854.3159999996</v>
      </c>
      <c r="G1161">
        <v>0</v>
      </c>
      <c r="L1161" t="s">
        <v>8</v>
      </c>
      <c r="M1161" t="s">
        <v>8</v>
      </c>
      <c r="N1161" t="s">
        <v>7</v>
      </c>
      <c r="P1161">
        <f t="shared" si="1034"/>
        <v>0.18421052631578888</v>
      </c>
      <c r="Q1161">
        <f t="shared" si="1035"/>
        <v>1160867.9003157858</v>
      </c>
      <c r="R1161">
        <f t="shared" si="1036"/>
        <v>306770.82838803204</v>
      </c>
      <c r="S1161">
        <f t="shared" si="1037"/>
        <v>3.0677082838803202</v>
      </c>
      <c r="T1161">
        <f t="shared" si="1038"/>
        <v>3.0677082838803204E-3</v>
      </c>
    </row>
    <row r="1162" spans="1:20" x14ac:dyDescent="0.25">
      <c r="A1162" s="5">
        <v>43431</v>
      </c>
      <c r="B1162">
        <v>0.78200000000000003</v>
      </c>
      <c r="C1162">
        <v>0.78500000000000003</v>
      </c>
      <c r="D1162">
        <v>0.71</v>
      </c>
      <c r="E1162">
        <v>0.77500000000000002</v>
      </c>
      <c r="F1162">
        <v>3559731.341</v>
      </c>
      <c r="G1162">
        <v>0</v>
      </c>
      <c r="L1162" t="s">
        <v>7</v>
      </c>
      <c r="M1162" t="s">
        <v>7</v>
      </c>
      <c r="N1162" t="s">
        <v>7</v>
      </c>
      <c r="P1162">
        <f t="shared" si="1034"/>
        <v>0.73333333333333328</v>
      </c>
      <c r="Q1162">
        <f t="shared" si="1035"/>
        <v>2610469.6500666663</v>
      </c>
      <c r="R1162">
        <f t="shared" si="1036"/>
        <v>-854097.07192775374</v>
      </c>
      <c r="S1162">
        <f t="shared" si="1037"/>
        <v>-8.5409707192775368</v>
      </c>
      <c r="T1162">
        <f t="shared" si="1038"/>
        <v>-8.540970719277537E-3</v>
      </c>
    </row>
    <row r="1163" spans="1:20" x14ac:dyDescent="0.25">
      <c r="A1163" s="5">
        <v>43430</v>
      </c>
      <c r="B1163">
        <v>0.878</v>
      </c>
      <c r="C1163">
        <v>0.90900000000000003</v>
      </c>
      <c r="D1163">
        <v>0.72199999999999998</v>
      </c>
      <c r="E1163">
        <v>0.78</v>
      </c>
      <c r="F1163">
        <v>6596136.8760000002</v>
      </c>
      <c r="G1163">
        <v>0</v>
      </c>
      <c r="L1163" t="s">
        <v>7</v>
      </c>
      <c r="M1163" t="s">
        <v>7</v>
      </c>
      <c r="N1163" t="s">
        <v>7</v>
      </c>
      <c r="P1163">
        <f t="shared" si="1034"/>
        <v>-0.37967914438502637</v>
      </c>
      <c r="Q1163">
        <f t="shared" si="1035"/>
        <v>-2504415.6053262008</v>
      </c>
      <c r="R1163">
        <f t="shared" si="1036"/>
        <v>-3464566.72199442</v>
      </c>
      <c r="S1163">
        <f t="shared" si="1037"/>
        <v>-34.645667219944201</v>
      </c>
      <c r="T1163">
        <f t="shared" si="1038"/>
        <v>-3.46456672199442E-2</v>
      </c>
    </row>
    <row r="1164" spans="1:20" x14ac:dyDescent="0.25">
      <c r="A1164" s="5">
        <v>43429</v>
      </c>
      <c r="B1164">
        <v>0.91200000000000003</v>
      </c>
      <c r="C1164">
        <v>0.93100000000000005</v>
      </c>
      <c r="D1164">
        <v>0.77800000000000002</v>
      </c>
      <c r="E1164">
        <v>0.875</v>
      </c>
      <c r="F1164">
        <v>6246053.8380000005</v>
      </c>
      <c r="G1164">
        <v>0</v>
      </c>
      <c r="L1164" t="s">
        <v>7</v>
      </c>
      <c r="M1164" t="s">
        <v>7</v>
      </c>
      <c r="N1164" t="s">
        <v>7</v>
      </c>
      <c r="P1164">
        <f t="shared" si="1034"/>
        <v>0.26797385620914982</v>
      </c>
      <c r="Q1164">
        <f t="shared" si="1035"/>
        <v>1673779.1330588204</v>
      </c>
      <c r="R1164">
        <f t="shared" si="1036"/>
        <v>-960151.11666821921</v>
      </c>
      <c r="S1164">
        <f t="shared" si="1037"/>
        <v>-9.601511166682192</v>
      </c>
      <c r="T1164">
        <f t="shared" si="1038"/>
        <v>-9.6015111666821924E-3</v>
      </c>
    </row>
    <row r="1165" spans="1:20" x14ac:dyDescent="0.25">
      <c r="A1165" s="5">
        <v>43428</v>
      </c>
      <c r="B1165">
        <v>1.002</v>
      </c>
      <c r="C1165">
        <v>1.0409999999999999</v>
      </c>
      <c r="D1165">
        <v>0.89500000000000002</v>
      </c>
      <c r="E1165">
        <v>0.91300000000000003</v>
      </c>
      <c r="F1165">
        <v>3117199.1120000002</v>
      </c>
      <c r="G1165">
        <v>0</v>
      </c>
      <c r="L1165" t="s">
        <v>7</v>
      </c>
      <c r="M1165" t="s">
        <v>7</v>
      </c>
      <c r="N1165" t="s">
        <v>7</v>
      </c>
      <c r="P1165">
        <f t="shared" si="1034"/>
        <v>-0.75342465753424614</v>
      </c>
      <c r="Q1165">
        <f t="shared" si="1035"/>
        <v>-2348574.6734246565</v>
      </c>
      <c r="R1165">
        <f t="shared" si="1036"/>
        <v>-2633930.2497270396</v>
      </c>
      <c r="S1165">
        <f t="shared" si="1037"/>
        <v>-26.339302497270396</v>
      </c>
      <c r="T1165">
        <f t="shared" si="1038"/>
        <v>-2.6339302497270397E-2</v>
      </c>
    </row>
    <row r="1166" spans="1:20" x14ac:dyDescent="0.25">
      <c r="A1166" s="5">
        <v>43427</v>
      </c>
      <c r="B1166">
        <v>0.97</v>
      </c>
      <c r="C1166">
        <v>1.0189999999999999</v>
      </c>
      <c r="D1166">
        <v>0.91300000000000003</v>
      </c>
      <c r="E1166">
        <v>1.002</v>
      </c>
      <c r="F1166">
        <v>3069843.82</v>
      </c>
      <c r="G1166">
        <v>0</v>
      </c>
      <c r="L1166" t="s">
        <v>7</v>
      </c>
      <c r="M1166" t="s">
        <v>8</v>
      </c>
      <c r="N1166" t="s">
        <v>7</v>
      </c>
      <c r="P1166">
        <f t="shared" si="1034"/>
        <v>0.67924528301886933</v>
      </c>
      <c r="Q1166">
        <f t="shared" si="1035"/>
        <v>2085176.9343396269</v>
      </c>
      <c r="R1166">
        <f t="shared" si="1036"/>
        <v>-285355.57630238286</v>
      </c>
      <c r="S1166">
        <f t="shared" si="1037"/>
        <v>-2.8535557630238286</v>
      </c>
      <c r="T1166">
        <f t="shared" si="1038"/>
        <v>-2.8535557630238288E-3</v>
      </c>
    </row>
    <row r="1167" spans="1:20" x14ac:dyDescent="0.25">
      <c r="A1167" s="5">
        <v>43426</v>
      </c>
      <c r="B1167">
        <v>1.0449999999999999</v>
      </c>
      <c r="C1167">
        <v>1.052</v>
      </c>
      <c r="D1167">
        <v>0.95299999999999996</v>
      </c>
      <c r="E1167">
        <v>0.97199999999999998</v>
      </c>
      <c r="F1167">
        <v>3473352.59</v>
      </c>
      <c r="G1167">
        <v>0</v>
      </c>
      <c r="L1167" t="s">
        <v>7</v>
      </c>
      <c r="M1167" t="s">
        <v>8</v>
      </c>
      <c r="N1167" t="s">
        <v>7</v>
      </c>
      <c r="P1167">
        <f t="shared" si="1034"/>
        <v>-0.61616161616161613</v>
      </c>
      <c r="Q1167">
        <f t="shared" si="1035"/>
        <v>-2140146.5453535351</v>
      </c>
      <c r="R1167">
        <f t="shared" si="1036"/>
        <v>-2370532.5106420098</v>
      </c>
      <c r="S1167">
        <f t="shared" si="1037"/>
        <v>-23.705325106420098</v>
      </c>
      <c r="T1167">
        <f t="shared" si="1038"/>
        <v>-2.3705325106420098E-2</v>
      </c>
    </row>
    <row r="1168" spans="1:20" x14ac:dyDescent="0.25">
      <c r="A1168" s="5">
        <v>43425</v>
      </c>
      <c r="B1168">
        <v>1.0089999999999999</v>
      </c>
      <c r="C1168">
        <v>1.0980000000000001</v>
      </c>
      <c r="D1168">
        <v>0.96</v>
      </c>
      <c r="E1168">
        <v>1.046</v>
      </c>
      <c r="F1168">
        <v>5873278.8849999998</v>
      </c>
      <c r="G1168">
        <v>0</v>
      </c>
      <c r="L1168" t="s">
        <v>8</v>
      </c>
      <c r="M1168" t="s">
        <v>8</v>
      </c>
      <c r="N1168" t="s">
        <v>7</v>
      </c>
      <c r="P1168">
        <f t="shared" si="1034"/>
        <v>0.24637681159420291</v>
      </c>
      <c r="Q1168">
        <f t="shared" si="1035"/>
        <v>1447039.7252898552</v>
      </c>
      <c r="R1168">
        <f t="shared" si="1036"/>
        <v>-230385.96528847492</v>
      </c>
      <c r="S1168">
        <f t="shared" si="1037"/>
        <v>-2.303859652884749</v>
      </c>
      <c r="T1168">
        <f t="shared" si="1038"/>
        <v>-2.303859652884749E-3</v>
      </c>
    </row>
    <row r="1169" spans="1:20" x14ac:dyDescent="0.25">
      <c r="A1169" s="5">
        <v>43424</v>
      </c>
      <c r="B1169">
        <v>1.151</v>
      </c>
      <c r="C1169">
        <v>1.1719999999999999</v>
      </c>
      <c r="D1169">
        <v>0.85199999999999998</v>
      </c>
      <c r="E1169">
        <v>1.01</v>
      </c>
      <c r="F1169">
        <v>9482250.1050000004</v>
      </c>
      <c r="G1169">
        <v>0</v>
      </c>
      <c r="L1169" t="s">
        <v>7</v>
      </c>
      <c r="M1169" t="s">
        <v>7</v>
      </c>
      <c r="N1169" t="s">
        <v>7</v>
      </c>
      <c r="P1169">
        <f t="shared" si="1034"/>
        <v>-1.2499999999999666E-2</v>
      </c>
      <c r="Q1169">
        <f t="shared" si="1035"/>
        <v>-118528.12631249684</v>
      </c>
      <c r="R1169">
        <f t="shared" si="1036"/>
        <v>-1677425.6905783301</v>
      </c>
      <c r="S1169">
        <f t="shared" si="1037"/>
        <v>-16.7742569057833</v>
      </c>
      <c r="T1169">
        <f t="shared" si="1038"/>
        <v>-1.67742569057833E-2</v>
      </c>
    </row>
    <row r="1170" spans="1:20" x14ac:dyDescent="0.25">
      <c r="A1170" s="5">
        <v>43423</v>
      </c>
      <c r="B1170">
        <v>1.355</v>
      </c>
      <c r="C1170">
        <v>1.3580000000000001</v>
      </c>
      <c r="D1170">
        <v>1.107</v>
      </c>
      <c r="E1170">
        <v>1.153</v>
      </c>
      <c r="F1170">
        <v>4105909.6609999998</v>
      </c>
      <c r="G1170">
        <v>0</v>
      </c>
      <c r="L1170" t="s">
        <v>7</v>
      </c>
      <c r="M1170" t="s">
        <v>7</v>
      </c>
      <c r="N1170" t="s">
        <v>7</v>
      </c>
      <c r="P1170">
        <f t="shared" si="1034"/>
        <v>-0.63346613545816721</v>
      </c>
      <c r="Q1170">
        <f t="shared" si="1035"/>
        <v>-2600954.7254940234</v>
      </c>
      <c r="R1170">
        <f t="shared" si="1036"/>
        <v>-1558897.5642658332</v>
      </c>
      <c r="S1170">
        <f t="shared" si="1037"/>
        <v>-15.588975642658333</v>
      </c>
      <c r="T1170">
        <f t="shared" si="1038"/>
        <v>-1.5588975642658333E-2</v>
      </c>
    </row>
    <row r="1171" spans="1:20" x14ac:dyDescent="0.25">
      <c r="A1171" s="5">
        <v>43422</v>
      </c>
      <c r="B1171">
        <v>1.357</v>
      </c>
      <c r="C1171">
        <v>1.38</v>
      </c>
      <c r="D1171">
        <v>1.33</v>
      </c>
      <c r="E1171">
        <v>1.357</v>
      </c>
      <c r="F1171">
        <v>1060383.8529999999</v>
      </c>
      <c r="G1171">
        <v>0</v>
      </c>
      <c r="L1171" t="s">
        <v>7</v>
      </c>
      <c r="M1171" t="s">
        <v>8</v>
      </c>
      <c r="N1171" t="s">
        <v>7</v>
      </c>
      <c r="P1171">
        <f t="shared" si="1034"/>
        <v>8.0000000000000349E-2</v>
      </c>
      <c r="Q1171">
        <f t="shared" si="1035"/>
        <v>84830.708240000356</v>
      </c>
      <c r="R1171">
        <f t="shared" si="1036"/>
        <v>1042057.1612281902</v>
      </c>
      <c r="S1171">
        <f t="shared" si="1037"/>
        <v>10.420571612281902</v>
      </c>
      <c r="T1171">
        <f t="shared" si="1038"/>
        <v>1.0420571612281902E-2</v>
      </c>
    </row>
    <row r="1172" spans="1:20" x14ac:dyDescent="0.25">
      <c r="A1172" s="5">
        <v>43421</v>
      </c>
      <c r="B1172">
        <v>1.3879999999999999</v>
      </c>
      <c r="C1172">
        <v>1.389</v>
      </c>
      <c r="D1172">
        <v>1.325</v>
      </c>
      <c r="E1172">
        <v>1.357</v>
      </c>
      <c r="F1172">
        <v>1175092.469</v>
      </c>
      <c r="G1172">
        <v>0</v>
      </c>
      <c r="L1172" t="s">
        <v>7</v>
      </c>
      <c r="M1172" t="s">
        <v>8</v>
      </c>
      <c r="N1172" t="s">
        <v>7</v>
      </c>
      <c r="P1172">
        <f t="shared" si="1034"/>
        <v>0</v>
      </c>
      <c r="Q1172">
        <f t="shared" si="1035"/>
        <v>0</v>
      </c>
      <c r="R1172">
        <f t="shared" si="1036"/>
        <v>957226.45298818988</v>
      </c>
      <c r="S1172">
        <f t="shared" si="1037"/>
        <v>9.5722645298818989</v>
      </c>
      <c r="T1172">
        <f t="shared" si="1038"/>
        <v>9.5722645298818992E-3</v>
      </c>
    </row>
    <row r="1173" spans="1:20" x14ac:dyDescent="0.25">
      <c r="A1173" s="5">
        <v>43420</v>
      </c>
      <c r="B1173">
        <v>1.496</v>
      </c>
      <c r="C1173">
        <v>1.508</v>
      </c>
      <c r="D1173">
        <v>1.355</v>
      </c>
      <c r="E1173">
        <v>1.3879999999999999</v>
      </c>
      <c r="F1173">
        <v>1911047.9269999999</v>
      </c>
      <c r="G1173">
        <v>0</v>
      </c>
      <c r="L1173" t="s">
        <v>7</v>
      </c>
      <c r="M1173" t="s">
        <v>8</v>
      </c>
      <c r="N1173" t="s">
        <v>7</v>
      </c>
      <c r="P1173">
        <f t="shared" si="1034"/>
        <v>-0.56862745098039325</v>
      </c>
      <c r="Q1173">
        <f t="shared" si="1035"/>
        <v>-1086674.3114313746</v>
      </c>
      <c r="R1173">
        <f t="shared" si="1036"/>
        <v>957226.45298818988</v>
      </c>
      <c r="S1173">
        <f t="shared" si="1037"/>
        <v>9.5722645298818989</v>
      </c>
      <c r="T1173">
        <f t="shared" si="1038"/>
        <v>9.5722645298818992E-3</v>
      </c>
    </row>
    <row r="1174" spans="1:20" x14ac:dyDescent="0.25">
      <c r="A1174" s="5">
        <v>43419</v>
      </c>
      <c r="B1174">
        <v>1.4770000000000001</v>
      </c>
      <c r="C1174">
        <v>1.52</v>
      </c>
      <c r="D1174">
        <v>1.2709999999999999</v>
      </c>
      <c r="E1174">
        <v>1.4970000000000001</v>
      </c>
      <c r="F1174">
        <v>3868264.0290000001</v>
      </c>
      <c r="G1174">
        <v>0</v>
      </c>
      <c r="L1174" t="s">
        <v>8</v>
      </c>
      <c r="M1174" t="s">
        <v>8</v>
      </c>
      <c r="N1174" t="s">
        <v>7</v>
      </c>
      <c r="P1174">
        <f t="shared" si="1034"/>
        <v>0.81526104417670764</v>
      </c>
      <c r="Q1174">
        <f t="shared" si="1035"/>
        <v>3153644.9714337382</v>
      </c>
      <c r="R1174">
        <f t="shared" si="1036"/>
        <v>2043900.7644195645</v>
      </c>
      <c r="S1174">
        <f t="shared" si="1037"/>
        <v>20.439007644195645</v>
      </c>
      <c r="T1174">
        <f t="shared" si="1038"/>
        <v>2.0439007644195643E-2</v>
      </c>
    </row>
    <row r="1175" spans="1:20" x14ac:dyDescent="0.25">
      <c r="A1175" s="5">
        <v>43418</v>
      </c>
      <c r="B1175">
        <v>1.593</v>
      </c>
      <c r="C1175">
        <v>1.6</v>
      </c>
      <c r="D1175">
        <v>1.262</v>
      </c>
      <c r="E1175">
        <v>1.4770000000000001</v>
      </c>
      <c r="F1175">
        <v>3829675.5070000002</v>
      </c>
      <c r="G1175">
        <v>0</v>
      </c>
      <c r="L1175" t="s">
        <v>7</v>
      </c>
      <c r="M1175" t="s">
        <v>7</v>
      </c>
      <c r="N1175" t="s">
        <v>7</v>
      </c>
      <c r="P1175">
        <f t="shared" si="1034"/>
        <v>0.2721893491124262</v>
      </c>
      <c r="Q1175">
        <f t="shared" si="1035"/>
        <v>1042396.8835621309</v>
      </c>
      <c r="R1175">
        <f t="shared" si="1036"/>
        <v>-1109744.2070141737</v>
      </c>
      <c r="S1175">
        <f t="shared" si="1037"/>
        <v>-11.097442070141737</v>
      </c>
      <c r="T1175">
        <f t="shared" si="1038"/>
        <v>-1.1097442070141737E-2</v>
      </c>
    </row>
    <row r="1176" spans="1:20" x14ac:dyDescent="0.25">
      <c r="A1176" s="5">
        <v>43417</v>
      </c>
      <c r="B1176">
        <v>1.641</v>
      </c>
      <c r="C1176">
        <v>1.6439999999999999</v>
      </c>
      <c r="D1176">
        <v>1.5920000000000001</v>
      </c>
      <c r="E1176">
        <v>1.5920000000000001</v>
      </c>
      <c r="F1176">
        <v>720531.36899999995</v>
      </c>
      <c r="G1176">
        <v>0</v>
      </c>
      <c r="L1176" t="s">
        <v>7</v>
      </c>
      <c r="M1176" t="s">
        <v>8</v>
      </c>
      <c r="N1176" t="s">
        <v>8</v>
      </c>
      <c r="P1176">
        <f t="shared" si="1034"/>
        <v>-1</v>
      </c>
      <c r="Q1176">
        <f t="shared" si="1035"/>
        <v>-720531.36899999995</v>
      </c>
      <c r="R1176">
        <f t="shared" si="1036"/>
        <v>-2152141.0905763046</v>
      </c>
      <c r="S1176">
        <f t="shared" si="1037"/>
        <v>-21.521410905763044</v>
      </c>
      <c r="T1176">
        <f t="shared" si="1038"/>
        <v>-2.1521410905763046E-2</v>
      </c>
    </row>
    <row r="1177" spans="1:20" x14ac:dyDescent="0.25">
      <c r="A1177" s="5">
        <v>43416</v>
      </c>
      <c r="B1177">
        <v>1.6439999999999999</v>
      </c>
      <c r="C1177">
        <v>1.6579999999999999</v>
      </c>
      <c r="D1177">
        <v>1.581</v>
      </c>
      <c r="E1177">
        <v>1.641</v>
      </c>
      <c r="F1177">
        <v>718443.29200000002</v>
      </c>
      <c r="G1177">
        <v>0</v>
      </c>
      <c r="L1177" t="s">
        <v>7</v>
      </c>
      <c r="M1177" t="s">
        <v>8</v>
      </c>
      <c r="N1177" t="s">
        <v>8</v>
      </c>
      <c r="P1177">
        <f t="shared" si="1034"/>
        <v>0.55844155844156074</v>
      </c>
      <c r="Q1177">
        <f t="shared" si="1035"/>
        <v>401208.59163636528</v>
      </c>
      <c r="R1177">
        <f t="shared" si="1036"/>
        <v>-1431609.7215763046</v>
      </c>
      <c r="S1177">
        <f t="shared" si="1037"/>
        <v>-14.316097215763046</v>
      </c>
      <c r="T1177">
        <f t="shared" si="1038"/>
        <v>-1.4316097215763046E-2</v>
      </c>
    </row>
    <row r="1178" spans="1:20" x14ac:dyDescent="0.25">
      <c r="A1178" s="5">
        <v>43415</v>
      </c>
      <c r="B1178">
        <v>1.643</v>
      </c>
      <c r="C1178">
        <v>1.6539999999999999</v>
      </c>
      <c r="D1178">
        <v>1.605</v>
      </c>
      <c r="E1178">
        <v>1.643</v>
      </c>
      <c r="F1178">
        <v>244602.82500000001</v>
      </c>
      <c r="G1178">
        <v>0</v>
      </c>
      <c r="L1178" t="s">
        <v>7</v>
      </c>
      <c r="M1178" t="s">
        <v>8</v>
      </c>
      <c r="N1178" t="s">
        <v>8</v>
      </c>
      <c r="P1178">
        <f t="shared" si="1034"/>
        <v>0.5510204081632688</v>
      </c>
      <c r="Q1178">
        <f t="shared" si="1035"/>
        <v>134781.14846938863</v>
      </c>
      <c r="R1178">
        <f t="shared" si="1036"/>
        <v>-1832818.3132126699</v>
      </c>
      <c r="S1178">
        <f t="shared" si="1037"/>
        <v>-18.3281831321267</v>
      </c>
      <c r="T1178">
        <f t="shared" si="1038"/>
        <v>-1.83281831321267E-2</v>
      </c>
    </row>
    <row r="1179" spans="1:20" x14ac:dyDescent="0.25">
      <c r="A1179" s="5">
        <v>43414</v>
      </c>
      <c r="B1179">
        <v>1.625</v>
      </c>
      <c r="C1179">
        <v>1.6559999999999999</v>
      </c>
      <c r="D1179">
        <v>1.62</v>
      </c>
      <c r="E1179">
        <v>1.645</v>
      </c>
      <c r="F1179">
        <v>282659.29100000003</v>
      </c>
      <c r="G1179">
        <v>0</v>
      </c>
      <c r="L1179" t="s">
        <v>7</v>
      </c>
      <c r="M1179" t="s">
        <v>8</v>
      </c>
      <c r="N1179" t="s">
        <v>8</v>
      </c>
      <c r="P1179">
        <f t="shared" si="1034"/>
        <v>0.38888888888889128</v>
      </c>
      <c r="Q1179">
        <f t="shared" si="1035"/>
        <v>109923.0576111118</v>
      </c>
      <c r="R1179">
        <f t="shared" si="1036"/>
        <v>-1967599.4616820586</v>
      </c>
      <c r="S1179">
        <f t="shared" si="1037"/>
        <v>-19.675994616820585</v>
      </c>
      <c r="T1179">
        <f t="shared" si="1038"/>
        <v>-1.9675994616820586E-2</v>
      </c>
    </row>
    <row r="1180" spans="1:20" x14ac:dyDescent="0.25">
      <c r="A1180" s="5">
        <v>43413</v>
      </c>
      <c r="B1180">
        <v>1.667</v>
      </c>
      <c r="C1180">
        <v>1.6859999999999999</v>
      </c>
      <c r="D1180">
        <v>1.61</v>
      </c>
      <c r="E1180">
        <v>1.625</v>
      </c>
      <c r="F1180">
        <v>613294.60600000003</v>
      </c>
      <c r="G1180">
        <v>0</v>
      </c>
      <c r="L1180" t="s">
        <v>7</v>
      </c>
      <c r="M1180" t="s">
        <v>8</v>
      </c>
      <c r="N1180" t="s">
        <v>8</v>
      </c>
      <c r="P1180">
        <f t="shared" si="1034"/>
        <v>-0.60526315789473861</v>
      </c>
      <c r="Q1180">
        <f t="shared" si="1035"/>
        <v>-371204.62994736951</v>
      </c>
      <c r="R1180">
        <f t="shared" si="1036"/>
        <v>-2077522.5192931704</v>
      </c>
      <c r="S1180">
        <f t="shared" si="1037"/>
        <v>-20.775225192931703</v>
      </c>
      <c r="T1180">
        <f t="shared" si="1038"/>
        <v>-2.0775225192931703E-2</v>
      </c>
    </row>
    <row r="1181" spans="1:20" x14ac:dyDescent="0.25">
      <c r="A1181" s="5">
        <v>43412</v>
      </c>
      <c r="B1181">
        <v>1.6919999999999999</v>
      </c>
      <c r="C1181">
        <v>1.72</v>
      </c>
      <c r="D1181">
        <v>1.6559999999999999</v>
      </c>
      <c r="E1181">
        <v>1.667</v>
      </c>
      <c r="F1181">
        <v>986211.78399999999</v>
      </c>
      <c r="G1181">
        <v>0</v>
      </c>
      <c r="L1181" t="s">
        <v>8</v>
      </c>
      <c r="M1181" t="s">
        <v>8</v>
      </c>
      <c r="N1181" t="s">
        <v>8</v>
      </c>
      <c r="P1181">
        <f t="shared" si="1034"/>
        <v>-0.65624999999999656</v>
      </c>
      <c r="Q1181">
        <f t="shared" si="1035"/>
        <v>-647201.48324999656</v>
      </c>
      <c r="R1181">
        <f t="shared" si="1036"/>
        <v>-1706317.889345801</v>
      </c>
      <c r="S1181">
        <f t="shared" si="1037"/>
        <v>-17.063178893458009</v>
      </c>
      <c r="T1181">
        <f t="shared" si="1038"/>
        <v>-1.7063178893458007E-2</v>
      </c>
    </row>
    <row r="1182" spans="1:20" x14ac:dyDescent="0.25">
      <c r="A1182" s="5">
        <v>43411</v>
      </c>
      <c r="B1182">
        <v>1.7290000000000001</v>
      </c>
      <c r="C1182">
        <v>1.7629999999999999</v>
      </c>
      <c r="D1182">
        <v>1.671</v>
      </c>
      <c r="E1182">
        <v>1.6930000000000001</v>
      </c>
      <c r="F1182">
        <v>1458629.1610000001</v>
      </c>
      <c r="G1182">
        <v>0</v>
      </c>
      <c r="L1182" t="s">
        <v>8</v>
      </c>
      <c r="M1182" t="s">
        <v>8</v>
      </c>
      <c r="N1182" t="s">
        <v>8</v>
      </c>
      <c r="P1182">
        <f t="shared" si="1034"/>
        <v>-0.52173913043478148</v>
      </c>
      <c r="Q1182">
        <f t="shared" si="1035"/>
        <v>-761023.91008695494</v>
      </c>
      <c r="R1182">
        <f t="shared" si="1036"/>
        <v>-1059116.4060958044</v>
      </c>
      <c r="S1182">
        <f t="shared" si="1037"/>
        <v>-10.591164060958045</v>
      </c>
      <c r="T1182">
        <f t="shared" si="1038"/>
        <v>-1.0591164060958044E-2</v>
      </c>
    </row>
    <row r="1183" spans="1:20" x14ac:dyDescent="0.25">
      <c r="A1183" s="5">
        <v>43410</v>
      </c>
      <c r="B1183">
        <v>1.6930000000000001</v>
      </c>
      <c r="C1183">
        <v>1.7330000000000001</v>
      </c>
      <c r="D1183">
        <v>1.6779999999999999</v>
      </c>
      <c r="E1183">
        <v>1.7290000000000001</v>
      </c>
      <c r="F1183">
        <v>1390521.834</v>
      </c>
      <c r="G1183">
        <v>0</v>
      </c>
      <c r="L1183" t="s">
        <v>8</v>
      </c>
      <c r="M1183" t="s">
        <v>8</v>
      </c>
      <c r="N1183" t="s">
        <v>8</v>
      </c>
      <c r="P1183">
        <f t="shared" si="1034"/>
        <v>0.85454545454545483</v>
      </c>
      <c r="Q1183">
        <f t="shared" si="1035"/>
        <v>1188264.1126909095</v>
      </c>
      <c r="R1183">
        <f t="shared" si="1036"/>
        <v>-298092.49600884947</v>
      </c>
      <c r="S1183">
        <f t="shared" si="1037"/>
        <v>-2.9809249600884948</v>
      </c>
      <c r="T1183">
        <f t="shared" si="1038"/>
        <v>-2.9809249600884946E-3</v>
      </c>
    </row>
    <row r="1184" spans="1:20" x14ac:dyDescent="0.25">
      <c r="A1184" s="5">
        <v>43409</v>
      </c>
      <c r="B1184">
        <v>1.7330000000000001</v>
      </c>
      <c r="C1184">
        <v>1.734</v>
      </c>
      <c r="D1184">
        <v>1.667</v>
      </c>
      <c r="E1184">
        <v>1.6950000000000001</v>
      </c>
      <c r="F1184">
        <v>1177470.73</v>
      </c>
      <c r="G1184">
        <v>0</v>
      </c>
      <c r="L1184" t="s">
        <v>8</v>
      </c>
      <c r="M1184" t="s">
        <v>8</v>
      </c>
      <c r="N1184" t="s">
        <v>8</v>
      </c>
      <c r="P1184">
        <f t="shared" si="1034"/>
        <v>-0.16417910447761055</v>
      </c>
      <c r="Q1184">
        <f t="shared" si="1035"/>
        <v>-193316.08999999837</v>
      </c>
      <c r="R1184">
        <f t="shared" si="1036"/>
        <v>-1486356.608699759</v>
      </c>
      <c r="S1184">
        <f t="shared" si="1037"/>
        <v>-14.86356608699759</v>
      </c>
      <c r="T1184">
        <f t="shared" si="1038"/>
        <v>-1.486356608699759E-2</v>
      </c>
    </row>
    <row r="1185" spans="1:20" x14ac:dyDescent="0.25">
      <c r="A1185" s="5">
        <v>43408</v>
      </c>
      <c r="B1185">
        <v>1.665</v>
      </c>
      <c r="C1185">
        <v>1.766</v>
      </c>
      <c r="D1185">
        <v>1.649</v>
      </c>
      <c r="E1185">
        <v>1.7330000000000001</v>
      </c>
      <c r="F1185">
        <v>1589063.9439999999</v>
      </c>
      <c r="G1185">
        <v>0</v>
      </c>
      <c r="L1185" t="s">
        <v>8</v>
      </c>
      <c r="M1185" t="s">
        <v>8</v>
      </c>
      <c r="N1185" t="s">
        <v>8</v>
      </c>
      <c r="P1185">
        <f t="shared" si="1034"/>
        <v>0.43589743589743724</v>
      </c>
      <c r="Q1185">
        <f t="shared" si="1035"/>
        <v>692668.8986666688</v>
      </c>
      <c r="R1185">
        <f t="shared" si="1036"/>
        <v>-1293040.5186997605</v>
      </c>
      <c r="S1185">
        <f t="shared" si="1037"/>
        <v>-12.930405186997605</v>
      </c>
      <c r="T1185">
        <f t="shared" si="1038"/>
        <v>-1.2930405186997606E-2</v>
      </c>
    </row>
    <row r="1186" spans="1:20" x14ac:dyDescent="0.25">
      <c r="A1186" s="5">
        <v>43407</v>
      </c>
      <c r="B1186">
        <v>1.6910000000000001</v>
      </c>
      <c r="C1186">
        <v>1.6950000000000001</v>
      </c>
      <c r="D1186">
        <v>1.6539999999999999</v>
      </c>
      <c r="E1186">
        <v>1.6639999999999999</v>
      </c>
      <c r="F1186">
        <v>788359.05</v>
      </c>
      <c r="G1186">
        <v>0</v>
      </c>
      <c r="L1186" t="s">
        <v>8</v>
      </c>
      <c r="M1186" t="s">
        <v>8</v>
      </c>
      <c r="N1186" t="s">
        <v>8</v>
      </c>
      <c r="P1186">
        <f t="shared" si="1034"/>
        <v>-0.51219512195122086</v>
      </c>
      <c r="Q1186">
        <f t="shared" si="1035"/>
        <v>-403793.65975609864</v>
      </c>
      <c r="R1186">
        <f t="shared" si="1036"/>
        <v>-1985709.4173664292</v>
      </c>
      <c r="S1186">
        <f t="shared" si="1037"/>
        <v>-19.857094173664294</v>
      </c>
      <c r="T1186">
        <f t="shared" si="1038"/>
        <v>-1.9857094173664293E-2</v>
      </c>
    </row>
    <row r="1187" spans="1:20" x14ac:dyDescent="0.25">
      <c r="A1187" s="5">
        <v>43406</v>
      </c>
      <c r="B1187">
        <v>1.6990000000000001</v>
      </c>
      <c r="C1187">
        <v>1.728</v>
      </c>
      <c r="D1187">
        <v>1.6719999999999999</v>
      </c>
      <c r="E1187">
        <v>1.694</v>
      </c>
      <c r="F1187">
        <v>1238065.4720000001</v>
      </c>
      <c r="G1187">
        <v>0</v>
      </c>
      <c r="L1187" t="s">
        <v>8</v>
      </c>
      <c r="M1187" t="s">
        <v>8</v>
      </c>
      <c r="N1187" t="s">
        <v>8</v>
      </c>
      <c r="P1187">
        <f t="shared" si="1034"/>
        <v>-0.21428571428571427</v>
      </c>
      <c r="Q1187">
        <f t="shared" si="1035"/>
        <v>-265299.74400000001</v>
      </c>
      <c r="R1187">
        <f t="shared" si="1036"/>
        <v>-1581915.7576103306</v>
      </c>
      <c r="S1187">
        <f t="shared" si="1037"/>
        <v>-15.819157576103306</v>
      </c>
      <c r="T1187">
        <f t="shared" si="1038"/>
        <v>-1.5819157576103308E-2</v>
      </c>
    </row>
    <row r="1188" spans="1:20" x14ac:dyDescent="0.25">
      <c r="A1188" s="5">
        <v>43405</v>
      </c>
      <c r="B1188">
        <v>1.6639999999999999</v>
      </c>
      <c r="C1188">
        <v>1.724</v>
      </c>
      <c r="D1188">
        <v>1.635</v>
      </c>
      <c r="E1188">
        <v>1.6970000000000001</v>
      </c>
      <c r="F1188">
        <v>1130584.3689999999</v>
      </c>
      <c r="G1188">
        <v>0</v>
      </c>
      <c r="L1188" t="s">
        <v>8</v>
      </c>
      <c r="M1188" t="s">
        <v>8</v>
      </c>
      <c r="N1188" t="s">
        <v>8</v>
      </c>
      <c r="P1188">
        <f t="shared" si="1034"/>
        <v>0.39325842696629387</v>
      </c>
      <c r="Q1188">
        <f t="shared" si="1035"/>
        <v>444611.83050561993</v>
      </c>
      <c r="R1188">
        <f t="shared" si="1036"/>
        <v>-1316616.0136103306</v>
      </c>
      <c r="S1188">
        <f t="shared" si="1037"/>
        <v>-13.166160136103306</v>
      </c>
      <c r="T1188">
        <f t="shared" si="1038"/>
        <v>-1.3166160136103305E-2</v>
      </c>
    </row>
    <row r="1189" spans="1:20" x14ac:dyDescent="0.25">
      <c r="A1189" s="5">
        <v>43404</v>
      </c>
      <c r="B1189">
        <v>1.647</v>
      </c>
      <c r="C1189">
        <v>1.6779999999999999</v>
      </c>
      <c r="D1189">
        <v>1.5960000000000001</v>
      </c>
      <c r="E1189">
        <v>1.6639999999999999</v>
      </c>
      <c r="F1189">
        <v>1259866.46</v>
      </c>
      <c r="G1189">
        <v>0</v>
      </c>
      <c r="L1189" t="s">
        <v>7</v>
      </c>
      <c r="M1189" t="s">
        <v>8</v>
      </c>
      <c r="N1189" t="s">
        <v>8</v>
      </c>
      <c r="P1189">
        <f t="shared" si="1034"/>
        <v>0.65853658536585269</v>
      </c>
      <c r="Q1189">
        <f t="shared" si="1035"/>
        <v>829668.1565853646</v>
      </c>
      <c r="R1189">
        <f t="shared" si="1036"/>
        <v>-1761227.8441159506</v>
      </c>
      <c r="S1189">
        <f t="shared" si="1037"/>
        <v>-17.612278441159507</v>
      </c>
      <c r="T1189">
        <f t="shared" si="1038"/>
        <v>-1.7612278441159507E-2</v>
      </c>
    </row>
    <row r="1190" spans="1:20" x14ac:dyDescent="0.25">
      <c r="A1190" s="5">
        <v>43403</v>
      </c>
      <c r="B1190">
        <v>1.659</v>
      </c>
      <c r="C1190">
        <v>1.6850000000000001</v>
      </c>
      <c r="D1190">
        <v>1.623</v>
      </c>
      <c r="E1190">
        <v>1.6459999999999999</v>
      </c>
      <c r="F1190">
        <v>929524.25699999998</v>
      </c>
      <c r="G1190">
        <v>0</v>
      </c>
      <c r="L1190" t="s">
        <v>7</v>
      </c>
      <c r="M1190" t="s">
        <v>8</v>
      </c>
      <c r="N1190" t="s">
        <v>8</v>
      </c>
      <c r="P1190">
        <f t="shared" si="1034"/>
        <v>-0.25806451612903586</v>
      </c>
      <c r="Q1190">
        <f t="shared" si="1035"/>
        <v>-239877.22761290657</v>
      </c>
      <c r="R1190">
        <f t="shared" si="1036"/>
        <v>-2590896.0007013152</v>
      </c>
      <c r="S1190">
        <f t="shared" si="1037"/>
        <v>-25.908960007013153</v>
      </c>
      <c r="T1190">
        <f t="shared" si="1038"/>
        <v>-2.5908960007013152E-2</v>
      </c>
    </row>
    <row r="1191" spans="1:20" x14ac:dyDescent="0.25">
      <c r="A1191" s="5">
        <v>43402</v>
      </c>
      <c r="B1191">
        <v>1.7749999999999999</v>
      </c>
      <c r="C1191">
        <v>1.7969999999999999</v>
      </c>
      <c r="D1191">
        <v>1.635</v>
      </c>
      <c r="E1191">
        <v>1.657</v>
      </c>
      <c r="F1191">
        <v>2066887.2790000001</v>
      </c>
      <c r="G1191">
        <v>0</v>
      </c>
      <c r="L1191" t="s">
        <v>7</v>
      </c>
      <c r="M1191" t="s">
        <v>8</v>
      </c>
      <c r="N1191" t="s">
        <v>8</v>
      </c>
      <c r="P1191">
        <f t="shared" si="1034"/>
        <v>-0.72839506172839474</v>
      </c>
      <c r="Q1191">
        <f t="shared" si="1035"/>
        <v>-1505510.487172839</v>
      </c>
      <c r="R1191">
        <f t="shared" si="1036"/>
        <v>-2351018.7730884086</v>
      </c>
      <c r="S1191">
        <f t="shared" si="1037"/>
        <v>-23.510187730884088</v>
      </c>
      <c r="T1191">
        <f t="shared" si="1038"/>
        <v>-2.3510187730884088E-2</v>
      </c>
    </row>
    <row r="1192" spans="1:20" x14ac:dyDescent="0.25">
      <c r="A1192" s="5">
        <v>43401</v>
      </c>
      <c r="B1192">
        <v>1.714</v>
      </c>
      <c r="C1192">
        <v>1.849</v>
      </c>
      <c r="D1192">
        <v>1.7050000000000001</v>
      </c>
      <c r="E1192">
        <v>1.7749999999999999</v>
      </c>
      <c r="F1192">
        <v>1465359.899</v>
      </c>
      <c r="G1192">
        <v>0</v>
      </c>
      <c r="L1192" t="s">
        <v>8</v>
      </c>
      <c r="M1192" t="s">
        <v>8</v>
      </c>
      <c r="N1192" t="s">
        <v>8</v>
      </c>
      <c r="P1192">
        <f t="shared" si="1034"/>
        <v>-2.7777777777779362E-2</v>
      </c>
      <c r="Q1192">
        <f t="shared" si="1035"/>
        <v>-40704.441638891207</v>
      </c>
      <c r="R1192">
        <f t="shared" si="1036"/>
        <v>-845508.28591556964</v>
      </c>
      <c r="S1192">
        <f t="shared" si="1037"/>
        <v>-8.4550828591556968</v>
      </c>
      <c r="T1192">
        <f t="shared" si="1038"/>
        <v>-8.4550828591556972E-3</v>
      </c>
    </row>
    <row r="1193" spans="1:20" x14ac:dyDescent="0.25">
      <c r="A1193" s="5">
        <v>43400</v>
      </c>
      <c r="B1193">
        <v>1.7669999999999999</v>
      </c>
      <c r="C1193">
        <v>1.782</v>
      </c>
      <c r="D1193">
        <v>1.702</v>
      </c>
      <c r="E1193">
        <v>1.712</v>
      </c>
      <c r="F1193">
        <v>1069047.4269999999</v>
      </c>
      <c r="G1193">
        <v>0</v>
      </c>
      <c r="L1193" t="s">
        <v>8</v>
      </c>
      <c r="M1193" t="s">
        <v>8</v>
      </c>
      <c r="N1193" t="s">
        <v>8</v>
      </c>
      <c r="P1193">
        <f t="shared" si="1034"/>
        <v>-0.75</v>
      </c>
      <c r="Q1193">
        <f t="shared" si="1035"/>
        <v>-801785.57024999987</v>
      </c>
      <c r="R1193">
        <f t="shared" si="1036"/>
        <v>-804803.8442766784</v>
      </c>
      <c r="S1193">
        <f t="shared" si="1037"/>
        <v>-8.0480384427667833</v>
      </c>
      <c r="T1193">
        <f t="shared" si="1038"/>
        <v>-8.0480384427667837E-3</v>
      </c>
    </row>
    <row r="1194" spans="1:20" x14ac:dyDescent="0.25">
      <c r="A1194" s="5">
        <v>43399</v>
      </c>
      <c r="B1194">
        <v>1.766</v>
      </c>
      <c r="C1194">
        <v>1.778</v>
      </c>
      <c r="D1194">
        <v>1.7270000000000001</v>
      </c>
      <c r="E1194">
        <v>1.7669999999999999</v>
      </c>
      <c r="F1194">
        <v>1354922.848</v>
      </c>
      <c r="G1194">
        <v>0</v>
      </c>
      <c r="L1194" t="s">
        <v>8</v>
      </c>
      <c r="M1194" t="s">
        <v>8</v>
      </c>
      <c r="N1194" t="s">
        <v>8</v>
      </c>
      <c r="P1194">
        <f t="shared" si="1034"/>
        <v>0.56862745098038692</v>
      </c>
      <c r="Q1194">
        <f t="shared" si="1035"/>
        <v>770446.32533332624</v>
      </c>
      <c r="R1194">
        <f t="shared" si="1036"/>
        <v>-3018.2740266785258</v>
      </c>
      <c r="S1194">
        <f t="shared" si="1037"/>
        <v>-3.018274026678526E-2</v>
      </c>
      <c r="T1194">
        <f t="shared" si="1038"/>
        <v>-3.0182740266785259E-5</v>
      </c>
    </row>
    <row r="1195" spans="1:20" x14ac:dyDescent="0.25">
      <c r="A1195" s="5">
        <v>43398</v>
      </c>
      <c r="B1195">
        <v>1.8069999999999999</v>
      </c>
      <c r="C1195">
        <v>1.8080000000000001</v>
      </c>
      <c r="D1195">
        <v>1.758</v>
      </c>
      <c r="E1195">
        <v>1.7649999999999999</v>
      </c>
      <c r="F1195">
        <v>1074256.388</v>
      </c>
      <c r="G1195">
        <v>0</v>
      </c>
      <c r="P1195">
        <f t="shared" si="1034"/>
        <v>-0.72000000000000441</v>
      </c>
      <c r="Q1195">
        <f t="shared" si="1035"/>
        <v>-773464.59936000477</v>
      </c>
      <c r="R1195">
        <f t="shared" si="1036"/>
        <v>-773464.59936000477</v>
      </c>
      <c r="S1195">
        <f t="shared" si="1037"/>
        <v>-7.734645993600048</v>
      </c>
      <c r="T1195">
        <f t="shared" si="1038"/>
        <v>-7.7346459936000478E-3</v>
      </c>
    </row>
    <row r="1196" spans="1:20" x14ac:dyDescent="0.25">
      <c r="A1196" s="5"/>
      <c r="C1196"/>
      <c r="D1196"/>
    </row>
    <row r="1197" spans="1:20" x14ac:dyDescent="0.25">
      <c r="A1197" s="5"/>
      <c r="C1197"/>
      <c r="D1197"/>
    </row>
    <row r="1198" spans="1:20" x14ac:dyDescent="0.25">
      <c r="A1198" s="5"/>
      <c r="C1198"/>
      <c r="D1198"/>
    </row>
    <row r="1199" spans="1:20" x14ac:dyDescent="0.25">
      <c r="A1199" s="5"/>
      <c r="C1199"/>
      <c r="D1199"/>
    </row>
    <row r="1200" spans="1:20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RR627" sqref="RR62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$A$626</v>
      </c>
      <c r="D111" s="1" t="str">
        <f>ADDRESS(C121-1,D121,1,1)</f>
        <v>$RR$626</v>
      </c>
      <c r="E111"/>
    </row>
    <row r="112" spans="1:5" x14ac:dyDescent="0.25">
      <c r="A112" s="7">
        <v>12164.144957890772</v>
      </c>
      <c r="C112" s="1" t="str">
        <f>ADDRESS(C121,1,1,1)</f>
        <v>$A$627</v>
      </c>
      <c r="D112" s="1" t="str">
        <f>ADDRESS(C121,D121-1,1,1)</f>
        <v>$RQ$627</v>
      </c>
      <c r="E112"/>
    </row>
    <row r="113" spans="1:5" x14ac:dyDescent="0.25">
      <c r="A113" s="7">
        <v>11925.63231165762</v>
      </c>
      <c r="C113" s="1" t="str">
        <f>ADDRESS(C121+1,1,1,1)</f>
        <v>$A$628</v>
      </c>
      <c r="D113" s="1" t="str">
        <f>ADDRESS(C121-1,D121+1,1,1)</f>
        <v>$RS$626</v>
      </c>
    </row>
    <row r="114" spans="1:5" x14ac:dyDescent="0.25">
      <c r="A114" s="7">
        <v>11691.796383978059</v>
      </c>
      <c r="C114" s="1" t="str">
        <f>ADDRESS(C121,D121,1,1)</f>
        <v>$RR$627</v>
      </c>
      <c r="D114" s="1" t="str">
        <f>ADDRESS(C121+1,D121+1,1,1)</f>
        <v>$RS$628</v>
      </c>
    </row>
    <row r="115" spans="1:5" x14ac:dyDescent="0.25">
      <c r="A115" s="7">
        <v>11462.545474488292</v>
      </c>
      <c r="C115" s="1" t="str">
        <f>ADDRESS(C121+1,D121,1,1)</f>
        <v>$RR$628</v>
      </c>
    </row>
    <row r="116" spans="1:5" x14ac:dyDescent="0.25">
      <c r="A116" s="7">
        <v>11237.789680870874</v>
      </c>
      <c r="C116" s="1">
        <f>C117-1</f>
        <v>626</v>
      </c>
    </row>
    <row r="117" spans="1:5" x14ac:dyDescent="0.25">
      <c r="A117" s="7">
        <v>11017.440863598895</v>
      </c>
      <c r="C117" s="1">
        <f>C121</f>
        <v>627</v>
      </c>
      <c r="D117" s="1">
        <f>D121</f>
        <v>486</v>
      </c>
    </row>
    <row r="118" spans="1:5" x14ac:dyDescent="0.25">
      <c r="A118" s="7">
        <v>10801.412611371465</v>
      </c>
      <c r="C118" s="1">
        <f>C117+1</f>
        <v>628</v>
      </c>
      <c r="D118" s="1">
        <f>D117+1</f>
        <v>487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627</v>
      </c>
      <c r="D121" s="19">
        <v>486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R627</v>
      </c>
      <c r="D123" s="1" t="str">
        <f>"C"&amp;D121</f>
        <v>C486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0.45289041518523643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364" x14ac:dyDescent="0.25">
      <c r="A529" s="7">
        <v>3.1536243640574906</v>
      </c>
      <c r="B529"/>
      <c r="C529"/>
      <c r="D529"/>
      <c r="E529"/>
    </row>
    <row r="530" spans="1:364" x14ac:dyDescent="0.25">
      <c r="A530" s="7">
        <v>3.0917885922132262</v>
      </c>
      <c r="B530"/>
      <c r="C530"/>
      <c r="D530"/>
      <c r="E530"/>
    </row>
    <row r="531" spans="1:364" x14ac:dyDescent="0.25">
      <c r="A531" s="7">
        <v>3.0311652864835552</v>
      </c>
      <c r="B531"/>
      <c r="C531"/>
      <c r="D531"/>
      <c r="E531"/>
    </row>
    <row r="532" spans="1:364" x14ac:dyDescent="0.25">
      <c r="A532" s="7">
        <v>2.9717306730230932</v>
      </c>
      <c r="B532"/>
      <c r="C532"/>
      <c r="D532"/>
      <c r="E532"/>
    </row>
    <row r="533" spans="1:364" x14ac:dyDescent="0.25">
      <c r="A533" s="7">
        <v>2.9134614441402875</v>
      </c>
      <c r="B533"/>
      <c r="C533"/>
      <c r="D533"/>
      <c r="E533"/>
      <c r="MU533" s="27" t="s">
        <v>8</v>
      </c>
    </row>
    <row r="534" spans="1:364" x14ac:dyDescent="0.25">
      <c r="A534" s="7">
        <v>2.8563347491571447</v>
      </c>
      <c r="B534"/>
      <c r="C534"/>
      <c r="D534"/>
      <c r="E534"/>
      <c r="MU534" s="27" t="s">
        <v>8</v>
      </c>
      <c r="MV534" s="27" t="s">
        <v>7</v>
      </c>
    </row>
    <row r="535" spans="1:364" x14ac:dyDescent="0.25">
      <c r="A535" s="7">
        <v>2.8003281854481812</v>
      </c>
      <c r="B535"/>
      <c r="C535"/>
      <c r="D535"/>
      <c r="E535"/>
      <c r="MU535" s="27" t="s">
        <v>8</v>
      </c>
      <c r="MV535" s="27" t="s">
        <v>7</v>
      </c>
    </row>
    <row r="536" spans="1:364" x14ac:dyDescent="0.25">
      <c r="A536" s="7">
        <v>2.7454197896550796</v>
      </c>
      <c r="B536"/>
      <c r="C536"/>
      <c r="D536"/>
      <c r="E536"/>
      <c r="MU536" s="27" t="s">
        <v>8</v>
      </c>
      <c r="MV536" s="27" t="s">
        <v>7</v>
      </c>
      <c r="MW536" s="27" t="s">
        <v>8</v>
      </c>
    </row>
    <row r="537" spans="1:364" x14ac:dyDescent="0.25">
      <c r="A537" s="7">
        <v>2.6915880290736074</v>
      </c>
      <c r="B537"/>
      <c r="C537"/>
      <c r="D537"/>
      <c r="E537"/>
      <c r="MU537" s="27" t="s">
        <v>8</v>
      </c>
      <c r="MV537" s="27" t="s">
        <v>7</v>
      </c>
      <c r="MW537" s="27" t="s">
        <v>8</v>
      </c>
      <c r="MX537" s="27" t="s">
        <v>7</v>
      </c>
    </row>
    <row r="538" spans="1:364" x14ac:dyDescent="0.25">
      <c r="A538" s="7">
        <v>2.6388117932094191</v>
      </c>
      <c r="B538"/>
      <c r="C538"/>
      <c r="D538"/>
      <c r="E538"/>
      <c r="MU538" s="27" t="s">
        <v>8</v>
      </c>
      <c r="MV538" s="27" t="s">
        <v>7</v>
      </c>
      <c r="MW538" s="27" t="s">
        <v>8</v>
      </c>
      <c r="MX538" s="27" t="s">
        <v>7</v>
      </c>
      <c r="MY538" s="27" t="s">
        <v>8</v>
      </c>
    </row>
    <row r="539" spans="1:364" x14ac:dyDescent="0.25">
      <c r="A539" s="7">
        <v>2.5870703854994304</v>
      </c>
      <c r="B539"/>
      <c r="C539"/>
      <c r="D539"/>
      <c r="E539"/>
      <c r="MK539" s="27" t="s">
        <v>8</v>
      </c>
      <c r="MU539" s="27" t="s">
        <v>8</v>
      </c>
      <c r="MV539" s="27" t="s">
        <v>7</v>
      </c>
      <c r="MW539" s="27" t="s">
        <v>8</v>
      </c>
      <c r="MX539" s="27" t="s">
        <v>7</v>
      </c>
      <c r="MY539" s="27" t="s">
        <v>8</v>
      </c>
      <c r="MZ539" s="27" t="s">
        <v>7</v>
      </c>
    </row>
    <row r="540" spans="1:364" x14ac:dyDescent="0.25">
      <c r="A540" s="7">
        <v>2.53634351519552</v>
      </c>
      <c r="B540"/>
      <c r="C540"/>
      <c r="D540"/>
      <c r="E540"/>
      <c r="MK540" s="27" t="s">
        <v>8</v>
      </c>
      <c r="ML540" s="27" t="s">
        <v>7</v>
      </c>
      <c r="MM540" s="27" t="s">
        <v>8</v>
      </c>
      <c r="MU540" s="27" t="s">
        <v>8</v>
      </c>
      <c r="MV540" s="27" t="s">
        <v>7</v>
      </c>
      <c r="MW540" s="27" t="s">
        <v>8</v>
      </c>
      <c r="MX540" s="27" t="s">
        <v>7</v>
      </c>
      <c r="MY540" s="27" t="s">
        <v>8</v>
      </c>
      <c r="MZ540" s="27" t="s">
        <v>7</v>
      </c>
    </row>
    <row r="541" spans="1:364" x14ac:dyDescent="0.25">
      <c r="A541" s="7">
        <v>2.4866112894073726</v>
      </c>
      <c r="B541"/>
      <c r="C541"/>
      <c r="D541"/>
      <c r="E541"/>
      <c r="MK541" s="27" t="s">
        <v>8</v>
      </c>
      <c r="ML541" s="27" t="s">
        <v>7</v>
      </c>
      <c r="MM541" s="27" t="s">
        <v>8</v>
      </c>
      <c r="MN541" s="27" t="s">
        <v>7</v>
      </c>
      <c r="MU541" s="27" t="s">
        <v>8</v>
      </c>
      <c r="MV541" s="27" t="s">
        <v>7</v>
      </c>
      <c r="MW541" s="27" t="s">
        <v>8</v>
      </c>
      <c r="MX541" s="27" t="s">
        <v>7</v>
      </c>
      <c r="MY541" s="27" t="s">
        <v>8</v>
      </c>
      <c r="MZ541" s="27" t="s">
        <v>7</v>
      </c>
    </row>
    <row r="542" spans="1:364" x14ac:dyDescent="0.25">
      <c r="A542" s="7">
        <v>2.4378542053013459</v>
      </c>
      <c r="B542"/>
      <c r="C542"/>
      <c r="D542"/>
      <c r="E542"/>
      <c r="MK542" s="27" t="s">
        <v>8</v>
      </c>
      <c r="ML542" s="27" t="s">
        <v>7</v>
      </c>
      <c r="MM542" s="27" t="s">
        <v>8</v>
      </c>
      <c r="MN542" s="27" t="s">
        <v>7</v>
      </c>
      <c r="MU542" s="27" t="s">
        <v>8</v>
      </c>
      <c r="MV542" s="27" t="s">
        <v>7</v>
      </c>
      <c r="MW542" s="27" t="s">
        <v>8</v>
      </c>
      <c r="MX542" s="27" t="s">
        <v>7</v>
      </c>
      <c r="MY542" s="27" t="s">
        <v>8</v>
      </c>
      <c r="MZ542" s="27" t="s">
        <v>7</v>
      </c>
    </row>
    <row r="543" spans="1:364" x14ac:dyDescent="0.25">
      <c r="A543" s="7">
        <v>2.3900531424522997</v>
      </c>
      <c r="B543"/>
      <c r="C543"/>
      <c r="D543"/>
      <c r="E543"/>
      <c r="MK543" s="27" t="s">
        <v>8</v>
      </c>
      <c r="ML543" s="27" t="s">
        <v>7</v>
      </c>
      <c r="MM543" s="27" t="s">
        <v>8</v>
      </c>
      <c r="MN543" s="27" t="s">
        <v>7</v>
      </c>
      <c r="MU543" s="27" t="s">
        <v>8</v>
      </c>
      <c r="MV543" s="27" t="s">
        <v>7</v>
      </c>
      <c r="MW543" s="27" t="s">
        <v>8</v>
      </c>
      <c r="MX543" s="27" t="s">
        <v>7</v>
      </c>
      <c r="MY543" s="27" t="s">
        <v>8</v>
      </c>
      <c r="MZ543" s="27" t="s">
        <v>7</v>
      </c>
    </row>
    <row r="544" spans="1:364" x14ac:dyDescent="0.25">
      <c r="A544" s="7">
        <v>2.343189355345392</v>
      </c>
      <c r="B544"/>
      <c r="C544"/>
      <c r="D544"/>
      <c r="E544"/>
      <c r="MK544" s="27" t="s">
        <v>8</v>
      </c>
      <c r="ML544" s="27" t="s">
        <v>7</v>
      </c>
      <c r="MM544" s="27" t="s">
        <v>8</v>
      </c>
      <c r="MN544" s="27" t="s">
        <v>7</v>
      </c>
      <c r="MU544" s="27" t="s">
        <v>8</v>
      </c>
      <c r="MV544" s="27" t="s">
        <v>7</v>
      </c>
      <c r="MX544" s="27" t="s">
        <v>7</v>
      </c>
      <c r="MY544" s="27" t="s">
        <v>8</v>
      </c>
      <c r="MZ544" s="27" t="s">
        <v>7</v>
      </c>
    </row>
    <row r="545" spans="1:370" x14ac:dyDescent="0.25">
      <c r="A545" s="7">
        <v>2.2972444660248938</v>
      </c>
      <c r="B545"/>
      <c r="C545"/>
      <c r="D545"/>
      <c r="E545"/>
      <c r="MK545" s="27" t="s">
        <v>8</v>
      </c>
      <c r="ML545" s="27" t="s">
        <v>7</v>
      </c>
      <c r="MM545" s="27" t="s">
        <v>8</v>
      </c>
      <c r="MN545" s="27" t="s">
        <v>7</v>
      </c>
      <c r="MU545" s="27" t="s">
        <v>8</v>
      </c>
      <c r="MX545" s="27" t="s">
        <v>7</v>
      </c>
      <c r="MY545" s="27" t="s">
        <v>8</v>
      </c>
      <c r="MZ545" s="27" t="s">
        <v>7</v>
      </c>
    </row>
    <row r="546" spans="1:370" x14ac:dyDescent="0.25">
      <c r="A546" s="7">
        <v>2.252200456887151</v>
      </c>
      <c r="B546"/>
      <c r="C546"/>
      <c r="D546"/>
      <c r="E546"/>
      <c r="MK546" s="27" t="s">
        <v>8</v>
      </c>
      <c r="ML546" s="27" t="s">
        <v>7</v>
      </c>
      <c r="MM546" s="27" t="s">
        <v>8</v>
      </c>
      <c r="MN546" s="27" t="s">
        <v>7</v>
      </c>
      <c r="MU546" s="27" t="s">
        <v>8</v>
      </c>
      <c r="MX546" s="27" t="s">
        <v>7</v>
      </c>
      <c r="MY546" s="27" t="s">
        <v>8</v>
      </c>
      <c r="MZ546" s="27" t="s">
        <v>7</v>
      </c>
      <c r="NA546" s="27" t="s">
        <v>8</v>
      </c>
    </row>
    <row r="547" spans="1:370" x14ac:dyDescent="0.25">
      <c r="A547" s="7">
        <v>2.208039663614854</v>
      </c>
      <c r="B547"/>
      <c r="C547"/>
      <c r="D547"/>
      <c r="E547"/>
      <c r="MK547" s="27" t="s">
        <v>8</v>
      </c>
      <c r="ML547" s="27" t="s">
        <v>7</v>
      </c>
      <c r="MM547" s="27" t="s">
        <v>8</v>
      </c>
      <c r="MN547" s="27" t="s">
        <v>7</v>
      </c>
      <c r="MU547" s="27" t="s">
        <v>8</v>
      </c>
      <c r="MX547" s="27" t="s">
        <v>7</v>
      </c>
      <c r="MY547" s="27" t="s">
        <v>8</v>
      </c>
      <c r="MZ547" s="27" t="s">
        <v>7</v>
      </c>
      <c r="NA547" s="27" t="s">
        <v>8</v>
      </c>
      <c r="NB547" s="27" t="s">
        <v>7</v>
      </c>
    </row>
    <row r="548" spans="1:370" x14ac:dyDescent="0.25">
      <c r="A548" s="7">
        <v>2.1647447682498568</v>
      </c>
      <c r="B548"/>
      <c r="C548"/>
      <c r="D548"/>
      <c r="E548"/>
      <c r="MK548" s="27" t="s">
        <v>8</v>
      </c>
      <c r="ML548" s="27" t="s">
        <v>7</v>
      </c>
      <c r="MM548" s="27" t="s">
        <v>8</v>
      </c>
      <c r="MN548" s="27" t="s">
        <v>7</v>
      </c>
      <c r="MU548" s="27" t="s">
        <v>8</v>
      </c>
      <c r="MX548" s="27" t="s">
        <v>7</v>
      </c>
      <c r="MY548" s="27" t="s">
        <v>8</v>
      </c>
      <c r="MZ548" s="27" t="s">
        <v>7</v>
      </c>
      <c r="NA548" s="27" t="s">
        <v>8</v>
      </c>
      <c r="NB548" s="27" t="s">
        <v>7</v>
      </c>
    </row>
    <row r="549" spans="1:370" x14ac:dyDescent="0.25">
      <c r="A549" s="7">
        <v>2.1222987924018204</v>
      </c>
      <c r="B549"/>
      <c r="C549"/>
      <c r="D549"/>
      <c r="E549"/>
      <c r="MK549" s="27" t="s">
        <v>8</v>
      </c>
      <c r="ML549" s="27" t="s">
        <v>7</v>
      </c>
      <c r="MM549" s="27" t="s">
        <v>8</v>
      </c>
      <c r="MN549" s="27" t="s">
        <v>7</v>
      </c>
      <c r="MU549" s="27" t="s">
        <v>8</v>
      </c>
      <c r="MX549" s="27" t="s">
        <v>7</v>
      </c>
      <c r="MZ549" s="27" t="s">
        <v>7</v>
      </c>
      <c r="NA549" s="27" t="s">
        <v>8</v>
      </c>
      <c r="NB549" s="27" t="s">
        <v>7</v>
      </c>
    </row>
    <row r="550" spans="1:370" x14ac:dyDescent="0.25">
      <c r="A550" s="7">
        <v>2.0806850905900198</v>
      </c>
      <c r="B550"/>
      <c r="C550"/>
      <c r="D550"/>
      <c r="E550"/>
      <c r="ME550" s="27" t="s">
        <v>8</v>
      </c>
      <c r="MG550" s="27" t="s">
        <v>8</v>
      </c>
      <c r="MK550" s="27" t="s">
        <v>8</v>
      </c>
      <c r="ML550" s="27" t="s">
        <v>7</v>
      </c>
      <c r="MM550" s="27" t="s">
        <v>8</v>
      </c>
      <c r="MN550" s="27" t="s">
        <v>7</v>
      </c>
      <c r="MU550" s="27" t="s">
        <v>8</v>
      </c>
      <c r="MZ550" s="27" t="s">
        <v>7</v>
      </c>
      <c r="NA550" s="27" t="s">
        <v>8</v>
      </c>
      <c r="NB550" s="27" t="s">
        <v>7</v>
      </c>
    </row>
    <row r="551" spans="1:370" x14ac:dyDescent="0.25">
      <c r="A551" s="7">
        <v>2.0398873437157055</v>
      </c>
      <c r="B551"/>
      <c r="C551"/>
      <c r="D551"/>
      <c r="E551"/>
      <c r="ME551" s="27" t="s">
        <v>8</v>
      </c>
      <c r="MF551" s="27" t="s">
        <v>7</v>
      </c>
      <c r="MG551" s="27" t="s">
        <v>8</v>
      </c>
      <c r="MH551" s="27" t="s">
        <v>7</v>
      </c>
      <c r="MI551" s="27" t="s">
        <v>8</v>
      </c>
      <c r="MK551" s="27" t="s">
        <v>8</v>
      </c>
      <c r="ML551" s="27" t="s">
        <v>7</v>
      </c>
      <c r="MM551" s="27" t="s">
        <v>8</v>
      </c>
      <c r="MN551" s="27" t="s">
        <v>7</v>
      </c>
      <c r="MS551" s="27" t="s">
        <v>8</v>
      </c>
      <c r="MU551" s="27" t="s">
        <v>8</v>
      </c>
      <c r="MZ551" s="27" t="s">
        <v>7</v>
      </c>
      <c r="NA551" s="27" t="s">
        <v>8</v>
      </c>
      <c r="NB551" s="27" t="s">
        <v>7</v>
      </c>
    </row>
    <row r="552" spans="1:370" x14ac:dyDescent="0.25">
      <c r="A552" s="7">
        <v>1.9998895526624565</v>
      </c>
      <c r="B552"/>
      <c r="C552"/>
      <c r="D552"/>
      <c r="E552"/>
      <c r="ME552" s="27" t="s">
        <v>8</v>
      </c>
      <c r="MF552" s="27" t="s">
        <v>7</v>
      </c>
      <c r="MG552" s="27" t="s">
        <v>8</v>
      </c>
      <c r="MH552" s="27" t="s">
        <v>7</v>
      </c>
      <c r="MI552" s="27" t="s">
        <v>8</v>
      </c>
      <c r="MJ552" s="27" t="s">
        <v>7</v>
      </c>
      <c r="MK552" s="27" t="s">
        <v>8</v>
      </c>
      <c r="ML552" s="27" t="s">
        <v>7</v>
      </c>
      <c r="MM552" s="27" t="s">
        <v>8</v>
      </c>
      <c r="MN552" s="27" t="s">
        <v>7</v>
      </c>
      <c r="MS552" s="27" t="s">
        <v>8</v>
      </c>
      <c r="MT552" s="27" t="s">
        <v>7</v>
      </c>
      <c r="MU552" s="27" t="s">
        <v>8</v>
      </c>
      <c r="MZ552" s="27" t="s">
        <v>7</v>
      </c>
      <c r="NA552" s="27" t="s">
        <v>8</v>
      </c>
      <c r="NB552" s="27" t="s">
        <v>7</v>
      </c>
    </row>
    <row r="553" spans="1:370" x14ac:dyDescent="0.25">
      <c r="A553" s="7">
        <v>1.9606760320220162</v>
      </c>
      <c r="B553"/>
      <c r="C553"/>
      <c r="D553"/>
      <c r="E553"/>
      <c r="ME553" s="27" t="s">
        <v>8</v>
      </c>
      <c r="MF553" s="27" t="s">
        <v>7</v>
      </c>
      <c r="MG553" s="27" t="s">
        <v>8</v>
      </c>
      <c r="MH553" s="27" t="s">
        <v>7</v>
      </c>
      <c r="MI553" s="27" t="s">
        <v>8</v>
      </c>
      <c r="MJ553" s="27" t="s">
        <v>7</v>
      </c>
      <c r="MK553" s="27" t="s">
        <v>8</v>
      </c>
      <c r="ML553" s="27" t="s">
        <v>7</v>
      </c>
      <c r="MM553" s="27" t="s">
        <v>8</v>
      </c>
      <c r="MN553" s="27" t="s">
        <v>7</v>
      </c>
      <c r="MS553" s="27" t="s">
        <v>8</v>
      </c>
      <c r="MT553" s="27" t="s">
        <v>7</v>
      </c>
      <c r="MU553" s="27" t="s">
        <v>8</v>
      </c>
      <c r="MZ553" s="27" t="s">
        <v>7</v>
      </c>
      <c r="NA553" s="27" t="s">
        <v>8</v>
      </c>
      <c r="NB553" s="27" t="s">
        <v>7</v>
      </c>
    </row>
    <row r="554" spans="1:370" x14ac:dyDescent="0.25">
      <c r="A554" s="7">
        <v>1.9222314039431532</v>
      </c>
      <c r="B554"/>
      <c r="C554"/>
      <c r="D554"/>
      <c r="E554"/>
      <c r="MC554" s="27" t="s">
        <v>8</v>
      </c>
      <c r="ME554" s="27" t="s">
        <v>8</v>
      </c>
      <c r="MF554" s="27" t="s">
        <v>7</v>
      </c>
      <c r="MG554" s="27" t="s">
        <v>8</v>
      </c>
      <c r="MH554" s="27" t="s">
        <v>7</v>
      </c>
      <c r="MI554" s="27" t="s">
        <v>8</v>
      </c>
      <c r="MJ554" s="27" t="s">
        <v>7</v>
      </c>
      <c r="MK554" s="27" t="s">
        <v>8</v>
      </c>
      <c r="ML554" s="27" t="s">
        <v>7</v>
      </c>
      <c r="MM554" s="27" t="s">
        <v>8</v>
      </c>
      <c r="MN554" s="27" t="s">
        <v>7</v>
      </c>
      <c r="MS554" s="27" t="s">
        <v>8</v>
      </c>
      <c r="MT554" s="27" t="s">
        <v>7</v>
      </c>
      <c r="MU554" s="27" t="s">
        <v>8</v>
      </c>
      <c r="MZ554" s="27" t="s">
        <v>7</v>
      </c>
      <c r="NB554" s="27" t="s">
        <v>7</v>
      </c>
      <c r="NC554" s="27" t="s">
        <v>8</v>
      </c>
    </row>
    <row r="555" spans="1:370" x14ac:dyDescent="0.25">
      <c r="A555" s="7">
        <v>1.8845405921011305</v>
      </c>
      <c r="B555"/>
      <c r="C555"/>
      <c r="D555"/>
      <c r="E555"/>
      <c r="MC555" s="27" t="s">
        <v>8</v>
      </c>
      <c r="MD555" s="27" t="s">
        <v>7</v>
      </c>
      <c r="ME555" s="27" t="s">
        <v>8</v>
      </c>
      <c r="MF555" s="27" t="s">
        <v>7</v>
      </c>
      <c r="MG555" s="27" t="s">
        <v>8</v>
      </c>
      <c r="MH555" s="27" t="s">
        <v>7</v>
      </c>
      <c r="MJ555" s="27" t="s">
        <v>7</v>
      </c>
      <c r="MK555" s="27" t="s">
        <v>8</v>
      </c>
      <c r="ML555" s="27" t="s">
        <v>7</v>
      </c>
      <c r="MM555" s="27" t="s">
        <v>8</v>
      </c>
      <c r="MN555" s="27" t="s">
        <v>7</v>
      </c>
      <c r="MS555" s="27" t="s">
        <v>8</v>
      </c>
      <c r="MT555" s="27" t="s">
        <v>7</v>
      </c>
      <c r="MU555" s="27" t="s">
        <v>8</v>
      </c>
      <c r="NB555" s="27" t="s">
        <v>7</v>
      </c>
      <c r="NC555" s="27" t="s">
        <v>8</v>
      </c>
      <c r="ND555" s="27" t="s">
        <v>7</v>
      </c>
    </row>
    <row r="556" spans="1:370" x14ac:dyDescent="0.25">
      <c r="A556" s="7">
        <v>1.8475888157854219</v>
      </c>
      <c r="B556"/>
      <c r="C556"/>
      <c r="D556"/>
      <c r="E556" t="s">
        <v>8</v>
      </c>
      <c r="DC556" s="27" t="s">
        <v>8</v>
      </c>
      <c r="MC556" s="27" t="s">
        <v>8</v>
      </c>
      <c r="MD556" s="27" t="s">
        <v>7</v>
      </c>
      <c r="ME556" s="27" t="s">
        <v>8</v>
      </c>
      <c r="MF556" s="27" t="s">
        <v>7</v>
      </c>
      <c r="MG556" s="27" t="s">
        <v>8</v>
      </c>
      <c r="MJ556" s="27" t="s">
        <v>7</v>
      </c>
      <c r="MK556" s="27" t="s">
        <v>8</v>
      </c>
      <c r="ML556" s="27" t="s">
        <v>7</v>
      </c>
      <c r="MM556" s="27" t="s">
        <v>8</v>
      </c>
      <c r="MN556" s="27" t="s">
        <v>7</v>
      </c>
      <c r="MS556" s="27" t="s">
        <v>8</v>
      </c>
      <c r="MT556" s="27" t="s">
        <v>7</v>
      </c>
      <c r="MU556" s="27" t="s">
        <v>8</v>
      </c>
      <c r="NB556" s="27" t="s">
        <v>7</v>
      </c>
      <c r="NC556" s="27" t="s">
        <v>8</v>
      </c>
      <c r="ND556" s="27" t="s">
        <v>7</v>
      </c>
    </row>
    <row r="557" spans="1:370" x14ac:dyDescent="0.25">
      <c r="A557" s="7">
        <v>1.8113615841033548</v>
      </c>
      <c r="B557"/>
      <c r="C557"/>
      <c r="D557"/>
      <c r="E557" t="s">
        <v>8</v>
      </c>
      <c r="F557" s="27" t="s">
        <v>7</v>
      </c>
      <c r="DC557" s="27" t="s">
        <v>8</v>
      </c>
      <c r="DD557" s="27" t="s">
        <v>7</v>
      </c>
      <c r="MC557" s="27" t="s">
        <v>8</v>
      </c>
      <c r="MD557" s="27" t="s">
        <v>7</v>
      </c>
      <c r="ME557" s="27" t="s">
        <v>8</v>
      </c>
      <c r="MF557" s="27" t="s">
        <v>7</v>
      </c>
      <c r="MG557" s="27" t="s">
        <v>8</v>
      </c>
      <c r="MJ557" s="27" t="s">
        <v>7</v>
      </c>
      <c r="ML557" s="27" t="s">
        <v>7</v>
      </c>
      <c r="MM557" s="27" t="s">
        <v>8</v>
      </c>
      <c r="MN557" s="27" t="s">
        <v>7</v>
      </c>
      <c r="MS557" s="27" t="s">
        <v>8</v>
      </c>
      <c r="MT557" s="27" t="s">
        <v>7</v>
      </c>
      <c r="MU557" s="27" t="s">
        <v>8</v>
      </c>
      <c r="NB557" s="27" t="s">
        <v>7</v>
      </c>
      <c r="NC557" s="27" t="s">
        <v>8</v>
      </c>
      <c r="ND557" s="27" t="s">
        <v>7</v>
      </c>
      <c r="NE557" s="27" t="s">
        <v>8</v>
      </c>
    </row>
    <row r="558" spans="1:370" x14ac:dyDescent="0.25">
      <c r="A558" s="7">
        <v>1.7758446902974065</v>
      </c>
      <c r="B558"/>
      <c r="C558"/>
      <c r="D558"/>
      <c r="E558" t="s">
        <v>8</v>
      </c>
      <c r="F558" s="27" t="s">
        <v>7</v>
      </c>
      <c r="DC558" s="27" t="s">
        <v>8</v>
      </c>
      <c r="DD558" s="27" t="s">
        <v>7</v>
      </c>
      <c r="MC558" s="27" t="s">
        <v>8</v>
      </c>
      <c r="MD558" s="27" t="s">
        <v>7</v>
      </c>
      <c r="ME558" s="27" t="s">
        <v>8</v>
      </c>
      <c r="MF558" s="27" t="s">
        <v>7</v>
      </c>
      <c r="MG558" s="27" t="s">
        <v>8</v>
      </c>
      <c r="ML558" s="27" t="s">
        <v>7</v>
      </c>
      <c r="MM558" s="27" t="s">
        <v>8</v>
      </c>
      <c r="MN558" s="27" t="s">
        <v>7</v>
      </c>
      <c r="MQ558" s="27" t="s">
        <v>8</v>
      </c>
      <c r="MS558" s="27" t="s">
        <v>8</v>
      </c>
      <c r="MT558" s="27" t="s">
        <v>7</v>
      </c>
      <c r="MU558" s="27" t="s">
        <v>8</v>
      </c>
      <c r="NB558" s="27" t="s">
        <v>7</v>
      </c>
      <c r="NC558" s="27" t="s">
        <v>8</v>
      </c>
      <c r="ND558" s="27" t="s">
        <v>7</v>
      </c>
      <c r="NE558" s="27" t="s">
        <v>8</v>
      </c>
      <c r="NF558" s="27" t="s">
        <v>7</v>
      </c>
    </row>
    <row r="559" spans="1:370" x14ac:dyDescent="0.25">
      <c r="A559" s="7">
        <v>1.7410242061739281</v>
      </c>
      <c r="B559"/>
      <c r="C559"/>
      <c r="D559"/>
      <c r="E559" t="s">
        <v>8</v>
      </c>
      <c r="F559" s="27" t="s">
        <v>7</v>
      </c>
      <c r="G559" s="27" t="s">
        <v>8</v>
      </c>
      <c r="DC559" s="27" t="s">
        <v>8</v>
      </c>
      <c r="DD559" s="27" t="s">
        <v>7</v>
      </c>
      <c r="MC559" s="27" t="s">
        <v>8</v>
      </c>
      <c r="MD559" s="27" t="s">
        <v>7</v>
      </c>
      <c r="ME559" s="27" t="s">
        <v>8</v>
      </c>
      <c r="MF559" s="27" t="s">
        <v>7</v>
      </c>
      <c r="MG559" s="27" t="s">
        <v>8</v>
      </c>
      <c r="ML559" s="27" t="s">
        <v>7</v>
      </c>
      <c r="MM559" s="27" t="s">
        <v>8</v>
      </c>
      <c r="MN559" s="27" t="s">
        <v>7</v>
      </c>
      <c r="MQ559" s="27" t="s">
        <v>8</v>
      </c>
      <c r="MR559" s="27" t="s">
        <v>7</v>
      </c>
      <c r="MS559" s="27" t="s">
        <v>8</v>
      </c>
      <c r="MT559" s="27" t="s">
        <v>7</v>
      </c>
      <c r="MU559" s="27" t="s">
        <v>8</v>
      </c>
      <c r="NB559" s="27" t="s">
        <v>7</v>
      </c>
      <c r="NC559" s="27" t="s">
        <v>8</v>
      </c>
      <c r="ND559" s="27" t="s">
        <v>7</v>
      </c>
      <c r="NE559" s="27" t="s">
        <v>8</v>
      </c>
      <c r="NF559" s="27" t="s">
        <v>7</v>
      </c>
    </row>
    <row r="560" spans="1:370" x14ac:dyDescent="0.25">
      <c r="A560" s="7">
        <v>1.7068864766411058</v>
      </c>
      <c r="B560"/>
      <c r="C560"/>
      <c r="D560"/>
      <c r="E560" t="s">
        <v>8</v>
      </c>
      <c r="F560" s="27" t="s">
        <v>7</v>
      </c>
      <c r="G560" s="27" t="s">
        <v>8</v>
      </c>
      <c r="H560" s="27" t="s">
        <v>7</v>
      </c>
      <c r="CO560" s="27" t="s">
        <v>8</v>
      </c>
      <c r="DC560" s="27" t="s">
        <v>8</v>
      </c>
      <c r="DD560" s="27" t="s">
        <v>7</v>
      </c>
      <c r="MA560" s="27" t="s">
        <v>8</v>
      </c>
      <c r="MC560" s="27" t="s">
        <v>8</v>
      </c>
      <c r="MD560" s="27" t="s">
        <v>7</v>
      </c>
      <c r="ME560" s="27" t="s">
        <v>8</v>
      </c>
      <c r="MF560" s="27" t="s">
        <v>7</v>
      </c>
      <c r="ML560" s="27" t="s">
        <v>7</v>
      </c>
      <c r="MM560" s="27" t="s">
        <v>8</v>
      </c>
      <c r="MN560" s="27" t="s">
        <v>7</v>
      </c>
      <c r="MQ560" s="27" t="s">
        <v>8</v>
      </c>
      <c r="MR560" s="27" t="s">
        <v>7</v>
      </c>
      <c r="MS560" s="27" t="s">
        <v>8</v>
      </c>
      <c r="MT560" s="27" t="s">
        <v>7</v>
      </c>
      <c r="NB560" s="27" t="s">
        <v>7</v>
      </c>
      <c r="ND560" s="27" t="s">
        <v>7</v>
      </c>
      <c r="NE560" s="27" t="s">
        <v>8</v>
      </c>
      <c r="NF560" s="27" t="s">
        <v>7</v>
      </c>
    </row>
    <row r="561" spans="1:420" x14ac:dyDescent="0.25">
      <c r="A561" s="7">
        <v>1.6734181143540252</v>
      </c>
      <c r="B561"/>
      <c r="C561"/>
      <c r="D561"/>
      <c r="E561" t="s">
        <v>8</v>
      </c>
      <c r="F561" s="27" t="s">
        <v>7</v>
      </c>
      <c r="G561" s="27" t="s">
        <v>8</v>
      </c>
      <c r="H561" s="27" t="s">
        <v>7</v>
      </c>
      <c r="BO561" s="27" t="s">
        <v>8</v>
      </c>
      <c r="CO561" s="27" t="s">
        <v>8</v>
      </c>
      <c r="CP561" s="27" t="s">
        <v>7</v>
      </c>
      <c r="DA561" s="27" t="s">
        <v>8</v>
      </c>
      <c r="DC561" s="27" t="s">
        <v>8</v>
      </c>
      <c r="DD561" s="27" t="s">
        <v>7</v>
      </c>
      <c r="MA561" s="27" t="s">
        <v>8</v>
      </c>
      <c r="MB561" s="27" t="s">
        <v>7</v>
      </c>
      <c r="MC561" s="27" t="s">
        <v>8</v>
      </c>
      <c r="MD561" s="27" t="s">
        <v>7</v>
      </c>
      <c r="ME561" s="27" t="s">
        <v>8</v>
      </c>
      <c r="ML561" s="27" t="s">
        <v>7</v>
      </c>
      <c r="MM561" s="27" t="s">
        <v>8</v>
      </c>
      <c r="MN561" s="27" t="s">
        <v>7</v>
      </c>
      <c r="MQ561" s="27" t="s">
        <v>8</v>
      </c>
      <c r="MR561" s="27" t="s">
        <v>7</v>
      </c>
      <c r="MS561" s="27" t="s">
        <v>8</v>
      </c>
      <c r="ND561" s="27" t="s">
        <v>7</v>
      </c>
      <c r="NE561" s="27" t="s">
        <v>8</v>
      </c>
      <c r="NF561" s="27" t="s">
        <v>7</v>
      </c>
    </row>
    <row r="562" spans="1:420" x14ac:dyDescent="0.25">
      <c r="A562" s="7">
        <v>1.6406059944647307</v>
      </c>
      <c r="B562"/>
      <c r="C562"/>
      <c r="D562"/>
      <c r="E562" t="s">
        <v>8</v>
      </c>
      <c r="F562" s="27" t="s">
        <v>7</v>
      </c>
      <c r="G562" s="27" t="s">
        <v>8</v>
      </c>
      <c r="H562" s="27" t="s">
        <v>7</v>
      </c>
      <c r="BO562" s="27" t="s">
        <v>8</v>
      </c>
      <c r="BP562" s="27" t="s">
        <v>7</v>
      </c>
      <c r="CG562" s="27" t="s">
        <v>8</v>
      </c>
      <c r="CO562" s="27" t="s">
        <v>8</v>
      </c>
      <c r="CP562" s="27" t="s">
        <v>7</v>
      </c>
      <c r="DA562" s="27" t="s">
        <v>8</v>
      </c>
      <c r="DB562" s="27" t="s">
        <v>7</v>
      </c>
      <c r="DC562" s="27" t="s">
        <v>8</v>
      </c>
      <c r="DD562" s="27" t="s">
        <v>7</v>
      </c>
      <c r="DE562" s="27" t="s">
        <v>8</v>
      </c>
      <c r="MA562" s="27" t="s">
        <v>8</v>
      </c>
      <c r="MB562" s="27" t="s">
        <v>7</v>
      </c>
      <c r="MC562" s="27" t="s">
        <v>8</v>
      </c>
      <c r="MD562" s="27" t="s">
        <v>7</v>
      </c>
      <c r="ME562" s="27" t="s">
        <v>8</v>
      </c>
      <c r="ML562" s="27" t="s">
        <v>7</v>
      </c>
      <c r="MM562" s="27" t="s">
        <v>8</v>
      </c>
      <c r="MN562" s="27" t="s">
        <v>7</v>
      </c>
      <c r="MQ562" s="27" t="s">
        <v>8</v>
      </c>
      <c r="MR562" s="27" t="s">
        <v>7</v>
      </c>
      <c r="MS562" s="27" t="s">
        <v>8</v>
      </c>
      <c r="ND562" s="27" t="s">
        <v>7</v>
      </c>
      <c r="NE562" s="27" t="s">
        <v>8</v>
      </c>
      <c r="NF562" s="27" t="s">
        <v>7</v>
      </c>
    </row>
    <row r="563" spans="1:420" x14ac:dyDescent="0.25">
      <c r="A563" s="7">
        <v>1.6084372494752261</v>
      </c>
      <c r="B563"/>
      <c r="C563"/>
      <c r="D563"/>
      <c r="E563" t="s">
        <v>8</v>
      </c>
      <c r="F563" s="27" t="s">
        <v>7</v>
      </c>
      <c r="H563" s="27" t="s">
        <v>7</v>
      </c>
      <c r="BO563" s="27" t="s">
        <v>8</v>
      </c>
      <c r="BP563" s="27" t="s">
        <v>7</v>
      </c>
      <c r="BQ563" s="27" t="s">
        <v>8</v>
      </c>
      <c r="CG563" s="27" t="s">
        <v>8</v>
      </c>
      <c r="CH563" s="27" t="s">
        <v>7</v>
      </c>
      <c r="CO563" s="27" t="s">
        <v>8</v>
      </c>
      <c r="CP563" s="27" t="s">
        <v>7</v>
      </c>
      <c r="DA563" s="27" t="s">
        <v>8</v>
      </c>
      <c r="DB563" s="27" t="s">
        <v>7</v>
      </c>
      <c r="DC563" s="27" t="s">
        <v>8</v>
      </c>
      <c r="DD563" s="27" t="s">
        <v>7</v>
      </c>
      <c r="DE563" s="27" t="s">
        <v>8</v>
      </c>
      <c r="DF563" s="27" t="s">
        <v>7</v>
      </c>
      <c r="MA563" s="27" t="s">
        <v>8</v>
      </c>
      <c r="MB563" s="27" t="s">
        <v>7</v>
      </c>
      <c r="MC563" s="27" t="s">
        <v>8</v>
      </c>
      <c r="MD563" s="27" t="s">
        <v>7</v>
      </c>
      <c r="ME563" s="27" t="s">
        <v>8</v>
      </c>
      <c r="ML563" s="27" t="s">
        <v>7</v>
      </c>
      <c r="MM563" s="27" t="s">
        <v>8</v>
      </c>
      <c r="MN563" s="27" t="s">
        <v>7</v>
      </c>
      <c r="MQ563" s="27" t="s">
        <v>8</v>
      </c>
      <c r="MR563" s="27" t="s">
        <v>7</v>
      </c>
      <c r="ND563" s="27" t="s">
        <v>7</v>
      </c>
      <c r="NE563" s="27" t="s">
        <v>8</v>
      </c>
      <c r="NF563" s="27" t="s">
        <v>7</v>
      </c>
    </row>
    <row r="564" spans="1:420" x14ac:dyDescent="0.25">
      <c r="A564" s="7">
        <v>1.5768992641913981</v>
      </c>
      <c r="B564"/>
      <c r="C564"/>
      <c r="D564"/>
      <c r="E564" t="s">
        <v>8</v>
      </c>
      <c r="H564" s="27" t="s">
        <v>7</v>
      </c>
      <c r="BO564" s="27" t="s">
        <v>8</v>
      </c>
      <c r="BP564" s="27" t="s">
        <v>7</v>
      </c>
      <c r="BQ564" s="27" t="s">
        <v>8</v>
      </c>
      <c r="BR564" s="27" t="s">
        <v>7</v>
      </c>
      <c r="CG564" s="27" t="s">
        <v>8</v>
      </c>
      <c r="CH564" s="27" t="s">
        <v>7</v>
      </c>
      <c r="CO564" s="27" t="s">
        <v>8</v>
      </c>
      <c r="CP564" s="27" t="s">
        <v>7</v>
      </c>
      <c r="DA564" s="27" t="s">
        <v>8</v>
      </c>
      <c r="DB564" s="27" t="s">
        <v>7</v>
      </c>
      <c r="DC564" s="27" t="s">
        <v>8</v>
      </c>
      <c r="DD564" s="27" t="s">
        <v>7</v>
      </c>
      <c r="DE564" s="27" t="s">
        <v>8</v>
      </c>
      <c r="DF564" s="27" t="s">
        <v>7</v>
      </c>
      <c r="LG564" s="27" t="s">
        <v>8</v>
      </c>
      <c r="MA564" s="27" t="s">
        <v>8</v>
      </c>
      <c r="MB564" s="27" t="s">
        <v>7</v>
      </c>
      <c r="MC564" s="27" t="s">
        <v>8</v>
      </c>
      <c r="MD564" s="27" t="s">
        <v>7</v>
      </c>
      <c r="ME564" s="27" t="s">
        <v>8</v>
      </c>
      <c r="ML564" s="27" t="s">
        <v>7</v>
      </c>
      <c r="MM564" s="27" t="s">
        <v>8</v>
      </c>
      <c r="MN564" s="27" t="s">
        <v>7</v>
      </c>
      <c r="MQ564" s="27" t="s">
        <v>8</v>
      </c>
      <c r="ND564" s="27" t="s">
        <v>7</v>
      </c>
      <c r="NE564" s="27" t="s">
        <v>8</v>
      </c>
      <c r="NF564" s="27" t="s">
        <v>7</v>
      </c>
    </row>
    <row r="565" spans="1:420" x14ac:dyDescent="0.25">
      <c r="A565" s="7">
        <v>1.5459796707758806</v>
      </c>
      <c r="B565"/>
      <c r="C565"/>
      <c r="D565"/>
      <c r="E565" t="s">
        <v>8</v>
      </c>
      <c r="H565" s="27" t="s">
        <v>7</v>
      </c>
      <c r="BO565" s="27" t="s">
        <v>8</v>
      </c>
      <c r="BP565" s="27" t="s">
        <v>7</v>
      </c>
      <c r="BQ565" s="27" t="s">
        <v>8</v>
      </c>
      <c r="BR565" s="27" t="s">
        <v>7</v>
      </c>
      <c r="CG565" s="27" t="s">
        <v>8</v>
      </c>
      <c r="CH565" s="27" t="s">
        <v>7</v>
      </c>
      <c r="CO565" s="27" t="s">
        <v>8</v>
      </c>
      <c r="CP565" s="27" t="s">
        <v>7</v>
      </c>
      <c r="CQ565" s="27" t="s">
        <v>8</v>
      </c>
      <c r="CY565" s="27" t="s">
        <v>8</v>
      </c>
      <c r="DA565" s="27" t="s">
        <v>8</v>
      </c>
      <c r="DB565" s="27" t="s">
        <v>7</v>
      </c>
      <c r="DC565" s="27" t="s">
        <v>8</v>
      </c>
      <c r="DD565" s="27" t="s">
        <v>7</v>
      </c>
      <c r="DE565" s="27" t="s">
        <v>8</v>
      </c>
      <c r="DF565" s="27" t="s">
        <v>7</v>
      </c>
      <c r="LG565" s="27" t="s">
        <v>8</v>
      </c>
      <c r="LH565" s="27" t="s">
        <v>7</v>
      </c>
      <c r="MA565" s="27" t="s">
        <v>8</v>
      </c>
      <c r="MB565" s="27" t="s">
        <v>7</v>
      </c>
      <c r="MC565" s="27" t="s">
        <v>8</v>
      </c>
      <c r="MD565" s="27" t="s">
        <v>7</v>
      </c>
      <c r="ML565" s="27" t="s">
        <v>7</v>
      </c>
      <c r="MM565" s="27" t="s">
        <v>8</v>
      </c>
      <c r="MN565" s="27" t="s">
        <v>7</v>
      </c>
      <c r="MQ565" s="27" t="s">
        <v>8</v>
      </c>
      <c r="ND565" s="27" t="s">
        <v>7</v>
      </c>
      <c r="NE565" s="27" t="s">
        <v>8</v>
      </c>
      <c r="NF565" s="27" t="s">
        <v>7</v>
      </c>
    </row>
    <row r="566" spans="1:420" x14ac:dyDescent="0.25">
      <c r="A566" s="7">
        <v>1.5156663438979221</v>
      </c>
      <c r="B566"/>
      <c r="C566"/>
      <c r="D566"/>
      <c r="E566" t="s">
        <v>8</v>
      </c>
      <c r="H566" s="27" t="s">
        <v>7</v>
      </c>
      <c r="I566" s="27" t="s">
        <v>8</v>
      </c>
      <c r="BO566" s="27" t="s">
        <v>8</v>
      </c>
      <c r="BP566" s="27" t="s">
        <v>7</v>
      </c>
      <c r="BQ566" s="27" t="s">
        <v>8</v>
      </c>
      <c r="BR566" s="27" t="s">
        <v>7</v>
      </c>
      <c r="BS566" s="27" t="s">
        <v>8</v>
      </c>
      <c r="CG566" s="27" t="s">
        <v>8</v>
      </c>
      <c r="CH566" s="27" t="s">
        <v>7</v>
      </c>
      <c r="CM566" s="27" t="s">
        <v>8</v>
      </c>
      <c r="CO566" s="27" t="s">
        <v>8</v>
      </c>
      <c r="CP566" s="27" t="s">
        <v>7</v>
      </c>
      <c r="CQ566" s="27" t="s">
        <v>8</v>
      </c>
      <c r="CR566" s="27" t="s">
        <v>7</v>
      </c>
      <c r="CY566" s="27" t="s">
        <v>8</v>
      </c>
      <c r="CZ566" s="27" t="s">
        <v>7</v>
      </c>
      <c r="DA566" s="27" t="s">
        <v>8</v>
      </c>
      <c r="DB566" s="27" t="s">
        <v>7</v>
      </c>
      <c r="DD566" s="27" t="s">
        <v>7</v>
      </c>
      <c r="DE566" s="27" t="s">
        <v>8</v>
      </c>
      <c r="DF566" s="27" t="s">
        <v>7</v>
      </c>
      <c r="LG566" s="27" t="s">
        <v>8</v>
      </c>
      <c r="LH566" s="27" t="s">
        <v>7</v>
      </c>
      <c r="MA566" s="27" t="s">
        <v>8</v>
      </c>
      <c r="MB566" s="27" t="s">
        <v>7</v>
      </c>
      <c r="MC566" s="27" t="s">
        <v>8</v>
      </c>
      <c r="ML566" s="27" t="s">
        <v>7</v>
      </c>
      <c r="MN566" s="27" t="s">
        <v>7</v>
      </c>
      <c r="MO566" s="27" t="s">
        <v>8</v>
      </c>
      <c r="MQ566" s="27" t="s">
        <v>8</v>
      </c>
      <c r="ND566" s="27" t="s">
        <v>7</v>
      </c>
      <c r="NE566" s="27" t="s">
        <v>8</v>
      </c>
      <c r="NF566" s="27" t="s">
        <v>7</v>
      </c>
    </row>
    <row r="567" spans="1:420" x14ac:dyDescent="0.25">
      <c r="A567" s="7">
        <v>1.4859473959783549</v>
      </c>
      <c r="B567"/>
      <c r="C567"/>
      <c r="D567"/>
      <c r="E567" t="s">
        <v>8</v>
      </c>
      <c r="H567" s="27" t="s">
        <v>7</v>
      </c>
      <c r="I567" s="27" t="s">
        <v>8</v>
      </c>
      <c r="J567" s="27" t="s">
        <v>7</v>
      </c>
      <c r="BO567" s="27" t="s">
        <v>8</v>
      </c>
      <c r="BP567" s="27" t="s">
        <v>7</v>
      </c>
      <c r="BQ567" s="27" t="s">
        <v>8</v>
      </c>
      <c r="BR567" s="27" t="s">
        <v>7</v>
      </c>
      <c r="BS567" s="27" t="s">
        <v>8</v>
      </c>
      <c r="BT567" s="27" t="s">
        <v>7</v>
      </c>
      <c r="CG567" s="27" t="s">
        <v>8</v>
      </c>
      <c r="CH567" s="27" t="s">
        <v>7</v>
      </c>
      <c r="CM567" s="27" t="s">
        <v>8</v>
      </c>
      <c r="CN567" s="27" t="s">
        <v>7</v>
      </c>
      <c r="CO567" s="27" t="s">
        <v>8</v>
      </c>
      <c r="CP567" s="27" t="s">
        <v>7</v>
      </c>
      <c r="CQ567" s="27" t="s">
        <v>8</v>
      </c>
      <c r="CR567" s="27" t="s">
        <v>7</v>
      </c>
      <c r="CU567" s="27" t="s">
        <v>8</v>
      </c>
      <c r="CW567" s="27" t="s">
        <v>8</v>
      </c>
      <c r="CY567" s="27" t="s">
        <v>8</v>
      </c>
      <c r="CZ567" s="27" t="s">
        <v>7</v>
      </c>
      <c r="DA567" s="27" t="s">
        <v>8</v>
      </c>
      <c r="DD567" s="27" t="s">
        <v>7</v>
      </c>
      <c r="DE567" s="27" t="s">
        <v>8</v>
      </c>
      <c r="DF567" s="27" t="s">
        <v>7</v>
      </c>
      <c r="LG567" s="27" t="s">
        <v>8</v>
      </c>
      <c r="LH567" s="27" t="s">
        <v>7</v>
      </c>
      <c r="MA567" s="27" t="s">
        <v>8</v>
      </c>
      <c r="MB567" s="27" t="s">
        <v>7</v>
      </c>
      <c r="MC567" s="27" t="s">
        <v>8</v>
      </c>
      <c r="MN567" s="27" t="s">
        <v>7</v>
      </c>
      <c r="MO567" s="27" t="s">
        <v>8</v>
      </c>
      <c r="MP567" s="27" t="s">
        <v>7</v>
      </c>
      <c r="MQ567" s="27" t="s">
        <v>8</v>
      </c>
      <c r="ND567" s="27" t="s">
        <v>7</v>
      </c>
      <c r="NE567" s="27" t="s">
        <v>8</v>
      </c>
      <c r="NF567" s="27" t="s">
        <v>7</v>
      </c>
    </row>
    <row r="568" spans="1:420" x14ac:dyDescent="0.25">
      <c r="A568" s="7">
        <v>1.4568111725277988</v>
      </c>
      <c r="B568"/>
      <c r="C568"/>
      <c r="D568"/>
      <c r="E568" t="s">
        <v>8</v>
      </c>
      <c r="H568" s="27" t="s">
        <v>7</v>
      </c>
      <c r="I568" s="27" t="s">
        <v>8</v>
      </c>
      <c r="J568" s="27" t="s">
        <v>7</v>
      </c>
      <c r="BO568" s="27" t="s">
        <v>8</v>
      </c>
      <c r="BP568" s="27" t="s">
        <v>7</v>
      </c>
      <c r="BQ568" s="27" t="s">
        <v>8</v>
      </c>
      <c r="BR568" s="27" t="s">
        <v>7</v>
      </c>
      <c r="BS568" s="27" t="s">
        <v>8</v>
      </c>
      <c r="BT568" s="27" t="s">
        <v>7</v>
      </c>
      <c r="CG568" s="27" t="s">
        <v>8</v>
      </c>
      <c r="CH568" s="27" t="s">
        <v>7</v>
      </c>
      <c r="CM568" s="27" t="s">
        <v>8</v>
      </c>
      <c r="CN568" s="27" t="s">
        <v>7</v>
      </c>
      <c r="CO568" s="27" t="s">
        <v>8</v>
      </c>
      <c r="CP568" s="27" t="s">
        <v>7</v>
      </c>
      <c r="CQ568" s="27" t="s">
        <v>8</v>
      </c>
      <c r="CR568" s="27" t="s">
        <v>7</v>
      </c>
      <c r="CU568" s="27" t="s">
        <v>8</v>
      </c>
      <c r="CV568" s="27" t="s">
        <v>7</v>
      </c>
      <c r="CW568" s="27" t="s">
        <v>8</v>
      </c>
      <c r="CX568" s="27" t="s">
        <v>7</v>
      </c>
      <c r="CY568" s="27" t="s">
        <v>8</v>
      </c>
      <c r="CZ568" s="27" t="s">
        <v>7</v>
      </c>
      <c r="DA568" s="27" t="s">
        <v>8</v>
      </c>
      <c r="DD568" s="27" t="s">
        <v>7</v>
      </c>
      <c r="DE568" s="27" t="s">
        <v>8</v>
      </c>
      <c r="DF568" s="27" t="s">
        <v>7</v>
      </c>
      <c r="LG568" s="27" t="s">
        <v>8</v>
      </c>
      <c r="LH568" s="27" t="s">
        <v>7</v>
      </c>
      <c r="LY568" s="27" t="s">
        <v>8</v>
      </c>
      <c r="MA568" s="27" t="s">
        <v>8</v>
      </c>
      <c r="MB568" s="27" t="s">
        <v>7</v>
      </c>
      <c r="MN568" s="27" t="s">
        <v>7</v>
      </c>
      <c r="MO568" s="27" t="s">
        <v>8</v>
      </c>
      <c r="MP568" s="27" t="s">
        <v>7</v>
      </c>
      <c r="MQ568" s="27" t="s">
        <v>8</v>
      </c>
      <c r="ND568" s="27" t="s">
        <v>7</v>
      </c>
      <c r="NE568" s="27" t="s">
        <v>8</v>
      </c>
      <c r="NF568" s="27" t="s">
        <v>7</v>
      </c>
    </row>
    <row r="569" spans="1:420" x14ac:dyDescent="0.25">
      <c r="A569" s="7">
        <v>1.4282462475762734</v>
      </c>
      <c r="B569"/>
      <c r="C569"/>
      <c r="D569"/>
      <c r="E569" t="s">
        <v>8</v>
      </c>
      <c r="H569" s="27" t="s">
        <v>7</v>
      </c>
      <c r="I569" s="27" t="s">
        <v>8</v>
      </c>
      <c r="J569" s="27" t="s">
        <v>7</v>
      </c>
      <c r="BO569" s="27" t="s">
        <v>8</v>
      </c>
      <c r="BP569" s="27" t="s">
        <v>7</v>
      </c>
      <c r="BR569" s="27" t="s">
        <v>7</v>
      </c>
      <c r="BS569" s="27" t="s">
        <v>8</v>
      </c>
      <c r="BT569" s="27" t="s">
        <v>7</v>
      </c>
      <c r="CG569" s="27" t="s">
        <v>8</v>
      </c>
      <c r="CH569" s="27" t="s">
        <v>7</v>
      </c>
      <c r="CI569" s="27" t="s">
        <v>8</v>
      </c>
      <c r="CM569" s="27" t="s">
        <v>8</v>
      </c>
      <c r="CN569" s="27" t="s">
        <v>7</v>
      </c>
      <c r="CO569" s="27" t="s">
        <v>8</v>
      </c>
      <c r="CP569" s="27" t="s">
        <v>7</v>
      </c>
      <c r="CQ569" s="27" t="s">
        <v>8</v>
      </c>
      <c r="CR569" s="27" t="s">
        <v>7</v>
      </c>
      <c r="CU569" s="27" t="s">
        <v>8</v>
      </c>
      <c r="CV569" s="27" t="s">
        <v>7</v>
      </c>
      <c r="CW569" s="27" t="s">
        <v>8</v>
      </c>
      <c r="CX569" s="27" t="s">
        <v>7</v>
      </c>
      <c r="CY569" s="27" t="s">
        <v>8</v>
      </c>
      <c r="CZ569" s="27" t="s">
        <v>7</v>
      </c>
      <c r="DA569" s="27" t="s">
        <v>8</v>
      </c>
      <c r="DD569" s="27" t="s">
        <v>7</v>
      </c>
      <c r="DF569" s="27" t="s">
        <v>7</v>
      </c>
      <c r="DG569" s="27" t="s">
        <v>8</v>
      </c>
      <c r="LG569" s="27" t="s">
        <v>8</v>
      </c>
      <c r="LH569" s="27" t="s">
        <v>7</v>
      </c>
      <c r="LY569" s="27" t="s">
        <v>8</v>
      </c>
      <c r="LZ569" s="27" t="s">
        <v>7</v>
      </c>
      <c r="MA569" s="27" t="s">
        <v>8</v>
      </c>
      <c r="MN569" s="27" t="s">
        <v>7</v>
      </c>
      <c r="MO569" s="27" t="s">
        <v>8</v>
      </c>
      <c r="MP569" s="27" t="s">
        <v>7</v>
      </c>
      <c r="MQ569" s="27" t="s">
        <v>8</v>
      </c>
      <c r="ND569" s="27" t="s">
        <v>7</v>
      </c>
      <c r="NE569" s="27" t="s">
        <v>8</v>
      </c>
      <c r="NF569" s="27" t="s">
        <v>7</v>
      </c>
    </row>
    <row r="570" spans="1:420" x14ac:dyDescent="0.25">
      <c r="A570" s="7">
        <v>1.4002414191924248</v>
      </c>
      <c r="B570"/>
      <c r="C570"/>
      <c r="D570"/>
      <c r="E570" t="s">
        <v>8</v>
      </c>
      <c r="H570" s="27" t="s">
        <v>7</v>
      </c>
      <c r="I570" s="27" t="s">
        <v>8</v>
      </c>
      <c r="J570" s="27" t="s">
        <v>7</v>
      </c>
      <c r="BK570" s="27" t="s">
        <v>8</v>
      </c>
      <c r="BO570" s="27" t="s">
        <v>8</v>
      </c>
      <c r="BR570" s="27" t="s">
        <v>7</v>
      </c>
      <c r="BT570" s="27" t="s">
        <v>7</v>
      </c>
      <c r="CG570" s="27" t="s">
        <v>8</v>
      </c>
      <c r="CH570" s="27" t="s">
        <v>7</v>
      </c>
      <c r="CI570" s="27" t="s">
        <v>8</v>
      </c>
      <c r="CJ570" s="27" t="s">
        <v>7</v>
      </c>
      <c r="CK570" s="27" t="s">
        <v>8</v>
      </c>
      <c r="CM570" s="27" t="s">
        <v>8</v>
      </c>
      <c r="CN570" s="27" t="s">
        <v>7</v>
      </c>
      <c r="CP570" s="27" t="s">
        <v>7</v>
      </c>
      <c r="CR570" s="27" t="s">
        <v>7</v>
      </c>
      <c r="CU570" s="27" t="s">
        <v>8</v>
      </c>
      <c r="CV570" s="27" t="s">
        <v>7</v>
      </c>
      <c r="CW570" s="27" t="s">
        <v>8</v>
      </c>
      <c r="CX570" s="27" t="s">
        <v>7</v>
      </c>
      <c r="CY570" s="27" t="s">
        <v>8</v>
      </c>
      <c r="CZ570" s="27" t="s">
        <v>7</v>
      </c>
      <c r="DA570" s="27" t="s">
        <v>8</v>
      </c>
      <c r="DF570" s="27" t="s">
        <v>7</v>
      </c>
      <c r="DG570" s="27" t="s">
        <v>8</v>
      </c>
      <c r="DH570" s="27" t="s">
        <v>7</v>
      </c>
      <c r="LG570" s="27" t="s">
        <v>8</v>
      </c>
      <c r="LH570" s="27" t="s">
        <v>7</v>
      </c>
      <c r="LY570" s="27" t="s">
        <v>8</v>
      </c>
      <c r="LZ570" s="27" t="s">
        <v>7</v>
      </c>
      <c r="MA570" s="27" t="s">
        <v>8</v>
      </c>
      <c r="MN570" s="27" t="s">
        <v>7</v>
      </c>
      <c r="MO570" s="27" t="s">
        <v>8</v>
      </c>
      <c r="MP570" s="27" t="s">
        <v>7</v>
      </c>
      <c r="MQ570" s="27" t="s">
        <v>8</v>
      </c>
      <c r="ND570" s="27" t="s">
        <v>7</v>
      </c>
      <c r="NE570" s="27" t="s">
        <v>8</v>
      </c>
      <c r="NF570" s="27" t="s">
        <v>7</v>
      </c>
    </row>
    <row r="571" spans="1:420" x14ac:dyDescent="0.25">
      <c r="A571" s="7">
        <v>1.3727857050906125</v>
      </c>
      <c r="B571"/>
      <c r="C571"/>
      <c r="D571"/>
      <c r="E571" t="s">
        <v>8</v>
      </c>
      <c r="H571" s="27" t="s">
        <v>7</v>
      </c>
      <c r="I571" s="27" t="s">
        <v>8</v>
      </c>
      <c r="J571" s="27" t="s">
        <v>7</v>
      </c>
      <c r="BK571" s="27" t="s">
        <v>8</v>
      </c>
      <c r="BL571" s="27" t="s">
        <v>7</v>
      </c>
      <c r="BO571" s="27" t="s">
        <v>8</v>
      </c>
      <c r="BT571" s="27" t="s">
        <v>7</v>
      </c>
      <c r="BU571" s="27" t="s">
        <v>8</v>
      </c>
      <c r="CG571" s="27" t="s">
        <v>8</v>
      </c>
      <c r="CH571" s="27" t="s">
        <v>7</v>
      </c>
      <c r="CI571" s="27" t="s">
        <v>8</v>
      </c>
      <c r="CJ571" s="27" t="s">
        <v>7</v>
      </c>
      <c r="CK571" s="27" t="s">
        <v>8</v>
      </c>
      <c r="CL571" s="27" t="s">
        <v>7</v>
      </c>
      <c r="CM571" s="27" t="s">
        <v>8</v>
      </c>
      <c r="CR571" s="27" t="s">
        <v>7</v>
      </c>
      <c r="CU571" s="27" t="s">
        <v>8</v>
      </c>
      <c r="CV571" s="27" t="s">
        <v>7</v>
      </c>
      <c r="CX571" s="27" t="s">
        <v>7</v>
      </c>
      <c r="CZ571" s="27" t="s">
        <v>7</v>
      </c>
      <c r="DF571" s="27" t="s">
        <v>7</v>
      </c>
      <c r="DG571" s="27" t="s">
        <v>8</v>
      </c>
      <c r="DH571" s="27" t="s">
        <v>7</v>
      </c>
      <c r="LG571" s="27" t="s">
        <v>8</v>
      </c>
      <c r="LH571" s="27" t="s">
        <v>7</v>
      </c>
      <c r="LY571" s="27" t="s">
        <v>8</v>
      </c>
      <c r="LZ571" s="27" t="s">
        <v>7</v>
      </c>
      <c r="MA571" s="27" t="s">
        <v>8</v>
      </c>
      <c r="MN571" s="27" t="s">
        <v>7</v>
      </c>
      <c r="MO571" s="27" t="s">
        <v>8</v>
      </c>
      <c r="MP571" s="27" t="s">
        <v>7</v>
      </c>
      <c r="MQ571" s="27" t="s">
        <v>8</v>
      </c>
      <c r="ND571" s="27" t="s">
        <v>7</v>
      </c>
      <c r="NE571" s="27" t="s">
        <v>8</v>
      </c>
      <c r="NF571" s="27" t="s">
        <v>7</v>
      </c>
    </row>
    <row r="572" spans="1:420" x14ac:dyDescent="0.25">
      <c r="A572" s="7">
        <v>1.3458683383241299</v>
      </c>
      <c r="B572"/>
      <c r="C572"/>
      <c r="D572"/>
      <c r="E572" t="s">
        <v>8</v>
      </c>
      <c r="H572" s="27" t="s">
        <v>7</v>
      </c>
      <c r="I572" s="27" t="s">
        <v>8</v>
      </c>
      <c r="J572" s="27" t="s">
        <v>7</v>
      </c>
      <c r="BK572" s="27" t="s">
        <v>8</v>
      </c>
      <c r="BL572" s="27" t="s">
        <v>7</v>
      </c>
      <c r="BO572" s="27" t="s">
        <v>8</v>
      </c>
      <c r="BT572" s="27" t="s">
        <v>7</v>
      </c>
      <c r="BU572" s="27" t="s">
        <v>8</v>
      </c>
      <c r="BV572" s="27" t="s">
        <v>7</v>
      </c>
      <c r="BW572" s="27" t="s">
        <v>8</v>
      </c>
      <c r="CG572" s="27" t="s">
        <v>8</v>
      </c>
      <c r="CH572" s="27" t="s">
        <v>7</v>
      </c>
      <c r="CI572" s="27" t="s">
        <v>8</v>
      </c>
      <c r="CJ572" s="27" t="s">
        <v>7</v>
      </c>
      <c r="CK572" s="27" t="s">
        <v>8</v>
      </c>
      <c r="CL572" s="27" t="s">
        <v>7</v>
      </c>
      <c r="CM572" s="27" t="s">
        <v>8</v>
      </c>
      <c r="CR572" s="27" t="s">
        <v>7</v>
      </c>
      <c r="CS572" s="27" t="s">
        <v>8</v>
      </c>
      <c r="CU572" s="27" t="s">
        <v>8</v>
      </c>
      <c r="DF572" s="27" t="s">
        <v>7</v>
      </c>
      <c r="DG572" s="27" t="s">
        <v>8</v>
      </c>
      <c r="DH572" s="27" t="s">
        <v>7</v>
      </c>
      <c r="LC572" s="27" t="s">
        <v>8</v>
      </c>
      <c r="LG572" s="27" t="s">
        <v>8</v>
      </c>
      <c r="LH572" s="27" t="s">
        <v>7</v>
      </c>
      <c r="LY572" s="27" t="s">
        <v>8</v>
      </c>
      <c r="LZ572" s="27" t="s">
        <v>7</v>
      </c>
      <c r="MA572" s="27" t="s">
        <v>8</v>
      </c>
      <c r="MN572" s="27" t="s">
        <v>7</v>
      </c>
      <c r="MO572" s="27" t="s">
        <v>8</v>
      </c>
      <c r="MP572" s="27" t="s">
        <v>7</v>
      </c>
      <c r="MQ572" s="27" t="s">
        <v>8</v>
      </c>
      <c r="ND572" s="27" t="s">
        <v>7</v>
      </c>
      <c r="NE572" s="27" t="s">
        <v>8</v>
      </c>
      <c r="NF572" s="27" t="s">
        <v>7</v>
      </c>
    </row>
    <row r="573" spans="1:420" x14ac:dyDescent="0.25">
      <c r="A573" s="7">
        <v>1.3194787630628724</v>
      </c>
      <c r="B573"/>
      <c r="C573"/>
      <c r="D573"/>
      <c r="E573" t="s">
        <v>8</v>
      </c>
      <c r="H573" s="27" t="s">
        <v>7</v>
      </c>
      <c r="I573" s="27" t="s">
        <v>8</v>
      </c>
      <c r="J573" s="27" t="s">
        <v>7</v>
      </c>
      <c r="BK573" s="27" t="s">
        <v>8</v>
      </c>
      <c r="BL573" s="27" t="s">
        <v>7</v>
      </c>
      <c r="BM573" s="27" t="s">
        <v>8</v>
      </c>
      <c r="BO573" s="27" t="s">
        <v>8</v>
      </c>
      <c r="BT573" s="27" t="s">
        <v>7</v>
      </c>
      <c r="BU573" s="27" t="s">
        <v>8</v>
      </c>
      <c r="BV573" s="27" t="s">
        <v>7</v>
      </c>
      <c r="BW573" s="27" t="s">
        <v>8</v>
      </c>
      <c r="BX573" s="27" t="s">
        <v>7</v>
      </c>
      <c r="CG573" s="27" t="s">
        <v>8</v>
      </c>
      <c r="CH573" s="27" t="s">
        <v>7</v>
      </c>
      <c r="CI573" s="27" t="s">
        <v>8</v>
      </c>
      <c r="CJ573" s="27" t="s">
        <v>7</v>
      </c>
      <c r="CL573" s="27" t="s">
        <v>7</v>
      </c>
      <c r="CM573" s="27" t="s">
        <v>8</v>
      </c>
      <c r="CR573" s="27" t="s">
        <v>7</v>
      </c>
      <c r="CS573" s="27" t="s">
        <v>8</v>
      </c>
      <c r="CT573" s="27" t="s">
        <v>7</v>
      </c>
      <c r="CU573" s="27" t="s">
        <v>8</v>
      </c>
      <c r="DF573" s="27" t="s">
        <v>7</v>
      </c>
      <c r="DH573" s="27" t="s">
        <v>7</v>
      </c>
      <c r="LC573" s="27" t="s">
        <v>8</v>
      </c>
      <c r="LD573" s="27" t="s">
        <v>7</v>
      </c>
      <c r="LG573" s="27" t="s">
        <v>8</v>
      </c>
      <c r="LH573" s="27" t="s">
        <v>7</v>
      </c>
      <c r="LY573" s="27" t="s">
        <v>8</v>
      </c>
      <c r="LZ573" s="27" t="s">
        <v>7</v>
      </c>
      <c r="MA573" s="27" t="s">
        <v>8</v>
      </c>
      <c r="MN573" s="27" t="s">
        <v>7</v>
      </c>
      <c r="MO573" s="27" t="s">
        <v>8</v>
      </c>
      <c r="MP573" s="27" t="s">
        <v>7</v>
      </c>
      <c r="MQ573" s="27" t="s">
        <v>8</v>
      </c>
      <c r="ND573" s="27" t="s">
        <v>7</v>
      </c>
      <c r="NE573" s="27" t="s">
        <v>8</v>
      </c>
      <c r="NF573" s="27" t="s">
        <v>7</v>
      </c>
      <c r="NI573" s="27" t="s">
        <v>8</v>
      </c>
      <c r="PC573" s="27" t="s">
        <v>8</v>
      </c>
    </row>
    <row r="574" spans="1:420" x14ac:dyDescent="0.25">
      <c r="A574" s="7">
        <v>1.2936066304537963</v>
      </c>
      <c r="B574"/>
      <c r="C574"/>
      <c r="D574"/>
      <c r="E574" t="s">
        <v>8</v>
      </c>
      <c r="H574" s="27" t="s">
        <v>7</v>
      </c>
      <c r="I574" s="27" t="s">
        <v>8</v>
      </c>
      <c r="J574" s="27" t="s">
        <v>7</v>
      </c>
      <c r="BK574" s="27" t="s">
        <v>8</v>
      </c>
      <c r="BL574" s="27" t="s">
        <v>7</v>
      </c>
      <c r="BM574" s="27" t="s">
        <v>8</v>
      </c>
      <c r="BN574" s="27" t="s">
        <v>7</v>
      </c>
      <c r="BO574" s="27" t="s">
        <v>8</v>
      </c>
      <c r="BT574" s="27" t="s">
        <v>7</v>
      </c>
      <c r="BU574" s="27" t="s">
        <v>8</v>
      </c>
      <c r="BV574" s="27" t="s">
        <v>7</v>
      </c>
      <c r="BW574" s="27" t="s">
        <v>8</v>
      </c>
      <c r="BX574" s="27" t="s">
        <v>7</v>
      </c>
      <c r="CG574" s="27" t="s">
        <v>8</v>
      </c>
      <c r="CH574" s="27" t="s">
        <v>7</v>
      </c>
      <c r="CI574" s="27" t="s">
        <v>8</v>
      </c>
      <c r="CL574" s="27" t="s">
        <v>7</v>
      </c>
      <c r="CM574" s="27" t="s">
        <v>8</v>
      </c>
      <c r="CR574" s="27" t="s">
        <v>7</v>
      </c>
      <c r="CS574" s="27" t="s">
        <v>8</v>
      </c>
      <c r="CT574" s="27" t="s">
        <v>7</v>
      </c>
      <c r="CU574" s="27" t="s">
        <v>8</v>
      </c>
      <c r="DH574" s="27" t="s">
        <v>7</v>
      </c>
      <c r="LC574" s="27" t="s">
        <v>8</v>
      </c>
      <c r="LD574" s="27" t="s">
        <v>7</v>
      </c>
      <c r="LG574" s="27" t="s">
        <v>8</v>
      </c>
      <c r="LH574" s="27" t="s">
        <v>7</v>
      </c>
      <c r="LY574" s="27" t="s">
        <v>8</v>
      </c>
      <c r="LZ574" s="27" t="s">
        <v>7</v>
      </c>
      <c r="MA574" s="27" t="s">
        <v>8</v>
      </c>
      <c r="MN574" s="27" t="s">
        <v>7</v>
      </c>
      <c r="MO574" s="27" t="s">
        <v>8</v>
      </c>
      <c r="MP574" s="27" t="s">
        <v>7</v>
      </c>
      <c r="MQ574" s="27" t="s">
        <v>8</v>
      </c>
      <c r="ND574" s="27" t="s">
        <v>7</v>
      </c>
      <c r="NE574" s="27" t="s">
        <v>8</v>
      </c>
      <c r="NF574" s="27" t="s">
        <v>7</v>
      </c>
      <c r="NI574" s="27" t="s">
        <v>8</v>
      </c>
      <c r="NJ574" s="27" t="s">
        <v>7</v>
      </c>
      <c r="PC574" s="27" t="s">
        <v>8</v>
      </c>
      <c r="PD574" s="27" t="s">
        <v>7</v>
      </c>
    </row>
    <row r="575" spans="1:420" x14ac:dyDescent="0.25">
      <c r="A575" s="7">
        <v>1.2682417945625455</v>
      </c>
      <c r="B575"/>
      <c r="C575"/>
      <c r="D575"/>
      <c r="E575" t="s">
        <v>8</v>
      </c>
      <c r="H575" s="27" t="s">
        <v>7</v>
      </c>
      <c r="J575" s="27" t="s">
        <v>7</v>
      </c>
      <c r="BK575" s="27" t="s">
        <v>8</v>
      </c>
      <c r="BL575" s="27" t="s">
        <v>7</v>
      </c>
      <c r="BM575" s="27" t="s">
        <v>8</v>
      </c>
      <c r="BN575" s="27" t="s">
        <v>7</v>
      </c>
      <c r="BO575" s="27" t="s">
        <v>8</v>
      </c>
      <c r="BT575" s="27" t="s">
        <v>7</v>
      </c>
      <c r="BU575" s="27" t="s">
        <v>8</v>
      </c>
      <c r="BV575" s="27" t="s">
        <v>7</v>
      </c>
      <c r="BX575" s="27" t="s">
        <v>7</v>
      </c>
      <c r="CG575" s="27" t="s">
        <v>8</v>
      </c>
      <c r="CH575" s="27" t="s">
        <v>7</v>
      </c>
      <c r="CL575" s="27" t="s">
        <v>7</v>
      </c>
      <c r="CR575" s="27" t="s">
        <v>7</v>
      </c>
      <c r="CS575" s="27" t="s">
        <v>8</v>
      </c>
      <c r="CT575" s="27" t="s">
        <v>7</v>
      </c>
      <c r="DH575" s="27" t="s">
        <v>7</v>
      </c>
      <c r="LC575" s="27" t="s">
        <v>8</v>
      </c>
      <c r="LD575" s="27" t="s">
        <v>7</v>
      </c>
      <c r="LG575" s="27" t="s">
        <v>8</v>
      </c>
      <c r="LH575" s="27" t="s">
        <v>7</v>
      </c>
      <c r="LS575" s="27" t="s">
        <v>8</v>
      </c>
      <c r="LU575" s="27" t="s">
        <v>8</v>
      </c>
      <c r="LW575" s="27" t="s">
        <v>8</v>
      </c>
      <c r="LY575" s="27" t="s">
        <v>8</v>
      </c>
      <c r="LZ575" s="27" t="s">
        <v>7</v>
      </c>
      <c r="MA575" s="27" t="s">
        <v>8</v>
      </c>
      <c r="MN575" s="27" t="s">
        <v>7</v>
      </c>
      <c r="MO575" s="27" t="s">
        <v>8</v>
      </c>
      <c r="MP575" s="27" t="s">
        <v>7</v>
      </c>
      <c r="ND575" s="27" t="s">
        <v>7</v>
      </c>
      <c r="NE575" s="27" t="s">
        <v>8</v>
      </c>
      <c r="NF575" s="27" t="s">
        <v>7</v>
      </c>
      <c r="NG575" s="27" t="s">
        <v>8</v>
      </c>
      <c r="NI575" s="27" t="s">
        <v>8</v>
      </c>
      <c r="NJ575" s="27" t="s">
        <v>7</v>
      </c>
      <c r="OY575" s="27" t="s">
        <v>8</v>
      </c>
      <c r="PC575" s="27" t="s">
        <v>8</v>
      </c>
      <c r="PD575" s="27" t="s">
        <v>7</v>
      </c>
    </row>
    <row r="576" spans="1:420" x14ac:dyDescent="0.25">
      <c r="A576" s="7">
        <v>1.2433743083946525</v>
      </c>
      <c r="B576"/>
      <c r="C576"/>
      <c r="D576"/>
      <c r="E576" t="s">
        <v>8</v>
      </c>
      <c r="J576" s="27" t="s">
        <v>7</v>
      </c>
      <c r="BK576" s="27" t="s">
        <v>8</v>
      </c>
      <c r="BL576" s="27" t="s">
        <v>7</v>
      </c>
      <c r="BM576" s="27" t="s">
        <v>8</v>
      </c>
      <c r="BN576" s="27" t="s">
        <v>7</v>
      </c>
      <c r="BO576" s="27" t="s">
        <v>8</v>
      </c>
      <c r="BT576" s="27" t="s">
        <v>7</v>
      </c>
      <c r="BX576" s="27" t="s">
        <v>7</v>
      </c>
      <c r="CE576" s="27" t="s">
        <v>8</v>
      </c>
      <c r="CG576" s="27" t="s">
        <v>8</v>
      </c>
      <c r="CR576" s="27" t="s">
        <v>7</v>
      </c>
      <c r="CS576" s="27" t="s">
        <v>8</v>
      </c>
      <c r="DH576" s="27" t="s">
        <v>7</v>
      </c>
      <c r="LC576" s="27" t="s">
        <v>8</v>
      </c>
      <c r="LD576" s="27" t="s">
        <v>7</v>
      </c>
      <c r="LE576" s="27" t="s">
        <v>8</v>
      </c>
      <c r="LG576" s="27" t="s">
        <v>8</v>
      </c>
      <c r="LH576" s="27" t="s">
        <v>7</v>
      </c>
      <c r="LS576" s="27" t="s">
        <v>8</v>
      </c>
      <c r="LT576" s="27" t="s">
        <v>7</v>
      </c>
      <c r="LU576" s="27" t="s">
        <v>8</v>
      </c>
      <c r="LV576" s="27" t="s">
        <v>7</v>
      </c>
      <c r="LW576" s="27" t="s">
        <v>8</v>
      </c>
      <c r="LX576" s="27" t="s">
        <v>7</v>
      </c>
      <c r="LY576" s="27" t="s">
        <v>8</v>
      </c>
      <c r="LZ576" s="27" t="s">
        <v>7</v>
      </c>
      <c r="MA576" s="27" t="s">
        <v>8</v>
      </c>
      <c r="MN576" s="27" t="s">
        <v>7</v>
      </c>
      <c r="ND576" s="27" t="s">
        <v>7</v>
      </c>
      <c r="NE576" s="27" t="s">
        <v>8</v>
      </c>
      <c r="NF576" s="27" t="s">
        <v>7</v>
      </c>
      <c r="NG576" s="27" t="s">
        <v>8</v>
      </c>
      <c r="NH576" s="27" t="s">
        <v>7</v>
      </c>
      <c r="NI576" s="27" t="s">
        <v>8</v>
      </c>
      <c r="NJ576" s="27" t="s">
        <v>7</v>
      </c>
      <c r="NM576" s="27" t="s">
        <v>8</v>
      </c>
      <c r="OY576" s="27" t="s">
        <v>8</v>
      </c>
      <c r="OZ576" s="27" t="s">
        <v>7</v>
      </c>
      <c r="PC576" s="27" t="s">
        <v>8</v>
      </c>
      <c r="PD576" s="27" t="s">
        <v>7</v>
      </c>
    </row>
    <row r="577" spans="1:460" x14ac:dyDescent="0.25">
      <c r="A577" s="7">
        <v>1.2189944199947573</v>
      </c>
      <c r="B577"/>
      <c r="C577"/>
      <c r="D577"/>
      <c r="E577" t="s">
        <v>8</v>
      </c>
      <c r="J577" s="27" t="s">
        <v>7</v>
      </c>
      <c r="BK577" s="27" t="s">
        <v>8</v>
      </c>
      <c r="BL577" s="27" t="s">
        <v>7</v>
      </c>
      <c r="BN577" s="27" t="s">
        <v>7</v>
      </c>
      <c r="BO577" s="27" t="s">
        <v>8</v>
      </c>
      <c r="BX577" s="27" t="s">
        <v>7</v>
      </c>
      <c r="CE577" s="27" t="s">
        <v>8</v>
      </c>
      <c r="CF577" s="27" t="s">
        <v>7</v>
      </c>
      <c r="CG577" s="27" t="s">
        <v>8</v>
      </c>
      <c r="CR577" s="27" t="s">
        <v>7</v>
      </c>
      <c r="DH577" s="27" t="s">
        <v>7</v>
      </c>
      <c r="LC577" s="27" t="s">
        <v>8</v>
      </c>
      <c r="LD577" s="27" t="s">
        <v>7</v>
      </c>
      <c r="LE577" s="27" t="s">
        <v>8</v>
      </c>
      <c r="LF577" s="27" t="s">
        <v>7</v>
      </c>
      <c r="LG577" s="27" t="s">
        <v>8</v>
      </c>
      <c r="LH577" s="27" t="s">
        <v>7</v>
      </c>
      <c r="LQ577" s="27" t="s">
        <v>8</v>
      </c>
      <c r="LS577" s="27" t="s">
        <v>8</v>
      </c>
      <c r="LT577" s="27" t="s">
        <v>7</v>
      </c>
      <c r="LU577" s="27" t="s">
        <v>8</v>
      </c>
      <c r="LV577" s="27" t="s">
        <v>7</v>
      </c>
      <c r="LW577" s="27" t="s">
        <v>8</v>
      </c>
      <c r="LX577" s="27" t="s">
        <v>7</v>
      </c>
      <c r="LY577" s="27" t="s">
        <v>8</v>
      </c>
      <c r="LZ577" s="27" t="s">
        <v>7</v>
      </c>
      <c r="MA577" s="27" t="s">
        <v>8</v>
      </c>
      <c r="ND577" s="27" t="s">
        <v>7</v>
      </c>
      <c r="NE577" s="27" t="s">
        <v>8</v>
      </c>
      <c r="NF577" s="27" t="s">
        <v>7</v>
      </c>
      <c r="NG577" s="27" t="s">
        <v>8</v>
      </c>
      <c r="NH577" s="27" t="s">
        <v>7</v>
      </c>
      <c r="NI577" s="27" t="s">
        <v>8</v>
      </c>
      <c r="NJ577" s="27" t="s">
        <v>7</v>
      </c>
      <c r="NM577" s="27" t="s">
        <v>8</v>
      </c>
      <c r="NN577" s="27" t="s">
        <v>7</v>
      </c>
      <c r="OY577" s="27" t="s">
        <v>8</v>
      </c>
      <c r="OZ577" s="27" t="s">
        <v>7</v>
      </c>
      <c r="PC577" s="27" t="s">
        <v>8</v>
      </c>
      <c r="PD577" s="27" t="s">
        <v>7</v>
      </c>
      <c r="QE577" s="27" t="s">
        <v>8</v>
      </c>
    </row>
    <row r="578" spans="1:460" x14ac:dyDescent="0.25">
      <c r="A578" s="7">
        <v>1.1950925686223111</v>
      </c>
      <c r="B578"/>
      <c r="C578"/>
      <c r="D578"/>
      <c r="E578" t="s">
        <v>8</v>
      </c>
      <c r="J578" s="27" t="s">
        <v>7</v>
      </c>
      <c r="AY578" s="27" t="s">
        <v>8</v>
      </c>
      <c r="BK578" s="27" t="s">
        <v>8</v>
      </c>
      <c r="BN578" s="27" t="s">
        <v>7</v>
      </c>
      <c r="BO578" s="27" t="s">
        <v>8</v>
      </c>
      <c r="BX578" s="27" t="s">
        <v>7</v>
      </c>
      <c r="CA578" s="27" t="s">
        <v>8</v>
      </c>
      <c r="CE578" s="27" t="s">
        <v>8</v>
      </c>
      <c r="CF578" s="27" t="s">
        <v>7</v>
      </c>
      <c r="CG578" s="27" t="s">
        <v>8</v>
      </c>
      <c r="DH578" s="27" t="s">
        <v>7</v>
      </c>
      <c r="LC578" s="27" t="s">
        <v>8</v>
      </c>
      <c r="LD578" s="27" t="s">
        <v>7</v>
      </c>
      <c r="LE578" s="27" t="s">
        <v>8</v>
      </c>
      <c r="LF578" s="27" t="s">
        <v>7</v>
      </c>
      <c r="LG578" s="27" t="s">
        <v>8</v>
      </c>
      <c r="LH578" s="27" t="s">
        <v>7</v>
      </c>
      <c r="LQ578" s="27" t="s">
        <v>8</v>
      </c>
      <c r="LR578" s="27" t="s">
        <v>7</v>
      </c>
      <c r="LS578" s="27" t="s">
        <v>8</v>
      </c>
      <c r="LT578" s="27" t="s">
        <v>7</v>
      </c>
      <c r="LU578" s="27" t="s">
        <v>8</v>
      </c>
      <c r="LV578" s="27" t="s">
        <v>7</v>
      </c>
      <c r="LW578" s="27" t="s">
        <v>8</v>
      </c>
      <c r="LX578" s="27" t="s">
        <v>7</v>
      </c>
      <c r="LY578" s="27" t="s">
        <v>8</v>
      </c>
      <c r="LZ578" s="27" t="s">
        <v>7</v>
      </c>
      <c r="MA578" s="27" t="s">
        <v>8</v>
      </c>
      <c r="ND578" s="27" t="s">
        <v>7</v>
      </c>
      <c r="NE578" s="27" t="s">
        <v>8</v>
      </c>
      <c r="NF578" s="27" t="s">
        <v>7</v>
      </c>
      <c r="NG578" s="27" t="s">
        <v>8</v>
      </c>
      <c r="NH578" s="27" t="s">
        <v>7</v>
      </c>
      <c r="NI578" s="27" t="s">
        <v>8</v>
      </c>
      <c r="NJ578" s="27" t="s">
        <v>7</v>
      </c>
      <c r="NM578" s="27" t="s">
        <v>8</v>
      </c>
      <c r="NN578" s="27" t="s">
        <v>7</v>
      </c>
      <c r="OY578" s="27" t="s">
        <v>8</v>
      </c>
      <c r="OZ578" s="27" t="s">
        <v>7</v>
      </c>
      <c r="PC578" s="27" t="s">
        <v>8</v>
      </c>
      <c r="PD578" s="27" t="s">
        <v>7</v>
      </c>
      <c r="QE578" s="27" t="s">
        <v>8</v>
      </c>
      <c r="QF578" s="27" t="s">
        <v>7</v>
      </c>
    </row>
    <row r="579" spans="1:460" x14ac:dyDescent="0.25">
      <c r="A579" s="7">
        <v>1.1716593810022657</v>
      </c>
      <c r="B579"/>
      <c r="C579"/>
      <c r="D579"/>
      <c r="E579" t="s">
        <v>8</v>
      </c>
      <c r="J579" s="27" t="s">
        <v>7</v>
      </c>
      <c r="AY579" s="27" t="s">
        <v>8</v>
      </c>
      <c r="AZ579" s="27" t="s">
        <v>7</v>
      </c>
      <c r="BK579" s="27" t="s">
        <v>8</v>
      </c>
      <c r="BN579" s="27" t="s">
        <v>7</v>
      </c>
      <c r="BO579" s="27" t="s">
        <v>8</v>
      </c>
      <c r="BX579" s="27" t="s">
        <v>7</v>
      </c>
      <c r="BY579" s="27" t="s">
        <v>8</v>
      </c>
      <c r="CA579" s="27" t="s">
        <v>8</v>
      </c>
      <c r="CB579" s="27" t="s">
        <v>7</v>
      </c>
      <c r="CE579" s="27" t="s">
        <v>8</v>
      </c>
      <c r="CF579" s="27" t="s">
        <v>7</v>
      </c>
      <c r="CG579" s="27" t="s">
        <v>8</v>
      </c>
      <c r="DH579" s="27" t="s">
        <v>7</v>
      </c>
      <c r="EQ579" s="27" t="s">
        <v>8</v>
      </c>
      <c r="LC579" s="27" t="s">
        <v>8</v>
      </c>
      <c r="LD579" s="27" t="s">
        <v>7</v>
      </c>
      <c r="LE579" s="27" t="s">
        <v>8</v>
      </c>
      <c r="LF579" s="27" t="s">
        <v>7</v>
      </c>
      <c r="LG579" s="27" t="s">
        <v>8</v>
      </c>
      <c r="LH579" s="27" t="s">
        <v>7</v>
      </c>
      <c r="LQ579" s="27" t="s">
        <v>8</v>
      </c>
      <c r="LR579" s="27" t="s">
        <v>7</v>
      </c>
      <c r="LS579" s="27" t="s">
        <v>8</v>
      </c>
      <c r="LT579" s="27" t="s">
        <v>7</v>
      </c>
      <c r="LU579" s="27" t="s">
        <v>8</v>
      </c>
      <c r="LV579" s="27" t="s">
        <v>7</v>
      </c>
      <c r="LX579" s="27" t="s">
        <v>7</v>
      </c>
      <c r="LY579" s="27" t="s">
        <v>8</v>
      </c>
      <c r="LZ579" s="27" t="s">
        <v>7</v>
      </c>
      <c r="MA579" s="27" t="s">
        <v>8</v>
      </c>
      <c r="ND579" s="27" t="s">
        <v>7</v>
      </c>
      <c r="NE579" s="27" t="s">
        <v>8</v>
      </c>
      <c r="NF579" s="27" t="s">
        <v>7</v>
      </c>
      <c r="NG579" s="27" t="s">
        <v>8</v>
      </c>
      <c r="NH579" s="27" t="s">
        <v>7</v>
      </c>
      <c r="NI579" s="27" t="s">
        <v>8</v>
      </c>
      <c r="NJ579" s="27" t="s">
        <v>7</v>
      </c>
      <c r="NM579" s="27" t="s">
        <v>8</v>
      </c>
      <c r="NN579" s="27" t="s">
        <v>7</v>
      </c>
      <c r="OY579" s="27" t="s">
        <v>8</v>
      </c>
      <c r="OZ579" s="27" t="s">
        <v>7</v>
      </c>
      <c r="PC579" s="27" t="s">
        <v>8</v>
      </c>
      <c r="PD579" s="27" t="s">
        <v>7</v>
      </c>
      <c r="QE579" s="27" t="s">
        <v>8</v>
      </c>
      <c r="QF579" s="27" t="s">
        <v>7</v>
      </c>
    </row>
    <row r="580" spans="1:460" x14ac:dyDescent="0.25">
      <c r="A580" s="7">
        <v>1.14868566764928</v>
      </c>
      <c r="B580"/>
      <c r="C580"/>
      <c r="D580"/>
      <c r="E580" t="s">
        <v>8</v>
      </c>
      <c r="J580" s="27" t="s">
        <v>7</v>
      </c>
      <c r="AY580" s="27" t="s">
        <v>8</v>
      </c>
      <c r="AZ580" s="27" t="s">
        <v>7</v>
      </c>
      <c r="BI580" s="27" t="s">
        <v>8</v>
      </c>
      <c r="BK580" s="27" t="s">
        <v>8</v>
      </c>
      <c r="BN580" s="27" t="s">
        <v>7</v>
      </c>
      <c r="BO580" s="27" t="s">
        <v>8</v>
      </c>
      <c r="BX580" s="27" t="s">
        <v>7</v>
      </c>
      <c r="BY580" s="27" t="s">
        <v>8</v>
      </c>
      <c r="BZ580" s="27" t="s">
        <v>7</v>
      </c>
      <c r="CA580" s="27" t="s">
        <v>8</v>
      </c>
      <c r="CB580" s="27" t="s">
        <v>7</v>
      </c>
      <c r="CE580" s="27" t="s">
        <v>8</v>
      </c>
      <c r="CF580" s="27" t="s">
        <v>7</v>
      </c>
      <c r="CG580" s="27" t="s">
        <v>8</v>
      </c>
      <c r="DH580" s="27" t="s">
        <v>7</v>
      </c>
      <c r="EQ580" s="27" t="s">
        <v>8</v>
      </c>
      <c r="ER580" s="27" t="s">
        <v>7</v>
      </c>
      <c r="LC580" s="27" t="s">
        <v>8</v>
      </c>
      <c r="LD580" s="27" t="s">
        <v>7</v>
      </c>
      <c r="LE580" s="27" t="s">
        <v>8</v>
      </c>
      <c r="LF580" s="27" t="s">
        <v>7</v>
      </c>
      <c r="LG580" s="27" t="s">
        <v>8</v>
      </c>
      <c r="LH580" s="27" t="s">
        <v>7</v>
      </c>
      <c r="LQ580" s="27" t="s">
        <v>8</v>
      </c>
      <c r="LR580" s="27" t="s">
        <v>7</v>
      </c>
      <c r="LS580" s="27" t="s">
        <v>8</v>
      </c>
      <c r="LT580" s="27" t="s">
        <v>7</v>
      </c>
      <c r="LU580" s="27" t="s">
        <v>8</v>
      </c>
      <c r="LX580" s="27" t="s">
        <v>7</v>
      </c>
      <c r="LZ580" s="27" t="s">
        <v>7</v>
      </c>
      <c r="MA580" s="27" t="s">
        <v>8</v>
      </c>
      <c r="ND580" s="27" t="s">
        <v>7</v>
      </c>
      <c r="NE580" s="27" t="s">
        <v>8</v>
      </c>
      <c r="NF580" s="27" t="s">
        <v>7</v>
      </c>
      <c r="NG580" s="27" t="s">
        <v>8</v>
      </c>
      <c r="NH580" s="27" t="s">
        <v>7</v>
      </c>
      <c r="NI580" s="27" t="s">
        <v>8</v>
      </c>
      <c r="NJ580" s="27" t="s">
        <v>7</v>
      </c>
      <c r="NK580" s="27" t="s">
        <v>8</v>
      </c>
      <c r="NM580" s="27" t="s">
        <v>8</v>
      </c>
      <c r="NN580" s="27" t="s">
        <v>7</v>
      </c>
      <c r="OW580" s="27" t="s">
        <v>8</v>
      </c>
      <c r="OY580" s="27" t="s">
        <v>8</v>
      </c>
      <c r="OZ580" s="27" t="s">
        <v>7</v>
      </c>
      <c r="PC580" s="27" t="s">
        <v>8</v>
      </c>
      <c r="PD580" s="27" t="s">
        <v>7</v>
      </c>
      <c r="QC580" s="27" t="s">
        <v>8</v>
      </c>
      <c r="QE580" s="27" t="s">
        <v>8</v>
      </c>
      <c r="QF580" s="27" t="s">
        <v>7</v>
      </c>
    </row>
    <row r="581" spans="1:460" x14ac:dyDescent="0.25">
      <c r="A581" s="7">
        <v>1.1261624192640001</v>
      </c>
      <c r="B581"/>
      <c r="C581"/>
      <c r="D581"/>
      <c r="E581" t="s">
        <v>8</v>
      </c>
      <c r="J581" s="27" t="s">
        <v>7</v>
      </c>
      <c r="AY581" s="27" t="s">
        <v>8</v>
      </c>
      <c r="AZ581" s="27" t="s">
        <v>7</v>
      </c>
      <c r="BI581" s="27" t="s">
        <v>8</v>
      </c>
      <c r="BJ581" s="27" t="s">
        <v>7</v>
      </c>
      <c r="BK581" s="27" t="s">
        <v>8</v>
      </c>
      <c r="BN581" s="27" t="s">
        <v>7</v>
      </c>
      <c r="BO581" s="27" t="s">
        <v>8</v>
      </c>
      <c r="BX581" s="27" t="s">
        <v>7</v>
      </c>
      <c r="BY581" s="27" t="s">
        <v>8</v>
      </c>
      <c r="BZ581" s="27" t="s">
        <v>7</v>
      </c>
      <c r="CA581" s="27" t="s">
        <v>8</v>
      </c>
      <c r="CB581" s="27" t="s">
        <v>7</v>
      </c>
      <c r="CE581" s="27" t="s">
        <v>8</v>
      </c>
      <c r="CF581" s="27" t="s">
        <v>7</v>
      </c>
      <c r="DH581" s="27" t="s">
        <v>7</v>
      </c>
      <c r="DI581" s="27" t="s">
        <v>8</v>
      </c>
      <c r="EQ581" s="27" t="s">
        <v>8</v>
      </c>
      <c r="ER581" s="27" t="s">
        <v>7</v>
      </c>
      <c r="LC581" s="27" t="s">
        <v>8</v>
      </c>
      <c r="LD581" s="27" t="s">
        <v>7</v>
      </c>
      <c r="LE581" s="27" t="s">
        <v>8</v>
      </c>
      <c r="LF581" s="27" t="s">
        <v>7</v>
      </c>
      <c r="LG581" s="27" t="s">
        <v>8</v>
      </c>
      <c r="LH581" s="27" t="s">
        <v>7</v>
      </c>
      <c r="LQ581" s="27" t="s">
        <v>8</v>
      </c>
      <c r="LR581" s="27" t="s">
        <v>7</v>
      </c>
      <c r="LS581" s="27" t="s">
        <v>8</v>
      </c>
      <c r="LT581" s="27" t="s">
        <v>7</v>
      </c>
      <c r="LU581" s="27" t="s">
        <v>8</v>
      </c>
      <c r="LZ581" s="27" t="s">
        <v>7</v>
      </c>
      <c r="ND581" s="27" t="s">
        <v>7</v>
      </c>
      <c r="NE581" s="27" t="s">
        <v>8</v>
      </c>
      <c r="NF581" s="27" t="s">
        <v>7</v>
      </c>
      <c r="NG581" s="27" t="s">
        <v>8</v>
      </c>
      <c r="NH581" s="27" t="s">
        <v>7</v>
      </c>
      <c r="NI581" s="27" t="s">
        <v>8</v>
      </c>
      <c r="NJ581" s="27" t="s">
        <v>7</v>
      </c>
      <c r="NK581" s="27" t="s">
        <v>8</v>
      </c>
      <c r="NL581" s="27" t="s">
        <v>7</v>
      </c>
      <c r="NM581" s="27" t="s">
        <v>8</v>
      </c>
      <c r="NN581" s="27" t="s">
        <v>7</v>
      </c>
      <c r="NO581" s="27" t="s">
        <v>8</v>
      </c>
      <c r="OW581" s="27" t="s">
        <v>8</v>
      </c>
      <c r="OX581" s="27" t="s">
        <v>7</v>
      </c>
      <c r="OY581" s="27" t="s">
        <v>8</v>
      </c>
      <c r="OZ581" s="27" t="s">
        <v>7</v>
      </c>
      <c r="PC581" s="27" t="s">
        <v>8</v>
      </c>
      <c r="PD581" s="27" t="s">
        <v>7</v>
      </c>
      <c r="PQ581" s="27" t="s">
        <v>8</v>
      </c>
      <c r="QA581" s="27" t="s">
        <v>8</v>
      </c>
      <c r="QC581" s="27" t="s">
        <v>8</v>
      </c>
      <c r="QD581" s="27" t="s">
        <v>7</v>
      </c>
      <c r="QE581" s="27" t="s">
        <v>8</v>
      </c>
      <c r="QF581" s="27" t="s">
        <v>7</v>
      </c>
    </row>
    <row r="582" spans="1:460" x14ac:dyDescent="0.25">
      <c r="A582" s="7">
        <v>1.1040808032</v>
      </c>
      <c r="B582"/>
      <c r="C582"/>
      <c r="D582"/>
      <c r="E582" t="s">
        <v>8</v>
      </c>
      <c r="J582" s="27" t="s">
        <v>7</v>
      </c>
      <c r="AY582" s="27" t="s">
        <v>8</v>
      </c>
      <c r="AZ582" s="27" t="s">
        <v>7</v>
      </c>
      <c r="BI582" s="27" t="s">
        <v>8</v>
      </c>
      <c r="BJ582" s="27" t="s">
        <v>7</v>
      </c>
      <c r="BK582" s="27" t="s">
        <v>8</v>
      </c>
      <c r="BN582" s="27" t="s">
        <v>7</v>
      </c>
      <c r="BX582" s="27" t="s">
        <v>7</v>
      </c>
      <c r="BY582" s="27" t="s">
        <v>8</v>
      </c>
      <c r="BZ582" s="27" t="s">
        <v>7</v>
      </c>
      <c r="CA582" s="27" t="s">
        <v>8</v>
      </c>
      <c r="CB582" s="27" t="s">
        <v>7</v>
      </c>
      <c r="CC582" s="27" t="s">
        <v>8</v>
      </c>
      <c r="CE582" s="27" t="s">
        <v>8</v>
      </c>
      <c r="DH582" s="27" t="s">
        <v>7</v>
      </c>
      <c r="DI582" s="27" t="s">
        <v>8</v>
      </c>
      <c r="DJ582" s="27" t="s">
        <v>7</v>
      </c>
      <c r="EQ582" s="27" t="s">
        <v>8</v>
      </c>
      <c r="ER582" s="27" t="s">
        <v>7</v>
      </c>
      <c r="LC582" s="27" t="s">
        <v>8</v>
      </c>
      <c r="LD582" s="27" t="s">
        <v>7</v>
      </c>
      <c r="LE582" s="27" t="s">
        <v>8</v>
      </c>
      <c r="LF582" s="27" t="s">
        <v>7</v>
      </c>
      <c r="LG582" s="27" t="s">
        <v>8</v>
      </c>
      <c r="LH582" s="27" t="s">
        <v>7</v>
      </c>
      <c r="LQ582" s="27" t="s">
        <v>8</v>
      </c>
      <c r="LR582" s="27" t="s">
        <v>7</v>
      </c>
      <c r="LS582" s="27" t="s">
        <v>8</v>
      </c>
      <c r="LT582" s="27" t="s">
        <v>7</v>
      </c>
      <c r="LU582" s="27" t="s">
        <v>8</v>
      </c>
      <c r="ND582" s="27" t="s">
        <v>7</v>
      </c>
      <c r="NE582" s="27" t="s">
        <v>8</v>
      </c>
      <c r="NF582" s="27" t="s">
        <v>7</v>
      </c>
      <c r="NG582" s="27" t="s">
        <v>8</v>
      </c>
      <c r="NH582" s="27" t="s">
        <v>7</v>
      </c>
      <c r="NI582" s="27" t="s">
        <v>8</v>
      </c>
      <c r="NJ582" s="27" t="s">
        <v>7</v>
      </c>
      <c r="NK582" s="27" t="s">
        <v>8</v>
      </c>
      <c r="NL582" s="27" t="s">
        <v>7</v>
      </c>
      <c r="NM582" s="27" t="s">
        <v>8</v>
      </c>
      <c r="NN582" s="27" t="s">
        <v>7</v>
      </c>
      <c r="NO582" s="27" t="s">
        <v>8</v>
      </c>
      <c r="NP582" s="27" t="s">
        <v>7</v>
      </c>
      <c r="OW582" s="27" t="s">
        <v>8</v>
      </c>
      <c r="OX582" s="27" t="s">
        <v>7</v>
      </c>
      <c r="OY582" s="27" t="s">
        <v>8</v>
      </c>
      <c r="OZ582" s="27" t="s">
        <v>7</v>
      </c>
      <c r="PA582" s="27" t="s">
        <v>8</v>
      </c>
      <c r="PC582" s="27" t="s">
        <v>8</v>
      </c>
      <c r="PD582" s="27" t="s">
        <v>7</v>
      </c>
      <c r="PQ582" s="27" t="s">
        <v>8</v>
      </c>
      <c r="PR582" s="27" t="s">
        <v>7</v>
      </c>
      <c r="QA582" s="27" t="s">
        <v>8</v>
      </c>
      <c r="QB582" s="27" t="s">
        <v>7</v>
      </c>
      <c r="QC582" s="27" t="s">
        <v>8</v>
      </c>
      <c r="QD582" s="27" t="s">
        <v>7</v>
      </c>
      <c r="QE582" s="27" t="s">
        <v>8</v>
      </c>
      <c r="QF582" s="27" t="s">
        <v>7</v>
      </c>
      <c r="QI582" s="27" t="s">
        <v>8</v>
      </c>
    </row>
    <row r="583" spans="1:460" x14ac:dyDescent="0.25">
      <c r="A583" s="7">
        <v>1.08243216</v>
      </c>
      <c r="B583"/>
      <c r="C583"/>
      <c r="D583"/>
      <c r="E583" t="s">
        <v>8</v>
      </c>
      <c r="J583" s="27" t="s">
        <v>7</v>
      </c>
      <c r="K583" s="27" t="s">
        <v>8</v>
      </c>
      <c r="AY583" s="27" t="s">
        <v>8</v>
      </c>
      <c r="AZ583" s="27" t="s">
        <v>7</v>
      </c>
      <c r="BI583" s="27" t="s">
        <v>8</v>
      </c>
      <c r="BJ583" s="27" t="s">
        <v>7</v>
      </c>
      <c r="BK583" s="27" t="s">
        <v>8</v>
      </c>
      <c r="BX583" s="27" t="s">
        <v>7</v>
      </c>
      <c r="BY583" s="27" t="s">
        <v>8</v>
      </c>
      <c r="BZ583" s="27" t="s">
        <v>7</v>
      </c>
      <c r="CA583" s="27" t="s">
        <v>8</v>
      </c>
      <c r="CB583" s="27" t="s">
        <v>7</v>
      </c>
      <c r="CC583" s="27" t="s">
        <v>8</v>
      </c>
      <c r="CD583" s="27" t="s">
        <v>7</v>
      </c>
      <c r="CE583" s="27" t="s">
        <v>8</v>
      </c>
      <c r="DH583" s="27" t="s">
        <v>7</v>
      </c>
      <c r="DI583" s="27" t="s">
        <v>8</v>
      </c>
      <c r="DJ583" s="27" t="s">
        <v>7</v>
      </c>
      <c r="DM583" s="27" t="s">
        <v>8</v>
      </c>
      <c r="DO583" s="27" t="s">
        <v>8</v>
      </c>
      <c r="EQ583" s="27" t="s">
        <v>8</v>
      </c>
      <c r="ER583" s="27" t="s">
        <v>7</v>
      </c>
      <c r="LC583" s="27" t="s">
        <v>8</v>
      </c>
      <c r="LD583" s="27" t="s">
        <v>7</v>
      </c>
      <c r="LE583" s="27" t="s">
        <v>8</v>
      </c>
      <c r="LF583" s="27" t="s">
        <v>7</v>
      </c>
      <c r="LG583" s="27" t="s">
        <v>8</v>
      </c>
      <c r="LH583" s="27" t="s">
        <v>7</v>
      </c>
      <c r="LI583" s="27" t="s">
        <v>8</v>
      </c>
      <c r="LO583" s="27" t="s">
        <v>8</v>
      </c>
      <c r="LQ583" s="27" t="s">
        <v>8</v>
      </c>
      <c r="LR583" s="27" t="s">
        <v>7</v>
      </c>
      <c r="LS583" s="27" t="s">
        <v>8</v>
      </c>
      <c r="LT583" s="27" t="s">
        <v>7</v>
      </c>
      <c r="ND583" s="27" t="s">
        <v>7</v>
      </c>
      <c r="NE583" s="27" t="s">
        <v>8</v>
      </c>
      <c r="NF583" s="27" t="s">
        <v>7</v>
      </c>
      <c r="NH583" s="27" t="s">
        <v>7</v>
      </c>
      <c r="NI583" s="27" t="s">
        <v>8</v>
      </c>
      <c r="NJ583" s="27" t="s">
        <v>7</v>
      </c>
      <c r="NK583" s="27" t="s">
        <v>8</v>
      </c>
      <c r="NL583" s="27" t="s">
        <v>7</v>
      </c>
      <c r="NN583" s="27" t="s">
        <v>7</v>
      </c>
      <c r="NO583" s="27" t="s">
        <v>8</v>
      </c>
      <c r="NP583" s="27" t="s">
        <v>7</v>
      </c>
      <c r="OW583" s="27" t="s">
        <v>8</v>
      </c>
      <c r="OX583" s="27" t="s">
        <v>7</v>
      </c>
      <c r="OY583" s="27" t="s">
        <v>8</v>
      </c>
      <c r="OZ583" s="27" t="s">
        <v>7</v>
      </c>
      <c r="PA583" s="27" t="s">
        <v>8</v>
      </c>
      <c r="PB583" s="27" t="s">
        <v>7</v>
      </c>
      <c r="PC583" s="27" t="s">
        <v>8</v>
      </c>
      <c r="PD583" s="27" t="s">
        <v>7</v>
      </c>
      <c r="PQ583" s="27" t="s">
        <v>8</v>
      </c>
      <c r="PR583" s="27" t="s">
        <v>7</v>
      </c>
      <c r="QA583" s="27" t="s">
        <v>8</v>
      </c>
      <c r="QB583" s="27" t="s">
        <v>7</v>
      </c>
      <c r="QC583" s="27" t="s">
        <v>8</v>
      </c>
      <c r="QD583" s="27" t="s">
        <v>7</v>
      </c>
      <c r="QE583" s="27" t="s">
        <v>8</v>
      </c>
      <c r="QF583" s="27" t="s">
        <v>7</v>
      </c>
      <c r="QG583" s="27" t="s">
        <v>8</v>
      </c>
      <c r="QI583" s="27" t="s">
        <v>8</v>
      </c>
      <c r="QJ583" s="27" t="s">
        <v>7</v>
      </c>
      <c r="QO583" s="27" t="s">
        <v>8</v>
      </c>
    </row>
    <row r="584" spans="1:460" x14ac:dyDescent="0.25">
      <c r="A584" s="7">
        <v>1.0612079999999999</v>
      </c>
      <c r="B584"/>
      <c r="C584"/>
      <c r="D584"/>
      <c r="E584" t="s">
        <v>8</v>
      </c>
      <c r="J584" s="27" t="s">
        <v>7</v>
      </c>
      <c r="K584" s="27" t="s">
        <v>8</v>
      </c>
      <c r="L584" s="27" t="s">
        <v>7</v>
      </c>
      <c r="AY584" s="27" t="s">
        <v>8</v>
      </c>
      <c r="AZ584" s="27" t="s">
        <v>7</v>
      </c>
      <c r="BI584" s="27" t="s">
        <v>8</v>
      </c>
      <c r="BJ584" s="27" t="s">
        <v>7</v>
      </c>
      <c r="BX584" s="27" t="s">
        <v>7</v>
      </c>
      <c r="BY584" s="27" t="s">
        <v>8</v>
      </c>
      <c r="BZ584" s="27" t="s">
        <v>7</v>
      </c>
      <c r="CA584" s="27" t="s">
        <v>8</v>
      </c>
      <c r="CB584" s="27" t="s">
        <v>7</v>
      </c>
      <c r="CC584" s="27" t="s">
        <v>8</v>
      </c>
      <c r="CD584" s="27" t="s">
        <v>7</v>
      </c>
      <c r="CE584" s="27" t="s">
        <v>8</v>
      </c>
      <c r="DH584" s="27" t="s">
        <v>7</v>
      </c>
      <c r="DI584" s="27" t="s">
        <v>8</v>
      </c>
      <c r="DJ584" s="27" t="s">
        <v>7</v>
      </c>
      <c r="DM584" s="27" t="s">
        <v>8</v>
      </c>
      <c r="DN584" s="27" t="s">
        <v>7</v>
      </c>
      <c r="DO584" s="27" t="s">
        <v>8</v>
      </c>
      <c r="DP584" s="27" t="s">
        <v>7</v>
      </c>
      <c r="EQ584" s="27" t="s">
        <v>8</v>
      </c>
      <c r="ER584" s="27" t="s">
        <v>7</v>
      </c>
      <c r="FY584" s="27" t="s">
        <v>8</v>
      </c>
      <c r="LC584" s="27" t="s">
        <v>8</v>
      </c>
      <c r="LD584" s="27" t="s">
        <v>7</v>
      </c>
      <c r="LE584" s="27" t="s">
        <v>8</v>
      </c>
      <c r="LF584" s="27" t="s">
        <v>7</v>
      </c>
      <c r="LG584" s="27" t="s">
        <v>8</v>
      </c>
      <c r="LH584" s="27" t="s">
        <v>7</v>
      </c>
      <c r="LI584" s="27" t="s">
        <v>8</v>
      </c>
      <c r="LJ584" s="27" t="s">
        <v>7</v>
      </c>
      <c r="LM584" s="27" t="s">
        <v>8</v>
      </c>
      <c r="LO584" s="27" t="s">
        <v>8</v>
      </c>
      <c r="LP584" s="27" t="s">
        <v>7</v>
      </c>
      <c r="LQ584" s="27" t="s">
        <v>8</v>
      </c>
      <c r="LR584" s="27" t="s">
        <v>7</v>
      </c>
      <c r="LS584" s="27" t="s">
        <v>8</v>
      </c>
      <c r="ND584" s="27" t="s">
        <v>7</v>
      </c>
      <c r="NE584" s="27" t="s">
        <v>8</v>
      </c>
      <c r="NH584" s="27" t="s">
        <v>7</v>
      </c>
      <c r="NI584" s="27" t="s">
        <v>8</v>
      </c>
      <c r="NJ584" s="27" t="s">
        <v>7</v>
      </c>
      <c r="NK584" s="27" t="s">
        <v>8</v>
      </c>
      <c r="NN584" s="27" t="s">
        <v>7</v>
      </c>
      <c r="NO584" s="27" t="s">
        <v>8</v>
      </c>
      <c r="NP584" s="27" t="s">
        <v>7</v>
      </c>
      <c r="OW584" s="27" t="s">
        <v>8</v>
      </c>
      <c r="OX584" s="27" t="s">
        <v>7</v>
      </c>
      <c r="OY584" s="27" t="s">
        <v>8</v>
      </c>
      <c r="OZ584" s="27" t="s">
        <v>7</v>
      </c>
      <c r="PA584" s="27" t="s">
        <v>8</v>
      </c>
      <c r="PB584" s="27" t="s">
        <v>7</v>
      </c>
      <c r="PC584" s="27" t="s">
        <v>8</v>
      </c>
      <c r="PD584" s="27" t="s">
        <v>7</v>
      </c>
      <c r="PE584" s="27" t="s">
        <v>8</v>
      </c>
      <c r="PQ584" s="27" t="s">
        <v>8</v>
      </c>
      <c r="PR584" s="27" t="s">
        <v>7</v>
      </c>
      <c r="QA584" s="27" t="s">
        <v>8</v>
      </c>
      <c r="QB584" s="27" t="s">
        <v>7</v>
      </c>
      <c r="QC584" s="27" t="s">
        <v>8</v>
      </c>
      <c r="QD584" s="27" t="s">
        <v>7</v>
      </c>
      <c r="QE584" s="27" t="s">
        <v>8</v>
      </c>
      <c r="QF584" s="27" t="s">
        <v>7</v>
      </c>
      <c r="QG584" s="27" t="s">
        <v>8</v>
      </c>
      <c r="QH584" s="27" t="s">
        <v>7</v>
      </c>
      <c r="QI584" s="27" t="s">
        <v>8</v>
      </c>
      <c r="QJ584" s="27" t="s">
        <v>7</v>
      </c>
      <c r="QO584" s="27" t="s">
        <v>8</v>
      </c>
      <c r="QP584" s="27" t="s">
        <v>7</v>
      </c>
    </row>
    <row r="585" spans="1:460" x14ac:dyDescent="0.25">
      <c r="A585" s="7">
        <v>1.0404</v>
      </c>
      <c r="B585"/>
      <c r="C585"/>
      <c r="D585"/>
      <c r="E585" t="s">
        <v>8</v>
      </c>
      <c r="J585" s="27" t="s">
        <v>7</v>
      </c>
      <c r="K585" s="27" t="s">
        <v>8</v>
      </c>
      <c r="L585" s="27" t="s">
        <v>7</v>
      </c>
      <c r="AY585" s="27" t="s">
        <v>8</v>
      </c>
      <c r="AZ585" s="27" t="s">
        <v>7</v>
      </c>
      <c r="BC585" s="27" t="s">
        <v>8</v>
      </c>
      <c r="BE585" s="27" t="s">
        <v>8</v>
      </c>
      <c r="BG585" s="27" t="s">
        <v>8</v>
      </c>
      <c r="BI585" s="27" t="s">
        <v>8</v>
      </c>
      <c r="BX585" s="27" t="s">
        <v>7</v>
      </c>
      <c r="BY585" s="27" t="s">
        <v>8</v>
      </c>
      <c r="BZ585" s="27" t="s">
        <v>7</v>
      </c>
      <c r="CA585" s="27" t="s">
        <v>8</v>
      </c>
      <c r="CB585" s="27" t="s">
        <v>7</v>
      </c>
      <c r="CC585" s="27" t="s">
        <v>8</v>
      </c>
      <c r="CD585" s="27" t="s">
        <v>7</v>
      </c>
      <c r="CE585" s="27" t="s">
        <v>8</v>
      </c>
      <c r="DH585" s="27" t="s">
        <v>7</v>
      </c>
      <c r="DI585" s="27" t="s">
        <v>8</v>
      </c>
      <c r="DJ585" s="27" t="s">
        <v>7</v>
      </c>
      <c r="DM585" s="27" t="s">
        <v>8</v>
      </c>
      <c r="DN585" s="27" t="s">
        <v>7</v>
      </c>
      <c r="DO585" s="27" t="s">
        <v>8</v>
      </c>
      <c r="DP585" s="27" t="s">
        <v>7</v>
      </c>
      <c r="EQ585" s="27" t="s">
        <v>8</v>
      </c>
      <c r="ER585" s="27" t="s">
        <v>7</v>
      </c>
      <c r="FY585" s="27" t="s">
        <v>8</v>
      </c>
      <c r="FZ585" s="27" t="s">
        <v>7</v>
      </c>
      <c r="LC585" s="27" t="s">
        <v>8</v>
      </c>
      <c r="LD585" s="27" t="s">
        <v>7</v>
      </c>
      <c r="LE585" s="27" t="s">
        <v>8</v>
      </c>
      <c r="LF585" s="27" t="s">
        <v>7</v>
      </c>
      <c r="LH585" s="27" t="s">
        <v>7</v>
      </c>
      <c r="LI585" s="27" t="s">
        <v>8</v>
      </c>
      <c r="LJ585" s="27" t="s">
        <v>7</v>
      </c>
      <c r="LM585" s="27" t="s">
        <v>8</v>
      </c>
      <c r="LN585" s="27" t="s">
        <v>7</v>
      </c>
      <c r="LO585" s="27" t="s">
        <v>8</v>
      </c>
      <c r="LP585" s="27" t="s">
        <v>7</v>
      </c>
      <c r="LQ585" s="27" t="s">
        <v>8</v>
      </c>
      <c r="LR585" s="27" t="s">
        <v>7</v>
      </c>
      <c r="LS585" s="27" t="s">
        <v>8</v>
      </c>
      <c r="ND585" s="27" t="s">
        <v>7</v>
      </c>
      <c r="NE585" s="27" t="s">
        <v>8</v>
      </c>
      <c r="NH585" s="27" t="s">
        <v>7</v>
      </c>
      <c r="NI585" s="27" t="s">
        <v>8</v>
      </c>
      <c r="NJ585" s="27" t="s">
        <v>7</v>
      </c>
      <c r="NK585" s="27" t="s">
        <v>8</v>
      </c>
      <c r="NN585" s="27" t="s">
        <v>7</v>
      </c>
      <c r="NP585" s="27" t="s">
        <v>7</v>
      </c>
      <c r="NQ585" s="27" t="s">
        <v>8</v>
      </c>
      <c r="OU585" s="27" t="s">
        <v>8</v>
      </c>
      <c r="OW585" s="27" t="s">
        <v>8</v>
      </c>
      <c r="OX585" s="27" t="s">
        <v>7</v>
      </c>
      <c r="OY585" s="27" t="s">
        <v>8</v>
      </c>
      <c r="OZ585" s="27" t="s">
        <v>7</v>
      </c>
      <c r="PA585" s="27" t="s">
        <v>8</v>
      </c>
      <c r="PB585" s="27" t="s">
        <v>7</v>
      </c>
      <c r="PC585" s="27" t="s">
        <v>8</v>
      </c>
      <c r="PD585" s="27" t="s">
        <v>7</v>
      </c>
      <c r="PE585" s="27" t="s">
        <v>8</v>
      </c>
      <c r="PF585" s="27" t="s">
        <v>7</v>
      </c>
      <c r="PI585" s="27" t="s">
        <v>8</v>
      </c>
      <c r="PQ585" s="27" t="s">
        <v>8</v>
      </c>
      <c r="PR585" s="27" t="s">
        <v>7</v>
      </c>
      <c r="QA585" s="27" t="s">
        <v>8</v>
      </c>
      <c r="QB585" s="27" t="s">
        <v>7</v>
      </c>
      <c r="QC585" s="27" t="s">
        <v>8</v>
      </c>
      <c r="QD585" s="27" t="s">
        <v>7</v>
      </c>
      <c r="QF585" s="27" t="s">
        <v>7</v>
      </c>
      <c r="QG585" s="27" t="s">
        <v>8</v>
      </c>
      <c r="QH585" s="27" t="s">
        <v>7</v>
      </c>
      <c r="QI585" s="27" t="s">
        <v>8</v>
      </c>
      <c r="QJ585" s="27" t="s">
        <v>7</v>
      </c>
      <c r="QO585" s="27" t="s">
        <v>8</v>
      </c>
      <c r="QP585" s="27" t="s">
        <v>7</v>
      </c>
      <c r="QQ585" s="27" t="s">
        <v>8</v>
      </c>
    </row>
    <row r="586" spans="1:460" x14ac:dyDescent="0.25">
      <c r="A586" s="7">
        <v>1.02</v>
      </c>
      <c r="B586"/>
      <c r="C586"/>
      <c r="D586"/>
      <c r="E586" t="s">
        <v>8</v>
      </c>
      <c r="J586" s="27" t="s">
        <v>7</v>
      </c>
      <c r="K586" s="27" t="s">
        <v>8</v>
      </c>
      <c r="L586" s="27" t="s">
        <v>7</v>
      </c>
      <c r="AY586" s="27" t="s">
        <v>8</v>
      </c>
      <c r="AZ586" s="27" t="s">
        <v>7</v>
      </c>
      <c r="BC586" s="27" t="s">
        <v>8</v>
      </c>
      <c r="BD586" s="27" t="s">
        <v>7</v>
      </c>
      <c r="BE586" s="27" t="s">
        <v>8</v>
      </c>
      <c r="BF586" s="27" t="s">
        <v>7</v>
      </c>
      <c r="BG586" s="27" t="s">
        <v>8</v>
      </c>
      <c r="BH586" s="27" t="s">
        <v>7</v>
      </c>
      <c r="BI586" s="27" t="s">
        <v>8</v>
      </c>
      <c r="BX586" s="27" t="s">
        <v>7</v>
      </c>
      <c r="BY586" s="27" t="s">
        <v>8</v>
      </c>
      <c r="BZ586" s="27" t="s">
        <v>7</v>
      </c>
      <c r="CB586" s="27" t="s">
        <v>7</v>
      </c>
      <c r="CD586" s="27" t="s">
        <v>7</v>
      </c>
      <c r="CE586" s="27" t="s">
        <v>8</v>
      </c>
      <c r="DH586" s="27" t="s">
        <v>7</v>
      </c>
      <c r="DJ586" s="27" t="s">
        <v>7</v>
      </c>
      <c r="DM586" s="27" t="s">
        <v>8</v>
      </c>
      <c r="DN586" s="27" t="s">
        <v>7</v>
      </c>
      <c r="DO586" s="27" t="s">
        <v>8</v>
      </c>
      <c r="DP586" s="27" t="s">
        <v>7</v>
      </c>
      <c r="DQ586" s="27" t="s">
        <v>8</v>
      </c>
      <c r="EQ586" s="27" t="s">
        <v>8</v>
      </c>
      <c r="ER586" s="27" t="s">
        <v>7</v>
      </c>
      <c r="FY586" s="27" t="s">
        <v>8</v>
      </c>
      <c r="FZ586" s="27" t="s">
        <v>7</v>
      </c>
      <c r="LC586" s="27" t="s">
        <v>8</v>
      </c>
      <c r="LD586" s="27" t="s">
        <v>7</v>
      </c>
      <c r="LE586" s="27" t="s">
        <v>8</v>
      </c>
      <c r="LH586" s="27" t="s">
        <v>7</v>
      </c>
      <c r="LI586" s="27" t="s">
        <v>8</v>
      </c>
      <c r="LJ586" s="27" t="s">
        <v>7</v>
      </c>
      <c r="LM586" s="27" t="s">
        <v>8</v>
      </c>
      <c r="LN586" s="27" t="s">
        <v>7</v>
      </c>
      <c r="LO586" s="27" t="s">
        <v>8</v>
      </c>
      <c r="LP586" s="27" t="s">
        <v>7</v>
      </c>
      <c r="LR586" s="27" t="s">
        <v>7</v>
      </c>
      <c r="ND586" s="27" t="s">
        <v>7</v>
      </c>
      <c r="NE586" s="27" t="s">
        <v>8</v>
      </c>
      <c r="NH586" s="27" t="s">
        <v>7</v>
      </c>
      <c r="NI586" s="27" t="s">
        <v>8</v>
      </c>
      <c r="NJ586" s="27" t="s">
        <v>7</v>
      </c>
      <c r="NK586" s="27" t="s">
        <v>8</v>
      </c>
      <c r="NP586" s="27" t="s">
        <v>7</v>
      </c>
      <c r="NQ586" s="27" t="s">
        <v>8</v>
      </c>
      <c r="NR586" s="27" t="s">
        <v>7</v>
      </c>
      <c r="OU586" s="27" t="s">
        <v>8</v>
      </c>
      <c r="OV586" s="27" t="s">
        <v>7</v>
      </c>
      <c r="OW586" s="27" t="s">
        <v>8</v>
      </c>
      <c r="OX586" s="27" t="s">
        <v>7</v>
      </c>
      <c r="OY586" s="27" t="s">
        <v>8</v>
      </c>
      <c r="OZ586" s="27" t="s">
        <v>7</v>
      </c>
      <c r="PA586" s="27" t="s">
        <v>8</v>
      </c>
      <c r="PB586" s="27" t="s">
        <v>7</v>
      </c>
      <c r="PD586" s="27" t="s">
        <v>7</v>
      </c>
      <c r="PE586" s="27" t="s">
        <v>8</v>
      </c>
      <c r="PF586" s="27" t="s">
        <v>7</v>
      </c>
      <c r="PG586" s="27" t="s">
        <v>8</v>
      </c>
      <c r="PI586" s="27" t="s">
        <v>8</v>
      </c>
      <c r="PJ586" s="27" t="s">
        <v>7</v>
      </c>
      <c r="PQ586" s="27" t="s">
        <v>8</v>
      </c>
      <c r="PR586" s="27" t="s">
        <v>7</v>
      </c>
      <c r="QA586" s="27" t="s">
        <v>8</v>
      </c>
      <c r="QB586" s="27" t="s">
        <v>7</v>
      </c>
      <c r="QF586" s="27" t="s">
        <v>7</v>
      </c>
      <c r="QG586" s="27" t="s">
        <v>8</v>
      </c>
      <c r="QH586" s="27" t="s">
        <v>7</v>
      </c>
      <c r="QJ586" s="27" t="s">
        <v>7</v>
      </c>
      <c r="QK586" s="27" t="s">
        <v>8</v>
      </c>
      <c r="QO586" s="27" t="s">
        <v>8</v>
      </c>
      <c r="QP586" s="27" t="s">
        <v>7</v>
      </c>
      <c r="QQ586" s="27" t="s">
        <v>8</v>
      </c>
      <c r="QR586" s="27" t="s">
        <v>7</v>
      </c>
    </row>
    <row r="587" spans="1:460" x14ac:dyDescent="0.25">
      <c r="A587" s="7">
        <v>1</v>
      </c>
      <c r="B587"/>
      <c r="C587"/>
      <c r="D587"/>
      <c r="E587" s="29" t="s">
        <v>8</v>
      </c>
      <c r="J587" s="27" t="s">
        <v>7</v>
      </c>
      <c r="K587" s="27" t="s">
        <v>8</v>
      </c>
      <c r="L587" s="27" t="s">
        <v>7</v>
      </c>
      <c r="AY587" s="27" t="s">
        <v>8</v>
      </c>
      <c r="AZ587" s="27" t="s">
        <v>7</v>
      </c>
      <c r="BC587" s="27" t="s">
        <v>8</v>
      </c>
      <c r="BD587" s="27" t="s">
        <v>7</v>
      </c>
      <c r="BE587" s="27" t="s">
        <v>8</v>
      </c>
      <c r="BF587" s="27" t="s">
        <v>7</v>
      </c>
      <c r="BG587" s="27" t="s">
        <v>8</v>
      </c>
      <c r="BH587" s="27" t="s">
        <v>7</v>
      </c>
      <c r="BI587" s="27" t="s">
        <v>8</v>
      </c>
      <c r="BX587" s="27" t="s">
        <v>7</v>
      </c>
      <c r="CD587" s="27" t="s">
        <v>7</v>
      </c>
      <c r="DJ587" s="27" t="s">
        <v>7</v>
      </c>
      <c r="DM587" s="27" t="s">
        <v>8</v>
      </c>
      <c r="DN587" s="27" t="s">
        <v>7</v>
      </c>
      <c r="DO587" s="27" t="s">
        <v>8</v>
      </c>
      <c r="DP587" s="27" t="s">
        <v>7</v>
      </c>
      <c r="DQ587" s="27" t="s">
        <v>8</v>
      </c>
      <c r="DR587" s="27" t="s">
        <v>7</v>
      </c>
      <c r="EQ587" s="27" t="s">
        <v>8</v>
      </c>
      <c r="ER587" s="27" t="s">
        <v>7</v>
      </c>
      <c r="FY587" s="27" t="s">
        <v>8</v>
      </c>
      <c r="FZ587" s="27" t="s">
        <v>7</v>
      </c>
      <c r="IQ587" s="27" t="s">
        <v>8</v>
      </c>
      <c r="LC587" s="27" t="s">
        <v>8</v>
      </c>
      <c r="LD587" s="27" t="s">
        <v>7</v>
      </c>
      <c r="LE587" s="27" t="s">
        <v>8</v>
      </c>
      <c r="LH587" s="27" t="s">
        <v>7</v>
      </c>
      <c r="LI587" s="27" t="s">
        <v>8</v>
      </c>
      <c r="LJ587" s="27" t="s">
        <v>7</v>
      </c>
      <c r="LM587" s="27" t="s">
        <v>8</v>
      </c>
      <c r="LN587" s="27" t="s">
        <v>7</v>
      </c>
      <c r="LO587" s="27" t="s">
        <v>8</v>
      </c>
      <c r="ND587" s="27" t="s">
        <v>7</v>
      </c>
      <c r="NE587" s="27" t="s">
        <v>8</v>
      </c>
      <c r="NH587" s="27" t="s">
        <v>7</v>
      </c>
      <c r="NI587" s="27" t="s">
        <v>8</v>
      </c>
      <c r="NJ587" s="27" t="s">
        <v>7</v>
      </c>
      <c r="NK587" s="27" t="s">
        <v>8</v>
      </c>
      <c r="NP587" s="27" t="s">
        <v>7</v>
      </c>
      <c r="NQ587" s="27" t="s">
        <v>8</v>
      </c>
      <c r="NR587" s="27" t="s">
        <v>7</v>
      </c>
      <c r="OU587" s="27" t="s">
        <v>8</v>
      </c>
      <c r="OV587" s="27" t="s">
        <v>7</v>
      </c>
      <c r="OW587" s="27" t="s">
        <v>8</v>
      </c>
      <c r="OX587" s="27" t="s">
        <v>7</v>
      </c>
      <c r="OY587" s="27" t="s">
        <v>8</v>
      </c>
      <c r="OZ587" s="27" t="s">
        <v>7</v>
      </c>
      <c r="PD587" s="27" t="s">
        <v>7</v>
      </c>
      <c r="PE587" s="27" t="s">
        <v>8</v>
      </c>
      <c r="PF587" s="27" t="s">
        <v>7</v>
      </c>
      <c r="PG587" s="27" t="s">
        <v>8</v>
      </c>
      <c r="PH587" s="27" t="s">
        <v>7</v>
      </c>
      <c r="PI587" s="27" t="s">
        <v>8</v>
      </c>
      <c r="PJ587" s="27" t="s">
        <v>7</v>
      </c>
      <c r="PQ587" s="27" t="s">
        <v>8</v>
      </c>
      <c r="PR587" s="27" t="s">
        <v>7</v>
      </c>
      <c r="PS587" s="27" t="s">
        <v>8</v>
      </c>
      <c r="PW587" s="27" t="s">
        <v>8</v>
      </c>
      <c r="QA587" s="27" t="s">
        <v>8</v>
      </c>
      <c r="QF587" s="27" t="s">
        <v>7</v>
      </c>
      <c r="QJ587" s="27" t="s">
        <v>7</v>
      </c>
      <c r="QK587" s="27" t="s">
        <v>8</v>
      </c>
      <c r="QL587" s="27" t="s">
        <v>7</v>
      </c>
      <c r="QM587" s="27" t="s">
        <v>8</v>
      </c>
      <c r="QO587" s="27" t="s">
        <v>8</v>
      </c>
      <c r="QP587" s="27" t="s">
        <v>7</v>
      </c>
      <c r="QQ587" s="27" t="s">
        <v>8</v>
      </c>
      <c r="QR587" s="27" t="s">
        <v>7</v>
      </c>
    </row>
    <row r="588" spans="1:460" x14ac:dyDescent="0.25">
      <c r="A588" s="7">
        <v>0.98039215686274506</v>
      </c>
      <c r="B588"/>
      <c r="C588"/>
      <c r="D588"/>
      <c r="E588"/>
      <c r="J588" s="27" t="s">
        <v>7</v>
      </c>
      <c r="K588" s="27" t="s">
        <v>8</v>
      </c>
      <c r="L588" s="27" t="s">
        <v>7</v>
      </c>
      <c r="AY588" s="27" t="s">
        <v>8</v>
      </c>
      <c r="AZ588" s="27" t="s">
        <v>7</v>
      </c>
      <c r="BC588" s="27" t="s">
        <v>8</v>
      </c>
      <c r="BD588" s="27" t="s">
        <v>7</v>
      </c>
      <c r="BE588" s="27" t="s">
        <v>8</v>
      </c>
      <c r="BF588" s="27" t="s">
        <v>7</v>
      </c>
      <c r="BG588" s="27" t="s">
        <v>8</v>
      </c>
      <c r="BH588" s="27" t="s">
        <v>7</v>
      </c>
      <c r="BI588" s="27" t="s">
        <v>8</v>
      </c>
      <c r="DJ588" s="27" t="s">
        <v>7</v>
      </c>
      <c r="DK588" s="27" t="s">
        <v>8</v>
      </c>
      <c r="DM588" s="27" t="s">
        <v>8</v>
      </c>
      <c r="DN588" s="27" t="s">
        <v>7</v>
      </c>
      <c r="DO588" s="27" t="s">
        <v>8</v>
      </c>
      <c r="DP588" s="27" t="s">
        <v>7</v>
      </c>
      <c r="DQ588" s="27" t="s">
        <v>8</v>
      </c>
      <c r="DR588" s="27" t="s">
        <v>7</v>
      </c>
      <c r="EQ588" s="27" t="s">
        <v>8</v>
      </c>
      <c r="ER588" s="27" t="s">
        <v>7</v>
      </c>
      <c r="FY588" s="27" t="s">
        <v>8</v>
      </c>
      <c r="FZ588" s="27" t="s">
        <v>7</v>
      </c>
      <c r="IQ588" s="27" t="s">
        <v>8</v>
      </c>
      <c r="IR588" s="27" t="s">
        <v>7</v>
      </c>
      <c r="LC588" s="27" t="s">
        <v>8</v>
      </c>
      <c r="LD588" s="27" t="s">
        <v>7</v>
      </c>
      <c r="LE588" s="27" t="s">
        <v>8</v>
      </c>
      <c r="LH588" s="27" t="s">
        <v>7</v>
      </c>
      <c r="LI588" s="27" t="s">
        <v>8</v>
      </c>
      <c r="LJ588" s="27" t="s">
        <v>7</v>
      </c>
      <c r="LM588" s="27" t="s">
        <v>8</v>
      </c>
      <c r="LN588" s="27" t="s">
        <v>7</v>
      </c>
      <c r="LO588" s="27" t="s">
        <v>8</v>
      </c>
      <c r="ND588" s="27" t="s">
        <v>7</v>
      </c>
      <c r="NE588" s="27" t="s">
        <v>8</v>
      </c>
      <c r="NH588" s="27" t="s">
        <v>7</v>
      </c>
      <c r="NI588" s="27" t="s">
        <v>8</v>
      </c>
      <c r="NJ588" s="27" t="s">
        <v>7</v>
      </c>
      <c r="NK588" s="27" t="s">
        <v>8</v>
      </c>
      <c r="NP588" s="27" t="s">
        <v>7</v>
      </c>
      <c r="NQ588" s="27" t="s">
        <v>8</v>
      </c>
      <c r="NR588" s="27" t="s">
        <v>7</v>
      </c>
      <c r="NS588" s="27" t="s">
        <v>8</v>
      </c>
      <c r="OU588" s="27" t="s">
        <v>8</v>
      </c>
      <c r="OV588" s="27" t="s">
        <v>7</v>
      </c>
      <c r="OW588" s="27" t="s">
        <v>8</v>
      </c>
      <c r="OX588" s="27" t="s">
        <v>7</v>
      </c>
      <c r="OY588" s="27" t="s">
        <v>8</v>
      </c>
      <c r="PD588" s="27" t="s">
        <v>7</v>
      </c>
      <c r="PE588" s="27" t="s">
        <v>8</v>
      </c>
      <c r="PF588" s="27" t="s">
        <v>7</v>
      </c>
      <c r="PG588" s="27" t="s">
        <v>8</v>
      </c>
      <c r="PH588" s="27" t="s">
        <v>7</v>
      </c>
      <c r="PI588" s="27" t="s">
        <v>8</v>
      </c>
      <c r="PJ588" s="27" t="s">
        <v>7</v>
      </c>
      <c r="PQ588" s="27" t="s">
        <v>8</v>
      </c>
      <c r="PR588" s="27" t="s">
        <v>7</v>
      </c>
      <c r="PS588" s="27" t="s">
        <v>8</v>
      </c>
      <c r="PT588" s="27" t="s">
        <v>7</v>
      </c>
      <c r="PU588" s="27" t="s">
        <v>8</v>
      </c>
      <c r="PW588" s="27" t="s">
        <v>8</v>
      </c>
      <c r="PX588" s="27" t="s">
        <v>7</v>
      </c>
      <c r="PY588" s="27" t="s">
        <v>8</v>
      </c>
      <c r="QA588" s="27" t="s">
        <v>8</v>
      </c>
      <c r="QJ588" s="27" t="s">
        <v>7</v>
      </c>
      <c r="QK588" s="27" t="s">
        <v>8</v>
      </c>
      <c r="QL588" s="27" t="s">
        <v>7</v>
      </c>
      <c r="QM588" s="27" t="s">
        <v>8</v>
      </c>
      <c r="QN588" s="27" t="s">
        <v>7</v>
      </c>
      <c r="QO588" s="27" t="s">
        <v>8</v>
      </c>
      <c r="QP588" s="27" t="s">
        <v>7</v>
      </c>
      <c r="QQ588" s="27" t="s">
        <v>8</v>
      </c>
      <c r="QR588" s="27" t="s">
        <v>7</v>
      </c>
    </row>
    <row r="589" spans="1:460" x14ac:dyDescent="0.25">
      <c r="A589" s="7">
        <v>0.96116878123798544</v>
      </c>
      <c r="B589"/>
      <c r="C589"/>
      <c r="D589"/>
      <c r="E589"/>
      <c r="J589" s="27" t="s">
        <v>7</v>
      </c>
      <c r="K589" s="27" t="s">
        <v>8</v>
      </c>
      <c r="L589" s="27" t="s">
        <v>7</v>
      </c>
      <c r="AY589" s="27" t="s">
        <v>8</v>
      </c>
      <c r="AZ589" s="27" t="s">
        <v>7</v>
      </c>
      <c r="BC589" s="27" t="s">
        <v>8</v>
      </c>
      <c r="BD589" s="27" t="s">
        <v>7</v>
      </c>
      <c r="BF589" s="27" t="s">
        <v>7</v>
      </c>
      <c r="BG589" s="27" t="s">
        <v>8</v>
      </c>
      <c r="BH589" s="27" t="s">
        <v>7</v>
      </c>
      <c r="DJ589" s="27" t="s">
        <v>7</v>
      </c>
      <c r="DK589" s="27" t="s">
        <v>8</v>
      </c>
      <c r="DL589" s="27" t="s">
        <v>7</v>
      </c>
      <c r="DM589" s="27" t="s">
        <v>8</v>
      </c>
      <c r="DN589" s="27" t="s">
        <v>7</v>
      </c>
      <c r="DO589" s="27" t="s">
        <v>8</v>
      </c>
      <c r="DP589" s="27" t="s">
        <v>7</v>
      </c>
      <c r="DQ589" s="27" t="s">
        <v>8</v>
      </c>
      <c r="DR589" s="27" t="s">
        <v>7</v>
      </c>
      <c r="EQ589" s="27" t="s">
        <v>8</v>
      </c>
      <c r="ER589" s="27" t="s">
        <v>7</v>
      </c>
      <c r="FY589" s="27" t="s">
        <v>8</v>
      </c>
      <c r="FZ589" s="27" t="s">
        <v>7</v>
      </c>
      <c r="IQ589" s="27" t="s">
        <v>8</v>
      </c>
      <c r="IR589" s="27" t="s">
        <v>7</v>
      </c>
      <c r="IW589" s="27" t="s">
        <v>8</v>
      </c>
      <c r="LC589" s="27" t="s">
        <v>8</v>
      </c>
      <c r="LD589" s="27" t="s">
        <v>7</v>
      </c>
      <c r="LE589" s="27" t="s">
        <v>8</v>
      </c>
      <c r="LH589" s="27" t="s">
        <v>7</v>
      </c>
      <c r="LI589" s="27" t="s">
        <v>8</v>
      </c>
      <c r="LJ589" s="27" t="s">
        <v>7</v>
      </c>
      <c r="LK589" s="27" t="s">
        <v>8</v>
      </c>
      <c r="LM589" s="27" t="s">
        <v>8</v>
      </c>
      <c r="LN589" s="27" t="s">
        <v>7</v>
      </c>
      <c r="LO589" s="27" t="s">
        <v>8</v>
      </c>
      <c r="ND589" s="27" t="s">
        <v>7</v>
      </c>
      <c r="NE589" s="27" t="s">
        <v>8</v>
      </c>
      <c r="NH589" s="27" t="s">
        <v>7</v>
      </c>
      <c r="NI589" s="27" t="s">
        <v>8</v>
      </c>
      <c r="NJ589" s="27" t="s">
        <v>7</v>
      </c>
      <c r="NP589" s="27" t="s">
        <v>7</v>
      </c>
      <c r="NQ589" s="27" t="s">
        <v>8</v>
      </c>
      <c r="NR589" s="27" t="s">
        <v>7</v>
      </c>
      <c r="NS589" s="27" t="s">
        <v>8</v>
      </c>
      <c r="NT589" s="27" t="s">
        <v>7</v>
      </c>
      <c r="OU589" s="27" t="s">
        <v>8</v>
      </c>
      <c r="OV589" s="27" t="s">
        <v>7</v>
      </c>
      <c r="OW589" s="27" t="s">
        <v>8</v>
      </c>
      <c r="OX589" s="27" t="s">
        <v>7</v>
      </c>
      <c r="OY589" s="27" t="s">
        <v>8</v>
      </c>
      <c r="PD589" s="27" t="s">
        <v>7</v>
      </c>
      <c r="PE589" s="27" t="s">
        <v>8</v>
      </c>
      <c r="PF589" s="27" t="s">
        <v>7</v>
      </c>
      <c r="PG589" s="27" t="s">
        <v>8</v>
      </c>
      <c r="PH589" s="27" t="s">
        <v>7</v>
      </c>
      <c r="PI589" s="27" t="s">
        <v>8</v>
      </c>
      <c r="PJ589" s="27" t="s">
        <v>7</v>
      </c>
      <c r="PQ589" s="27" t="s">
        <v>8</v>
      </c>
      <c r="PR589" s="27" t="s">
        <v>7</v>
      </c>
      <c r="PS589" s="27" t="s">
        <v>8</v>
      </c>
      <c r="PT589" s="27" t="s">
        <v>7</v>
      </c>
      <c r="PU589" s="27" t="s">
        <v>8</v>
      </c>
      <c r="PV589" s="27" t="s">
        <v>7</v>
      </c>
      <c r="PW589" s="27" t="s">
        <v>8</v>
      </c>
      <c r="PX589" s="27" t="s">
        <v>7</v>
      </c>
      <c r="PY589" s="27" t="s">
        <v>8</v>
      </c>
      <c r="PZ589" s="27" t="s">
        <v>7</v>
      </c>
      <c r="QA589" s="27" t="s">
        <v>8</v>
      </c>
      <c r="QJ589" s="27" t="s">
        <v>7</v>
      </c>
      <c r="QK589" s="27" t="s">
        <v>8</v>
      </c>
      <c r="QL589" s="27" t="s">
        <v>7</v>
      </c>
      <c r="QM589" s="27" t="s">
        <v>8</v>
      </c>
      <c r="QN589" s="27" t="s">
        <v>7</v>
      </c>
      <c r="QO589" s="27" t="s">
        <v>8</v>
      </c>
      <c r="QP589" s="27" t="s">
        <v>7</v>
      </c>
      <c r="QQ589" s="27" t="s">
        <v>8</v>
      </c>
      <c r="QR589" s="27" t="s">
        <v>7</v>
      </c>
    </row>
    <row r="590" spans="1:460" x14ac:dyDescent="0.25">
      <c r="A590" s="7">
        <v>0.94232233454704462</v>
      </c>
      <c r="B590"/>
      <c r="C590"/>
      <c r="D590"/>
      <c r="E590"/>
      <c r="J590" s="27" t="s">
        <v>7</v>
      </c>
      <c r="K590" s="27" t="s">
        <v>8</v>
      </c>
      <c r="L590" s="27" t="s">
        <v>7</v>
      </c>
      <c r="AY590" s="27" t="s">
        <v>8</v>
      </c>
      <c r="AZ590" s="27" t="s">
        <v>7</v>
      </c>
      <c r="BA590" s="27" t="s">
        <v>8</v>
      </c>
      <c r="BC590" s="27" t="s">
        <v>8</v>
      </c>
      <c r="BF590" s="27" t="s">
        <v>7</v>
      </c>
      <c r="BG590" s="27" t="s">
        <v>8</v>
      </c>
      <c r="DJ590" s="27" t="s">
        <v>7</v>
      </c>
      <c r="DK590" s="27" t="s">
        <v>8</v>
      </c>
      <c r="DL590" s="27" t="s">
        <v>7</v>
      </c>
      <c r="DM590" s="27" t="s">
        <v>8</v>
      </c>
      <c r="DN590" s="27" t="s">
        <v>7</v>
      </c>
      <c r="DO590" s="27" t="s">
        <v>8</v>
      </c>
      <c r="DP590" s="27" t="s">
        <v>7</v>
      </c>
      <c r="DR590" s="27" t="s">
        <v>7</v>
      </c>
      <c r="EQ590" s="27" t="s">
        <v>8</v>
      </c>
      <c r="ER590" s="27" t="s">
        <v>7</v>
      </c>
      <c r="EY590" s="27" t="s">
        <v>8</v>
      </c>
      <c r="FY590" s="27" t="s">
        <v>8</v>
      </c>
      <c r="FZ590" s="27" t="s">
        <v>7</v>
      </c>
      <c r="GA590" s="27" t="s">
        <v>8</v>
      </c>
      <c r="IO590" s="27" t="s">
        <v>8</v>
      </c>
      <c r="IQ590" s="27" t="s">
        <v>8</v>
      </c>
      <c r="IR590" s="27" t="s">
        <v>7</v>
      </c>
      <c r="IW590" s="27" t="s">
        <v>8</v>
      </c>
      <c r="IX590" s="27" t="s">
        <v>7</v>
      </c>
      <c r="LC590" s="27" t="s">
        <v>8</v>
      </c>
      <c r="LD590" s="27" t="s">
        <v>7</v>
      </c>
      <c r="LE590" s="27" t="s">
        <v>8</v>
      </c>
      <c r="LH590" s="27" t="s">
        <v>7</v>
      </c>
      <c r="LI590" s="27" t="s">
        <v>8</v>
      </c>
      <c r="LJ590" s="27" t="s">
        <v>7</v>
      </c>
      <c r="LK590" s="27" t="s">
        <v>8</v>
      </c>
      <c r="LL590" s="27" t="s">
        <v>7</v>
      </c>
      <c r="LM590" s="27" t="s">
        <v>8</v>
      </c>
      <c r="LN590" s="27" t="s">
        <v>7</v>
      </c>
      <c r="LO590" s="27" t="s">
        <v>8</v>
      </c>
      <c r="ND590" s="27" t="s">
        <v>7</v>
      </c>
      <c r="NE590" s="27" t="s">
        <v>8</v>
      </c>
      <c r="NH590" s="27" t="s">
        <v>7</v>
      </c>
      <c r="NI590" s="27" t="s">
        <v>8</v>
      </c>
      <c r="NP590" s="27" t="s">
        <v>7</v>
      </c>
      <c r="NQ590" s="27" t="s">
        <v>8</v>
      </c>
      <c r="NR590" s="27" t="s">
        <v>7</v>
      </c>
      <c r="NS590" s="27" t="s">
        <v>8</v>
      </c>
      <c r="NT590" s="27" t="s">
        <v>7</v>
      </c>
      <c r="OU590" s="27" t="s">
        <v>8</v>
      </c>
      <c r="OV590" s="27" t="s">
        <v>7</v>
      </c>
      <c r="OW590" s="27" t="s">
        <v>8</v>
      </c>
      <c r="OX590" s="27" t="s">
        <v>7</v>
      </c>
      <c r="PD590" s="27" t="s">
        <v>7</v>
      </c>
      <c r="PE590" s="27" t="s">
        <v>8</v>
      </c>
      <c r="PF590" s="27" t="s">
        <v>7</v>
      </c>
      <c r="PH590" s="27" t="s">
        <v>7</v>
      </c>
      <c r="PI590" s="27" t="s">
        <v>8</v>
      </c>
      <c r="PJ590" s="27" t="s">
        <v>7</v>
      </c>
      <c r="PQ590" s="27" t="s">
        <v>8</v>
      </c>
      <c r="PR590" s="27" t="s">
        <v>7</v>
      </c>
      <c r="PS590" s="27" t="s">
        <v>8</v>
      </c>
      <c r="PT590" s="27" t="s">
        <v>7</v>
      </c>
      <c r="PU590" s="27" t="s">
        <v>8</v>
      </c>
      <c r="PV590" s="27" t="s">
        <v>7</v>
      </c>
      <c r="PW590" s="27" t="s">
        <v>8</v>
      </c>
      <c r="PX590" s="27" t="s">
        <v>7</v>
      </c>
      <c r="PY590" s="27" t="s">
        <v>8</v>
      </c>
      <c r="PZ590" s="27" t="s">
        <v>7</v>
      </c>
      <c r="QA590" s="27" t="s">
        <v>8</v>
      </c>
      <c r="QJ590" s="27" t="s">
        <v>7</v>
      </c>
      <c r="QK590" s="27" t="s">
        <v>8</v>
      </c>
      <c r="QL590" s="27" t="s">
        <v>7</v>
      </c>
      <c r="QM590" s="27" t="s">
        <v>8</v>
      </c>
      <c r="QN590" s="27" t="s">
        <v>7</v>
      </c>
      <c r="QP590" s="27" t="s">
        <v>7</v>
      </c>
      <c r="QQ590" s="27" t="s">
        <v>8</v>
      </c>
      <c r="QR590" s="27" t="s">
        <v>7</v>
      </c>
    </row>
    <row r="591" spans="1:460" x14ac:dyDescent="0.25">
      <c r="A591" s="7">
        <v>0.92384542602651432</v>
      </c>
      <c r="B591"/>
      <c r="C591"/>
      <c r="D591"/>
      <c r="E591"/>
      <c r="J591" s="27" t="s">
        <v>7</v>
      </c>
      <c r="K591" s="27" t="s">
        <v>8</v>
      </c>
      <c r="L591" s="27" t="s">
        <v>7</v>
      </c>
      <c r="M591" s="27" t="s">
        <v>8</v>
      </c>
      <c r="AY591" s="27" t="s">
        <v>8</v>
      </c>
      <c r="AZ591" s="27" t="s">
        <v>7</v>
      </c>
      <c r="BA591" s="27" t="s">
        <v>8</v>
      </c>
      <c r="BB591" s="27" t="s">
        <v>7</v>
      </c>
      <c r="BC591" s="27" t="s">
        <v>8</v>
      </c>
      <c r="BF591" s="27" t="s">
        <v>7</v>
      </c>
      <c r="BG591" s="27" t="s">
        <v>8</v>
      </c>
      <c r="DJ591" s="27" t="s">
        <v>7</v>
      </c>
      <c r="DK591" s="27" t="s">
        <v>8</v>
      </c>
      <c r="DL591" s="27" t="s">
        <v>7</v>
      </c>
      <c r="DM591" s="27" t="s">
        <v>8</v>
      </c>
      <c r="DN591" s="27" t="s">
        <v>7</v>
      </c>
      <c r="DO591" s="27" t="s">
        <v>8</v>
      </c>
      <c r="DR591" s="27" t="s">
        <v>7</v>
      </c>
      <c r="EQ591" s="27" t="s">
        <v>8</v>
      </c>
      <c r="ER591" s="27" t="s">
        <v>7</v>
      </c>
      <c r="ES591" s="27" t="s">
        <v>8</v>
      </c>
      <c r="EU591" s="27" t="s">
        <v>8</v>
      </c>
      <c r="EW591" s="27" t="s">
        <v>8</v>
      </c>
      <c r="EY591" s="27" t="s">
        <v>8</v>
      </c>
      <c r="EZ591" s="27" t="s">
        <v>7</v>
      </c>
      <c r="FY591" s="27" t="s">
        <v>8</v>
      </c>
      <c r="FZ591" s="27" t="s">
        <v>7</v>
      </c>
      <c r="GA591" s="27" t="s">
        <v>8</v>
      </c>
      <c r="GB591" s="27" t="s">
        <v>7</v>
      </c>
      <c r="IO591" s="27" t="s">
        <v>8</v>
      </c>
      <c r="IP591" s="27" t="s">
        <v>7</v>
      </c>
      <c r="IQ591" s="27" t="s">
        <v>8</v>
      </c>
      <c r="IR591" s="27" t="s">
        <v>7</v>
      </c>
      <c r="IS591" s="27" t="s">
        <v>8</v>
      </c>
      <c r="IW591" s="27" t="s">
        <v>8</v>
      </c>
      <c r="IX591" s="27" t="s">
        <v>7</v>
      </c>
      <c r="LC591" s="27" t="s">
        <v>8</v>
      </c>
      <c r="LD591" s="27" t="s">
        <v>7</v>
      </c>
      <c r="LE591" s="27" t="s">
        <v>8</v>
      </c>
      <c r="LH591" s="27" t="s">
        <v>7</v>
      </c>
      <c r="LI591" s="27" t="s">
        <v>8</v>
      </c>
      <c r="LJ591" s="27" t="s">
        <v>7</v>
      </c>
      <c r="LK591" s="27" t="s">
        <v>8</v>
      </c>
      <c r="LL591" s="27" t="s">
        <v>7</v>
      </c>
      <c r="LM591" s="27" t="s">
        <v>8</v>
      </c>
      <c r="LN591" s="27" t="s">
        <v>7</v>
      </c>
      <c r="LO591" s="27" t="s">
        <v>8</v>
      </c>
      <c r="ND591" s="27" t="s">
        <v>7</v>
      </c>
      <c r="NE591" s="27" t="s">
        <v>8</v>
      </c>
      <c r="NH591" s="27" t="s">
        <v>7</v>
      </c>
      <c r="NI591" s="27" t="s">
        <v>8</v>
      </c>
      <c r="NP591" s="27" t="s">
        <v>7</v>
      </c>
      <c r="NQ591" s="27" t="s">
        <v>8</v>
      </c>
      <c r="NR591" s="27" t="s">
        <v>7</v>
      </c>
      <c r="NS591" s="27" t="s">
        <v>8</v>
      </c>
      <c r="NT591" s="27" t="s">
        <v>7</v>
      </c>
      <c r="OQ591" s="27" t="s">
        <v>8</v>
      </c>
      <c r="OS591" s="27" t="s">
        <v>8</v>
      </c>
      <c r="OU591" s="27" t="s">
        <v>8</v>
      </c>
      <c r="OV591" s="27" t="s">
        <v>7</v>
      </c>
      <c r="PD591" s="27" t="s">
        <v>7</v>
      </c>
      <c r="PE591" s="27" t="s">
        <v>8</v>
      </c>
      <c r="PH591" s="27" t="s">
        <v>7</v>
      </c>
      <c r="PI591" s="27" t="s">
        <v>8</v>
      </c>
      <c r="PJ591" s="27" t="s">
        <v>7</v>
      </c>
      <c r="PO591" s="27" t="s">
        <v>8</v>
      </c>
      <c r="PQ591" s="27" t="s">
        <v>8</v>
      </c>
      <c r="PR591" s="27" t="s">
        <v>7</v>
      </c>
      <c r="PS591" s="27" t="s">
        <v>8</v>
      </c>
      <c r="PT591" s="27" t="s">
        <v>7</v>
      </c>
      <c r="PU591" s="27" t="s">
        <v>8</v>
      </c>
      <c r="PV591" s="27" t="s">
        <v>7</v>
      </c>
      <c r="PW591" s="27" t="s">
        <v>8</v>
      </c>
      <c r="PX591" s="27" t="s">
        <v>7</v>
      </c>
      <c r="PZ591" s="27" t="s">
        <v>7</v>
      </c>
      <c r="QA591" s="27" t="s">
        <v>8</v>
      </c>
      <c r="QJ591" s="27" t="s">
        <v>7</v>
      </c>
      <c r="QL591" s="27" t="s">
        <v>7</v>
      </c>
      <c r="QM591" s="27" t="s">
        <v>8</v>
      </c>
      <c r="QP591" s="27" t="s">
        <v>7</v>
      </c>
      <c r="QR591" s="27" t="s">
        <v>7</v>
      </c>
    </row>
    <row r="592" spans="1:460" x14ac:dyDescent="0.25">
      <c r="A592" s="7">
        <v>0.90573080982991594</v>
      </c>
      <c r="B592"/>
      <c r="C592"/>
      <c r="D592"/>
      <c r="E592"/>
      <c r="J592" s="27" t="s">
        <v>7</v>
      </c>
      <c r="K592" s="27" t="s">
        <v>8</v>
      </c>
      <c r="L592" s="27" t="s">
        <v>7</v>
      </c>
      <c r="M592" s="27" t="s">
        <v>8</v>
      </c>
      <c r="N592" s="27" t="s">
        <v>7</v>
      </c>
      <c r="AY592" s="27" t="s">
        <v>8</v>
      </c>
      <c r="AZ592" s="27" t="s">
        <v>7</v>
      </c>
      <c r="BA592" s="27" t="s">
        <v>8</v>
      </c>
      <c r="BB592" s="27" t="s">
        <v>7</v>
      </c>
      <c r="BC592" s="27" t="s">
        <v>8</v>
      </c>
      <c r="BF592" s="27" t="s">
        <v>7</v>
      </c>
      <c r="BG592" s="27" t="s">
        <v>8</v>
      </c>
      <c r="DJ592" s="27" t="s">
        <v>7</v>
      </c>
      <c r="DK592" s="27" t="s">
        <v>8</v>
      </c>
      <c r="DL592" s="27" t="s">
        <v>7</v>
      </c>
      <c r="DN592" s="27" t="s">
        <v>7</v>
      </c>
      <c r="DR592" s="27" t="s">
        <v>7</v>
      </c>
      <c r="DS592" s="27" t="s">
        <v>8</v>
      </c>
      <c r="EQ592" s="27" t="s">
        <v>8</v>
      </c>
      <c r="ER592" s="27" t="s">
        <v>7</v>
      </c>
      <c r="ES592" s="27" t="s">
        <v>8</v>
      </c>
      <c r="ET592" s="27" t="s">
        <v>7</v>
      </c>
      <c r="EU592" s="27" t="s">
        <v>8</v>
      </c>
      <c r="EV592" s="27" t="s">
        <v>7</v>
      </c>
      <c r="EW592" s="27" t="s">
        <v>8</v>
      </c>
      <c r="EX592" s="27" t="s">
        <v>7</v>
      </c>
      <c r="EY592" s="27" t="s">
        <v>8</v>
      </c>
      <c r="EZ592" s="27" t="s">
        <v>7</v>
      </c>
      <c r="FY592" s="27" t="s">
        <v>8</v>
      </c>
      <c r="FZ592" s="27" t="s">
        <v>7</v>
      </c>
      <c r="GA592" s="27" t="s">
        <v>8</v>
      </c>
      <c r="GB592" s="27" t="s">
        <v>7</v>
      </c>
      <c r="IO592" s="27" t="s">
        <v>8</v>
      </c>
      <c r="IP592" s="27" t="s">
        <v>7</v>
      </c>
      <c r="IQ592" s="27" t="s">
        <v>8</v>
      </c>
      <c r="IR592" s="27" t="s">
        <v>7</v>
      </c>
      <c r="IS592" s="27" t="s">
        <v>8</v>
      </c>
      <c r="IT592" s="27" t="s">
        <v>7</v>
      </c>
      <c r="IU592" s="27" t="s">
        <v>8</v>
      </c>
      <c r="IW592" s="27" t="s">
        <v>8</v>
      </c>
      <c r="IX592" s="27" t="s">
        <v>7</v>
      </c>
      <c r="LC592" s="27" t="s">
        <v>8</v>
      </c>
      <c r="LD592" s="27" t="s">
        <v>7</v>
      </c>
      <c r="LE592" s="27" t="s">
        <v>8</v>
      </c>
      <c r="LH592" s="27" t="s">
        <v>7</v>
      </c>
      <c r="LI592" s="27" t="s">
        <v>8</v>
      </c>
      <c r="LJ592" s="27" t="s">
        <v>7</v>
      </c>
      <c r="LK592" s="27" t="s">
        <v>8</v>
      </c>
      <c r="LL592" s="27" t="s">
        <v>7</v>
      </c>
      <c r="LM592" s="27" t="s">
        <v>8</v>
      </c>
      <c r="LN592" s="27" t="s">
        <v>7</v>
      </c>
      <c r="ND592" s="27" t="s">
        <v>7</v>
      </c>
      <c r="NE592" s="27" t="s">
        <v>8</v>
      </c>
      <c r="NH592" s="27" t="s">
        <v>7</v>
      </c>
      <c r="NI592" s="27" t="s">
        <v>8</v>
      </c>
      <c r="NP592" s="27" t="s">
        <v>7</v>
      </c>
      <c r="NQ592" s="27" t="s">
        <v>8</v>
      </c>
      <c r="NR592" s="27" t="s">
        <v>7</v>
      </c>
      <c r="NS592" s="27" t="s">
        <v>8</v>
      </c>
      <c r="NT592" s="27" t="s">
        <v>7</v>
      </c>
      <c r="OQ592" s="27" t="s">
        <v>8</v>
      </c>
      <c r="OR592" s="27" t="s">
        <v>7</v>
      </c>
      <c r="OS592" s="27" t="s">
        <v>8</v>
      </c>
      <c r="OT592" s="27" t="s">
        <v>7</v>
      </c>
      <c r="OU592" s="27" t="s">
        <v>8</v>
      </c>
      <c r="PD592" s="27" t="s">
        <v>7</v>
      </c>
      <c r="PE592" s="27" t="s">
        <v>8</v>
      </c>
      <c r="PH592" s="27" t="s">
        <v>7</v>
      </c>
      <c r="PJ592" s="27" t="s">
        <v>7</v>
      </c>
      <c r="PK592" s="27" t="s">
        <v>8</v>
      </c>
      <c r="PO592" s="27" t="s">
        <v>8</v>
      </c>
      <c r="PP592" s="27" t="s">
        <v>7</v>
      </c>
      <c r="PQ592" s="27" t="s">
        <v>8</v>
      </c>
      <c r="PR592" s="27" t="s">
        <v>7</v>
      </c>
      <c r="PS592" s="27" t="s">
        <v>8</v>
      </c>
      <c r="PT592" s="27" t="s">
        <v>7</v>
      </c>
      <c r="PV592" s="27" t="s">
        <v>7</v>
      </c>
      <c r="PZ592" s="27" t="s">
        <v>7</v>
      </c>
      <c r="QA592" s="27" t="s">
        <v>8</v>
      </c>
      <c r="QL592" s="27" t="s">
        <v>7</v>
      </c>
      <c r="QR592" s="27" t="s">
        <v>7</v>
      </c>
    </row>
    <row r="593" spans="1:474" x14ac:dyDescent="0.25">
      <c r="A593" s="7">
        <v>0.8879713821861922</v>
      </c>
      <c r="B593"/>
      <c r="C593"/>
      <c r="D593"/>
      <c r="E593"/>
      <c r="J593" s="27" t="s">
        <v>7</v>
      </c>
      <c r="K593" s="27" t="s">
        <v>8</v>
      </c>
      <c r="L593" s="27" t="s">
        <v>7</v>
      </c>
      <c r="M593" s="27" t="s">
        <v>8</v>
      </c>
      <c r="N593" s="27" t="s">
        <v>7</v>
      </c>
      <c r="AY593" s="27" t="s">
        <v>8</v>
      </c>
      <c r="AZ593" s="27" t="s">
        <v>7</v>
      </c>
      <c r="BA593" s="27" t="s">
        <v>8</v>
      </c>
      <c r="BB593" s="27" t="s">
        <v>7</v>
      </c>
      <c r="BC593" s="27" t="s">
        <v>8</v>
      </c>
      <c r="BF593" s="27" t="s">
        <v>7</v>
      </c>
      <c r="DJ593" s="27" t="s">
        <v>7</v>
      </c>
      <c r="DK593" s="27" t="s">
        <v>8</v>
      </c>
      <c r="DR593" s="27" t="s">
        <v>7</v>
      </c>
      <c r="DS593" s="27" t="s">
        <v>8</v>
      </c>
      <c r="DT593" s="27" t="s">
        <v>7</v>
      </c>
      <c r="DW593" s="27" t="s">
        <v>8</v>
      </c>
      <c r="EQ593" s="27" t="s">
        <v>8</v>
      </c>
      <c r="ER593" s="27" t="s">
        <v>7</v>
      </c>
      <c r="ES593" s="27" t="s">
        <v>8</v>
      </c>
      <c r="ET593" s="27" t="s">
        <v>7</v>
      </c>
      <c r="EU593" s="27" t="s">
        <v>8</v>
      </c>
      <c r="EV593" s="27" t="s">
        <v>7</v>
      </c>
      <c r="EW593" s="27" t="s">
        <v>8</v>
      </c>
      <c r="EX593" s="27" t="s">
        <v>7</v>
      </c>
      <c r="EY593" s="27" t="s">
        <v>8</v>
      </c>
      <c r="EZ593" s="27" t="s">
        <v>7</v>
      </c>
      <c r="FY593" s="27" t="s">
        <v>8</v>
      </c>
      <c r="FZ593" s="27" t="s">
        <v>7</v>
      </c>
      <c r="GA593" s="27" t="s">
        <v>8</v>
      </c>
      <c r="GB593" s="27" t="s">
        <v>7</v>
      </c>
      <c r="GE593" s="27" t="s">
        <v>8</v>
      </c>
      <c r="IO593" s="27" t="s">
        <v>8</v>
      </c>
      <c r="IP593" s="27" t="s">
        <v>7</v>
      </c>
      <c r="IQ593" s="27" t="s">
        <v>8</v>
      </c>
      <c r="IR593" s="27" t="s">
        <v>7</v>
      </c>
      <c r="IS593" s="27" t="s">
        <v>8</v>
      </c>
      <c r="IT593" s="27" t="s">
        <v>7</v>
      </c>
      <c r="IU593" s="27" t="s">
        <v>8</v>
      </c>
      <c r="IV593" s="27" t="s">
        <v>7</v>
      </c>
      <c r="IW593" s="27" t="s">
        <v>8</v>
      </c>
      <c r="IX593" s="27" t="s">
        <v>7</v>
      </c>
      <c r="JC593" s="27" t="s">
        <v>8</v>
      </c>
      <c r="LC593" s="27" t="s">
        <v>8</v>
      </c>
      <c r="LD593" s="27" t="s">
        <v>7</v>
      </c>
      <c r="LH593" s="27" t="s">
        <v>7</v>
      </c>
      <c r="LI593" s="27" t="s">
        <v>8</v>
      </c>
      <c r="LJ593" s="27" t="s">
        <v>7</v>
      </c>
      <c r="LK593" s="27" t="s">
        <v>8</v>
      </c>
      <c r="LL593" s="27" t="s">
        <v>7</v>
      </c>
      <c r="LM593" s="27" t="s">
        <v>8</v>
      </c>
      <c r="ND593" s="27" t="s">
        <v>7</v>
      </c>
      <c r="NE593" s="27" t="s">
        <v>8</v>
      </c>
      <c r="NH593" s="27" t="s">
        <v>7</v>
      </c>
      <c r="NI593" s="27" t="s">
        <v>8</v>
      </c>
      <c r="NP593" s="27" t="s">
        <v>7</v>
      </c>
      <c r="NQ593" s="27" t="s">
        <v>8</v>
      </c>
      <c r="NR593" s="27" t="s">
        <v>7</v>
      </c>
      <c r="NS593" s="27" t="s">
        <v>8</v>
      </c>
      <c r="NT593" s="27" t="s">
        <v>7</v>
      </c>
      <c r="OQ593" s="27" t="s">
        <v>8</v>
      </c>
      <c r="OR593" s="27" t="s">
        <v>7</v>
      </c>
      <c r="OS593" s="27" t="s">
        <v>8</v>
      </c>
      <c r="OT593" s="27" t="s">
        <v>7</v>
      </c>
      <c r="OU593" s="27" t="s">
        <v>8</v>
      </c>
      <c r="PD593" s="27" t="s">
        <v>7</v>
      </c>
      <c r="PE593" s="27" t="s">
        <v>8</v>
      </c>
      <c r="PJ593" s="27" t="s">
        <v>7</v>
      </c>
      <c r="PK593" s="27" t="s">
        <v>8</v>
      </c>
      <c r="PL593" s="27" t="s">
        <v>7</v>
      </c>
      <c r="PO593" s="27" t="s">
        <v>8</v>
      </c>
      <c r="PP593" s="27" t="s">
        <v>7</v>
      </c>
      <c r="PQ593" s="27" t="s">
        <v>8</v>
      </c>
      <c r="PR593" s="27" t="s">
        <v>7</v>
      </c>
      <c r="PZ593" s="27" t="s">
        <v>7</v>
      </c>
      <c r="QA593" s="27" t="s">
        <v>8</v>
      </c>
      <c r="QR593" s="27" t="s">
        <v>7</v>
      </c>
    </row>
    <row r="594" spans="1:474" x14ac:dyDescent="0.25">
      <c r="A594" s="7">
        <v>0.87056017861391399</v>
      </c>
      <c r="B594"/>
      <c r="C594"/>
      <c r="D594"/>
      <c r="E594"/>
      <c r="J594" s="27" t="s">
        <v>7</v>
      </c>
      <c r="K594" s="27" t="s">
        <v>8</v>
      </c>
      <c r="L594" s="27" t="s">
        <v>7</v>
      </c>
      <c r="M594" s="27" t="s">
        <v>8</v>
      </c>
      <c r="N594" s="27" t="s">
        <v>7</v>
      </c>
      <c r="AY594" s="27" t="s">
        <v>8</v>
      </c>
      <c r="AZ594" s="27" t="s">
        <v>7</v>
      </c>
      <c r="BA594" s="27" t="s">
        <v>8</v>
      </c>
      <c r="BB594" s="27" t="s">
        <v>7</v>
      </c>
      <c r="BC594" s="27" t="s">
        <v>8</v>
      </c>
      <c r="DJ594" s="27" t="s">
        <v>7</v>
      </c>
      <c r="DK594" s="27" t="s">
        <v>8</v>
      </c>
      <c r="DR594" s="27" t="s">
        <v>7</v>
      </c>
      <c r="DS594" s="27" t="s">
        <v>8</v>
      </c>
      <c r="DT594" s="27" t="s">
        <v>7</v>
      </c>
      <c r="DW594" s="27" t="s">
        <v>8</v>
      </c>
      <c r="DX594" s="27" t="s">
        <v>7</v>
      </c>
      <c r="EQ594" s="27" t="s">
        <v>8</v>
      </c>
      <c r="ER594" s="27" t="s">
        <v>7</v>
      </c>
      <c r="ES594" s="27" t="s">
        <v>8</v>
      </c>
      <c r="ET594" s="27" t="s">
        <v>7</v>
      </c>
      <c r="EU594" s="27" t="s">
        <v>8</v>
      </c>
      <c r="EV594" s="27" t="s">
        <v>7</v>
      </c>
      <c r="EX594" s="27" t="s">
        <v>7</v>
      </c>
      <c r="EY594" s="27" t="s">
        <v>8</v>
      </c>
      <c r="EZ594" s="27" t="s">
        <v>7</v>
      </c>
      <c r="FW594" s="27" t="s">
        <v>8</v>
      </c>
      <c r="FY594" s="27" t="s">
        <v>8</v>
      </c>
      <c r="FZ594" s="27" t="s">
        <v>7</v>
      </c>
      <c r="GA594" s="27" t="s">
        <v>8</v>
      </c>
      <c r="GB594" s="27" t="s">
        <v>7</v>
      </c>
      <c r="GC594" s="27" t="s">
        <v>8</v>
      </c>
      <c r="GE594" s="27" t="s">
        <v>8</v>
      </c>
      <c r="GF594" s="27" t="s">
        <v>7</v>
      </c>
      <c r="IO594" s="27" t="s">
        <v>8</v>
      </c>
      <c r="IP594" s="27" t="s">
        <v>7</v>
      </c>
      <c r="IQ594" s="27" t="s">
        <v>8</v>
      </c>
      <c r="IR594" s="27" t="s">
        <v>7</v>
      </c>
      <c r="IS594" s="27" t="s">
        <v>8</v>
      </c>
      <c r="IT594" s="27" t="s">
        <v>7</v>
      </c>
      <c r="IU594" s="27" t="s">
        <v>8</v>
      </c>
      <c r="IV594" s="27" t="s">
        <v>7</v>
      </c>
      <c r="IW594" s="27" t="s">
        <v>8</v>
      </c>
      <c r="IX594" s="27" t="s">
        <v>7</v>
      </c>
      <c r="JA594" s="27" t="s">
        <v>8</v>
      </c>
      <c r="JC594" s="27" t="s">
        <v>8</v>
      </c>
      <c r="JD594" s="27" t="s">
        <v>7</v>
      </c>
      <c r="LC594" s="27" t="s">
        <v>8</v>
      </c>
      <c r="LH594" s="27" t="s">
        <v>7</v>
      </c>
      <c r="LI594" s="27" t="s">
        <v>8</v>
      </c>
      <c r="LJ594" s="27" t="s">
        <v>7</v>
      </c>
      <c r="LK594" s="27" t="s">
        <v>8</v>
      </c>
      <c r="LL594" s="27" t="s">
        <v>7</v>
      </c>
      <c r="LM594" s="27" t="s">
        <v>8</v>
      </c>
      <c r="ND594" s="27" t="s">
        <v>7</v>
      </c>
      <c r="NE594" s="27" t="s">
        <v>8</v>
      </c>
      <c r="NH594" s="27" t="s">
        <v>7</v>
      </c>
      <c r="NI594" s="27" t="s">
        <v>8</v>
      </c>
      <c r="NP594" s="27" t="s">
        <v>7</v>
      </c>
      <c r="NR594" s="27" t="s">
        <v>7</v>
      </c>
      <c r="NS594" s="27" t="s">
        <v>8</v>
      </c>
      <c r="NT594" s="27" t="s">
        <v>7</v>
      </c>
      <c r="NU594" s="27" t="s">
        <v>8</v>
      </c>
      <c r="OM594" s="27" t="s">
        <v>8</v>
      </c>
      <c r="OQ594" s="27" t="s">
        <v>8</v>
      </c>
      <c r="OR594" s="27" t="s">
        <v>7</v>
      </c>
      <c r="OS594" s="27" t="s">
        <v>8</v>
      </c>
      <c r="OT594" s="27" t="s">
        <v>7</v>
      </c>
      <c r="OU594" s="27" t="s">
        <v>8</v>
      </c>
      <c r="PD594" s="27" t="s">
        <v>7</v>
      </c>
      <c r="PE594" s="27" t="s">
        <v>8</v>
      </c>
      <c r="PJ594" s="27" t="s">
        <v>7</v>
      </c>
      <c r="PK594" s="27" t="s">
        <v>8</v>
      </c>
      <c r="PL594" s="27" t="s">
        <v>7</v>
      </c>
      <c r="PO594" s="27" t="s">
        <v>8</v>
      </c>
      <c r="PP594" s="27" t="s">
        <v>7</v>
      </c>
      <c r="PQ594" s="27" t="s">
        <v>8</v>
      </c>
      <c r="PZ594" s="27" t="s">
        <v>7</v>
      </c>
      <c r="QA594" s="27" t="s">
        <v>8</v>
      </c>
      <c r="QR594" s="27" t="s">
        <v>7</v>
      </c>
    </row>
    <row r="595" spans="1:474" x14ac:dyDescent="0.25">
      <c r="A595" s="7">
        <v>0.85349037119011173</v>
      </c>
      <c r="B595"/>
      <c r="C595"/>
      <c r="D595"/>
      <c r="E595"/>
      <c r="J595" s="27" t="s">
        <v>7</v>
      </c>
      <c r="L595" s="27" t="s">
        <v>7</v>
      </c>
      <c r="M595" s="27" t="s">
        <v>8</v>
      </c>
      <c r="N595" s="27" t="s">
        <v>7</v>
      </c>
      <c r="O595" s="27" t="s">
        <v>8</v>
      </c>
      <c r="AY595" s="27" t="s">
        <v>8</v>
      </c>
      <c r="AZ595" s="27" t="s">
        <v>7</v>
      </c>
      <c r="BB595" s="27" t="s">
        <v>7</v>
      </c>
      <c r="BC595" s="27" t="s">
        <v>8</v>
      </c>
      <c r="DJ595" s="27" t="s">
        <v>7</v>
      </c>
      <c r="DK595" s="27" t="s">
        <v>8</v>
      </c>
      <c r="DR595" s="27" t="s">
        <v>7</v>
      </c>
      <c r="DT595" s="27" t="s">
        <v>7</v>
      </c>
      <c r="DW595" s="27" t="s">
        <v>8</v>
      </c>
      <c r="DX595" s="27" t="s">
        <v>7</v>
      </c>
      <c r="EC595" s="27" t="s">
        <v>8</v>
      </c>
      <c r="EQ595" s="27" t="s">
        <v>8</v>
      </c>
      <c r="ER595" s="27" t="s">
        <v>7</v>
      </c>
      <c r="ES595" s="27" t="s">
        <v>8</v>
      </c>
      <c r="ET595" s="27" t="s">
        <v>7</v>
      </c>
      <c r="EU595" s="27" t="s">
        <v>8</v>
      </c>
      <c r="EX595" s="27" t="s">
        <v>7</v>
      </c>
      <c r="EY595" s="27" t="s">
        <v>8</v>
      </c>
      <c r="EZ595" s="27" t="s">
        <v>7</v>
      </c>
      <c r="FW595" s="27" t="s">
        <v>8</v>
      </c>
      <c r="FX595" s="27" t="s">
        <v>7</v>
      </c>
      <c r="FY595" s="27" t="s">
        <v>8</v>
      </c>
      <c r="FZ595" s="27" t="s">
        <v>7</v>
      </c>
      <c r="GA595" s="27" t="s">
        <v>8</v>
      </c>
      <c r="GB595" s="27" t="s">
        <v>7</v>
      </c>
      <c r="GC595" s="27" t="s">
        <v>8</v>
      </c>
      <c r="GD595" s="27" t="s">
        <v>7</v>
      </c>
      <c r="GE595" s="27" t="s">
        <v>8</v>
      </c>
      <c r="GF595" s="27" t="s">
        <v>7</v>
      </c>
      <c r="IM595" s="27" t="s">
        <v>8</v>
      </c>
      <c r="IO595" s="27" t="s">
        <v>8</v>
      </c>
      <c r="IP595" s="27" t="s">
        <v>7</v>
      </c>
      <c r="IQ595" s="27" t="s">
        <v>8</v>
      </c>
      <c r="IR595" s="27" t="s">
        <v>7</v>
      </c>
      <c r="IS595" s="27" t="s">
        <v>8</v>
      </c>
      <c r="IT595" s="27" t="s">
        <v>7</v>
      </c>
      <c r="IU595" s="27" t="s">
        <v>8</v>
      </c>
      <c r="IV595" s="27" t="s">
        <v>7</v>
      </c>
      <c r="IW595" s="27" t="s">
        <v>8</v>
      </c>
      <c r="IX595" s="27" t="s">
        <v>7</v>
      </c>
      <c r="JA595" s="27" t="s">
        <v>8</v>
      </c>
      <c r="JB595" s="27" t="s">
        <v>7</v>
      </c>
      <c r="JC595" s="27" t="s">
        <v>8</v>
      </c>
      <c r="JD595" s="27" t="s">
        <v>7</v>
      </c>
      <c r="JE595" s="27" t="s">
        <v>8</v>
      </c>
      <c r="LC595" s="27" t="s">
        <v>8</v>
      </c>
      <c r="LH595" s="27" t="s">
        <v>7</v>
      </c>
      <c r="LI595" s="27" t="s">
        <v>8</v>
      </c>
      <c r="LJ595" s="27" t="s">
        <v>7</v>
      </c>
      <c r="LK595" s="27" t="s">
        <v>8</v>
      </c>
      <c r="LL595" s="27" t="s">
        <v>7</v>
      </c>
      <c r="LM595" s="27" t="s">
        <v>8</v>
      </c>
      <c r="ND595" s="27" t="s">
        <v>7</v>
      </c>
      <c r="NE595" s="27" t="s">
        <v>8</v>
      </c>
      <c r="NH595" s="27" t="s">
        <v>7</v>
      </c>
      <c r="NI595" s="27" t="s">
        <v>8</v>
      </c>
      <c r="NR595" s="27" t="s">
        <v>7</v>
      </c>
      <c r="NT595" s="27" t="s">
        <v>7</v>
      </c>
      <c r="NU595" s="27" t="s">
        <v>8</v>
      </c>
      <c r="NV595" s="27" t="s">
        <v>7</v>
      </c>
      <c r="OM595" s="27" t="s">
        <v>8</v>
      </c>
      <c r="ON595" s="27" t="s">
        <v>7</v>
      </c>
      <c r="OO595" s="27" t="s">
        <v>8</v>
      </c>
      <c r="OQ595" s="27" t="s">
        <v>8</v>
      </c>
      <c r="OR595" s="27" t="s">
        <v>7</v>
      </c>
      <c r="OS595" s="27" t="s">
        <v>8</v>
      </c>
      <c r="OT595" s="27" t="s">
        <v>7</v>
      </c>
      <c r="PD595" s="27" t="s">
        <v>7</v>
      </c>
      <c r="PE595" s="27" t="s">
        <v>8</v>
      </c>
      <c r="PJ595" s="27" t="s">
        <v>7</v>
      </c>
      <c r="PK595" s="27" t="s">
        <v>8</v>
      </c>
      <c r="PL595" s="27" t="s">
        <v>7</v>
      </c>
      <c r="PO595" s="27" t="s">
        <v>8</v>
      </c>
      <c r="PP595" s="27" t="s">
        <v>7</v>
      </c>
      <c r="PQ595" s="27" t="s">
        <v>8</v>
      </c>
      <c r="PZ595" s="27" t="s">
        <v>7</v>
      </c>
      <c r="QA595" s="27" t="s">
        <v>8</v>
      </c>
      <c r="QR595" s="27" t="s">
        <v>7</v>
      </c>
    </row>
    <row r="596" spans="1:474" x14ac:dyDescent="0.25">
      <c r="A596" s="7">
        <v>0.83675526587265858</v>
      </c>
      <c r="B596"/>
      <c r="C596"/>
      <c r="D596"/>
      <c r="E596"/>
      <c r="L596" s="27" t="s">
        <v>7</v>
      </c>
      <c r="M596" s="27" t="s">
        <v>8</v>
      </c>
      <c r="N596" s="27" t="s">
        <v>7</v>
      </c>
      <c r="O596" s="27" t="s">
        <v>8</v>
      </c>
      <c r="P596" s="27" t="s">
        <v>7</v>
      </c>
      <c r="AY596" s="27" t="s">
        <v>8</v>
      </c>
      <c r="BB596" s="27" t="s">
        <v>7</v>
      </c>
      <c r="BC596" s="27" t="s">
        <v>8</v>
      </c>
      <c r="DJ596" s="27" t="s">
        <v>7</v>
      </c>
      <c r="DK596" s="27" t="s">
        <v>8</v>
      </c>
      <c r="DT596" s="27" t="s">
        <v>7</v>
      </c>
      <c r="DW596" s="27" t="s">
        <v>8</v>
      </c>
      <c r="DX596" s="27" t="s">
        <v>7</v>
      </c>
      <c r="EC596" s="27" t="s">
        <v>8</v>
      </c>
      <c r="ED596" s="27" t="s">
        <v>7</v>
      </c>
      <c r="EE596" s="27" t="s">
        <v>8</v>
      </c>
      <c r="EQ596" s="27" t="s">
        <v>8</v>
      </c>
      <c r="ER596" s="27" t="s">
        <v>7</v>
      </c>
      <c r="ES596" s="27" t="s">
        <v>8</v>
      </c>
      <c r="ET596" s="27" t="s">
        <v>7</v>
      </c>
      <c r="EU596" s="27" t="s">
        <v>8</v>
      </c>
      <c r="EX596" s="27" t="s">
        <v>7</v>
      </c>
      <c r="EY596" s="27" t="s">
        <v>8</v>
      </c>
      <c r="EZ596" s="27" t="s">
        <v>7</v>
      </c>
      <c r="FW596" s="27" t="s">
        <v>8</v>
      </c>
      <c r="FX596" s="27" t="s">
        <v>7</v>
      </c>
      <c r="FY596" s="27" t="s">
        <v>8</v>
      </c>
      <c r="FZ596" s="27" t="s">
        <v>7</v>
      </c>
      <c r="GA596" s="27" t="s">
        <v>8</v>
      </c>
      <c r="GB596" s="27" t="s">
        <v>7</v>
      </c>
      <c r="GC596" s="27" t="s">
        <v>8</v>
      </c>
      <c r="GD596" s="27" t="s">
        <v>7</v>
      </c>
      <c r="GE596" s="27" t="s">
        <v>8</v>
      </c>
      <c r="GF596" s="27" t="s">
        <v>7</v>
      </c>
      <c r="IM596" s="27" t="s">
        <v>8</v>
      </c>
      <c r="IN596" s="27" t="s">
        <v>7</v>
      </c>
      <c r="IO596" s="27" t="s">
        <v>8</v>
      </c>
      <c r="IP596" s="27" t="s">
        <v>7</v>
      </c>
      <c r="IQ596" s="27" t="s">
        <v>8</v>
      </c>
      <c r="IR596" s="27" t="s">
        <v>7</v>
      </c>
      <c r="IS596" s="27" t="s">
        <v>8</v>
      </c>
      <c r="IT596" s="27" t="s">
        <v>7</v>
      </c>
      <c r="IU596" s="27" t="s">
        <v>8</v>
      </c>
      <c r="IV596" s="27" t="s">
        <v>7</v>
      </c>
      <c r="IW596" s="27" t="s">
        <v>8</v>
      </c>
      <c r="IX596" s="27" t="s">
        <v>7</v>
      </c>
      <c r="JA596" s="27" t="s">
        <v>8</v>
      </c>
      <c r="JB596" s="27" t="s">
        <v>7</v>
      </c>
      <c r="JC596" s="27" t="s">
        <v>8</v>
      </c>
      <c r="JD596" s="27" t="s">
        <v>7</v>
      </c>
      <c r="JE596" s="27" t="s">
        <v>8</v>
      </c>
      <c r="JF596" s="27" t="s">
        <v>7</v>
      </c>
      <c r="LC596" s="27" t="s">
        <v>8</v>
      </c>
      <c r="LH596" s="27" t="s">
        <v>7</v>
      </c>
      <c r="LI596" s="27" t="s">
        <v>8</v>
      </c>
      <c r="LJ596" s="27" t="s">
        <v>7</v>
      </c>
      <c r="LL596" s="27" t="s">
        <v>7</v>
      </c>
      <c r="LM596" s="27" t="s">
        <v>8</v>
      </c>
      <c r="ND596" s="27" t="s">
        <v>7</v>
      </c>
      <c r="NE596" s="27" t="s">
        <v>8</v>
      </c>
      <c r="NH596" s="27" t="s">
        <v>7</v>
      </c>
      <c r="NI596" s="27" t="s">
        <v>8</v>
      </c>
      <c r="NT596" s="27" t="s">
        <v>7</v>
      </c>
      <c r="NU596" s="27" t="s">
        <v>8</v>
      </c>
      <c r="NV596" s="27" t="s">
        <v>7</v>
      </c>
      <c r="OM596" s="27" t="s">
        <v>8</v>
      </c>
      <c r="ON596" s="27" t="s">
        <v>7</v>
      </c>
      <c r="OO596" s="27" t="s">
        <v>8</v>
      </c>
      <c r="OP596" s="27" t="s">
        <v>7</v>
      </c>
      <c r="OQ596" s="27" t="s">
        <v>8</v>
      </c>
      <c r="OR596" s="27" t="s">
        <v>7</v>
      </c>
      <c r="OS596" s="27" t="s">
        <v>8</v>
      </c>
      <c r="PD596" s="27" t="s">
        <v>7</v>
      </c>
      <c r="PJ596" s="27" t="s">
        <v>7</v>
      </c>
      <c r="PK596" s="27" t="s">
        <v>8</v>
      </c>
      <c r="PL596" s="27" t="s">
        <v>7</v>
      </c>
      <c r="PO596" s="27" t="s">
        <v>8</v>
      </c>
      <c r="PP596" s="27" t="s">
        <v>7</v>
      </c>
      <c r="PZ596" s="27" t="s">
        <v>7</v>
      </c>
      <c r="QA596" s="27" t="s">
        <v>8</v>
      </c>
      <c r="QR596" s="27" t="s">
        <v>7</v>
      </c>
    </row>
    <row r="597" spans="1:474" x14ac:dyDescent="0.25">
      <c r="A597" s="7">
        <v>0.82034829987515545</v>
      </c>
      <c r="B597"/>
      <c r="C597"/>
      <c r="D597"/>
      <c r="E597"/>
      <c r="L597" s="27" t="s">
        <v>7</v>
      </c>
      <c r="M597" s="27" t="s">
        <v>8</v>
      </c>
      <c r="N597" s="27" t="s">
        <v>7</v>
      </c>
      <c r="O597" s="27" t="s">
        <v>8</v>
      </c>
      <c r="P597" s="27" t="s">
        <v>7</v>
      </c>
      <c r="Y597" s="27" t="s">
        <v>8</v>
      </c>
      <c r="AY597" s="27" t="s">
        <v>8</v>
      </c>
      <c r="BB597" s="27" t="s">
        <v>7</v>
      </c>
      <c r="BC597" s="27" t="s">
        <v>8</v>
      </c>
      <c r="DJ597" s="27" t="s">
        <v>7</v>
      </c>
      <c r="DK597" s="27" t="s">
        <v>8</v>
      </c>
      <c r="DT597" s="27" t="s">
        <v>7</v>
      </c>
      <c r="DU597" s="27" t="s">
        <v>8</v>
      </c>
      <c r="DW597" s="27" t="s">
        <v>8</v>
      </c>
      <c r="DX597" s="27" t="s">
        <v>7</v>
      </c>
      <c r="EC597" s="27" t="s">
        <v>8</v>
      </c>
      <c r="ED597" s="27" t="s">
        <v>7</v>
      </c>
      <c r="EE597" s="27" t="s">
        <v>8</v>
      </c>
      <c r="EF597" s="27" t="s">
        <v>7</v>
      </c>
      <c r="EQ597" s="27" t="s">
        <v>8</v>
      </c>
      <c r="ER597" s="27" t="s">
        <v>7</v>
      </c>
      <c r="ET597" s="27" t="s">
        <v>7</v>
      </c>
      <c r="EX597" s="27" t="s">
        <v>7</v>
      </c>
      <c r="EY597" s="27" t="s">
        <v>8</v>
      </c>
      <c r="EZ597" s="27" t="s">
        <v>7</v>
      </c>
      <c r="FW597" s="27" t="s">
        <v>8</v>
      </c>
      <c r="FX597" s="27" t="s">
        <v>7</v>
      </c>
      <c r="FZ597" s="27" t="s">
        <v>7</v>
      </c>
      <c r="GB597" s="27" t="s">
        <v>7</v>
      </c>
      <c r="GC597" s="27" t="s">
        <v>8</v>
      </c>
      <c r="GD597" s="27" t="s">
        <v>7</v>
      </c>
      <c r="GF597" s="27" t="s">
        <v>7</v>
      </c>
      <c r="IM597" s="27" t="s">
        <v>8</v>
      </c>
      <c r="IN597" s="27" t="s">
        <v>7</v>
      </c>
      <c r="IO597" s="27" t="s">
        <v>8</v>
      </c>
      <c r="IP597" s="27" t="s">
        <v>7</v>
      </c>
      <c r="IQ597" s="27" t="s">
        <v>8</v>
      </c>
      <c r="IR597" s="27" t="s">
        <v>7</v>
      </c>
      <c r="IS597" s="27" t="s">
        <v>8</v>
      </c>
      <c r="IT597" s="27" t="s">
        <v>7</v>
      </c>
      <c r="IU597" s="27" t="s">
        <v>8</v>
      </c>
      <c r="IV597" s="27" t="s">
        <v>7</v>
      </c>
      <c r="IX597" s="27" t="s">
        <v>7</v>
      </c>
      <c r="JA597" s="27" t="s">
        <v>8</v>
      </c>
      <c r="JB597" s="27" t="s">
        <v>7</v>
      </c>
      <c r="JC597" s="27" t="s">
        <v>8</v>
      </c>
      <c r="JD597" s="27" t="s">
        <v>7</v>
      </c>
      <c r="JE597" s="27" t="s">
        <v>8</v>
      </c>
      <c r="JF597" s="27" t="s">
        <v>7</v>
      </c>
      <c r="LC597" s="27" t="s">
        <v>8</v>
      </c>
      <c r="LH597" s="27" t="s">
        <v>7</v>
      </c>
      <c r="LL597" s="27" t="s">
        <v>7</v>
      </c>
      <c r="LM597" s="27" t="s">
        <v>8</v>
      </c>
      <c r="ND597" s="27" t="s">
        <v>7</v>
      </c>
      <c r="NE597" s="27" t="s">
        <v>8</v>
      </c>
      <c r="NH597" s="27" t="s">
        <v>7</v>
      </c>
      <c r="NI597" s="27" t="s">
        <v>8</v>
      </c>
      <c r="NT597" s="27" t="s">
        <v>7</v>
      </c>
      <c r="NV597" s="27" t="s">
        <v>7</v>
      </c>
      <c r="OM597" s="27" t="s">
        <v>8</v>
      </c>
      <c r="ON597" s="27" t="s">
        <v>7</v>
      </c>
      <c r="OO597" s="27" t="s">
        <v>8</v>
      </c>
      <c r="OP597" s="27" t="s">
        <v>7</v>
      </c>
      <c r="OQ597" s="27" t="s">
        <v>8</v>
      </c>
      <c r="OR597" s="27" t="s">
        <v>7</v>
      </c>
      <c r="PJ597" s="27" t="s">
        <v>7</v>
      </c>
      <c r="PK597" s="27" t="s">
        <v>8</v>
      </c>
      <c r="PL597" s="27" t="s">
        <v>7</v>
      </c>
      <c r="PO597" s="27" t="s">
        <v>8</v>
      </c>
      <c r="PZ597" s="27" t="s">
        <v>7</v>
      </c>
      <c r="QA597" s="27" t="s">
        <v>8</v>
      </c>
      <c r="QR597" s="27" t="s">
        <v>7</v>
      </c>
    </row>
    <row r="598" spans="1:474" x14ac:dyDescent="0.25">
      <c r="A598" s="7">
        <v>0.80426303909328967</v>
      </c>
      <c r="B598"/>
      <c r="C598"/>
      <c r="D598"/>
      <c r="E598"/>
      <c r="L598" s="27" t="s">
        <v>7</v>
      </c>
      <c r="M598" s="27" t="s">
        <v>8</v>
      </c>
      <c r="N598" s="27" t="s">
        <v>7</v>
      </c>
      <c r="O598" s="27" t="s">
        <v>8</v>
      </c>
      <c r="P598" s="27" t="s">
        <v>7</v>
      </c>
      <c r="Y598" s="27" t="s">
        <v>8</v>
      </c>
      <c r="Z598" s="27" t="s">
        <v>7</v>
      </c>
      <c r="AY598" s="27" t="s">
        <v>8</v>
      </c>
      <c r="BB598" s="27" t="s">
        <v>7</v>
      </c>
      <c r="BC598" s="27" t="s">
        <v>8</v>
      </c>
      <c r="DJ598" s="27" t="s">
        <v>7</v>
      </c>
      <c r="DK598" s="27" t="s">
        <v>8</v>
      </c>
      <c r="DT598" s="27" t="s">
        <v>7</v>
      </c>
      <c r="DU598" s="27" t="s">
        <v>8</v>
      </c>
      <c r="DV598" s="27" t="s">
        <v>7</v>
      </c>
      <c r="DW598" s="27" t="s">
        <v>8</v>
      </c>
      <c r="DX598" s="27" t="s">
        <v>7</v>
      </c>
      <c r="EA598" s="27" t="s">
        <v>8</v>
      </c>
      <c r="EC598" s="27" t="s">
        <v>8</v>
      </c>
      <c r="ED598" s="27" t="s">
        <v>7</v>
      </c>
      <c r="EE598" s="27" t="s">
        <v>8</v>
      </c>
      <c r="EF598" s="27" t="s">
        <v>7</v>
      </c>
      <c r="EQ598" s="27" t="s">
        <v>8</v>
      </c>
      <c r="EX598" s="27" t="s">
        <v>7</v>
      </c>
      <c r="EZ598" s="27" t="s">
        <v>7</v>
      </c>
      <c r="FW598" s="27" t="s">
        <v>8</v>
      </c>
      <c r="GB598" s="27" t="s">
        <v>7</v>
      </c>
      <c r="GF598" s="27" t="s">
        <v>7</v>
      </c>
      <c r="IM598" s="27" t="s">
        <v>8</v>
      </c>
      <c r="IN598" s="27" t="s">
        <v>7</v>
      </c>
      <c r="IO598" s="27" t="s">
        <v>8</v>
      </c>
      <c r="IP598" s="27" t="s">
        <v>7</v>
      </c>
      <c r="IQ598" s="27" t="s">
        <v>8</v>
      </c>
      <c r="IR598" s="27" t="s">
        <v>7</v>
      </c>
      <c r="IT598" s="27" t="s">
        <v>7</v>
      </c>
      <c r="IX598" s="27" t="s">
        <v>7</v>
      </c>
      <c r="JA598" s="27" t="s">
        <v>8</v>
      </c>
      <c r="JB598" s="27" t="s">
        <v>7</v>
      </c>
      <c r="JC598" s="27" t="s">
        <v>8</v>
      </c>
      <c r="JD598" s="27" t="s">
        <v>7</v>
      </c>
      <c r="JE598" s="27" t="s">
        <v>8</v>
      </c>
      <c r="JF598" s="27" t="s">
        <v>7</v>
      </c>
      <c r="LC598" s="27" t="s">
        <v>8</v>
      </c>
      <c r="LL598" s="27" t="s">
        <v>7</v>
      </c>
      <c r="LM598" s="27" t="s">
        <v>8</v>
      </c>
      <c r="ND598" s="27" t="s">
        <v>7</v>
      </c>
      <c r="NE598" s="27" t="s">
        <v>8</v>
      </c>
      <c r="NH598" s="27" t="s">
        <v>7</v>
      </c>
      <c r="NI598" s="27" t="s">
        <v>8</v>
      </c>
      <c r="NV598" s="27" t="s">
        <v>7</v>
      </c>
      <c r="OM598" s="27" t="s">
        <v>8</v>
      </c>
      <c r="ON598" s="27" t="s">
        <v>7</v>
      </c>
      <c r="OO598" s="27" t="s">
        <v>8</v>
      </c>
      <c r="OP598" s="27" t="s">
        <v>7</v>
      </c>
      <c r="OQ598" s="27" t="s">
        <v>8</v>
      </c>
      <c r="PJ598" s="27" t="s">
        <v>7</v>
      </c>
      <c r="PK598" s="27" t="s">
        <v>8</v>
      </c>
      <c r="PL598" s="27" t="s">
        <v>7</v>
      </c>
      <c r="PM598" s="27" t="s">
        <v>8</v>
      </c>
      <c r="PO598" s="27" t="s">
        <v>8</v>
      </c>
      <c r="PZ598" s="27" t="s">
        <v>7</v>
      </c>
      <c r="QA598" s="27" t="s">
        <v>8</v>
      </c>
      <c r="QR598" s="27" t="s">
        <v>7</v>
      </c>
      <c r="QS598" s="27" t="s">
        <v>8</v>
      </c>
      <c r="QU598" s="27" t="s">
        <v>8</v>
      </c>
    </row>
    <row r="599" spans="1:474" x14ac:dyDescent="0.25">
      <c r="A599" s="7">
        <v>0.78849317558165644</v>
      </c>
      <c r="B599"/>
      <c r="C599"/>
      <c r="D599"/>
      <c r="E599"/>
      <c r="L599" s="27" t="s">
        <v>7</v>
      </c>
      <c r="M599" s="27" t="s">
        <v>8</v>
      </c>
      <c r="N599" s="27" t="s">
        <v>7</v>
      </c>
      <c r="O599" s="27" t="s">
        <v>8</v>
      </c>
      <c r="P599" s="27" t="s">
        <v>7</v>
      </c>
      <c r="W599" s="27" t="s">
        <v>8</v>
      </c>
      <c r="Y599" s="27" t="s">
        <v>8</v>
      </c>
      <c r="Z599" s="27" t="s">
        <v>7</v>
      </c>
      <c r="AY599" s="27" t="s">
        <v>8</v>
      </c>
      <c r="BB599" s="27" t="s">
        <v>7</v>
      </c>
      <c r="BC599" s="27" t="s">
        <v>8</v>
      </c>
      <c r="DJ599" s="27" t="s">
        <v>7</v>
      </c>
      <c r="DK599" s="27" t="s">
        <v>8</v>
      </c>
      <c r="DT599" s="27" t="s">
        <v>7</v>
      </c>
      <c r="DU599" s="27" t="s">
        <v>8</v>
      </c>
      <c r="DV599" s="27" t="s">
        <v>7</v>
      </c>
      <c r="DW599" s="27" t="s">
        <v>8</v>
      </c>
      <c r="DX599" s="27" t="s">
        <v>7</v>
      </c>
      <c r="EA599" s="27" t="s">
        <v>8</v>
      </c>
      <c r="EB599" s="27" t="s">
        <v>7</v>
      </c>
      <c r="EC599" s="27" t="s">
        <v>8</v>
      </c>
      <c r="ED599" s="27" t="s">
        <v>7</v>
      </c>
      <c r="EE599" s="27" t="s">
        <v>8</v>
      </c>
      <c r="EF599" s="27" t="s">
        <v>7</v>
      </c>
      <c r="EQ599" s="27" t="s">
        <v>8</v>
      </c>
      <c r="EZ599" s="27" t="s">
        <v>7</v>
      </c>
      <c r="FW599" s="27" t="s">
        <v>8</v>
      </c>
      <c r="GF599" s="27" t="s">
        <v>7</v>
      </c>
      <c r="IE599" s="27" t="s">
        <v>8</v>
      </c>
      <c r="IG599" s="27" t="s">
        <v>8</v>
      </c>
      <c r="IM599" s="27" t="s">
        <v>8</v>
      </c>
      <c r="IN599" s="27" t="s">
        <v>7</v>
      </c>
      <c r="IO599" s="27" t="s">
        <v>8</v>
      </c>
      <c r="IP599" s="27" t="s">
        <v>7</v>
      </c>
      <c r="IQ599" s="27" t="s">
        <v>8</v>
      </c>
      <c r="IX599" s="27" t="s">
        <v>7</v>
      </c>
      <c r="JA599" s="27" t="s">
        <v>8</v>
      </c>
      <c r="JB599" s="27" t="s">
        <v>7</v>
      </c>
      <c r="JC599" s="27" t="s">
        <v>8</v>
      </c>
      <c r="JD599" s="27" t="s">
        <v>7</v>
      </c>
      <c r="JE599" s="27" t="s">
        <v>8</v>
      </c>
      <c r="JF599" s="27" t="s">
        <v>7</v>
      </c>
      <c r="LC599" s="27" t="s">
        <v>8</v>
      </c>
      <c r="LL599" s="27" t="s">
        <v>7</v>
      </c>
      <c r="ND599" s="27" t="s">
        <v>7</v>
      </c>
      <c r="NE599" s="27" t="s">
        <v>8</v>
      </c>
      <c r="NH599" s="27" t="s">
        <v>7</v>
      </c>
      <c r="NI599" s="27" t="s">
        <v>8</v>
      </c>
      <c r="NV599" s="27" t="s">
        <v>7</v>
      </c>
      <c r="OM599" s="27" t="s">
        <v>8</v>
      </c>
      <c r="ON599" s="27" t="s">
        <v>7</v>
      </c>
      <c r="OP599" s="27" t="s">
        <v>7</v>
      </c>
      <c r="OQ599" s="27" t="s">
        <v>8</v>
      </c>
      <c r="PJ599" s="27" t="s">
        <v>7</v>
      </c>
      <c r="PK599" s="27" t="s">
        <v>8</v>
      </c>
      <c r="PL599" s="27" t="s">
        <v>7</v>
      </c>
      <c r="PM599" s="27" t="s">
        <v>8</v>
      </c>
      <c r="PN599" s="27" t="s">
        <v>7</v>
      </c>
      <c r="PO599" s="27" t="s">
        <v>8</v>
      </c>
      <c r="PZ599" s="27" t="s">
        <v>7</v>
      </c>
      <c r="QR599" s="27" t="s">
        <v>7</v>
      </c>
      <c r="QS599" s="27" t="s">
        <v>8</v>
      </c>
      <c r="QT599" s="27" t="s">
        <v>7</v>
      </c>
      <c r="QU599" s="27" t="s">
        <v>8</v>
      </c>
      <c r="QV599" s="27" t="s">
        <v>7</v>
      </c>
    </row>
    <row r="600" spans="1:474" x14ac:dyDescent="0.25">
      <c r="A600" s="7">
        <v>0.77303252508005538</v>
      </c>
      <c r="B600"/>
      <c r="C600"/>
      <c r="D600"/>
      <c r="E600"/>
      <c r="L600" s="27" t="s">
        <v>7</v>
      </c>
      <c r="M600" s="27" t="s">
        <v>8</v>
      </c>
      <c r="N600" s="27" t="s">
        <v>7</v>
      </c>
      <c r="O600" s="27" t="s">
        <v>8</v>
      </c>
      <c r="P600" s="27" t="s">
        <v>7</v>
      </c>
      <c r="W600" s="27" t="s">
        <v>8</v>
      </c>
      <c r="X600" s="27" t="s">
        <v>7</v>
      </c>
      <c r="Y600" s="27" t="s">
        <v>8</v>
      </c>
      <c r="Z600" s="27" t="s">
        <v>7</v>
      </c>
      <c r="AY600" s="27" t="s">
        <v>8</v>
      </c>
      <c r="BB600" s="27" t="s">
        <v>7</v>
      </c>
      <c r="DJ600" s="27" t="s">
        <v>7</v>
      </c>
      <c r="DT600" s="27" t="s">
        <v>7</v>
      </c>
      <c r="DU600" s="27" t="s">
        <v>8</v>
      </c>
      <c r="DV600" s="27" t="s">
        <v>7</v>
      </c>
      <c r="DW600" s="27" t="s">
        <v>8</v>
      </c>
      <c r="DX600" s="27" t="s">
        <v>7</v>
      </c>
      <c r="EA600" s="27" t="s">
        <v>8</v>
      </c>
      <c r="EB600" s="27" t="s">
        <v>7</v>
      </c>
      <c r="EC600" s="27" t="s">
        <v>8</v>
      </c>
      <c r="ED600" s="27" t="s">
        <v>7</v>
      </c>
      <c r="EF600" s="27" t="s">
        <v>7</v>
      </c>
      <c r="EQ600" s="27" t="s">
        <v>8</v>
      </c>
      <c r="EZ600" s="27" t="s">
        <v>7</v>
      </c>
      <c r="FW600" s="27" t="s">
        <v>8</v>
      </c>
      <c r="GF600" s="27" t="s">
        <v>7</v>
      </c>
      <c r="IE600" s="27" t="s">
        <v>8</v>
      </c>
      <c r="IF600" s="27" t="s">
        <v>7</v>
      </c>
      <c r="IG600" s="27" t="s">
        <v>8</v>
      </c>
      <c r="IH600" s="27" t="s">
        <v>7</v>
      </c>
      <c r="II600" s="27" t="s">
        <v>8</v>
      </c>
      <c r="IM600" s="27" t="s">
        <v>8</v>
      </c>
      <c r="IN600" s="27" t="s">
        <v>7</v>
      </c>
      <c r="IO600" s="27" t="s">
        <v>8</v>
      </c>
      <c r="IP600" s="27" t="s">
        <v>7</v>
      </c>
      <c r="IQ600" s="27" t="s">
        <v>8</v>
      </c>
      <c r="IX600" s="27" t="s">
        <v>7</v>
      </c>
      <c r="JA600" s="27" t="s">
        <v>8</v>
      </c>
      <c r="JB600" s="27" t="s">
        <v>7</v>
      </c>
      <c r="JC600" s="27" t="s">
        <v>8</v>
      </c>
      <c r="JD600" s="27" t="s">
        <v>7</v>
      </c>
      <c r="JF600" s="27" t="s">
        <v>7</v>
      </c>
      <c r="LC600" s="27" t="s">
        <v>8</v>
      </c>
      <c r="ND600" s="27" t="s">
        <v>7</v>
      </c>
      <c r="NH600" s="27" t="s">
        <v>7</v>
      </c>
      <c r="NI600" s="27" t="s">
        <v>8</v>
      </c>
      <c r="NV600" s="27" t="s">
        <v>7</v>
      </c>
      <c r="OC600" s="27" t="s">
        <v>8</v>
      </c>
      <c r="OM600" s="27" t="s">
        <v>8</v>
      </c>
      <c r="OP600" s="27" t="s">
        <v>7</v>
      </c>
      <c r="PJ600" s="27" t="s">
        <v>7</v>
      </c>
      <c r="PL600" s="27" t="s">
        <v>7</v>
      </c>
      <c r="PM600" s="27" t="s">
        <v>8</v>
      </c>
      <c r="PN600" s="27" t="s">
        <v>7</v>
      </c>
      <c r="PO600" s="27" t="s">
        <v>8</v>
      </c>
      <c r="QR600" s="27" t="s">
        <v>7</v>
      </c>
      <c r="QS600" s="27" t="s">
        <v>8</v>
      </c>
      <c r="QT600" s="27" t="s">
        <v>7</v>
      </c>
      <c r="QU600" s="27" t="s">
        <v>8</v>
      </c>
      <c r="QV600" s="27" t="s">
        <v>7</v>
      </c>
      <c r="RC600" s="27" t="s">
        <v>8</v>
      </c>
    </row>
    <row r="601" spans="1:474" x14ac:dyDescent="0.25">
      <c r="A601" s="7">
        <v>0.75787502458828959</v>
      </c>
      <c r="B601"/>
      <c r="C601"/>
      <c r="D601"/>
      <c r="E601"/>
      <c r="L601" s="27" t="s">
        <v>7</v>
      </c>
      <c r="M601" s="27" t="s">
        <v>8</v>
      </c>
      <c r="N601" s="27" t="s">
        <v>7</v>
      </c>
      <c r="O601" s="27" t="s">
        <v>8</v>
      </c>
      <c r="P601" s="27" t="s">
        <v>7</v>
      </c>
      <c r="W601" s="27" t="s">
        <v>8</v>
      </c>
      <c r="X601" s="27" t="s">
        <v>7</v>
      </c>
      <c r="Y601" s="27" t="s">
        <v>8</v>
      </c>
      <c r="Z601" s="27" t="s">
        <v>7</v>
      </c>
      <c r="AW601" s="27" t="s">
        <v>8</v>
      </c>
      <c r="AY601" s="27" t="s">
        <v>8</v>
      </c>
      <c r="DT601" s="27" t="s">
        <v>7</v>
      </c>
      <c r="DU601" s="27" t="s">
        <v>8</v>
      </c>
      <c r="DV601" s="27" t="s">
        <v>7</v>
      </c>
      <c r="DW601" s="27" t="s">
        <v>8</v>
      </c>
      <c r="DX601" s="27" t="s">
        <v>7</v>
      </c>
      <c r="EA601" s="27" t="s">
        <v>8</v>
      </c>
      <c r="EB601" s="27" t="s">
        <v>7</v>
      </c>
      <c r="EC601" s="27" t="s">
        <v>8</v>
      </c>
      <c r="EF601" s="27" t="s">
        <v>7</v>
      </c>
      <c r="EQ601" s="27" t="s">
        <v>8</v>
      </c>
      <c r="EZ601" s="27" t="s">
        <v>7</v>
      </c>
      <c r="FW601" s="27" t="s">
        <v>8</v>
      </c>
      <c r="GF601" s="27" t="s">
        <v>7</v>
      </c>
      <c r="GI601" s="27" t="s">
        <v>8</v>
      </c>
      <c r="IE601" s="27" t="s">
        <v>8</v>
      </c>
      <c r="IF601" s="27" t="s">
        <v>7</v>
      </c>
      <c r="IG601" s="27" t="s">
        <v>8</v>
      </c>
      <c r="IH601" s="27" t="s">
        <v>7</v>
      </c>
      <c r="II601" s="27" t="s">
        <v>8</v>
      </c>
      <c r="IJ601" s="27" t="s">
        <v>7</v>
      </c>
      <c r="IM601" s="27" t="s">
        <v>8</v>
      </c>
      <c r="IN601" s="27" t="s">
        <v>7</v>
      </c>
      <c r="IO601" s="27" t="s">
        <v>8</v>
      </c>
      <c r="IP601" s="27" t="s">
        <v>7</v>
      </c>
      <c r="IX601" s="27" t="s">
        <v>7</v>
      </c>
      <c r="JA601" s="27" t="s">
        <v>8</v>
      </c>
      <c r="JB601" s="27" t="s">
        <v>7</v>
      </c>
      <c r="JC601" s="27" t="s">
        <v>8</v>
      </c>
      <c r="JF601" s="27" t="s">
        <v>7</v>
      </c>
      <c r="LC601" s="27" t="s">
        <v>8</v>
      </c>
      <c r="NH601" s="27" t="s">
        <v>7</v>
      </c>
      <c r="NI601" s="27" t="s">
        <v>8</v>
      </c>
      <c r="NV601" s="27" t="s">
        <v>7</v>
      </c>
      <c r="NY601" s="27" t="s">
        <v>8</v>
      </c>
      <c r="OC601" s="27" t="s">
        <v>8</v>
      </c>
      <c r="OD601" s="27" t="s">
        <v>7</v>
      </c>
      <c r="OM601" s="27" t="s">
        <v>8</v>
      </c>
      <c r="PL601" s="27" t="s">
        <v>7</v>
      </c>
      <c r="PM601" s="27" t="s">
        <v>8</v>
      </c>
      <c r="PN601" s="27" t="s">
        <v>7</v>
      </c>
      <c r="PO601" s="27" t="s">
        <v>8</v>
      </c>
      <c r="QR601" s="27" t="s">
        <v>7</v>
      </c>
      <c r="QS601" s="27" t="s">
        <v>8</v>
      </c>
      <c r="QT601" s="27" t="s">
        <v>7</v>
      </c>
      <c r="QU601" s="27" t="s">
        <v>8</v>
      </c>
      <c r="QV601" s="27" t="s">
        <v>7</v>
      </c>
      <c r="RC601" s="27" t="s">
        <v>8</v>
      </c>
      <c r="RD601" s="27" t="s">
        <v>7</v>
      </c>
    </row>
    <row r="602" spans="1:474" x14ac:dyDescent="0.25">
      <c r="A602" s="7">
        <v>0.74301472998851925</v>
      </c>
      <c r="B602"/>
      <c r="C602"/>
      <c r="D602"/>
      <c r="E602"/>
      <c r="L602" s="27" t="s">
        <v>7</v>
      </c>
      <c r="M602" s="27" t="s">
        <v>8</v>
      </c>
      <c r="N602" s="27" t="s">
        <v>7</v>
      </c>
      <c r="P602" s="27" t="s">
        <v>7</v>
      </c>
      <c r="W602" s="27" t="s">
        <v>8</v>
      </c>
      <c r="X602" s="27" t="s">
        <v>7</v>
      </c>
      <c r="Y602" s="27" t="s">
        <v>8</v>
      </c>
      <c r="Z602" s="27" t="s">
        <v>7</v>
      </c>
      <c r="AW602" s="27" t="s">
        <v>8</v>
      </c>
      <c r="AX602" s="27" t="s">
        <v>7</v>
      </c>
      <c r="AY602" s="27" t="s">
        <v>8</v>
      </c>
      <c r="DT602" s="27" t="s">
        <v>7</v>
      </c>
      <c r="DV602" s="27" t="s">
        <v>7</v>
      </c>
      <c r="DW602" s="27" t="s">
        <v>8</v>
      </c>
      <c r="DX602" s="27" t="s">
        <v>7</v>
      </c>
      <c r="DY602" s="27" t="s">
        <v>8</v>
      </c>
      <c r="EA602" s="27" t="s">
        <v>8</v>
      </c>
      <c r="EB602" s="27" t="s">
        <v>7</v>
      </c>
      <c r="EC602" s="27" t="s">
        <v>8</v>
      </c>
      <c r="EF602" s="27" t="s">
        <v>7</v>
      </c>
      <c r="EQ602" s="27" t="s">
        <v>8</v>
      </c>
      <c r="EZ602" s="27" t="s">
        <v>7</v>
      </c>
      <c r="FQ602" s="27" t="s">
        <v>8</v>
      </c>
      <c r="FW602" s="27" t="s">
        <v>8</v>
      </c>
      <c r="GF602" s="27" t="s">
        <v>7</v>
      </c>
      <c r="GI602" s="27" t="s">
        <v>8</v>
      </c>
      <c r="GJ602" s="27" t="s">
        <v>7</v>
      </c>
      <c r="IE602" s="27" t="s">
        <v>8</v>
      </c>
      <c r="IF602" s="27" t="s">
        <v>7</v>
      </c>
      <c r="IG602" s="27" t="s">
        <v>8</v>
      </c>
      <c r="IH602" s="27" t="s">
        <v>7</v>
      </c>
      <c r="II602" s="27" t="s">
        <v>8</v>
      </c>
      <c r="IJ602" s="27" t="s">
        <v>7</v>
      </c>
      <c r="IM602" s="27" t="s">
        <v>8</v>
      </c>
      <c r="IN602" s="27" t="s">
        <v>7</v>
      </c>
      <c r="IO602" s="27" t="s">
        <v>8</v>
      </c>
      <c r="IX602" s="27" t="s">
        <v>7</v>
      </c>
      <c r="JA602" s="27" t="s">
        <v>8</v>
      </c>
      <c r="JB602" s="27" t="s">
        <v>7</v>
      </c>
      <c r="JC602" s="27" t="s">
        <v>8</v>
      </c>
      <c r="JF602" s="27" t="s">
        <v>7</v>
      </c>
      <c r="LC602" s="27" t="s">
        <v>8</v>
      </c>
      <c r="NH602" s="27" t="s">
        <v>7</v>
      </c>
      <c r="NV602" s="27" t="s">
        <v>7</v>
      </c>
      <c r="NY602" s="27" t="s">
        <v>8</v>
      </c>
      <c r="NZ602" s="27" t="s">
        <v>7</v>
      </c>
      <c r="OC602" s="27" t="s">
        <v>8</v>
      </c>
      <c r="OD602" s="27" t="s">
        <v>7</v>
      </c>
      <c r="OM602" s="27" t="s">
        <v>8</v>
      </c>
      <c r="PL602" s="27" t="s">
        <v>7</v>
      </c>
      <c r="PN602" s="27" t="s">
        <v>7</v>
      </c>
      <c r="PO602" s="27" t="s">
        <v>8</v>
      </c>
      <c r="QR602" s="27" t="s">
        <v>7</v>
      </c>
      <c r="QS602" s="27" t="s">
        <v>8</v>
      </c>
      <c r="QT602" s="27" t="s">
        <v>7</v>
      </c>
      <c r="QU602" s="27" t="s">
        <v>8</v>
      </c>
      <c r="QV602" s="27" t="s">
        <v>7</v>
      </c>
      <c r="RC602" s="27" t="s">
        <v>8</v>
      </c>
      <c r="RD602" s="27" t="s">
        <v>7</v>
      </c>
    </row>
    <row r="603" spans="1:474" x14ac:dyDescent="0.25">
      <c r="A603" s="7">
        <v>0.72844581371423456</v>
      </c>
      <c r="B603"/>
      <c r="C603"/>
      <c r="D603"/>
      <c r="E603"/>
      <c r="L603" s="27" t="s">
        <v>7</v>
      </c>
      <c r="M603" s="27" t="s">
        <v>8</v>
      </c>
      <c r="P603" s="27" t="s">
        <v>7</v>
      </c>
      <c r="W603" s="27" t="s">
        <v>8</v>
      </c>
      <c r="X603" s="27" t="s">
        <v>7</v>
      </c>
      <c r="Y603" s="27" t="s">
        <v>8</v>
      </c>
      <c r="Z603" s="27" t="s">
        <v>7</v>
      </c>
      <c r="AG603" s="27" t="s">
        <v>8</v>
      </c>
      <c r="AW603" s="27" t="s">
        <v>8</v>
      </c>
      <c r="AX603" s="27" t="s">
        <v>7</v>
      </c>
      <c r="AY603" s="27" t="s">
        <v>8</v>
      </c>
      <c r="DV603" s="27" t="s">
        <v>7</v>
      </c>
      <c r="DW603" s="27" t="s">
        <v>8</v>
      </c>
      <c r="DX603" s="27" t="s">
        <v>7</v>
      </c>
      <c r="DY603" s="27" t="s">
        <v>8</v>
      </c>
      <c r="DZ603" s="27" t="s">
        <v>7</v>
      </c>
      <c r="EA603" s="27" t="s">
        <v>8</v>
      </c>
      <c r="EB603" s="27" t="s">
        <v>7</v>
      </c>
      <c r="EC603" s="27" t="s">
        <v>8</v>
      </c>
      <c r="EF603" s="27" t="s">
        <v>7</v>
      </c>
      <c r="EQ603" s="27" t="s">
        <v>8</v>
      </c>
      <c r="EZ603" s="27" t="s">
        <v>7</v>
      </c>
      <c r="FQ603" s="27" t="s">
        <v>8</v>
      </c>
      <c r="FR603" s="27" t="s">
        <v>7</v>
      </c>
      <c r="FS603" s="27" t="s">
        <v>8</v>
      </c>
      <c r="FW603" s="27" t="s">
        <v>8</v>
      </c>
      <c r="GF603" s="27" t="s">
        <v>7</v>
      </c>
      <c r="GI603" s="27" t="s">
        <v>8</v>
      </c>
      <c r="GJ603" s="27" t="s">
        <v>7</v>
      </c>
      <c r="IE603" s="27" t="s">
        <v>8</v>
      </c>
      <c r="IF603" s="27" t="s">
        <v>7</v>
      </c>
      <c r="IG603" s="27" t="s">
        <v>8</v>
      </c>
      <c r="IH603" s="27" t="s">
        <v>7</v>
      </c>
      <c r="II603" s="27" t="s">
        <v>8</v>
      </c>
      <c r="IJ603" s="27" t="s">
        <v>7</v>
      </c>
      <c r="IK603" s="27" t="s">
        <v>8</v>
      </c>
      <c r="IM603" s="27" t="s">
        <v>8</v>
      </c>
      <c r="IN603" s="27" t="s">
        <v>7</v>
      </c>
      <c r="IO603" s="27" t="s">
        <v>8</v>
      </c>
      <c r="IX603" s="27" t="s">
        <v>7</v>
      </c>
      <c r="JA603" s="27" t="s">
        <v>8</v>
      </c>
      <c r="JB603" s="27" t="s">
        <v>7</v>
      </c>
      <c r="JF603" s="27" t="s">
        <v>7</v>
      </c>
      <c r="JU603" s="27" t="s">
        <v>8</v>
      </c>
      <c r="KS603" s="27" t="s">
        <v>8</v>
      </c>
      <c r="LC603" s="27" t="s">
        <v>8</v>
      </c>
      <c r="NV603" s="27" t="s">
        <v>7</v>
      </c>
      <c r="NY603" s="27" t="s">
        <v>8</v>
      </c>
      <c r="NZ603" s="27" t="s">
        <v>7</v>
      </c>
      <c r="OA603" s="27" t="s">
        <v>8</v>
      </c>
      <c r="OC603" s="27" t="s">
        <v>8</v>
      </c>
      <c r="OD603" s="27" t="s">
        <v>7</v>
      </c>
      <c r="OK603" s="27" t="s">
        <v>8</v>
      </c>
      <c r="OM603" s="27" t="s">
        <v>8</v>
      </c>
      <c r="PN603" s="27" t="s">
        <v>7</v>
      </c>
      <c r="PO603" s="27" t="s">
        <v>8</v>
      </c>
      <c r="QR603" s="27" t="s">
        <v>7</v>
      </c>
      <c r="QS603" s="27" t="s">
        <v>8</v>
      </c>
      <c r="QT603" s="27" t="s">
        <v>7</v>
      </c>
      <c r="QU603" s="27" t="s">
        <v>8</v>
      </c>
      <c r="QV603" s="27" t="s">
        <v>7</v>
      </c>
      <c r="QW603" s="27" t="s">
        <v>8</v>
      </c>
      <c r="RC603" s="27" t="s">
        <v>8</v>
      </c>
      <c r="RD603" s="27" t="s">
        <v>7</v>
      </c>
    </row>
    <row r="604" spans="1:474" x14ac:dyDescent="0.25">
      <c r="A604" s="7">
        <v>0.71416256246493581</v>
      </c>
      <c r="B604"/>
      <c r="C604"/>
      <c r="D604"/>
      <c r="E604"/>
      <c r="L604" s="27" t="s">
        <v>7</v>
      </c>
      <c r="P604" s="27" t="s">
        <v>7</v>
      </c>
      <c r="W604" s="27" t="s">
        <v>8</v>
      </c>
      <c r="X604" s="27" t="s">
        <v>7</v>
      </c>
      <c r="Y604" s="27" t="s">
        <v>8</v>
      </c>
      <c r="Z604" s="27" t="s">
        <v>7</v>
      </c>
      <c r="AG604" s="27" t="s">
        <v>8</v>
      </c>
      <c r="AH604" s="27" t="s">
        <v>7</v>
      </c>
      <c r="AU604" s="27" t="s">
        <v>8</v>
      </c>
      <c r="AW604" s="27" t="s">
        <v>8</v>
      </c>
      <c r="AX604" s="27" t="s">
        <v>7</v>
      </c>
      <c r="AY604" s="27" t="s">
        <v>8</v>
      </c>
      <c r="DV604" s="27" t="s">
        <v>7</v>
      </c>
      <c r="DX604" s="27" t="s">
        <v>7</v>
      </c>
      <c r="DY604" s="27" t="s">
        <v>8</v>
      </c>
      <c r="DZ604" s="27" t="s">
        <v>7</v>
      </c>
      <c r="EA604" s="27" t="s">
        <v>8</v>
      </c>
      <c r="EB604" s="27" t="s">
        <v>7</v>
      </c>
      <c r="EC604" s="27" t="s">
        <v>8</v>
      </c>
      <c r="EF604" s="27" t="s">
        <v>7</v>
      </c>
      <c r="EQ604" s="27" t="s">
        <v>8</v>
      </c>
      <c r="EZ604" s="27" t="s">
        <v>7</v>
      </c>
      <c r="FQ604" s="27" t="s">
        <v>8</v>
      </c>
      <c r="FR604" s="27" t="s">
        <v>7</v>
      </c>
      <c r="FS604" s="27" t="s">
        <v>8</v>
      </c>
      <c r="FT604" s="27" t="s">
        <v>7</v>
      </c>
      <c r="FW604" s="27" t="s">
        <v>8</v>
      </c>
      <c r="GF604" s="27" t="s">
        <v>7</v>
      </c>
      <c r="GG604" s="27" t="s">
        <v>8</v>
      </c>
      <c r="GI604" s="27" t="s">
        <v>8</v>
      </c>
      <c r="GJ604" s="27" t="s">
        <v>7</v>
      </c>
      <c r="IE604" s="27" t="s">
        <v>8</v>
      </c>
      <c r="IF604" s="27" t="s">
        <v>7</v>
      </c>
      <c r="IG604" s="27" t="s">
        <v>8</v>
      </c>
      <c r="IH604" s="27" t="s">
        <v>7</v>
      </c>
      <c r="II604" s="27" t="s">
        <v>8</v>
      </c>
      <c r="IJ604" s="27" t="s">
        <v>7</v>
      </c>
      <c r="IK604" s="27" t="s">
        <v>8</v>
      </c>
      <c r="IL604" s="27" t="s">
        <v>7</v>
      </c>
      <c r="IM604" s="27" t="s">
        <v>8</v>
      </c>
      <c r="IN604" s="27" t="s">
        <v>7</v>
      </c>
      <c r="IX604" s="27" t="s">
        <v>7</v>
      </c>
      <c r="JA604" s="27" t="s">
        <v>8</v>
      </c>
      <c r="JF604" s="27" t="s">
        <v>7</v>
      </c>
      <c r="JU604" s="27" t="s">
        <v>8</v>
      </c>
      <c r="JV604" s="27" t="s">
        <v>7</v>
      </c>
      <c r="KS604" s="27" t="s">
        <v>8</v>
      </c>
      <c r="KT604" s="27" t="s">
        <v>7</v>
      </c>
      <c r="LC604" s="27" t="s">
        <v>8</v>
      </c>
      <c r="NV604" s="27" t="s">
        <v>7</v>
      </c>
      <c r="NY604" s="27" t="s">
        <v>8</v>
      </c>
      <c r="NZ604" s="27" t="s">
        <v>7</v>
      </c>
      <c r="OA604" s="27" t="s">
        <v>8</v>
      </c>
      <c r="OB604" s="27" t="s">
        <v>7</v>
      </c>
      <c r="OC604" s="27" t="s">
        <v>8</v>
      </c>
      <c r="OD604" s="27" t="s">
        <v>7</v>
      </c>
      <c r="OE604" s="27" t="s">
        <v>8</v>
      </c>
      <c r="OK604" s="27" t="s">
        <v>8</v>
      </c>
      <c r="OL604" s="27" t="s">
        <v>7</v>
      </c>
      <c r="OM604" s="27" t="s">
        <v>8</v>
      </c>
      <c r="PN604" s="27" t="s">
        <v>7</v>
      </c>
      <c r="QR604" s="27" t="s">
        <v>7</v>
      </c>
      <c r="QS604" s="27" t="s">
        <v>8</v>
      </c>
      <c r="QT604" s="27" t="s">
        <v>7</v>
      </c>
      <c r="QU604" s="27" t="s">
        <v>8</v>
      </c>
      <c r="QV604" s="27" t="s">
        <v>7</v>
      </c>
      <c r="QW604" s="27" t="s">
        <v>8</v>
      </c>
      <c r="QX604" s="27" t="s">
        <v>7</v>
      </c>
      <c r="RC604" s="27" t="s">
        <v>8</v>
      </c>
      <c r="RD604" s="27" t="s">
        <v>7</v>
      </c>
      <c r="RE604" s="27" t="s">
        <v>8</v>
      </c>
    </row>
    <row r="605" spans="1:474" x14ac:dyDescent="0.25">
      <c r="A605" s="7">
        <v>0.7001593749656233</v>
      </c>
      <c r="B605"/>
      <c r="C605"/>
      <c r="D605"/>
      <c r="E605"/>
      <c r="P605" s="27" t="s">
        <v>7</v>
      </c>
      <c r="W605" s="27" t="s">
        <v>8</v>
      </c>
      <c r="X605" s="27" t="s">
        <v>7</v>
      </c>
      <c r="Z605" s="27" t="s">
        <v>7</v>
      </c>
      <c r="AG605" s="27" t="s">
        <v>8</v>
      </c>
      <c r="AH605" s="27" t="s">
        <v>7</v>
      </c>
      <c r="AU605" s="27" t="s">
        <v>8</v>
      </c>
      <c r="AV605" s="27" t="s">
        <v>7</v>
      </c>
      <c r="AW605" s="27" t="s">
        <v>8</v>
      </c>
      <c r="AX605" s="27" t="s">
        <v>7</v>
      </c>
      <c r="DX605" s="27" t="s">
        <v>7</v>
      </c>
      <c r="DY605" s="27" t="s">
        <v>8</v>
      </c>
      <c r="DZ605" s="27" t="s">
        <v>7</v>
      </c>
      <c r="EA605" s="27" t="s">
        <v>8</v>
      </c>
      <c r="EB605" s="27" t="s">
        <v>7</v>
      </c>
      <c r="EF605" s="27" t="s">
        <v>7</v>
      </c>
      <c r="EQ605" s="27" t="s">
        <v>8</v>
      </c>
      <c r="EZ605" s="27" t="s">
        <v>7</v>
      </c>
      <c r="FQ605" s="27" t="s">
        <v>8</v>
      </c>
      <c r="FR605" s="27" t="s">
        <v>7</v>
      </c>
      <c r="FS605" s="27" t="s">
        <v>8</v>
      </c>
      <c r="FT605" s="27" t="s">
        <v>7</v>
      </c>
      <c r="FW605" s="27" t="s">
        <v>8</v>
      </c>
      <c r="GF605" s="27" t="s">
        <v>7</v>
      </c>
      <c r="GG605" s="27" t="s">
        <v>8</v>
      </c>
      <c r="GH605" s="27" t="s">
        <v>7</v>
      </c>
      <c r="GI605" s="27" t="s">
        <v>8</v>
      </c>
      <c r="GJ605" s="27" t="s">
        <v>7</v>
      </c>
      <c r="IE605" s="27" t="s">
        <v>8</v>
      </c>
      <c r="IF605" s="27" t="s">
        <v>7</v>
      </c>
      <c r="IG605" s="27" t="s">
        <v>8</v>
      </c>
      <c r="IH605" s="27" t="s">
        <v>7</v>
      </c>
      <c r="II605" s="27" t="s">
        <v>8</v>
      </c>
      <c r="IJ605" s="27" t="s">
        <v>7</v>
      </c>
      <c r="IK605" s="27" t="s">
        <v>8</v>
      </c>
      <c r="IL605" s="27" t="s">
        <v>7</v>
      </c>
      <c r="IM605" s="27" t="s">
        <v>8</v>
      </c>
      <c r="IX605" s="27" t="s">
        <v>7</v>
      </c>
      <c r="JA605" s="27" t="s">
        <v>8</v>
      </c>
      <c r="JF605" s="27" t="s">
        <v>7</v>
      </c>
      <c r="JG605" s="27" t="s">
        <v>8</v>
      </c>
      <c r="JU605" s="27" t="s">
        <v>8</v>
      </c>
      <c r="JV605" s="27" t="s">
        <v>7</v>
      </c>
      <c r="KS605" s="27" t="s">
        <v>8</v>
      </c>
      <c r="KT605" s="27" t="s">
        <v>7</v>
      </c>
      <c r="LC605" s="27" t="s">
        <v>8</v>
      </c>
      <c r="NV605" s="27" t="s">
        <v>7</v>
      </c>
      <c r="NY605" s="27" t="s">
        <v>8</v>
      </c>
      <c r="NZ605" s="27" t="s">
        <v>7</v>
      </c>
      <c r="OA605" s="27" t="s">
        <v>8</v>
      </c>
      <c r="OB605" s="27" t="s">
        <v>7</v>
      </c>
      <c r="OC605" s="27" t="s">
        <v>8</v>
      </c>
      <c r="OD605" s="27" t="s">
        <v>7</v>
      </c>
      <c r="OE605" s="27" t="s">
        <v>8</v>
      </c>
      <c r="OF605" s="27" t="s">
        <v>7</v>
      </c>
      <c r="OG605" s="27" t="s">
        <v>8</v>
      </c>
      <c r="OK605" s="27" t="s">
        <v>8</v>
      </c>
      <c r="OL605" s="27" t="s">
        <v>7</v>
      </c>
      <c r="OM605" s="27" t="s">
        <v>8</v>
      </c>
      <c r="QR605" s="27" t="s">
        <v>7</v>
      </c>
      <c r="QS605" s="27" t="s">
        <v>8</v>
      </c>
      <c r="QT605" s="27" t="s">
        <v>7</v>
      </c>
      <c r="QU605" s="27" t="s">
        <v>8</v>
      </c>
      <c r="QV605" s="27" t="s">
        <v>7</v>
      </c>
      <c r="QW605" s="27" t="s">
        <v>8</v>
      </c>
      <c r="QX605" s="27" t="s">
        <v>7</v>
      </c>
      <c r="QY605" s="27" t="s">
        <v>8</v>
      </c>
      <c r="RA605" s="27" t="s">
        <v>8</v>
      </c>
      <c r="RC605" s="27" t="s">
        <v>8</v>
      </c>
      <c r="RD605" s="27" t="s">
        <v>7</v>
      </c>
      <c r="RE605" s="27" t="s">
        <v>8</v>
      </c>
      <c r="RF605" s="27" t="s">
        <v>7</v>
      </c>
    </row>
    <row r="606" spans="1:474" x14ac:dyDescent="0.25">
      <c r="A606" s="7">
        <v>0.68643075977021883</v>
      </c>
      <c r="B606"/>
      <c r="C606"/>
      <c r="D606"/>
      <c r="E606"/>
      <c r="P606" s="27" t="s">
        <v>7</v>
      </c>
      <c r="U606" s="27" t="s">
        <v>8</v>
      </c>
      <c r="W606" s="27" t="s">
        <v>8</v>
      </c>
      <c r="Z606" s="27" t="s">
        <v>7</v>
      </c>
      <c r="AG606" s="27" t="s">
        <v>8</v>
      </c>
      <c r="AH606" s="27" t="s">
        <v>7</v>
      </c>
      <c r="AU606" s="27" t="s">
        <v>8</v>
      </c>
      <c r="AV606" s="27" t="s">
        <v>7</v>
      </c>
      <c r="AW606" s="27" t="s">
        <v>8</v>
      </c>
      <c r="DX606" s="27" t="s">
        <v>7</v>
      </c>
      <c r="DZ606" s="27" t="s">
        <v>7</v>
      </c>
      <c r="EF606" s="27" t="s">
        <v>7</v>
      </c>
      <c r="EQ606" s="27" t="s">
        <v>8</v>
      </c>
      <c r="EZ606" s="27" t="s">
        <v>7</v>
      </c>
      <c r="FC606" s="27" t="s">
        <v>8</v>
      </c>
      <c r="FQ606" s="27" t="s">
        <v>8</v>
      </c>
      <c r="FR606" s="27" t="s">
        <v>7</v>
      </c>
      <c r="FS606" s="27" t="s">
        <v>8</v>
      </c>
      <c r="FT606" s="27" t="s">
        <v>7</v>
      </c>
      <c r="FW606" s="27" t="s">
        <v>8</v>
      </c>
      <c r="GF606" s="27" t="s">
        <v>7</v>
      </c>
      <c r="GG606" s="27" t="s">
        <v>8</v>
      </c>
      <c r="GH606" s="27" t="s">
        <v>7</v>
      </c>
      <c r="GI606" s="27" t="s">
        <v>8</v>
      </c>
      <c r="GJ606" s="27" t="s">
        <v>7</v>
      </c>
      <c r="IE606" s="27" t="s">
        <v>8</v>
      </c>
      <c r="IF606" s="27" t="s">
        <v>7</v>
      </c>
      <c r="IG606" s="27" t="s">
        <v>8</v>
      </c>
      <c r="IH606" s="27" t="s">
        <v>7</v>
      </c>
      <c r="II606" s="27" t="s">
        <v>8</v>
      </c>
      <c r="IJ606" s="27" t="s">
        <v>7</v>
      </c>
      <c r="IL606" s="27" t="s">
        <v>7</v>
      </c>
      <c r="IX606" s="27" t="s">
        <v>7</v>
      </c>
      <c r="IY606" s="27" t="s">
        <v>8</v>
      </c>
      <c r="JA606" s="27" t="s">
        <v>8</v>
      </c>
      <c r="JF606" s="27" t="s">
        <v>7</v>
      </c>
      <c r="JG606" s="27" t="s">
        <v>8</v>
      </c>
      <c r="JH606" s="27" t="s">
        <v>7</v>
      </c>
      <c r="JU606" s="27" t="s">
        <v>8</v>
      </c>
      <c r="JV606" s="27" t="s">
        <v>7</v>
      </c>
      <c r="KQ606" s="27" t="s">
        <v>8</v>
      </c>
      <c r="KS606" s="27" t="s">
        <v>8</v>
      </c>
      <c r="KT606" s="27" t="s">
        <v>7</v>
      </c>
      <c r="LA606" s="27" t="s">
        <v>8</v>
      </c>
      <c r="LC606" s="27" t="s">
        <v>8</v>
      </c>
      <c r="NV606" s="27" t="s">
        <v>7</v>
      </c>
      <c r="NY606" s="27" t="s">
        <v>8</v>
      </c>
      <c r="NZ606" s="27" t="s">
        <v>7</v>
      </c>
      <c r="OA606" s="27" t="s">
        <v>8</v>
      </c>
      <c r="OB606" s="27" t="s">
        <v>7</v>
      </c>
      <c r="OD606" s="27" t="s">
        <v>7</v>
      </c>
      <c r="OE606" s="27" t="s">
        <v>8</v>
      </c>
      <c r="OF606" s="27" t="s">
        <v>7</v>
      </c>
      <c r="OG606" s="27" t="s">
        <v>8</v>
      </c>
      <c r="OH606" s="27" t="s">
        <v>7</v>
      </c>
      <c r="OK606" s="27" t="s">
        <v>8</v>
      </c>
      <c r="OL606" s="27" t="s">
        <v>7</v>
      </c>
      <c r="OM606" s="27" t="s">
        <v>8</v>
      </c>
      <c r="QR606" s="27" t="s">
        <v>7</v>
      </c>
      <c r="QS606" s="27" t="s">
        <v>8</v>
      </c>
      <c r="QT606" s="27" t="s">
        <v>7</v>
      </c>
      <c r="QU606" s="27" t="s">
        <v>8</v>
      </c>
      <c r="QV606" s="27" t="s">
        <v>7</v>
      </c>
      <c r="QX606" s="27" t="s">
        <v>7</v>
      </c>
      <c r="QY606" s="27" t="s">
        <v>8</v>
      </c>
      <c r="QZ606" s="27" t="s">
        <v>7</v>
      </c>
      <c r="RA606" s="27" t="s">
        <v>8</v>
      </c>
      <c r="RB606" s="27" t="s">
        <v>7</v>
      </c>
      <c r="RC606" s="27" t="s">
        <v>8</v>
      </c>
      <c r="RD606" s="27" t="s">
        <v>7</v>
      </c>
      <c r="RE606" s="27" t="s">
        <v>8</v>
      </c>
      <c r="RF606" s="27" t="s">
        <v>7</v>
      </c>
    </row>
    <row r="607" spans="1:474" x14ac:dyDescent="0.25">
      <c r="A607" s="7">
        <v>0.67297133310805768</v>
      </c>
      <c r="B607"/>
      <c r="C607"/>
      <c r="D607"/>
      <c r="E607"/>
      <c r="P607" s="27" t="s">
        <v>7</v>
      </c>
      <c r="U607" s="27" t="s">
        <v>8</v>
      </c>
      <c r="V607" s="27" t="s">
        <v>7</v>
      </c>
      <c r="W607" s="27" t="s">
        <v>8</v>
      </c>
      <c r="Z607" s="27" t="s">
        <v>7</v>
      </c>
      <c r="AA607" s="27" t="s">
        <v>8</v>
      </c>
      <c r="AG607" s="27" t="s">
        <v>8</v>
      </c>
      <c r="AH607" s="27" t="s">
        <v>7</v>
      </c>
      <c r="AU607" s="27" t="s">
        <v>8</v>
      </c>
      <c r="AV607" s="27" t="s">
        <v>7</v>
      </c>
      <c r="AW607" s="27" t="s">
        <v>8</v>
      </c>
      <c r="EF607" s="27" t="s">
        <v>7</v>
      </c>
      <c r="EK607" s="27" t="s">
        <v>8</v>
      </c>
      <c r="EQ607" s="27" t="s">
        <v>8</v>
      </c>
      <c r="EZ607" s="27" t="s">
        <v>7</v>
      </c>
      <c r="FC607" s="27" t="s">
        <v>8</v>
      </c>
      <c r="FD607" s="27" t="s">
        <v>7</v>
      </c>
      <c r="FQ607" s="27" t="s">
        <v>8</v>
      </c>
      <c r="FR607" s="27" t="s">
        <v>7</v>
      </c>
      <c r="FS607" s="27" t="s">
        <v>8</v>
      </c>
      <c r="FT607" s="27" t="s">
        <v>7</v>
      </c>
      <c r="FU607" s="27" t="s">
        <v>8</v>
      </c>
      <c r="FW607" s="27" t="s">
        <v>8</v>
      </c>
      <c r="GF607" s="27" t="s">
        <v>7</v>
      </c>
      <c r="GG607" s="27" t="s">
        <v>8</v>
      </c>
      <c r="GH607" s="27" t="s">
        <v>7</v>
      </c>
      <c r="GI607" s="27" t="s">
        <v>8</v>
      </c>
      <c r="GJ607" s="27" t="s">
        <v>7</v>
      </c>
      <c r="IE607" s="27" t="s">
        <v>8</v>
      </c>
      <c r="IF607" s="27" t="s">
        <v>7</v>
      </c>
      <c r="IG607" s="27" t="s">
        <v>8</v>
      </c>
      <c r="IH607" s="27" t="s">
        <v>7</v>
      </c>
      <c r="II607" s="27" t="s">
        <v>8</v>
      </c>
      <c r="IX607" s="27" t="s">
        <v>7</v>
      </c>
      <c r="IY607" s="27" t="s">
        <v>8</v>
      </c>
      <c r="IZ607" s="27" t="s">
        <v>7</v>
      </c>
      <c r="JA607" s="27" t="s">
        <v>8</v>
      </c>
      <c r="JF607" s="27" t="s">
        <v>7</v>
      </c>
      <c r="JG607" s="27" t="s">
        <v>8</v>
      </c>
      <c r="JH607" s="27" t="s">
        <v>7</v>
      </c>
      <c r="JU607" s="27" t="s">
        <v>8</v>
      </c>
      <c r="JV607" s="27" t="s">
        <v>7</v>
      </c>
      <c r="KO607" s="27" t="s">
        <v>8</v>
      </c>
      <c r="KQ607" s="27" t="s">
        <v>8</v>
      </c>
      <c r="KR607" s="27" t="s">
        <v>7</v>
      </c>
      <c r="KS607" s="27" t="s">
        <v>8</v>
      </c>
      <c r="KT607" s="27" t="s">
        <v>7</v>
      </c>
      <c r="LA607" s="27" t="s">
        <v>8</v>
      </c>
      <c r="LB607" s="27" t="s">
        <v>7</v>
      </c>
      <c r="LC607" s="27" t="s">
        <v>8</v>
      </c>
      <c r="NV607" s="27" t="s">
        <v>7</v>
      </c>
      <c r="NW607" s="27" t="s">
        <v>8</v>
      </c>
      <c r="NY607" s="27" t="s">
        <v>8</v>
      </c>
      <c r="NZ607" s="27" t="s">
        <v>7</v>
      </c>
      <c r="OD607" s="27" t="s">
        <v>7</v>
      </c>
      <c r="OF607" s="27" t="s">
        <v>7</v>
      </c>
      <c r="OG607" s="27" t="s">
        <v>8</v>
      </c>
      <c r="OH607" s="27" t="s">
        <v>7</v>
      </c>
      <c r="OK607" s="27" t="s">
        <v>8</v>
      </c>
      <c r="OL607" s="27" t="s">
        <v>7</v>
      </c>
      <c r="OM607" s="27" t="s">
        <v>8</v>
      </c>
      <c r="QR607" s="27" t="s">
        <v>7</v>
      </c>
      <c r="QS607" s="27" t="s">
        <v>8</v>
      </c>
      <c r="QT607" s="27" t="s">
        <v>7</v>
      </c>
      <c r="QX607" s="27" t="s">
        <v>7</v>
      </c>
      <c r="QY607" s="27" t="s">
        <v>8</v>
      </c>
      <c r="QZ607" s="27" t="s">
        <v>7</v>
      </c>
      <c r="RA607" s="27" t="s">
        <v>8</v>
      </c>
      <c r="RB607" s="27" t="s">
        <v>7</v>
      </c>
      <c r="RC607" s="27" t="s">
        <v>8</v>
      </c>
      <c r="RD607" s="27" t="s">
        <v>7</v>
      </c>
      <c r="RE607" s="27" t="s">
        <v>8</v>
      </c>
      <c r="RF607" s="27" t="s">
        <v>7</v>
      </c>
    </row>
    <row r="608" spans="1:474" x14ac:dyDescent="0.25">
      <c r="A608" s="7">
        <v>0.65977581677260566</v>
      </c>
      <c r="B608"/>
      <c r="C608"/>
      <c r="D608"/>
      <c r="E608"/>
      <c r="P608" s="27" t="s">
        <v>7</v>
      </c>
      <c r="U608" s="27" t="s">
        <v>8</v>
      </c>
      <c r="V608" s="27" t="s">
        <v>7</v>
      </c>
      <c r="W608" s="27" t="s">
        <v>8</v>
      </c>
      <c r="Z608" s="27" t="s">
        <v>7</v>
      </c>
      <c r="AA608" s="27" t="s">
        <v>8</v>
      </c>
      <c r="AB608" s="27" t="s">
        <v>7</v>
      </c>
      <c r="AG608" s="27" t="s">
        <v>8</v>
      </c>
      <c r="AH608" s="27" t="s">
        <v>7</v>
      </c>
      <c r="AU608" s="27" t="s">
        <v>8</v>
      </c>
      <c r="AV608" s="27" t="s">
        <v>7</v>
      </c>
      <c r="AW608" s="27" t="s">
        <v>8</v>
      </c>
      <c r="EF608" s="27" t="s">
        <v>7</v>
      </c>
      <c r="EK608" s="27" t="s">
        <v>8</v>
      </c>
      <c r="EL608" s="27" t="s">
        <v>7</v>
      </c>
      <c r="EM608" s="27" t="s">
        <v>8</v>
      </c>
      <c r="EQ608" s="27" t="s">
        <v>8</v>
      </c>
      <c r="EZ608" s="27" t="s">
        <v>7</v>
      </c>
      <c r="FC608" s="27" t="s">
        <v>8</v>
      </c>
      <c r="FD608" s="27" t="s">
        <v>7</v>
      </c>
      <c r="FQ608" s="27" t="s">
        <v>8</v>
      </c>
      <c r="FR608" s="27" t="s">
        <v>7</v>
      </c>
      <c r="FT608" s="27" t="s">
        <v>7</v>
      </c>
      <c r="FU608" s="27" t="s">
        <v>8</v>
      </c>
      <c r="FV608" s="27" t="s">
        <v>7</v>
      </c>
      <c r="FW608" s="27" t="s">
        <v>8</v>
      </c>
      <c r="GF608" s="27" t="s">
        <v>7</v>
      </c>
      <c r="GH608" s="27" t="s">
        <v>7</v>
      </c>
      <c r="GJ608" s="27" t="s">
        <v>7</v>
      </c>
      <c r="HW608" s="27" t="s">
        <v>8</v>
      </c>
      <c r="IC608" s="27" t="s">
        <v>8</v>
      </c>
      <c r="IE608" s="27" t="s">
        <v>8</v>
      </c>
      <c r="IF608" s="27" t="s">
        <v>7</v>
      </c>
      <c r="IH608" s="27" t="s">
        <v>7</v>
      </c>
      <c r="IX608" s="27" t="s">
        <v>7</v>
      </c>
      <c r="IY608" s="27" t="s">
        <v>8</v>
      </c>
      <c r="IZ608" s="27" t="s">
        <v>7</v>
      </c>
      <c r="JA608" s="27" t="s">
        <v>8</v>
      </c>
      <c r="JF608" s="27" t="s">
        <v>7</v>
      </c>
      <c r="JG608" s="27" t="s">
        <v>8</v>
      </c>
      <c r="JH608" s="27" t="s">
        <v>7</v>
      </c>
      <c r="JU608" s="27" t="s">
        <v>8</v>
      </c>
      <c r="JV608" s="27" t="s">
        <v>7</v>
      </c>
      <c r="KO608" s="27" t="s">
        <v>8</v>
      </c>
      <c r="KP608" s="27" t="s">
        <v>7</v>
      </c>
      <c r="KQ608" s="27" t="s">
        <v>8</v>
      </c>
      <c r="KR608" s="27" t="s">
        <v>7</v>
      </c>
      <c r="KS608" s="27" t="s">
        <v>8</v>
      </c>
      <c r="KT608" s="27" t="s">
        <v>7</v>
      </c>
      <c r="LA608" s="27" t="s">
        <v>8</v>
      </c>
      <c r="LB608" s="27" t="s">
        <v>7</v>
      </c>
      <c r="LC608" s="27" t="s">
        <v>8</v>
      </c>
      <c r="NV608" s="27" t="s">
        <v>7</v>
      </c>
      <c r="NW608" s="27" t="s">
        <v>8</v>
      </c>
      <c r="NX608" s="27" t="s">
        <v>7</v>
      </c>
      <c r="NY608" s="27" t="s">
        <v>8</v>
      </c>
      <c r="OF608" s="27" t="s">
        <v>7</v>
      </c>
      <c r="OG608" s="27" t="s">
        <v>8</v>
      </c>
      <c r="OH608" s="27" t="s">
        <v>7</v>
      </c>
      <c r="OI608" s="27" t="s">
        <v>8</v>
      </c>
      <c r="OK608" s="27" t="s">
        <v>8</v>
      </c>
      <c r="OL608" s="27" t="s">
        <v>7</v>
      </c>
      <c r="QR608" s="27" t="s">
        <v>7</v>
      </c>
      <c r="QS608" s="27" t="s">
        <v>8</v>
      </c>
      <c r="QX608" s="27" t="s">
        <v>7</v>
      </c>
      <c r="QY608" s="27" t="s">
        <v>8</v>
      </c>
      <c r="QZ608" s="27" t="s">
        <v>7</v>
      </c>
      <c r="RB608" s="27" t="s">
        <v>7</v>
      </c>
      <c r="RD608" s="27" t="s">
        <v>7</v>
      </c>
      <c r="RE608" s="27" t="s">
        <v>8</v>
      </c>
      <c r="RF608" s="27" t="s">
        <v>7</v>
      </c>
    </row>
    <row r="609" spans="1:486" x14ac:dyDescent="0.25">
      <c r="A609" s="7">
        <v>0.64683903605157422</v>
      </c>
      <c r="B609"/>
      <c r="C609"/>
      <c r="D609"/>
      <c r="E609"/>
      <c r="P609" s="27" t="s">
        <v>7</v>
      </c>
      <c r="U609" s="27" t="s">
        <v>8</v>
      </c>
      <c r="V609" s="27" t="s">
        <v>7</v>
      </c>
      <c r="W609" s="27" t="s">
        <v>8</v>
      </c>
      <c r="Z609" s="27" t="s">
        <v>7</v>
      </c>
      <c r="AA609" s="27" t="s">
        <v>8</v>
      </c>
      <c r="AB609" s="27" t="s">
        <v>7</v>
      </c>
      <c r="AG609" s="27" t="s">
        <v>8</v>
      </c>
      <c r="AH609" s="27" t="s">
        <v>7</v>
      </c>
      <c r="AM609" s="27" t="s">
        <v>8</v>
      </c>
      <c r="AU609" s="27" t="s">
        <v>8</v>
      </c>
      <c r="AV609" s="27" t="s">
        <v>7</v>
      </c>
      <c r="AW609" s="27" t="s">
        <v>8</v>
      </c>
      <c r="EF609" s="27" t="s">
        <v>7</v>
      </c>
      <c r="EG609" s="27" t="s">
        <v>8</v>
      </c>
      <c r="EK609" s="27" t="s">
        <v>8</v>
      </c>
      <c r="EL609" s="27" t="s">
        <v>7</v>
      </c>
      <c r="EM609" s="27" t="s">
        <v>8</v>
      </c>
      <c r="EN609" s="27" t="s">
        <v>7</v>
      </c>
      <c r="EQ609" s="27" t="s">
        <v>8</v>
      </c>
      <c r="EZ609" s="27" t="s">
        <v>7</v>
      </c>
      <c r="FC609" s="27" t="s">
        <v>8</v>
      </c>
      <c r="FD609" s="27" t="s">
        <v>7</v>
      </c>
      <c r="FE609" s="27" t="s">
        <v>8</v>
      </c>
      <c r="FQ609" s="27" t="s">
        <v>8</v>
      </c>
      <c r="FT609" s="27" t="s">
        <v>7</v>
      </c>
      <c r="FU609" s="27" t="s">
        <v>8</v>
      </c>
      <c r="FV609" s="27" t="s">
        <v>7</v>
      </c>
      <c r="FW609" s="27" t="s">
        <v>8</v>
      </c>
      <c r="GJ609" s="27" t="s">
        <v>7</v>
      </c>
      <c r="HW609" s="27" t="s">
        <v>8</v>
      </c>
      <c r="HX609" s="27" t="s">
        <v>7</v>
      </c>
      <c r="HY609" s="27" t="s">
        <v>8</v>
      </c>
      <c r="IC609" s="27" t="s">
        <v>8</v>
      </c>
      <c r="ID609" s="27" t="s">
        <v>7</v>
      </c>
      <c r="IE609" s="27" t="s">
        <v>8</v>
      </c>
      <c r="IX609" s="27" t="s">
        <v>7</v>
      </c>
      <c r="IY609" s="27" t="s">
        <v>8</v>
      </c>
      <c r="IZ609" s="27" t="s">
        <v>7</v>
      </c>
      <c r="JA609" s="27" t="s">
        <v>8</v>
      </c>
      <c r="JF609" s="27" t="s">
        <v>7</v>
      </c>
      <c r="JG609" s="27" t="s">
        <v>8</v>
      </c>
      <c r="JH609" s="27" t="s">
        <v>7</v>
      </c>
      <c r="JU609" s="27" t="s">
        <v>8</v>
      </c>
      <c r="JV609" s="27" t="s">
        <v>7</v>
      </c>
      <c r="KO609" s="27" t="s">
        <v>8</v>
      </c>
      <c r="KP609" s="27" t="s">
        <v>7</v>
      </c>
      <c r="KQ609" s="27" t="s">
        <v>8</v>
      </c>
      <c r="KR609" s="27" t="s">
        <v>7</v>
      </c>
      <c r="KS609" s="27" t="s">
        <v>8</v>
      </c>
      <c r="KT609" s="27" t="s">
        <v>7</v>
      </c>
      <c r="LA609" s="27" t="s">
        <v>8</v>
      </c>
      <c r="LB609" s="27" t="s">
        <v>7</v>
      </c>
      <c r="LC609" s="27" t="s">
        <v>8</v>
      </c>
      <c r="NV609" s="27" t="s">
        <v>7</v>
      </c>
      <c r="NW609" s="27" t="s">
        <v>8</v>
      </c>
      <c r="NX609" s="27" t="s">
        <v>7</v>
      </c>
      <c r="NY609" s="27" t="s">
        <v>8</v>
      </c>
      <c r="OF609" s="27" t="s">
        <v>7</v>
      </c>
      <c r="OH609" s="27" t="s">
        <v>7</v>
      </c>
      <c r="OI609" s="27" t="s">
        <v>8</v>
      </c>
      <c r="OJ609" s="27" t="s">
        <v>7</v>
      </c>
      <c r="OK609" s="27" t="s">
        <v>8</v>
      </c>
      <c r="QR609" s="27" t="s">
        <v>7</v>
      </c>
      <c r="QS609" s="27" t="s">
        <v>8</v>
      </c>
      <c r="QX609" s="27" t="s">
        <v>7</v>
      </c>
      <c r="RD609" s="27" t="s">
        <v>7</v>
      </c>
      <c r="RF609" s="27" t="s">
        <v>7</v>
      </c>
      <c r="RK609" s="27" t="s">
        <v>8</v>
      </c>
      <c r="RM609" s="27" t="s">
        <v>8</v>
      </c>
    </row>
    <row r="610" spans="1:486" x14ac:dyDescent="0.25">
      <c r="A610" s="7">
        <v>0.63415591769762181</v>
      </c>
      <c r="B610"/>
      <c r="C610"/>
      <c r="D610"/>
      <c r="E610"/>
      <c r="P610" s="27" t="s">
        <v>7</v>
      </c>
      <c r="U610" s="27" t="s">
        <v>8</v>
      </c>
      <c r="V610" s="27" t="s">
        <v>7</v>
      </c>
      <c r="W610" s="27" t="s">
        <v>8</v>
      </c>
      <c r="Z610" s="27" t="s">
        <v>7</v>
      </c>
      <c r="AA610" s="27" t="s">
        <v>8</v>
      </c>
      <c r="AB610" s="27" t="s">
        <v>7</v>
      </c>
      <c r="AC610" s="27" t="s">
        <v>8</v>
      </c>
      <c r="AE610" s="27" t="s">
        <v>8</v>
      </c>
      <c r="AG610" s="27" t="s">
        <v>8</v>
      </c>
      <c r="AH610" s="27" t="s">
        <v>7</v>
      </c>
      <c r="AI610" s="27" t="s">
        <v>8</v>
      </c>
      <c r="AM610" s="27" t="s">
        <v>8</v>
      </c>
      <c r="AN610" s="27" t="s">
        <v>7</v>
      </c>
      <c r="AO610" s="27" t="s">
        <v>8</v>
      </c>
      <c r="AU610" s="27" t="s">
        <v>8</v>
      </c>
      <c r="AV610" s="27" t="s">
        <v>7</v>
      </c>
      <c r="AW610" s="27" t="s">
        <v>8</v>
      </c>
      <c r="EF610" s="27" t="s">
        <v>7</v>
      </c>
      <c r="EG610" s="27" t="s">
        <v>8</v>
      </c>
      <c r="EH610" s="27" t="s">
        <v>7</v>
      </c>
      <c r="EK610" s="27" t="s">
        <v>8</v>
      </c>
      <c r="EL610" s="27" t="s">
        <v>7</v>
      </c>
      <c r="EM610" s="27" t="s">
        <v>8</v>
      </c>
      <c r="EN610" s="27" t="s">
        <v>7</v>
      </c>
      <c r="EQ610" s="27" t="s">
        <v>8</v>
      </c>
      <c r="EZ610" s="27" t="s">
        <v>7</v>
      </c>
      <c r="FA610" s="27" t="s">
        <v>8</v>
      </c>
      <c r="FC610" s="27" t="s">
        <v>8</v>
      </c>
      <c r="FD610" s="27" t="s">
        <v>7</v>
      </c>
      <c r="FE610" s="27" t="s">
        <v>8</v>
      </c>
      <c r="FF610" s="27" t="s">
        <v>7</v>
      </c>
      <c r="FQ610" s="27" t="s">
        <v>8</v>
      </c>
      <c r="FT610" s="27" t="s">
        <v>7</v>
      </c>
      <c r="FV610" s="27" t="s">
        <v>7</v>
      </c>
      <c r="FW610" s="27" t="s">
        <v>8</v>
      </c>
      <c r="GJ610" s="27" t="s">
        <v>7</v>
      </c>
      <c r="HO610" s="27" t="s">
        <v>8</v>
      </c>
      <c r="HW610" s="27" t="s">
        <v>8</v>
      </c>
      <c r="HX610" s="27" t="s">
        <v>7</v>
      </c>
      <c r="HY610" s="27" t="s">
        <v>8</v>
      </c>
      <c r="HZ610" s="27" t="s">
        <v>7</v>
      </c>
      <c r="IC610" s="27" t="s">
        <v>8</v>
      </c>
      <c r="ID610" s="27" t="s">
        <v>7</v>
      </c>
      <c r="IE610" s="27" t="s">
        <v>8</v>
      </c>
      <c r="IX610" s="27" t="s">
        <v>7</v>
      </c>
      <c r="IY610" s="27" t="s">
        <v>8</v>
      </c>
      <c r="IZ610" s="27" t="s">
        <v>7</v>
      </c>
      <c r="JA610" s="27" t="s">
        <v>8</v>
      </c>
      <c r="JF610" s="27" t="s">
        <v>7</v>
      </c>
      <c r="JG610" s="27" t="s">
        <v>8</v>
      </c>
      <c r="JH610" s="27" t="s">
        <v>7</v>
      </c>
      <c r="JU610" s="27" t="s">
        <v>8</v>
      </c>
      <c r="JV610" s="27" t="s">
        <v>7</v>
      </c>
      <c r="KO610" s="27" t="s">
        <v>8</v>
      </c>
      <c r="KP610" s="27" t="s">
        <v>7</v>
      </c>
      <c r="KQ610" s="27" t="s">
        <v>8</v>
      </c>
      <c r="KR610" s="27" t="s">
        <v>7</v>
      </c>
      <c r="KS610" s="27" t="s">
        <v>8</v>
      </c>
      <c r="KT610" s="27" t="s">
        <v>7</v>
      </c>
      <c r="KU610" s="27" t="s">
        <v>8</v>
      </c>
      <c r="KW610" s="27" t="s">
        <v>8</v>
      </c>
      <c r="KY610" s="27" t="s">
        <v>8</v>
      </c>
      <c r="LA610" s="27" t="s">
        <v>8</v>
      </c>
      <c r="LB610" s="27" t="s">
        <v>7</v>
      </c>
      <c r="LC610" s="27" t="s">
        <v>8</v>
      </c>
      <c r="NV610" s="27" t="s">
        <v>7</v>
      </c>
      <c r="NW610" s="27" t="s">
        <v>8</v>
      </c>
      <c r="NX610" s="27" t="s">
        <v>7</v>
      </c>
      <c r="NY610" s="27" t="s">
        <v>8</v>
      </c>
      <c r="OH610" s="27" t="s">
        <v>7</v>
      </c>
      <c r="OI610" s="27" t="s">
        <v>8</v>
      </c>
      <c r="OJ610" s="27" t="s">
        <v>7</v>
      </c>
      <c r="OK610" s="27" t="s">
        <v>8</v>
      </c>
      <c r="QR610" s="27" t="s">
        <v>7</v>
      </c>
      <c r="QS610" s="27" t="s">
        <v>8</v>
      </c>
      <c r="RF610" s="27" t="s">
        <v>7</v>
      </c>
      <c r="RG610" s="27" t="s">
        <v>8</v>
      </c>
      <c r="RK610" s="27" t="s">
        <v>8</v>
      </c>
      <c r="RL610" s="27" t="s">
        <v>7</v>
      </c>
      <c r="RM610" s="27" t="s">
        <v>8</v>
      </c>
      <c r="RN610" s="27" t="s">
        <v>7</v>
      </c>
    </row>
    <row r="611" spans="1:486" x14ac:dyDescent="0.25">
      <c r="A611" s="7">
        <v>0.62172148793884496</v>
      </c>
      <c r="B611"/>
      <c r="C611"/>
      <c r="D611"/>
      <c r="E611"/>
      <c r="P611" s="27" t="s">
        <v>7</v>
      </c>
      <c r="U611" s="27" t="s">
        <v>8</v>
      </c>
      <c r="V611" s="27" t="s">
        <v>7</v>
      </c>
      <c r="W611" s="27" t="s">
        <v>8</v>
      </c>
      <c r="Z611" s="27" t="s">
        <v>7</v>
      </c>
      <c r="AA611" s="27" t="s">
        <v>8</v>
      </c>
      <c r="AB611" s="27" t="s">
        <v>7</v>
      </c>
      <c r="AC611" s="27" t="s">
        <v>8</v>
      </c>
      <c r="AD611" s="27" t="s">
        <v>7</v>
      </c>
      <c r="AE611" s="27" t="s">
        <v>8</v>
      </c>
      <c r="AF611" s="27" t="s">
        <v>7</v>
      </c>
      <c r="AG611" s="27" t="s">
        <v>8</v>
      </c>
      <c r="AH611" s="27" t="s">
        <v>7</v>
      </c>
      <c r="AI611" s="27" t="s">
        <v>8</v>
      </c>
      <c r="AJ611" s="27" t="s">
        <v>7</v>
      </c>
      <c r="AM611" s="27" t="s">
        <v>8</v>
      </c>
      <c r="AN611" s="27" t="s">
        <v>7</v>
      </c>
      <c r="AO611" s="27" t="s">
        <v>8</v>
      </c>
      <c r="AP611" s="27" t="s">
        <v>7</v>
      </c>
      <c r="AU611" s="27" t="s">
        <v>8</v>
      </c>
      <c r="AV611" s="27" t="s">
        <v>7</v>
      </c>
      <c r="EF611" s="27" t="s">
        <v>7</v>
      </c>
      <c r="EG611" s="27" t="s">
        <v>8</v>
      </c>
      <c r="EH611" s="27" t="s">
        <v>7</v>
      </c>
      <c r="EK611" s="27" t="s">
        <v>8</v>
      </c>
      <c r="EL611" s="27" t="s">
        <v>7</v>
      </c>
      <c r="EN611" s="27" t="s">
        <v>7</v>
      </c>
      <c r="EQ611" s="27" t="s">
        <v>8</v>
      </c>
      <c r="EZ611" s="27" t="s">
        <v>7</v>
      </c>
      <c r="FA611" s="27" t="s">
        <v>8</v>
      </c>
      <c r="FB611" s="27" t="s">
        <v>7</v>
      </c>
      <c r="FC611" s="27" t="s">
        <v>8</v>
      </c>
      <c r="FD611" s="27" t="s">
        <v>7</v>
      </c>
      <c r="FE611" s="27" t="s">
        <v>8</v>
      </c>
      <c r="FF611" s="27" t="s">
        <v>7</v>
      </c>
      <c r="FG611" s="27" t="s">
        <v>8</v>
      </c>
      <c r="FO611" s="27" t="s">
        <v>8</v>
      </c>
      <c r="FQ611" s="27" t="s">
        <v>8</v>
      </c>
      <c r="FV611" s="27" t="s">
        <v>7</v>
      </c>
      <c r="FW611" s="27" t="s">
        <v>8</v>
      </c>
      <c r="GJ611" s="27" t="s">
        <v>7</v>
      </c>
      <c r="HO611" s="27" t="s">
        <v>8</v>
      </c>
      <c r="HP611" s="27" t="s">
        <v>7</v>
      </c>
      <c r="HW611" s="27" t="s">
        <v>8</v>
      </c>
      <c r="HX611" s="27" t="s">
        <v>7</v>
      </c>
      <c r="HY611" s="27" t="s">
        <v>8</v>
      </c>
      <c r="HZ611" s="27" t="s">
        <v>7</v>
      </c>
      <c r="IC611" s="27" t="s">
        <v>8</v>
      </c>
      <c r="ID611" s="27" t="s">
        <v>7</v>
      </c>
      <c r="IE611" s="27" t="s">
        <v>8</v>
      </c>
      <c r="IX611" s="27" t="s">
        <v>7</v>
      </c>
      <c r="IY611" s="27" t="s">
        <v>8</v>
      </c>
      <c r="IZ611" s="27" t="s">
        <v>7</v>
      </c>
      <c r="JA611" s="27" t="s">
        <v>8</v>
      </c>
      <c r="JF611" s="27" t="s">
        <v>7</v>
      </c>
      <c r="JG611" s="27" t="s">
        <v>8</v>
      </c>
      <c r="JH611" s="27" t="s">
        <v>7</v>
      </c>
      <c r="JU611" s="27" t="s">
        <v>8</v>
      </c>
      <c r="JV611" s="27" t="s">
        <v>7</v>
      </c>
      <c r="KO611" s="27" t="s">
        <v>8</v>
      </c>
      <c r="KP611" s="27" t="s">
        <v>7</v>
      </c>
      <c r="KQ611" s="27" t="s">
        <v>8</v>
      </c>
      <c r="KR611" s="27" t="s">
        <v>7</v>
      </c>
      <c r="KT611" s="27" t="s">
        <v>7</v>
      </c>
      <c r="KU611" s="27" t="s">
        <v>8</v>
      </c>
      <c r="KV611" s="27" t="s">
        <v>7</v>
      </c>
      <c r="KW611" s="27" t="s">
        <v>8</v>
      </c>
      <c r="KX611" s="27" t="s">
        <v>7</v>
      </c>
      <c r="KY611" s="27" t="s">
        <v>8</v>
      </c>
      <c r="KZ611" s="27" t="s">
        <v>7</v>
      </c>
      <c r="LA611" s="27" t="s">
        <v>8</v>
      </c>
      <c r="LB611" s="27" t="s">
        <v>7</v>
      </c>
      <c r="NV611" s="27" t="s">
        <v>7</v>
      </c>
      <c r="NW611" s="27" t="s">
        <v>8</v>
      </c>
      <c r="NX611" s="27" t="s">
        <v>7</v>
      </c>
      <c r="NY611" s="27" t="s">
        <v>8</v>
      </c>
      <c r="OH611" s="27" t="s">
        <v>7</v>
      </c>
      <c r="OJ611" s="27" t="s">
        <v>7</v>
      </c>
      <c r="OK611" s="27" t="s">
        <v>8</v>
      </c>
      <c r="QR611" s="27" t="s">
        <v>7</v>
      </c>
      <c r="QS611" s="27" t="s">
        <v>8</v>
      </c>
      <c r="RF611" s="27" t="s">
        <v>7</v>
      </c>
      <c r="RG611" s="27" t="s">
        <v>8</v>
      </c>
      <c r="RH611" s="27" t="s">
        <v>7</v>
      </c>
      <c r="RK611" s="27" t="s">
        <v>8</v>
      </c>
      <c r="RL611" s="27" t="s">
        <v>7</v>
      </c>
      <c r="RM611" s="27" t="s">
        <v>8</v>
      </c>
      <c r="RN611" s="27" t="s">
        <v>7</v>
      </c>
    </row>
    <row r="612" spans="1:486" x14ac:dyDescent="0.25">
      <c r="A612" s="7">
        <v>0.60953087052827937</v>
      </c>
      <c r="B612"/>
      <c r="C612"/>
      <c r="D612"/>
      <c r="E612"/>
      <c r="P612" s="27" t="s">
        <v>7</v>
      </c>
      <c r="Q612" s="27" t="s">
        <v>8</v>
      </c>
      <c r="U612" s="27" t="s">
        <v>8</v>
      </c>
      <c r="V612" s="27" t="s">
        <v>7</v>
      </c>
      <c r="W612" s="27" t="s">
        <v>8</v>
      </c>
      <c r="Z612" s="27" t="s">
        <v>7</v>
      </c>
      <c r="AA612" s="27" t="s">
        <v>8</v>
      </c>
      <c r="AB612" s="27" t="s">
        <v>7</v>
      </c>
      <c r="AC612" s="27" t="s">
        <v>8</v>
      </c>
      <c r="AD612" s="27" t="s">
        <v>7</v>
      </c>
      <c r="AE612" s="27" t="s">
        <v>8</v>
      </c>
      <c r="AF612" s="27" t="s">
        <v>7</v>
      </c>
      <c r="AG612" s="27" t="s">
        <v>8</v>
      </c>
      <c r="AH612" s="27" t="s">
        <v>7</v>
      </c>
      <c r="AI612" s="27" t="s">
        <v>8</v>
      </c>
      <c r="AJ612" s="27" t="s">
        <v>7</v>
      </c>
      <c r="AK612" s="27" t="s">
        <v>8</v>
      </c>
      <c r="AM612" s="27" t="s">
        <v>8</v>
      </c>
      <c r="AN612" s="27" t="s">
        <v>7</v>
      </c>
      <c r="AO612" s="27" t="s">
        <v>8</v>
      </c>
      <c r="AP612" s="27" t="s">
        <v>7</v>
      </c>
      <c r="AS612" s="27" t="s">
        <v>8</v>
      </c>
      <c r="AU612" s="27" t="s">
        <v>8</v>
      </c>
      <c r="EF612" s="27" t="s">
        <v>7</v>
      </c>
      <c r="EG612" s="27" t="s">
        <v>8</v>
      </c>
      <c r="EH612" s="27" t="s">
        <v>7</v>
      </c>
      <c r="EI612" s="27" t="s">
        <v>8</v>
      </c>
      <c r="EK612" s="27" t="s">
        <v>8</v>
      </c>
      <c r="EN612" s="27" t="s">
        <v>7</v>
      </c>
      <c r="EQ612" s="27" t="s">
        <v>8</v>
      </c>
      <c r="EZ612" s="27" t="s">
        <v>7</v>
      </c>
      <c r="FA612" s="27" t="s">
        <v>8</v>
      </c>
      <c r="FB612" s="27" t="s">
        <v>7</v>
      </c>
      <c r="FC612" s="27" t="s">
        <v>8</v>
      </c>
      <c r="FD612" s="27" t="s">
        <v>7</v>
      </c>
      <c r="FE612" s="27" t="s">
        <v>8</v>
      </c>
      <c r="FF612" s="27" t="s">
        <v>7</v>
      </c>
      <c r="FG612" s="27" t="s">
        <v>8</v>
      </c>
      <c r="FH612" s="27" t="s">
        <v>7</v>
      </c>
      <c r="FO612" s="27" t="s">
        <v>8</v>
      </c>
      <c r="FP612" s="27" t="s">
        <v>7</v>
      </c>
      <c r="FQ612" s="27" t="s">
        <v>8</v>
      </c>
      <c r="FV612" s="27" t="s">
        <v>7</v>
      </c>
      <c r="GJ612" s="27" t="s">
        <v>7</v>
      </c>
      <c r="HO612" s="27" t="s">
        <v>8</v>
      </c>
      <c r="HP612" s="27" t="s">
        <v>7</v>
      </c>
      <c r="HQ612" s="27" t="s">
        <v>8</v>
      </c>
      <c r="HW612" s="27" t="s">
        <v>8</v>
      </c>
      <c r="HX612" s="27" t="s">
        <v>7</v>
      </c>
      <c r="HY612" s="27" t="s">
        <v>8</v>
      </c>
      <c r="HZ612" s="27" t="s">
        <v>7</v>
      </c>
      <c r="IA612" s="27" t="s">
        <v>8</v>
      </c>
      <c r="IC612" s="27" t="s">
        <v>8</v>
      </c>
      <c r="ID612" s="27" t="s">
        <v>7</v>
      </c>
      <c r="IX612" s="27" t="s">
        <v>7</v>
      </c>
      <c r="IY612" s="27" t="s">
        <v>8</v>
      </c>
      <c r="IZ612" s="27" t="s">
        <v>7</v>
      </c>
      <c r="JA612" s="27" t="s">
        <v>8</v>
      </c>
      <c r="JF612" s="27" t="s">
        <v>7</v>
      </c>
      <c r="JG612" s="27" t="s">
        <v>8</v>
      </c>
      <c r="JH612" s="27" t="s">
        <v>7</v>
      </c>
      <c r="JI612" s="27" t="s">
        <v>8</v>
      </c>
      <c r="JU612" s="27" t="s">
        <v>8</v>
      </c>
      <c r="JV612" s="27" t="s">
        <v>7</v>
      </c>
      <c r="JW612" s="27" t="s">
        <v>8</v>
      </c>
      <c r="KM612" s="27" t="s">
        <v>8</v>
      </c>
      <c r="KO612" s="27" t="s">
        <v>8</v>
      </c>
      <c r="KP612" s="27" t="s">
        <v>7</v>
      </c>
      <c r="KQ612" s="27" t="s">
        <v>8</v>
      </c>
      <c r="KT612" s="27" t="s">
        <v>7</v>
      </c>
      <c r="KU612" s="27" t="s">
        <v>8</v>
      </c>
      <c r="KV612" s="27" t="s">
        <v>7</v>
      </c>
      <c r="KW612" s="27" t="s">
        <v>8</v>
      </c>
      <c r="KX612" s="27" t="s">
        <v>7</v>
      </c>
      <c r="KY612" s="27" t="s">
        <v>8</v>
      </c>
      <c r="KZ612" s="27" t="s">
        <v>7</v>
      </c>
      <c r="LA612" s="27" t="s">
        <v>8</v>
      </c>
      <c r="NV612" s="27" t="s">
        <v>7</v>
      </c>
      <c r="NW612" s="27" t="s">
        <v>8</v>
      </c>
      <c r="NX612" s="27" t="s">
        <v>7</v>
      </c>
      <c r="NY612" s="27" t="s">
        <v>8</v>
      </c>
      <c r="OJ612" s="27" t="s">
        <v>7</v>
      </c>
      <c r="OK612" s="27" t="s">
        <v>8</v>
      </c>
      <c r="QR612" s="27" t="s">
        <v>7</v>
      </c>
      <c r="RF612" s="27" t="s">
        <v>7</v>
      </c>
      <c r="RG612" s="27" t="s">
        <v>8</v>
      </c>
      <c r="RH612" s="27" t="s">
        <v>7</v>
      </c>
      <c r="RI612" s="27" t="s">
        <v>8</v>
      </c>
      <c r="RK612" s="27" t="s">
        <v>8</v>
      </c>
      <c r="RL612" s="27" t="s">
        <v>7</v>
      </c>
      <c r="RN612" s="27" t="s">
        <v>7</v>
      </c>
    </row>
    <row r="613" spans="1:486" x14ac:dyDescent="0.25">
      <c r="A613" s="7">
        <v>0.59757928483164646</v>
      </c>
      <c r="B613"/>
      <c r="C613"/>
      <c r="D613"/>
      <c r="E613"/>
      <c r="P613" s="27" t="s">
        <v>7</v>
      </c>
      <c r="Q613" s="27" t="s">
        <v>8</v>
      </c>
      <c r="R613" s="27" t="s">
        <v>7</v>
      </c>
      <c r="U613" s="27" t="s">
        <v>8</v>
      </c>
      <c r="V613" s="27" t="s">
        <v>7</v>
      </c>
      <c r="Z613" s="27" t="s">
        <v>7</v>
      </c>
      <c r="AB613" s="27" t="s">
        <v>7</v>
      </c>
      <c r="AC613" s="27" t="s">
        <v>8</v>
      </c>
      <c r="AD613" s="27" t="s">
        <v>7</v>
      </c>
      <c r="AE613" s="27" t="s">
        <v>8</v>
      </c>
      <c r="AF613" s="27" t="s">
        <v>7</v>
      </c>
      <c r="AG613" s="27" t="s">
        <v>8</v>
      </c>
      <c r="AH613" s="27" t="s">
        <v>7</v>
      </c>
      <c r="AI613" s="27" t="s">
        <v>8</v>
      </c>
      <c r="AJ613" s="27" t="s">
        <v>7</v>
      </c>
      <c r="AK613" s="27" t="s">
        <v>8</v>
      </c>
      <c r="AL613" s="27" t="s">
        <v>7</v>
      </c>
      <c r="AM613" s="27" t="s">
        <v>8</v>
      </c>
      <c r="AN613" s="27" t="s">
        <v>7</v>
      </c>
      <c r="AO613" s="27" t="s">
        <v>8</v>
      </c>
      <c r="AP613" s="27" t="s">
        <v>7</v>
      </c>
      <c r="AQ613" s="27" t="s">
        <v>8</v>
      </c>
      <c r="AS613" s="27" t="s">
        <v>8</v>
      </c>
      <c r="AT613" s="27" t="s">
        <v>7</v>
      </c>
      <c r="AU613" s="27" t="s">
        <v>8</v>
      </c>
      <c r="EF613" s="27" t="s">
        <v>7</v>
      </c>
      <c r="EG613" s="27" t="s">
        <v>8</v>
      </c>
      <c r="EH613" s="27" t="s">
        <v>7</v>
      </c>
      <c r="EI613" s="27" t="s">
        <v>8</v>
      </c>
      <c r="EJ613" s="27" t="s">
        <v>7</v>
      </c>
      <c r="EK613" s="27" t="s">
        <v>8</v>
      </c>
      <c r="EN613" s="27" t="s">
        <v>7</v>
      </c>
      <c r="EO613" s="27" t="s">
        <v>8</v>
      </c>
      <c r="EQ613" s="27" t="s">
        <v>8</v>
      </c>
      <c r="EZ613" s="27" t="s">
        <v>7</v>
      </c>
      <c r="FA613" s="27" t="s">
        <v>8</v>
      </c>
      <c r="FB613" s="27" t="s">
        <v>7</v>
      </c>
      <c r="FC613" s="27" t="s">
        <v>8</v>
      </c>
      <c r="FD613" s="27" t="s">
        <v>7</v>
      </c>
      <c r="FE613" s="27" t="s">
        <v>8</v>
      </c>
      <c r="FF613" s="27" t="s">
        <v>7</v>
      </c>
      <c r="FG613" s="27" t="s">
        <v>8</v>
      </c>
      <c r="FH613" s="27" t="s">
        <v>7</v>
      </c>
      <c r="FO613" s="27" t="s">
        <v>8</v>
      </c>
      <c r="FP613" s="27" t="s">
        <v>7</v>
      </c>
      <c r="FQ613" s="27" t="s">
        <v>8</v>
      </c>
      <c r="GJ613" s="27" t="s">
        <v>7</v>
      </c>
      <c r="GK613" s="27" t="s">
        <v>8</v>
      </c>
      <c r="HO613" s="27" t="s">
        <v>8</v>
      </c>
      <c r="HP613" s="27" t="s">
        <v>7</v>
      </c>
      <c r="HQ613" s="27" t="s">
        <v>8</v>
      </c>
      <c r="HR613" s="27" t="s">
        <v>7</v>
      </c>
      <c r="HW613" s="27" t="s">
        <v>8</v>
      </c>
      <c r="HX613" s="27" t="s">
        <v>7</v>
      </c>
      <c r="HY613" s="27" t="s">
        <v>8</v>
      </c>
      <c r="HZ613" s="27" t="s">
        <v>7</v>
      </c>
      <c r="IA613" s="27" t="s">
        <v>8</v>
      </c>
      <c r="IB613" s="27" t="s">
        <v>7</v>
      </c>
      <c r="IC613" s="27" t="s">
        <v>8</v>
      </c>
      <c r="IX613" s="27" t="s">
        <v>7</v>
      </c>
      <c r="IY613" s="27" t="s">
        <v>8</v>
      </c>
      <c r="IZ613" s="27" t="s">
        <v>7</v>
      </c>
      <c r="JA613" s="27" t="s">
        <v>8</v>
      </c>
      <c r="JF613" s="27" t="s">
        <v>7</v>
      </c>
      <c r="JG613" s="27" t="s">
        <v>8</v>
      </c>
      <c r="JH613" s="27" t="s">
        <v>7</v>
      </c>
      <c r="JI613" s="27" t="s">
        <v>8</v>
      </c>
      <c r="JJ613" s="27" t="s">
        <v>7</v>
      </c>
      <c r="JU613" s="27" t="s">
        <v>8</v>
      </c>
      <c r="JV613" s="27" t="s">
        <v>7</v>
      </c>
      <c r="JW613" s="27" t="s">
        <v>8</v>
      </c>
      <c r="JX613" s="27" t="s">
        <v>7</v>
      </c>
      <c r="KM613" s="27" t="s">
        <v>8</v>
      </c>
      <c r="KN613" s="27" t="s">
        <v>7</v>
      </c>
      <c r="KO613" s="27" t="s">
        <v>8</v>
      </c>
      <c r="KP613" s="27" t="s">
        <v>7</v>
      </c>
      <c r="KQ613" s="27" t="s">
        <v>8</v>
      </c>
      <c r="KT613" s="27" t="s">
        <v>7</v>
      </c>
      <c r="KU613" s="27" t="s">
        <v>8</v>
      </c>
      <c r="KV613" s="27" t="s">
        <v>7</v>
      </c>
      <c r="KW613" s="27" t="s">
        <v>8</v>
      </c>
      <c r="KX613" s="27" t="s">
        <v>7</v>
      </c>
      <c r="KY613" s="27" t="s">
        <v>8</v>
      </c>
      <c r="KZ613" s="27" t="s">
        <v>7</v>
      </c>
      <c r="LA613" s="27" t="s">
        <v>8</v>
      </c>
      <c r="NV613" s="27" t="s">
        <v>7</v>
      </c>
      <c r="NW613" s="27" t="s">
        <v>8</v>
      </c>
      <c r="NX613" s="27" t="s">
        <v>7</v>
      </c>
      <c r="NY613" s="27" t="s">
        <v>8</v>
      </c>
      <c r="OJ613" s="18" t="s">
        <v>7</v>
      </c>
      <c r="OK613" s="27" t="s">
        <v>8</v>
      </c>
      <c r="RF613" s="27" t="s">
        <v>7</v>
      </c>
      <c r="RH613" s="27" t="s">
        <v>7</v>
      </c>
      <c r="RI613" s="27" t="s">
        <v>8</v>
      </c>
      <c r="RJ613" s="27" t="s">
        <v>7</v>
      </c>
      <c r="RK613" s="27" t="s">
        <v>8</v>
      </c>
      <c r="RN613" s="27" t="s">
        <v>7</v>
      </c>
    </row>
    <row r="614" spans="1:486" x14ac:dyDescent="0.25">
      <c r="A614" s="7">
        <v>0.58586204395259456</v>
      </c>
      <c r="B614"/>
      <c r="C614"/>
      <c r="D614"/>
      <c r="E614"/>
      <c r="P614" s="27" t="s">
        <v>7</v>
      </c>
      <c r="Q614" s="27" t="s">
        <v>8</v>
      </c>
      <c r="R614" s="27" t="s">
        <v>7</v>
      </c>
      <c r="U614" s="27" t="s">
        <v>8</v>
      </c>
      <c r="AB614" s="27" t="s">
        <v>7</v>
      </c>
      <c r="AC614" s="27" t="s">
        <v>8</v>
      </c>
      <c r="AD614" s="27" t="s">
        <v>7</v>
      </c>
      <c r="AE614" s="27" t="s">
        <v>8</v>
      </c>
      <c r="AF614" s="27" t="s">
        <v>7</v>
      </c>
      <c r="AG614" s="27" t="s">
        <v>8</v>
      </c>
      <c r="AH614" s="27" t="s">
        <v>7</v>
      </c>
      <c r="AI614" s="27" t="s">
        <v>8</v>
      </c>
      <c r="AJ614" s="27" t="s">
        <v>7</v>
      </c>
      <c r="AK614" s="27" t="s">
        <v>8</v>
      </c>
      <c r="AL614" s="27" t="s">
        <v>7</v>
      </c>
      <c r="AM614" s="27" t="s">
        <v>8</v>
      </c>
      <c r="AN614" s="27" t="s">
        <v>7</v>
      </c>
      <c r="AO614" s="27" t="s">
        <v>8</v>
      </c>
      <c r="AP614" s="27" t="s">
        <v>7</v>
      </c>
      <c r="AQ614" s="27" t="s">
        <v>8</v>
      </c>
      <c r="AR614" s="27" t="s">
        <v>7</v>
      </c>
      <c r="AS614" s="27" t="s">
        <v>8</v>
      </c>
      <c r="AT614" s="27" t="s">
        <v>7</v>
      </c>
      <c r="AU614" s="27" t="s">
        <v>8</v>
      </c>
      <c r="EF614" s="27" t="s">
        <v>7</v>
      </c>
      <c r="EG614" s="27" t="s">
        <v>8</v>
      </c>
      <c r="EH614" s="27" t="s">
        <v>7</v>
      </c>
      <c r="EI614" s="27" t="s">
        <v>8</v>
      </c>
      <c r="EJ614" s="27" t="s">
        <v>7</v>
      </c>
      <c r="EK614" s="27" t="s">
        <v>8</v>
      </c>
      <c r="EN614" s="27" t="s">
        <v>7</v>
      </c>
      <c r="EO614" s="27" t="s">
        <v>8</v>
      </c>
      <c r="EP614" s="27" t="s">
        <v>7</v>
      </c>
      <c r="EQ614" s="27" t="s">
        <v>8</v>
      </c>
      <c r="EZ614" s="27" t="s">
        <v>7</v>
      </c>
      <c r="FA614" s="27" t="s">
        <v>8</v>
      </c>
      <c r="FB614" s="27" t="s">
        <v>7</v>
      </c>
      <c r="FC614" s="27" t="s">
        <v>8</v>
      </c>
      <c r="FD614" s="27" t="s">
        <v>7</v>
      </c>
      <c r="FF614" s="27" t="s">
        <v>7</v>
      </c>
      <c r="FH614" s="27" t="s">
        <v>7</v>
      </c>
      <c r="FM614" s="27" t="s">
        <v>8</v>
      </c>
      <c r="FO614" s="27" t="s">
        <v>8</v>
      </c>
      <c r="FP614" s="27" t="s">
        <v>7</v>
      </c>
      <c r="GJ614" s="27" t="s">
        <v>7</v>
      </c>
      <c r="GK614" s="27" t="s">
        <v>8</v>
      </c>
      <c r="GL614" s="27" t="s">
        <v>7</v>
      </c>
      <c r="HO614" s="27" t="s">
        <v>8</v>
      </c>
      <c r="HP614" s="27" t="s">
        <v>7</v>
      </c>
      <c r="HQ614" s="27" t="s">
        <v>8</v>
      </c>
      <c r="HR614" s="27" t="s">
        <v>7</v>
      </c>
      <c r="HU614" s="27" t="s">
        <v>8</v>
      </c>
      <c r="HW614" s="27" t="s">
        <v>8</v>
      </c>
      <c r="HX614" s="27" t="s">
        <v>7</v>
      </c>
      <c r="HZ614" s="27" t="s">
        <v>7</v>
      </c>
      <c r="IA614" s="27" t="s">
        <v>8</v>
      </c>
      <c r="IB614" s="27" t="s">
        <v>7</v>
      </c>
      <c r="IC614" s="27" t="s">
        <v>8</v>
      </c>
      <c r="IX614" s="27" t="s">
        <v>7</v>
      </c>
      <c r="IY614" s="27" t="s">
        <v>8</v>
      </c>
      <c r="IZ614" s="27" t="s">
        <v>7</v>
      </c>
      <c r="JF614" s="27" t="s">
        <v>7</v>
      </c>
      <c r="JG614" s="27" t="s">
        <v>8</v>
      </c>
      <c r="JH614" s="27" t="s">
        <v>7</v>
      </c>
      <c r="JI614" s="27" t="s">
        <v>8</v>
      </c>
      <c r="JJ614" s="27" t="s">
        <v>7</v>
      </c>
      <c r="JU614" s="27" t="s">
        <v>8</v>
      </c>
      <c r="JV614" s="27" t="s">
        <v>7</v>
      </c>
      <c r="JW614" s="27" t="s">
        <v>8</v>
      </c>
      <c r="JX614" s="27" t="s">
        <v>7</v>
      </c>
      <c r="JY614" s="27" t="s">
        <v>8</v>
      </c>
      <c r="KC614" s="27" t="s">
        <v>8</v>
      </c>
      <c r="KM614" s="27" t="s">
        <v>8</v>
      </c>
      <c r="KN614" s="27" t="s">
        <v>7</v>
      </c>
      <c r="KO614" s="27" t="s">
        <v>8</v>
      </c>
      <c r="KP614" s="27" t="s">
        <v>7</v>
      </c>
      <c r="KQ614" s="27" t="s">
        <v>8</v>
      </c>
      <c r="KT614" s="27" t="s">
        <v>7</v>
      </c>
      <c r="KU614" s="27" t="s">
        <v>8</v>
      </c>
      <c r="KV614" s="27" t="s">
        <v>7</v>
      </c>
      <c r="KW614" s="27" t="s">
        <v>8</v>
      </c>
      <c r="KX614" s="27" t="s">
        <v>7</v>
      </c>
      <c r="KY614" s="27" t="s">
        <v>8</v>
      </c>
      <c r="KZ614" s="27" t="s">
        <v>7</v>
      </c>
      <c r="NV614" s="27" t="s">
        <v>7</v>
      </c>
      <c r="NW614" s="27" t="s">
        <v>8</v>
      </c>
      <c r="NX614" s="27" t="s">
        <v>7</v>
      </c>
      <c r="NY614" s="27" t="s">
        <v>8</v>
      </c>
      <c r="OJ614" s="27" t="s">
        <v>7</v>
      </c>
      <c r="OK614" s="27" t="s">
        <v>8</v>
      </c>
      <c r="RH614" s="27" t="s">
        <v>7</v>
      </c>
      <c r="RI614" s="27" t="s">
        <v>8</v>
      </c>
      <c r="RJ614" s="27" t="s">
        <v>7</v>
      </c>
      <c r="RK614" s="27" t="s">
        <v>8</v>
      </c>
      <c r="RN614" s="27" t="s">
        <v>7</v>
      </c>
    </row>
    <row r="615" spans="1:486" x14ac:dyDescent="0.25">
      <c r="A615" s="7">
        <v>0.57437455289470052</v>
      </c>
      <c r="B615"/>
      <c r="C615"/>
      <c r="D615"/>
      <c r="E615"/>
      <c r="P615" s="27" t="s">
        <v>7</v>
      </c>
      <c r="Q615" s="27" t="s">
        <v>8</v>
      </c>
      <c r="R615" s="27" t="s">
        <v>7</v>
      </c>
      <c r="U615" s="27" t="s">
        <v>8</v>
      </c>
      <c r="AB615" s="27" t="s">
        <v>7</v>
      </c>
      <c r="AC615" s="27" t="s">
        <v>8</v>
      </c>
      <c r="AD615" s="27" t="s">
        <v>7</v>
      </c>
      <c r="AF615" s="27" t="s">
        <v>7</v>
      </c>
      <c r="AG615" s="27" t="s">
        <v>8</v>
      </c>
      <c r="AH615" s="27" t="s">
        <v>7</v>
      </c>
      <c r="AI615" s="27" t="s">
        <v>8</v>
      </c>
      <c r="AJ615" s="27" t="s">
        <v>7</v>
      </c>
      <c r="AK615" s="27" t="s">
        <v>8</v>
      </c>
      <c r="AL615" s="27" t="s">
        <v>7</v>
      </c>
      <c r="AM615" s="27" t="s">
        <v>8</v>
      </c>
      <c r="AN615" s="27" t="s">
        <v>7</v>
      </c>
      <c r="AP615" s="27" t="s">
        <v>7</v>
      </c>
      <c r="AQ615" s="27" t="s">
        <v>8</v>
      </c>
      <c r="AR615" s="27" t="s">
        <v>7</v>
      </c>
      <c r="AS615" s="27" t="s">
        <v>8</v>
      </c>
      <c r="AT615" s="27" t="s">
        <v>7</v>
      </c>
      <c r="AU615" s="27" t="s">
        <v>8</v>
      </c>
      <c r="EF615" s="27" t="s">
        <v>7</v>
      </c>
      <c r="EG615" s="27" t="s">
        <v>8</v>
      </c>
      <c r="EH615" s="27" t="s">
        <v>7</v>
      </c>
      <c r="EI615" s="27" t="s">
        <v>8</v>
      </c>
      <c r="EJ615" s="27" t="s">
        <v>7</v>
      </c>
      <c r="EN615" s="27" t="s">
        <v>7</v>
      </c>
      <c r="EO615" s="27" t="s">
        <v>8</v>
      </c>
      <c r="EP615" s="27" t="s">
        <v>7</v>
      </c>
      <c r="EQ615" s="27" t="s">
        <v>8</v>
      </c>
      <c r="EZ615" s="27" t="s">
        <v>7</v>
      </c>
      <c r="FA615" s="27" t="s">
        <v>8</v>
      </c>
      <c r="FB615" s="27" t="s">
        <v>7</v>
      </c>
      <c r="FC615" s="27" t="s">
        <v>8</v>
      </c>
      <c r="FH615" s="27" t="s">
        <v>7</v>
      </c>
      <c r="FM615" s="27" t="s">
        <v>8</v>
      </c>
      <c r="FN615" s="27" t="s">
        <v>7</v>
      </c>
      <c r="FO615" s="27" t="s">
        <v>8</v>
      </c>
      <c r="GJ615" s="27" t="s">
        <v>7</v>
      </c>
      <c r="GK615" s="27" t="s">
        <v>8</v>
      </c>
      <c r="GL615" s="27" t="s">
        <v>7</v>
      </c>
      <c r="HO615" s="27" t="s">
        <v>8</v>
      </c>
      <c r="HP615" s="27" t="s">
        <v>7</v>
      </c>
      <c r="HQ615" s="27" t="s">
        <v>8</v>
      </c>
      <c r="HR615" s="27" t="s">
        <v>7</v>
      </c>
      <c r="HS615" s="27" t="s">
        <v>8</v>
      </c>
      <c r="HU615" s="27" t="s">
        <v>8</v>
      </c>
      <c r="HV615" s="27" t="s">
        <v>7</v>
      </c>
      <c r="HW615" s="27" t="s">
        <v>8</v>
      </c>
      <c r="HZ615" s="27" t="s">
        <v>7</v>
      </c>
      <c r="IB615" s="27" t="s">
        <v>7</v>
      </c>
      <c r="IC615" s="27" t="s">
        <v>8</v>
      </c>
      <c r="IX615" s="27" t="s">
        <v>7</v>
      </c>
      <c r="IY615" s="27" t="s">
        <v>8</v>
      </c>
      <c r="JF615" s="27" t="s">
        <v>7</v>
      </c>
      <c r="JH615" s="27" t="s">
        <v>7</v>
      </c>
      <c r="JI615" s="27" t="s">
        <v>8</v>
      </c>
      <c r="JJ615" s="27" t="s">
        <v>7</v>
      </c>
      <c r="JU615" s="27" t="s">
        <v>8</v>
      </c>
      <c r="JV615" s="27" t="s">
        <v>7</v>
      </c>
      <c r="JW615" s="27" t="s">
        <v>8</v>
      </c>
      <c r="JX615" s="27" t="s">
        <v>7</v>
      </c>
      <c r="JY615" s="27" t="s">
        <v>8</v>
      </c>
      <c r="JZ615" s="27" t="s">
        <v>7</v>
      </c>
      <c r="KC615" s="27" t="s">
        <v>8</v>
      </c>
      <c r="KD615" s="27" t="s">
        <v>7</v>
      </c>
      <c r="KM615" s="27" t="s">
        <v>8</v>
      </c>
      <c r="KN615" s="27" t="s">
        <v>7</v>
      </c>
      <c r="KO615" s="27" t="s">
        <v>8</v>
      </c>
      <c r="KP615" s="27" t="s">
        <v>7</v>
      </c>
      <c r="KQ615" s="27" t="s">
        <v>8</v>
      </c>
      <c r="KT615" s="27" t="s">
        <v>7</v>
      </c>
      <c r="KU615" s="27" t="s">
        <v>8</v>
      </c>
      <c r="KV615" s="27" t="s">
        <v>7</v>
      </c>
      <c r="KW615" s="27" t="s">
        <v>8</v>
      </c>
      <c r="KX615" s="27" t="s">
        <v>7</v>
      </c>
      <c r="KY615" s="27" t="s">
        <v>8</v>
      </c>
      <c r="NV615" s="27" t="s">
        <v>7</v>
      </c>
      <c r="NW615" s="27" t="s">
        <v>8</v>
      </c>
      <c r="NX615" s="27" t="s">
        <v>7</v>
      </c>
      <c r="OJ615" s="27" t="s">
        <v>7</v>
      </c>
      <c r="OK615" s="27" t="s">
        <v>8</v>
      </c>
      <c r="RH615" s="27" t="s">
        <v>7</v>
      </c>
      <c r="RJ615" s="27" t="s">
        <v>7</v>
      </c>
      <c r="RN615" s="27" t="s">
        <v>7</v>
      </c>
    </row>
    <row r="616" spans="1:486" x14ac:dyDescent="0.25">
      <c r="A616" s="7">
        <v>0.56311230675951029</v>
      </c>
      <c r="B616"/>
      <c r="C616"/>
      <c r="D616"/>
      <c r="E616"/>
      <c r="P616" s="27" t="s">
        <v>7</v>
      </c>
      <c r="Q616" s="27" t="s">
        <v>8</v>
      </c>
      <c r="R616" s="27" t="s">
        <v>7</v>
      </c>
      <c r="U616" s="27" t="s">
        <v>8</v>
      </c>
      <c r="AB616" s="27" t="s">
        <v>7</v>
      </c>
      <c r="AC616" s="27" t="s">
        <v>8</v>
      </c>
      <c r="AF616" s="27" t="s">
        <v>7</v>
      </c>
      <c r="AG616" s="27" t="s">
        <v>8</v>
      </c>
      <c r="AH616" s="27" t="s">
        <v>7</v>
      </c>
      <c r="AJ616" s="27" t="s">
        <v>7</v>
      </c>
      <c r="AK616" s="27" t="s">
        <v>8</v>
      </c>
      <c r="AL616" s="27" t="s">
        <v>7</v>
      </c>
      <c r="AP616" s="27" t="s">
        <v>7</v>
      </c>
      <c r="AQ616" s="27" t="s">
        <v>8</v>
      </c>
      <c r="AR616" s="27" t="s">
        <v>7</v>
      </c>
      <c r="AT616" s="27" t="s">
        <v>7</v>
      </c>
      <c r="EF616" s="27" t="s">
        <v>7</v>
      </c>
      <c r="EH616" s="27" t="s">
        <v>7</v>
      </c>
      <c r="EI616" s="27" t="s">
        <v>8</v>
      </c>
      <c r="EN616" s="27" t="s">
        <v>7</v>
      </c>
      <c r="EP616" s="27" t="s">
        <v>7</v>
      </c>
      <c r="EQ616" s="27" t="s">
        <v>8</v>
      </c>
      <c r="EZ616" s="27" t="s">
        <v>7</v>
      </c>
      <c r="FB616" s="27" t="s">
        <v>7</v>
      </c>
      <c r="FC616" s="27" t="s">
        <v>8</v>
      </c>
      <c r="FH616" s="27" t="s">
        <v>7</v>
      </c>
      <c r="FI616" s="27" t="s">
        <v>8</v>
      </c>
      <c r="FM616" s="27" t="s">
        <v>8</v>
      </c>
      <c r="FN616" s="27" t="s">
        <v>7</v>
      </c>
      <c r="FO616" s="27" t="s">
        <v>8</v>
      </c>
      <c r="GJ616" s="27" t="s">
        <v>7</v>
      </c>
      <c r="GK616" s="27" t="s">
        <v>8</v>
      </c>
      <c r="GL616" s="27" t="s">
        <v>7</v>
      </c>
      <c r="HO616" s="27" t="s">
        <v>8</v>
      </c>
      <c r="HP616" s="27" t="s">
        <v>7</v>
      </c>
      <c r="HQ616" s="27" t="s">
        <v>8</v>
      </c>
      <c r="HR616" s="27" t="s">
        <v>7</v>
      </c>
      <c r="HS616" s="27" t="s">
        <v>8</v>
      </c>
      <c r="HT616" s="27" t="s">
        <v>7</v>
      </c>
      <c r="HU616" s="27" t="s">
        <v>8</v>
      </c>
      <c r="HV616" s="27" t="s">
        <v>7</v>
      </c>
      <c r="HW616" s="27" t="s">
        <v>8</v>
      </c>
      <c r="IB616" s="27" t="s">
        <v>7</v>
      </c>
      <c r="IC616" s="27" t="s">
        <v>8</v>
      </c>
      <c r="IX616" s="27" t="s">
        <v>7</v>
      </c>
      <c r="IY616" s="27" t="s">
        <v>8</v>
      </c>
      <c r="JH616" s="27" t="s">
        <v>7</v>
      </c>
      <c r="JI616" s="27" t="s">
        <v>8</v>
      </c>
      <c r="JJ616" s="27" t="s">
        <v>7</v>
      </c>
      <c r="JK616" s="27" t="s">
        <v>8</v>
      </c>
      <c r="JU616" s="27" t="s">
        <v>8</v>
      </c>
      <c r="JV616" s="27" t="s">
        <v>7</v>
      </c>
      <c r="JW616" s="27" t="s">
        <v>8</v>
      </c>
      <c r="JX616" s="27" t="s">
        <v>7</v>
      </c>
      <c r="JY616" s="27" t="s">
        <v>8</v>
      </c>
      <c r="JZ616" s="27" t="s">
        <v>7</v>
      </c>
      <c r="KC616" s="27" t="s">
        <v>8</v>
      </c>
      <c r="KD616" s="27" t="s">
        <v>7</v>
      </c>
      <c r="KM616" s="27" t="s">
        <v>8</v>
      </c>
      <c r="KN616" s="27" t="s">
        <v>7</v>
      </c>
      <c r="KO616" s="27" t="s">
        <v>8</v>
      </c>
      <c r="KP616" s="27" t="s">
        <v>7</v>
      </c>
      <c r="KQ616" s="27" t="s">
        <v>8</v>
      </c>
      <c r="KT616" s="27" t="s">
        <v>7</v>
      </c>
      <c r="KU616" s="27" t="s">
        <v>8</v>
      </c>
      <c r="KV616" s="27" t="s">
        <v>7</v>
      </c>
      <c r="KW616" s="27" t="s">
        <v>8</v>
      </c>
      <c r="KX616" s="27" t="s">
        <v>7</v>
      </c>
      <c r="NV616" s="27" t="s">
        <v>7</v>
      </c>
      <c r="NW616" s="27" t="s">
        <v>8</v>
      </c>
      <c r="OJ616" s="27" t="s">
        <v>7</v>
      </c>
      <c r="OK616" s="27" t="s">
        <v>8</v>
      </c>
      <c r="RN616" s="27" t="s">
        <v>7</v>
      </c>
    </row>
    <row r="617" spans="1:486" x14ac:dyDescent="0.25">
      <c r="A617" s="7">
        <v>0.55207088897991208</v>
      </c>
      <c r="B617"/>
      <c r="C617"/>
      <c r="D617"/>
      <c r="E617"/>
      <c r="P617" s="27" t="s">
        <v>7</v>
      </c>
      <c r="Q617" s="27" t="s">
        <v>8</v>
      </c>
      <c r="R617" s="27" t="s">
        <v>7</v>
      </c>
      <c r="U617" s="27" t="s">
        <v>8</v>
      </c>
      <c r="AB617" s="27" t="s">
        <v>7</v>
      </c>
      <c r="AC617" s="27" t="s">
        <v>8</v>
      </c>
      <c r="AF617" s="27" t="s">
        <v>7</v>
      </c>
      <c r="AJ617" s="27" t="s">
        <v>7</v>
      </c>
      <c r="AP617" s="27" t="s">
        <v>7</v>
      </c>
      <c r="AQ617" s="27" t="s">
        <v>8</v>
      </c>
      <c r="EH617" s="27" t="s">
        <v>7</v>
      </c>
      <c r="EP617" s="27" t="s">
        <v>7</v>
      </c>
      <c r="EQ617" s="27" t="s">
        <v>8</v>
      </c>
      <c r="FB617" s="27" t="s">
        <v>7</v>
      </c>
      <c r="FC617" s="27" t="s">
        <v>8</v>
      </c>
      <c r="FH617" s="27" t="s">
        <v>7</v>
      </c>
      <c r="FI617" s="27" t="s">
        <v>8</v>
      </c>
      <c r="FJ617" s="27" t="s">
        <v>7</v>
      </c>
      <c r="FK617" s="27" t="s">
        <v>8</v>
      </c>
      <c r="FM617" s="27" t="s">
        <v>8</v>
      </c>
      <c r="FN617" s="27" t="s">
        <v>7</v>
      </c>
      <c r="FO617" s="27" t="s">
        <v>8</v>
      </c>
      <c r="GJ617" s="27" t="s">
        <v>7</v>
      </c>
      <c r="GK617" s="27" t="s">
        <v>8</v>
      </c>
      <c r="GL617" s="27" t="s">
        <v>7</v>
      </c>
      <c r="HO617" s="27" t="s">
        <v>8</v>
      </c>
      <c r="HP617" s="27" t="s">
        <v>7</v>
      </c>
      <c r="HR617" s="27" t="s">
        <v>7</v>
      </c>
      <c r="HS617" s="27" t="s">
        <v>8</v>
      </c>
      <c r="HT617" s="27" t="s">
        <v>7</v>
      </c>
      <c r="HU617" s="27" t="s">
        <v>8</v>
      </c>
      <c r="HV617" s="27" t="s">
        <v>7</v>
      </c>
      <c r="IB617" s="27" t="s">
        <v>7</v>
      </c>
      <c r="IC617" s="27" t="s">
        <v>8</v>
      </c>
      <c r="IX617" s="27" t="s">
        <v>7</v>
      </c>
      <c r="JH617" s="27" t="s">
        <v>7</v>
      </c>
      <c r="JI617" s="27" t="s">
        <v>8</v>
      </c>
      <c r="JJ617" s="27" t="s">
        <v>7</v>
      </c>
      <c r="JK617" s="27" t="s">
        <v>8</v>
      </c>
      <c r="JL617" s="27" t="s">
        <v>7</v>
      </c>
      <c r="JU617" s="27" t="s">
        <v>8</v>
      </c>
      <c r="JV617" s="27" t="s">
        <v>7</v>
      </c>
      <c r="JW617" s="27" t="s">
        <v>8</v>
      </c>
      <c r="JX617" s="27" t="s">
        <v>7</v>
      </c>
      <c r="JZ617" s="27" t="s">
        <v>7</v>
      </c>
      <c r="KC617" s="27" t="s">
        <v>8</v>
      </c>
      <c r="KD617" s="27" t="s">
        <v>7</v>
      </c>
      <c r="KM617" s="27" t="s">
        <v>8</v>
      </c>
      <c r="KN617" s="27" t="s">
        <v>7</v>
      </c>
      <c r="KO617" s="27" t="s">
        <v>8</v>
      </c>
      <c r="KP617" s="27" t="s">
        <v>7</v>
      </c>
      <c r="KQ617" s="27" t="s">
        <v>8</v>
      </c>
      <c r="KT617" s="27" t="s">
        <v>7</v>
      </c>
      <c r="KU617" s="27" t="s">
        <v>8</v>
      </c>
      <c r="KV617" s="27" t="s">
        <v>7</v>
      </c>
      <c r="KW617" s="27" t="s">
        <v>8</v>
      </c>
      <c r="NV617" s="27" t="s">
        <v>7</v>
      </c>
      <c r="NW617" s="27" t="s">
        <v>8</v>
      </c>
      <c r="OJ617" s="27" t="s">
        <v>7</v>
      </c>
      <c r="RN617" s="27" t="s">
        <v>7</v>
      </c>
    </row>
    <row r="618" spans="1:486" x14ac:dyDescent="0.25">
      <c r="A618" s="7">
        <v>0.54124596958814908</v>
      </c>
      <c r="B618"/>
      <c r="C618"/>
      <c r="D618"/>
      <c r="E618"/>
      <c r="P618" s="27" t="s">
        <v>7</v>
      </c>
      <c r="Q618" s="27" t="s">
        <v>8</v>
      </c>
      <c r="R618" s="27" t="s">
        <v>7</v>
      </c>
      <c r="S618" s="27" t="s">
        <v>8</v>
      </c>
      <c r="U618" s="27" t="s">
        <v>8</v>
      </c>
      <c r="AB618" s="27" t="s">
        <v>7</v>
      </c>
      <c r="AC618" s="27" t="s">
        <v>8</v>
      </c>
      <c r="AP618" s="27" t="s">
        <v>7</v>
      </c>
      <c r="AQ618" s="27" t="s">
        <v>8</v>
      </c>
      <c r="EP618" s="27" t="s">
        <v>7</v>
      </c>
      <c r="EQ618" s="27" t="s">
        <v>8</v>
      </c>
      <c r="FB618" s="27" t="s">
        <v>7</v>
      </c>
      <c r="FC618" s="27" t="s">
        <v>8</v>
      </c>
      <c r="FH618" s="27" t="s">
        <v>7</v>
      </c>
      <c r="FI618" s="27" t="s">
        <v>8</v>
      </c>
      <c r="FJ618" s="27" t="s">
        <v>7</v>
      </c>
      <c r="FK618" s="27" t="s">
        <v>8</v>
      </c>
      <c r="FL618" s="27" t="s">
        <v>7</v>
      </c>
      <c r="FM618" s="27" t="s">
        <v>8</v>
      </c>
      <c r="FN618" s="27" t="s">
        <v>7</v>
      </c>
      <c r="FO618" s="27" t="s">
        <v>8</v>
      </c>
      <c r="GJ618" s="27" t="s">
        <v>7</v>
      </c>
      <c r="GL618" s="27" t="s">
        <v>7</v>
      </c>
      <c r="HO618" s="27" t="s">
        <v>8</v>
      </c>
      <c r="HR618" s="27" t="s">
        <v>7</v>
      </c>
      <c r="HS618" s="27" t="s">
        <v>8</v>
      </c>
      <c r="HT618" s="27" t="s">
        <v>7</v>
      </c>
      <c r="HU618" s="27" t="s">
        <v>8</v>
      </c>
      <c r="IB618" s="27" t="s">
        <v>7</v>
      </c>
      <c r="JH618" s="27" t="s">
        <v>7</v>
      </c>
      <c r="JJ618" s="27" t="s">
        <v>7</v>
      </c>
      <c r="JK618" s="27" t="s">
        <v>8</v>
      </c>
      <c r="JL618" s="27" t="s">
        <v>7</v>
      </c>
      <c r="JU618" s="27" t="s">
        <v>8</v>
      </c>
      <c r="JV618" s="27" t="s">
        <v>7</v>
      </c>
      <c r="JW618" s="27" t="s">
        <v>8</v>
      </c>
      <c r="JZ618" s="27" t="s">
        <v>7</v>
      </c>
      <c r="KC618" s="27" t="s">
        <v>8</v>
      </c>
      <c r="KD618" s="27" t="s">
        <v>7</v>
      </c>
      <c r="KK618" s="27" t="s">
        <v>8</v>
      </c>
      <c r="KM618" s="27" t="s">
        <v>8</v>
      </c>
      <c r="KN618" s="27" t="s">
        <v>7</v>
      </c>
      <c r="KO618" s="27" t="s">
        <v>8</v>
      </c>
      <c r="KP618" s="27" t="s">
        <v>7</v>
      </c>
      <c r="KQ618" s="27" t="s">
        <v>8</v>
      </c>
      <c r="KT618" s="27" t="s">
        <v>7</v>
      </c>
      <c r="KU618" s="27" t="s">
        <v>8</v>
      </c>
      <c r="KV618" s="27" t="s">
        <v>7</v>
      </c>
      <c r="KW618" s="27" t="s">
        <v>8</v>
      </c>
      <c r="NV618" s="27" t="s">
        <v>7</v>
      </c>
      <c r="NW618" s="27" t="s">
        <v>8</v>
      </c>
      <c r="RN618" s="27" t="s">
        <v>7</v>
      </c>
    </row>
    <row r="619" spans="1:486" x14ac:dyDescent="0.25">
      <c r="A619" s="7">
        <v>0.53063330351779314</v>
      </c>
      <c r="B619"/>
      <c r="C619"/>
      <c r="D619"/>
      <c r="E619"/>
      <c r="P619" s="27" t="s">
        <v>7</v>
      </c>
      <c r="Q619" s="27" t="s">
        <v>8</v>
      </c>
      <c r="R619" s="27" t="s">
        <v>7</v>
      </c>
      <c r="S619" s="27" t="s">
        <v>8</v>
      </c>
      <c r="T619" s="27" t="s">
        <v>7</v>
      </c>
      <c r="U619" s="27" t="s">
        <v>8</v>
      </c>
      <c r="AB619" s="27" t="s">
        <v>7</v>
      </c>
      <c r="AP619" s="27" t="s">
        <v>7</v>
      </c>
      <c r="AQ619" s="27" t="s">
        <v>8</v>
      </c>
      <c r="EP619" s="27" t="s">
        <v>7</v>
      </c>
      <c r="EQ619" s="27" t="s">
        <v>8</v>
      </c>
      <c r="FB619" s="27" t="s">
        <v>7</v>
      </c>
      <c r="FH619" s="27" t="s">
        <v>7</v>
      </c>
      <c r="FI619" s="27" t="s">
        <v>8</v>
      </c>
      <c r="FJ619" s="27" t="s">
        <v>7</v>
      </c>
      <c r="FK619" s="27" t="s">
        <v>8</v>
      </c>
      <c r="FL619" s="27" t="s">
        <v>7</v>
      </c>
      <c r="FM619" s="27" t="s">
        <v>8</v>
      </c>
      <c r="FN619" s="27" t="s">
        <v>7</v>
      </c>
      <c r="GL619" s="27" t="s">
        <v>7</v>
      </c>
      <c r="HE619" s="27" t="s">
        <v>8</v>
      </c>
      <c r="HI619" s="27" t="s">
        <v>8</v>
      </c>
      <c r="HM619" s="27" t="s">
        <v>8</v>
      </c>
      <c r="HO619" s="27" t="s">
        <v>8</v>
      </c>
      <c r="HR619" s="27" t="s">
        <v>7</v>
      </c>
      <c r="HT619" s="27" t="s">
        <v>7</v>
      </c>
      <c r="HU619" s="27" t="s">
        <v>8</v>
      </c>
      <c r="JJ619" s="27" t="s">
        <v>7</v>
      </c>
      <c r="JK619" s="27" t="s">
        <v>8</v>
      </c>
      <c r="JL619" s="27" t="s">
        <v>7</v>
      </c>
      <c r="JU619" s="27" t="s">
        <v>8</v>
      </c>
      <c r="JV619" s="27" t="s">
        <v>7</v>
      </c>
      <c r="JW619" s="27" t="s">
        <v>8</v>
      </c>
      <c r="JZ619" s="27" t="s">
        <v>7</v>
      </c>
      <c r="KA619" s="27" t="s">
        <v>8</v>
      </c>
      <c r="KC619" s="27" t="s">
        <v>8</v>
      </c>
      <c r="KD619" s="27" t="s">
        <v>7</v>
      </c>
      <c r="KK619" s="27" t="s">
        <v>8</v>
      </c>
      <c r="KL619" s="27" t="s">
        <v>7</v>
      </c>
      <c r="KM619" s="27" t="s">
        <v>8</v>
      </c>
      <c r="KN619" s="27" t="s">
        <v>7</v>
      </c>
      <c r="KO619" s="27" t="s">
        <v>8</v>
      </c>
      <c r="KP619" s="27" t="s">
        <v>7</v>
      </c>
      <c r="KQ619" s="27" t="s">
        <v>8</v>
      </c>
      <c r="KT619" s="27" t="s">
        <v>7</v>
      </c>
      <c r="KU619" s="27" t="s">
        <v>8</v>
      </c>
      <c r="KV619" s="27" t="s">
        <v>7</v>
      </c>
      <c r="NV619" s="27" t="s">
        <v>7</v>
      </c>
      <c r="NW619" s="27" t="s">
        <v>8</v>
      </c>
      <c r="RN619" s="27" t="s">
        <v>7</v>
      </c>
    </row>
    <row r="620" spans="1:486" x14ac:dyDescent="0.25">
      <c r="A620" s="7">
        <v>0.52022872893901284</v>
      </c>
      <c r="B620"/>
      <c r="C620"/>
      <c r="D620"/>
      <c r="E620"/>
      <c r="P620" s="27" t="s">
        <v>7</v>
      </c>
      <c r="R620" s="27" t="s">
        <v>7</v>
      </c>
      <c r="S620" s="27" t="s">
        <v>8</v>
      </c>
      <c r="T620" s="27" t="s">
        <v>7</v>
      </c>
      <c r="U620" s="27" t="s">
        <v>8</v>
      </c>
      <c r="AP620" s="27" t="s">
        <v>7</v>
      </c>
      <c r="AQ620" s="27" t="s">
        <v>8</v>
      </c>
      <c r="EP620" s="27" t="s">
        <v>7</v>
      </c>
      <c r="FH620" s="27" t="s">
        <v>7</v>
      </c>
      <c r="FI620" s="27" t="s">
        <v>8</v>
      </c>
      <c r="FJ620" s="27" t="s">
        <v>7</v>
      </c>
      <c r="FK620" s="27" t="s">
        <v>8</v>
      </c>
      <c r="FL620" s="27" t="s">
        <v>7</v>
      </c>
      <c r="FM620" s="27" t="s">
        <v>8</v>
      </c>
      <c r="GL620" s="27" t="s">
        <v>7</v>
      </c>
      <c r="HE620" s="27" t="s">
        <v>8</v>
      </c>
      <c r="HF620" s="27" t="s">
        <v>7</v>
      </c>
      <c r="HI620" s="27" t="s">
        <v>8</v>
      </c>
      <c r="HJ620" s="27" t="s">
        <v>7</v>
      </c>
      <c r="HM620" s="27" t="s">
        <v>8</v>
      </c>
      <c r="HN620" s="27" t="s">
        <v>7</v>
      </c>
      <c r="HO620" s="27" t="s">
        <v>8</v>
      </c>
      <c r="HT620" s="27" t="s">
        <v>7</v>
      </c>
      <c r="HU620" s="27" t="s">
        <v>8</v>
      </c>
      <c r="JJ620" s="27" t="s">
        <v>7</v>
      </c>
      <c r="JL620" s="27" t="s">
        <v>7</v>
      </c>
      <c r="JU620" s="27" t="s">
        <v>8</v>
      </c>
      <c r="JV620" s="27" t="s">
        <v>7</v>
      </c>
      <c r="JZ620" s="27" t="s">
        <v>7</v>
      </c>
      <c r="KA620" s="27" t="s">
        <v>8</v>
      </c>
      <c r="KB620" s="27" t="s">
        <v>7</v>
      </c>
      <c r="KC620" s="27" t="s">
        <v>8</v>
      </c>
      <c r="KD620" s="27" t="s">
        <v>7</v>
      </c>
      <c r="KK620" s="27" t="s">
        <v>8</v>
      </c>
      <c r="KL620" s="27" t="s">
        <v>7</v>
      </c>
      <c r="KM620" s="27" t="s">
        <v>8</v>
      </c>
      <c r="KN620" s="27" t="s">
        <v>7</v>
      </c>
      <c r="KP620" s="27" t="s">
        <v>7</v>
      </c>
      <c r="KQ620" s="27" t="s">
        <v>8</v>
      </c>
      <c r="KT620" s="27" t="s">
        <v>7</v>
      </c>
      <c r="KU620" s="27" t="s">
        <v>8</v>
      </c>
      <c r="NV620" s="27" t="s">
        <v>7</v>
      </c>
      <c r="NW620" s="27" t="s">
        <v>8</v>
      </c>
      <c r="RN620" s="27" t="s">
        <v>7</v>
      </c>
    </row>
    <row r="621" spans="1:486" x14ac:dyDescent="0.25">
      <c r="A621" s="7">
        <v>0.51002816562648323</v>
      </c>
      <c r="B621"/>
      <c r="C621"/>
      <c r="D621"/>
      <c r="E621"/>
      <c r="R621" s="27" t="s">
        <v>7</v>
      </c>
      <c r="T621" s="27" t="s">
        <v>7</v>
      </c>
      <c r="U621" s="27" t="s">
        <v>8</v>
      </c>
      <c r="AP621" s="27" t="s">
        <v>7</v>
      </c>
      <c r="FH621" s="27" t="s">
        <v>7</v>
      </c>
      <c r="FJ621" s="27" t="s">
        <v>7</v>
      </c>
      <c r="FL621" s="27" t="s">
        <v>7</v>
      </c>
      <c r="FM621" s="27" t="s">
        <v>8</v>
      </c>
      <c r="GL621" s="27" t="s">
        <v>7</v>
      </c>
      <c r="HE621" s="27" t="s">
        <v>8</v>
      </c>
      <c r="HF621" s="27" t="s">
        <v>7</v>
      </c>
      <c r="HI621" s="27" t="s">
        <v>8</v>
      </c>
      <c r="HJ621" s="27" t="s">
        <v>7</v>
      </c>
      <c r="HM621" s="27" t="s">
        <v>8</v>
      </c>
      <c r="HN621" s="27" t="s">
        <v>7</v>
      </c>
      <c r="HO621" s="27" t="s">
        <v>8</v>
      </c>
      <c r="HT621" s="27" t="s">
        <v>7</v>
      </c>
      <c r="JL621" s="27" t="s">
        <v>7</v>
      </c>
      <c r="JS621" s="27" t="s">
        <v>8</v>
      </c>
      <c r="JU621" s="27" t="s">
        <v>8</v>
      </c>
      <c r="JZ621" s="27" t="s">
        <v>7</v>
      </c>
      <c r="KA621" s="27" t="s">
        <v>8</v>
      </c>
      <c r="KB621" s="27" t="s">
        <v>7</v>
      </c>
      <c r="KC621" s="27" t="s">
        <v>8</v>
      </c>
      <c r="KD621" s="27" t="s">
        <v>7</v>
      </c>
      <c r="KK621" s="27" t="s">
        <v>8</v>
      </c>
      <c r="KL621" s="27" t="s">
        <v>7</v>
      </c>
      <c r="KM621" s="27" t="s">
        <v>8</v>
      </c>
      <c r="KP621" s="27" t="s">
        <v>7</v>
      </c>
      <c r="KQ621" s="27" t="s">
        <v>8</v>
      </c>
      <c r="KT621" s="27" t="s">
        <v>7</v>
      </c>
      <c r="NV621" s="27" t="s">
        <v>7</v>
      </c>
      <c r="RN621" s="27" t="s">
        <v>7</v>
      </c>
    </row>
    <row r="622" spans="1:486" x14ac:dyDescent="0.25">
      <c r="A622" s="7">
        <v>0.50002761335929735</v>
      </c>
      <c r="B622"/>
      <c r="C622"/>
      <c r="D622"/>
      <c r="E622"/>
      <c r="T622" s="27" t="s">
        <v>7</v>
      </c>
      <c r="U622" s="27" t="s">
        <v>8</v>
      </c>
      <c r="FL622" s="27" t="s">
        <v>7</v>
      </c>
      <c r="GL622" s="27" t="s">
        <v>7</v>
      </c>
      <c r="HE622" s="27" t="s">
        <v>8</v>
      </c>
      <c r="HF622" s="27" t="s">
        <v>7</v>
      </c>
      <c r="HI622" s="27" t="s">
        <v>8</v>
      </c>
      <c r="HJ622" s="27" t="s">
        <v>7</v>
      </c>
      <c r="HK622" s="27" t="s">
        <v>8</v>
      </c>
      <c r="HM622" s="27" t="s">
        <v>8</v>
      </c>
      <c r="HN622" s="27" t="s">
        <v>7</v>
      </c>
      <c r="HO622" s="27" t="s">
        <v>8</v>
      </c>
      <c r="JL622" s="27" t="s">
        <v>7</v>
      </c>
      <c r="JS622" s="27" t="s">
        <v>8</v>
      </c>
      <c r="JT622" s="27" t="s">
        <v>7</v>
      </c>
      <c r="JU622" s="27" t="s">
        <v>8</v>
      </c>
      <c r="JZ622" s="27" t="s">
        <v>7</v>
      </c>
      <c r="KA622" s="27" t="s">
        <v>8</v>
      </c>
      <c r="KB622" s="27" t="s">
        <v>7</v>
      </c>
      <c r="KD622" s="27" t="s">
        <v>7</v>
      </c>
      <c r="KK622" s="27" t="s">
        <v>8</v>
      </c>
      <c r="KL622" s="27" t="s">
        <v>7</v>
      </c>
      <c r="KM622" s="27" t="s">
        <v>8</v>
      </c>
      <c r="KP622" s="27" t="s">
        <v>7</v>
      </c>
      <c r="KQ622" s="27" t="s">
        <v>8</v>
      </c>
      <c r="RN622" s="27" t="s">
        <v>7</v>
      </c>
    </row>
    <row r="623" spans="1:486" x14ac:dyDescent="0.25">
      <c r="A623" s="7">
        <v>0.49022315035225228</v>
      </c>
      <c r="B623"/>
      <c r="C623"/>
      <c r="D623"/>
      <c r="E623"/>
      <c r="T623" s="27" t="s">
        <v>7</v>
      </c>
      <c r="U623" s="27" t="s">
        <v>8</v>
      </c>
      <c r="GL623" s="27" t="s">
        <v>7</v>
      </c>
      <c r="HC623" s="27" t="s">
        <v>8</v>
      </c>
      <c r="HE623" s="27" t="s">
        <v>8</v>
      </c>
      <c r="HF623" s="27" t="s">
        <v>7</v>
      </c>
      <c r="HG623" s="27" t="s">
        <v>8</v>
      </c>
      <c r="HI623" s="27" t="s">
        <v>8</v>
      </c>
      <c r="HJ623" s="27" t="s">
        <v>7</v>
      </c>
      <c r="HK623" s="27" t="s">
        <v>8</v>
      </c>
      <c r="HL623" s="27" t="s">
        <v>7</v>
      </c>
      <c r="HM623" s="27" t="s">
        <v>8</v>
      </c>
      <c r="HN623" s="27" t="s">
        <v>7</v>
      </c>
      <c r="HO623" s="27" t="s">
        <v>8</v>
      </c>
      <c r="JL623" s="27" t="s">
        <v>7</v>
      </c>
      <c r="JO623" s="27" t="s">
        <v>8</v>
      </c>
      <c r="JQ623" s="27" t="s">
        <v>8</v>
      </c>
      <c r="JS623" s="27" t="s">
        <v>8</v>
      </c>
      <c r="JT623" s="27" t="s">
        <v>7</v>
      </c>
      <c r="JU623" s="27" t="s">
        <v>8</v>
      </c>
      <c r="JZ623" s="27" t="s">
        <v>7</v>
      </c>
      <c r="KA623" s="27" t="s">
        <v>8</v>
      </c>
      <c r="KD623" s="27" t="s">
        <v>7</v>
      </c>
      <c r="KK623" s="27" t="s">
        <v>8</v>
      </c>
      <c r="KL623" s="27" t="s">
        <v>7</v>
      </c>
      <c r="KM623" s="27" t="s">
        <v>8</v>
      </c>
      <c r="KP623" s="27" t="s">
        <v>7</v>
      </c>
      <c r="KQ623" s="27" t="s">
        <v>8</v>
      </c>
      <c r="RN623" s="27" t="s">
        <v>7</v>
      </c>
      <c r="RQ623" s="27" t="s">
        <v>8</v>
      </c>
    </row>
    <row r="624" spans="1:486" x14ac:dyDescent="0.25">
      <c r="A624" s="7">
        <v>0.48061093171789437</v>
      </c>
      <c r="B624"/>
      <c r="C624"/>
      <c r="D624"/>
      <c r="E624"/>
      <c r="T624" s="27" t="s">
        <v>7</v>
      </c>
      <c r="U624" s="27" t="s">
        <v>8</v>
      </c>
      <c r="GL624" s="27" t="s">
        <v>7</v>
      </c>
      <c r="HC624" s="27" t="s">
        <v>8</v>
      </c>
      <c r="HD624" s="27" t="s">
        <v>7</v>
      </c>
      <c r="HE624" s="27" t="s">
        <v>8</v>
      </c>
      <c r="HF624" s="27" t="s">
        <v>7</v>
      </c>
      <c r="HG624" s="27" t="s">
        <v>8</v>
      </c>
      <c r="HH624" s="27" t="s">
        <v>7</v>
      </c>
      <c r="HI624" s="27" t="s">
        <v>8</v>
      </c>
      <c r="HJ624" s="27" t="s">
        <v>7</v>
      </c>
      <c r="HK624" s="27" t="s">
        <v>8</v>
      </c>
      <c r="HL624" s="27" t="s">
        <v>7</v>
      </c>
      <c r="HM624" s="27" t="s">
        <v>8</v>
      </c>
      <c r="HN624" s="27" t="s">
        <v>7</v>
      </c>
      <c r="HO624" s="27" t="s">
        <v>8</v>
      </c>
      <c r="JL624" s="27" t="s">
        <v>7</v>
      </c>
      <c r="JO624" s="27" t="s">
        <v>8</v>
      </c>
      <c r="JP624" s="27" t="s">
        <v>7</v>
      </c>
      <c r="JQ624" s="27" t="s">
        <v>8</v>
      </c>
      <c r="JR624" s="27" t="s">
        <v>7</v>
      </c>
      <c r="JS624" s="27" t="s">
        <v>8</v>
      </c>
      <c r="JT624" s="27" t="s">
        <v>7</v>
      </c>
      <c r="JU624" s="27" t="s">
        <v>8</v>
      </c>
      <c r="JZ624" s="27" t="s">
        <v>7</v>
      </c>
      <c r="KA624" s="27" t="s">
        <v>8</v>
      </c>
      <c r="KD624" s="27" t="s">
        <v>7</v>
      </c>
      <c r="KG624" s="27" t="s">
        <v>8</v>
      </c>
      <c r="KK624" s="27" t="s">
        <v>8</v>
      </c>
      <c r="KL624" s="27" t="s">
        <v>7</v>
      </c>
      <c r="KM624" s="27" t="s">
        <v>8</v>
      </c>
      <c r="KP624" s="27" t="s">
        <v>7</v>
      </c>
      <c r="RN624" s="27" t="s">
        <v>7</v>
      </c>
      <c r="RQ624" s="27" t="s">
        <v>8</v>
      </c>
      <c r="RR624" s="27" t="s">
        <v>7</v>
      </c>
    </row>
    <row r="625" spans="1:486" x14ac:dyDescent="0.25">
      <c r="A625" s="7">
        <v>0.47118718795871994</v>
      </c>
      <c r="B625"/>
      <c r="C625"/>
      <c r="D625"/>
      <c r="E625"/>
      <c r="T625" s="27" t="s">
        <v>7</v>
      </c>
      <c r="U625" s="27" t="s">
        <v>8</v>
      </c>
      <c r="GL625" s="27" t="s">
        <v>7</v>
      </c>
      <c r="HC625" s="27" t="s">
        <v>8</v>
      </c>
      <c r="HD625" s="27" t="s">
        <v>7</v>
      </c>
      <c r="HE625" s="27" t="s">
        <v>8</v>
      </c>
      <c r="HF625" s="27" t="s">
        <v>7</v>
      </c>
      <c r="HG625" s="27" t="s">
        <v>8</v>
      </c>
      <c r="HH625" s="27" t="s">
        <v>7</v>
      </c>
      <c r="HI625" s="27" t="s">
        <v>8</v>
      </c>
      <c r="HJ625" s="27" t="s">
        <v>7</v>
      </c>
      <c r="HK625" s="27" t="s">
        <v>8</v>
      </c>
      <c r="HL625" s="27" t="s">
        <v>7</v>
      </c>
      <c r="HM625" s="27" t="s">
        <v>8</v>
      </c>
      <c r="HN625" s="27" t="s">
        <v>7</v>
      </c>
      <c r="JL625" s="27" t="s">
        <v>7</v>
      </c>
      <c r="JO625" s="27" t="s">
        <v>8</v>
      </c>
      <c r="JP625" s="27" t="s">
        <v>7</v>
      </c>
      <c r="JQ625" s="27" t="s">
        <v>8</v>
      </c>
      <c r="JR625" s="27" t="s">
        <v>7</v>
      </c>
      <c r="JS625" s="27" t="s">
        <v>8</v>
      </c>
      <c r="JT625" s="27" t="s">
        <v>7</v>
      </c>
      <c r="JZ625" s="27" t="s">
        <v>7</v>
      </c>
      <c r="KD625" s="27" t="s">
        <v>7</v>
      </c>
      <c r="KE625" s="27" t="s">
        <v>8</v>
      </c>
      <c r="KG625" s="27" t="s">
        <v>8</v>
      </c>
      <c r="KH625" s="27" t="s">
        <v>7</v>
      </c>
      <c r="KI625" s="27" t="s">
        <v>8</v>
      </c>
      <c r="KK625" s="27" t="s">
        <v>8</v>
      </c>
      <c r="KL625" s="27" t="s">
        <v>7</v>
      </c>
      <c r="RN625" s="27" t="s">
        <v>7</v>
      </c>
      <c r="RO625" s="27" t="s">
        <v>8</v>
      </c>
      <c r="RQ625" s="27" t="s">
        <v>8</v>
      </c>
      <c r="RR625" s="27" t="s">
        <v>7</v>
      </c>
    </row>
    <row r="626" spans="1:486" x14ac:dyDescent="0.25">
      <c r="A626" s="7">
        <v>0.46194822348894116</v>
      </c>
      <c r="B626"/>
      <c r="C626"/>
      <c r="D626"/>
      <c r="E626"/>
      <c r="T626" s="27" t="s">
        <v>7</v>
      </c>
      <c r="U626" s="27" t="s">
        <v>8</v>
      </c>
      <c r="GL626" s="27" t="s">
        <v>7</v>
      </c>
      <c r="GW626" s="27" t="s">
        <v>8</v>
      </c>
      <c r="HC626" s="27" t="s">
        <v>8</v>
      </c>
      <c r="HD626" s="27" t="s">
        <v>7</v>
      </c>
      <c r="HE626" s="27" t="s">
        <v>8</v>
      </c>
      <c r="HF626" s="27" t="s">
        <v>7</v>
      </c>
      <c r="HG626" s="27" t="s">
        <v>8</v>
      </c>
      <c r="HH626" s="27" t="s">
        <v>7</v>
      </c>
      <c r="HJ626" s="27" t="s">
        <v>7</v>
      </c>
      <c r="HK626" s="27" t="s">
        <v>8</v>
      </c>
      <c r="HL626" s="27" t="s">
        <v>7</v>
      </c>
      <c r="HM626" s="27" t="s">
        <v>8</v>
      </c>
      <c r="JL626" s="27" t="s">
        <v>7</v>
      </c>
      <c r="JM626" s="27" t="s">
        <v>8</v>
      </c>
      <c r="JO626" s="27" t="s">
        <v>8</v>
      </c>
      <c r="JP626" s="27" t="s">
        <v>7</v>
      </c>
      <c r="JQ626" s="27" t="s">
        <v>8</v>
      </c>
      <c r="JR626" s="27" t="s">
        <v>7</v>
      </c>
      <c r="JS626" s="27" t="s">
        <v>8</v>
      </c>
      <c r="KD626" s="27" t="s">
        <v>7</v>
      </c>
      <c r="KE626" s="27" t="s">
        <v>8</v>
      </c>
      <c r="KF626" s="27" t="s">
        <v>7</v>
      </c>
      <c r="KG626" s="27" t="s">
        <v>8</v>
      </c>
      <c r="KH626" s="27" t="s">
        <v>7</v>
      </c>
      <c r="KI626" s="27" t="s">
        <v>8</v>
      </c>
      <c r="KJ626" s="27" t="s">
        <v>7</v>
      </c>
      <c r="KK626" s="27" t="s">
        <v>8</v>
      </c>
      <c r="RN626" s="27" t="s">
        <v>7</v>
      </c>
      <c r="RO626" s="27" t="s">
        <v>8</v>
      </c>
      <c r="RP626" s="27" t="s">
        <v>7</v>
      </c>
      <c r="RQ626" s="27" t="s">
        <v>8</v>
      </c>
      <c r="RR626" s="27" t="s">
        <v>7</v>
      </c>
    </row>
    <row r="627" spans="1:486" x14ac:dyDescent="0.25">
      <c r="A627" s="7">
        <v>0.45289041518523643</v>
      </c>
      <c r="B627"/>
      <c r="C627"/>
      <c r="D627"/>
      <c r="E627"/>
      <c r="T627" s="27" t="s">
        <v>7</v>
      </c>
      <c r="U627" s="27" t="s">
        <v>8</v>
      </c>
      <c r="GL627" s="27" t="s">
        <v>7</v>
      </c>
      <c r="GW627" s="27" t="s">
        <v>8</v>
      </c>
      <c r="GX627" s="27" t="s">
        <v>7</v>
      </c>
      <c r="HC627" s="27" t="s">
        <v>8</v>
      </c>
      <c r="HD627" s="27" t="s">
        <v>7</v>
      </c>
      <c r="HF627" s="27" t="s">
        <v>7</v>
      </c>
      <c r="HJ627" s="27" t="s">
        <v>7</v>
      </c>
      <c r="HK627" s="27" t="s">
        <v>8</v>
      </c>
      <c r="HL627" s="27" t="s">
        <v>7</v>
      </c>
      <c r="JL627" s="27" t="s">
        <v>7</v>
      </c>
      <c r="JM627" s="27" t="s">
        <v>8</v>
      </c>
      <c r="JN627" s="27" t="s">
        <v>7</v>
      </c>
      <c r="JO627" s="27" t="s">
        <v>8</v>
      </c>
      <c r="JP627" s="27" t="s">
        <v>7</v>
      </c>
      <c r="JQ627" s="27" t="s">
        <v>8</v>
      </c>
      <c r="JR627" s="27" t="s">
        <v>7</v>
      </c>
      <c r="KD627" s="27" t="s">
        <v>7</v>
      </c>
      <c r="KE627" s="27" t="s">
        <v>8</v>
      </c>
      <c r="KF627" s="27" t="s">
        <v>7</v>
      </c>
      <c r="KG627" s="27" t="s">
        <v>8</v>
      </c>
      <c r="KH627" s="27" t="s">
        <v>7</v>
      </c>
      <c r="KI627" s="27" t="s">
        <v>8</v>
      </c>
      <c r="KJ627" s="27" t="s">
        <v>7</v>
      </c>
      <c r="KK627" s="27" t="s">
        <v>8</v>
      </c>
      <c r="RN627" s="27" t="s">
        <v>7</v>
      </c>
      <c r="RO627" s="27" t="s">
        <v>8</v>
      </c>
      <c r="RP627" s="27" t="s">
        <v>7</v>
      </c>
      <c r="RQ627" s="27" t="s">
        <v>8</v>
      </c>
      <c r="RR627" s="27" t="s">
        <v>7</v>
      </c>
    </row>
    <row r="628" spans="1:486" x14ac:dyDescent="0.25">
      <c r="A628" s="7">
        <v>0.44401021096591808</v>
      </c>
      <c r="B628"/>
      <c r="C628"/>
      <c r="D628"/>
      <c r="E628"/>
      <c r="T628" s="27" t="s">
        <v>7</v>
      </c>
      <c r="U628" s="27" t="s">
        <v>8</v>
      </c>
      <c r="GL628" s="27" t="s">
        <v>7</v>
      </c>
      <c r="GW628" s="27" t="s">
        <v>8</v>
      </c>
      <c r="GX628" s="27" t="s">
        <v>7</v>
      </c>
      <c r="HC628" s="27" t="s">
        <v>8</v>
      </c>
      <c r="HJ628" s="27" t="s">
        <v>7</v>
      </c>
      <c r="HK628" s="27" t="s">
        <v>8</v>
      </c>
      <c r="JL628" s="27" t="s">
        <v>7</v>
      </c>
      <c r="JM628" s="27" t="s">
        <v>8</v>
      </c>
      <c r="JN628" s="27" t="s">
        <v>7</v>
      </c>
      <c r="JO628" s="27" t="s">
        <v>8</v>
      </c>
      <c r="JP628" s="27" t="s">
        <v>7</v>
      </c>
      <c r="KD628" s="27" t="s">
        <v>7</v>
      </c>
      <c r="KE628" s="27" t="s">
        <v>8</v>
      </c>
      <c r="KF628" s="27" t="s">
        <v>7</v>
      </c>
      <c r="KG628" s="27" t="s">
        <v>8</v>
      </c>
      <c r="KH628" s="27" t="s">
        <v>7</v>
      </c>
      <c r="KI628" s="27" t="s">
        <v>8</v>
      </c>
      <c r="KJ628" s="27" t="s">
        <v>7</v>
      </c>
      <c r="KK628" s="27" t="s">
        <v>8</v>
      </c>
      <c r="RN628" s="27" t="s">
        <v>7</v>
      </c>
      <c r="RO628" s="27" t="s">
        <v>8</v>
      </c>
      <c r="RP628" s="27" t="s">
        <v>7</v>
      </c>
      <c r="RQ628" s="27" t="s">
        <v>8</v>
      </c>
    </row>
    <row r="629" spans="1:486" x14ac:dyDescent="0.25">
      <c r="A629" s="7">
        <v>0.4353041283979589</v>
      </c>
      <c r="B629"/>
      <c r="C629"/>
      <c r="D629"/>
      <c r="E629"/>
      <c r="T629" s="27" t="s">
        <v>7</v>
      </c>
      <c r="GL629" s="27" t="s">
        <v>7</v>
      </c>
      <c r="GW629" s="27" t="s">
        <v>8</v>
      </c>
      <c r="GX629" s="27" t="s">
        <v>7</v>
      </c>
      <c r="HC629" s="27" t="s">
        <v>8</v>
      </c>
      <c r="HJ629" s="27" t="s">
        <v>7</v>
      </c>
      <c r="HK629" s="27" t="s">
        <v>8</v>
      </c>
      <c r="JL629" s="27" t="s">
        <v>7</v>
      </c>
      <c r="JM629" s="27" t="s">
        <v>8</v>
      </c>
      <c r="JN629" s="27" t="s">
        <v>7</v>
      </c>
      <c r="JO629" s="27" t="s">
        <v>8</v>
      </c>
      <c r="KD629" s="27" t="s">
        <v>7</v>
      </c>
      <c r="KE629" s="27" t="s">
        <v>8</v>
      </c>
      <c r="KF629" s="27" t="s">
        <v>7</v>
      </c>
      <c r="KH629" s="27" t="s">
        <v>7</v>
      </c>
      <c r="KJ629" s="27" t="s">
        <v>7</v>
      </c>
      <c r="KK629" s="27" t="s">
        <v>8</v>
      </c>
      <c r="RN629" s="27" t="s">
        <v>7</v>
      </c>
      <c r="RO629" s="27" t="s">
        <v>8</v>
      </c>
      <c r="RP629" s="27" t="s">
        <v>7</v>
      </c>
      <c r="RQ629" s="27" t="s">
        <v>8</v>
      </c>
    </row>
    <row r="630" spans="1:486" x14ac:dyDescent="0.25">
      <c r="A630" s="7">
        <v>0.4267687533313323</v>
      </c>
      <c r="B630"/>
      <c r="C630"/>
      <c r="D630"/>
      <c r="E630"/>
      <c r="GL630" s="27" t="s">
        <v>7</v>
      </c>
      <c r="GQ630" s="27" t="s">
        <v>8</v>
      </c>
      <c r="GW630" s="27" t="s">
        <v>8</v>
      </c>
      <c r="GX630" s="27" t="s">
        <v>7</v>
      </c>
      <c r="HA630" s="27" t="s">
        <v>8</v>
      </c>
      <c r="HC630" s="27" t="s">
        <v>8</v>
      </c>
      <c r="HJ630" s="27" t="s">
        <v>7</v>
      </c>
      <c r="HK630" s="27" t="s">
        <v>8</v>
      </c>
      <c r="JL630" s="27" t="s">
        <v>7</v>
      </c>
      <c r="JM630" s="27" t="s">
        <v>8</v>
      </c>
      <c r="JN630" s="27" t="s">
        <v>7</v>
      </c>
      <c r="JO630" s="27" t="s">
        <v>8</v>
      </c>
      <c r="KD630" s="27" t="s">
        <v>7</v>
      </c>
      <c r="KE630" s="27" t="s">
        <v>8</v>
      </c>
      <c r="KJ630" s="27" t="s">
        <v>7</v>
      </c>
      <c r="RN630" s="27" t="s">
        <v>7</v>
      </c>
      <c r="RO630" s="27" t="s">
        <v>8</v>
      </c>
      <c r="RP630" s="27" t="s">
        <v>7</v>
      </c>
      <c r="RQ630" s="27" t="s">
        <v>8</v>
      </c>
    </row>
    <row r="631" spans="1:486" x14ac:dyDescent="0.25">
      <c r="A631" s="7">
        <v>0.41840073856012971</v>
      </c>
      <c r="B631"/>
      <c r="C631"/>
      <c r="D631"/>
      <c r="E631"/>
      <c r="GL631" s="27" t="s">
        <v>7</v>
      </c>
      <c r="GQ631" s="27" t="s">
        <v>8</v>
      </c>
      <c r="GR631" s="27" t="s">
        <v>7</v>
      </c>
      <c r="GW631" s="27" t="s">
        <v>8</v>
      </c>
      <c r="GX631" s="27" t="s">
        <v>7</v>
      </c>
      <c r="GY631" s="27" t="s">
        <v>8</v>
      </c>
      <c r="HA631" s="27" t="s">
        <v>8</v>
      </c>
      <c r="HB631" s="27" t="s">
        <v>7</v>
      </c>
      <c r="HC631" s="27" t="s">
        <v>8</v>
      </c>
      <c r="HJ631" s="27" t="s">
        <v>7</v>
      </c>
      <c r="HK631" s="27" t="s">
        <v>8</v>
      </c>
      <c r="JL631" s="27" t="s">
        <v>7</v>
      </c>
      <c r="JN631" s="27" t="s">
        <v>7</v>
      </c>
      <c r="JO631" s="27" t="s">
        <v>8</v>
      </c>
      <c r="KD631" s="27" t="s">
        <v>7</v>
      </c>
      <c r="KE631" s="27" t="s">
        <v>8</v>
      </c>
      <c r="RN631" s="27" t="s">
        <v>7</v>
      </c>
      <c r="RP631" s="27" t="s">
        <v>7</v>
      </c>
      <c r="RQ631" s="27" t="s">
        <v>8</v>
      </c>
    </row>
    <row r="632" spans="1:486" x14ac:dyDescent="0.25">
      <c r="A632" s="7">
        <v>0.41019680250993112</v>
      </c>
      <c r="B632"/>
      <c r="C632"/>
      <c r="D632"/>
      <c r="E632"/>
      <c r="GL632" s="27" t="s">
        <v>7</v>
      </c>
      <c r="GQ632" s="27" t="s">
        <v>8</v>
      </c>
      <c r="GR632" s="27" t="s">
        <v>7</v>
      </c>
      <c r="GW632" s="27" t="s">
        <v>8</v>
      </c>
      <c r="GX632" s="27" t="s">
        <v>7</v>
      </c>
      <c r="GY632" s="27" t="s">
        <v>8</v>
      </c>
      <c r="GZ632" s="27" t="s">
        <v>7</v>
      </c>
      <c r="HA632" s="27" t="s">
        <v>8</v>
      </c>
      <c r="HB632" s="27" t="s">
        <v>7</v>
      </c>
      <c r="HC632" s="27" t="s">
        <v>8</v>
      </c>
      <c r="HJ632" s="27" t="s">
        <v>7</v>
      </c>
      <c r="HK632" s="27" t="s">
        <v>8</v>
      </c>
      <c r="JN632" s="27" t="s">
        <v>7</v>
      </c>
      <c r="KD632" s="27" t="s">
        <v>7</v>
      </c>
      <c r="KE632" s="27" t="s">
        <v>8</v>
      </c>
      <c r="RP632" s="27" t="s">
        <v>7</v>
      </c>
    </row>
    <row r="633" spans="1:486" x14ac:dyDescent="0.25">
      <c r="A633" s="7">
        <v>0.40215372795091286</v>
      </c>
      <c r="B633"/>
      <c r="C633"/>
      <c r="D633"/>
      <c r="E633"/>
      <c r="GL633" s="27" t="s">
        <v>7</v>
      </c>
      <c r="GQ633" s="27" t="s">
        <v>8</v>
      </c>
      <c r="GR633" s="27" t="s">
        <v>7</v>
      </c>
      <c r="GW633" s="27" t="s">
        <v>8</v>
      </c>
      <c r="GX633" s="27" t="s">
        <v>7</v>
      </c>
      <c r="GY633" s="27" t="s">
        <v>8</v>
      </c>
      <c r="GZ633" s="27" t="s">
        <v>7</v>
      </c>
      <c r="HA633" s="27" t="s">
        <v>8</v>
      </c>
      <c r="HB633" s="27" t="s">
        <v>7</v>
      </c>
      <c r="HC633" s="27" t="s">
        <v>8</v>
      </c>
      <c r="HJ633" s="27" t="s">
        <v>7</v>
      </c>
      <c r="KD633" s="27" t="s">
        <v>7</v>
      </c>
      <c r="KE633" s="27" t="s">
        <v>8</v>
      </c>
    </row>
    <row r="634" spans="1:486" x14ac:dyDescent="0.25">
      <c r="A634" s="7">
        <v>0.39426836073618904</v>
      </c>
      <c r="B634"/>
      <c r="C634"/>
      <c r="D634"/>
      <c r="E634"/>
      <c r="GL634" s="27" t="s">
        <v>7</v>
      </c>
      <c r="GQ634" s="27" t="s">
        <v>8</v>
      </c>
      <c r="GR634" s="27" t="s">
        <v>7</v>
      </c>
      <c r="GS634" s="27" t="s">
        <v>8</v>
      </c>
      <c r="GW634" s="27" t="s">
        <v>8</v>
      </c>
      <c r="GX634" s="27" t="s">
        <v>7</v>
      </c>
      <c r="GZ634" s="27" t="s">
        <v>7</v>
      </c>
      <c r="HA634" s="27" t="s">
        <v>8</v>
      </c>
      <c r="HB634" s="27" t="s">
        <v>7</v>
      </c>
      <c r="KD634" s="27" t="s">
        <v>7</v>
      </c>
      <c r="KE634" s="27" t="s">
        <v>8</v>
      </c>
    </row>
    <row r="635" spans="1:486" x14ac:dyDescent="0.25">
      <c r="A635" s="7">
        <v>0.38653760856489122</v>
      </c>
      <c r="B635"/>
      <c r="C635"/>
      <c r="D635"/>
      <c r="E635"/>
      <c r="GL635" s="27" t="s">
        <v>7</v>
      </c>
      <c r="GQ635" s="27" t="s">
        <v>8</v>
      </c>
      <c r="GR635" s="27" t="s">
        <v>7</v>
      </c>
      <c r="GS635" s="27" t="s">
        <v>8</v>
      </c>
      <c r="GT635" s="27" t="s">
        <v>7</v>
      </c>
      <c r="GU635" s="27" t="s">
        <v>8</v>
      </c>
      <c r="GW635" s="27" t="s">
        <v>8</v>
      </c>
      <c r="GZ635" s="27" t="s">
        <v>7</v>
      </c>
      <c r="HA635" s="27" t="s">
        <v>8</v>
      </c>
      <c r="KD635" s="27" t="s">
        <v>7</v>
      </c>
      <c r="KE635" s="27" t="s">
        <v>8</v>
      </c>
    </row>
    <row r="636" spans="1:486" x14ac:dyDescent="0.25">
      <c r="A636" s="7">
        <v>0.37895843976950117</v>
      </c>
      <c r="B636"/>
      <c r="C636"/>
      <c r="D636"/>
      <c r="E636"/>
      <c r="GL636" s="27" t="s">
        <v>7</v>
      </c>
      <c r="GQ636" s="27" t="s">
        <v>8</v>
      </c>
      <c r="GR636" s="27" t="s">
        <v>7</v>
      </c>
      <c r="GS636" s="27" t="s">
        <v>8</v>
      </c>
      <c r="GT636" s="27" t="s">
        <v>7</v>
      </c>
      <c r="GU636" s="27" t="s">
        <v>8</v>
      </c>
      <c r="GV636" s="27" t="s">
        <v>7</v>
      </c>
      <c r="GW636" s="27" t="s">
        <v>8</v>
      </c>
      <c r="GZ636" s="27" t="s">
        <v>7</v>
      </c>
      <c r="HA636" s="27" t="s">
        <v>8</v>
      </c>
      <c r="KD636" s="27" t="s">
        <v>7</v>
      </c>
      <c r="KE636" s="27" t="s">
        <v>8</v>
      </c>
    </row>
    <row r="637" spans="1:486" x14ac:dyDescent="0.25">
      <c r="A637" s="7">
        <v>0.37152788212696197</v>
      </c>
      <c r="B637"/>
      <c r="C637"/>
      <c r="D637"/>
      <c r="E637"/>
      <c r="GL637" s="27" t="s">
        <v>7</v>
      </c>
      <c r="GM637" s="27" t="s">
        <v>8</v>
      </c>
      <c r="GQ637" s="27" t="s">
        <v>8</v>
      </c>
      <c r="GR637" s="27" t="s">
        <v>7</v>
      </c>
      <c r="GS637" s="27" t="s">
        <v>8</v>
      </c>
      <c r="GT637" s="27" t="s">
        <v>7</v>
      </c>
      <c r="GU637" s="27" t="s">
        <v>8</v>
      </c>
      <c r="GV637" s="27" t="s">
        <v>7</v>
      </c>
      <c r="GW637" s="27" t="s">
        <v>8</v>
      </c>
      <c r="GZ637" s="27" t="s">
        <v>7</v>
      </c>
      <c r="KD637" s="27" t="s">
        <v>7</v>
      </c>
      <c r="KE637" s="27" t="s">
        <v>8</v>
      </c>
    </row>
    <row r="638" spans="1:486" x14ac:dyDescent="0.25">
      <c r="A638" s="7">
        <v>0.36424302169310002</v>
      </c>
      <c r="B638"/>
      <c r="C638"/>
      <c r="D638"/>
      <c r="E638"/>
      <c r="GL638" s="27" t="s">
        <v>7</v>
      </c>
      <c r="GM638" s="27" t="s">
        <v>8</v>
      </c>
      <c r="GN638" s="27" t="s">
        <v>7</v>
      </c>
      <c r="GQ638" s="27" t="s">
        <v>8</v>
      </c>
      <c r="GR638" s="27" t="s">
        <v>7</v>
      </c>
      <c r="GS638" s="27" t="s">
        <v>8</v>
      </c>
      <c r="GT638" s="27" t="s">
        <v>7</v>
      </c>
      <c r="GV638" s="27" t="s">
        <v>7</v>
      </c>
      <c r="GW638" s="27" t="s">
        <v>8</v>
      </c>
      <c r="KD638" s="27" t="s">
        <v>7</v>
      </c>
      <c r="KE638" s="27" t="s">
        <v>8</v>
      </c>
    </row>
    <row r="639" spans="1:486" x14ac:dyDescent="0.25">
      <c r="A639" s="7">
        <v>0.35710100165990194</v>
      </c>
      <c r="B639"/>
      <c r="C639"/>
      <c r="D639"/>
      <c r="E639"/>
      <c r="GL639" s="27" t="s">
        <v>7</v>
      </c>
      <c r="GM639" s="27" t="s">
        <v>8</v>
      </c>
      <c r="GN639" s="27" t="s">
        <v>7</v>
      </c>
      <c r="GQ639" s="27" t="s">
        <v>8</v>
      </c>
      <c r="GR639" s="27" t="s">
        <v>7</v>
      </c>
      <c r="GS639" s="27" t="s">
        <v>8</v>
      </c>
      <c r="GV639" s="27" t="s">
        <v>7</v>
      </c>
      <c r="GW639" s="27" t="s">
        <v>8</v>
      </c>
      <c r="KD639" s="27" t="s">
        <v>7</v>
      </c>
      <c r="KE639" s="27" t="s">
        <v>8</v>
      </c>
    </row>
    <row r="640" spans="1:486" x14ac:dyDescent="0.25">
      <c r="A640" s="7">
        <v>0.35009902123519804</v>
      </c>
      <c r="B640"/>
      <c r="C640"/>
      <c r="D640"/>
      <c r="E640"/>
      <c r="GL640" s="27" t="s">
        <v>7</v>
      </c>
      <c r="GM640" s="27" t="s">
        <v>8</v>
      </c>
      <c r="GN640" s="27" t="s">
        <v>7</v>
      </c>
      <c r="GQ640" s="27" t="s">
        <v>8</v>
      </c>
      <c r="GR640" s="27" t="s">
        <v>7</v>
      </c>
      <c r="GS640" s="27" t="s">
        <v>8</v>
      </c>
      <c r="GV640" s="27" t="s">
        <v>7</v>
      </c>
      <c r="KD640" s="27" t="s">
        <v>7</v>
      </c>
      <c r="KE640" s="27" t="s">
        <v>8</v>
      </c>
    </row>
    <row r="641" spans="1:290" x14ac:dyDescent="0.25">
      <c r="A641" s="7">
        <v>0.34323433454431179</v>
      </c>
      <c r="B641"/>
      <c r="C641"/>
      <c r="D641"/>
      <c r="E641"/>
      <c r="GL641" s="27" t="s">
        <v>7</v>
      </c>
      <c r="GM641" s="27" t="s">
        <v>8</v>
      </c>
      <c r="GN641" s="27" t="s">
        <v>7</v>
      </c>
      <c r="GQ641" s="27" t="s">
        <v>8</v>
      </c>
      <c r="GR641" s="27" t="s">
        <v>7</v>
      </c>
      <c r="KD641" s="27" t="s">
        <v>7</v>
      </c>
    </row>
    <row r="642" spans="1:290" x14ac:dyDescent="0.25">
      <c r="A642" s="7">
        <v>0.33650424955324681</v>
      </c>
      <c r="B642"/>
      <c r="C642"/>
      <c r="D642"/>
      <c r="E642"/>
      <c r="GL642" s="27" t="s">
        <v>7</v>
      </c>
      <c r="GM642" s="27" t="s">
        <v>8</v>
      </c>
      <c r="GN642" s="27" t="s">
        <v>7</v>
      </c>
      <c r="GO642" s="27" t="s">
        <v>8</v>
      </c>
      <c r="GQ642" s="27" t="s">
        <v>8</v>
      </c>
    </row>
    <row r="643" spans="1:290" x14ac:dyDescent="0.25">
      <c r="A643" s="7">
        <v>0.3299061270129871</v>
      </c>
      <c r="B643"/>
      <c r="C643"/>
      <c r="D643"/>
      <c r="E643"/>
      <c r="GL643" s="27" t="s">
        <v>7</v>
      </c>
      <c r="GM643" s="27" t="s">
        <v>8</v>
      </c>
      <c r="GN643" s="27" t="s">
        <v>7</v>
      </c>
      <c r="GO643" s="27" t="s">
        <v>8</v>
      </c>
      <c r="GP643" s="27" t="s">
        <v>7</v>
      </c>
      <c r="GQ643" s="27" t="s">
        <v>8</v>
      </c>
    </row>
    <row r="644" spans="1:290" x14ac:dyDescent="0.25">
      <c r="A644" s="7">
        <v>0.32343737942449713</v>
      </c>
      <c r="B644"/>
      <c r="C644"/>
      <c r="D644"/>
      <c r="E644"/>
      <c r="GL644" s="27" t="s">
        <v>7</v>
      </c>
      <c r="GM644" s="27" t="s">
        <v>8</v>
      </c>
      <c r="GN644" s="27" t="s">
        <v>7</v>
      </c>
      <c r="GO644" s="27" t="s">
        <v>8</v>
      </c>
      <c r="GP644" s="27" t="s">
        <v>7</v>
      </c>
      <c r="GQ644" s="27" t="s">
        <v>8</v>
      </c>
    </row>
    <row r="645" spans="1:290" x14ac:dyDescent="0.25">
      <c r="A645" s="7">
        <v>0.31709547002401678</v>
      </c>
      <c r="B645"/>
      <c r="C645"/>
      <c r="D645"/>
      <c r="E645"/>
      <c r="GL645" s="27" t="s">
        <v>7</v>
      </c>
      <c r="GM645" s="27" t="s">
        <v>8</v>
      </c>
      <c r="GN645" s="27" t="s">
        <v>7</v>
      </c>
      <c r="GO645" s="27" t="s">
        <v>8</v>
      </c>
      <c r="GP645" s="27" t="s">
        <v>7</v>
      </c>
      <c r="GQ645" s="27" t="s">
        <v>8</v>
      </c>
    </row>
    <row r="646" spans="1:290" x14ac:dyDescent="0.25">
      <c r="A646" s="7">
        <v>0.31087791178825175</v>
      </c>
      <c r="B646"/>
      <c r="C646"/>
      <c r="D646"/>
      <c r="E646"/>
      <c r="GL646" s="27" t="s">
        <v>7</v>
      </c>
      <c r="GM646" s="27" t="s">
        <v>8</v>
      </c>
      <c r="GN646" s="27" t="s">
        <v>7</v>
      </c>
      <c r="GO646" s="27" t="s">
        <v>8</v>
      </c>
      <c r="GP646" s="27" t="s">
        <v>7</v>
      </c>
    </row>
    <row r="647" spans="1:290" x14ac:dyDescent="0.25">
      <c r="A647" s="7">
        <v>0.30478226645907036</v>
      </c>
      <c r="B647"/>
      <c r="C647"/>
      <c r="D647"/>
      <c r="E647"/>
      <c r="GL647" s="27" t="s">
        <v>7</v>
      </c>
      <c r="GM647" s="27" t="s">
        <v>8</v>
      </c>
      <c r="GN647" s="27" t="s">
        <v>7</v>
      </c>
      <c r="GO647" s="27" t="s">
        <v>8</v>
      </c>
    </row>
    <row r="648" spans="1:290" x14ac:dyDescent="0.25">
      <c r="A648" s="7">
        <v>0.29880614358732388</v>
      </c>
      <c r="B648"/>
      <c r="C648"/>
      <c r="D648"/>
      <c r="E648"/>
      <c r="GL648" s="27" t="s">
        <v>7</v>
      </c>
      <c r="GM648" s="27" t="s">
        <v>8</v>
      </c>
      <c r="GN648" s="27" t="s">
        <v>7</v>
      </c>
      <c r="GO648" s="27" t="s">
        <v>8</v>
      </c>
    </row>
    <row r="649" spans="1:290" x14ac:dyDescent="0.25">
      <c r="A649" s="7">
        <v>0.2929471995954156</v>
      </c>
      <c r="B649"/>
      <c r="C649"/>
      <c r="D649"/>
      <c r="E649"/>
      <c r="GL649" s="27" t="s">
        <v>7</v>
      </c>
      <c r="GM649" s="27" t="s">
        <v>8</v>
      </c>
      <c r="GN649" s="27" t="s">
        <v>7</v>
      </c>
      <c r="GO649" s="27" t="s">
        <v>8</v>
      </c>
    </row>
    <row r="650" spans="1:290" x14ac:dyDescent="0.25">
      <c r="A650" s="7">
        <v>0.28720313685825055</v>
      </c>
      <c r="B650"/>
      <c r="C650"/>
      <c r="D650"/>
      <c r="E650"/>
      <c r="GL650" s="27" t="s">
        <v>7</v>
      </c>
      <c r="GM650" s="27" t="s">
        <v>8</v>
      </c>
      <c r="GN650" s="27" t="s">
        <v>7</v>
      </c>
      <c r="GO650" s="27" t="s">
        <v>8</v>
      </c>
    </row>
    <row r="651" spans="1:290" x14ac:dyDescent="0.25">
      <c r="A651" s="7">
        <v>0.28157170280220645</v>
      </c>
      <c r="B651"/>
      <c r="C651"/>
      <c r="D651"/>
      <c r="E651"/>
      <c r="GL651" s="27" t="s">
        <v>7</v>
      </c>
      <c r="GM651" s="27" t="s">
        <v>8</v>
      </c>
      <c r="GN651" s="27" t="s">
        <v>7</v>
      </c>
    </row>
    <row r="652" spans="1:290" x14ac:dyDescent="0.25">
      <c r="A652" s="7">
        <v>0.27605068902177105</v>
      </c>
      <c r="B652"/>
      <c r="C652"/>
      <c r="D652"/>
      <c r="E652"/>
      <c r="GL652" s="27" t="s">
        <v>7</v>
      </c>
      <c r="GM652" s="27" t="s">
        <v>8</v>
      </c>
    </row>
    <row r="653" spans="1:290" x14ac:dyDescent="0.25">
      <c r="A653" s="7">
        <v>0.27063793041350104</v>
      </c>
      <c r="B653"/>
      <c r="C653"/>
      <c r="D653"/>
      <c r="E653"/>
      <c r="GL653" s="27" t="s">
        <v>7</v>
      </c>
      <c r="GM653" s="27" t="s">
        <v>8</v>
      </c>
    </row>
    <row r="654" spans="1:290" x14ac:dyDescent="0.25">
      <c r="A654" s="7">
        <v>0.26533130432696184</v>
      </c>
      <c r="B654"/>
      <c r="C654"/>
      <c r="D654"/>
      <c r="E654"/>
      <c r="GL654" s="27" t="s">
        <v>7</v>
      </c>
      <c r="GM654" s="27" t="s">
        <v>8</v>
      </c>
    </row>
    <row r="655" spans="1:290" x14ac:dyDescent="0.25">
      <c r="A655" s="7">
        <v>0.26012872973231554</v>
      </c>
      <c r="B655"/>
      <c r="C655"/>
      <c r="D655"/>
      <c r="E655"/>
      <c r="GL655" s="27" t="s">
        <v>7</v>
      </c>
      <c r="GM655" s="27" t="s">
        <v>8</v>
      </c>
    </row>
    <row r="656" spans="1:290" x14ac:dyDescent="0.25">
      <c r="A656" s="7">
        <v>0.25502816640423093</v>
      </c>
      <c r="B656"/>
      <c r="C656"/>
      <c r="D656"/>
      <c r="E656"/>
      <c r="GL656" s="27" t="s">
        <v>7</v>
      </c>
      <c r="GM656" s="27" t="s">
        <v>8</v>
      </c>
    </row>
    <row r="657" spans="1:195" x14ac:dyDescent="0.25">
      <c r="A657" s="7">
        <v>0.25002761412179503</v>
      </c>
      <c r="B657"/>
      <c r="C657"/>
      <c r="D657"/>
      <c r="E657"/>
      <c r="GL657" s="27" t="s">
        <v>7</v>
      </c>
      <c r="GM657" s="27" t="s">
        <v>8</v>
      </c>
    </row>
    <row r="658" spans="1:195" x14ac:dyDescent="0.25">
      <c r="A658" s="7">
        <v>0.24512511188411276</v>
      </c>
      <c r="B658"/>
      <c r="C658"/>
      <c r="D658"/>
      <c r="E658"/>
      <c r="GL658" s="27" t="s">
        <v>7</v>
      </c>
      <c r="GM658" s="27" t="s">
        <v>8</v>
      </c>
    </row>
    <row r="659" spans="1:195" x14ac:dyDescent="0.25">
      <c r="A659" s="7">
        <v>0.24031873714128701</v>
      </c>
      <c r="B659"/>
      <c r="C659"/>
      <c r="D659"/>
      <c r="E659"/>
      <c r="GL659" s="27" t="s">
        <v>7</v>
      </c>
      <c r="GM659" s="27" t="s">
        <v>8</v>
      </c>
    </row>
    <row r="660" spans="1:195" x14ac:dyDescent="0.25">
      <c r="A660" s="7">
        <v>0.23560660504047748</v>
      </c>
      <c r="B660"/>
      <c r="C660"/>
      <c r="D660"/>
      <c r="E660"/>
      <c r="GL660" s="27" t="s">
        <v>7</v>
      </c>
      <c r="GM660" s="27" t="s">
        <v>8</v>
      </c>
    </row>
    <row r="661" spans="1:195" x14ac:dyDescent="0.25">
      <c r="A661" s="7">
        <v>0.23098686768674265</v>
      </c>
      <c r="B661"/>
      <c r="C661"/>
      <c r="D661"/>
      <c r="E661"/>
      <c r="GL661" s="27" t="s">
        <v>7</v>
      </c>
      <c r="GM661" s="27" t="s">
        <v>8</v>
      </c>
    </row>
    <row r="662" spans="1:195" x14ac:dyDescent="0.25">
      <c r="A662" s="7">
        <v>0.22645771341837515</v>
      </c>
      <c r="B662"/>
      <c r="C662"/>
      <c r="D662"/>
      <c r="E662"/>
      <c r="GL662" s="27" t="s">
        <v>7</v>
      </c>
      <c r="GM662" s="27" t="s">
        <v>8</v>
      </c>
    </row>
    <row r="663" spans="1:195" x14ac:dyDescent="0.25">
      <c r="A663" s="7">
        <v>0.22201736609644623</v>
      </c>
      <c r="B663"/>
      <c r="C663"/>
      <c r="D663"/>
      <c r="E663"/>
      <c r="GL663" s="27" t="s">
        <v>7</v>
      </c>
      <c r="GM663" s="27" t="s">
        <v>8</v>
      </c>
    </row>
    <row r="664" spans="1:195" x14ac:dyDescent="0.25">
      <c r="A664" s="7">
        <v>0.21766408440828061</v>
      </c>
      <c r="B664"/>
      <c r="C664"/>
      <c r="D664"/>
      <c r="E664"/>
      <c r="GL664" s="27" t="s">
        <v>7</v>
      </c>
      <c r="GM664" s="27" t="s">
        <v>8</v>
      </c>
    </row>
    <row r="665" spans="1:195" x14ac:dyDescent="0.25">
      <c r="A665" s="7">
        <v>0.21339616118458882</v>
      </c>
      <c r="B665"/>
      <c r="C665"/>
      <c r="D665"/>
      <c r="E665"/>
      <c r="GL665" s="27" t="s">
        <v>7</v>
      </c>
    </row>
    <row r="666" spans="1:195" x14ac:dyDescent="0.25">
      <c r="A666" s="7">
        <v>0.20921192272998904</v>
      </c>
      <c r="B666"/>
      <c r="C666"/>
      <c r="D666"/>
      <c r="E666"/>
    </row>
    <row r="667" spans="1:195" x14ac:dyDescent="0.25">
      <c r="A667" s="7">
        <v>0.20510972816665593</v>
      </c>
      <c r="B667"/>
      <c r="C667"/>
      <c r="D667"/>
      <c r="E667"/>
    </row>
    <row r="668" spans="1:195" x14ac:dyDescent="0.25">
      <c r="A668" s="7">
        <v>0.20108796879083912</v>
      </c>
      <c r="B668"/>
      <c r="C668"/>
      <c r="D668"/>
      <c r="E668"/>
    </row>
    <row r="669" spans="1:195" x14ac:dyDescent="0.25">
      <c r="A669" s="7">
        <v>0.19714506744199917</v>
      </c>
      <c r="B669"/>
      <c r="C669"/>
      <c r="D669"/>
      <c r="E669"/>
    </row>
    <row r="670" spans="1:195" x14ac:dyDescent="0.25">
      <c r="A670" s="7">
        <v>0.19327947788431293</v>
      </c>
      <c r="B670"/>
      <c r="C670"/>
      <c r="D670"/>
      <c r="E670"/>
    </row>
    <row r="671" spans="1:195" x14ac:dyDescent="0.25">
      <c r="A671" s="7">
        <v>0.18948968420030682</v>
      </c>
      <c r="B671"/>
      <c r="C671"/>
      <c r="D671"/>
      <c r="E671"/>
    </row>
    <row r="672" spans="1:19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596" operator="equal">
      <formula>$U$1</formula>
    </cfRule>
    <cfRule type="cellIs" dxfId="89" priority="1597" operator="equal">
      <formula>$S$1</formula>
    </cfRule>
  </conditionalFormatting>
  <conditionalFormatting sqref="D27">
    <cfRule type="cellIs" dxfId="88" priority="1594" operator="equal">
      <formula>$S$1</formula>
    </cfRule>
    <cfRule type="cellIs" dxfId="87" priority="1595" operator="equal">
      <formula>$U$1</formula>
    </cfRule>
  </conditionalFormatting>
  <conditionalFormatting sqref="C164">
    <cfRule type="cellIs" dxfId="86" priority="1592" operator="equal">
      <formula>$U$1</formula>
    </cfRule>
    <cfRule type="cellIs" dxfId="85" priority="1593" operator="equal">
      <formula>$S$1</formula>
    </cfRule>
  </conditionalFormatting>
  <conditionalFormatting sqref="D164">
    <cfRule type="cellIs" dxfId="84" priority="1590" operator="equal">
      <formula>$S$1</formula>
    </cfRule>
    <cfRule type="cellIs" dxfId="83" priority="1591" operator="equal">
      <formula>$U$1</formula>
    </cfRule>
  </conditionalFormatting>
  <conditionalFormatting sqref="C55">
    <cfRule type="cellIs" dxfId="82" priority="1588" operator="equal">
      <formula>$U$1</formula>
    </cfRule>
    <cfRule type="cellIs" dxfId="81" priority="1589" operator="equal">
      <formula>$S$1</formula>
    </cfRule>
  </conditionalFormatting>
  <conditionalFormatting sqref="D55">
    <cfRule type="cellIs" dxfId="80" priority="1586" operator="equal">
      <formula>$S$1</formula>
    </cfRule>
    <cfRule type="cellIs" dxfId="79" priority="1587" operator="equal">
      <formula>$U$1</formula>
    </cfRule>
  </conditionalFormatting>
  <conditionalFormatting sqref="C89">
    <cfRule type="cellIs" dxfId="78" priority="1584" operator="equal">
      <formula>$U$1</formula>
    </cfRule>
    <cfRule type="cellIs" dxfId="77" priority="1585" operator="equal">
      <formula>$S$1</formula>
    </cfRule>
  </conditionalFormatting>
  <conditionalFormatting sqref="D89">
    <cfRule type="cellIs" dxfId="76" priority="1582" operator="equal">
      <formula>$S$1</formula>
    </cfRule>
    <cfRule type="cellIs" dxfId="75" priority="1583" operator="equal">
      <formula>$U$1</formula>
    </cfRule>
  </conditionalFormatting>
  <conditionalFormatting sqref="C136">
    <cfRule type="cellIs" dxfId="74" priority="1580" operator="equal">
      <formula>$U$1</formula>
    </cfRule>
    <cfRule type="cellIs" dxfId="73" priority="1581" operator="equal">
      <formula>$S$1</formula>
    </cfRule>
  </conditionalFormatting>
  <conditionalFormatting sqref="D136">
    <cfRule type="cellIs" dxfId="72" priority="1578" operator="equal">
      <formula>$S$1</formula>
    </cfRule>
    <cfRule type="cellIs" dxfId="71" priority="1579" operator="equal">
      <formula>$U$1</formula>
    </cfRule>
  </conditionalFormatting>
  <conditionalFormatting sqref="C1">
    <cfRule type="cellIs" dxfId="70" priority="1577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2" zoomScale="90" zoomScaleNormal="90" workbookViewId="0">
      <pane xSplit="4" topLeftCell="DQ1" activePane="topRight" state="frozen"/>
      <selection activeCell="A109" sqref="A109"/>
      <selection pane="topRight" activeCell="FS255" sqref="FS25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$A$254</v>
      </c>
      <c r="D111" s="1" t="str">
        <f>ADDRESS(C121-1,D121,1,1)</f>
        <v>$FS$254</v>
      </c>
      <c r="E111"/>
    </row>
    <row r="112" spans="1:5" x14ac:dyDescent="0.25">
      <c r="A112" s="30">
        <v>515.50191262726139</v>
      </c>
      <c r="C112" s="1" t="str">
        <f>ADDRESS(C121,1,1,1)</f>
        <v>$A$255</v>
      </c>
      <c r="D112" s="1" t="str">
        <f>ADDRESS(C121,D121-1,1,1)</f>
        <v>$FR$255</v>
      </c>
      <c r="E112"/>
    </row>
    <row r="113" spans="1:5" x14ac:dyDescent="0.25">
      <c r="A113" s="30">
        <v>490.95420250215363</v>
      </c>
      <c r="C113" s="1" t="str">
        <f>ADDRESS(C121+1,1,1,1)</f>
        <v>$A$256</v>
      </c>
      <c r="D113" s="1" t="str">
        <f>ADDRESS(C121-1,D121+1,1,1)</f>
        <v>$FT$254</v>
      </c>
    </row>
    <row r="114" spans="1:5" x14ac:dyDescent="0.25">
      <c r="A114" s="30">
        <v>467.57543095443202</v>
      </c>
      <c r="C114" s="1" t="str">
        <f>ADDRESS(C121,D121,1,1)</f>
        <v>$FS$255</v>
      </c>
      <c r="D114" s="1" t="str">
        <f>ADDRESS(C121+1,D121+1,1,1)</f>
        <v>$FT$256</v>
      </c>
    </row>
    <row r="115" spans="1:5" x14ac:dyDescent="0.25">
      <c r="A115" s="30">
        <v>445.30993424231622</v>
      </c>
      <c r="C115" s="1" t="str">
        <f>ADDRESS(C121+1,D121,1,1)</f>
        <v>$FS$256</v>
      </c>
    </row>
    <row r="116" spans="1:5" x14ac:dyDescent="0.25">
      <c r="A116" s="30">
        <v>424.10469927839637</v>
      </c>
      <c r="C116" s="1">
        <f>C117-1</f>
        <v>254</v>
      </c>
    </row>
    <row r="117" spans="1:5" x14ac:dyDescent="0.25">
      <c r="A117" s="30">
        <v>403.9092374079965</v>
      </c>
      <c r="C117" s="1">
        <f>C121</f>
        <v>255</v>
      </c>
      <c r="D117" s="1">
        <f>D121</f>
        <v>175</v>
      </c>
    </row>
    <row r="118" spans="1:5" x14ac:dyDescent="0.25">
      <c r="A118" s="30">
        <v>384.6754641980919</v>
      </c>
      <c r="C118" s="1">
        <f>C117+1</f>
        <v>256</v>
      </c>
      <c r="D118" s="1">
        <f>D117+1</f>
        <v>176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255</v>
      </c>
      <c r="D121" s="19">
        <v>175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R255</v>
      </c>
      <c r="D123" s="1" t="str">
        <f>"C"&amp;D121</f>
        <v>C175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0.48101709809096732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139" x14ac:dyDescent="0.25">
      <c r="A209" s="30">
        <v>4.5380394939082018</v>
      </c>
      <c r="E209"/>
    </row>
    <row r="210" spans="1:139" x14ac:dyDescent="0.25">
      <c r="A210" s="30">
        <v>4.3219423751506678</v>
      </c>
      <c r="C210"/>
      <c r="E210"/>
    </row>
    <row r="211" spans="1:139" x14ac:dyDescent="0.25">
      <c r="A211" s="30">
        <v>4.1161355953815884</v>
      </c>
      <c r="E211"/>
    </row>
    <row r="212" spans="1:139" x14ac:dyDescent="0.25">
      <c r="A212" s="30">
        <v>3.9201291384586554</v>
      </c>
      <c r="E212"/>
    </row>
    <row r="213" spans="1:139" x14ac:dyDescent="0.25">
      <c r="A213" s="30">
        <v>3.7334563223415764</v>
      </c>
      <c r="E213"/>
    </row>
    <row r="214" spans="1:139" x14ac:dyDescent="0.25">
      <c r="A214" s="30">
        <v>3.5556726879443583</v>
      </c>
      <c r="E214"/>
    </row>
    <row r="215" spans="1:139" x14ac:dyDescent="0.25">
      <c r="A215" s="30">
        <v>3.3863549408993889</v>
      </c>
      <c r="E215"/>
    </row>
    <row r="216" spans="1:139" x14ac:dyDescent="0.25">
      <c r="A216" s="30">
        <v>3.2250999437137038</v>
      </c>
      <c r="E216"/>
    </row>
    <row r="217" spans="1:139" x14ac:dyDescent="0.25">
      <c r="A217" s="30">
        <v>3.0715237559178128</v>
      </c>
      <c r="E217"/>
    </row>
    <row r="218" spans="1:139" x14ac:dyDescent="0.25">
      <c r="A218" s="30">
        <v>2.9252607199217264</v>
      </c>
      <c r="E218"/>
      <c r="EA218" s="27" t="s">
        <v>8</v>
      </c>
    </row>
    <row r="219" spans="1:139" x14ac:dyDescent="0.25">
      <c r="A219" s="30">
        <v>2.7859625904016441</v>
      </c>
      <c r="E219"/>
      <c r="EA219" s="27" t="s">
        <v>8</v>
      </c>
      <c r="EB219" s="27" t="s">
        <v>7</v>
      </c>
      <c r="EC219" s="27" t="s">
        <v>8</v>
      </c>
    </row>
    <row r="220" spans="1:139" x14ac:dyDescent="0.25">
      <c r="A220" s="30">
        <v>2.6532977051444226</v>
      </c>
      <c r="E220"/>
      <c r="EA220" s="27" t="s">
        <v>8</v>
      </c>
      <c r="EB220" s="27" t="s">
        <v>7</v>
      </c>
      <c r="EC220" s="27" t="s">
        <v>8</v>
      </c>
      <c r="ED220" s="27" t="s">
        <v>7</v>
      </c>
      <c r="EE220" s="31" t="s">
        <v>8</v>
      </c>
    </row>
    <row r="221" spans="1:139" x14ac:dyDescent="0.25">
      <c r="A221" s="30">
        <v>2.5269501953756404</v>
      </c>
      <c r="E221"/>
      <c r="DS221" s="32" t="s">
        <v>8</v>
      </c>
      <c r="DU221" s="32" t="s">
        <v>8</v>
      </c>
      <c r="EA221" s="27" t="s">
        <v>8</v>
      </c>
      <c r="EB221" s="27" t="s">
        <v>7</v>
      </c>
      <c r="EC221" s="27" t="s">
        <v>8</v>
      </c>
      <c r="ED221" s="27" t="s">
        <v>7</v>
      </c>
      <c r="EE221" s="27" t="s">
        <v>8</v>
      </c>
      <c r="EF221" s="31" t="s">
        <v>7</v>
      </c>
    </row>
    <row r="222" spans="1:139" x14ac:dyDescent="0.25">
      <c r="A222" s="30">
        <v>2.4066192336910861</v>
      </c>
      <c r="E222"/>
      <c r="DS222" s="27" t="s">
        <v>8</v>
      </c>
      <c r="DT222" s="27" t="s">
        <v>7</v>
      </c>
      <c r="DU222" s="27" t="s">
        <v>8</v>
      </c>
      <c r="DV222" s="27" t="s">
        <v>7</v>
      </c>
      <c r="EA222" s="27" t="s">
        <v>8</v>
      </c>
      <c r="EB222" s="27" t="s">
        <v>7</v>
      </c>
      <c r="ED222" s="27" t="s">
        <v>7</v>
      </c>
      <c r="EE222" s="27" t="s">
        <v>8</v>
      </c>
      <c r="EF222" s="27" t="s">
        <v>7</v>
      </c>
      <c r="EG222" s="31"/>
    </row>
    <row r="223" spans="1:139" x14ac:dyDescent="0.25">
      <c r="A223" s="30">
        <v>2.2920183178010345</v>
      </c>
      <c r="E223"/>
      <c r="DS223" s="27" t="s">
        <v>8</v>
      </c>
      <c r="DT223" s="27" t="s">
        <v>7</v>
      </c>
      <c r="DU223" s="27" t="s">
        <v>8</v>
      </c>
      <c r="DV223" s="27" t="s">
        <v>7</v>
      </c>
      <c r="EA223" s="27" t="s">
        <v>8</v>
      </c>
      <c r="ED223" s="27" t="s">
        <v>7</v>
      </c>
      <c r="EE223" s="27" t="s">
        <v>8</v>
      </c>
      <c r="EF223" s="27" t="s">
        <v>7</v>
      </c>
      <c r="EH223" s="31"/>
    </row>
    <row r="224" spans="1:139" x14ac:dyDescent="0.25">
      <c r="A224" s="30">
        <v>2.1828745883819374</v>
      </c>
      <c r="E224"/>
      <c r="DS224" s="27" t="s">
        <v>8</v>
      </c>
      <c r="DT224" s="27" t="s">
        <v>7</v>
      </c>
      <c r="DU224" s="27" t="s">
        <v>8</v>
      </c>
      <c r="DV224" s="27" t="s">
        <v>7</v>
      </c>
      <c r="EA224" s="27" t="s">
        <v>8</v>
      </c>
      <c r="ED224" s="27" t="s">
        <v>7</v>
      </c>
      <c r="EF224" s="27" t="s">
        <v>7</v>
      </c>
      <c r="EI224" s="31"/>
    </row>
    <row r="225" spans="1:168" x14ac:dyDescent="0.25">
      <c r="A225" s="30">
        <v>2.0789281794113688</v>
      </c>
      <c r="E225"/>
      <c r="DO225" s="32" t="s">
        <v>8</v>
      </c>
      <c r="DQ225" s="32" t="s">
        <v>8</v>
      </c>
      <c r="DS225" s="27" t="s">
        <v>8</v>
      </c>
      <c r="DT225" s="27" t="s">
        <v>7</v>
      </c>
      <c r="DU225" s="27" t="s">
        <v>8</v>
      </c>
      <c r="DV225" s="27" t="s">
        <v>7</v>
      </c>
      <c r="EA225" s="27" t="s">
        <v>8</v>
      </c>
      <c r="EF225" s="33" t="s">
        <v>7</v>
      </c>
      <c r="EJ225" s="31"/>
    </row>
    <row r="226" spans="1:168" x14ac:dyDescent="0.25">
      <c r="A226" s="30">
        <v>1.9799315994393987</v>
      </c>
      <c r="E226"/>
      <c r="DO226" s="27" t="s">
        <v>8</v>
      </c>
      <c r="DP226" s="27" t="s">
        <v>7</v>
      </c>
      <c r="DQ226" s="27" t="s">
        <v>8</v>
      </c>
      <c r="DR226" s="27" t="s">
        <v>7</v>
      </c>
      <c r="DS226" s="27" t="s">
        <v>8</v>
      </c>
      <c r="DT226" s="27" t="s">
        <v>7</v>
      </c>
      <c r="DU226" s="27" t="s">
        <v>8</v>
      </c>
      <c r="DV226" s="27" t="s">
        <v>7</v>
      </c>
      <c r="DY226" s="27" t="s">
        <v>8</v>
      </c>
      <c r="EA226" s="27" t="s">
        <v>8</v>
      </c>
      <c r="EF226" s="27" t="s">
        <v>7</v>
      </c>
      <c r="EK226" s="31"/>
    </row>
    <row r="227" spans="1:168" x14ac:dyDescent="0.25">
      <c r="A227" s="30">
        <v>1.8856491423232367</v>
      </c>
      <c r="E227"/>
      <c r="DM227" s="27" t="s">
        <v>8</v>
      </c>
      <c r="DO227" s="27" t="s">
        <v>8</v>
      </c>
      <c r="DP227" s="27" t="s">
        <v>7</v>
      </c>
      <c r="DQ227" s="27" t="s">
        <v>8</v>
      </c>
      <c r="DR227" s="27" t="s">
        <v>7</v>
      </c>
      <c r="DS227" s="27" t="s">
        <v>8</v>
      </c>
      <c r="DT227" s="27" t="s">
        <v>7</v>
      </c>
      <c r="DU227" s="27" t="s">
        <v>8</v>
      </c>
      <c r="DV227" s="27" t="s">
        <v>7</v>
      </c>
      <c r="DY227" s="27" t="s">
        <v>8</v>
      </c>
      <c r="DZ227" s="27" t="s">
        <v>7</v>
      </c>
      <c r="EA227" s="27" t="s">
        <v>8</v>
      </c>
      <c r="EF227" s="27" t="s">
        <v>7</v>
      </c>
      <c r="EL227" s="31"/>
    </row>
    <row r="228" spans="1:168" x14ac:dyDescent="0.25">
      <c r="A228" s="30">
        <v>1.7958563260221301</v>
      </c>
      <c r="C228" s="7"/>
      <c r="D228"/>
      <c r="E228" t="s">
        <v>8</v>
      </c>
      <c r="AI228" s="27" t="s">
        <v>8</v>
      </c>
      <c r="DM228" s="27" t="s">
        <v>8</v>
      </c>
      <c r="DN228" s="27" t="s">
        <v>7</v>
      </c>
      <c r="DO228" s="27" t="s">
        <v>8</v>
      </c>
      <c r="DP228" s="27" t="s">
        <v>7</v>
      </c>
      <c r="DQ228" s="27" t="s">
        <v>8</v>
      </c>
      <c r="DR228" s="27" t="s">
        <v>7</v>
      </c>
      <c r="DT228" s="27" t="s">
        <v>7</v>
      </c>
      <c r="DU228" s="27" t="s">
        <v>8</v>
      </c>
      <c r="DV228" s="27" t="s">
        <v>7</v>
      </c>
      <c r="DY228" s="27" t="s">
        <v>8</v>
      </c>
      <c r="DZ228" s="27" t="s">
        <v>7</v>
      </c>
      <c r="EA228" s="27" t="s">
        <v>8</v>
      </c>
      <c r="EF228" s="27" t="s">
        <v>7</v>
      </c>
      <c r="EG228" s="27" t="s">
        <v>8</v>
      </c>
      <c r="EM228" s="31"/>
    </row>
    <row r="229" spans="1:168" x14ac:dyDescent="0.25">
      <c r="A229" s="30">
        <v>1.7103393581163142</v>
      </c>
      <c r="E229" t="s">
        <v>8</v>
      </c>
      <c r="F229" s="27" t="s">
        <v>7</v>
      </c>
      <c r="AG229" s="27" t="s">
        <v>8</v>
      </c>
      <c r="AI229" s="27" t="s">
        <v>8</v>
      </c>
      <c r="AJ229" s="27" t="s">
        <v>7</v>
      </c>
      <c r="DM229" s="27" t="s">
        <v>8</v>
      </c>
      <c r="DN229" s="27" t="s">
        <v>7</v>
      </c>
      <c r="DO229" s="27" t="s">
        <v>8</v>
      </c>
      <c r="DP229" s="27" t="s">
        <v>7</v>
      </c>
      <c r="DT229" s="33" t="s">
        <v>7</v>
      </c>
      <c r="DU229" s="27" t="s">
        <v>8</v>
      </c>
      <c r="DV229" s="27" t="s">
        <v>7</v>
      </c>
      <c r="DY229" s="27" t="s">
        <v>8</v>
      </c>
      <c r="DZ229" s="27" t="s">
        <v>7</v>
      </c>
      <c r="EF229" s="27" t="s">
        <v>7</v>
      </c>
      <c r="EG229" s="27" t="s">
        <v>8</v>
      </c>
      <c r="EH229" s="27" t="s">
        <v>7</v>
      </c>
      <c r="EN229" s="31"/>
    </row>
    <row r="230" spans="1:168" x14ac:dyDescent="0.25">
      <c r="A230" s="30">
        <v>1.628894626777442</v>
      </c>
      <c r="E230" t="s">
        <v>8</v>
      </c>
      <c r="F230" s="27" t="s">
        <v>7</v>
      </c>
      <c r="AA230" s="27" t="s">
        <v>8</v>
      </c>
      <c r="AE230" s="27" t="s">
        <v>8</v>
      </c>
      <c r="AG230" s="27" t="s">
        <v>8</v>
      </c>
      <c r="AH230" s="27" t="s">
        <v>7</v>
      </c>
      <c r="AI230" s="27" t="s">
        <v>8</v>
      </c>
      <c r="AJ230" s="27" t="s">
        <v>7</v>
      </c>
      <c r="AK230" s="27" t="s">
        <v>8</v>
      </c>
      <c r="DM230" s="27" t="s">
        <v>8</v>
      </c>
      <c r="DN230" s="27" t="s">
        <v>7</v>
      </c>
      <c r="DO230" s="27" t="s">
        <v>8</v>
      </c>
      <c r="DT230" s="27" t="s">
        <v>7</v>
      </c>
      <c r="DU230" s="27" t="s">
        <v>8</v>
      </c>
      <c r="DV230" s="27" t="s">
        <v>7</v>
      </c>
      <c r="DY230" s="27" t="s">
        <v>8</v>
      </c>
      <c r="EF230" s="27" t="s">
        <v>7</v>
      </c>
      <c r="EG230" s="27" t="s">
        <v>8</v>
      </c>
      <c r="EH230" s="27" t="s">
        <v>7</v>
      </c>
      <c r="EO230" s="31"/>
    </row>
    <row r="231" spans="1:168" x14ac:dyDescent="0.25">
      <c r="A231" s="30">
        <v>1.5513282159785162</v>
      </c>
      <c r="C231"/>
      <c r="D231"/>
      <c r="E231" t="s">
        <v>8</v>
      </c>
      <c r="F231" s="27" t="s">
        <v>7</v>
      </c>
      <c r="AA231" s="27" t="s">
        <v>8</v>
      </c>
      <c r="AB231" s="27" t="s">
        <v>7</v>
      </c>
      <c r="AE231" s="27" t="s">
        <v>8</v>
      </c>
      <c r="AF231" s="27" t="s">
        <v>7</v>
      </c>
      <c r="AG231" s="27" t="s">
        <v>8</v>
      </c>
      <c r="AH231" s="27" t="s">
        <v>7</v>
      </c>
      <c r="AI231" s="27" t="s">
        <v>8</v>
      </c>
      <c r="AJ231" s="27" t="s">
        <v>7</v>
      </c>
      <c r="AK231" s="27" t="s">
        <v>8</v>
      </c>
      <c r="AL231" s="27" t="s">
        <v>7</v>
      </c>
      <c r="DC231" s="27" t="s">
        <v>8</v>
      </c>
      <c r="DM231" s="27" t="s">
        <v>8</v>
      </c>
      <c r="DN231" s="27" t="s">
        <v>7</v>
      </c>
      <c r="DT231" s="27" t="s">
        <v>7</v>
      </c>
      <c r="DV231" s="27" t="s">
        <v>7</v>
      </c>
      <c r="DY231" s="34" t="s">
        <v>8</v>
      </c>
      <c r="EF231" s="27" t="s">
        <v>7</v>
      </c>
      <c r="EG231" s="27" t="s">
        <v>8</v>
      </c>
      <c r="EH231" s="27" t="s">
        <v>7</v>
      </c>
      <c r="EP231" s="31"/>
    </row>
    <row r="232" spans="1:168" x14ac:dyDescent="0.25">
      <c r="A232" s="30">
        <v>1.477455443789063</v>
      </c>
      <c r="E232" t="s">
        <v>8</v>
      </c>
      <c r="F232" s="27" t="s">
        <v>7</v>
      </c>
      <c r="G232" s="27" t="s">
        <v>8</v>
      </c>
      <c r="AA232" s="27" t="s">
        <v>8</v>
      </c>
      <c r="AB232" s="27" t="s">
        <v>7</v>
      </c>
      <c r="AE232" s="27" t="s">
        <v>8</v>
      </c>
      <c r="AF232" s="27" t="s">
        <v>7</v>
      </c>
      <c r="AG232" s="27" t="s">
        <v>8</v>
      </c>
      <c r="AH232" s="27" t="s">
        <v>7</v>
      </c>
      <c r="AI232" s="27" t="s">
        <v>8</v>
      </c>
      <c r="AJ232" s="27" t="s">
        <v>7</v>
      </c>
      <c r="AK232" s="27" t="s">
        <v>8</v>
      </c>
      <c r="AL232" s="27" t="s">
        <v>7</v>
      </c>
      <c r="DC232" s="27" t="s">
        <v>8</v>
      </c>
      <c r="DD232" s="27" t="s">
        <v>7</v>
      </c>
      <c r="DM232" s="27" t="s">
        <v>8</v>
      </c>
      <c r="DV232" s="31" t="s">
        <v>7</v>
      </c>
      <c r="DW232" s="27" t="s">
        <v>8</v>
      </c>
      <c r="DY232" s="27" t="s">
        <v>8</v>
      </c>
      <c r="EF232" s="27" t="s">
        <v>7</v>
      </c>
      <c r="EG232" s="27" t="s">
        <v>8</v>
      </c>
      <c r="EH232" s="27" t="s">
        <v>7</v>
      </c>
      <c r="EQ232" s="31"/>
    </row>
    <row r="233" spans="1:168" x14ac:dyDescent="0.25">
      <c r="A233" s="30">
        <v>1.4071004226562505</v>
      </c>
      <c r="E233" t="s">
        <v>8</v>
      </c>
      <c r="F233" s="27" t="s">
        <v>7</v>
      </c>
      <c r="G233" s="27" t="s">
        <v>8</v>
      </c>
      <c r="H233" s="27" t="s">
        <v>7</v>
      </c>
      <c r="AA233" s="27" t="s">
        <v>8</v>
      </c>
      <c r="AB233" s="27" t="s">
        <v>7</v>
      </c>
      <c r="AE233" s="27" t="s">
        <v>8</v>
      </c>
      <c r="AF233" s="27" t="s">
        <v>7</v>
      </c>
      <c r="AG233" s="27" t="s">
        <v>8</v>
      </c>
      <c r="AH233" s="27" t="s">
        <v>7</v>
      </c>
      <c r="AI233" s="27" t="s">
        <v>8</v>
      </c>
      <c r="AJ233" s="27" t="s">
        <v>7</v>
      </c>
      <c r="AL233" s="27" t="s">
        <v>7</v>
      </c>
      <c r="DC233" s="27" t="s">
        <v>8</v>
      </c>
      <c r="DD233" s="27" t="s">
        <v>7</v>
      </c>
      <c r="DK233" s="27" t="s">
        <v>8</v>
      </c>
      <c r="DM233" s="27" t="s">
        <v>8</v>
      </c>
      <c r="DU233" s="31"/>
      <c r="DV233" s="27" t="s">
        <v>7</v>
      </c>
      <c r="DW233" s="27" t="s">
        <v>8</v>
      </c>
      <c r="DX233" s="27" t="s">
        <v>7</v>
      </c>
      <c r="DY233" s="27" t="s">
        <v>8</v>
      </c>
      <c r="EF233" s="27" t="s">
        <v>7</v>
      </c>
      <c r="EG233" s="27" t="s">
        <v>8</v>
      </c>
      <c r="EH233" s="27" t="s">
        <v>7</v>
      </c>
      <c r="ER233" s="31"/>
    </row>
    <row r="234" spans="1:168" x14ac:dyDescent="0.25">
      <c r="A234" s="30">
        <v>1.3400956406250004</v>
      </c>
      <c r="E234" t="s">
        <v>8</v>
      </c>
      <c r="F234" s="27" t="s">
        <v>7</v>
      </c>
      <c r="G234" s="27" t="s">
        <v>8</v>
      </c>
      <c r="H234" s="27" t="s">
        <v>7</v>
      </c>
      <c r="Y234" s="27" t="s">
        <v>8</v>
      </c>
      <c r="AA234" s="27" t="s">
        <v>8</v>
      </c>
      <c r="AB234" s="27" t="s">
        <v>7</v>
      </c>
      <c r="AE234" s="27" t="s">
        <v>8</v>
      </c>
      <c r="AF234" s="27" t="s">
        <v>7</v>
      </c>
      <c r="AG234" s="27" t="s">
        <v>8</v>
      </c>
      <c r="AH234" s="27" t="s">
        <v>7</v>
      </c>
      <c r="AI234" s="27" t="s">
        <v>8</v>
      </c>
      <c r="AL234" s="27" t="s">
        <v>7</v>
      </c>
      <c r="CY234" s="27" t="s">
        <v>8</v>
      </c>
      <c r="DC234" s="27" t="s">
        <v>8</v>
      </c>
      <c r="DD234" s="27" t="s">
        <v>7</v>
      </c>
      <c r="DK234" s="27" t="s">
        <v>8</v>
      </c>
      <c r="DL234" s="27" t="s">
        <v>7</v>
      </c>
      <c r="DM234" s="27" t="s">
        <v>8</v>
      </c>
      <c r="DT234" s="31"/>
      <c r="DV234" s="27" t="s">
        <v>7</v>
      </c>
      <c r="DW234" s="27" t="s">
        <v>8</v>
      </c>
      <c r="DX234" s="27" t="s">
        <v>7</v>
      </c>
      <c r="DY234" s="27" t="s">
        <v>8</v>
      </c>
      <c r="EF234" s="27" t="s">
        <v>7</v>
      </c>
      <c r="EG234" s="27" t="s">
        <v>8</v>
      </c>
      <c r="EH234" s="27" t="s">
        <v>7</v>
      </c>
      <c r="ES234" s="31"/>
    </row>
    <row r="235" spans="1:168" x14ac:dyDescent="0.25">
      <c r="A235" s="30">
        <v>1.2762815625000004</v>
      </c>
      <c r="C235"/>
      <c r="E235" t="s">
        <v>8</v>
      </c>
      <c r="F235" s="27" t="s">
        <v>7</v>
      </c>
      <c r="H235" s="27" t="s">
        <v>7</v>
      </c>
      <c r="Y235" s="27" t="s">
        <v>8</v>
      </c>
      <c r="Z235" s="27" t="s">
        <v>7</v>
      </c>
      <c r="AA235" s="27" t="s">
        <v>8</v>
      </c>
      <c r="AB235" s="27" t="s">
        <v>7</v>
      </c>
      <c r="AE235" s="27" t="s">
        <v>8</v>
      </c>
      <c r="AF235" s="27" t="s">
        <v>7</v>
      </c>
      <c r="AH235" s="27" t="s">
        <v>7</v>
      </c>
      <c r="AI235" s="27" t="s">
        <v>8</v>
      </c>
      <c r="AL235" s="27" t="s">
        <v>7</v>
      </c>
      <c r="CY235" s="27" t="s">
        <v>8</v>
      </c>
      <c r="CZ235" s="27" t="s">
        <v>7</v>
      </c>
      <c r="DC235" s="27" t="s">
        <v>8</v>
      </c>
      <c r="DD235" s="27" t="s">
        <v>7</v>
      </c>
      <c r="DK235" s="27" t="s">
        <v>8</v>
      </c>
      <c r="DL235" s="27" t="s">
        <v>7</v>
      </c>
      <c r="DM235" s="27" t="s">
        <v>8</v>
      </c>
      <c r="DS235" s="31"/>
      <c r="DV235" s="32" t="s">
        <v>7</v>
      </c>
      <c r="DX235" s="32" t="s">
        <v>7</v>
      </c>
      <c r="EF235" s="27" t="s">
        <v>7</v>
      </c>
      <c r="EG235" s="27" t="s">
        <v>8</v>
      </c>
      <c r="EH235" s="27" t="s">
        <v>7</v>
      </c>
      <c r="EI235" s="32" t="s">
        <v>8</v>
      </c>
      <c r="EK235" s="32" t="s">
        <v>8</v>
      </c>
      <c r="ET235" s="31"/>
      <c r="EU235" s="27" t="s">
        <v>8</v>
      </c>
      <c r="EW235" s="27" t="s">
        <v>8</v>
      </c>
    </row>
    <row r="236" spans="1:168" x14ac:dyDescent="0.25">
      <c r="A236" s="30">
        <v>1.2155062500000002</v>
      </c>
      <c r="E236" t="s">
        <v>8</v>
      </c>
      <c r="H236" s="27" t="s">
        <v>7</v>
      </c>
      <c r="Y236" s="27" t="s">
        <v>8</v>
      </c>
      <c r="Z236" s="27" t="s">
        <v>7</v>
      </c>
      <c r="AA236" s="27" t="s">
        <v>8</v>
      </c>
      <c r="AB236" s="27" t="s">
        <v>7</v>
      </c>
      <c r="AE236" s="27" t="s">
        <v>8</v>
      </c>
      <c r="AH236" s="27" t="s">
        <v>7</v>
      </c>
      <c r="AL236" s="27" t="s">
        <v>7</v>
      </c>
      <c r="CY236" s="27" t="s">
        <v>8</v>
      </c>
      <c r="CZ236" s="27" t="s">
        <v>7</v>
      </c>
      <c r="DA236" s="27" t="s">
        <v>8</v>
      </c>
      <c r="DC236" s="27" t="s">
        <v>8</v>
      </c>
      <c r="DD236" s="27" t="s">
        <v>7</v>
      </c>
      <c r="DI236" s="27" t="s">
        <v>8</v>
      </c>
      <c r="DK236" s="27" t="s">
        <v>8</v>
      </c>
      <c r="DL236" s="27" t="s">
        <v>7</v>
      </c>
      <c r="DM236" s="27" t="s">
        <v>8</v>
      </c>
      <c r="DR236" s="31"/>
      <c r="EF236" s="27" t="s">
        <v>7</v>
      </c>
      <c r="EG236" s="27" t="s">
        <v>8</v>
      </c>
      <c r="EH236" s="27" t="s">
        <v>7</v>
      </c>
      <c r="EI236" s="27" t="s">
        <v>8</v>
      </c>
      <c r="EJ236" s="27" t="s">
        <v>7</v>
      </c>
      <c r="EK236" s="27" t="s">
        <v>8</v>
      </c>
      <c r="EL236" s="27" t="s">
        <v>7</v>
      </c>
      <c r="EM236" s="27" t="s">
        <v>8</v>
      </c>
      <c r="EU236" s="31" t="s">
        <v>8</v>
      </c>
      <c r="EV236" s="27" t="s">
        <v>7</v>
      </c>
      <c r="EW236" s="27" t="s">
        <v>8</v>
      </c>
      <c r="EX236" s="27" t="s">
        <v>7</v>
      </c>
      <c r="FI236" s="27" t="s">
        <v>8</v>
      </c>
    </row>
    <row r="237" spans="1:168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  <c r="H237" s="27" t="s">
        <v>7</v>
      </c>
      <c r="U237" s="27" t="s">
        <v>8</v>
      </c>
      <c r="Y237" s="27" t="s">
        <v>8</v>
      </c>
      <c r="Z237" s="27" t="s">
        <v>7</v>
      </c>
      <c r="AA237" s="27" t="s">
        <v>8</v>
      </c>
      <c r="AB237" s="27" t="s">
        <v>7</v>
      </c>
      <c r="AC237" s="27" t="s">
        <v>8</v>
      </c>
      <c r="AE237" s="27" t="s">
        <v>8</v>
      </c>
      <c r="AL237" s="27" t="s">
        <v>7</v>
      </c>
      <c r="AW237" s="27" t="s">
        <v>8</v>
      </c>
      <c r="CY237" s="27" t="s">
        <v>8</v>
      </c>
      <c r="CZ237" s="27" t="s">
        <v>7</v>
      </c>
      <c r="DA237" s="27" t="s">
        <v>8</v>
      </c>
      <c r="DB237" s="27" t="s">
        <v>7</v>
      </c>
      <c r="DC237" s="27" t="s">
        <v>8</v>
      </c>
      <c r="DD237" s="27" t="s">
        <v>7</v>
      </c>
      <c r="DI237" s="27" t="s">
        <v>8</v>
      </c>
      <c r="DJ237" s="27" t="s">
        <v>7</v>
      </c>
      <c r="DK237" s="27" t="s">
        <v>8</v>
      </c>
      <c r="DL237" s="27" t="s">
        <v>7</v>
      </c>
      <c r="DQ237" s="31"/>
      <c r="EF237" s="27" t="s">
        <v>7</v>
      </c>
      <c r="EG237" s="27" t="s">
        <v>8</v>
      </c>
      <c r="EH237" s="27" t="s">
        <v>7</v>
      </c>
      <c r="EI237" s="27" t="s">
        <v>8</v>
      </c>
      <c r="EJ237" s="27" t="s">
        <v>7</v>
      </c>
      <c r="EK237" s="27" t="s">
        <v>8</v>
      </c>
      <c r="EL237" s="27" t="s">
        <v>7</v>
      </c>
      <c r="EM237" s="27" t="s">
        <v>8</v>
      </c>
      <c r="EN237" s="27" t="s">
        <v>7</v>
      </c>
      <c r="ES237" s="27" t="s">
        <v>8</v>
      </c>
      <c r="EU237" s="27" t="s">
        <v>8</v>
      </c>
      <c r="EV237" s="31" t="s">
        <v>7</v>
      </c>
      <c r="EW237" s="27" t="s">
        <v>8</v>
      </c>
      <c r="EX237" s="27" t="s">
        <v>7</v>
      </c>
      <c r="FI237" s="27" t="s">
        <v>8</v>
      </c>
      <c r="FJ237" s="27" t="s">
        <v>7</v>
      </c>
    </row>
    <row r="238" spans="1:168" x14ac:dyDescent="0.25">
      <c r="A238" s="30">
        <v>1.1025</v>
      </c>
      <c r="E238" t="s">
        <v>8</v>
      </c>
      <c r="H238" s="27" t="s">
        <v>7</v>
      </c>
      <c r="U238" s="27" t="s">
        <v>8</v>
      </c>
      <c r="V238" s="27" t="s">
        <v>7</v>
      </c>
      <c r="Y238" s="27" t="s">
        <v>8</v>
      </c>
      <c r="Z238" s="27" t="s">
        <v>7</v>
      </c>
      <c r="AB238" s="27" t="s">
        <v>7</v>
      </c>
      <c r="AC238" s="27" t="s">
        <v>8</v>
      </c>
      <c r="AD238" s="27" t="s">
        <v>7</v>
      </c>
      <c r="AE238" s="27" t="s">
        <v>8</v>
      </c>
      <c r="AL238" s="27" t="s">
        <v>7</v>
      </c>
      <c r="AW238" s="27" t="s">
        <v>8</v>
      </c>
      <c r="AX238" s="27" t="s">
        <v>7</v>
      </c>
      <c r="CY238" s="27" t="s">
        <v>8</v>
      </c>
      <c r="CZ238" s="27" t="s">
        <v>7</v>
      </c>
      <c r="DA238" s="27" t="s">
        <v>8</v>
      </c>
      <c r="DB238" s="27" t="s">
        <v>7</v>
      </c>
      <c r="DC238" s="27" t="s">
        <v>8</v>
      </c>
      <c r="DD238" s="27" t="s">
        <v>7</v>
      </c>
      <c r="DI238" s="34" t="s">
        <v>8</v>
      </c>
      <c r="DJ238" s="27" t="s">
        <v>7</v>
      </c>
      <c r="DK238" s="27" t="s">
        <v>8</v>
      </c>
      <c r="DP238" s="31"/>
      <c r="EF238" s="27" t="s">
        <v>7</v>
      </c>
      <c r="EG238" s="27" t="s">
        <v>8</v>
      </c>
      <c r="EH238" s="27" t="s">
        <v>7</v>
      </c>
      <c r="EJ238" s="27" t="s">
        <v>7</v>
      </c>
      <c r="EK238" s="27" t="s">
        <v>8</v>
      </c>
      <c r="EL238" s="27" t="s">
        <v>7</v>
      </c>
      <c r="EM238" s="27" t="s">
        <v>8</v>
      </c>
      <c r="EN238" s="27" t="s">
        <v>7</v>
      </c>
      <c r="ES238" s="27" t="s">
        <v>8</v>
      </c>
      <c r="ET238" s="27" t="s">
        <v>7</v>
      </c>
      <c r="EU238" s="27" t="s">
        <v>8</v>
      </c>
      <c r="EV238" s="27" t="s">
        <v>7</v>
      </c>
      <c r="EW238" s="31" t="s">
        <v>8</v>
      </c>
      <c r="EX238" s="27" t="s">
        <v>7</v>
      </c>
      <c r="FE238" s="27" t="s">
        <v>8</v>
      </c>
      <c r="FG238" s="27" t="s">
        <v>8</v>
      </c>
      <c r="FI238" s="27" t="s">
        <v>8</v>
      </c>
      <c r="FJ238" s="27" t="s">
        <v>7</v>
      </c>
    </row>
    <row r="239" spans="1:168" x14ac:dyDescent="0.25">
      <c r="A239" s="30">
        <v>1.05</v>
      </c>
      <c r="E239" t="s">
        <v>8</v>
      </c>
      <c r="H239" s="27" t="s">
        <v>7</v>
      </c>
      <c r="I239" s="27" t="s">
        <v>8</v>
      </c>
      <c r="U239" s="27" t="s">
        <v>8</v>
      </c>
      <c r="V239" s="27" t="s">
        <v>7</v>
      </c>
      <c r="W239" s="27" t="s">
        <v>8</v>
      </c>
      <c r="Y239" s="27" t="s">
        <v>8</v>
      </c>
      <c r="AB239" s="27" t="s">
        <v>7</v>
      </c>
      <c r="AC239" s="27" t="s">
        <v>8</v>
      </c>
      <c r="AD239" s="27" t="s">
        <v>7</v>
      </c>
      <c r="AE239" s="27" t="s">
        <v>8</v>
      </c>
      <c r="AL239" s="27" t="s">
        <v>7</v>
      </c>
      <c r="AM239" s="27" t="s">
        <v>8</v>
      </c>
      <c r="AO239" s="27" t="s">
        <v>8</v>
      </c>
      <c r="AW239" s="27" t="s">
        <v>8</v>
      </c>
      <c r="AX239" s="27" t="s">
        <v>7</v>
      </c>
      <c r="BC239" s="27" t="s">
        <v>8</v>
      </c>
      <c r="CY239" s="27" t="s">
        <v>8</v>
      </c>
      <c r="CZ239" s="27" t="s">
        <v>7</v>
      </c>
      <c r="DA239" s="27" t="s">
        <v>8</v>
      </c>
      <c r="DB239" s="27" t="s">
        <v>7</v>
      </c>
      <c r="DD239" s="27" t="s">
        <v>7</v>
      </c>
      <c r="DE239" s="32" t="s">
        <v>8</v>
      </c>
      <c r="DG239" s="32" t="s">
        <v>8</v>
      </c>
      <c r="DI239" s="27" t="s">
        <v>8</v>
      </c>
      <c r="DJ239" s="27" t="s">
        <v>7</v>
      </c>
      <c r="DK239" s="27" t="s">
        <v>8</v>
      </c>
      <c r="DO239" s="31"/>
      <c r="EF239" s="27" t="s">
        <v>7</v>
      </c>
      <c r="EG239" s="27" t="s">
        <v>8</v>
      </c>
      <c r="EJ239" s="27" t="s">
        <v>7</v>
      </c>
      <c r="EK239" s="27" t="s">
        <v>8</v>
      </c>
      <c r="EL239" s="27" t="s">
        <v>7</v>
      </c>
      <c r="EM239" s="27" t="s">
        <v>8</v>
      </c>
      <c r="EN239" s="27" t="s">
        <v>7</v>
      </c>
      <c r="EO239" s="27" t="s">
        <v>8</v>
      </c>
      <c r="ES239" s="27" t="s">
        <v>8</v>
      </c>
      <c r="ET239" s="27" t="s">
        <v>7</v>
      </c>
      <c r="EU239" s="27" t="s">
        <v>8</v>
      </c>
      <c r="EV239" s="27" t="s">
        <v>7</v>
      </c>
      <c r="EW239" s="27" t="s">
        <v>8</v>
      </c>
      <c r="EX239" s="31" t="s">
        <v>7</v>
      </c>
      <c r="EY239" s="27" t="s">
        <v>8</v>
      </c>
      <c r="FA239" s="27" t="s">
        <v>8</v>
      </c>
      <c r="FE239" s="27" t="s">
        <v>8</v>
      </c>
      <c r="FF239" s="27" t="s">
        <v>7</v>
      </c>
      <c r="FG239" s="27" t="s">
        <v>8</v>
      </c>
      <c r="FH239" s="27" t="s">
        <v>7</v>
      </c>
      <c r="FI239" s="27" t="s">
        <v>8</v>
      </c>
      <c r="FJ239" s="27" t="s">
        <v>7</v>
      </c>
      <c r="FK239" s="27" t="s">
        <v>8</v>
      </c>
    </row>
    <row r="240" spans="1:168" x14ac:dyDescent="0.25">
      <c r="A240" s="30">
        <v>1</v>
      </c>
      <c r="E240" s="29" t="s">
        <v>8</v>
      </c>
      <c r="H240" s="27" t="s">
        <v>7</v>
      </c>
      <c r="I240" s="27" t="s">
        <v>8</v>
      </c>
      <c r="J240" s="27" t="s">
        <v>7</v>
      </c>
      <c r="U240" s="27" t="s">
        <v>8</v>
      </c>
      <c r="V240" s="27" t="s">
        <v>7</v>
      </c>
      <c r="W240" s="27" t="s">
        <v>8</v>
      </c>
      <c r="X240" s="27" t="s">
        <v>7</v>
      </c>
      <c r="Y240" s="27" t="s">
        <v>8</v>
      </c>
      <c r="AB240" s="27" t="s">
        <v>7</v>
      </c>
      <c r="AD240" s="27" t="s">
        <v>7</v>
      </c>
      <c r="AL240" s="27" t="s">
        <v>7</v>
      </c>
      <c r="AM240" s="27" t="s">
        <v>8</v>
      </c>
      <c r="AN240" s="27" t="s">
        <v>7</v>
      </c>
      <c r="AO240" s="27" t="s">
        <v>8</v>
      </c>
      <c r="AP240" s="27" t="s">
        <v>7</v>
      </c>
      <c r="AW240" s="27" t="s">
        <v>8</v>
      </c>
      <c r="AX240" s="27" t="s">
        <v>7</v>
      </c>
      <c r="BC240" s="27" t="s">
        <v>8</v>
      </c>
      <c r="BD240" s="27" t="s">
        <v>7</v>
      </c>
      <c r="CA240" s="27" t="s">
        <v>8</v>
      </c>
      <c r="CY240" s="27" t="s">
        <v>8</v>
      </c>
      <c r="CZ240" s="27" t="s">
        <v>7</v>
      </c>
      <c r="DA240" s="27" t="s">
        <v>8</v>
      </c>
      <c r="DD240" s="27" t="s">
        <v>7</v>
      </c>
      <c r="DE240" s="27" t="s">
        <v>8</v>
      </c>
      <c r="DF240" s="27" t="s">
        <v>7</v>
      </c>
      <c r="DG240" s="27" t="s">
        <v>8</v>
      </c>
      <c r="DH240" s="27" t="s">
        <v>7</v>
      </c>
      <c r="DI240" s="27" t="s">
        <v>8</v>
      </c>
      <c r="DJ240" s="27" t="s">
        <v>7</v>
      </c>
      <c r="DN240" s="31"/>
      <c r="EF240" s="27" t="s">
        <v>7</v>
      </c>
      <c r="EG240" s="27" t="s">
        <v>8</v>
      </c>
      <c r="EJ240" s="27" t="s">
        <v>7</v>
      </c>
      <c r="EK240" s="27" t="s">
        <v>8</v>
      </c>
      <c r="EL240" s="27" t="s">
        <v>7</v>
      </c>
      <c r="EN240" s="27" t="s">
        <v>7</v>
      </c>
      <c r="EO240" s="27" t="s">
        <v>8</v>
      </c>
      <c r="EP240" s="27" t="s">
        <v>7</v>
      </c>
      <c r="ES240" s="27" t="s">
        <v>8</v>
      </c>
      <c r="ET240" s="27" t="s">
        <v>7</v>
      </c>
      <c r="EU240" s="27" t="s">
        <v>8</v>
      </c>
      <c r="EV240" s="27" t="s">
        <v>7</v>
      </c>
      <c r="EX240" s="27" t="s">
        <v>7</v>
      </c>
      <c r="EY240" s="19" t="s">
        <v>8</v>
      </c>
      <c r="EZ240" s="27" t="s">
        <v>7</v>
      </c>
      <c r="FA240" s="27" t="s">
        <v>8</v>
      </c>
      <c r="FB240" s="27" t="s">
        <v>7</v>
      </c>
      <c r="FE240" s="27" t="s">
        <v>8</v>
      </c>
      <c r="FF240" s="27" t="s">
        <v>7</v>
      </c>
      <c r="FG240" s="27" t="s">
        <v>8</v>
      </c>
      <c r="FH240" s="27" t="s">
        <v>7</v>
      </c>
      <c r="FI240" s="27" t="s">
        <v>8</v>
      </c>
      <c r="FJ240" s="27" t="s">
        <v>7</v>
      </c>
      <c r="FK240" s="27" t="s">
        <v>8</v>
      </c>
      <c r="FL240" s="27" t="s">
        <v>7</v>
      </c>
    </row>
    <row r="241" spans="1:175" x14ac:dyDescent="0.25">
      <c r="A241" s="30">
        <v>0.952380952380952</v>
      </c>
      <c r="B241"/>
      <c r="C241"/>
      <c r="D241"/>
      <c r="E241"/>
      <c r="H241" s="27" t="s">
        <v>7</v>
      </c>
      <c r="I241" s="27" t="s">
        <v>8</v>
      </c>
      <c r="J241" s="27" t="s">
        <v>7</v>
      </c>
      <c r="U241" s="27" t="s">
        <v>8</v>
      </c>
      <c r="V241" s="27" t="s">
        <v>7</v>
      </c>
      <c r="W241" s="27" t="s">
        <v>8</v>
      </c>
      <c r="X241" s="27" t="s">
        <v>7</v>
      </c>
      <c r="Y241" s="27" t="s">
        <v>8</v>
      </c>
      <c r="AL241" s="27" t="s">
        <v>7</v>
      </c>
      <c r="AM241" s="27" t="s">
        <v>8</v>
      </c>
      <c r="AN241" s="27" t="s">
        <v>7</v>
      </c>
      <c r="AO241" s="27" t="s">
        <v>8</v>
      </c>
      <c r="AP241" s="27" t="s">
        <v>7</v>
      </c>
      <c r="AW241" s="27" t="s">
        <v>8</v>
      </c>
      <c r="AX241" s="27" t="s">
        <v>7</v>
      </c>
      <c r="BC241" s="27" t="s">
        <v>8</v>
      </c>
      <c r="BD241" s="27" t="s">
        <v>7</v>
      </c>
      <c r="CA241" s="27" t="s">
        <v>8</v>
      </c>
      <c r="CB241" s="27" t="s">
        <v>7</v>
      </c>
      <c r="CC241" s="27" t="s">
        <v>8</v>
      </c>
      <c r="CY241" s="27" t="s">
        <v>8</v>
      </c>
      <c r="CZ241" s="27" t="s">
        <v>7</v>
      </c>
      <c r="DA241" s="27" t="s">
        <v>8</v>
      </c>
      <c r="DD241" s="27" t="s">
        <v>7</v>
      </c>
      <c r="DE241" s="27" t="s">
        <v>8</v>
      </c>
      <c r="DF241" s="27" t="s">
        <v>7</v>
      </c>
      <c r="DG241" s="27" t="s">
        <v>8</v>
      </c>
      <c r="DH241" s="27" t="s">
        <v>7</v>
      </c>
      <c r="DI241" s="27" t="s">
        <v>8</v>
      </c>
      <c r="DM241" s="31"/>
      <c r="EF241" s="27" t="s">
        <v>7</v>
      </c>
      <c r="EG241" s="27" t="s">
        <v>8</v>
      </c>
      <c r="EJ241" s="27" t="s">
        <v>7</v>
      </c>
      <c r="EK241" s="27" t="s">
        <v>8</v>
      </c>
      <c r="EN241" s="27" t="s">
        <v>7</v>
      </c>
      <c r="EO241" s="27" t="s">
        <v>8</v>
      </c>
      <c r="EP241" s="27" t="s">
        <v>7</v>
      </c>
      <c r="ES241" s="27" t="s">
        <v>8</v>
      </c>
      <c r="ET241" s="27" t="s">
        <v>7</v>
      </c>
      <c r="EX241" s="27" t="s">
        <v>7</v>
      </c>
      <c r="EY241" s="27" t="s">
        <v>8</v>
      </c>
      <c r="EZ241" s="27" t="s">
        <v>7</v>
      </c>
      <c r="FA241" s="27" t="s">
        <v>8</v>
      </c>
      <c r="FB241" s="27" t="s">
        <v>7</v>
      </c>
      <c r="FE241" s="27" t="s">
        <v>8</v>
      </c>
      <c r="FF241" s="27" t="s">
        <v>7</v>
      </c>
      <c r="FG241" s="27" t="s">
        <v>8</v>
      </c>
      <c r="FH241" s="27" t="s">
        <v>7</v>
      </c>
      <c r="FJ241" s="27" t="s">
        <v>7</v>
      </c>
      <c r="FK241" s="27" t="s">
        <v>8</v>
      </c>
      <c r="FL241" s="27" t="s">
        <v>7</v>
      </c>
    </row>
    <row r="242" spans="1:175" x14ac:dyDescent="0.25">
      <c r="A242" s="30">
        <v>0.90702947845804915</v>
      </c>
      <c r="B242"/>
      <c r="C242"/>
      <c r="D242"/>
      <c r="E242"/>
      <c r="H242" s="27" t="s">
        <v>7</v>
      </c>
      <c r="I242" s="27" t="s">
        <v>8</v>
      </c>
      <c r="J242" s="27" t="s">
        <v>7</v>
      </c>
      <c r="K242" s="27" t="s">
        <v>8</v>
      </c>
      <c r="U242" s="27" t="s">
        <v>8</v>
      </c>
      <c r="V242" s="27" t="s">
        <v>7</v>
      </c>
      <c r="W242" s="27" t="s">
        <v>8</v>
      </c>
      <c r="X242" s="27" t="s">
        <v>7</v>
      </c>
      <c r="AL242" s="27" t="s">
        <v>7</v>
      </c>
      <c r="AM242" s="27" t="s">
        <v>8</v>
      </c>
      <c r="AN242" s="27" t="s">
        <v>7</v>
      </c>
      <c r="AP242" s="27" t="s">
        <v>7</v>
      </c>
      <c r="AW242" s="27" t="s">
        <v>8</v>
      </c>
      <c r="AX242" s="27" t="s">
        <v>7</v>
      </c>
      <c r="BC242" s="27" t="s">
        <v>8</v>
      </c>
      <c r="BD242" s="27" t="s">
        <v>7</v>
      </c>
      <c r="BY242" s="27" t="s">
        <v>8</v>
      </c>
      <c r="CA242" s="27" t="s">
        <v>8</v>
      </c>
      <c r="CB242" s="27" t="s">
        <v>7</v>
      </c>
      <c r="CC242" s="27" t="s">
        <v>8</v>
      </c>
      <c r="CD242" s="27" t="s">
        <v>7</v>
      </c>
      <c r="CY242" s="27" t="s">
        <v>8</v>
      </c>
      <c r="CZ242" s="27" t="s">
        <v>7</v>
      </c>
      <c r="DD242" s="27" t="s">
        <v>7</v>
      </c>
      <c r="DE242" s="27" t="s">
        <v>8</v>
      </c>
      <c r="DF242" s="27" t="s">
        <v>7</v>
      </c>
      <c r="DG242" s="27" t="s">
        <v>8</v>
      </c>
      <c r="DH242" s="27" t="s">
        <v>7</v>
      </c>
      <c r="DL242" s="31"/>
      <c r="EF242" s="27" t="s">
        <v>7</v>
      </c>
      <c r="EG242" s="27" t="s">
        <v>8</v>
      </c>
      <c r="EJ242" s="27" t="s">
        <v>7</v>
      </c>
      <c r="EK242" s="27" t="s">
        <v>8</v>
      </c>
      <c r="EN242" s="27" t="s">
        <v>7</v>
      </c>
      <c r="EP242" s="27" t="s">
        <v>7</v>
      </c>
      <c r="ES242" s="27" t="s">
        <v>8</v>
      </c>
      <c r="EX242" s="27" t="s">
        <v>7</v>
      </c>
      <c r="EY242" s="27" t="s">
        <v>8</v>
      </c>
      <c r="EZ242" s="27" t="s">
        <v>7</v>
      </c>
      <c r="FB242" s="27" t="s">
        <v>7</v>
      </c>
      <c r="FC242" s="27" t="s">
        <v>8</v>
      </c>
      <c r="FE242" s="27" t="s">
        <v>8</v>
      </c>
      <c r="FF242" s="27" t="s">
        <v>7</v>
      </c>
      <c r="FG242" s="27" t="s">
        <v>8</v>
      </c>
      <c r="FJ242" s="27" t="s">
        <v>7</v>
      </c>
      <c r="FL242" s="27" t="s">
        <v>7</v>
      </c>
    </row>
    <row r="243" spans="1:175" x14ac:dyDescent="0.25">
      <c r="A243" s="30">
        <v>0.86383759853147501</v>
      </c>
      <c r="B243"/>
      <c r="C243"/>
      <c r="D243"/>
      <c r="E243"/>
      <c r="H243" s="27" t="s">
        <v>7</v>
      </c>
      <c r="J243" s="27" t="s">
        <v>7</v>
      </c>
      <c r="K243" s="27" t="s">
        <v>8</v>
      </c>
      <c r="L243" s="27" t="s">
        <v>7</v>
      </c>
      <c r="U243" s="27" t="s">
        <v>8</v>
      </c>
      <c r="V243" s="27" t="s">
        <v>7</v>
      </c>
      <c r="W243" s="27" t="s">
        <v>8</v>
      </c>
      <c r="AL243" s="27" t="s">
        <v>7</v>
      </c>
      <c r="AM243" s="27" t="s">
        <v>8</v>
      </c>
      <c r="AP243" s="27" t="s">
        <v>7</v>
      </c>
      <c r="AQ243" s="27" t="s">
        <v>8</v>
      </c>
      <c r="AW243" s="27" t="s">
        <v>8</v>
      </c>
      <c r="AX243" s="27" t="s">
        <v>7</v>
      </c>
      <c r="BC243" s="27" t="s">
        <v>8</v>
      </c>
      <c r="BD243" s="27" t="s">
        <v>7</v>
      </c>
      <c r="BW243" s="27" t="s">
        <v>8</v>
      </c>
      <c r="BY243" s="27" t="s">
        <v>8</v>
      </c>
      <c r="BZ243" s="27" t="s">
        <v>7</v>
      </c>
      <c r="CA243" s="27" t="s">
        <v>8</v>
      </c>
      <c r="CB243" s="27" t="s">
        <v>7</v>
      </c>
      <c r="CC243" s="27" t="s">
        <v>8</v>
      </c>
      <c r="CD243" s="27" t="s">
        <v>7</v>
      </c>
      <c r="CG243" s="32" t="s">
        <v>8</v>
      </c>
      <c r="CI243" s="32" t="s">
        <v>8</v>
      </c>
      <c r="CY243" s="27" t="s">
        <v>8</v>
      </c>
      <c r="DD243" s="27" t="s">
        <v>7</v>
      </c>
      <c r="DE243" s="27" t="s">
        <v>8</v>
      </c>
      <c r="DF243" s="27" t="s">
        <v>7</v>
      </c>
      <c r="DG243" s="27" t="s">
        <v>8</v>
      </c>
      <c r="DK243" s="31"/>
      <c r="EF243" s="27" t="s">
        <v>7</v>
      </c>
      <c r="EG243" s="27" t="s">
        <v>8</v>
      </c>
      <c r="EJ243" s="27" t="s">
        <v>7</v>
      </c>
      <c r="EK243" s="27" t="s">
        <v>8</v>
      </c>
      <c r="EP243" s="27" t="s">
        <v>7</v>
      </c>
      <c r="ES243" s="27" t="s">
        <v>8</v>
      </c>
      <c r="EX243" s="27" t="s">
        <v>7</v>
      </c>
      <c r="FB243" s="27" t="s">
        <v>7</v>
      </c>
      <c r="FC243" s="27" t="s">
        <v>8</v>
      </c>
      <c r="FD243" s="27" t="s">
        <v>7</v>
      </c>
      <c r="FE243" s="27" t="s">
        <v>8</v>
      </c>
      <c r="FF243" s="27" t="s">
        <v>7</v>
      </c>
      <c r="FG243" s="27" t="s">
        <v>8</v>
      </c>
      <c r="FL243" s="27" t="s">
        <v>7</v>
      </c>
    </row>
    <row r="244" spans="1:175" x14ac:dyDescent="0.25">
      <c r="A244" s="30">
        <v>0.82270247479188063</v>
      </c>
      <c r="B244"/>
      <c r="C244"/>
      <c r="D244"/>
      <c r="E244"/>
      <c r="J244" s="27" t="s">
        <v>7</v>
      </c>
      <c r="K244" s="27" t="s">
        <v>8</v>
      </c>
      <c r="L244" s="27" t="s">
        <v>7</v>
      </c>
      <c r="M244" s="27" t="s">
        <v>8</v>
      </c>
      <c r="U244" s="27" t="s">
        <v>8</v>
      </c>
      <c r="V244" s="27" t="s">
        <v>7</v>
      </c>
      <c r="W244" s="27" t="s">
        <v>8</v>
      </c>
      <c r="AL244" s="27" t="s">
        <v>7</v>
      </c>
      <c r="AM244" s="27" t="s">
        <v>8</v>
      </c>
      <c r="AP244" s="27" t="s">
        <v>7</v>
      </c>
      <c r="AQ244" s="27" t="s">
        <v>8</v>
      </c>
      <c r="AR244" s="27" t="s">
        <v>7</v>
      </c>
      <c r="AS244" s="27" t="s">
        <v>8</v>
      </c>
      <c r="AW244" s="27" t="s">
        <v>8</v>
      </c>
      <c r="AX244" s="27" t="s">
        <v>7</v>
      </c>
      <c r="BC244" s="27" t="s">
        <v>8</v>
      </c>
      <c r="BD244" s="27" t="s">
        <v>7</v>
      </c>
      <c r="BW244" s="27" t="s">
        <v>8</v>
      </c>
      <c r="BX244" s="27" t="s">
        <v>7</v>
      </c>
      <c r="BY244" s="27" t="s">
        <v>8</v>
      </c>
      <c r="BZ244" s="27" t="s">
        <v>7</v>
      </c>
      <c r="CA244" s="27" t="s">
        <v>8</v>
      </c>
      <c r="CB244" s="27" t="s">
        <v>7</v>
      </c>
      <c r="CD244" s="27" t="s">
        <v>7</v>
      </c>
      <c r="CG244" s="27" t="s">
        <v>8</v>
      </c>
      <c r="CH244" s="27" t="s">
        <v>7</v>
      </c>
      <c r="CI244" s="27" t="s">
        <v>8</v>
      </c>
      <c r="CJ244" s="27" t="s">
        <v>7</v>
      </c>
      <c r="CY244" s="27" t="s">
        <v>8</v>
      </c>
      <c r="DD244" s="27" t="s">
        <v>7</v>
      </c>
      <c r="DF244" s="27" t="s">
        <v>7</v>
      </c>
      <c r="DG244" s="27" t="s">
        <v>8</v>
      </c>
      <c r="DJ244" s="31"/>
      <c r="EF244" s="27" t="s">
        <v>7</v>
      </c>
      <c r="EG244" s="27" t="s">
        <v>8</v>
      </c>
      <c r="EJ244" s="27" t="s">
        <v>7</v>
      </c>
      <c r="EK244" s="27" t="s">
        <v>8</v>
      </c>
      <c r="EP244" s="27" t="s">
        <v>7</v>
      </c>
      <c r="ES244" s="34" t="s">
        <v>8</v>
      </c>
      <c r="FB244" s="27" t="s">
        <v>7</v>
      </c>
      <c r="FC244" s="27" t="s">
        <v>8</v>
      </c>
      <c r="FD244" s="27" t="s">
        <v>7</v>
      </c>
      <c r="FE244" s="27" t="s">
        <v>8</v>
      </c>
      <c r="FF244" s="27" t="s">
        <v>7</v>
      </c>
      <c r="FG244" s="27" t="s">
        <v>8</v>
      </c>
      <c r="FL244" s="27" t="s">
        <v>7</v>
      </c>
    </row>
    <row r="245" spans="1:175" x14ac:dyDescent="0.25">
      <c r="A245" s="30">
        <v>0.78352616646845741</v>
      </c>
      <c r="B245"/>
      <c r="C245"/>
      <c r="D245"/>
      <c r="E245"/>
      <c r="J245" s="27" t="s">
        <v>7</v>
      </c>
      <c r="K245" s="27" t="s">
        <v>8</v>
      </c>
      <c r="L245" s="27" t="s">
        <v>7</v>
      </c>
      <c r="M245" s="27" t="s">
        <v>8</v>
      </c>
      <c r="N245" s="27" t="s">
        <v>7</v>
      </c>
      <c r="U245" s="27" t="s">
        <v>8</v>
      </c>
      <c r="V245" s="27" t="s">
        <v>7</v>
      </c>
      <c r="AL245" s="27" t="s">
        <v>7</v>
      </c>
      <c r="AP245" s="27" t="s">
        <v>7</v>
      </c>
      <c r="AQ245" s="27" t="s">
        <v>8</v>
      </c>
      <c r="AR245" s="27" t="s">
        <v>7</v>
      </c>
      <c r="AS245" s="27" t="s">
        <v>8</v>
      </c>
      <c r="AT245" s="27" t="s">
        <v>7</v>
      </c>
      <c r="AW245" s="27" t="s">
        <v>8</v>
      </c>
      <c r="AX245" s="27" t="s">
        <v>7</v>
      </c>
      <c r="BC245" s="27" t="s">
        <v>8</v>
      </c>
      <c r="BD245" s="27" t="s">
        <v>7</v>
      </c>
      <c r="BS245" s="27" t="s">
        <v>8</v>
      </c>
      <c r="BU245" s="27" t="s">
        <v>8</v>
      </c>
      <c r="BW245" s="27" t="s">
        <v>8</v>
      </c>
      <c r="BX245" s="27" t="s">
        <v>7</v>
      </c>
      <c r="BY245" s="27" t="s">
        <v>8</v>
      </c>
      <c r="BZ245" s="27" t="s">
        <v>7</v>
      </c>
      <c r="CD245" s="27" t="s">
        <v>7</v>
      </c>
      <c r="CG245" s="27" t="s">
        <v>8</v>
      </c>
      <c r="CH245" s="27" t="s">
        <v>7</v>
      </c>
      <c r="CI245" s="27" t="s">
        <v>8</v>
      </c>
      <c r="CJ245" s="27" t="s">
        <v>7</v>
      </c>
      <c r="CY245" s="27" t="s">
        <v>8</v>
      </c>
      <c r="DF245" s="33" t="s">
        <v>7</v>
      </c>
      <c r="DI245" s="31"/>
      <c r="EF245" s="27" t="s">
        <v>7</v>
      </c>
      <c r="EJ245" s="27" t="s">
        <v>7</v>
      </c>
      <c r="EK245" s="27" t="s">
        <v>8</v>
      </c>
      <c r="EP245" s="27" t="s">
        <v>7</v>
      </c>
      <c r="EQ245" s="27" t="s">
        <v>8</v>
      </c>
      <c r="ES245" s="27" t="s">
        <v>8</v>
      </c>
      <c r="FB245" s="27" t="s">
        <v>7</v>
      </c>
      <c r="FD245" s="27" t="s">
        <v>7</v>
      </c>
      <c r="FE245" s="27" t="s">
        <v>8</v>
      </c>
      <c r="FF245" s="27" t="s">
        <v>7</v>
      </c>
      <c r="FL245" s="27" t="s">
        <v>7</v>
      </c>
      <c r="FM245" s="27" t="s">
        <v>8</v>
      </c>
      <c r="FO245" s="27" t="s">
        <v>8</v>
      </c>
    </row>
    <row r="246" spans="1:175" x14ac:dyDescent="0.25">
      <c r="A246" s="30">
        <v>0.74621539663662584</v>
      </c>
      <c r="B246"/>
      <c r="C246"/>
      <c r="D246"/>
      <c r="E246"/>
      <c r="J246" s="27" t="s">
        <v>7</v>
      </c>
      <c r="K246" s="27" t="s">
        <v>8</v>
      </c>
      <c r="L246" s="27" t="s">
        <v>7</v>
      </c>
      <c r="M246" s="27" t="s">
        <v>8</v>
      </c>
      <c r="N246" s="27" t="s">
        <v>7</v>
      </c>
      <c r="U246" s="27" t="s">
        <v>8</v>
      </c>
      <c r="AP246" s="27" t="s">
        <v>7</v>
      </c>
      <c r="AR246" s="27" t="s">
        <v>7</v>
      </c>
      <c r="AS246" s="27" t="s">
        <v>8</v>
      </c>
      <c r="AT246" s="27" t="s">
        <v>7</v>
      </c>
      <c r="AW246" s="27" t="s">
        <v>8</v>
      </c>
      <c r="AX246" s="27" t="s">
        <v>7</v>
      </c>
      <c r="BA246" s="27" t="s">
        <v>8</v>
      </c>
      <c r="BC246" s="27" t="s">
        <v>8</v>
      </c>
      <c r="BD246" s="27" t="s">
        <v>7</v>
      </c>
      <c r="BS246" s="27" t="s">
        <v>8</v>
      </c>
      <c r="BT246" s="27" t="s">
        <v>7</v>
      </c>
      <c r="BU246" s="27" t="s">
        <v>8</v>
      </c>
      <c r="BV246" s="27" t="s">
        <v>7</v>
      </c>
      <c r="BW246" s="27" t="s">
        <v>8</v>
      </c>
      <c r="BX246" s="27" t="s">
        <v>7</v>
      </c>
      <c r="BY246" s="27" t="s">
        <v>8</v>
      </c>
      <c r="CD246" s="27" t="s">
        <v>7</v>
      </c>
      <c r="CG246" s="27" t="s">
        <v>8</v>
      </c>
      <c r="CH246" s="27" t="s">
        <v>7</v>
      </c>
      <c r="CJ246" s="27" t="s">
        <v>7</v>
      </c>
      <c r="CY246" s="27" t="s">
        <v>8</v>
      </c>
      <c r="DH246" s="31"/>
      <c r="EJ246" s="27" t="s">
        <v>7</v>
      </c>
      <c r="EP246" s="27" t="s">
        <v>7</v>
      </c>
      <c r="EQ246" s="27" t="s">
        <v>8</v>
      </c>
      <c r="ER246" s="27" t="s">
        <v>7</v>
      </c>
      <c r="ES246" s="27" t="s">
        <v>8</v>
      </c>
      <c r="EX246" s="31"/>
      <c r="FD246" s="27" t="s">
        <v>7</v>
      </c>
      <c r="FE246" s="27" t="s">
        <v>8</v>
      </c>
      <c r="FL246" s="27" t="s">
        <v>7</v>
      </c>
      <c r="FM246" s="27" t="s">
        <v>8</v>
      </c>
      <c r="FN246" s="27" t="s">
        <v>7</v>
      </c>
      <c r="FO246" s="27" t="s">
        <v>8</v>
      </c>
      <c r="FP246" s="27" t="s">
        <v>7</v>
      </c>
      <c r="FQ246" s="27" t="s">
        <v>8</v>
      </c>
    </row>
    <row r="247" spans="1:175" x14ac:dyDescent="0.25">
      <c r="A247" s="30">
        <v>0.71068133013011958</v>
      </c>
      <c r="B247"/>
      <c r="C247"/>
      <c r="D247"/>
      <c r="E247"/>
      <c r="J247" s="27" t="s">
        <v>7</v>
      </c>
      <c r="L247" s="27" t="s">
        <v>7</v>
      </c>
      <c r="M247" s="27" t="s">
        <v>8</v>
      </c>
      <c r="N247" s="27" t="s">
        <v>7</v>
      </c>
      <c r="O247" s="27" t="s">
        <v>8</v>
      </c>
      <c r="U247" s="27" t="s">
        <v>8</v>
      </c>
      <c r="AR247" s="27" t="s">
        <v>7</v>
      </c>
      <c r="AT247" s="27" t="s">
        <v>7</v>
      </c>
      <c r="AW247" s="27" t="s">
        <v>8</v>
      </c>
      <c r="AX247" s="27" t="s">
        <v>7</v>
      </c>
      <c r="BA247" s="27" t="s">
        <v>8</v>
      </c>
      <c r="BB247" s="27" t="s">
        <v>7</v>
      </c>
      <c r="BC247" s="27" t="s">
        <v>8</v>
      </c>
      <c r="BD247" s="27" t="s">
        <v>7</v>
      </c>
      <c r="BS247" s="27" t="s">
        <v>8</v>
      </c>
      <c r="BT247" s="27" t="s">
        <v>7</v>
      </c>
      <c r="BU247" s="27" t="s">
        <v>8</v>
      </c>
      <c r="BV247" s="27" t="s">
        <v>7</v>
      </c>
      <c r="BW247" s="27" t="s">
        <v>8</v>
      </c>
      <c r="BX247" s="27" t="s">
        <v>7</v>
      </c>
      <c r="CD247" s="27" t="s">
        <v>7</v>
      </c>
      <c r="CG247" s="27" t="s">
        <v>8</v>
      </c>
      <c r="CJ247" s="27" t="s">
        <v>7</v>
      </c>
      <c r="CM247" s="27" t="s">
        <v>8</v>
      </c>
      <c r="CU247" s="27" t="s">
        <v>8</v>
      </c>
      <c r="CY247" s="27" t="s">
        <v>8</v>
      </c>
      <c r="DG247" s="31"/>
      <c r="EP247" s="27" t="s">
        <v>7</v>
      </c>
      <c r="EQ247" s="27" t="s">
        <v>8</v>
      </c>
      <c r="ER247" s="27" t="s">
        <v>7</v>
      </c>
      <c r="ES247" s="27" t="s">
        <v>8</v>
      </c>
      <c r="EW247" s="31"/>
      <c r="FD247" s="27" t="s">
        <v>7</v>
      </c>
      <c r="FL247" s="27" t="s">
        <v>7</v>
      </c>
      <c r="FM247" s="27" t="s">
        <v>8</v>
      </c>
      <c r="FN247" s="27" t="s">
        <v>7</v>
      </c>
      <c r="FO247" s="27" t="s">
        <v>8</v>
      </c>
      <c r="FP247" s="27" t="s">
        <v>7</v>
      </c>
      <c r="FQ247" s="27" t="s">
        <v>8</v>
      </c>
      <c r="FR247" s="27" t="s">
        <v>7</v>
      </c>
    </row>
    <row r="248" spans="1:175" x14ac:dyDescent="0.25">
      <c r="A248" s="30">
        <v>0.676839362028685</v>
      </c>
      <c r="B248"/>
      <c r="C248"/>
      <c r="D248"/>
      <c r="E248"/>
      <c r="L248" s="27" t="s">
        <v>7</v>
      </c>
      <c r="M248" s="27" t="s">
        <v>8</v>
      </c>
      <c r="N248" s="27" t="s">
        <v>7</v>
      </c>
      <c r="O248" s="27" t="s">
        <v>8</v>
      </c>
      <c r="P248" s="27" t="s">
        <v>7</v>
      </c>
      <c r="U248" s="27" t="s">
        <v>8</v>
      </c>
      <c r="AT248" s="27" t="s">
        <v>7</v>
      </c>
      <c r="AW248" s="27" t="s">
        <v>8</v>
      </c>
      <c r="AX248" s="27" t="s">
        <v>7</v>
      </c>
      <c r="AY248" s="27" t="s">
        <v>8</v>
      </c>
      <c r="BA248" s="27" t="s">
        <v>8</v>
      </c>
      <c r="BB248" s="27" t="s">
        <v>7</v>
      </c>
      <c r="BC248" s="27" t="s">
        <v>8</v>
      </c>
      <c r="BD248" s="27" t="s">
        <v>7</v>
      </c>
      <c r="BS248" s="27" t="s">
        <v>8</v>
      </c>
      <c r="BT248" s="27" t="s">
        <v>7</v>
      </c>
      <c r="BV248" s="27" t="s">
        <v>7</v>
      </c>
      <c r="BW248" s="27" t="s">
        <v>8</v>
      </c>
      <c r="CD248" s="27" t="s">
        <v>7</v>
      </c>
      <c r="CE248" s="27" t="s">
        <v>8</v>
      </c>
      <c r="CG248" s="27" t="s">
        <v>8</v>
      </c>
      <c r="CJ248" s="27" t="s">
        <v>7</v>
      </c>
      <c r="CK248" s="27" t="s">
        <v>8</v>
      </c>
      <c r="CM248" s="27" t="s">
        <v>8</v>
      </c>
      <c r="CN248" s="27" t="s">
        <v>7</v>
      </c>
      <c r="CS248" s="27" t="s">
        <v>8</v>
      </c>
      <c r="CU248" s="27" t="s">
        <v>8</v>
      </c>
      <c r="CV248" s="27" t="s">
        <v>7</v>
      </c>
      <c r="CY248" s="27" t="s">
        <v>8</v>
      </c>
      <c r="DF248" s="31"/>
      <c r="EP248" s="27" t="s">
        <v>7</v>
      </c>
      <c r="EQ248" s="27" t="s">
        <v>8</v>
      </c>
      <c r="ER248" s="27" t="s">
        <v>7</v>
      </c>
      <c r="ES248" s="27" t="s">
        <v>8</v>
      </c>
      <c r="EV248" s="31"/>
      <c r="FL248" s="27" t="s">
        <v>7</v>
      </c>
      <c r="FM248" s="27" t="s">
        <v>8</v>
      </c>
      <c r="FN248" s="27" t="s">
        <v>7</v>
      </c>
      <c r="FP248" s="27" t="s">
        <v>7</v>
      </c>
      <c r="FQ248" s="27" t="s">
        <v>8</v>
      </c>
      <c r="FR248" s="27" t="s">
        <v>7</v>
      </c>
    </row>
    <row r="249" spans="1:175" x14ac:dyDescent="0.25">
      <c r="A249" s="30">
        <v>0.64460891621779492</v>
      </c>
      <c r="B249"/>
      <c r="C249"/>
      <c r="D249"/>
      <c r="E249"/>
      <c r="L249" s="27" t="s">
        <v>7</v>
      </c>
      <c r="M249" s="27" t="s">
        <v>8</v>
      </c>
      <c r="N249" s="27" t="s">
        <v>7</v>
      </c>
      <c r="O249" s="27" t="s">
        <v>8</v>
      </c>
      <c r="P249" s="27" t="s">
        <v>7</v>
      </c>
      <c r="Q249" s="27" t="s">
        <v>8</v>
      </c>
      <c r="S249" s="27" t="s">
        <v>8</v>
      </c>
      <c r="U249" s="27" t="s">
        <v>8</v>
      </c>
      <c r="AT249" s="27" t="s">
        <v>7</v>
      </c>
      <c r="AU249" s="27" t="s">
        <v>8</v>
      </c>
      <c r="AW249" s="27" t="s">
        <v>8</v>
      </c>
      <c r="AX249" s="27" t="s">
        <v>7</v>
      </c>
      <c r="AY249" s="27" t="s">
        <v>8</v>
      </c>
      <c r="AZ249" s="27" t="s">
        <v>7</v>
      </c>
      <c r="BA249" s="27" t="s">
        <v>8</v>
      </c>
      <c r="BB249" s="27" t="s">
        <v>7</v>
      </c>
      <c r="BC249" s="27" t="s">
        <v>8</v>
      </c>
      <c r="BD249" s="27" t="s">
        <v>7</v>
      </c>
      <c r="BQ249" s="27" t="s">
        <v>8</v>
      </c>
      <c r="BS249" s="27" t="s">
        <v>8</v>
      </c>
      <c r="BV249" s="27" t="s">
        <v>7</v>
      </c>
      <c r="CD249" s="27" t="s">
        <v>7</v>
      </c>
      <c r="CE249" s="27" t="s">
        <v>8</v>
      </c>
      <c r="CF249" s="27" t="s">
        <v>7</v>
      </c>
      <c r="CG249" s="27" t="s">
        <v>8</v>
      </c>
      <c r="CJ249" s="27" t="s">
        <v>7</v>
      </c>
      <c r="CK249" s="27" t="s">
        <v>8</v>
      </c>
      <c r="CL249" s="27" t="s">
        <v>7</v>
      </c>
      <c r="CM249" s="27" t="s">
        <v>8</v>
      </c>
      <c r="CN249" s="27" t="s">
        <v>7</v>
      </c>
      <c r="CS249" s="27" t="s">
        <v>8</v>
      </c>
      <c r="CT249" s="27" t="s">
        <v>7</v>
      </c>
      <c r="CU249" s="27" t="s">
        <v>8</v>
      </c>
      <c r="CV249" s="27" t="s">
        <v>7</v>
      </c>
      <c r="CY249" s="27" t="s">
        <v>8</v>
      </c>
      <c r="DE249" s="31"/>
      <c r="EP249" s="27" t="s">
        <v>7</v>
      </c>
      <c r="EQ249" s="27" t="s">
        <v>8</v>
      </c>
      <c r="ER249" s="27" t="s">
        <v>7</v>
      </c>
      <c r="ES249" s="27" t="s">
        <v>8</v>
      </c>
      <c r="EU249" s="31"/>
      <c r="FL249" s="27" t="s">
        <v>7</v>
      </c>
      <c r="FM249" s="27" t="s">
        <v>8</v>
      </c>
      <c r="FP249" s="27" t="s">
        <v>7</v>
      </c>
      <c r="FR249" s="27" t="s">
        <v>7</v>
      </c>
    </row>
    <row r="250" spans="1:175" x14ac:dyDescent="0.25">
      <c r="A250" s="30">
        <v>0.61391325354075688</v>
      </c>
      <c r="B250"/>
      <c r="C250"/>
      <c r="D250"/>
      <c r="E250"/>
      <c r="L250" s="27" t="s">
        <v>7</v>
      </c>
      <c r="M250" s="27" t="s">
        <v>8</v>
      </c>
      <c r="N250" s="27" t="s">
        <v>7</v>
      </c>
      <c r="O250" s="27" t="s">
        <v>8</v>
      </c>
      <c r="P250" s="27" t="s">
        <v>7</v>
      </c>
      <c r="Q250" s="27" t="s">
        <v>8</v>
      </c>
      <c r="R250" s="27" t="s">
        <v>7</v>
      </c>
      <c r="S250" s="27" t="s">
        <v>8</v>
      </c>
      <c r="T250" s="27" t="s">
        <v>7</v>
      </c>
      <c r="U250" s="27" t="s">
        <v>8</v>
      </c>
      <c r="AT250" s="27" t="s">
        <v>7</v>
      </c>
      <c r="AU250" s="27" t="s">
        <v>8</v>
      </c>
      <c r="AV250" s="27" t="s">
        <v>7</v>
      </c>
      <c r="AW250" s="27" t="s">
        <v>8</v>
      </c>
      <c r="AX250" s="27" t="s">
        <v>7</v>
      </c>
      <c r="AY250" s="27" t="s">
        <v>8</v>
      </c>
      <c r="AZ250" s="27" t="s">
        <v>7</v>
      </c>
      <c r="BA250" s="27" t="s">
        <v>8</v>
      </c>
      <c r="BB250" s="27" t="s">
        <v>7</v>
      </c>
      <c r="BD250" s="27" t="s">
        <v>7</v>
      </c>
      <c r="BO250" s="27" t="s">
        <v>8</v>
      </c>
      <c r="BQ250" s="27" t="s">
        <v>8</v>
      </c>
      <c r="BR250" s="27" t="s">
        <v>7</v>
      </c>
      <c r="BS250" s="27" t="s">
        <v>8</v>
      </c>
      <c r="CD250" s="27" t="s">
        <v>7</v>
      </c>
      <c r="CE250" s="27" t="s">
        <v>8</v>
      </c>
      <c r="CF250" s="27" t="s">
        <v>7</v>
      </c>
      <c r="CG250" s="27" t="s">
        <v>8</v>
      </c>
      <c r="CJ250" s="27" t="s">
        <v>7</v>
      </c>
      <c r="CK250" s="27" t="s">
        <v>8</v>
      </c>
      <c r="CL250" s="27" t="s">
        <v>7</v>
      </c>
      <c r="CM250" s="27" t="s">
        <v>8</v>
      </c>
      <c r="CN250" s="27" t="s">
        <v>7</v>
      </c>
      <c r="CO250" s="27" t="s">
        <v>8</v>
      </c>
      <c r="CS250" s="27" t="s">
        <v>8</v>
      </c>
      <c r="CT250" s="27" t="s">
        <v>7</v>
      </c>
      <c r="CU250" s="27" t="s">
        <v>8</v>
      </c>
      <c r="CV250" s="27" t="s">
        <v>7</v>
      </c>
      <c r="CW250" s="27" t="s">
        <v>8</v>
      </c>
      <c r="CY250" s="27" t="s">
        <v>8</v>
      </c>
      <c r="DD250" s="31"/>
      <c r="EP250" s="27" t="s">
        <v>7</v>
      </c>
      <c r="EQ250" s="27" t="s">
        <v>8</v>
      </c>
      <c r="ER250" s="18" t="s">
        <v>7</v>
      </c>
      <c r="ES250" s="27" t="s">
        <v>8</v>
      </c>
      <c r="ET250" s="31"/>
      <c r="FL250" s="27" t="s">
        <v>7</v>
      </c>
      <c r="FR250" s="27" t="s">
        <v>7</v>
      </c>
    </row>
    <row r="251" spans="1:175" x14ac:dyDescent="0.25">
      <c r="A251" s="30">
        <v>0.58467928908643485</v>
      </c>
      <c r="B251"/>
      <c r="C251"/>
      <c r="D251"/>
      <c r="E251"/>
      <c r="L251" s="27" t="s">
        <v>7</v>
      </c>
      <c r="M251" s="27" t="s">
        <v>8</v>
      </c>
      <c r="N251" s="27" t="s">
        <v>7</v>
      </c>
      <c r="O251" s="27" t="s">
        <v>8</v>
      </c>
      <c r="P251" s="27" t="s">
        <v>7</v>
      </c>
      <c r="Q251" s="27" t="s">
        <v>8</v>
      </c>
      <c r="R251" s="27" t="s">
        <v>7</v>
      </c>
      <c r="S251" s="27" t="s">
        <v>8</v>
      </c>
      <c r="T251" s="27" t="s">
        <v>7</v>
      </c>
      <c r="U251" s="27" t="s">
        <v>8</v>
      </c>
      <c r="AT251" s="27" t="s">
        <v>7</v>
      </c>
      <c r="AU251" s="27" t="s">
        <v>8</v>
      </c>
      <c r="AV251" s="27" t="s">
        <v>7</v>
      </c>
      <c r="AW251" s="27" t="s">
        <v>8</v>
      </c>
      <c r="AX251" s="27" t="s">
        <v>7</v>
      </c>
      <c r="AY251" s="27" t="s">
        <v>8</v>
      </c>
      <c r="AZ251" s="27" t="s">
        <v>7</v>
      </c>
      <c r="BA251" s="27" t="s">
        <v>8</v>
      </c>
      <c r="BD251" s="27" t="s">
        <v>7</v>
      </c>
      <c r="BO251" s="27" t="s">
        <v>8</v>
      </c>
      <c r="BP251" s="27" t="s">
        <v>7</v>
      </c>
      <c r="BQ251" s="27" t="s">
        <v>8</v>
      </c>
      <c r="BR251" s="27" t="s">
        <v>7</v>
      </c>
      <c r="BS251" s="27" t="s">
        <v>8</v>
      </c>
      <c r="CD251" s="27" t="s">
        <v>7</v>
      </c>
      <c r="CE251" s="27" t="s">
        <v>8</v>
      </c>
      <c r="CF251" s="27" t="s">
        <v>7</v>
      </c>
      <c r="CJ251" s="27" t="s">
        <v>7</v>
      </c>
      <c r="CL251" s="27" t="s">
        <v>7</v>
      </c>
      <c r="CM251" s="27" t="s">
        <v>8</v>
      </c>
      <c r="CN251" s="27" t="s">
        <v>7</v>
      </c>
      <c r="CO251" s="27" t="s">
        <v>8</v>
      </c>
      <c r="CP251" s="27" t="s">
        <v>7</v>
      </c>
      <c r="CQ251" s="27" t="s">
        <v>8</v>
      </c>
      <c r="CS251" s="27" t="s">
        <v>8</v>
      </c>
      <c r="CT251" s="27" t="s">
        <v>7</v>
      </c>
      <c r="CU251" s="27" t="s">
        <v>8</v>
      </c>
      <c r="CV251" s="27" t="s">
        <v>7</v>
      </c>
      <c r="CW251" s="27" t="s">
        <v>8</v>
      </c>
      <c r="CX251" s="27" t="s">
        <v>7</v>
      </c>
      <c r="CY251" s="27" t="s">
        <v>8</v>
      </c>
      <c r="DC251" s="31"/>
      <c r="EP251" s="27" t="s">
        <v>7</v>
      </c>
      <c r="EQ251" s="27" t="s">
        <v>8</v>
      </c>
      <c r="ER251" s="27" t="s">
        <v>7</v>
      </c>
      <c r="ES251" s="31" t="s">
        <v>8</v>
      </c>
      <c r="FR251" s="27" t="s">
        <v>7</v>
      </c>
    </row>
    <row r="252" spans="1:175" x14ac:dyDescent="0.25">
      <c r="A252" s="30">
        <v>0.55683741817755672</v>
      </c>
      <c r="B252"/>
      <c r="C252"/>
      <c r="D252"/>
      <c r="E252"/>
      <c r="L252" s="27" t="s">
        <v>7</v>
      </c>
      <c r="M252" s="27" t="s">
        <v>8</v>
      </c>
      <c r="N252" s="27" t="s">
        <v>7</v>
      </c>
      <c r="O252" s="27" t="s">
        <v>8</v>
      </c>
      <c r="P252" s="27" t="s">
        <v>7</v>
      </c>
      <c r="R252" s="27" t="s">
        <v>7</v>
      </c>
      <c r="T252" s="27" t="s">
        <v>7</v>
      </c>
      <c r="U252" s="27" t="s">
        <v>8</v>
      </c>
      <c r="AT252" s="27" t="s">
        <v>7</v>
      </c>
      <c r="AV252" s="27" t="s">
        <v>7</v>
      </c>
      <c r="AW252" s="27" t="s">
        <v>8</v>
      </c>
      <c r="AX252" s="27" t="s">
        <v>7</v>
      </c>
      <c r="AY252" s="27" t="s">
        <v>8</v>
      </c>
      <c r="AZ252" s="27" t="s">
        <v>7</v>
      </c>
      <c r="BA252" s="27" t="s">
        <v>8</v>
      </c>
      <c r="BD252" s="27" t="s">
        <v>7</v>
      </c>
      <c r="BO252" s="27" t="s">
        <v>8</v>
      </c>
      <c r="BP252" s="27" t="s">
        <v>7</v>
      </c>
      <c r="BQ252" s="27" t="s">
        <v>8</v>
      </c>
      <c r="BR252" s="27" t="s">
        <v>7</v>
      </c>
      <c r="CD252" s="27" t="s">
        <v>7</v>
      </c>
      <c r="CL252" s="27" t="s">
        <v>7</v>
      </c>
      <c r="CM252" s="27" t="s">
        <v>8</v>
      </c>
      <c r="CN252" s="27" t="s">
        <v>7</v>
      </c>
      <c r="CO252" s="27" t="s">
        <v>8</v>
      </c>
      <c r="CP252" s="27" t="s">
        <v>7</v>
      </c>
      <c r="CQ252" s="27" t="s">
        <v>8</v>
      </c>
      <c r="CR252" s="27" t="s">
        <v>7</v>
      </c>
      <c r="CS252" s="27" t="s">
        <v>8</v>
      </c>
      <c r="CT252" s="27" t="s">
        <v>7</v>
      </c>
      <c r="CU252" s="27" t="s">
        <v>8</v>
      </c>
      <c r="CV252" s="27" t="s">
        <v>7</v>
      </c>
      <c r="CW252" s="27" t="s">
        <v>8</v>
      </c>
      <c r="CX252" s="27" t="s">
        <v>7</v>
      </c>
      <c r="CY252" s="27" t="s">
        <v>8</v>
      </c>
      <c r="DB252" s="31"/>
      <c r="EP252" s="27" t="s">
        <v>7</v>
      </c>
      <c r="EQ252" s="27" t="s">
        <v>8</v>
      </c>
      <c r="ER252" s="31" t="s">
        <v>7</v>
      </c>
      <c r="FR252" s="27" t="s">
        <v>7</v>
      </c>
    </row>
    <row r="253" spans="1:175" x14ac:dyDescent="0.25">
      <c r="A253" s="30">
        <v>0.53032135064529184</v>
      </c>
      <c r="B253"/>
      <c r="C253"/>
      <c r="D253"/>
      <c r="E253"/>
      <c r="L253" s="27" t="s">
        <v>7</v>
      </c>
      <c r="M253" s="27" t="s">
        <v>8</v>
      </c>
      <c r="N253" s="27" t="s">
        <v>7</v>
      </c>
      <c r="T253" s="27" t="s">
        <v>7</v>
      </c>
      <c r="U253" s="27" t="s">
        <v>8</v>
      </c>
      <c r="AV253" s="27" t="s">
        <v>7</v>
      </c>
      <c r="AX253" s="27" t="s">
        <v>7</v>
      </c>
      <c r="AZ253" s="27" t="s">
        <v>7</v>
      </c>
      <c r="BA253" s="27" t="s">
        <v>8</v>
      </c>
      <c r="BD253" s="27" t="s">
        <v>7</v>
      </c>
      <c r="BK253" s="27" t="s">
        <v>8</v>
      </c>
      <c r="BM253" s="27" t="s">
        <v>8</v>
      </c>
      <c r="BO253" s="27" t="s">
        <v>8</v>
      </c>
      <c r="BP253" s="27" t="s">
        <v>7</v>
      </c>
      <c r="BQ253" s="27" t="s">
        <v>8</v>
      </c>
      <c r="CL253" s="27" t="s">
        <v>7</v>
      </c>
      <c r="CM253" s="27" t="s">
        <v>8</v>
      </c>
      <c r="CN253" s="27" t="s">
        <v>7</v>
      </c>
      <c r="CP253" s="27" t="s">
        <v>7</v>
      </c>
      <c r="CQ253" s="27" t="s">
        <v>8</v>
      </c>
      <c r="CR253" s="27" t="s">
        <v>7</v>
      </c>
      <c r="CS253" s="27" t="s">
        <v>8</v>
      </c>
      <c r="CT253" s="27" t="s">
        <v>7</v>
      </c>
      <c r="CU253" s="27" t="s">
        <v>8</v>
      </c>
      <c r="CV253" s="32" t="s">
        <v>7</v>
      </c>
      <c r="CX253" s="32" t="s">
        <v>7</v>
      </c>
      <c r="DA253" s="31"/>
      <c r="EP253" s="27" t="s">
        <v>7</v>
      </c>
      <c r="FR253" s="27" t="s">
        <v>7</v>
      </c>
    </row>
    <row r="254" spans="1:175" x14ac:dyDescent="0.25">
      <c r="A254" s="30">
        <v>0.50506795299551588</v>
      </c>
      <c r="B254"/>
      <c r="C254"/>
      <c r="D254"/>
      <c r="E254"/>
      <c r="L254" s="27" t="s">
        <v>7</v>
      </c>
      <c r="M254" s="27" t="s">
        <v>8</v>
      </c>
      <c r="T254" s="27" t="s">
        <v>7</v>
      </c>
      <c r="AZ254" s="27" t="s">
        <v>7</v>
      </c>
      <c r="BD254" s="27" t="s">
        <v>7</v>
      </c>
      <c r="BK254" s="27" t="s">
        <v>8</v>
      </c>
      <c r="BL254" s="27" t="s">
        <v>7</v>
      </c>
      <c r="BM254" s="27" t="s">
        <v>8</v>
      </c>
      <c r="BN254" s="27" t="s">
        <v>7</v>
      </c>
      <c r="BO254" s="27" t="s">
        <v>8</v>
      </c>
      <c r="BP254" s="27" t="s">
        <v>7</v>
      </c>
      <c r="CL254" s="27" t="s">
        <v>7</v>
      </c>
      <c r="CM254" s="27" t="s">
        <v>8</v>
      </c>
      <c r="CP254" s="27" t="s">
        <v>7</v>
      </c>
      <c r="CQ254" s="27" t="s">
        <v>8</v>
      </c>
      <c r="CR254" s="27" t="s">
        <v>7</v>
      </c>
      <c r="CS254" s="27" t="s">
        <v>8</v>
      </c>
      <c r="CT254" s="27" t="s">
        <v>7</v>
      </c>
      <c r="CU254" s="27" t="s">
        <v>8</v>
      </c>
      <c r="CZ254" s="31"/>
      <c r="FR254" s="27" t="s">
        <v>7</v>
      </c>
    </row>
    <row r="255" spans="1:175" x14ac:dyDescent="0.25">
      <c r="A255" s="30">
        <v>0.48101709809096732</v>
      </c>
      <c r="E255"/>
      <c r="L255" s="27" t="s">
        <v>7</v>
      </c>
      <c r="M255" s="27" t="s">
        <v>8</v>
      </c>
      <c r="BD255" s="27" t="s">
        <v>7</v>
      </c>
      <c r="BK255" s="27" t="s">
        <v>8</v>
      </c>
      <c r="BL255" s="27" t="s">
        <v>7</v>
      </c>
      <c r="BM255" s="27" t="s">
        <v>8</v>
      </c>
      <c r="BN255" s="27" t="s">
        <v>7</v>
      </c>
      <c r="BO255" s="27" t="s">
        <v>8</v>
      </c>
      <c r="CL255" s="27" t="s">
        <v>7</v>
      </c>
      <c r="CM255" s="27" t="s">
        <v>8</v>
      </c>
      <c r="CP255" s="27" t="s">
        <v>7</v>
      </c>
      <c r="CR255" s="27" t="s">
        <v>7</v>
      </c>
      <c r="CS255" s="27" t="s">
        <v>8</v>
      </c>
      <c r="CT255" s="27" t="s">
        <v>7</v>
      </c>
      <c r="CY255" s="31"/>
      <c r="FR255" s="27" t="s">
        <v>7</v>
      </c>
      <c r="FS255" s="27" t="s">
        <v>8</v>
      </c>
    </row>
    <row r="256" spans="1:175" x14ac:dyDescent="0.25">
      <c r="A256" s="30">
        <v>0.45811152199139726</v>
      </c>
      <c r="E256"/>
      <c r="L256" s="27" t="s">
        <v>7</v>
      </c>
      <c r="M256" s="27" t="s">
        <v>8</v>
      </c>
      <c r="BD256" s="27" t="s">
        <v>7</v>
      </c>
      <c r="BI256" s="27" t="s">
        <v>8</v>
      </c>
      <c r="BK256" s="27" t="s">
        <v>8</v>
      </c>
      <c r="BL256" s="27" t="s">
        <v>7</v>
      </c>
      <c r="BN256" s="27" t="s">
        <v>7</v>
      </c>
      <c r="BO256" s="27" t="s">
        <v>8</v>
      </c>
      <c r="CL256" s="27" t="s">
        <v>7</v>
      </c>
      <c r="CM256" s="27" t="s">
        <v>8</v>
      </c>
      <c r="CR256" s="27" t="s">
        <v>7</v>
      </c>
      <c r="CS256" s="27" t="s">
        <v>8</v>
      </c>
      <c r="CX256" s="31"/>
      <c r="FR256" s="27" t="s">
        <v>7</v>
      </c>
      <c r="FS256" s="27" t="s">
        <v>8</v>
      </c>
    </row>
    <row r="257" spans="1:175" x14ac:dyDescent="0.25">
      <c r="A257" s="30">
        <v>0.43629668761085438</v>
      </c>
      <c r="B257"/>
      <c r="C257"/>
      <c r="D257"/>
      <c r="E257"/>
      <c r="L257" s="27" t="s">
        <v>7</v>
      </c>
      <c r="BD257" s="27" t="s">
        <v>7</v>
      </c>
      <c r="BI257" s="27" t="s">
        <v>8</v>
      </c>
      <c r="BJ257" s="27" t="s">
        <v>7</v>
      </c>
      <c r="BK257" s="27" t="s">
        <v>8</v>
      </c>
      <c r="BN257" s="27" t="s">
        <v>7</v>
      </c>
      <c r="BO257" s="27" t="s">
        <v>8</v>
      </c>
      <c r="CL257" s="27" t="s">
        <v>7</v>
      </c>
      <c r="CM257" s="27" t="s">
        <v>8</v>
      </c>
      <c r="CR257" s="27" t="s">
        <v>7</v>
      </c>
      <c r="CS257" s="27" t="s">
        <v>8</v>
      </c>
      <c r="CW257" s="31"/>
      <c r="FR257" s="27" t="s">
        <v>7</v>
      </c>
      <c r="FS257" s="27" t="s">
        <v>8</v>
      </c>
    </row>
    <row r="258" spans="1:175" x14ac:dyDescent="0.25">
      <c r="A258" s="30">
        <v>0.41552065486748019</v>
      </c>
      <c r="B258"/>
      <c r="C258"/>
      <c r="D258"/>
      <c r="E258"/>
      <c r="BD258" s="27" t="s">
        <v>7</v>
      </c>
      <c r="BG258" s="27" t="s">
        <v>8</v>
      </c>
      <c r="BI258" s="27" t="s">
        <v>8</v>
      </c>
      <c r="BJ258" s="27" t="s">
        <v>7</v>
      </c>
      <c r="BK258" s="27" t="s">
        <v>8</v>
      </c>
      <c r="BN258" s="27" t="s">
        <v>7</v>
      </c>
      <c r="CL258" s="27" t="s">
        <v>7</v>
      </c>
      <c r="CR258" s="27" t="s">
        <v>7</v>
      </c>
      <c r="CS258" s="27" t="s">
        <v>8</v>
      </c>
      <c r="CV258" s="31"/>
      <c r="FR258" s="27" t="s">
        <v>7</v>
      </c>
    </row>
    <row r="259" spans="1:175" x14ac:dyDescent="0.25">
      <c r="A259" s="30">
        <v>0.39573395701664765</v>
      </c>
      <c r="B259"/>
      <c r="C259"/>
      <c r="D259"/>
      <c r="E259"/>
      <c r="BD259" s="27" t="s">
        <v>7</v>
      </c>
      <c r="BG259" s="27" t="s">
        <v>8</v>
      </c>
      <c r="BH259" s="27" t="s">
        <v>7</v>
      </c>
      <c r="BI259" s="27" t="s">
        <v>8</v>
      </c>
      <c r="BJ259" s="27" t="s">
        <v>7</v>
      </c>
      <c r="BK259" s="27" t="s">
        <v>8</v>
      </c>
      <c r="CR259" s="27" t="s">
        <v>7</v>
      </c>
      <c r="CS259" s="27" t="s">
        <v>8</v>
      </c>
      <c r="CU259" s="31"/>
    </row>
    <row r="260" spans="1:175" x14ac:dyDescent="0.25">
      <c r="A260" s="30">
        <v>0.37688948287299762</v>
      </c>
      <c r="B260"/>
      <c r="C260"/>
      <c r="D260"/>
      <c r="E260"/>
      <c r="BD260" s="27" t="s">
        <v>7</v>
      </c>
      <c r="BG260" s="27" t="s">
        <v>8</v>
      </c>
      <c r="BH260" s="27" t="s">
        <v>7</v>
      </c>
      <c r="BI260" s="27" t="s">
        <v>8</v>
      </c>
      <c r="BJ260" s="27" t="s">
        <v>7</v>
      </c>
      <c r="CR260" s="27" t="s">
        <v>7</v>
      </c>
      <c r="CS260" s="27" t="s">
        <v>8</v>
      </c>
      <c r="CT260" s="31"/>
    </row>
    <row r="261" spans="1:175" x14ac:dyDescent="0.25">
      <c r="A261" s="30">
        <v>0.35894236464094997</v>
      </c>
      <c r="B261"/>
      <c r="C261"/>
      <c r="D261"/>
      <c r="E261"/>
      <c r="BD261" s="27" t="s">
        <v>7</v>
      </c>
      <c r="BE261" s="27" t="s">
        <v>8</v>
      </c>
      <c r="BG261" s="27" t="s">
        <v>8</v>
      </c>
      <c r="BH261" s="27" t="s">
        <v>7</v>
      </c>
      <c r="BI261" s="27" t="s">
        <v>8</v>
      </c>
      <c r="CR261" s="27" t="s">
        <v>7</v>
      </c>
      <c r="CS261" s="31" t="s">
        <v>8</v>
      </c>
    </row>
    <row r="262" spans="1:175" x14ac:dyDescent="0.25">
      <c r="A262" s="30">
        <v>0.34184987108661891</v>
      </c>
      <c r="B262"/>
      <c r="C262"/>
      <c r="D262"/>
      <c r="E262"/>
      <c r="BD262" s="27" t="s">
        <v>7</v>
      </c>
      <c r="BE262" s="27" t="s">
        <v>8</v>
      </c>
      <c r="BF262" s="27" t="s">
        <v>7</v>
      </c>
      <c r="BG262" s="27" t="s">
        <v>8</v>
      </c>
      <c r="BH262" s="27" t="s">
        <v>7</v>
      </c>
      <c r="CR262" s="31" t="s">
        <v>7</v>
      </c>
    </row>
    <row r="263" spans="1:175" x14ac:dyDescent="0.25">
      <c r="A263" s="30">
        <v>0.32557130579677979</v>
      </c>
      <c r="B263"/>
      <c r="C263"/>
      <c r="D263"/>
      <c r="E263"/>
      <c r="BD263" s="27" t="s">
        <v>7</v>
      </c>
      <c r="BE263" s="27" t="s">
        <v>8</v>
      </c>
      <c r="BF263" s="27" t="s">
        <v>7</v>
      </c>
      <c r="BG263" s="27" t="s">
        <v>8</v>
      </c>
    </row>
    <row r="264" spans="1:175" x14ac:dyDescent="0.25">
      <c r="A264" s="30">
        <v>0.3100679102826473</v>
      </c>
      <c r="B264"/>
      <c r="C264"/>
      <c r="D264"/>
      <c r="E264"/>
      <c r="BD264" s="27" t="s">
        <v>7</v>
      </c>
      <c r="BE264" s="27" t="s">
        <v>8</v>
      </c>
      <c r="BF264" s="27" t="s">
        <v>7</v>
      </c>
      <c r="BG264" s="27" t="s">
        <v>8</v>
      </c>
    </row>
    <row r="265" spans="1:175" x14ac:dyDescent="0.25">
      <c r="A265" s="30">
        <v>0.2953027716977592</v>
      </c>
      <c r="B265"/>
      <c r="C265"/>
      <c r="D265"/>
      <c r="E265"/>
      <c r="BD265" s="27" t="s">
        <v>7</v>
      </c>
      <c r="BE265" s="27" t="s">
        <v>8</v>
      </c>
      <c r="BF265" s="27" t="s">
        <v>7</v>
      </c>
      <c r="BG265" s="27" t="s">
        <v>8</v>
      </c>
    </row>
    <row r="266" spans="1:175" x14ac:dyDescent="0.25">
      <c r="A266" s="30">
        <v>0.28124073495024676</v>
      </c>
      <c r="B266"/>
      <c r="C266"/>
      <c r="D266"/>
      <c r="E266"/>
      <c r="BD266" s="27" t="s">
        <v>7</v>
      </c>
      <c r="BE266" s="27" t="s">
        <v>8</v>
      </c>
      <c r="BF266" s="27" t="s">
        <v>7</v>
      </c>
    </row>
    <row r="267" spans="1:175" x14ac:dyDescent="0.25">
      <c r="A267" s="30">
        <v>0.26784831900023492</v>
      </c>
      <c r="B267"/>
      <c r="C267"/>
      <c r="D267"/>
      <c r="E267"/>
      <c r="BD267" s="27" t="s">
        <v>7</v>
      </c>
      <c r="BE267" s="27" t="s">
        <v>8</v>
      </c>
    </row>
    <row r="268" spans="1:175" x14ac:dyDescent="0.25">
      <c r="A268" s="30">
        <v>0.25509363714308075</v>
      </c>
      <c r="B268"/>
      <c r="C268"/>
      <c r="D268"/>
      <c r="E268"/>
      <c r="BD268" s="27" t="s">
        <v>7</v>
      </c>
      <c r="BE268" s="27" t="s">
        <v>8</v>
      </c>
    </row>
    <row r="269" spans="1:175" x14ac:dyDescent="0.25">
      <c r="A269" s="30">
        <v>0.24294632108864825</v>
      </c>
      <c r="B269"/>
      <c r="C269"/>
      <c r="D269"/>
      <c r="E269"/>
      <c r="BD269" s="27" t="s">
        <v>7</v>
      </c>
      <c r="BE269" s="27" t="s">
        <v>8</v>
      </c>
    </row>
    <row r="270" spans="1:175" x14ac:dyDescent="0.25">
      <c r="A270" s="30">
        <v>0.23137744865585538</v>
      </c>
      <c r="B270"/>
      <c r="C270"/>
      <c r="D270"/>
      <c r="E270"/>
      <c r="BD270" s="27" t="s">
        <v>7</v>
      </c>
      <c r="BE270" s="27" t="s">
        <v>8</v>
      </c>
    </row>
    <row r="271" spans="1:175" x14ac:dyDescent="0.25">
      <c r="A271" s="30">
        <v>0.22035947491033836</v>
      </c>
      <c r="B271"/>
      <c r="C271"/>
      <c r="D271"/>
      <c r="E271"/>
      <c r="BD271" s="27" t="s">
        <v>7</v>
      </c>
    </row>
    <row r="272" spans="1:17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611" operator="equal">
      <formula>$U$1</formula>
    </cfRule>
    <cfRule type="cellIs" dxfId="67" priority="1612" operator="equal">
      <formula>$S$1</formula>
    </cfRule>
  </conditionalFormatting>
  <conditionalFormatting sqref="D136">
    <cfRule type="cellIs" dxfId="66" priority="1609" operator="equal">
      <formula>$S$1</formula>
    </cfRule>
    <cfRule type="cellIs" dxfId="65" priority="1610" operator="equal">
      <formula>$U$1</formula>
    </cfRule>
  </conditionalFormatting>
  <conditionalFormatting sqref="C162">
    <cfRule type="cellIs" dxfId="64" priority="1607" operator="equal">
      <formula>$U$1</formula>
    </cfRule>
    <cfRule type="cellIs" dxfId="63" priority="1608" operator="equal">
      <formula>$S$1</formula>
    </cfRule>
  </conditionalFormatting>
  <conditionalFormatting sqref="D162">
    <cfRule type="cellIs" dxfId="62" priority="1605" operator="equal">
      <formula>$S$1</formula>
    </cfRule>
    <cfRule type="cellIs" dxfId="61" priority="1606" operator="equal">
      <formula>$U$1</formula>
    </cfRule>
  </conditionalFormatting>
  <conditionalFormatting sqref="C187">
    <cfRule type="cellIs" dxfId="60" priority="1603" operator="equal">
      <formula>$U$1</formula>
    </cfRule>
    <cfRule type="cellIs" dxfId="59" priority="1604" operator="equal">
      <formula>$S$1</formula>
    </cfRule>
  </conditionalFormatting>
  <conditionalFormatting sqref="D187">
    <cfRule type="cellIs" dxfId="58" priority="1601" operator="equal">
      <formula>$S$1</formula>
    </cfRule>
    <cfRule type="cellIs" dxfId="57" priority="1602" operator="equal">
      <formula>$U$1</formula>
    </cfRule>
  </conditionalFormatting>
  <conditionalFormatting sqref="C212">
    <cfRule type="cellIs" dxfId="56" priority="1599" operator="equal">
      <formula>$U$1</formula>
    </cfRule>
    <cfRule type="cellIs" dxfId="55" priority="1600" operator="equal">
      <formula>$S$1</formula>
    </cfRule>
  </conditionalFormatting>
  <conditionalFormatting sqref="D212">
    <cfRule type="cellIs" dxfId="54" priority="1597" operator="equal">
      <formula>$S$1</formula>
    </cfRule>
    <cfRule type="cellIs" dxfId="53" priority="1598" operator="equal">
      <formula>$U$1</formula>
    </cfRule>
  </conditionalFormatting>
  <conditionalFormatting sqref="C237">
    <cfRule type="cellIs" dxfId="52" priority="1595" operator="equal">
      <formula>$U$1</formula>
    </cfRule>
    <cfRule type="cellIs" dxfId="51" priority="1596" operator="equal">
      <formula>$S$1</formula>
    </cfRule>
  </conditionalFormatting>
  <conditionalFormatting sqref="D237">
    <cfRule type="cellIs" dxfId="50" priority="1593" operator="equal">
      <formula>$S$1</formula>
    </cfRule>
    <cfRule type="cellIs" dxfId="49" priority="1594" operator="equal">
      <formula>$U$1</formula>
    </cfRule>
  </conditionalFormatting>
  <conditionalFormatting sqref="C106">
    <cfRule type="cellIs" dxfId="48" priority="1591" operator="equal">
      <formula>$U$1</formula>
    </cfRule>
    <cfRule type="cellIs" dxfId="47" priority="1592" operator="equal">
      <formula>$S$1</formula>
    </cfRule>
  </conditionalFormatting>
  <conditionalFormatting sqref="D106">
    <cfRule type="cellIs" dxfId="46" priority="1589" operator="equal">
      <formula>$S$1</formula>
    </cfRule>
    <cfRule type="cellIs" dxfId="45" priority="1590" operator="equal">
      <formula>$U$1</formula>
    </cfRule>
  </conditionalFormatting>
  <conditionalFormatting sqref="C81">
    <cfRule type="cellIs" dxfId="44" priority="1587" operator="equal">
      <formula>$U$1</formula>
    </cfRule>
    <cfRule type="cellIs" dxfId="43" priority="1588" operator="equal">
      <formula>$S$1</formula>
    </cfRule>
  </conditionalFormatting>
  <conditionalFormatting sqref="D81">
    <cfRule type="cellIs" dxfId="42" priority="1585" operator="equal">
      <formula>$S$1</formula>
    </cfRule>
    <cfRule type="cellIs" dxfId="41" priority="1586" operator="equal">
      <formula>$U$1</formula>
    </cfRule>
  </conditionalFormatting>
  <conditionalFormatting sqref="C56">
    <cfRule type="cellIs" dxfId="40" priority="1583" operator="equal">
      <formula>$U$1</formula>
    </cfRule>
    <cfRule type="cellIs" dxfId="39" priority="1584" operator="equal">
      <formula>$S$1</formula>
    </cfRule>
  </conditionalFormatting>
  <conditionalFormatting sqref="D56">
    <cfRule type="cellIs" dxfId="38" priority="1581" operator="equal">
      <formula>$S$1</formula>
    </cfRule>
    <cfRule type="cellIs" dxfId="37" priority="1582" operator="equal">
      <formula>$U$1</formula>
    </cfRule>
  </conditionalFormatting>
  <conditionalFormatting sqref="C31">
    <cfRule type="cellIs" dxfId="36" priority="1579" operator="equal">
      <formula>$U$1</formula>
    </cfRule>
    <cfRule type="cellIs" dxfId="35" priority="1580" operator="equal">
      <formula>$S$1</formula>
    </cfRule>
  </conditionalFormatting>
  <conditionalFormatting sqref="D31">
    <cfRule type="cellIs" dxfId="34" priority="1577" operator="equal">
      <formula>$S$1</formula>
    </cfRule>
    <cfRule type="cellIs" dxfId="33" priority="1578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0" zoomScale="90" zoomScaleNormal="90" workbookViewId="0">
      <pane xSplit="4" topLeftCell="G1" activePane="topRight" state="frozen"/>
      <selection activeCell="A109" sqref="A109"/>
      <selection pane="topRight" activeCell="AX130" sqref="AX130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39" x14ac:dyDescent="0.25">
      <c r="A97" s="30">
        <v>9.849732675807628</v>
      </c>
      <c r="E97"/>
    </row>
    <row r="98" spans="1:39" x14ac:dyDescent="0.25">
      <c r="A98" s="30">
        <v>8.9543024325523888</v>
      </c>
      <c r="C98" s="1" t="s">
        <v>13</v>
      </c>
      <c r="E98"/>
    </row>
    <row r="99" spans="1:39" x14ac:dyDescent="0.25">
      <c r="A99" s="30">
        <v>8.140274938683989</v>
      </c>
      <c r="C99" s="1">
        <f>C88</f>
        <v>0</v>
      </c>
      <c r="E99"/>
    </row>
    <row r="100" spans="1:39" x14ac:dyDescent="0.25">
      <c r="A100" s="30">
        <v>7.4002499442581717</v>
      </c>
      <c r="C100"/>
      <c r="D100"/>
      <c r="E100"/>
    </row>
    <row r="101" spans="1:39" x14ac:dyDescent="0.25">
      <c r="A101" s="30">
        <v>6.72749994932561</v>
      </c>
      <c r="C101" s="1" t="s">
        <v>14</v>
      </c>
      <c r="E101"/>
    </row>
    <row r="102" spans="1:39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39" x14ac:dyDescent="0.25">
      <c r="A103" s="30">
        <v>5.5599173134922388</v>
      </c>
      <c r="E103"/>
    </row>
    <row r="104" spans="1:39" x14ac:dyDescent="0.25">
      <c r="A104" s="30">
        <v>5.0544702849929442</v>
      </c>
      <c r="E104"/>
    </row>
    <row r="105" spans="1:39" x14ac:dyDescent="0.25">
      <c r="A105" s="30">
        <v>4.594972986357222</v>
      </c>
      <c r="E105"/>
    </row>
    <row r="106" spans="1:39" x14ac:dyDescent="0.25">
      <c r="A106" s="30">
        <v>4.1772481694156562</v>
      </c>
      <c r="E106"/>
    </row>
    <row r="107" spans="1:39" x14ac:dyDescent="0.25">
      <c r="A107" s="30">
        <v>3.7974983358324148</v>
      </c>
      <c r="E107"/>
    </row>
    <row r="108" spans="1:39" x14ac:dyDescent="0.25">
      <c r="A108" s="30">
        <v>3.4522712143931042</v>
      </c>
      <c r="E108"/>
    </row>
    <row r="109" spans="1:39" x14ac:dyDescent="0.25">
      <c r="A109" s="30">
        <v>3.1384283767210035</v>
      </c>
      <c r="E109"/>
    </row>
    <row r="110" spans="1:39" x14ac:dyDescent="0.25">
      <c r="A110" s="30">
        <v>2.8531167061100029</v>
      </c>
      <c r="E110"/>
      <c r="AK110" s="31" t="s">
        <v>8</v>
      </c>
    </row>
    <row r="111" spans="1:39" x14ac:dyDescent="0.25">
      <c r="A111" s="30">
        <v>2.5937424601000023</v>
      </c>
      <c r="C111" s="1" t="str">
        <f>ADDRESS(C121-1,1,1,1)</f>
        <v>$A$129</v>
      </c>
      <c r="D111" s="1" t="str">
        <f>ADDRESS(C121-1,D121,1,1)</f>
        <v>$AX$129</v>
      </c>
      <c r="E111"/>
      <c r="AK111" s="34" t="s">
        <v>8</v>
      </c>
      <c r="AL111" s="31" t="s">
        <v>7</v>
      </c>
    </row>
    <row r="112" spans="1:39" x14ac:dyDescent="0.25">
      <c r="A112" s="30">
        <v>2.3579476910000019</v>
      </c>
      <c r="C112" s="1" t="str">
        <f>ADDRESS(C121,1,1,1)</f>
        <v>$A$130</v>
      </c>
      <c r="D112" s="1" t="str">
        <f>ADDRESS(C121,D121-1,1,1)</f>
        <v>$AW$130</v>
      </c>
      <c r="E112"/>
      <c r="AG112" s="32" t="s">
        <v>8</v>
      </c>
      <c r="AI112" s="32" t="s">
        <v>8</v>
      </c>
      <c r="AK112" s="27" t="s">
        <v>8</v>
      </c>
      <c r="AL112" s="27" t="s">
        <v>7</v>
      </c>
      <c r="AM112" s="31"/>
    </row>
    <row r="113" spans="1:50" x14ac:dyDescent="0.25">
      <c r="A113" s="30">
        <v>2.1435888100000016</v>
      </c>
      <c r="C113" s="1" t="str">
        <f>ADDRESS(C121+1,1,1,1)</f>
        <v>$A$131</v>
      </c>
      <c r="D113" s="1" t="str">
        <f>ADDRESS(C121-1,D121+1,1,1)</f>
        <v>$AY$129</v>
      </c>
      <c r="AG113" s="27" t="s">
        <v>8</v>
      </c>
      <c r="AH113" s="27" t="s">
        <v>7</v>
      </c>
      <c r="AI113" s="27" t="s">
        <v>8</v>
      </c>
      <c r="AJ113" s="27" t="s">
        <v>7</v>
      </c>
      <c r="AK113" s="27" t="s">
        <v>8</v>
      </c>
      <c r="AL113" s="27" t="s">
        <v>7</v>
      </c>
      <c r="AN113" s="31"/>
    </row>
    <row r="114" spans="1:50" x14ac:dyDescent="0.25">
      <c r="A114" s="30">
        <v>1.9487171000000014</v>
      </c>
      <c r="C114" s="1" t="str">
        <f>ADDRESS(C121,D121,1,1)</f>
        <v>$AX$130</v>
      </c>
      <c r="D114" s="1" t="str">
        <f>ADDRESS(C121+1,D121+1,1,1)</f>
        <v>$AY$131</v>
      </c>
      <c r="AG114" s="27" t="s">
        <v>8</v>
      </c>
      <c r="AH114" s="27" t="s">
        <v>7</v>
      </c>
      <c r="AI114" s="27" t="s">
        <v>8</v>
      </c>
      <c r="AJ114" s="27" t="s">
        <v>7</v>
      </c>
      <c r="AK114" s="27" t="s">
        <v>8</v>
      </c>
      <c r="AL114" s="27" t="s">
        <v>7</v>
      </c>
      <c r="AO114" s="31"/>
    </row>
    <row r="115" spans="1:50" x14ac:dyDescent="0.25">
      <c r="A115" s="30">
        <v>1.7715610000000011</v>
      </c>
      <c r="C115" s="1" t="str">
        <f>ADDRESS(C121+1,D121,1,1)</f>
        <v>$AX$131</v>
      </c>
      <c r="E115" s="1" t="s">
        <v>8</v>
      </c>
      <c r="M115" s="27" t="s">
        <v>8</v>
      </c>
      <c r="AG115" s="27" t="s">
        <v>8</v>
      </c>
      <c r="AH115" s="27" t="s">
        <v>7</v>
      </c>
      <c r="AI115" s="27" t="s">
        <v>8</v>
      </c>
      <c r="AJ115" s="27" t="s">
        <v>7</v>
      </c>
      <c r="AK115" s="27" t="s">
        <v>8</v>
      </c>
      <c r="AL115" s="27" t="s">
        <v>7</v>
      </c>
      <c r="AM115" s="27" t="s">
        <v>8</v>
      </c>
      <c r="AP115" s="31"/>
    </row>
    <row r="116" spans="1:50" x14ac:dyDescent="0.25">
      <c r="A116" s="30">
        <v>1.6105100000000008</v>
      </c>
      <c r="C116" s="1">
        <f>C117-1</f>
        <v>129</v>
      </c>
      <c r="E116" s="1" t="s">
        <v>8</v>
      </c>
      <c r="F116" s="27" t="s">
        <v>7</v>
      </c>
      <c r="K116" s="27" t="s">
        <v>8</v>
      </c>
      <c r="M116" s="27" t="s">
        <v>8</v>
      </c>
      <c r="N116" s="27" t="s">
        <v>7</v>
      </c>
      <c r="AG116" s="34" t="s">
        <v>8</v>
      </c>
      <c r="AH116" s="27" t="s">
        <v>7</v>
      </c>
      <c r="AJ116" s="27" t="s">
        <v>7</v>
      </c>
      <c r="AK116" s="27" t="s">
        <v>8</v>
      </c>
      <c r="AL116" s="27" t="s">
        <v>7</v>
      </c>
      <c r="AM116" s="27" t="s">
        <v>8</v>
      </c>
      <c r="AN116" s="27" t="s">
        <v>7</v>
      </c>
      <c r="AQ116" s="31"/>
    </row>
    <row r="117" spans="1:50" x14ac:dyDescent="0.25">
      <c r="A117" s="30">
        <v>1.4641000000000006</v>
      </c>
      <c r="C117" s="1">
        <f>C121</f>
        <v>130</v>
      </c>
      <c r="D117" s="1">
        <f>D121</f>
        <v>50</v>
      </c>
      <c r="E117" s="1" t="s">
        <v>8</v>
      </c>
      <c r="F117" s="27" t="s">
        <v>7</v>
      </c>
      <c r="K117" s="27" t="s">
        <v>8</v>
      </c>
      <c r="L117" s="27" t="s">
        <v>7</v>
      </c>
      <c r="M117" s="27" t="s">
        <v>8</v>
      </c>
      <c r="N117" s="27" t="s">
        <v>7</v>
      </c>
      <c r="AE117" s="27" t="s">
        <v>8</v>
      </c>
      <c r="AG117" s="27" t="s">
        <v>8</v>
      </c>
      <c r="AJ117" s="33" t="s">
        <v>7</v>
      </c>
      <c r="AK117" s="27" t="s">
        <v>8</v>
      </c>
      <c r="AL117" s="27" t="s">
        <v>7</v>
      </c>
      <c r="AM117" s="27" t="s">
        <v>8</v>
      </c>
      <c r="AN117" s="27" t="s">
        <v>7</v>
      </c>
      <c r="AR117" s="31"/>
    </row>
    <row r="118" spans="1:50" x14ac:dyDescent="0.25">
      <c r="A118" s="30">
        <v>1.3310000000000004</v>
      </c>
      <c r="C118" s="1">
        <f>C117+1</f>
        <v>131</v>
      </c>
      <c r="D118" s="1">
        <f>D117+1</f>
        <v>51</v>
      </c>
      <c r="E118" s="1" t="s">
        <v>8</v>
      </c>
      <c r="F118" s="27" t="s">
        <v>7</v>
      </c>
      <c r="K118" s="27" t="s">
        <v>8</v>
      </c>
      <c r="L118" s="27" t="s">
        <v>7</v>
      </c>
      <c r="M118" s="27" t="s">
        <v>8</v>
      </c>
      <c r="N118" s="27" t="s">
        <v>7</v>
      </c>
      <c r="AC118" s="27" t="s">
        <v>8</v>
      </c>
      <c r="AE118" s="27" t="s">
        <v>8</v>
      </c>
      <c r="AF118" s="27" t="s">
        <v>7</v>
      </c>
      <c r="AG118" s="27" t="s">
        <v>8</v>
      </c>
      <c r="AJ118" s="27" t="s">
        <v>7</v>
      </c>
      <c r="AL118" s="31" t="s">
        <v>7</v>
      </c>
      <c r="AM118" s="27" t="s">
        <v>8</v>
      </c>
      <c r="AN118" s="27" t="s">
        <v>7</v>
      </c>
      <c r="AS118" s="31"/>
    </row>
    <row r="119" spans="1:50" x14ac:dyDescent="0.25">
      <c r="A119" s="30">
        <v>1.2100000000000002</v>
      </c>
      <c r="E119" s="1" t="s">
        <v>8</v>
      </c>
      <c r="F119" s="27" t="s">
        <v>7</v>
      </c>
      <c r="K119" s="27" t="s">
        <v>8</v>
      </c>
      <c r="L119" s="27" t="s">
        <v>7</v>
      </c>
      <c r="M119" s="27" t="s">
        <v>8</v>
      </c>
      <c r="N119" s="27" t="s">
        <v>7</v>
      </c>
      <c r="AC119" s="27" t="s">
        <v>8</v>
      </c>
      <c r="AD119" s="27" t="s">
        <v>7</v>
      </c>
      <c r="AE119" s="27" t="s">
        <v>8</v>
      </c>
      <c r="AF119" s="27" t="s">
        <v>7</v>
      </c>
      <c r="AG119" s="27" t="s">
        <v>8</v>
      </c>
      <c r="AK119" s="31"/>
      <c r="AL119" s="33" t="s">
        <v>7</v>
      </c>
      <c r="AM119" s="27" t="s">
        <v>8</v>
      </c>
      <c r="AN119" s="27" t="s">
        <v>7</v>
      </c>
      <c r="AO119" s="27" t="s">
        <v>8</v>
      </c>
      <c r="AS119" s="27" t="s">
        <v>8</v>
      </c>
      <c r="AT119" s="31"/>
      <c r="AW119" s="27" t="s">
        <v>8</v>
      </c>
    </row>
    <row r="120" spans="1:50" x14ac:dyDescent="0.25">
      <c r="A120" s="30">
        <v>1.1000000000000001</v>
      </c>
      <c r="C120" s="1" t="s">
        <v>9</v>
      </c>
      <c r="E120" s="1" t="s">
        <v>8</v>
      </c>
      <c r="F120" s="27" t="s">
        <v>7</v>
      </c>
      <c r="I120" s="27" t="s">
        <v>8</v>
      </c>
      <c r="K120" s="27" t="s">
        <v>8</v>
      </c>
      <c r="L120" s="27" t="s">
        <v>7</v>
      </c>
      <c r="M120" s="27" t="s">
        <v>8</v>
      </c>
      <c r="N120" s="27" t="s">
        <v>7</v>
      </c>
      <c r="O120" s="27" t="s">
        <v>8</v>
      </c>
      <c r="AC120" s="27" t="s">
        <v>8</v>
      </c>
      <c r="AD120" s="27" t="s">
        <v>7</v>
      </c>
      <c r="AE120" s="27" t="s">
        <v>8</v>
      </c>
      <c r="AF120" s="27" t="s">
        <v>7</v>
      </c>
      <c r="AG120" s="27" t="s">
        <v>8</v>
      </c>
      <c r="AJ120" s="31"/>
      <c r="AL120" s="27" t="s">
        <v>7</v>
      </c>
      <c r="AM120" s="27" t="s">
        <v>8</v>
      </c>
      <c r="AN120" s="27" t="s">
        <v>7</v>
      </c>
      <c r="AO120" s="27" t="s">
        <v>8</v>
      </c>
      <c r="AP120" s="27" t="s">
        <v>7</v>
      </c>
      <c r="AS120" s="27" t="s">
        <v>8</v>
      </c>
      <c r="AT120" s="27" t="s">
        <v>7</v>
      </c>
      <c r="AU120" s="31" t="s">
        <v>8</v>
      </c>
      <c r="AW120" s="27" t="s">
        <v>8</v>
      </c>
      <c r="AX120" s="27" t="s">
        <v>7</v>
      </c>
    </row>
    <row r="121" spans="1:50" x14ac:dyDescent="0.25">
      <c r="A121" s="30">
        <v>1</v>
      </c>
      <c r="C121" s="18">
        <v>130</v>
      </c>
      <c r="D121" s="19">
        <v>50</v>
      </c>
      <c r="E121" s="18" t="s">
        <v>8</v>
      </c>
      <c r="F121" s="27" t="s">
        <v>7</v>
      </c>
      <c r="I121" s="27" t="s">
        <v>8</v>
      </c>
      <c r="J121" s="27" t="s">
        <v>7</v>
      </c>
      <c r="K121" s="27" t="s">
        <v>8</v>
      </c>
      <c r="L121" s="27" t="s">
        <v>7</v>
      </c>
      <c r="N121" s="27" t="s">
        <v>7</v>
      </c>
      <c r="O121" s="27" t="s">
        <v>8</v>
      </c>
      <c r="P121" s="27" t="s">
        <v>7</v>
      </c>
      <c r="Q121" s="32" t="s">
        <v>8</v>
      </c>
      <c r="S121" s="32" t="s">
        <v>8</v>
      </c>
      <c r="AC121" s="27" t="s">
        <v>8</v>
      </c>
      <c r="AD121" s="27" t="s">
        <v>7</v>
      </c>
      <c r="AE121" s="27" t="s">
        <v>8</v>
      </c>
      <c r="AF121" s="27" t="s">
        <v>7</v>
      </c>
      <c r="AG121" s="27" t="s">
        <v>8</v>
      </c>
      <c r="AI121" s="31"/>
      <c r="AL121" s="27" t="s">
        <v>7</v>
      </c>
      <c r="AM121" s="27" t="s">
        <v>8</v>
      </c>
      <c r="AN121" s="27" t="s">
        <v>7</v>
      </c>
      <c r="AO121" s="27" t="s">
        <v>8</v>
      </c>
      <c r="AP121" s="27" t="s">
        <v>7</v>
      </c>
      <c r="AS121" s="27" t="s">
        <v>8</v>
      </c>
      <c r="AT121" s="27" t="s">
        <v>7</v>
      </c>
      <c r="AU121" s="27" t="s">
        <v>8</v>
      </c>
      <c r="AV121" s="31" t="s">
        <v>7</v>
      </c>
      <c r="AW121" s="27" t="s">
        <v>8</v>
      </c>
      <c r="AX121" s="27" t="s">
        <v>7</v>
      </c>
    </row>
    <row r="122" spans="1:50" x14ac:dyDescent="0.25">
      <c r="A122" s="30">
        <v>0.90909090909090895</v>
      </c>
      <c r="C122" s="1" t="str">
        <f>INDEX(1:1048576,C117,D117)</f>
        <v>O</v>
      </c>
      <c r="F122" s="27" t="s">
        <v>7</v>
      </c>
      <c r="I122" s="27" t="s">
        <v>8</v>
      </c>
      <c r="J122" s="27" t="s">
        <v>7</v>
      </c>
      <c r="K122" s="27" t="s">
        <v>8</v>
      </c>
      <c r="N122" s="27" t="s">
        <v>7</v>
      </c>
      <c r="O122" s="27" t="s">
        <v>8</v>
      </c>
      <c r="P122" s="27" t="s">
        <v>7</v>
      </c>
      <c r="Q122" s="27" t="s">
        <v>8</v>
      </c>
      <c r="R122" s="27" t="s">
        <v>7</v>
      </c>
      <c r="S122" s="27" t="s">
        <v>8</v>
      </c>
      <c r="T122" s="27" t="s">
        <v>7</v>
      </c>
      <c r="AC122" s="27" t="s">
        <v>8</v>
      </c>
      <c r="AD122" s="27" t="s">
        <v>7</v>
      </c>
      <c r="AF122" s="27" t="s">
        <v>7</v>
      </c>
      <c r="AG122" s="27" t="s">
        <v>8</v>
      </c>
      <c r="AH122" s="31"/>
      <c r="AL122" s="27" t="s">
        <v>7</v>
      </c>
      <c r="AM122" s="27" t="s">
        <v>8</v>
      </c>
      <c r="AN122" s="27" t="s">
        <v>7</v>
      </c>
      <c r="AO122" s="27" t="s">
        <v>8</v>
      </c>
      <c r="AP122" s="27" t="s">
        <v>7</v>
      </c>
      <c r="AS122" s="27" t="s">
        <v>8</v>
      </c>
      <c r="AT122" s="27" t="s">
        <v>7</v>
      </c>
      <c r="AU122" s="27" t="s">
        <v>8</v>
      </c>
      <c r="AV122" s="27" t="s">
        <v>7</v>
      </c>
      <c r="AW122" s="31" t="s">
        <v>8</v>
      </c>
      <c r="AX122" s="27" t="s">
        <v>7</v>
      </c>
    </row>
    <row r="123" spans="1:50" x14ac:dyDescent="0.25">
      <c r="A123" s="30">
        <v>0.82644628099173523</v>
      </c>
      <c r="C123" s="1" t="str">
        <f>"R"&amp;C121</f>
        <v>R130</v>
      </c>
      <c r="D123" s="1" t="str">
        <f>"C"&amp;D121</f>
        <v>C50</v>
      </c>
      <c r="F123" s="27" t="s">
        <v>7</v>
      </c>
      <c r="I123" s="27" t="s">
        <v>8</v>
      </c>
      <c r="J123" s="27" t="s">
        <v>7</v>
      </c>
      <c r="N123" s="27" t="s">
        <v>7</v>
      </c>
      <c r="O123" s="27" t="s">
        <v>8</v>
      </c>
      <c r="P123" s="27" t="s">
        <v>7</v>
      </c>
      <c r="Q123" s="27" t="s">
        <v>8</v>
      </c>
      <c r="R123" s="27" t="s">
        <v>7</v>
      </c>
      <c r="S123" s="27" t="s">
        <v>8</v>
      </c>
      <c r="T123" s="27" t="s">
        <v>7</v>
      </c>
      <c r="U123" s="27" t="s">
        <v>8</v>
      </c>
      <c r="AC123" s="27" t="s">
        <v>8</v>
      </c>
      <c r="AF123" s="33" t="s">
        <v>7</v>
      </c>
      <c r="AG123" s="31"/>
      <c r="AL123" s="27" t="s">
        <v>7</v>
      </c>
      <c r="AN123" s="27" t="s">
        <v>7</v>
      </c>
      <c r="AO123" s="27" t="s">
        <v>8</v>
      </c>
      <c r="AP123" s="27" t="s">
        <v>7</v>
      </c>
      <c r="AS123" s="34" t="s">
        <v>8</v>
      </c>
      <c r="AT123" s="27" t="s">
        <v>7</v>
      </c>
      <c r="AU123" s="27" t="s">
        <v>8</v>
      </c>
      <c r="AV123" s="27" t="s">
        <v>7</v>
      </c>
      <c r="AX123" s="27" t="s">
        <v>7</v>
      </c>
    </row>
    <row r="124" spans="1:50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I124" s="27" t="s">
        <v>8</v>
      </c>
      <c r="N124" s="27" t="s">
        <v>7</v>
      </c>
      <c r="O124" s="27" t="s">
        <v>8</v>
      </c>
      <c r="P124" s="27" t="s">
        <v>7</v>
      </c>
      <c r="Q124" s="27" t="s">
        <v>8</v>
      </c>
      <c r="R124" s="27" t="s">
        <v>7</v>
      </c>
      <c r="S124" s="27" t="s">
        <v>8</v>
      </c>
      <c r="T124" s="27" t="s">
        <v>7</v>
      </c>
      <c r="U124" s="27" t="s">
        <v>8</v>
      </c>
      <c r="V124" s="27" t="s">
        <v>7</v>
      </c>
      <c r="AC124" s="34" t="s">
        <v>8</v>
      </c>
      <c r="AF124" s="31"/>
      <c r="AN124" s="27" t="s">
        <v>7</v>
      </c>
      <c r="AP124" s="27" t="s">
        <v>7</v>
      </c>
      <c r="AQ124" s="18" t="s">
        <v>8</v>
      </c>
      <c r="AS124" s="27" t="s">
        <v>8</v>
      </c>
      <c r="AT124" s="27" t="s">
        <v>7</v>
      </c>
      <c r="AX124" s="27" t="s">
        <v>7</v>
      </c>
    </row>
    <row r="125" spans="1:50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N125" s="27" t="s">
        <v>7</v>
      </c>
      <c r="O125" s="27" t="s">
        <v>8</v>
      </c>
      <c r="P125" s="27" t="s">
        <v>7</v>
      </c>
      <c r="Q125" s="27" t="s">
        <v>8</v>
      </c>
      <c r="R125" s="27" t="s">
        <v>7</v>
      </c>
      <c r="S125" s="27" t="s">
        <v>8</v>
      </c>
      <c r="T125" s="27" t="s">
        <v>7</v>
      </c>
      <c r="U125" s="27" t="s">
        <v>8</v>
      </c>
      <c r="V125" s="27" t="s">
        <v>7</v>
      </c>
      <c r="W125" s="32" t="s">
        <v>8</v>
      </c>
      <c r="Y125" s="32" t="s">
        <v>8</v>
      </c>
      <c r="AA125" s="32" t="s">
        <v>8</v>
      </c>
      <c r="AC125" s="27" t="s">
        <v>8</v>
      </c>
      <c r="AE125" s="31"/>
      <c r="AP125" s="27" t="s">
        <v>7</v>
      </c>
      <c r="AQ125" s="27" t="s">
        <v>8</v>
      </c>
      <c r="AR125" s="27" t="s">
        <v>7</v>
      </c>
      <c r="AS125" s="27" t="s">
        <v>8</v>
      </c>
      <c r="AX125" s="27" t="s">
        <v>7</v>
      </c>
    </row>
    <row r="126" spans="1:50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N126" s="27" t="s">
        <v>7</v>
      </c>
      <c r="O126" s="27" t="s">
        <v>8</v>
      </c>
      <c r="P126" s="27" t="s">
        <v>7</v>
      </c>
      <c r="Q126" s="27" t="s">
        <v>8</v>
      </c>
      <c r="R126" s="27" t="s">
        <v>7</v>
      </c>
      <c r="S126" s="27" t="s">
        <v>8</v>
      </c>
      <c r="T126" s="27" t="s">
        <v>7</v>
      </c>
      <c r="U126" s="27" t="s">
        <v>8</v>
      </c>
      <c r="V126" s="27" t="s">
        <v>7</v>
      </c>
      <c r="W126" s="27" t="s">
        <v>8</v>
      </c>
      <c r="X126" s="27" t="s">
        <v>7</v>
      </c>
      <c r="Y126" s="27" t="s">
        <v>8</v>
      </c>
      <c r="Z126" s="27" t="s">
        <v>7</v>
      </c>
      <c r="AA126" s="27" t="s">
        <v>8</v>
      </c>
      <c r="AB126" s="27" t="s">
        <v>7</v>
      </c>
      <c r="AC126" s="27" t="s">
        <v>8</v>
      </c>
      <c r="AD126" s="31"/>
      <c r="AP126" s="27" t="s">
        <v>7</v>
      </c>
      <c r="AQ126" s="27" t="s">
        <v>8</v>
      </c>
      <c r="AR126" s="27" t="s">
        <v>7</v>
      </c>
      <c r="AS126" s="27" t="s">
        <v>8</v>
      </c>
      <c r="AX126" s="27" t="s">
        <v>7</v>
      </c>
    </row>
    <row r="127" spans="1:50" x14ac:dyDescent="0.25">
      <c r="A127" s="30">
        <v>0.56447393005377677</v>
      </c>
      <c r="C127" s="30">
        <v>0.42409761837248428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N127" s="27" t="s">
        <v>7</v>
      </c>
      <c r="P127" s="27" t="s">
        <v>7</v>
      </c>
      <c r="Q127" s="27" t="s">
        <v>8</v>
      </c>
      <c r="R127" s="27" t="s">
        <v>7</v>
      </c>
      <c r="S127" s="27" t="s">
        <v>8</v>
      </c>
      <c r="T127" s="27" t="s">
        <v>7</v>
      </c>
      <c r="V127" s="27" t="s">
        <v>7</v>
      </c>
      <c r="W127" s="27" t="s">
        <v>8</v>
      </c>
      <c r="X127" s="27" t="s">
        <v>7</v>
      </c>
      <c r="Y127" s="27" t="s">
        <v>8</v>
      </c>
      <c r="Z127" s="27" t="s">
        <v>7</v>
      </c>
      <c r="AA127" s="27" t="s">
        <v>8</v>
      </c>
      <c r="AB127" s="27" t="s">
        <v>7</v>
      </c>
      <c r="AC127" s="31" t="s">
        <v>8</v>
      </c>
      <c r="AP127" s="27" t="s">
        <v>7</v>
      </c>
      <c r="AQ127" s="27" t="s">
        <v>8</v>
      </c>
      <c r="AR127" s="27" t="s">
        <v>7</v>
      </c>
      <c r="AX127" s="27" t="s">
        <v>7</v>
      </c>
    </row>
    <row r="128" spans="1:50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P128" s="27" t="s">
        <v>7</v>
      </c>
      <c r="R128" s="27" t="s">
        <v>7</v>
      </c>
      <c r="S128" s="27" t="s">
        <v>8</v>
      </c>
      <c r="V128" s="27" t="s">
        <v>7</v>
      </c>
      <c r="W128" s="27" t="s">
        <v>8</v>
      </c>
      <c r="X128" s="27" t="s">
        <v>7</v>
      </c>
      <c r="Y128" s="27" t="s">
        <v>8</v>
      </c>
      <c r="Z128" s="32" t="s">
        <v>7</v>
      </c>
      <c r="AB128" s="32" t="s">
        <v>7</v>
      </c>
      <c r="AP128" s="27" t="s">
        <v>7</v>
      </c>
      <c r="AX128" s="27" t="s">
        <v>7</v>
      </c>
    </row>
    <row r="129" spans="1:5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R129" s="27" t="s">
        <v>7</v>
      </c>
      <c r="S129" s="27" t="s">
        <v>8</v>
      </c>
      <c r="V129" s="27" t="s">
        <v>7</v>
      </c>
      <c r="W129" s="27" t="s">
        <v>8</v>
      </c>
      <c r="X129" s="27" t="s">
        <v>7</v>
      </c>
      <c r="Y129" s="27" t="s">
        <v>8</v>
      </c>
      <c r="AA129" s="31"/>
      <c r="AX129" s="27" t="s">
        <v>7</v>
      </c>
    </row>
    <row r="130" spans="1:50" x14ac:dyDescent="0.25">
      <c r="A130" s="30">
        <v>0.42409761837248428</v>
      </c>
      <c r="C130" s="6"/>
      <c r="D130" s="6"/>
      <c r="E130"/>
      <c r="R130" s="27" t="s">
        <v>7</v>
      </c>
      <c r="S130" s="27" t="s">
        <v>8</v>
      </c>
      <c r="V130" s="27" t="s">
        <v>7</v>
      </c>
      <c r="X130" s="27" t="s">
        <v>7</v>
      </c>
      <c r="Y130" s="27" t="s">
        <v>8</v>
      </c>
      <c r="Z130" s="31"/>
      <c r="AX130" s="27" t="s">
        <v>7</v>
      </c>
    </row>
    <row r="131" spans="1:50" x14ac:dyDescent="0.25">
      <c r="A131" s="30">
        <v>0.38554328942953109</v>
      </c>
      <c r="E131"/>
      <c r="R131" s="27" t="s">
        <v>7</v>
      </c>
      <c r="S131" s="27" t="s">
        <v>8</v>
      </c>
      <c r="X131" s="31" t="s">
        <v>7</v>
      </c>
      <c r="Y131" s="31" t="s">
        <v>8</v>
      </c>
    </row>
    <row r="132" spans="1:50" x14ac:dyDescent="0.25">
      <c r="A132" s="30">
        <v>0.35049389948139187</v>
      </c>
      <c r="C132" s="1" t="s">
        <v>13</v>
      </c>
      <c r="E132"/>
      <c r="R132" s="27" t="s">
        <v>7</v>
      </c>
      <c r="S132" s="27" t="s">
        <v>8</v>
      </c>
      <c r="W132" s="31"/>
      <c r="X132" s="27" t="s">
        <v>7</v>
      </c>
    </row>
    <row r="133" spans="1:50" x14ac:dyDescent="0.25">
      <c r="A133" s="30">
        <v>0.31863081771035617</v>
      </c>
      <c r="C133" s="1" t="str">
        <f>C122</f>
        <v>O</v>
      </c>
      <c r="E133"/>
      <c r="R133" s="27" t="s">
        <v>7</v>
      </c>
      <c r="S133" s="27" t="s">
        <v>8</v>
      </c>
      <c r="V133" s="31"/>
    </row>
    <row r="134" spans="1:50" x14ac:dyDescent="0.25">
      <c r="A134" s="30">
        <v>0.28966437973668741</v>
      </c>
      <c r="C134"/>
      <c r="D134"/>
      <c r="E134"/>
      <c r="R134" s="27" t="s">
        <v>7</v>
      </c>
      <c r="S134" s="27" t="s">
        <v>8</v>
      </c>
      <c r="U134" s="31"/>
    </row>
    <row r="135" spans="1:50" x14ac:dyDescent="0.25">
      <c r="A135" s="30">
        <v>0.2633312543060794</v>
      </c>
      <c r="C135" s="1" t="s">
        <v>14</v>
      </c>
      <c r="E135"/>
      <c r="R135" s="27" t="s">
        <v>7</v>
      </c>
      <c r="S135" s="27" t="s">
        <v>8</v>
      </c>
      <c r="T135" s="31"/>
    </row>
    <row r="136" spans="1:5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R136" s="27" t="s">
        <v>7</v>
      </c>
      <c r="S136" s="31" t="s">
        <v>8</v>
      </c>
    </row>
    <row r="137" spans="1:50" x14ac:dyDescent="0.25">
      <c r="A137" s="30">
        <v>0.2176291357901482</v>
      </c>
      <c r="E137"/>
      <c r="R137" s="31" t="s">
        <v>7</v>
      </c>
    </row>
    <row r="138" spans="1:5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0" x14ac:dyDescent="0.25">
      <c r="A139" s="30">
        <v>0.17985878990921333</v>
      </c>
      <c r="E139"/>
    </row>
    <row r="140" spans="1:50" x14ac:dyDescent="0.25">
      <c r="A140" s="30">
        <v>0.16350799082655756</v>
      </c>
      <c r="C140" s="1">
        <v>0</v>
      </c>
      <c r="E140"/>
    </row>
    <row r="141" spans="1:50" x14ac:dyDescent="0.25">
      <c r="A141" s="30">
        <v>0.14864362802414322</v>
      </c>
      <c r="C141" s="1">
        <v>1</v>
      </c>
      <c r="E141"/>
    </row>
    <row r="142" spans="1:50" x14ac:dyDescent="0.25">
      <c r="A142" s="30">
        <v>0.13513057093103928</v>
      </c>
      <c r="C142" s="1">
        <v>2</v>
      </c>
      <c r="E142"/>
    </row>
    <row r="143" spans="1:50" x14ac:dyDescent="0.25">
      <c r="A143" s="30">
        <v>0.12284597357367205</v>
      </c>
      <c r="C143" s="1">
        <v>3</v>
      </c>
      <c r="E143"/>
    </row>
    <row r="144" spans="1:50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595" operator="equal">
      <formula>$U$1</formula>
    </cfRule>
    <cfRule type="cellIs" dxfId="30" priority="1596" operator="equal">
      <formula>$S$1</formula>
    </cfRule>
  </conditionalFormatting>
  <conditionalFormatting sqref="D136">
    <cfRule type="cellIs" dxfId="29" priority="1593" operator="equal">
      <formula>$S$1</formula>
    </cfRule>
    <cfRule type="cellIs" dxfId="28" priority="1594" operator="equal">
      <formula>$U$1</formula>
    </cfRule>
  </conditionalFormatting>
  <conditionalFormatting sqref="C102">
    <cfRule type="cellIs" dxfId="27" priority="1591" operator="equal">
      <formula>$U$1</formula>
    </cfRule>
    <cfRule type="cellIs" dxfId="26" priority="1592" operator="equal">
      <formula>$S$1</formula>
    </cfRule>
  </conditionalFormatting>
  <conditionalFormatting sqref="D102">
    <cfRule type="cellIs" dxfId="25" priority="1589" operator="equal">
      <formula>$S$1</formula>
    </cfRule>
    <cfRule type="cellIs" dxfId="24" priority="1590" operator="equal">
      <formula>$U$1</formula>
    </cfRule>
  </conditionalFormatting>
  <conditionalFormatting sqref="C77">
    <cfRule type="cellIs" dxfId="23" priority="1587" operator="equal">
      <formula>$U$1</formula>
    </cfRule>
    <cfRule type="cellIs" dxfId="22" priority="1588" operator="equal">
      <formula>$S$1</formula>
    </cfRule>
  </conditionalFormatting>
  <conditionalFormatting sqref="D77">
    <cfRule type="cellIs" dxfId="21" priority="1585" operator="equal">
      <formula>$S$1</formula>
    </cfRule>
    <cfRule type="cellIs" dxfId="20" priority="1586" operator="equal">
      <formula>$U$1</formula>
    </cfRule>
  </conditionalFormatting>
  <conditionalFormatting sqref="C52">
    <cfRule type="cellIs" dxfId="19" priority="1583" operator="equal">
      <formula>$U$1</formula>
    </cfRule>
    <cfRule type="cellIs" dxfId="18" priority="1584" operator="equal">
      <formula>$S$1</formula>
    </cfRule>
  </conditionalFormatting>
  <conditionalFormatting sqref="D52">
    <cfRule type="cellIs" dxfId="17" priority="1581" operator="equal">
      <formula>$S$1</formula>
    </cfRule>
    <cfRule type="cellIs" dxfId="16" priority="1582" operator="equal">
      <formula>$U$1</formula>
    </cfRule>
  </conditionalFormatting>
  <conditionalFormatting sqref="C26">
    <cfRule type="cellIs" dxfId="15" priority="1579" operator="equal">
      <formula>$U$1</formula>
    </cfRule>
    <cfRule type="cellIs" dxfId="14" priority="1580" operator="equal">
      <formula>$S$1</formula>
    </cfRule>
  </conditionalFormatting>
  <conditionalFormatting sqref="D26">
    <cfRule type="cellIs" dxfId="13" priority="1577" operator="equal">
      <formula>$S$1</formula>
    </cfRule>
    <cfRule type="cellIs" dxfId="12" priority="1578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3" sqref="G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0.53032135064529184</v>
      </c>
      <c r="F3" s="30">
        <v>0.58467928908643485</v>
      </c>
      <c r="G3" s="30">
        <v>1.1576249999999999</v>
      </c>
      <c r="H3" s="25">
        <f>IF(G3="","",(3*(G3-F3))+E3)</f>
        <v>2.2491584833859868</v>
      </c>
      <c r="I3" s="7"/>
      <c r="J3" s="7">
        <f>(E3+G3)/2</f>
        <v>0.84397317532264582</v>
      </c>
      <c r="K3" s="7">
        <f>H3/2</f>
        <v>1.1245792416929934</v>
      </c>
      <c r="M3" s="26">
        <f>IF(OR(J3="",H3=""),"",H3/J3)</f>
        <v>2.6649644196643418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2022-01-28T01:19:53Z</dcterms:modified>
</cp:coreProperties>
</file>