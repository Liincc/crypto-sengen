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32CE292-C581-4455-96F3-83A9B5FB9C1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J4" i="6"/>
  <c r="J24" i="6"/>
  <c r="K24" i="6"/>
  <c r="J25" i="6"/>
  <c r="K25" i="6"/>
  <c r="K4" i="6"/>
  <c r="J5" i="6"/>
  <c r="K5" i="6"/>
  <c r="J6" i="6"/>
  <c r="K6" i="6"/>
  <c r="J7" i="6"/>
  <c r="K7" i="6"/>
  <c r="J8" i="6"/>
  <c r="K8" i="6"/>
  <c r="J9" i="6"/>
  <c r="K9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8" i="4"/>
  <c r="C122" i="4"/>
  <c r="C133" i="4" s="1"/>
  <c r="D136" i="4" s="1"/>
  <c r="C122" i="3"/>
  <c r="C133" i="3" s="1"/>
  <c r="C136" i="3" s="1"/>
  <c r="C116" i="3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<sst xmlns="http://schemas.openxmlformats.org/spreadsheetml/2006/main" count="6147" uniqueCount="34">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</sst>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0.38140000000000002</c:v>
                </c:pt>
                <c:pt idx="1">
                  <c:v>0.39050000000000001</c:v>
                </c:pt>
                <c:pt idx="2">
                  <c:v>0.3977</c:v>
                </c:pt>
                <c:pt idx="3">
                  <c:v>0.38150000000000001</c:v>
                </c:pt>
                <c:pt idx="4">
                  <c:v>0.40970000000000001</c:v>
                </c:pt>
                <c:pt idx="5">
                  <c:v>0.39679999999999999</c:v>
                </c:pt>
                <c:pt idx="6">
                  <c:v>0.42499999999999999</c:v>
                </c:pt>
                <c:pt idx="7">
                  <c:v>0.49309999999999998</c:v>
                </c:pt>
                <c:pt idx="8">
                  <c:v>0.51680000000000004</c:v>
                </c:pt>
                <c:pt idx="9">
                  <c:v>0.53939999999999999</c:v>
                </c:pt>
                <c:pt idx="10">
                  <c:v>0.54469999999999996</c:v>
                </c:pt>
                <c:pt idx="11">
                  <c:v>0.57599999999999996</c:v>
                </c:pt>
                <c:pt idx="12">
                  <c:v>0.58650000000000002</c:v>
                </c:pt>
                <c:pt idx="13">
                  <c:v>0.56230000000000002</c:v>
                </c:pt>
                <c:pt idx="14">
                  <c:v>0.56310000000000004</c:v>
                </c:pt>
                <c:pt idx="15">
                  <c:v>0.59440000000000004</c:v>
                </c:pt>
                <c:pt idx="16">
                  <c:v>0.54090000000000005</c:v>
                </c:pt>
                <c:pt idx="17">
                  <c:v>0.51180000000000003</c:v>
                </c:pt>
                <c:pt idx="18">
                  <c:v>0.5454</c:v>
                </c:pt>
                <c:pt idx="19">
                  <c:v>0.52229999999999999</c:v>
                </c:pt>
                <c:pt idx="20">
                  <c:v>0.5514</c:v>
                </c:pt>
                <c:pt idx="21">
                  <c:v>0.60240000000000005</c:v>
                </c:pt>
                <c:pt idx="22">
                  <c:v>0.62760000000000005</c:v>
                </c:pt>
                <c:pt idx="23">
                  <c:v>0.69810000000000005</c:v>
                </c:pt>
                <c:pt idx="24">
                  <c:v>0.70189999999999997</c:v>
                </c:pt>
                <c:pt idx="25">
                  <c:v>0.69779999999999998</c:v>
                </c:pt>
                <c:pt idx="26">
                  <c:v>0.69950000000000001</c:v>
                </c:pt>
                <c:pt idx="27">
                  <c:v>0.65900000000000003</c:v>
                </c:pt>
                <c:pt idx="28">
                  <c:v>0.6895</c:v>
                </c:pt>
                <c:pt idx="29">
                  <c:v>0.6835</c:v>
                </c:pt>
                <c:pt idx="30">
                  <c:v>0.71260000000000001</c:v>
                </c:pt>
                <c:pt idx="31">
                  <c:v>0.77500000000000002</c:v>
                </c:pt>
                <c:pt idx="32">
                  <c:v>0.75</c:v>
                </c:pt>
                <c:pt idx="33">
                  <c:v>0.76439999999999997</c:v>
                </c:pt>
                <c:pt idx="34">
                  <c:v>0.74329999999999996</c:v>
                </c:pt>
                <c:pt idx="35">
                  <c:v>0.77769999999999995</c:v>
                </c:pt>
                <c:pt idx="36">
                  <c:v>0.72840000000000005</c:v>
                </c:pt>
                <c:pt idx="37">
                  <c:v>0.70379999999999998</c:v>
                </c:pt>
                <c:pt idx="38">
                  <c:v>0.6663</c:v>
                </c:pt>
                <c:pt idx="39">
                  <c:v>0.68169999999999997</c:v>
                </c:pt>
                <c:pt idx="40">
                  <c:v>0.68010000000000004</c:v>
                </c:pt>
                <c:pt idx="41">
                  <c:v>0.65339999999999998</c:v>
                </c:pt>
                <c:pt idx="42">
                  <c:v>0.66639999999999999</c:v>
                </c:pt>
                <c:pt idx="43">
                  <c:v>0.68530000000000002</c:v>
                </c:pt>
                <c:pt idx="44">
                  <c:v>0.66559999999999997</c:v>
                </c:pt>
                <c:pt idx="45">
                  <c:v>0.64800000000000002</c:v>
                </c:pt>
                <c:pt idx="46">
                  <c:v>0.74099999999999999</c:v>
                </c:pt>
                <c:pt idx="47">
                  <c:v>0.73199999999999998</c:v>
                </c:pt>
                <c:pt idx="48">
                  <c:v>0.72270000000000001</c:v>
                </c:pt>
                <c:pt idx="49">
                  <c:v>0.75670000000000004</c:v>
                </c:pt>
                <c:pt idx="50">
                  <c:v>0.84099999999999997</c:v>
                </c:pt>
                <c:pt idx="51">
                  <c:v>0.84219999999999995</c:v>
                </c:pt>
                <c:pt idx="52">
                  <c:v>0.7611</c:v>
                </c:pt>
                <c:pt idx="53">
                  <c:v>0.755</c:v>
                </c:pt>
                <c:pt idx="54">
                  <c:v>0.82699999999999996</c:v>
                </c:pt>
                <c:pt idx="55">
                  <c:v>0.98260000000000003</c:v>
                </c:pt>
                <c:pt idx="56">
                  <c:v>0.94479999999999997</c:v>
                </c:pt>
                <c:pt idx="57">
                  <c:v>0.9486</c:v>
                </c:pt>
                <c:pt idx="58">
                  <c:v>0.93969999999999998</c:v>
                </c:pt>
                <c:pt idx="59">
                  <c:v>0.95340000000000003</c:v>
                </c:pt>
                <c:pt idx="60">
                  <c:v>0.9304</c:v>
                </c:pt>
                <c:pt idx="61">
                  <c:v>0.91749999999999998</c:v>
                </c:pt>
                <c:pt idx="62">
                  <c:v>0.86140000000000005</c:v>
                </c:pt>
                <c:pt idx="63">
                  <c:v>0.93330000000000002</c:v>
                </c:pt>
                <c:pt idx="64">
                  <c:v>0.91190000000000004</c:v>
                </c:pt>
                <c:pt idx="65">
                  <c:v>0.93720000000000003</c:v>
                </c:pt>
                <c:pt idx="66">
                  <c:v>0.92469999999999997</c:v>
                </c:pt>
                <c:pt idx="67">
                  <c:v>0.97589999999999999</c:v>
                </c:pt>
                <c:pt idx="68">
                  <c:v>1.0044</c:v>
                </c:pt>
                <c:pt idx="69">
                  <c:v>0.93720000000000003</c:v>
                </c:pt>
                <c:pt idx="70">
                  <c:v>0.88980000000000004</c:v>
                </c:pt>
                <c:pt idx="71">
                  <c:v>1.0024</c:v>
                </c:pt>
                <c:pt idx="72">
                  <c:v>1.0143</c:v>
                </c:pt>
                <c:pt idx="73">
                  <c:v>1.1580999999999999</c:v>
                </c:pt>
                <c:pt idx="74">
                  <c:v>1.1611</c:v>
                </c:pt>
                <c:pt idx="75">
                  <c:v>1.1738999999999999</c:v>
                </c:pt>
                <c:pt idx="76">
                  <c:v>1.1882999999999999</c:v>
                </c:pt>
                <c:pt idx="77">
                  <c:v>1.1369</c:v>
                </c:pt>
                <c:pt idx="78">
                  <c:v>1.1003000000000001</c:v>
                </c:pt>
                <c:pt idx="79">
                  <c:v>1.1983999999999999</c:v>
                </c:pt>
                <c:pt idx="80">
                  <c:v>1.1880999999999999</c:v>
                </c:pt>
                <c:pt idx="81">
                  <c:v>1.1638999999999999</c:v>
                </c:pt>
                <c:pt idx="82">
                  <c:v>1.1321000000000001</c:v>
                </c:pt>
                <c:pt idx="83">
                  <c:v>1.1599999999999999</c:v>
                </c:pt>
                <c:pt idx="84">
                  <c:v>1.1907000000000001</c:v>
                </c:pt>
                <c:pt idx="85">
                  <c:v>1.1598999999999999</c:v>
                </c:pt>
                <c:pt idx="86">
                  <c:v>1.2050000000000001</c:v>
                </c:pt>
                <c:pt idx="87">
                  <c:v>1.0687</c:v>
                </c:pt>
                <c:pt idx="88">
                  <c:v>1.0210999999999999</c:v>
                </c:pt>
                <c:pt idx="89">
                  <c:v>1.0149999999999999</c:v>
                </c:pt>
                <c:pt idx="90">
                  <c:v>1.0415000000000001</c:v>
                </c:pt>
                <c:pt idx="91">
                  <c:v>1.004</c:v>
                </c:pt>
                <c:pt idx="92">
                  <c:v>0.95950000000000002</c:v>
                </c:pt>
                <c:pt idx="93">
                  <c:v>1.0933999999999999</c:v>
                </c:pt>
                <c:pt idx="94">
                  <c:v>1.0506</c:v>
                </c:pt>
                <c:pt idx="95">
                  <c:v>1.0134000000000001</c:v>
                </c:pt>
                <c:pt idx="96">
                  <c:v>1.0591999999999999</c:v>
                </c:pt>
                <c:pt idx="97">
                  <c:v>1.0576000000000001</c:v>
                </c:pt>
                <c:pt idx="98">
                  <c:v>1.0354000000000001</c:v>
                </c:pt>
                <c:pt idx="99">
                  <c:v>1.0567</c:v>
                </c:pt>
                <c:pt idx="100">
                  <c:v>1.0245</c:v>
                </c:pt>
                <c:pt idx="101">
                  <c:v>1.042</c:v>
                </c:pt>
                <c:pt idx="102">
                  <c:v>1.0182</c:v>
                </c:pt>
                <c:pt idx="103">
                  <c:v>1.0650999999999999</c:v>
                </c:pt>
                <c:pt idx="104">
                  <c:v>1.0305</c:v>
                </c:pt>
                <c:pt idx="105">
                  <c:v>1.0603</c:v>
                </c:pt>
                <c:pt idx="106">
                  <c:v>1.0315000000000001</c:v>
                </c:pt>
                <c:pt idx="107">
                  <c:v>0.97109999999999996</c:v>
                </c:pt>
                <c:pt idx="108">
                  <c:v>0.96460000000000001</c:v>
                </c:pt>
                <c:pt idx="109">
                  <c:v>0.96040000000000003</c:v>
                </c:pt>
                <c:pt idx="110">
                  <c:v>1.0356000000000001</c:v>
                </c:pt>
                <c:pt idx="111">
                  <c:v>1.0563</c:v>
                </c:pt>
                <c:pt idx="112">
                  <c:v>1.0793999999999999</c:v>
                </c:pt>
                <c:pt idx="113">
                  <c:v>1.0437000000000001</c:v>
                </c:pt>
                <c:pt idx="114">
                  <c:v>1.0389999999999999</c:v>
                </c:pt>
                <c:pt idx="115">
                  <c:v>1.0092000000000001</c:v>
                </c:pt>
                <c:pt idx="116">
                  <c:v>0.98929999999999996</c:v>
                </c:pt>
                <c:pt idx="117">
                  <c:v>0.98699999999999999</c:v>
                </c:pt>
                <c:pt idx="118">
                  <c:v>0.95109999999999995</c:v>
                </c:pt>
                <c:pt idx="119">
                  <c:v>0.86629999999999996</c:v>
                </c:pt>
                <c:pt idx="120">
                  <c:v>0.82969999999999999</c:v>
                </c:pt>
                <c:pt idx="121">
                  <c:v>0.78959999999999997</c:v>
                </c:pt>
                <c:pt idx="122">
                  <c:v>0.82220000000000004</c:v>
                </c:pt>
                <c:pt idx="123">
                  <c:v>0.85029999999999994</c:v>
                </c:pt>
                <c:pt idx="124">
                  <c:v>0.85089999999999999</c:v>
                </c:pt>
                <c:pt idx="125">
                  <c:v>0.87109999999999999</c:v>
                </c:pt>
                <c:pt idx="126">
                  <c:v>0.95579999999999998</c:v>
                </c:pt>
                <c:pt idx="127">
                  <c:v>0.92459999999999998</c:v>
                </c:pt>
                <c:pt idx="128">
                  <c:v>0.80779999999999996</c:v>
                </c:pt>
                <c:pt idx="129">
                  <c:v>0.96789999999999998</c:v>
                </c:pt>
                <c:pt idx="130">
                  <c:v>1.0683</c:v>
                </c:pt>
                <c:pt idx="131">
                  <c:v>1.0996999999999999</c:v>
                </c:pt>
                <c:pt idx="132">
                  <c:v>1.1171</c:v>
                </c:pt>
                <c:pt idx="133">
                  <c:v>1.1889000000000001</c:v>
                </c:pt>
                <c:pt idx="134">
                  <c:v>1.2201</c:v>
                </c:pt>
                <c:pt idx="135">
                  <c:v>1.1715</c:v>
                </c:pt>
                <c:pt idx="136">
                  <c:v>1.0697000000000001</c:v>
                </c:pt>
                <c:pt idx="137">
                  <c:v>1.1202000000000001</c:v>
                </c:pt>
                <c:pt idx="138">
                  <c:v>1.0781000000000001</c:v>
                </c:pt>
                <c:pt idx="139">
                  <c:v>1.0984</c:v>
                </c:pt>
                <c:pt idx="140">
                  <c:v>1.1693</c:v>
                </c:pt>
                <c:pt idx="141">
                  <c:v>1.1287</c:v>
                </c:pt>
                <c:pt idx="142">
                  <c:v>1.1476</c:v>
                </c:pt>
                <c:pt idx="143">
                  <c:v>1.4074</c:v>
                </c:pt>
                <c:pt idx="144">
                  <c:v>1.3871</c:v>
                </c:pt>
                <c:pt idx="145">
                  <c:v>1.3358000000000001</c:v>
                </c:pt>
                <c:pt idx="146">
                  <c:v>1.3847</c:v>
                </c:pt>
                <c:pt idx="147">
                  <c:v>1.3561000000000001</c:v>
                </c:pt>
                <c:pt idx="148">
                  <c:v>1.3160000000000001</c:v>
                </c:pt>
                <c:pt idx="149">
                  <c:v>1.2221</c:v>
                </c:pt>
                <c:pt idx="150">
                  <c:v>1.0939000000000001</c:v>
                </c:pt>
                <c:pt idx="151">
                  <c:v>1.0926</c:v>
                </c:pt>
                <c:pt idx="152">
                  <c:v>1.0911999999999999</c:v>
                </c:pt>
                <c:pt idx="153">
                  <c:v>1.1317999999999999</c:v>
                </c:pt>
                <c:pt idx="154">
                  <c:v>1.0674999999999999</c:v>
                </c:pt>
                <c:pt idx="155">
                  <c:v>1.1695</c:v>
                </c:pt>
                <c:pt idx="156">
                  <c:v>1.1596</c:v>
                </c:pt>
                <c:pt idx="157">
                  <c:v>1.1319999999999999</c:v>
                </c:pt>
                <c:pt idx="158">
                  <c:v>1.0014000000000001</c:v>
                </c:pt>
                <c:pt idx="159">
                  <c:v>0.98309999999999997</c:v>
                </c:pt>
                <c:pt idx="160">
                  <c:v>1.0321</c:v>
                </c:pt>
                <c:pt idx="161">
                  <c:v>0.92059999999999997</c:v>
                </c:pt>
                <c:pt idx="162">
                  <c:v>0.88919999999999999</c:v>
                </c:pt>
                <c:pt idx="163">
                  <c:v>0.90769999999999995</c:v>
                </c:pt>
                <c:pt idx="164">
                  <c:v>0.95879999999999999</c:v>
                </c:pt>
                <c:pt idx="165">
                  <c:v>1.0168999999999999</c:v>
                </c:pt>
                <c:pt idx="166">
                  <c:v>0.9879</c:v>
                </c:pt>
                <c:pt idx="167">
                  <c:v>1.0276000000000001</c:v>
                </c:pt>
                <c:pt idx="168">
                  <c:v>0.95230000000000004</c:v>
                </c:pt>
                <c:pt idx="169">
                  <c:v>0.99480000000000002</c:v>
                </c:pt>
                <c:pt idx="170">
                  <c:v>0.92979999999999996</c:v>
                </c:pt>
                <c:pt idx="171">
                  <c:v>0.96009999999999995</c:v>
                </c:pt>
                <c:pt idx="172">
                  <c:v>0.86580000000000001</c:v>
                </c:pt>
                <c:pt idx="173">
                  <c:v>0.9355</c:v>
                </c:pt>
                <c:pt idx="174">
                  <c:v>0.80020000000000002</c:v>
                </c:pt>
                <c:pt idx="175">
                  <c:v>0.81299999999999994</c:v>
                </c:pt>
                <c:pt idx="176">
                  <c:v>0.747</c:v>
                </c:pt>
                <c:pt idx="177">
                  <c:v>0.65269999999999995</c:v>
                </c:pt>
                <c:pt idx="178">
                  <c:v>0.67530000000000001</c:v>
                </c:pt>
                <c:pt idx="179">
                  <c:v>0.67589999999999995</c:v>
                </c:pt>
                <c:pt idx="180">
                  <c:v>0.63549999999999995</c:v>
                </c:pt>
                <c:pt idx="181">
                  <c:v>0.63849999999999996</c:v>
                </c:pt>
                <c:pt idx="182">
                  <c:v>0.61939999999999995</c:v>
                </c:pt>
                <c:pt idx="183">
                  <c:v>0.59789999999999999</c:v>
                </c:pt>
                <c:pt idx="184">
                  <c:v>0.60640000000000005</c:v>
                </c:pt>
                <c:pt idx="185">
                  <c:v>0.6069</c:v>
                </c:pt>
                <c:pt idx="186">
                  <c:v>0.59830000000000005</c:v>
                </c:pt>
                <c:pt idx="187">
                  <c:v>0.5978</c:v>
                </c:pt>
                <c:pt idx="188">
                  <c:v>0.56459999999999999</c:v>
                </c:pt>
                <c:pt idx="189">
                  <c:v>0.56079999999999997</c:v>
                </c:pt>
                <c:pt idx="190">
                  <c:v>0.54620000000000002</c:v>
                </c:pt>
                <c:pt idx="191">
                  <c:v>0.49709999999999999</c:v>
                </c:pt>
                <c:pt idx="192">
                  <c:v>0.46760000000000002</c:v>
                </c:pt>
                <c:pt idx="193">
                  <c:v>0.51529999999999998</c:v>
                </c:pt>
                <c:pt idx="194">
                  <c:v>0.51290000000000002</c:v>
                </c:pt>
                <c:pt idx="195">
                  <c:v>0.53359999999999996</c:v>
                </c:pt>
                <c:pt idx="196">
                  <c:v>0.56599999999999995</c:v>
                </c:pt>
                <c:pt idx="197">
                  <c:v>0.6139</c:v>
                </c:pt>
                <c:pt idx="198">
                  <c:v>0.66959999999999997</c:v>
                </c:pt>
                <c:pt idx="199">
                  <c:v>0.74770000000000003</c:v>
                </c:pt>
                <c:pt idx="200">
                  <c:v>0.76900000000000002</c:v>
                </c:pt>
                <c:pt idx="201">
                  <c:v>0.75280000000000002</c:v>
                </c:pt>
                <c:pt idx="202">
                  <c:v>0.73950000000000005</c:v>
                </c:pt>
                <c:pt idx="203">
                  <c:v>0.73870000000000002</c:v>
                </c:pt>
                <c:pt idx="204">
                  <c:v>0.91020000000000001</c:v>
                </c:pt>
                <c:pt idx="205">
                  <c:v>0.7873</c:v>
                </c:pt>
                <c:pt idx="206">
                  <c:v>0.60680000000000001</c:v>
                </c:pt>
                <c:pt idx="207">
                  <c:v>0.53029999999999999</c:v>
                </c:pt>
                <c:pt idx="208">
                  <c:v>0.45910000000000001</c:v>
                </c:pt>
                <c:pt idx="209">
                  <c:v>0.44450000000000001</c:v>
                </c:pt>
                <c:pt idx="210">
                  <c:v>0.43519999999999998</c:v>
                </c:pt>
                <c:pt idx="211">
                  <c:v>0.48449999999999999</c:v>
                </c:pt>
                <c:pt idx="212">
                  <c:v>0.47420000000000001</c:v>
                </c:pt>
                <c:pt idx="213">
                  <c:v>0.42080000000000001</c:v>
                </c:pt>
                <c:pt idx="214">
                  <c:v>0.38550000000000001</c:v>
                </c:pt>
                <c:pt idx="215">
                  <c:v>0.35870000000000002</c:v>
                </c:pt>
                <c:pt idx="216">
                  <c:v>0.35299999999999998</c:v>
                </c:pt>
                <c:pt idx="217">
                  <c:v>0.3957</c:v>
                </c:pt>
                <c:pt idx="218">
                  <c:v>0.3735</c:v>
                </c:pt>
                <c:pt idx="219">
                  <c:v>0.33500000000000002</c:v>
                </c:pt>
                <c:pt idx="220">
                  <c:v>0.39300000000000002</c:v>
                </c:pt>
                <c:pt idx="221">
                  <c:v>0.53739999999999999</c:v>
                </c:pt>
                <c:pt idx="222">
                  <c:v>0.53680000000000005</c:v>
                </c:pt>
                <c:pt idx="223">
                  <c:v>0.5585</c:v>
                </c:pt>
                <c:pt idx="224">
                  <c:v>0.59830000000000005</c:v>
                </c:pt>
                <c:pt idx="225">
                  <c:v>0.59119999999999995</c:v>
                </c:pt>
                <c:pt idx="226">
                  <c:v>0.63939999999999997</c:v>
                </c:pt>
                <c:pt idx="227">
                  <c:v>0.62539999999999996</c:v>
                </c:pt>
                <c:pt idx="228">
                  <c:v>0.61229999999999996</c:v>
                </c:pt>
                <c:pt idx="229">
                  <c:v>0.58020000000000005</c:v>
                </c:pt>
                <c:pt idx="230">
                  <c:v>0.59140000000000004</c:v>
                </c:pt>
                <c:pt idx="231">
                  <c:v>0.66069999999999995</c:v>
                </c:pt>
                <c:pt idx="232">
                  <c:v>0.72809999999999997</c:v>
                </c:pt>
                <c:pt idx="233">
                  <c:v>0.67520000000000002</c:v>
                </c:pt>
                <c:pt idx="234">
                  <c:v>0.70469999999999999</c:v>
                </c:pt>
                <c:pt idx="235">
                  <c:v>0.79090000000000005</c:v>
                </c:pt>
                <c:pt idx="236">
                  <c:v>0.77649999999999997</c:v>
                </c:pt>
                <c:pt idx="237">
                  <c:v>0.82289999999999996</c:v>
                </c:pt>
                <c:pt idx="238">
                  <c:v>0.92579999999999996</c:v>
                </c:pt>
                <c:pt idx="239">
                  <c:v>0.83509999999999995</c:v>
                </c:pt>
                <c:pt idx="240">
                  <c:v>0.82389999999999997</c:v>
                </c:pt>
                <c:pt idx="241">
                  <c:v>0.86739999999999995</c:v>
                </c:pt>
                <c:pt idx="242">
                  <c:v>0.75270000000000004</c:v>
                </c:pt>
                <c:pt idx="243">
                  <c:v>0.70179999999999998</c:v>
                </c:pt>
                <c:pt idx="244">
                  <c:v>0.76900000000000002</c:v>
                </c:pt>
                <c:pt idx="245">
                  <c:v>0.89590000000000003</c:v>
                </c:pt>
                <c:pt idx="246">
                  <c:v>0.96799999999999997</c:v>
                </c:pt>
                <c:pt idx="247">
                  <c:v>0.85429999999999995</c:v>
                </c:pt>
                <c:pt idx="248">
                  <c:v>0.93369999999999997</c:v>
                </c:pt>
                <c:pt idx="249">
                  <c:v>0.6512</c:v>
                </c:pt>
                <c:pt idx="250">
                  <c:v>0.8831</c:v>
                </c:pt>
                <c:pt idx="251">
                  <c:v>1.0490999999999999</c:v>
                </c:pt>
                <c:pt idx="252">
                  <c:v>1.3126</c:v>
                </c:pt>
                <c:pt idx="253">
                  <c:v>1.1440999999999999</c:v>
                </c:pt>
                <c:pt idx="254">
                  <c:v>1.8878999999999999</c:v>
                </c:pt>
                <c:pt idx="255">
                  <c:v>1.7803</c:v>
                </c:pt>
                <c:pt idx="256">
                  <c:v>1.8944000000000001</c:v>
                </c:pt>
                <c:pt idx="257">
                  <c:v>1.9433</c:v>
                </c:pt>
                <c:pt idx="258">
                  <c:v>2.2166000000000001</c:v>
                </c:pt>
                <c:pt idx="259">
                  <c:v>2.2366999999999999</c:v>
                </c:pt>
                <c:pt idx="260">
                  <c:v>1.8081</c:v>
                </c:pt>
                <c:pt idx="261">
                  <c:v>1.8798999999999999</c:v>
                </c:pt>
                <c:pt idx="262">
                  <c:v>1.6661999999999999</c:v>
                </c:pt>
                <c:pt idx="263">
                  <c:v>1.8809</c:v>
                </c:pt>
                <c:pt idx="264">
                  <c:v>1.8754999999999999</c:v>
                </c:pt>
                <c:pt idx="265">
                  <c:v>1.9436</c:v>
                </c:pt>
                <c:pt idx="266">
                  <c:v>1.9289000000000001</c:v>
                </c:pt>
                <c:pt idx="267">
                  <c:v>1.9877</c:v>
                </c:pt>
                <c:pt idx="268">
                  <c:v>1.8606</c:v>
                </c:pt>
                <c:pt idx="269">
                  <c:v>2.177</c:v>
                </c:pt>
                <c:pt idx="270">
                  <c:v>1.9732000000000001</c:v>
                </c:pt>
                <c:pt idx="271">
                  <c:v>2.0428999999999999</c:v>
                </c:pt>
                <c:pt idx="272">
                  <c:v>1.9334</c:v>
                </c:pt>
                <c:pt idx="273">
                  <c:v>1.6072</c:v>
                </c:pt>
                <c:pt idx="274">
                  <c:v>1.4322999999999999</c:v>
                </c:pt>
                <c:pt idx="275">
                  <c:v>1.4483999999999999</c:v>
                </c:pt>
                <c:pt idx="276">
                  <c:v>1.3348</c:v>
                </c:pt>
                <c:pt idx="277">
                  <c:v>1.2150000000000001</c:v>
                </c:pt>
                <c:pt idx="278">
                  <c:v>1.23258</c:v>
                </c:pt>
                <c:pt idx="279">
                  <c:v>1.37317</c:v>
                </c:pt>
                <c:pt idx="280">
                  <c:v>1.3622000000000001</c:v>
                </c:pt>
                <c:pt idx="281">
                  <c:v>1.52061</c:v>
                </c:pt>
                <c:pt idx="282">
                  <c:v>1.35873</c:v>
                </c:pt>
                <c:pt idx="283">
                  <c:v>1.2740899999999999</c:v>
                </c:pt>
                <c:pt idx="284">
                  <c:v>1.4735400000000001</c:v>
                </c:pt>
                <c:pt idx="285">
                  <c:v>1.67343</c:v>
                </c:pt>
                <c:pt idx="286">
                  <c:v>1.62605</c:v>
                </c:pt>
                <c:pt idx="287">
                  <c:v>1.6601999999999999</c:v>
                </c:pt>
                <c:pt idx="288">
                  <c:v>1.61111</c:v>
                </c:pt>
                <c:pt idx="289">
                  <c:v>1.5308299999999999</c:v>
                </c:pt>
                <c:pt idx="290">
                  <c:v>1.6328</c:v>
                </c:pt>
                <c:pt idx="291">
                  <c:v>1.5707800000000001</c:v>
                </c:pt>
                <c:pt idx="292">
                  <c:v>1.585</c:v>
                </c:pt>
                <c:pt idx="293">
                  <c:v>1.68727</c:v>
                </c:pt>
                <c:pt idx="294">
                  <c:v>1.7501</c:v>
                </c:pt>
                <c:pt idx="295">
                  <c:v>1.73454</c:v>
                </c:pt>
                <c:pt idx="296">
                  <c:v>1.96</c:v>
                </c:pt>
                <c:pt idx="297">
                  <c:v>1.90848</c:v>
                </c:pt>
                <c:pt idx="298">
                  <c:v>1.9129</c:v>
                </c:pt>
                <c:pt idx="299">
                  <c:v>1.8093999999999999</c:v>
                </c:pt>
                <c:pt idx="300">
                  <c:v>1.8567400000000001</c:v>
                </c:pt>
                <c:pt idx="301">
                  <c:v>1.79772</c:v>
                </c:pt>
                <c:pt idx="302">
                  <c:v>1.74207</c:v>
                </c:pt>
                <c:pt idx="303">
                  <c:v>1.8357600000000001</c:v>
                </c:pt>
                <c:pt idx="304">
                  <c:v>1.83917</c:v>
                </c:pt>
                <c:pt idx="305">
                  <c:v>1.8003</c:v>
                </c:pt>
                <c:pt idx="306">
                  <c:v>1.8546499999999999</c:v>
                </c:pt>
                <c:pt idx="307">
                  <c:v>1.9343399999999999</c:v>
                </c:pt>
                <c:pt idx="308">
                  <c:v>1.6361000000000001</c:v>
                </c:pt>
                <c:pt idx="309">
                  <c:v>1.79494</c:v>
                </c:pt>
                <c:pt idx="310">
                  <c:v>2.1349200000000002</c:v>
                </c:pt>
                <c:pt idx="311">
                  <c:v>1.6850000000000001</c:v>
                </c:pt>
                <c:pt idx="312">
                  <c:v>1.74637</c:v>
                </c:pt>
                <c:pt idx="313">
                  <c:v>1.8528</c:v>
                </c:pt>
                <c:pt idx="314">
                  <c:v>1.7569600000000001</c:v>
                </c:pt>
                <c:pt idx="315">
                  <c:v>1.73237</c:v>
                </c:pt>
                <c:pt idx="316">
                  <c:v>1.8121499999999999</c:v>
                </c:pt>
                <c:pt idx="317">
                  <c:v>1.661</c:v>
                </c:pt>
                <c:pt idx="318">
                  <c:v>1.6493100000000001</c:v>
                </c:pt>
                <c:pt idx="319">
                  <c:v>1.50275</c:v>
                </c:pt>
                <c:pt idx="320">
                  <c:v>1.54101</c:v>
                </c:pt>
                <c:pt idx="321">
                  <c:v>1.48935</c:v>
                </c:pt>
                <c:pt idx="322">
                  <c:v>1.6</c:v>
                </c:pt>
                <c:pt idx="323">
                  <c:v>1.6234</c:v>
                </c:pt>
                <c:pt idx="324">
                  <c:v>1.84355</c:v>
                </c:pt>
                <c:pt idx="325">
                  <c:v>1.62222</c:v>
                </c:pt>
                <c:pt idx="326">
                  <c:v>1.6855</c:v>
                </c:pt>
                <c:pt idx="327">
                  <c:v>1.70547</c:v>
                </c:pt>
                <c:pt idx="328">
                  <c:v>1.8265</c:v>
                </c:pt>
                <c:pt idx="329">
                  <c:v>1.7170700000000001</c:v>
                </c:pt>
                <c:pt idx="330">
                  <c:v>1.83474</c:v>
                </c:pt>
                <c:pt idx="331">
                  <c:v>1.5160499999999999</c:v>
                </c:pt>
                <c:pt idx="332">
                  <c:v>1.57521</c:v>
                </c:pt>
                <c:pt idx="333">
                  <c:v>1.2446200000000001</c:v>
                </c:pt>
                <c:pt idx="334">
                  <c:v>1.21777</c:v>
                </c:pt>
                <c:pt idx="335">
                  <c:v>1.2800499999999999</c:v>
                </c:pt>
                <c:pt idx="336">
                  <c:v>1.40317</c:v>
                </c:pt>
                <c:pt idx="337">
                  <c:v>1.5172300000000001</c:v>
                </c:pt>
                <c:pt idx="338">
                  <c:v>1.2344200000000001</c:v>
                </c:pt>
                <c:pt idx="339">
                  <c:v>1.47126</c:v>
                </c:pt>
                <c:pt idx="340">
                  <c:v>1.6012299999999999</c:v>
                </c:pt>
                <c:pt idx="341">
                  <c:v>1.58083</c:v>
                </c:pt>
                <c:pt idx="342">
                  <c:v>1.55484</c:v>
                </c:pt>
                <c:pt idx="343">
                  <c:v>1.6282000000000001</c:v>
                </c:pt>
                <c:pt idx="344">
                  <c:v>1.68164</c:v>
                </c:pt>
                <c:pt idx="345">
                  <c:v>1.5999699999999999</c:v>
                </c:pt>
                <c:pt idx="346">
                  <c:v>1.6002000000000001</c:v>
                </c:pt>
                <c:pt idx="347">
                  <c:v>1.67327</c:v>
                </c:pt>
                <c:pt idx="348">
                  <c:v>1.8629800000000001</c:v>
                </c:pt>
                <c:pt idx="349">
                  <c:v>2.15998</c:v>
                </c:pt>
                <c:pt idx="350">
                  <c:v>2.1277499999999998</c:v>
                </c:pt>
                <c:pt idx="351">
                  <c:v>2.1840899999999999</c:v>
                </c:pt>
                <c:pt idx="352">
                  <c:v>2.0998399999999999</c:v>
                </c:pt>
                <c:pt idx="353">
                  <c:v>2.2495699999999998</c:v>
                </c:pt>
                <c:pt idx="354">
                  <c:v>2.2341700000000002</c:v>
                </c:pt>
                <c:pt idx="355">
                  <c:v>2.4336700000000002</c:v>
                </c:pt>
                <c:pt idx="356">
                  <c:v>2.6223299999999998</c:v>
                </c:pt>
                <c:pt idx="357">
                  <c:v>2.3098900000000002</c:v>
                </c:pt>
                <c:pt idx="358">
                  <c:v>2.11381</c:v>
                </c:pt>
                <c:pt idx="359">
                  <c:v>1.9200699999999999</c:v>
                </c:pt>
                <c:pt idx="360">
                  <c:v>2.0716700000000001</c:v>
                </c:pt>
                <c:pt idx="361">
                  <c:v>2.0479099999999999</c:v>
                </c:pt>
                <c:pt idx="362">
                  <c:v>2.15361</c:v>
                </c:pt>
                <c:pt idx="363">
                  <c:v>2.1145</c:v>
                </c:pt>
                <c:pt idx="364">
                  <c:v>1.6476500000000001</c:v>
                </c:pt>
                <c:pt idx="365">
                  <c:v>1.46861</c:v>
                </c:pt>
                <c:pt idx="366">
                  <c:v>1.431</c:v>
                </c:pt>
                <c:pt idx="367">
                  <c:v>0.93689</c:v>
                </c:pt>
                <c:pt idx="368">
                  <c:v>1.0880099999999999</c:v>
                </c:pt>
                <c:pt idx="369">
                  <c:v>0.90800000000000003</c:v>
                </c:pt>
                <c:pt idx="370">
                  <c:v>0.79913999999999996</c:v>
                </c:pt>
                <c:pt idx="371">
                  <c:v>0.64681</c:v>
                </c:pt>
                <c:pt idx="372">
                  <c:v>0.71594999999999998</c:v>
                </c:pt>
                <c:pt idx="373">
                  <c:v>0.57655000000000001</c:v>
                </c:pt>
                <c:pt idx="374">
                  <c:v>0.54437000000000002</c:v>
                </c:pt>
                <c:pt idx="375">
                  <c:v>0.48935000000000001</c:v>
                </c:pt>
                <c:pt idx="376">
                  <c:v>0.47283999999999998</c:v>
                </c:pt>
                <c:pt idx="377">
                  <c:v>0.43563000000000002</c:v>
                </c:pt>
                <c:pt idx="378">
                  <c:v>0.43720999999999999</c:v>
                </c:pt>
                <c:pt idx="379">
                  <c:v>0.45904</c:v>
                </c:pt>
                <c:pt idx="380">
                  <c:v>0.38667000000000001</c:v>
                </c:pt>
                <c:pt idx="381">
                  <c:v>0.35347000000000001</c:v>
                </c:pt>
                <c:pt idx="382">
                  <c:v>0.41865999999999998</c:v>
                </c:pt>
                <c:pt idx="383">
                  <c:v>0.45532</c:v>
                </c:pt>
                <c:pt idx="384">
                  <c:v>0.38349</c:v>
                </c:pt>
                <c:pt idx="385">
                  <c:v>0.41643999999999998</c:v>
                </c:pt>
                <c:pt idx="386">
                  <c:v>0.29644999999999999</c:v>
                </c:pt>
                <c:pt idx="387">
                  <c:v>0.28649999999999998</c:v>
                </c:pt>
                <c:pt idx="388">
                  <c:v>0.25723000000000001</c:v>
                </c:pt>
                <c:pt idx="389">
                  <c:v>0.28686</c:v>
                </c:pt>
                <c:pt idx="390">
                  <c:v>0.23455999999999999</c:v>
                </c:pt>
                <c:pt idx="391">
                  <c:v>0.21665999999999999</c:v>
                </c:pt>
                <c:pt idx="392">
                  <c:v>0.18462000000000001</c:v>
                </c:pt>
                <c:pt idx="393">
                  <c:v>0.18032999999999999</c:v>
                </c:pt>
                <c:pt idx="394">
                  <c:v>0.19341</c:v>
                </c:pt>
                <c:pt idx="395">
                  <c:v>0.18451000000000001</c:v>
                </c:pt>
                <c:pt idx="396">
                  <c:v>0.17396</c:v>
                </c:pt>
                <c:pt idx="397">
                  <c:v>0.16719000000000001</c:v>
                </c:pt>
                <c:pt idx="398">
                  <c:v>0.16889999999999999</c:v>
                </c:pt>
                <c:pt idx="399">
                  <c:v>0.18181</c:v>
                </c:pt>
                <c:pt idx="400">
                  <c:v>0.17366999999999999</c:v>
                </c:pt>
                <c:pt idx="401">
                  <c:v>0.20759</c:v>
                </c:pt>
                <c:pt idx="402">
                  <c:v>0.20465</c:v>
                </c:pt>
                <c:pt idx="403">
                  <c:v>0.21101</c:v>
                </c:pt>
                <c:pt idx="404">
                  <c:v>0.22764000000000001</c:v>
                </c:pt>
                <c:pt idx="405">
                  <c:v>0.24031</c:v>
                </c:pt>
                <c:pt idx="406">
                  <c:v>0.22805</c:v>
                </c:pt>
                <c:pt idx="407">
                  <c:v>0.23760000000000001</c:v>
                </c:pt>
                <c:pt idx="408">
                  <c:v>0.19298999999999999</c:v>
                </c:pt>
                <c:pt idx="409">
                  <c:v>0.20665</c:v>
                </c:pt>
                <c:pt idx="410">
                  <c:v>0.20477000000000001</c:v>
                </c:pt>
                <c:pt idx="411">
                  <c:v>0.20233999999999999</c:v>
                </c:pt>
                <c:pt idx="412">
                  <c:v>0.17394000000000001</c:v>
                </c:pt>
                <c:pt idx="413">
                  <c:v>0.20702999999999999</c:v>
                </c:pt>
                <c:pt idx="414">
                  <c:v>0.2225</c:v>
                </c:pt>
                <c:pt idx="415">
                  <c:v>0.20816999999999999</c:v>
                </c:pt>
                <c:pt idx="416">
                  <c:v>0.23894000000000001</c:v>
                </c:pt>
                <c:pt idx="417">
                  <c:v>0.25435000000000002</c:v>
                </c:pt>
                <c:pt idx="418">
                  <c:v>0.26049</c:v>
                </c:pt>
                <c:pt idx="419">
                  <c:v>0.2329</c:v>
                </c:pt>
                <c:pt idx="420">
                  <c:v>0.28292</c:v>
                </c:pt>
                <c:pt idx="421">
                  <c:v>0.26162000000000002</c:v>
                </c:pt>
                <c:pt idx="422">
                  <c:v>0.22797000000000001</c:v>
                </c:pt>
                <c:pt idx="423">
                  <c:v>0.22944999999999999</c:v>
                </c:pt>
                <c:pt idx="424">
                  <c:v>0.22236</c:v>
                </c:pt>
                <c:pt idx="425">
                  <c:v>0.22437000000000001</c:v>
                </c:pt>
                <c:pt idx="426">
                  <c:v>0.21931</c:v>
                </c:pt>
                <c:pt idx="427">
                  <c:v>0.21276999999999999</c:v>
                </c:pt>
                <c:pt idx="428">
                  <c:v>0.24446000000000001</c:v>
                </c:pt>
                <c:pt idx="429">
                  <c:v>0.26756999999999997</c:v>
                </c:pt>
                <c:pt idx="430">
                  <c:v>0.19184999999999999</c:v>
                </c:pt>
                <c:pt idx="431">
                  <c:v>0.19595000000000001</c:v>
                </c:pt>
                <c:pt idx="432">
                  <c:v>0.15737000000000001</c:v>
                </c:pt>
                <c:pt idx="433">
                  <c:v>0.14272000000000001</c:v>
                </c:pt>
                <c:pt idx="434">
                  <c:v>0.13900000000000001</c:v>
                </c:pt>
                <c:pt idx="435">
                  <c:v>0.14710999999999999</c:v>
                </c:pt>
                <c:pt idx="436">
                  <c:v>0.1239</c:v>
                </c:pt>
                <c:pt idx="437">
                  <c:v>0.14721999999999999</c:v>
                </c:pt>
                <c:pt idx="438">
                  <c:v>0.14201</c:v>
                </c:pt>
                <c:pt idx="439">
                  <c:v>9.3549999999999994E-2</c:v>
                </c:pt>
                <c:pt idx="440">
                  <c:v>8.6400000000000005E-2</c:v>
                </c:pt>
                <c:pt idx="441">
                  <c:v>6.6129999999999994E-2</c:v>
                </c:pt>
                <c:pt idx="442">
                  <c:v>5.6430000000000001E-2</c:v>
                </c:pt>
                <c:pt idx="443">
                  <c:v>5.2659999999999998E-2</c:v>
                </c:pt>
                <c:pt idx="444">
                  <c:v>4.8039999999999999E-2</c:v>
                </c:pt>
                <c:pt idx="445">
                  <c:v>5.0610000000000002E-2</c:v>
                </c:pt>
                <c:pt idx="446">
                  <c:v>3.925E-2</c:v>
                </c:pt>
                <c:pt idx="447">
                  <c:v>3.7490000000000002E-2</c:v>
                </c:pt>
                <c:pt idx="448">
                  <c:v>3.0599999999999999E-2</c:v>
                </c:pt>
                <c:pt idx="449">
                  <c:v>2.8230000000000002E-2</c:v>
                </c:pt>
                <c:pt idx="450">
                  <c:v>2.7629999999999998E-2</c:v>
                </c:pt>
                <c:pt idx="451">
                  <c:v>2.81E-2</c:v>
                </c:pt>
                <c:pt idx="452">
                  <c:v>2.9020000000000001E-2</c:v>
                </c:pt>
                <c:pt idx="453">
                  <c:v>2.8479999999999998E-2</c:v>
                </c:pt>
                <c:pt idx="454">
                  <c:v>2.9409999999999999E-2</c:v>
                </c:pt>
                <c:pt idx="455">
                  <c:v>3.1E-2</c:v>
                </c:pt>
                <c:pt idx="456">
                  <c:v>2.878E-2</c:v>
                </c:pt>
                <c:pt idx="457">
                  <c:v>3.109E-2</c:v>
                </c:pt>
                <c:pt idx="458">
                  <c:v>3.2419999999999997E-2</c:v>
                </c:pt>
                <c:pt idx="459">
                  <c:v>3.4290000000000001E-2</c:v>
                </c:pt>
                <c:pt idx="460">
                  <c:v>3.1890000000000002E-2</c:v>
                </c:pt>
                <c:pt idx="461">
                  <c:v>3.2149999999999998E-2</c:v>
                </c:pt>
                <c:pt idx="462">
                  <c:v>3.193E-2</c:v>
                </c:pt>
                <c:pt idx="463">
                  <c:v>3.1359999999999999E-2</c:v>
                </c:pt>
                <c:pt idx="464">
                  <c:v>3.1199999999999999E-2</c:v>
                </c:pt>
                <c:pt idx="465">
                  <c:v>3.2689999999999997E-2</c:v>
                </c:pt>
                <c:pt idx="466">
                  <c:v>3.7510000000000002E-2</c:v>
                </c:pt>
                <c:pt idx="467">
                  <c:v>3.8719999999999997E-2</c:v>
                </c:pt>
                <c:pt idx="468">
                  <c:v>3.3759999999999998E-2</c:v>
                </c:pt>
                <c:pt idx="469">
                  <c:v>3.8059999999999997E-2</c:v>
                </c:pt>
                <c:pt idx="470">
                  <c:v>4.3549999999999998E-2</c:v>
                </c:pt>
                <c:pt idx="471">
                  <c:v>4.3020000000000003E-2</c:v>
                </c:pt>
                <c:pt idx="472">
                  <c:v>4.2979999999999997E-2</c:v>
                </c:pt>
                <c:pt idx="473">
                  <c:v>4.367E-2</c:v>
                </c:pt>
                <c:pt idx="474">
                  <c:v>5.1610000000000003E-2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8-4DD2-846E-5634FFB7E71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-5.1567372113543826</c:v>
                </c:pt>
                <c:pt idx="1">
                  <c:v>-5.150724425685592</c:v>
                </c:pt>
                <c:pt idx="2">
                  <c:v>-5.1086313738981524</c:v>
                </c:pt>
                <c:pt idx="3">
                  <c:v>-5.1358336430594438</c:v>
                </c:pt>
                <c:pt idx="4">
                  <c:v>-5.1462696871724063</c:v>
                </c:pt>
                <c:pt idx="5">
                  <c:v>-5.1737275551603945</c:v>
                </c:pt>
                <c:pt idx="6">
                  <c:v>-5.1747733117995347</c:v>
                </c:pt>
                <c:pt idx="7">
                  <c:v>-5.098759876562541</c:v>
                </c:pt>
                <c:pt idx="8">
                  <c:v>-5.0660197550188011</c:v>
                </c:pt>
                <c:pt idx="9">
                  <c:v>-5.0475346478759446</c:v>
                </c:pt>
                <c:pt idx="10">
                  <c:v>-5.045394623537482</c:v>
                </c:pt>
                <c:pt idx="11">
                  <c:v>-5.0222387388408531</c:v>
                </c:pt>
                <c:pt idx="12">
                  <c:v>-5.0155189713874373</c:v>
                </c:pt>
                <c:pt idx="13">
                  <c:v>-5.0353265235613502</c:v>
                </c:pt>
                <c:pt idx="14">
                  <c:v>-5.0331211821856883</c:v>
                </c:pt>
                <c:pt idx="15">
                  <c:v>-4.9800706952159919</c:v>
                </c:pt>
                <c:pt idx="16">
                  <c:v>-5.0567038533468329</c:v>
                </c:pt>
                <c:pt idx="17">
                  <c:v>-5.0721877891622178</c:v>
                </c:pt>
                <c:pt idx="18">
                  <c:v>-5.0385179854763198</c:v>
                </c:pt>
                <c:pt idx="19">
                  <c:v>-5.0485666973083818</c:v>
                </c:pt>
                <c:pt idx="20">
                  <c:v>-5.0277584159523316</c:v>
                </c:pt>
                <c:pt idx="21">
                  <c:v>-4.9816583542950275</c:v>
                </c:pt>
                <c:pt idx="22">
                  <c:v>-4.9546700835567723</c:v>
                </c:pt>
                <c:pt idx="23">
                  <c:v>-4.9140373870831811</c:v>
                </c:pt>
                <c:pt idx="24">
                  <c:v>-4.8930200388478866</c:v>
                </c:pt>
                <c:pt idx="25">
                  <c:v>-4.8379097981562449</c:v>
                </c:pt>
                <c:pt idx="26">
                  <c:v>-4.8469698759438549</c:v>
                </c:pt>
                <c:pt idx="27">
                  <c:v>-4.866938999525944</c:v>
                </c:pt>
                <c:pt idx="28">
                  <c:v>-4.8371507337481665</c:v>
                </c:pt>
                <c:pt idx="29">
                  <c:v>-4.8518214302092924</c:v>
                </c:pt>
                <c:pt idx="30">
                  <c:v>-4.8233555022751062</c:v>
                </c:pt>
                <c:pt idx="31">
                  <c:v>-4.7928104656997625</c:v>
                </c:pt>
                <c:pt idx="32">
                  <c:v>-4.7552978528426202</c:v>
                </c:pt>
                <c:pt idx="33">
                  <c:v>-4.7609280025622462</c:v>
                </c:pt>
                <c:pt idx="34">
                  <c:v>-4.7704121489946791</c:v>
                </c:pt>
                <c:pt idx="35">
                  <c:v>-4.7492403140035604</c:v>
                </c:pt>
                <c:pt idx="36">
                  <c:v>-4.7963610335150113</c:v>
                </c:pt>
                <c:pt idx="37">
                  <c:v>-4.7879562076621678</c:v>
                </c:pt>
                <c:pt idx="38">
                  <c:v>-4.810834548238665</c:v>
                </c:pt>
                <c:pt idx="39">
                  <c:v>-4.8111058240150619</c:v>
                </c:pt>
                <c:pt idx="40">
                  <c:v>-4.7669256640150621</c:v>
                </c:pt>
                <c:pt idx="41">
                  <c:v>-4.7714495962877903</c:v>
                </c:pt>
                <c:pt idx="42">
                  <c:v>-4.7638541267845502</c:v>
                </c:pt>
                <c:pt idx="43">
                  <c:v>-4.7291204105194895</c:v>
                </c:pt>
                <c:pt idx="44">
                  <c:v>-4.7180184240722491</c:v>
                </c:pt>
                <c:pt idx="45">
                  <c:v>-4.7352211091599674</c:v>
                </c:pt>
                <c:pt idx="46">
                  <c:v>-4.6880022695832482</c:v>
                </c:pt>
                <c:pt idx="47">
                  <c:v>-4.6929711895832487</c:v>
                </c:pt>
                <c:pt idx="48">
                  <c:v>-4.6947138471665824</c:v>
                </c:pt>
                <c:pt idx="49">
                  <c:v>-4.6606753615137837</c:v>
                </c:pt>
                <c:pt idx="50">
                  <c:v>-4.607165266867951</c:v>
                </c:pt>
                <c:pt idx="51">
                  <c:v>-4.6278803613422781</c:v>
                </c:pt>
                <c:pt idx="52">
                  <c:v>-4.7129351268668831</c:v>
                </c:pt>
                <c:pt idx="53">
                  <c:v>-4.779691630952291</c:v>
                </c:pt>
                <c:pt idx="54">
                  <c:v>-4.7363316766319032</c:v>
                </c:pt>
                <c:pt idx="55">
                  <c:v>-4.6844268099844797</c:v>
                </c:pt>
                <c:pt idx="56">
                  <c:v>-4.7074030697135276</c:v>
                </c:pt>
                <c:pt idx="57">
                  <c:v>-4.7540758859663494</c:v>
                </c:pt>
                <c:pt idx="58">
                  <c:v>-4.6659110342961592</c:v>
                </c:pt>
                <c:pt idx="59">
                  <c:v>-4.6420038680198132</c:v>
                </c:pt>
                <c:pt idx="60">
                  <c:v>-4.5694433920779201</c:v>
                </c:pt>
                <c:pt idx="61">
                  <c:v>-4.5042253972449577</c:v>
                </c:pt>
                <c:pt idx="62">
                  <c:v>-4.5232715978083382</c:v>
                </c:pt>
                <c:pt idx="63">
                  <c:v>-4.4791022944268946</c:v>
                </c:pt>
                <c:pt idx="64">
                  <c:v>-4.5021841108974829</c:v>
                </c:pt>
                <c:pt idx="65">
                  <c:v>-4.4848834008974841</c:v>
                </c:pt>
                <c:pt idx="66">
                  <c:v>-4.5073305886909107</c:v>
                </c:pt>
                <c:pt idx="67">
                  <c:v>-4.4272807121152278</c:v>
                </c:pt>
                <c:pt idx="68">
                  <c:v>-4.3766077458075356</c:v>
                </c:pt>
                <c:pt idx="69">
                  <c:v>-4.4421031970434903</c:v>
                </c:pt>
                <c:pt idx="70">
                  <c:v>-4.4821058518192158</c:v>
                </c:pt>
                <c:pt idx="71">
                  <c:v>-4.4014869788121409</c:v>
                </c:pt>
                <c:pt idx="72">
                  <c:v>-4.4040876845010901</c:v>
                </c:pt>
                <c:pt idx="73">
                  <c:v>-4.3332049779553721</c:v>
                </c:pt>
                <c:pt idx="74">
                  <c:v>-4.2747540587148647</c:v>
                </c:pt>
                <c:pt idx="75">
                  <c:v>-4.2688110108894444</c:v>
                </c:pt>
                <c:pt idx="76">
                  <c:v>-4.2197542175477354</c:v>
                </c:pt>
                <c:pt idx="77">
                  <c:v>-4.3463340066386449</c:v>
                </c:pt>
                <c:pt idx="78">
                  <c:v>-4.2846481516036343</c:v>
                </c:pt>
                <c:pt idx="79">
                  <c:v>-4.2128996243500874</c:v>
                </c:pt>
                <c:pt idx="80">
                  <c:v>-4.1104567379527071</c:v>
                </c:pt>
                <c:pt idx="81">
                  <c:v>-4.101333860318638</c:v>
                </c:pt>
                <c:pt idx="82">
                  <c:v>-4.1145521784289825</c:v>
                </c:pt>
                <c:pt idx="83">
                  <c:v>-4.1168109743052721</c:v>
                </c:pt>
                <c:pt idx="84">
                  <c:v>-3.9872890444031186</c:v>
                </c:pt>
                <c:pt idx="85">
                  <c:v>-4.0349551873937735</c:v>
                </c:pt>
                <c:pt idx="86">
                  <c:v>-4.0003836718512513</c:v>
                </c:pt>
                <c:pt idx="87">
                  <c:v>-4.1466436117246692</c:v>
                </c:pt>
                <c:pt idx="88">
                  <c:v>-4.2440188782818611</c:v>
                </c:pt>
                <c:pt idx="89">
                  <c:v>-4.3034017656444972</c:v>
                </c:pt>
                <c:pt idx="90">
                  <c:v>-4.3043006815188614</c:v>
                </c:pt>
                <c:pt idx="91">
                  <c:v>-4.3573808848024438</c:v>
                </c:pt>
                <c:pt idx="92">
                  <c:v>-4.4057574947082525</c:v>
                </c:pt>
                <c:pt idx="93">
                  <c:v>-4.2514380089012187</c:v>
                </c:pt>
                <c:pt idx="94">
                  <c:v>-4.2416039593693036</c:v>
                </c:pt>
                <c:pt idx="95">
                  <c:v>-4.2743645875174519</c:v>
                </c:pt>
                <c:pt idx="96">
                  <c:v>-4.2514640858771635</c:v>
                </c:pt>
                <c:pt idx="97">
                  <c:v>-4.2649958070007594</c:v>
                </c:pt>
                <c:pt idx="98">
                  <c:v>-4.2406694500217208</c:v>
                </c:pt>
                <c:pt idx="99">
                  <c:v>-4.1882117380348935</c:v>
                </c:pt>
                <c:pt idx="100">
                  <c:v>-4.2281306339274689</c:v>
                </c:pt>
                <c:pt idx="101">
                  <c:v>-4.2345586364001164</c:v>
                </c:pt>
                <c:pt idx="102">
                  <c:v>-4.2973957220239862</c:v>
                </c:pt>
                <c:pt idx="103">
                  <c:v>-4.2788876304748298</c:v>
                </c:pt>
                <c:pt idx="104">
                  <c:v>-4.2634382167953726</c:v>
                </c:pt>
                <c:pt idx="105">
                  <c:v>-4.2021380266777246</c:v>
                </c:pt>
                <c:pt idx="106">
                  <c:v>-4.2648543159369847</c:v>
                </c:pt>
                <c:pt idx="107">
                  <c:v>-4.3357002296811498</c:v>
                </c:pt>
                <c:pt idx="108">
                  <c:v>-4.3880372609644427</c:v>
                </c:pt>
                <c:pt idx="109">
                  <c:v>-4.3855550978692044</c:v>
                </c:pt>
                <c:pt idx="110">
                  <c:v>-4.3318468908818053</c:v>
                </c:pt>
                <c:pt idx="111">
                  <c:v>-4.3183506651536492</c:v>
                </c:pt>
                <c:pt idx="112">
                  <c:v>-4.3068976404366683</c:v>
                </c:pt>
                <c:pt idx="113">
                  <c:v>-4.4388222663629957</c:v>
                </c:pt>
                <c:pt idx="114">
                  <c:v>-4.5165488307642248</c:v>
                </c:pt>
                <c:pt idx="115">
                  <c:v>-4.5740514897861599</c:v>
                </c:pt>
                <c:pt idx="116">
                  <c:v>-4.6645909089660869</c:v>
                </c:pt>
                <c:pt idx="117">
                  <c:v>-4.6440074858570695</c:v>
                </c:pt>
                <c:pt idx="118">
                  <c:v>-4.6544870953336543</c:v>
                </c:pt>
                <c:pt idx="119">
                  <c:v>-4.7307870183425029</c:v>
                </c:pt>
                <c:pt idx="120">
                  <c:v>-4.7672800936066198</c:v>
                </c:pt>
                <c:pt idx="121">
                  <c:v>-4.7315176927175422</c:v>
                </c:pt>
                <c:pt idx="122">
                  <c:v>-4.6881242062175428</c:v>
                </c:pt>
                <c:pt idx="123">
                  <c:v>-4.6129086325800577</c:v>
                </c:pt>
                <c:pt idx="124">
                  <c:v>-4.6521227729840984</c:v>
                </c:pt>
                <c:pt idx="125">
                  <c:v>-4.5892069528879436</c:v>
                </c:pt>
                <c:pt idx="126">
                  <c:v>-4.5549131087391608</c:v>
                </c:pt>
                <c:pt idx="127">
                  <c:v>-4.6391288377182178</c:v>
                </c:pt>
                <c:pt idx="128">
                  <c:v>-4.7503994737136059</c:v>
                </c:pt>
                <c:pt idx="129">
                  <c:v>-4.6239979065416925</c:v>
                </c:pt>
                <c:pt idx="130">
                  <c:v>-4.5473443661931672</c:v>
                </c:pt>
                <c:pt idx="131">
                  <c:v>-4.508725770413947</c:v>
                </c:pt>
                <c:pt idx="132">
                  <c:v>-4.4550813390413966</c:v>
                </c:pt>
                <c:pt idx="133">
                  <c:v>-4.3886905236567806</c:v>
                </c:pt>
                <c:pt idx="134">
                  <c:v>-4.3145493331890288</c:v>
                </c:pt>
                <c:pt idx="135">
                  <c:v>-4.3902656604552153</c:v>
                </c:pt>
                <c:pt idx="136">
                  <c:v>-4.4814960436613216</c:v>
                </c:pt>
                <c:pt idx="137">
                  <c:v>-4.4876983798767514</c:v>
                </c:pt>
                <c:pt idx="138">
                  <c:v>-4.5061063556270033</c:v>
                </c:pt>
                <c:pt idx="139">
                  <c:v>-4.4432714850936703</c:v>
                </c:pt>
                <c:pt idx="140">
                  <c:v>-4.3666163435055374</c:v>
                </c:pt>
                <c:pt idx="141">
                  <c:v>-4.3483412493324201</c:v>
                </c:pt>
                <c:pt idx="142">
                  <c:v>-4.3902229392682806</c:v>
                </c:pt>
                <c:pt idx="143">
                  <c:v>-4.358059625891717</c:v>
                </c:pt>
                <c:pt idx="144">
                  <c:v>-4.234525974476937</c:v>
                </c:pt>
                <c:pt idx="145">
                  <c:v>-4.287922660928551</c:v>
                </c:pt>
                <c:pt idx="146">
                  <c:v>-4.2117675449285512</c:v>
                </c:pt>
                <c:pt idx="147">
                  <c:v>-4.1289303537608655</c:v>
                </c:pt>
                <c:pt idx="148">
                  <c:v>-4.3015530640864483</c:v>
                </c:pt>
                <c:pt idx="149">
                  <c:v>-4.4872883993181141</c:v>
                </c:pt>
                <c:pt idx="150">
                  <c:v>-4.6197651271945839</c:v>
                </c:pt>
                <c:pt idx="151">
                  <c:v>-4.6366747950718574</c:v>
                </c:pt>
                <c:pt idx="152">
                  <c:v>-4.6408969963297189</c:v>
                </c:pt>
                <c:pt idx="153">
                  <c:v>-4.530613839215432</c:v>
                </c:pt>
                <c:pt idx="154">
                  <c:v>-4.7135223932673878</c:v>
                </c:pt>
                <c:pt idx="155">
                  <c:v>-4.5041306402815762</c:v>
                </c:pt>
                <c:pt idx="156">
                  <c:v>-4.2871708289998232</c:v>
                </c:pt>
                <c:pt idx="157">
                  <c:v>-4.5710838085459633</c:v>
                </c:pt>
                <c:pt idx="158">
                  <c:v>-4.5736381849468248</c:v>
                </c:pt>
                <c:pt idx="159">
                  <c:v>-4.5994366653898169</c:v>
                </c:pt>
                <c:pt idx="160">
                  <c:v>-4.5205973274413314</c:v>
                </c:pt>
                <c:pt idx="161">
                  <c:v>-4.7753095252891704</c:v>
                </c:pt>
                <c:pt idx="162">
                  <c:v>-4.9860770283636109</c:v>
                </c:pt>
                <c:pt idx="163">
                  <c:v>-5.0073844091063089</c:v>
                </c:pt>
                <c:pt idx="164">
                  <c:v>-4.8003587516936994</c:v>
                </c:pt>
                <c:pt idx="165">
                  <c:v>-4.6173600433563911</c:v>
                </c:pt>
                <c:pt idx="166">
                  <c:v>-4.7277405847295446</c:v>
                </c:pt>
                <c:pt idx="167">
                  <c:v>-4.7027276753823513</c:v>
                </c:pt>
                <c:pt idx="168">
                  <c:v>-4.8822313937353119</c:v>
                </c:pt>
                <c:pt idx="169">
                  <c:v>-4.8076449547401241</c:v>
                </c:pt>
                <c:pt idx="170">
                  <c:v>-4.7484814324771998</c:v>
                </c:pt>
                <c:pt idx="171">
                  <c:v>-4.7536741723756171</c:v>
                </c:pt>
                <c:pt idx="172">
                  <c:v>-5.0278497620171887</c:v>
                </c:pt>
                <c:pt idx="173">
                  <c:v>-4.8125716629438955</c:v>
                </c:pt>
                <c:pt idx="174">
                  <c:v>-5.0274230738266832</c:v>
                </c:pt>
                <c:pt idx="175">
                  <c:v>-5.0032863120861588</c:v>
                </c:pt>
                <c:pt idx="176">
                  <c:v>-5.056754278156955</c:v>
                </c:pt>
                <c:pt idx="177">
                  <c:v>-5.390456384460812</c:v>
                </c:pt>
                <c:pt idx="178">
                  <c:v>-5.313066497445166</c:v>
                </c:pt>
                <c:pt idx="179">
                  <c:v>-5.2851574976003164</c:v>
                </c:pt>
                <c:pt idx="180">
                  <c:v>-5.2855921449628553</c:v>
                </c:pt>
                <c:pt idx="181">
                  <c:v>-5.3228255872034644</c:v>
                </c:pt>
                <c:pt idx="182">
                  <c:v>-5.4646706797044056</c:v>
                </c:pt>
                <c:pt idx="183">
                  <c:v>-5.630763288324462</c:v>
                </c:pt>
                <c:pt idx="184">
                  <c:v>-5.606729266257795</c:v>
                </c:pt>
                <c:pt idx="185">
                  <c:v>-5.7119250279239777</c:v>
                </c:pt>
                <c:pt idx="186">
                  <c:v>-5.3969277752371649</c:v>
                </c:pt>
                <c:pt idx="187">
                  <c:v>-5.4963820021912593</c:v>
                </c:pt>
                <c:pt idx="188">
                  <c:v>-5.6770317371998571</c:v>
                </c:pt>
                <c:pt idx="189">
                  <c:v>-5.8489244680427142</c:v>
                </c:pt>
                <c:pt idx="190">
                  <c:v>-6.0203126882953839</c:v>
                </c:pt>
                <c:pt idx="191">
                  <c:v>-6.4802299893465518</c:v>
                </c:pt>
                <c:pt idx="192">
                  <c:v>-6.7614431259661032</c:v>
                </c:pt>
                <c:pt idx="193">
                  <c:v>-6.6548786343721069</c:v>
                </c:pt>
                <c:pt idx="194">
                  <c:v>-6.6210678535056084</c:v>
                </c:pt>
                <c:pt idx="195">
                  <c:v>-6.4777192999661031</c:v>
                </c:pt>
                <c:pt idx="196">
                  <c:v>-6.2482698112723458</c:v>
                </c:pt>
                <c:pt idx="197">
                  <c:v>-5.9882333358981885</c:v>
                </c:pt>
                <c:pt idx="198">
                  <c:v>-5.8243414398823301</c:v>
                </c:pt>
                <c:pt idx="199">
                  <c:v>-5.6075105002218351</c:v>
                </c:pt>
                <c:pt idx="200">
                  <c:v>-5.4043932570690716</c:v>
                </c:pt>
                <c:pt idx="201">
                  <c:v>-5.4127080322168988</c:v>
                </c:pt>
                <c:pt idx="202">
                  <c:v>-5.0461739034322042</c:v>
                </c:pt>
                <c:pt idx="203">
                  <c:v>-5.1592146796075689</c:v>
                </c:pt>
                <c:pt idx="204">
                  <c:v>-4.5866252464315354</c:v>
                </c:pt>
                <c:pt idx="205">
                  <c:v>-5.0688862526730443</c:v>
                </c:pt>
                <c:pt idx="206">
                  <c:v>-5.6176043720563662</c:v>
                </c:pt>
                <c:pt idx="207">
                  <c:v>-6.0388765855302404</c:v>
                </c:pt>
                <c:pt idx="208">
                  <c:v>-6.2272158646003257</c:v>
                </c:pt>
                <c:pt idx="209">
                  <c:v>-6.3145109051953758</c:v>
                </c:pt>
                <c:pt idx="210">
                  <c:v>-6.4243356897245434</c:v>
                </c:pt>
                <c:pt idx="211">
                  <c:v>-6.3165565717379701</c:v>
                </c:pt>
                <c:pt idx="212">
                  <c:v>-6.6189703649248433</c:v>
                </c:pt>
                <c:pt idx="213">
                  <c:v>-6.6842533651391296</c:v>
                </c:pt>
                <c:pt idx="214">
                  <c:v>-6.7913131891865461</c:v>
                </c:pt>
                <c:pt idx="215">
                  <c:v>-6.8852163411865455</c:v>
                </c:pt>
                <c:pt idx="216">
                  <c:v>-6.9107067942101379</c:v>
                </c:pt>
                <c:pt idx="217">
                  <c:v>-6.7301566453473045</c:v>
                </c:pt>
                <c:pt idx="218">
                  <c:v>-6.8520454904344135</c:v>
                </c:pt>
                <c:pt idx="219">
                  <c:v>-7.0200084246333665</c:v>
                </c:pt>
                <c:pt idx="220">
                  <c:v>-6.805549343498229</c:v>
                </c:pt>
                <c:pt idx="221">
                  <c:v>-6.6374864046190378</c:v>
                </c:pt>
                <c:pt idx="222">
                  <c:v>-6.6609937577100249</c:v>
                </c:pt>
                <c:pt idx="223">
                  <c:v>-6.6111829436152263</c:v>
                </c:pt>
                <c:pt idx="224">
                  <c:v>-6.5727398638515906</c:v>
                </c:pt>
                <c:pt idx="225">
                  <c:v>-6.5675617847455143</c:v>
                </c:pt>
                <c:pt idx="226">
                  <c:v>-6.4747086203698681</c:v>
                </c:pt>
                <c:pt idx="227">
                  <c:v>-6.4275502230907975</c:v>
                </c:pt>
                <c:pt idx="228">
                  <c:v>-6.4990329793115311</c:v>
                </c:pt>
                <c:pt idx="229">
                  <c:v>-6.59439410808268</c:v>
                </c:pt>
                <c:pt idx="230">
                  <c:v>-6.6158859242972676</c:v>
                </c:pt>
                <c:pt idx="231">
                  <c:v>-6.3892763997637498</c:v>
                </c:pt>
                <c:pt idx="232">
                  <c:v>-6.2800191007464941</c:v>
                </c:pt>
                <c:pt idx="233">
                  <c:v>-6.4233226346228562</c:v>
                </c:pt>
                <c:pt idx="234">
                  <c:v>-6.4496949540160902</c:v>
                </c:pt>
                <c:pt idx="235">
                  <c:v>-6.3450903607359912</c:v>
                </c:pt>
                <c:pt idx="236">
                  <c:v>-6.3487256650121813</c:v>
                </c:pt>
                <c:pt idx="237">
                  <c:v>-6.2274432995384981</c:v>
                </c:pt>
                <c:pt idx="238">
                  <c:v>-6.1444650736133628</c:v>
                </c:pt>
                <c:pt idx="239">
                  <c:v>-6.3339857918301403</c:v>
                </c:pt>
                <c:pt idx="240">
                  <c:v>-6.3250690951077289</c:v>
                </c:pt>
                <c:pt idx="241">
                  <c:v>-6.2841184239680343</c:v>
                </c:pt>
                <c:pt idx="242">
                  <c:v>-6.5207829473481329</c:v>
                </c:pt>
                <c:pt idx="243">
                  <c:v>-6.5691499269880067</c:v>
                </c:pt>
                <c:pt idx="244">
                  <c:v>-6.4767159525003972</c:v>
                </c:pt>
                <c:pt idx="245">
                  <c:v>-6.3258971792984413</c:v>
                </c:pt>
                <c:pt idx="246">
                  <c:v>-6.2531295340072379</c:v>
                </c:pt>
                <c:pt idx="247">
                  <c:v>-6.4463487779363513</c:v>
                </c:pt>
                <c:pt idx="248">
                  <c:v>-6.348876226899141</c:v>
                </c:pt>
                <c:pt idx="249">
                  <c:v>-6.7223898426392514</c:v>
                </c:pt>
                <c:pt idx="250">
                  <c:v>-6.5817229605715193</c:v>
                </c:pt>
                <c:pt idx="251">
                  <c:v>-6.3927870854430893</c:v>
                </c:pt>
                <c:pt idx="252">
                  <c:v>-6.2367558218105028</c:v>
                </c:pt>
                <c:pt idx="253">
                  <c:v>-6.3331930774261798</c:v>
                </c:pt>
                <c:pt idx="254">
                  <c:v>-5.9916248285842615</c:v>
                </c:pt>
                <c:pt idx="255">
                  <c:v>-6.0045737038705109</c:v>
                </c:pt>
                <c:pt idx="256">
                  <c:v>-5.9846870648627402</c:v>
                </c:pt>
                <c:pt idx="257">
                  <c:v>-5.9544509854694834</c:v>
                </c:pt>
                <c:pt idx="258">
                  <c:v>-5.779964358326029</c:v>
                </c:pt>
                <c:pt idx="259">
                  <c:v>-5.6042276408160818</c:v>
                </c:pt>
                <c:pt idx="260">
                  <c:v>-5.8888320418580848</c:v>
                </c:pt>
                <c:pt idx="261">
                  <c:v>-5.2795736654357386</c:v>
                </c:pt>
                <c:pt idx="262">
                  <c:v>-5.4105282782581705</c:v>
                </c:pt>
                <c:pt idx="263">
                  <c:v>-5.3689426500736372</c:v>
                </c:pt>
                <c:pt idx="264">
                  <c:v>-5.4314619561096729</c:v>
                </c:pt>
                <c:pt idx="265">
                  <c:v>-5.3951524990118616</c:v>
                </c:pt>
                <c:pt idx="266">
                  <c:v>-5.3700994825072543</c:v>
                </c:pt>
                <c:pt idx="267">
                  <c:v>-5.2952359009677616</c:v>
                </c:pt>
                <c:pt idx="268">
                  <c:v>-5.3199706720240787</c:v>
                </c:pt>
                <c:pt idx="269">
                  <c:v>-5.1235407427082</c:v>
                </c:pt>
                <c:pt idx="270">
                  <c:v>-5.2347291108386678</c:v>
                </c:pt>
                <c:pt idx="271">
                  <c:v>-5.1516567249161023</c:v>
                </c:pt>
                <c:pt idx="272">
                  <c:v>-5.1812294274890744</c:v>
                </c:pt>
                <c:pt idx="273">
                  <c:v>-5.6220070619669462</c:v>
                </c:pt>
                <c:pt idx="274">
                  <c:v>-5.8240220763992392</c:v>
                </c:pt>
                <c:pt idx="275">
                  <c:v>-5.8354476893461165</c:v>
                </c:pt>
                <c:pt idx="276">
                  <c:v>-5.9631555344772105</c:v>
                </c:pt>
                <c:pt idx="277">
                  <c:v>-6.0273371122773129</c:v>
                </c:pt>
                <c:pt idx="278">
                  <c:v>-6.0291252552419516</c:v>
                </c:pt>
                <c:pt idx="279">
                  <c:v>-5.9335666903158337</c:v>
                </c:pt>
                <c:pt idx="280">
                  <c:v>-6.2264049175560832</c:v>
                </c:pt>
                <c:pt idx="281">
                  <c:v>-5.9847616618875152</c:v>
                </c:pt>
                <c:pt idx="282">
                  <c:v>-6.1887139022356408</c:v>
                </c:pt>
                <c:pt idx="283">
                  <c:v>-6.4835210253582201</c:v>
                </c:pt>
                <c:pt idx="284">
                  <c:v>-6.2578336810395152</c:v>
                </c:pt>
                <c:pt idx="285">
                  <c:v>-6.3257397007838296</c:v>
                </c:pt>
                <c:pt idx="286">
                  <c:v>-6.2240693040819508</c:v>
                </c:pt>
                <c:pt idx="287">
                  <c:v>-6.3450330399314074</c:v>
                </c:pt>
                <c:pt idx="288">
                  <c:v>-6.2760228832132947</c:v>
                </c:pt>
                <c:pt idx="289">
                  <c:v>-6.5509891346226246</c:v>
                </c:pt>
                <c:pt idx="290">
                  <c:v>-6.373831701028875</c:v>
                </c:pt>
                <c:pt idx="291">
                  <c:v>-6.5533500288122442</c:v>
                </c:pt>
                <c:pt idx="292">
                  <c:v>-6.5561034484600871</c:v>
                </c:pt>
                <c:pt idx="293">
                  <c:v>-6.4212846274134288</c:v>
                </c:pt>
                <c:pt idx="294">
                  <c:v>-6.2479269439856457</c:v>
                </c:pt>
                <c:pt idx="295">
                  <c:v>-6.2165405093598105</c:v>
                </c:pt>
                <c:pt idx="296">
                  <c:v>-6.0955447690778994</c:v>
                </c:pt>
                <c:pt idx="297">
                  <c:v>-5.9611770004510429</c:v>
                </c:pt>
                <c:pt idx="298">
                  <c:v>-5.8929312535590403</c:v>
                </c:pt>
                <c:pt idx="299">
                  <c:v>-5.9816998137646618</c:v>
                </c:pt>
                <c:pt idx="300">
                  <c:v>-5.8447662298797454</c:v>
                </c:pt>
                <c:pt idx="301">
                  <c:v>-5.9602202918481089</c:v>
                </c:pt>
                <c:pt idx="302">
                  <c:v>-5.9817218807381405</c:v>
                </c:pt>
                <c:pt idx="303">
                  <c:v>-5.9003182965798562</c:v>
                </c:pt>
                <c:pt idx="304">
                  <c:v>-5.812119286201054</c:v>
                </c:pt>
                <c:pt idx="305">
                  <c:v>-5.8499745623345341</c:v>
                </c:pt>
                <c:pt idx="306">
                  <c:v>-5.7890900036109851</c:v>
                </c:pt>
                <c:pt idx="307">
                  <c:v>-5.7654822946883675</c:v>
                </c:pt>
                <c:pt idx="308">
                  <c:v>-5.9426035579900862</c:v>
                </c:pt>
                <c:pt idx="309">
                  <c:v>-5.7183217697916344</c:v>
                </c:pt>
                <c:pt idx="310">
                  <c:v>-5.3842710421672493</c:v>
                </c:pt>
                <c:pt idx="311">
                  <c:v>-5.7639937173489946</c:v>
                </c:pt>
                <c:pt idx="312">
                  <c:v>-5.6046997963256917</c:v>
                </c:pt>
                <c:pt idx="313">
                  <c:v>-5.5162710309708398</c:v>
                </c:pt>
                <c:pt idx="314">
                  <c:v>-5.4949961659918314</c:v>
                </c:pt>
                <c:pt idx="315">
                  <c:v>-5.5406978066412362</c:v>
                </c:pt>
                <c:pt idx="316">
                  <c:v>-5.4074977930101431</c:v>
                </c:pt>
                <c:pt idx="317">
                  <c:v>-5.4997478382331844</c:v>
                </c:pt>
                <c:pt idx="318">
                  <c:v>-5.6415724809625969</c:v>
                </c:pt>
                <c:pt idx="319">
                  <c:v>-5.7440896969388406</c:v>
                </c:pt>
                <c:pt idx="320">
                  <c:v>-5.7236629975976969</c:v>
                </c:pt>
                <c:pt idx="321">
                  <c:v>-5.7924599644940971</c:v>
                </c:pt>
                <c:pt idx="322">
                  <c:v>-5.6908885162779423</c:v>
                </c:pt>
                <c:pt idx="323">
                  <c:v>-5.6367428618777513</c:v>
                </c:pt>
                <c:pt idx="324">
                  <c:v>-5.4940193979707672</c:v>
                </c:pt>
                <c:pt idx="325">
                  <c:v>-5.7220860883700153</c:v>
                </c:pt>
                <c:pt idx="326">
                  <c:v>-5.7219880384194139</c:v>
                </c:pt>
                <c:pt idx="327">
                  <c:v>-5.7592669751636851</c:v>
                </c:pt>
                <c:pt idx="328">
                  <c:v>-5.6820352078814853</c:v>
                </c:pt>
                <c:pt idx="329">
                  <c:v>-5.9004643140814572</c:v>
                </c:pt>
                <c:pt idx="330">
                  <c:v>-5.5172838449862764</c:v>
                </c:pt>
                <c:pt idx="331">
                  <c:v>-5.8277004308455229</c:v>
                </c:pt>
                <c:pt idx="332">
                  <c:v>-5.7197618458827471</c:v>
                </c:pt>
                <c:pt idx="333">
                  <c:v>-6.0601036819986467</c:v>
                </c:pt>
                <c:pt idx="334">
                  <c:v>-6.2731577615698244</c:v>
                </c:pt>
                <c:pt idx="335">
                  <c:v>-6.1685022934028542</c:v>
                </c:pt>
                <c:pt idx="336">
                  <c:v>-6.0078963072993732</c:v>
                </c:pt>
                <c:pt idx="337">
                  <c:v>-5.5360457947986683</c:v>
                </c:pt>
                <c:pt idx="338">
                  <c:v>-5.825775046448542</c:v>
                </c:pt>
                <c:pt idx="339">
                  <c:v>-5.8480816172855032</c:v>
                </c:pt>
                <c:pt idx="340">
                  <c:v>-5.8496970367512215</c:v>
                </c:pt>
                <c:pt idx="341">
                  <c:v>-5.9253088394986149</c:v>
                </c:pt>
                <c:pt idx="342">
                  <c:v>-5.8398976770875466</c:v>
                </c:pt>
                <c:pt idx="343">
                  <c:v>-5.6809872134669037</c:v>
                </c:pt>
                <c:pt idx="344">
                  <c:v>-5.4705891410404837</c:v>
                </c:pt>
                <c:pt idx="345">
                  <c:v>-5.6754857638104834</c:v>
                </c:pt>
                <c:pt idx="346">
                  <c:v>-5.6228117767571337</c:v>
                </c:pt>
                <c:pt idx="347">
                  <c:v>-5.6912250393247836</c:v>
                </c:pt>
                <c:pt idx="348">
                  <c:v>-5.5157523063057354</c:v>
                </c:pt>
                <c:pt idx="349">
                  <c:v>-5.0523607362757561</c:v>
                </c:pt>
                <c:pt idx="350">
                  <c:v>-4.9271068638616402</c:v>
                </c:pt>
                <c:pt idx="351">
                  <c:v>-4.8842332522349734</c:v>
                </c:pt>
                <c:pt idx="352">
                  <c:v>-4.917399668370936</c:v>
                </c:pt>
                <c:pt idx="353">
                  <c:v>-4.6084703272209682</c:v>
                </c:pt>
                <c:pt idx="354">
                  <c:v>-4.5499669974709542</c:v>
                </c:pt>
                <c:pt idx="355">
                  <c:v>-4.6382274500692446</c:v>
                </c:pt>
                <c:pt idx="356">
                  <c:v>-4.63897508190471</c:v>
                </c:pt>
                <c:pt idx="357">
                  <c:v>-4.6506118717694127</c:v>
                </c:pt>
                <c:pt idx="358">
                  <c:v>-4.8415602918953802</c:v>
                </c:pt>
                <c:pt idx="359">
                  <c:v>-5.0194048469144761</c:v>
                </c:pt>
                <c:pt idx="360">
                  <c:v>-4.9161344732199952</c:v>
                </c:pt>
                <c:pt idx="361">
                  <c:v>-5.1075868788355843</c:v>
                </c:pt>
                <c:pt idx="362">
                  <c:v>-4.9261374849282049</c:v>
                </c:pt>
                <c:pt idx="363">
                  <c:v>-4.9534125694022944</c:v>
                </c:pt>
                <c:pt idx="364">
                  <c:v>-5.5080998651961242</c:v>
                </c:pt>
                <c:pt idx="365">
                  <c:v>-5.5528515854823874</c:v>
                </c:pt>
                <c:pt idx="366">
                  <c:v>-5.2773211415044825</c:v>
                </c:pt>
                <c:pt idx="367">
                  <c:v>-5.8410368101424117</c:v>
                </c:pt>
                <c:pt idx="368">
                  <c:v>-5.6500328818628143</c:v>
                </c:pt>
                <c:pt idx="369">
                  <c:v>-6.0113329086058584</c:v>
                </c:pt>
                <c:pt idx="370">
                  <c:v>-6.0543191790801467</c:v>
                </c:pt>
                <c:pt idx="371">
                  <c:v>-6.30619822234355</c:v>
                </c:pt>
                <c:pt idx="372">
                  <c:v>-5.8818603922539907</c:v>
                </c:pt>
                <c:pt idx="373">
                  <c:v>-6.2289642340848301</c:v>
                </c:pt>
                <c:pt idx="374">
                  <c:v>-6.1019134536386179</c:v>
                </c:pt>
                <c:pt idx="375">
                  <c:v>-6.2747522236386173</c:v>
                </c:pt>
                <c:pt idx="376">
                  <c:v>-6.3491742378547169</c:v>
                </c:pt>
                <c:pt idx="377">
                  <c:v>-6.2483757803359561</c:v>
                </c:pt>
                <c:pt idx="378">
                  <c:v>-6.1878899229240227</c:v>
                </c:pt>
                <c:pt idx="379">
                  <c:v>-6.1106003739562622</c:v>
                </c:pt>
                <c:pt idx="380">
                  <c:v>-6.3478020782140119</c:v>
                </c:pt>
                <c:pt idx="381">
                  <c:v>-6.4389630157228863</c:v>
                </c:pt>
                <c:pt idx="382">
                  <c:v>-6.3879511912294742</c:v>
                </c:pt>
                <c:pt idx="383">
                  <c:v>-6.2792237034740443</c:v>
                </c:pt>
                <c:pt idx="384">
                  <c:v>-6.4757509936251862</c:v>
                </c:pt>
                <c:pt idx="385">
                  <c:v>-6.1574566670375059</c:v>
                </c:pt>
                <c:pt idx="386">
                  <c:v>-5.5116251498894959</c:v>
                </c:pt>
                <c:pt idx="387">
                  <c:v>-5.6353174320447845</c:v>
                </c:pt>
                <c:pt idx="388">
                  <c:v>-5.86553733345984</c:v>
                </c:pt>
                <c:pt idx="389">
                  <c:v>-5.6460933822598403</c:v>
                </c:pt>
                <c:pt idx="390">
                  <c:v>-5.7560261988106971</c:v>
                </c:pt>
                <c:pt idx="391">
                  <c:v>-5.8541314086519272</c:v>
                </c:pt>
                <c:pt idx="392">
                  <c:v>-6.0244316192694072</c:v>
                </c:pt>
                <c:pt idx="393">
                  <c:v>-6.040519585388612</c:v>
                </c:pt>
                <c:pt idx="394">
                  <c:v>-5.9263611102302072</c:v>
                </c:pt>
                <c:pt idx="395">
                  <c:v>-6.0484901342000335</c:v>
                </c:pt>
                <c:pt idx="396">
                  <c:v>-6.0311930386139672</c:v>
                </c:pt>
                <c:pt idx="397">
                  <c:v>-6.056251585075799</c:v>
                </c:pt>
                <c:pt idx="398">
                  <c:v>-6.0150729103558618</c:v>
                </c:pt>
                <c:pt idx="399">
                  <c:v>-5.957946225757321</c:v>
                </c:pt>
                <c:pt idx="400">
                  <c:v>-6.0727857046860789</c:v>
                </c:pt>
                <c:pt idx="401">
                  <c:v>-6.0483736620004311</c:v>
                </c:pt>
                <c:pt idx="402">
                  <c:v>-6.0912218576983292</c:v>
                </c:pt>
                <c:pt idx="403">
                  <c:v>-6.04910743571177</c:v>
                </c:pt>
                <c:pt idx="404">
                  <c:v>-5.9246383799777274</c:v>
                </c:pt>
                <c:pt idx="405">
                  <c:v>-5.7777047767301388</c:v>
                </c:pt>
                <c:pt idx="406">
                  <c:v>-5.8667893725902758</c:v>
                </c:pt>
                <c:pt idx="407">
                  <c:v>-5.5887624600644683</c:v>
                </c:pt>
                <c:pt idx="408">
                  <c:v>-5.9316594858669163</c:v>
                </c:pt>
                <c:pt idx="409">
                  <c:v>-5.8179442660837717</c:v>
                </c:pt>
                <c:pt idx="410">
                  <c:v>-5.9139989157441484</c:v>
                </c:pt>
                <c:pt idx="411">
                  <c:v>-5.8566847720322146</c:v>
                </c:pt>
                <c:pt idx="412">
                  <c:v>-6.0769420183095466</c:v>
                </c:pt>
                <c:pt idx="413">
                  <c:v>-5.7897097790579259</c:v>
                </c:pt>
                <c:pt idx="414">
                  <c:v>-5.7297846614145147</c:v>
                </c:pt>
                <c:pt idx="415">
                  <c:v>-5.8890440907475723</c:v>
                </c:pt>
                <c:pt idx="416">
                  <c:v>-5.6489252866803374</c:v>
                </c:pt>
                <c:pt idx="417">
                  <c:v>-5.5060327652015042</c:v>
                </c:pt>
                <c:pt idx="418">
                  <c:v>-5.5244787410765035</c:v>
                </c:pt>
                <c:pt idx="419">
                  <c:v>-5.6478876805877363</c:v>
                </c:pt>
                <c:pt idx="420">
                  <c:v>-5.2151792534061601</c:v>
                </c:pt>
                <c:pt idx="421">
                  <c:v>-5.3390589531247796</c:v>
                </c:pt>
                <c:pt idx="422">
                  <c:v>-5.5291838143518124</c:v>
                </c:pt>
                <c:pt idx="423">
                  <c:v>-5.5751294341245403</c:v>
                </c:pt>
                <c:pt idx="424">
                  <c:v>-5.362347124639931</c:v>
                </c:pt>
                <c:pt idx="425">
                  <c:v>-5.4861267235507043</c:v>
                </c:pt>
                <c:pt idx="426">
                  <c:v>-5.6082818856266554</c:v>
                </c:pt>
                <c:pt idx="427">
                  <c:v>-5.5009948959701047</c:v>
                </c:pt>
                <c:pt idx="428">
                  <c:v>-5.4227427436155899</c:v>
                </c:pt>
                <c:pt idx="429">
                  <c:v>-5.3324663577712661</c:v>
                </c:pt>
                <c:pt idx="430">
                  <c:v>-5.9868070542755252</c:v>
                </c:pt>
                <c:pt idx="431">
                  <c:v>-5.6101289398953593</c:v>
                </c:pt>
                <c:pt idx="432">
                  <c:v>-6.0281979251746707</c:v>
                </c:pt>
                <c:pt idx="433">
                  <c:v>-6.1731196812436817</c:v>
                </c:pt>
                <c:pt idx="434">
                  <c:v>-5.9164303838584331</c:v>
                </c:pt>
                <c:pt idx="435">
                  <c:v>-5.0410769258584338</c:v>
                </c:pt>
                <c:pt idx="436">
                  <c:v>-5.6212039256166388</c:v>
                </c:pt>
                <c:pt idx="437">
                  <c:v>-5.2660156478511029</c:v>
                </c:pt>
                <c:pt idx="438">
                  <c:v>-4.7767775873188603</c:v>
                </c:pt>
                <c:pt idx="439">
                  <c:v>-5.615245570659142</c:v>
                </c:pt>
                <c:pt idx="440">
                  <c:v>-5.6133323742937149</c:v>
                </c:pt>
                <c:pt idx="441">
                  <c:v>-5.9559709969554069</c:v>
                </c:pt>
                <c:pt idx="442">
                  <c:v>-5.8539544971053461</c:v>
                </c:pt>
                <c:pt idx="443">
                  <c:v>-5.6718150807077325</c:v>
                </c:pt>
                <c:pt idx="444">
                  <c:v>-5.7662869303667978</c:v>
                </c:pt>
                <c:pt idx="445">
                  <c:v>-5.6455738685326518</c:v>
                </c:pt>
                <c:pt idx="446">
                  <c:v>-5.9897775654021013</c:v>
                </c:pt>
                <c:pt idx="447">
                  <c:v>-5.825434465967092</c:v>
                </c:pt>
                <c:pt idx="448">
                  <c:v>-6.0081799233091404</c:v>
                </c:pt>
                <c:pt idx="449">
                  <c:v>-5.9739511350364127</c:v>
                </c:pt>
                <c:pt idx="450">
                  <c:v>-5.9433047127180849</c:v>
                </c:pt>
                <c:pt idx="451">
                  <c:v>-5.9717357495236412</c:v>
                </c:pt>
                <c:pt idx="452">
                  <c:v>-5.9047910315236409</c:v>
                </c:pt>
                <c:pt idx="453">
                  <c:v>-5.9093544714049964</c:v>
                </c:pt>
                <c:pt idx="454">
                  <c:v>-5.8845593331031107</c:v>
                </c:pt>
                <c:pt idx="455">
                  <c:v>-5.9659722349342976</c:v>
                </c:pt>
                <c:pt idx="456">
                  <c:v>-5.9644467858966568</c:v>
                </c:pt>
                <c:pt idx="457">
                  <c:v>-5.8955864724351175</c:v>
                </c:pt>
                <c:pt idx="458">
                  <c:v>-5.7905890569107941</c:v>
                </c:pt>
                <c:pt idx="459">
                  <c:v>-5.3953014496127434</c:v>
                </c:pt>
                <c:pt idx="460">
                  <c:v>-5.4568117522670976</c:v>
                </c:pt>
                <c:pt idx="461">
                  <c:v>-5.3276586570611482</c:v>
                </c:pt>
                <c:pt idx="462">
                  <c:v>-5.2938893916487766</c:v>
                </c:pt>
                <c:pt idx="463">
                  <c:v>-5.0422752699238851</c:v>
                </c:pt>
                <c:pt idx="464">
                  <c:v>-4.8922576670134372</c:v>
                </c:pt>
                <c:pt idx="465">
                  <c:v>-4.9168058746168448</c:v>
                </c:pt>
                <c:pt idx="466">
                  <c:v>-4.824078622702781</c:v>
                </c:pt>
                <c:pt idx="467">
                  <c:v>-4.617034413269284</c:v>
                </c:pt>
                <c:pt idx="468">
                  <c:v>-4.3245611914924913</c:v>
                </c:pt>
                <c:pt idx="469">
                  <c:v>-4.0535105827917608</c:v>
                </c:pt>
                <c:pt idx="470">
                  <c:v>-3.8789126413535402</c:v>
                </c:pt>
                <c:pt idx="471">
                  <c:v>-3.8701360112396781</c:v>
                </c:pt>
                <c:pt idx="472">
                  <c:v>-3.6070205277779959</c:v>
                </c:pt>
                <c:pt idx="473">
                  <c:v>-3.1445927847583328</c:v>
                </c:pt>
                <c:pt idx="474">
                  <c:v>-2.4792949679303069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8-4DD2-846E-5634FFB7E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314063"/>
        <c:axId val="946302831"/>
      </c:lineChart>
      <c:dateAx>
        <c:axId val="946314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02831"/>
        <c:crosses val="autoZero"/>
        <c:auto val="1"/>
        <c:lblOffset val="100"/>
        <c:baseTimeUnit val="days"/>
      </c:dateAx>
      <c:valAx>
        <c:axId val="94630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14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595EC38-64FD-47B9-BBF4-01FF3E4D2EA2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CBB62-CCFF-41F0-82EF-991536155D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2.9432499999999999</v>
      </c>
      <c r="D2" s="4">
        <f>MIN(D3:D1912)</f>
        <v>0.02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0.39119999999999999</v>
      </c>
      <c r="C5">
        <v>0.39700000000000002</v>
      </c>
      <c r="D5">
        <v>0.38129999999999997</v>
      </c>
      <c r="E5">
        <v>0.38140000000000002</v>
      </c>
      <c r="F5">
        <v>609037</v>
      </c>
      <c r="G5">
        <v>0.38140000000000002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-0.98726114649680963</v>
      </c>
      <c r="Q5">
        <f t="shared" ref="Q5" si="1">F5*P5</f>
        <v>-601278.56687897746</v>
      </c>
      <c r="R5">
        <f t="shared" ref="R5" si="2">R6+Q5</f>
        <v>-515673721.1354382</v>
      </c>
      <c r="S5">
        <f t="shared" ref="S5" si="3">R5/100000</f>
        <v>-5156.7372113543825</v>
      </c>
      <c r="T5">
        <f t="shared" ref="T5" si="4">S5/1000</f>
        <v>-5.1567372113543826</v>
      </c>
    </row>
    <row r="6" spans="1:20" x14ac:dyDescent="0.25">
      <c r="A6" s="5">
        <v>44587</v>
      </c>
      <c r="B6">
        <v>0.39810000000000001</v>
      </c>
      <c r="C6">
        <v>0.42630000000000001</v>
      </c>
      <c r="D6">
        <v>0.38490000000000002</v>
      </c>
      <c r="E6">
        <v>0.39050000000000001</v>
      </c>
      <c r="F6">
        <v>5770372</v>
      </c>
      <c r="G6">
        <v>0.39050000000000001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-0.72946859903381667</v>
      </c>
      <c r="Q6">
        <f t="shared" ref="Q6" si="6">F6*P6</f>
        <v>-4209305.1787439631</v>
      </c>
      <c r="R6">
        <f t="shared" ref="R6" si="7">R7+Q6</f>
        <v>-515072442.56855923</v>
      </c>
      <c r="S6">
        <f t="shared" ref="S6" si="8">R6/100000</f>
        <v>-5150.724425685592</v>
      </c>
      <c r="T6">
        <f t="shared" ref="T6" si="9">S6/1000</f>
        <v>-5.150724425685592</v>
      </c>
    </row>
    <row r="7" spans="1:20" x14ac:dyDescent="0.25">
      <c r="A7" s="5">
        <v>44586</v>
      </c>
      <c r="B7">
        <v>0.38319999999999999</v>
      </c>
      <c r="C7">
        <v>0.40400000000000003</v>
      </c>
      <c r="D7">
        <v>0.373</v>
      </c>
      <c r="E7">
        <v>0.3977</v>
      </c>
      <c r="F7">
        <v>4582991</v>
      </c>
      <c r="G7">
        <v>0.3977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0.59354838709677271</v>
      </c>
      <c r="Q7">
        <f t="shared" ref="Q7" si="11">F7*P7</f>
        <v>2720226.9161290256</v>
      </c>
      <c r="R7">
        <f t="shared" ref="R7" si="12">R8+Q7</f>
        <v>-510863137.38981527</v>
      </c>
      <c r="S7">
        <f t="shared" ref="S7" si="13">R7/100000</f>
        <v>-5108.6313738981526</v>
      </c>
      <c r="T7">
        <f t="shared" ref="T7" si="14">S7/1000</f>
        <v>-5.1086313738981524</v>
      </c>
    </row>
    <row r="8" spans="1:20" x14ac:dyDescent="0.25">
      <c r="A8" s="5">
        <v>44585</v>
      </c>
      <c r="B8">
        <v>0.40989999999999999</v>
      </c>
      <c r="C8">
        <v>0.41020000000000001</v>
      </c>
      <c r="D8">
        <v>0.34539999999999998</v>
      </c>
      <c r="E8">
        <v>0.38150000000000001</v>
      </c>
      <c r="F8">
        <v>9138589.9800000004</v>
      </c>
      <c r="G8">
        <v>0.38150000000000001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0.11419753086419776</v>
      </c>
      <c r="Q8">
        <f t="shared" ref="Q8" si="16">F8*P8</f>
        <v>1043604.4112962985</v>
      </c>
      <c r="R8">
        <f t="shared" ref="R8" si="17">R9+Q8</f>
        <v>-513583364.30594432</v>
      </c>
      <c r="S8">
        <f t="shared" ref="S8" si="18">R8/100000</f>
        <v>-5135.8336430594436</v>
      </c>
      <c r="T8">
        <f t="shared" ref="T8" si="19">S8/1000</f>
        <v>-5.1358336430594438</v>
      </c>
    </row>
    <row r="9" spans="1:20" x14ac:dyDescent="0.25">
      <c r="A9" s="5">
        <v>44584</v>
      </c>
      <c r="B9">
        <v>0.39650000000000002</v>
      </c>
      <c r="C9">
        <v>0.4194</v>
      </c>
      <c r="D9">
        <v>0.3861</v>
      </c>
      <c r="E9">
        <v>0.40970000000000001</v>
      </c>
      <c r="F9">
        <v>6578036</v>
      </c>
      <c r="G9">
        <v>0.40970000000000001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0.41741741741741817</v>
      </c>
      <c r="Q9">
        <f t="shared" ref="Q9" si="21">F9*P9</f>
        <v>2745786.7987988037</v>
      </c>
      <c r="R9">
        <f t="shared" ref="R9" si="22">R10+Q9</f>
        <v>-514626968.71724063</v>
      </c>
      <c r="S9">
        <f t="shared" ref="S9" si="23">R9/100000</f>
        <v>-5146.2696871724065</v>
      </c>
      <c r="T9">
        <f t="shared" ref="T9" si="24">S9/1000</f>
        <v>-5.1462696871724063</v>
      </c>
    </row>
    <row r="10" spans="1:20" x14ac:dyDescent="0.25">
      <c r="A10" s="5">
        <v>44583</v>
      </c>
      <c r="B10">
        <v>0.42449999999999999</v>
      </c>
      <c r="C10">
        <v>0.4385</v>
      </c>
      <c r="D10">
        <v>0.35470000000000002</v>
      </c>
      <c r="E10">
        <v>0.39679999999999999</v>
      </c>
      <c r="F10">
        <v>21908601.59</v>
      </c>
      <c r="G10">
        <v>0.39679999999999999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4.7732696897369456E-3</v>
      </c>
      <c r="Q10">
        <f t="shared" ref="Q10" si="26">F10*P10</f>
        <v>104575.66391406965</v>
      </c>
      <c r="R10">
        <f t="shared" ref="R10" si="27">R11+Q10</f>
        <v>-517372755.51603943</v>
      </c>
      <c r="S10">
        <f t="shared" ref="S10" si="28">R10/100000</f>
        <v>-5173.7275551603943</v>
      </c>
      <c r="T10">
        <f t="shared" ref="T10" si="29">S10/1000</f>
        <v>-5.1737275551603945</v>
      </c>
    </row>
    <row r="11" spans="1:20" x14ac:dyDescent="0.25">
      <c r="A11" s="5">
        <v>44582</v>
      </c>
      <c r="B11">
        <v>0.49259999999999998</v>
      </c>
      <c r="C11">
        <v>0.49640000000000001</v>
      </c>
      <c r="D11">
        <v>0.40989999999999999</v>
      </c>
      <c r="E11">
        <v>0.42499999999999999</v>
      </c>
      <c r="F11">
        <v>11678796</v>
      </c>
      <c r="G11">
        <v>0.42499999999999999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-0.65086705202312145</v>
      </c>
      <c r="Q11">
        <f t="shared" ref="Q11" si="31">F11*P11</f>
        <v>-7601343.5236994224</v>
      </c>
      <c r="R11">
        <f t="shared" ref="R11" si="32">R12+Q11</f>
        <v>-517477331.17995352</v>
      </c>
      <c r="S11">
        <f t="shared" ref="S11" si="33">R11/100000</f>
        <v>-5174.7733117995349</v>
      </c>
      <c r="T11">
        <f t="shared" ref="T11" si="34">S11/1000</f>
        <v>-5.1747733117995347</v>
      </c>
    </row>
    <row r="12" spans="1:20" x14ac:dyDescent="0.25">
      <c r="A12" s="5">
        <v>44581</v>
      </c>
      <c r="B12">
        <v>0.5161</v>
      </c>
      <c r="C12">
        <v>0.54690000000000005</v>
      </c>
      <c r="D12">
        <v>0.48859999999999998</v>
      </c>
      <c r="E12">
        <v>0.49309999999999998</v>
      </c>
      <c r="F12">
        <v>3871702</v>
      </c>
      <c r="G12">
        <v>0.49309999999999998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-0.84562607204116647</v>
      </c>
      <c r="Q12">
        <f t="shared" ref="Q12" si="36">F12*P12</f>
        <v>-3274012.1543739284</v>
      </c>
      <c r="R12">
        <f t="shared" ref="R12" si="37">R13+Q12</f>
        <v>-509875987.65625411</v>
      </c>
      <c r="S12">
        <f t="shared" ref="S12" si="38">R12/100000</f>
        <v>-5098.7598765625407</v>
      </c>
      <c r="T12">
        <f t="shared" ref="T12" si="39">S12/1000</f>
        <v>-5.098759876562541</v>
      </c>
    </row>
    <row r="13" spans="1:20" x14ac:dyDescent="0.25">
      <c r="A13" s="5">
        <v>44580</v>
      </c>
      <c r="B13">
        <v>0.53890000000000005</v>
      </c>
      <c r="C13">
        <v>0.54100000000000004</v>
      </c>
      <c r="D13">
        <v>0.51370000000000005</v>
      </c>
      <c r="E13">
        <v>0.51680000000000004</v>
      </c>
      <c r="F13">
        <v>2391675</v>
      </c>
      <c r="G13">
        <v>0.51680000000000004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-0.77289377289377348</v>
      </c>
      <c r="Q13">
        <f t="shared" ref="Q13" si="41">F13*P13</f>
        <v>-1848510.7142857157</v>
      </c>
      <c r="R13">
        <f t="shared" ref="R13" si="42">R14+Q13</f>
        <v>-506601975.50188017</v>
      </c>
      <c r="S13">
        <f t="shared" ref="S13" si="43">R13/100000</f>
        <v>-5066.0197550188013</v>
      </c>
      <c r="T13">
        <f t="shared" ref="T13" si="44">S13/1000</f>
        <v>-5.0660197550188011</v>
      </c>
    </row>
    <row r="14" spans="1:20" x14ac:dyDescent="0.25">
      <c r="A14" s="5">
        <v>44579</v>
      </c>
      <c r="B14">
        <v>0.54520000000000002</v>
      </c>
      <c r="C14">
        <v>0.55649999999999999</v>
      </c>
      <c r="D14">
        <v>0.52400000000000002</v>
      </c>
      <c r="E14">
        <v>0.53939999999999999</v>
      </c>
      <c r="F14">
        <v>4091223</v>
      </c>
      <c r="G14">
        <v>0.53939999999999999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-5.2307692307693422E-2</v>
      </c>
      <c r="Q14">
        <f t="shared" ref="Q14" si="46">F14*P14</f>
        <v>-214002.43384615841</v>
      </c>
      <c r="R14">
        <f t="shared" ref="R14" si="47">R15+Q14</f>
        <v>-504753464.78759444</v>
      </c>
      <c r="S14">
        <f t="shared" ref="S14" si="48">R14/100000</f>
        <v>-5047.5346478759448</v>
      </c>
      <c r="T14">
        <f t="shared" ref="T14" si="49">S14/1000</f>
        <v>-5.0475346478759446</v>
      </c>
    </row>
    <row r="15" spans="1:20" x14ac:dyDescent="0.25">
      <c r="A15" s="5">
        <v>44578</v>
      </c>
      <c r="B15">
        <v>0.57669999999999999</v>
      </c>
      <c r="C15">
        <v>0.57779999999999998</v>
      </c>
      <c r="D15">
        <v>0.5333</v>
      </c>
      <c r="E15">
        <v>0.54469999999999996</v>
      </c>
      <c r="F15">
        <v>4748557</v>
      </c>
      <c r="G15">
        <v>0.54469999999999996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-0.48764044943820362</v>
      </c>
      <c r="Q15">
        <f t="shared" ref="Q15" si="51">F15*P15</f>
        <v>-2315588.469662928</v>
      </c>
      <c r="R15">
        <f t="shared" ref="R15" si="52">R16+Q15</f>
        <v>-504539462.35374826</v>
      </c>
      <c r="S15">
        <f t="shared" ref="S15" si="53">R15/100000</f>
        <v>-5045.3946235374824</v>
      </c>
      <c r="T15">
        <f t="shared" ref="T15" si="54">S15/1000</f>
        <v>-5.045394623537482</v>
      </c>
    </row>
    <row r="16" spans="1:20" x14ac:dyDescent="0.25">
      <c r="A16" s="5">
        <v>44577</v>
      </c>
      <c r="B16">
        <v>0.58730000000000004</v>
      </c>
      <c r="C16">
        <v>0.59530000000000005</v>
      </c>
      <c r="D16">
        <v>0.56310000000000004</v>
      </c>
      <c r="E16">
        <v>0.57599999999999996</v>
      </c>
      <c r="F16">
        <v>3380883</v>
      </c>
      <c r="G16">
        <v>0.57599999999999996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-0.19875776397516093</v>
      </c>
      <c r="Q16">
        <f t="shared" ref="Q16" si="56">F16*P16</f>
        <v>-671976.74534163403</v>
      </c>
      <c r="R16">
        <f t="shared" ref="R16" si="57">R17+Q16</f>
        <v>-502223873.88408536</v>
      </c>
      <c r="S16">
        <f t="shared" ref="S16" si="58">R16/100000</f>
        <v>-5022.2387388408533</v>
      </c>
      <c r="T16">
        <f t="shared" ref="T16" si="59">S16/1000</f>
        <v>-5.0222387388408531</v>
      </c>
    </row>
    <row r="17" spans="1:20" x14ac:dyDescent="0.25">
      <c r="A17" s="5">
        <v>44576</v>
      </c>
      <c r="B17">
        <v>0.56169999999999998</v>
      </c>
      <c r="C17">
        <v>0.59840000000000004</v>
      </c>
      <c r="D17">
        <v>0.55930000000000002</v>
      </c>
      <c r="E17">
        <v>0.58650000000000002</v>
      </c>
      <c r="F17">
        <v>5061930</v>
      </c>
      <c r="G17">
        <v>0.58650000000000002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0.3913043478260862</v>
      </c>
      <c r="Q17">
        <f t="shared" ref="Q17" si="61">F17*P17</f>
        <v>1980755.2173913005</v>
      </c>
      <c r="R17">
        <f t="shared" ref="R17" si="62">R18+Q17</f>
        <v>-501551897.1387437</v>
      </c>
      <c r="S17">
        <f t="shared" ref="S17" si="63">R17/100000</f>
        <v>-5015.518971387437</v>
      </c>
      <c r="T17">
        <f t="shared" ref="T17" si="64">S17/1000</f>
        <v>-5.0155189713874373</v>
      </c>
    </row>
    <row r="18" spans="1:20" x14ac:dyDescent="0.25">
      <c r="A18" s="5">
        <v>44575</v>
      </c>
      <c r="B18">
        <v>0.56320000000000003</v>
      </c>
      <c r="C18">
        <v>0.58199999999999996</v>
      </c>
      <c r="D18">
        <v>0.54420000000000002</v>
      </c>
      <c r="E18">
        <v>0.56230000000000002</v>
      </c>
      <c r="F18">
        <v>5210119</v>
      </c>
      <c r="G18">
        <v>0.56230000000000002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-4.2328042328040667E-2</v>
      </c>
      <c r="Q18">
        <f t="shared" ref="Q18" si="66">F18*P18</f>
        <v>-220534.13756612892</v>
      </c>
      <c r="R18">
        <f t="shared" ref="R18" si="67">R19+Q18</f>
        <v>-503532652.35613501</v>
      </c>
      <c r="S18">
        <f t="shared" ref="S18" si="68">R18/100000</f>
        <v>-5035.3265235613499</v>
      </c>
      <c r="T18">
        <f t="shared" ref="T18" si="69">S18/1000</f>
        <v>-5.0353265235613502</v>
      </c>
    </row>
    <row r="19" spans="1:20" x14ac:dyDescent="0.25">
      <c r="A19" s="5">
        <v>44574</v>
      </c>
      <c r="B19">
        <v>0.5948</v>
      </c>
      <c r="C19">
        <v>0.60760000000000003</v>
      </c>
      <c r="D19">
        <v>0.55810000000000004</v>
      </c>
      <c r="E19">
        <v>0.56310000000000004</v>
      </c>
      <c r="F19">
        <v>6648099</v>
      </c>
      <c r="G19">
        <v>0.56310000000000004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-0.79797979797979779</v>
      </c>
      <c r="Q19">
        <f t="shared" ref="Q19" si="71">F19*P19</f>
        <v>-5305048.6969696954</v>
      </c>
      <c r="R19">
        <f t="shared" ref="R19" si="72">R20+Q19</f>
        <v>-503312118.21856886</v>
      </c>
      <c r="S19">
        <f t="shared" ref="S19" si="73">R19/100000</f>
        <v>-5033.1211821856887</v>
      </c>
      <c r="T19">
        <f t="shared" ref="T19" si="74">S19/1000</f>
        <v>-5.0331211821856883</v>
      </c>
    </row>
    <row r="20" spans="1:20" x14ac:dyDescent="0.25">
      <c r="A20" s="5">
        <v>44573</v>
      </c>
      <c r="B20">
        <v>0.54100000000000004</v>
      </c>
      <c r="C20">
        <v>0.6018</v>
      </c>
      <c r="D20">
        <v>0.53759999999999997</v>
      </c>
      <c r="E20">
        <v>0.59440000000000004</v>
      </c>
      <c r="F20">
        <v>9959208</v>
      </c>
      <c r="G20">
        <v>0.59440000000000004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0.76947040498442498</v>
      </c>
      <c r="Q20">
        <f t="shared" ref="Q20" si="76">F20*P20</f>
        <v>7663315.8130841255</v>
      </c>
      <c r="R20">
        <f t="shared" ref="R20" si="77">R21+Q20</f>
        <v>-498007069.52159917</v>
      </c>
      <c r="S20">
        <f t="shared" ref="S20" si="78">R20/100000</f>
        <v>-4980.0706952159917</v>
      </c>
      <c r="T20">
        <f t="shared" ref="T20" si="79">S20/1000</f>
        <v>-4.9800706952159919</v>
      </c>
    </row>
    <row r="21" spans="1:20" x14ac:dyDescent="0.25">
      <c r="A21" s="5">
        <v>44572</v>
      </c>
      <c r="B21">
        <v>0.51180000000000003</v>
      </c>
      <c r="C21">
        <v>0.56999999999999995</v>
      </c>
      <c r="D21">
        <v>0.505</v>
      </c>
      <c r="E21">
        <v>0.54090000000000005</v>
      </c>
      <c r="F21">
        <v>14800821</v>
      </c>
      <c r="G21">
        <v>0.54090000000000005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0.10461538461538684</v>
      </c>
      <c r="Q21">
        <f t="shared" ref="Q21" si="81">F21*P21</f>
        <v>1548393.5815384944</v>
      </c>
      <c r="R21">
        <f t="shared" ref="R21" si="82">R22+Q21</f>
        <v>-505670385.3346833</v>
      </c>
      <c r="S21">
        <f t="shared" ref="S21" si="83">R21/100000</f>
        <v>-5056.7038533468331</v>
      </c>
      <c r="T21">
        <f t="shared" ref="T21" si="84">S21/1000</f>
        <v>-5.0567038533468329</v>
      </c>
    </row>
    <row r="22" spans="1:20" x14ac:dyDescent="0.25">
      <c r="A22" s="5">
        <v>44571</v>
      </c>
      <c r="B22">
        <v>0.54420000000000002</v>
      </c>
      <c r="C22">
        <v>0.55549999999999999</v>
      </c>
      <c r="D22">
        <v>0.49309999999999998</v>
      </c>
      <c r="E22">
        <v>0.51180000000000003</v>
      </c>
      <c r="F22">
        <v>8403983</v>
      </c>
      <c r="G22">
        <v>0.51180000000000003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-0.40064102564102416</v>
      </c>
      <c r="Q22">
        <f t="shared" ref="Q22" si="86">F22*P22</f>
        <v>-3366980.3685897309</v>
      </c>
      <c r="R22">
        <f t="shared" ref="R22" si="87">R23+Q22</f>
        <v>-507218778.9162218</v>
      </c>
      <c r="S22">
        <f t="shared" ref="S22" si="88">R22/100000</f>
        <v>-5072.187789162218</v>
      </c>
      <c r="T22">
        <f t="shared" ref="T22" si="89">S22/1000</f>
        <v>-5.0721877891622178</v>
      </c>
    </row>
    <row r="23" spans="1:20" x14ac:dyDescent="0.25">
      <c r="A23" s="5">
        <v>44570</v>
      </c>
      <c r="B23">
        <v>0.52259999999999995</v>
      </c>
      <c r="C23">
        <v>0.55879999999999996</v>
      </c>
      <c r="D23">
        <v>0.51949999999999996</v>
      </c>
      <c r="E23">
        <v>0.5454</v>
      </c>
      <c r="F23">
        <v>3159315</v>
      </c>
      <c r="G23">
        <v>0.5454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0.31806615776081593</v>
      </c>
      <c r="Q23">
        <f t="shared" ref="Q23" si="91">F23*P23</f>
        <v>1004871.1832061121</v>
      </c>
      <c r="R23">
        <f t="shared" ref="R23" si="92">R24+Q23</f>
        <v>-503851798.54763204</v>
      </c>
      <c r="S23">
        <f t="shared" ref="S23" si="93">R23/100000</f>
        <v>-5038.5179854763201</v>
      </c>
      <c r="T23">
        <f t="shared" ref="T23" si="94">S23/1000</f>
        <v>-5.0385179854763198</v>
      </c>
    </row>
    <row r="24" spans="1:20" x14ac:dyDescent="0.25">
      <c r="A24" s="5">
        <v>44569</v>
      </c>
      <c r="B24">
        <v>0.55420000000000003</v>
      </c>
      <c r="C24">
        <v>0.56989999999999996</v>
      </c>
      <c r="D24">
        <v>0.5071</v>
      </c>
      <c r="E24">
        <v>0.52229999999999999</v>
      </c>
      <c r="F24">
        <v>4033210.09</v>
      </c>
      <c r="G24">
        <v>0.52229999999999999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-0.51592356687898089</v>
      </c>
      <c r="Q24">
        <f t="shared" ref="Q24" si="96">F24*P24</f>
        <v>-2080828.1356050954</v>
      </c>
      <c r="R24">
        <f t="shared" ref="R24" si="97">R25+Q24</f>
        <v>-504856669.73083818</v>
      </c>
      <c r="S24">
        <f t="shared" ref="S24" si="98">R24/100000</f>
        <v>-5048.5666973083817</v>
      </c>
      <c r="T24">
        <f t="shared" ref="T24" si="99">S24/1000</f>
        <v>-5.0485666973083818</v>
      </c>
    </row>
    <row r="25" spans="1:20" x14ac:dyDescent="0.25">
      <c r="A25" s="5">
        <v>44568</v>
      </c>
      <c r="B25">
        <v>0.60209999999999997</v>
      </c>
      <c r="C25">
        <v>0.60550000000000004</v>
      </c>
      <c r="D25">
        <v>0.5343</v>
      </c>
      <c r="E25">
        <v>0.5514</v>
      </c>
      <c r="F25">
        <v>8871147</v>
      </c>
      <c r="G25">
        <v>0.5514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-0.51966292134831482</v>
      </c>
      <c r="Q25">
        <f t="shared" ref="Q25" si="101">F25*P25</f>
        <v>-4610006.1657303385</v>
      </c>
      <c r="R25">
        <f t="shared" ref="R25" si="102">R26+Q25</f>
        <v>-502775841.59523308</v>
      </c>
      <c r="S25">
        <f t="shared" ref="S25" si="103">R25/100000</f>
        <v>-5027.7584159523312</v>
      </c>
      <c r="T25">
        <f t="shared" ref="T25" si="104">S25/1000</f>
        <v>-5.0277584159523316</v>
      </c>
    </row>
    <row r="26" spans="1:20" x14ac:dyDescent="0.25">
      <c r="A26" s="5">
        <v>44567</v>
      </c>
      <c r="B26">
        <v>0.62680000000000002</v>
      </c>
      <c r="C26">
        <v>0.63139999999999996</v>
      </c>
      <c r="D26">
        <v>0.5867</v>
      </c>
      <c r="E26">
        <v>0.60240000000000005</v>
      </c>
      <c r="F26">
        <v>9070494</v>
      </c>
      <c r="G26">
        <v>0.60240000000000005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-0.29753914988814045</v>
      </c>
      <c r="Q26">
        <f t="shared" ref="Q26" si="106">F26*P26</f>
        <v>-2698827.0738254786</v>
      </c>
      <c r="R26">
        <f t="shared" ref="R26" si="107">R27+Q26</f>
        <v>-498165835.42950273</v>
      </c>
      <c r="S26">
        <f t="shared" ref="S26" si="108">R26/100000</f>
        <v>-4981.6583542950275</v>
      </c>
      <c r="T26">
        <f t="shared" ref="T26" si="109">S26/1000</f>
        <v>-4.9816583542950275</v>
      </c>
    </row>
    <row r="27" spans="1:20" x14ac:dyDescent="0.25">
      <c r="A27" s="5">
        <v>44566</v>
      </c>
      <c r="B27">
        <v>0.69640000000000002</v>
      </c>
      <c r="C27">
        <v>0.72909999999999997</v>
      </c>
      <c r="D27">
        <v>0.59240000000000004</v>
      </c>
      <c r="E27">
        <v>0.62760000000000005</v>
      </c>
      <c r="F27">
        <v>8377812.3799999999</v>
      </c>
      <c r="G27">
        <v>0.62760000000000005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-0.48500365764447656</v>
      </c>
      <c r="Q27">
        <f t="shared" ref="Q27" si="111">F27*P27</f>
        <v>-4063269.6473591775</v>
      </c>
      <c r="R27">
        <f t="shared" ref="R27" si="112">R28+Q27</f>
        <v>-495467008.35567725</v>
      </c>
      <c r="S27">
        <f t="shared" ref="S27" si="113">R27/100000</f>
        <v>-4954.6700835567726</v>
      </c>
      <c r="T27">
        <f t="shared" ref="T27" si="114">S27/1000</f>
        <v>-4.9546700835567723</v>
      </c>
    </row>
    <row r="28" spans="1:20" x14ac:dyDescent="0.25">
      <c r="A28" s="5">
        <v>44565</v>
      </c>
      <c r="B28">
        <v>0.70230000000000004</v>
      </c>
      <c r="C28">
        <v>0.72519999999999996</v>
      </c>
      <c r="D28">
        <v>0.68440000000000001</v>
      </c>
      <c r="E28">
        <v>0.69810000000000005</v>
      </c>
      <c r="F28">
        <v>6399312</v>
      </c>
      <c r="G28">
        <v>0.69810000000000005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-0.3284313725490165</v>
      </c>
      <c r="Q28">
        <f t="shared" ref="Q28" si="116">F28*P28</f>
        <v>-2101734.823529392</v>
      </c>
      <c r="R28">
        <f t="shared" ref="R28" si="117">R29+Q28</f>
        <v>-491403738.70831805</v>
      </c>
      <c r="S28">
        <f t="shared" ref="S28" si="118">R28/100000</f>
        <v>-4914.0373870831809</v>
      </c>
      <c r="T28">
        <f t="shared" ref="T28" si="119">S28/1000</f>
        <v>-4.9140373870831811</v>
      </c>
    </row>
    <row r="29" spans="1:20" x14ac:dyDescent="0.25">
      <c r="A29" s="5">
        <v>44564</v>
      </c>
      <c r="B29">
        <v>0.69689999999999996</v>
      </c>
      <c r="C29">
        <v>0.75129999999999997</v>
      </c>
      <c r="D29">
        <v>0.68189999999999995</v>
      </c>
      <c r="E29">
        <v>0.70189999999999997</v>
      </c>
      <c r="F29">
        <v>13009016</v>
      </c>
      <c r="G29">
        <v>0.70189999999999997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-0.42363112391930796</v>
      </c>
      <c r="Q29">
        <f t="shared" ref="Q29" si="121">F29*P29</f>
        <v>-5511024.0691642603</v>
      </c>
      <c r="R29">
        <f t="shared" ref="R29" si="122">R30+Q29</f>
        <v>-489302003.88478869</v>
      </c>
      <c r="S29">
        <f t="shared" ref="S29" si="123">R29/100000</f>
        <v>-4893.020038847887</v>
      </c>
      <c r="T29">
        <f t="shared" ref="T29" si="124">S29/1000</f>
        <v>-4.8930200388478866</v>
      </c>
    </row>
    <row r="30" spans="1:20" x14ac:dyDescent="0.25">
      <c r="A30" s="5">
        <v>44563</v>
      </c>
      <c r="B30">
        <v>0.69920000000000004</v>
      </c>
      <c r="C30">
        <v>0.70399999999999996</v>
      </c>
      <c r="D30">
        <v>0.68140000000000001</v>
      </c>
      <c r="E30">
        <v>0.69779999999999998</v>
      </c>
      <c r="F30">
        <v>2007429</v>
      </c>
      <c r="G30">
        <v>0.69779999999999998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0.45132743362831895</v>
      </c>
      <c r="Q30">
        <f t="shared" ref="Q30" si="126">F30*P30</f>
        <v>906007.77876106265</v>
      </c>
      <c r="R30">
        <f t="shared" ref="R30" si="127">R31+Q30</f>
        <v>-483790979.81562442</v>
      </c>
      <c r="S30">
        <f t="shared" ref="S30" si="128">R30/100000</f>
        <v>-4837.9097981562445</v>
      </c>
      <c r="T30">
        <f t="shared" ref="T30" si="129">S30/1000</f>
        <v>-4.8379097981562449</v>
      </c>
    </row>
    <row r="31" spans="1:20" x14ac:dyDescent="0.25">
      <c r="A31" s="5">
        <v>44562</v>
      </c>
      <c r="B31">
        <v>0.66</v>
      </c>
      <c r="C31">
        <v>0.7</v>
      </c>
      <c r="D31">
        <v>0.65980000000000005</v>
      </c>
      <c r="E31">
        <v>0.69950000000000001</v>
      </c>
      <c r="F31">
        <v>2047854</v>
      </c>
      <c r="G31">
        <v>0.69950000000000001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0.9751243781094554</v>
      </c>
      <c r="Q31">
        <f t="shared" ref="Q31" si="131">F31*P31</f>
        <v>1996912.3582089606</v>
      </c>
      <c r="R31">
        <f t="shared" ref="R31" si="132">R32+Q31</f>
        <v>-484696987.5943855</v>
      </c>
      <c r="S31">
        <f t="shared" ref="S31" si="133">R31/100000</f>
        <v>-4846.9698759438552</v>
      </c>
      <c r="T31">
        <f t="shared" ref="T31" si="134">S31/1000</f>
        <v>-4.8469698759438549</v>
      </c>
    </row>
    <row r="32" spans="1:20" x14ac:dyDescent="0.25">
      <c r="A32" s="5">
        <v>44561</v>
      </c>
      <c r="B32">
        <v>0.6895</v>
      </c>
      <c r="C32">
        <v>0.70479999999999998</v>
      </c>
      <c r="D32">
        <v>0.65080000000000005</v>
      </c>
      <c r="E32">
        <v>0.65900000000000003</v>
      </c>
      <c r="F32">
        <v>4278102</v>
      </c>
      <c r="G32">
        <v>0.65900000000000003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-0.69629629629629652</v>
      </c>
      <c r="Q32">
        <f t="shared" ref="Q32" si="136">F32*P32</f>
        <v>-2978826.5777777787</v>
      </c>
      <c r="R32">
        <f t="shared" ref="R32" si="137">R33+Q32</f>
        <v>-486693899.95259446</v>
      </c>
      <c r="S32">
        <f t="shared" ref="S32" si="138">R32/100000</f>
        <v>-4866.9389995259444</v>
      </c>
      <c r="T32">
        <f t="shared" ref="T32" si="139">S32/1000</f>
        <v>-4.866938999525944</v>
      </c>
    </row>
    <row r="33" spans="1:20" x14ac:dyDescent="0.25">
      <c r="A33" s="5">
        <v>44560</v>
      </c>
      <c r="B33">
        <v>0.68320000000000003</v>
      </c>
      <c r="C33">
        <v>0.70220000000000005</v>
      </c>
      <c r="D33">
        <v>0.66490000000000005</v>
      </c>
      <c r="E33">
        <v>0.6895</v>
      </c>
      <c r="F33">
        <v>4598462</v>
      </c>
      <c r="G33">
        <v>0.6895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0.31903485254691449</v>
      </c>
      <c r="Q33">
        <f t="shared" ref="Q33" si="141">F33*P33</f>
        <v>1467069.6461125896</v>
      </c>
      <c r="R33">
        <f t="shared" ref="R33" si="142">R34+Q33</f>
        <v>-483715073.37481666</v>
      </c>
      <c r="S33">
        <f t="shared" ref="S33" si="143">R33/100000</f>
        <v>-4837.1507337481662</v>
      </c>
      <c r="T33">
        <f t="shared" ref="T33" si="144">S33/1000</f>
        <v>-4.8371507337481665</v>
      </c>
    </row>
    <row r="34" spans="1:20" x14ac:dyDescent="0.25">
      <c r="A34" s="5">
        <v>44559</v>
      </c>
      <c r="B34">
        <v>0.71209999999999996</v>
      </c>
      <c r="C34">
        <v>0.72940000000000005</v>
      </c>
      <c r="D34">
        <v>0.67469999999999997</v>
      </c>
      <c r="E34">
        <v>0.6835</v>
      </c>
      <c r="F34">
        <v>4196998</v>
      </c>
      <c r="G34">
        <v>0.6835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-0.67824497257769589</v>
      </c>
      <c r="Q34">
        <f t="shared" ref="Q34" si="146">F34*P34</f>
        <v>-2846592.7934186445</v>
      </c>
      <c r="R34">
        <f t="shared" ref="R34" si="147">R35+Q34</f>
        <v>-485182143.02092922</v>
      </c>
      <c r="S34">
        <f t="shared" ref="S34" si="148">R34/100000</f>
        <v>-4851.821430209292</v>
      </c>
      <c r="T34">
        <f t="shared" ref="T34" si="149">S34/1000</f>
        <v>-4.8518214302092924</v>
      </c>
    </row>
    <row r="35" spans="1:20" x14ac:dyDescent="0.25">
      <c r="A35" s="5">
        <v>44558</v>
      </c>
      <c r="B35">
        <v>0.77439999999999998</v>
      </c>
      <c r="C35">
        <v>0.77439999999999998</v>
      </c>
      <c r="D35">
        <v>0.70140000000000002</v>
      </c>
      <c r="E35">
        <v>0.71260000000000001</v>
      </c>
      <c r="F35">
        <v>4406695</v>
      </c>
      <c r="G35">
        <v>0.71260000000000001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-0.693150684931507</v>
      </c>
      <c r="Q35">
        <f t="shared" ref="Q35" si="151">F35*P35</f>
        <v>-3054503.6575342473</v>
      </c>
      <c r="R35">
        <f t="shared" ref="R35" si="152">R36+Q35</f>
        <v>-482335550.22751057</v>
      </c>
      <c r="S35">
        <f t="shared" ref="S35" si="153">R35/100000</f>
        <v>-4823.3555022751061</v>
      </c>
      <c r="T35">
        <f t="shared" ref="T35" si="154">S35/1000</f>
        <v>-4.8233555022751062</v>
      </c>
    </row>
    <row r="36" spans="1:20" x14ac:dyDescent="0.25">
      <c r="A36" s="5">
        <v>44557</v>
      </c>
      <c r="B36">
        <v>0.75039999999999996</v>
      </c>
      <c r="C36">
        <v>0.85</v>
      </c>
      <c r="D36">
        <v>0.745</v>
      </c>
      <c r="E36">
        <v>0.77500000000000002</v>
      </c>
      <c r="F36">
        <v>8752943</v>
      </c>
      <c r="G36">
        <v>0.77500000000000002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-0.42857142857142799</v>
      </c>
      <c r="Q36">
        <f t="shared" ref="Q36" si="156">F36*P36</f>
        <v>-3751261.2857142808</v>
      </c>
      <c r="R36">
        <f t="shared" ref="R36" si="157">R37+Q36</f>
        <v>-479281046.56997633</v>
      </c>
      <c r="S36">
        <f t="shared" ref="S36" si="158">R36/100000</f>
        <v>-4792.810465699763</v>
      </c>
      <c r="T36">
        <f t="shared" ref="T36" si="159">S36/1000</f>
        <v>-4.7928104656997625</v>
      </c>
    </row>
    <row r="37" spans="1:20" x14ac:dyDescent="0.25">
      <c r="A37" s="5">
        <v>44556</v>
      </c>
      <c r="B37">
        <v>0.76390000000000002</v>
      </c>
      <c r="C37">
        <v>0.76859999999999995</v>
      </c>
      <c r="D37">
        <v>0.7258</v>
      </c>
      <c r="E37">
        <v>0.75</v>
      </c>
      <c r="F37">
        <v>4303043</v>
      </c>
      <c r="G37">
        <v>0.75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0.13084112149532842</v>
      </c>
      <c r="Q37">
        <f t="shared" ref="Q37" si="161">F37*P37</f>
        <v>563014.97196262248</v>
      </c>
      <c r="R37">
        <f t="shared" ref="R37" si="162">R38+Q37</f>
        <v>-475529785.28426206</v>
      </c>
      <c r="S37">
        <f t="shared" ref="S37" si="163">R37/100000</f>
        <v>-4755.2978528426202</v>
      </c>
      <c r="T37">
        <f t="shared" ref="T37" si="164">S37/1000</f>
        <v>-4.7552978528426202</v>
      </c>
    </row>
    <row r="38" spans="1:20" x14ac:dyDescent="0.25">
      <c r="A38" s="5">
        <v>44555</v>
      </c>
      <c r="B38">
        <v>0.74390000000000001</v>
      </c>
      <c r="C38">
        <v>0.77500000000000002</v>
      </c>
      <c r="D38">
        <v>0.73799999999999999</v>
      </c>
      <c r="E38">
        <v>0.76439999999999997</v>
      </c>
      <c r="F38">
        <v>2220971</v>
      </c>
      <c r="G38">
        <v>0.76439999999999997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0.42702702702702461</v>
      </c>
      <c r="Q38">
        <f t="shared" ref="Q38" si="166">F38*P38</f>
        <v>948414.64324323786</v>
      </c>
      <c r="R38">
        <f t="shared" ref="R38" si="167">R39+Q38</f>
        <v>-476092800.25622469</v>
      </c>
      <c r="S38">
        <f t="shared" ref="S38" si="168">R38/100000</f>
        <v>-4760.9280025622465</v>
      </c>
      <c r="T38">
        <f t="shared" ref="T38" si="169">S38/1000</f>
        <v>-4.7609280025622462</v>
      </c>
    </row>
    <row r="39" spans="1:20" x14ac:dyDescent="0.25">
      <c r="A39" s="5">
        <v>44554</v>
      </c>
      <c r="B39">
        <v>0.77759999999999996</v>
      </c>
      <c r="C39">
        <v>0.78869999999999996</v>
      </c>
      <c r="D39">
        <v>0.73240000000000005</v>
      </c>
      <c r="E39">
        <v>0.74329999999999996</v>
      </c>
      <c r="F39">
        <v>3454998</v>
      </c>
      <c r="G39">
        <v>0.74329999999999996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-0.61278863232682312</v>
      </c>
      <c r="Q39">
        <f t="shared" ref="Q39" si="171">F39*P39</f>
        <v>-2117183.4991119094</v>
      </c>
      <c r="R39">
        <f t="shared" ref="R39" si="172">R40+Q39</f>
        <v>-477041214.89946795</v>
      </c>
      <c r="S39">
        <f t="shared" ref="S39" si="173">R39/100000</f>
        <v>-4770.4121489946792</v>
      </c>
      <c r="T39">
        <f t="shared" ref="T39" si="174">S39/1000</f>
        <v>-4.7704121489946791</v>
      </c>
    </row>
    <row r="40" spans="1:20" x14ac:dyDescent="0.25">
      <c r="A40" s="5">
        <v>44553</v>
      </c>
      <c r="B40">
        <v>0.72760000000000002</v>
      </c>
      <c r="C40">
        <v>0.78</v>
      </c>
      <c r="D40">
        <v>0.71450000000000002</v>
      </c>
      <c r="E40">
        <v>0.77769999999999995</v>
      </c>
      <c r="F40">
        <v>5067992</v>
      </c>
      <c r="G40">
        <v>0.77769999999999995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0.92977099236640981</v>
      </c>
      <c r="Q40">
        <f t="shared" ref="Q40" si="176">F40*P40</f>
        <v>4712071.9511450259</v>
      </c>
      <c r="R40">
        <f t="shared" ref="R40" si="177">R41+Q40</f>
        <v>-474924031.40035605</v>
      </c>
      <c r="S40">
        <f t="shared" ref="S40" si="178">R40/100000</f>
        <v>-4749.2403140035603</v>
      </c>
      <c r="T40">
        <f t="shared" ref="T40" si="179">S40/1000</f>
        <v>-4.7492403140035604</v>
      </c>
    </row>
    <row r="41" spans="1:20" x14ac:dyDescent="0.25">
      <c r="A41" s="5">
        <v>44552</v>
      </c>
      <c r="B41">
        <v>0.70269999999999999</v>
      </c>
      <c r="C41">
        <v>0.76239999999999997</v>
      </c>
      <c r="D41">
        <v>0.7026</v>
      </c>
      <c r="E41">
        <v>0.72840000000000005</v>
      </c>
      <c r="F41">
        <v>6129373</v>
      </c>
      <c r="G41">
        <v>0.72840000000000005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-0.13712374581939596</v>
      </c>
      <c r="Q41">
        <f t="shared" ref="Q41" si="181">F41*P41</f>
        <v>-840482.58528426848</v>
      </c>
      <c r="R41">
        <f t="shared" ref="R41" si="182">R42+Q41</f>
        <v>-479636103.35150111</v>
      </c>
      <c r="S41">
        <f t="shared" ref="S41" si="183">R41/100000</f>
        <v>-4796.3610335150115</v>
      </c>
      <c r="T41">
        <f t="shared" ref="T41" si="184">S41/1000</f>
        <v>-4.7963610335150113</v>
      </c>
    </row>
    <row r="42" spans="1:20" x14ac:dyDescent="0.25">
      <c r="A42" s="5">
        <v>44551</v>
      </c>
      <c r="B42">
        <v>0.66769999999999996</v>
      </c>
      <c r="C42">
        <v>0.70799999999999996</v>
      </c>
      <c r="D42">
        <v>0.66290000000000004</v>
      </c>
      <c r="E42">
        <v>0.70379999999999998</v>
      </c>
      <c r="F42">
        <v>2811480</v>
      </c>
      <c r="G42">
        <v>0.70379999999999998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0.81374722838137525</v>
      </c>
      <c r="Q42">
        <f t="shared" ref="Q42" si="186">F42*P42</f>
        <v>2287834.0576496688</v>
      </c>
      <c r="R42">
        <f t="shared" ref="R42" si="187">R43+Q42</f>
        <v>-478795620.76621681</v>
      </c>
      <c r="S42">
        <f t="shared" ref="S42" si="188">R42/100000</f>
        <v>-4787.9562076621678</v>
      </c>
      <c r="T42">
        <f t="shared" ref="T42" si="189">S42/1000</f>
        <v>-4.7879562076621678</v>
      </c>
    </row>
    <row r="43" spans="1:20" x14ac:dyDescent="0.25">
      <c r="A43" s="5">
        <v>44550</v>
      </c>
      <c r="B43">
        <v>0.68169999999999997</v>
      </c>
      <c r="C43">
        <v>0.69020000000000004</v>
      </c>
      <c r="D43">
        <v>0.64190000000000003</v>
      </c>
      <c r="E43">
        <v>0.6663</v>
      </c>
      <c r="F43">
        <v>2620524</v>
      </c>
      <c r="G43">
        <v>0.6663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1.0351966873704863E-2</v>
      </c>
      <c r="Q43">
        <f t="shared" ref="Q43" si="191">F43*P43</f>
        <v>27127.577639748561</v>
      </c>
      <c r="R43">
        <f t="shared" ref="R43" si="192">R44+Q43</f>
        <v>-481083454.82386649</v>
      </c>
      <c r="S43">
        <f t="shared" ref="S43" si="193">R43/100000</f>
        <v>-4810.8345482386649</v>
      </c>
      <c r="T43">
        <f t="shared" ref="T43" si="194">S43/1000</f>
        <v>-4.810834548238665</v>
      </c>
    </row>
    <row r="44" spans="1:20" x14ac:dyDescent="0.25">
      <c r="A44" s="5">
        <v>44549</v>
      </c>
      <c r="B44">
        <v>0.67949999999999999</v>
      </c>
      <c r="C44">
        <v>0.73839999999999995</v>
      </c>
      <c r="D44">
        <v>0.66820000000000002</v>
      </c>
      <c r="E44">
        <v>0.68169999999999997</v>
      </c>
      <c r="F44">
        <v>7179276</v>
      </c>
      <c r="G44">
        <v>0.68169999999999997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-0.6153846153846162</v>
      </c>
      <c r="Q44">
        <f t="shared" ref="Q44" si="196">F44*P44</f>
        <v>-4418016.0000000056</v>
      </c>
      <c r="R44">
        <f t="shared" ref="R44" si="197">R45+Q44</f>
        <v>-481110582.40150625</v>
      </c>
      <c r="S44">
        <f t="shared" ref="S44" si="198">R44/100000</f>
        <v>-4811.1058240150624</v>
      </c>
      <c r="T44">
        <f t="shared" ref="T44" si="199">S44/1000</f>
        <v>-4.8111058240150619</v>
      </c>
    </row>
    <row r="45" spans="1:20" x14ac:dyDescent="0.25">
      <c r="A45" s="5">
        <v>44548</v>
      </c>
      <c r="B45">
        <v>0.6552</v>
      </c>
      <c r="C45">
        <v>0.70879999999999999</v>
      </c>
      <c r="D45">
        <v>0.64280000000000004</v>
      </c>
      <c r="E45">
        <v>0.68010000000000004</v>
      </c>
      <c r="F45">
        <v>3471855</v>
      </c>
      <c r="G45">
        <v>0.68010000000000004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0.1303030303030312</v>
      </c>
      <c r="Q45">
        <f t="shared" ref="Q45" si="201">F45*P45</f>
        <v>452393.22727273038</v>
      </c>
      <c r="R45">
        <f t="shared" ref="R45" si="202">R46+Q45</f>
        <v>-476692566.40150625</v>
      </c>
      <c r="S45">
        <f t="shared" ref="S45" si="203">R45/100000</f>
        <v>-4766.9256640150625</v>
      </c>
      <c r="T45">
        <f t="shared" ref="T45" si="204">S45/1000</f>
        <v>-4.7669256640150621</v>
      </c>
    </row>
    <row r="46" spans="1:20" x14ac:dyDescent="0.25">
      <c r="A46" s="5">
        <v>44547</v>
      </c>
      <c r="B46">
        <v>0.66610000000000003</v>
      </c>
      <c r="C46">
        <v>0.68220000000000003</v>
      </c>
      <c r="D46">
        <v>0.63590000000000002</v>
      </c>
      <c r="E46">
        <v>0.65339999999999998</v>
      </c>
      <c r="F46">
        <v>3112126</v>
      </c>
      <c r="G46">
        <v>0.65339999999999998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-0.24406047516198889</v>
      </c>
      <c r="Q46">
        <f t="shared" ref="Q46" si="206">F46*P46</f>
        <v>-759546.95032397984</v>
      </c>
      <c r="R46">
        <f t="shared" ref="R46" si="207">R47+Q46</f>
        <v>-477144959.62877899</v>
      </c>
      <c r="S46">
        <f t="shared" ref="S46" si="208">R46/100000</f>
        <v>-4771.44959628779</v>
      </c>
      <c r="T46">
        <f t="shared" ref="T46" si="209">S46/1000</f>
        <v>-4.7714495962877903</v>
      </c>
    </row>
    <row r="47" spans="1:20" x14ac:dyDescent="0.25">
      <c r="A47" s="5">
        <v>44546</v>
      </c>
      <c r="B47">
        <v>0.68569999999999998</v>
      </c>
      <c r="C47">
        <v>0.70650000000000002</v>
      </c>
      <c r="D47">
        <v>0.66500000000000004</v>
      </c>
      <c r="E47">
        <v>0.66639999999999999</v>
      </c>
      <c r="F47">
        <v>3724675</v>
      </c>
      <c r="G47">
        <v>0.66639999999999999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-0.93253012048192974</v>
      </c>
      <c r="Q47">
        <f t="shared" ref="Q47" si="211">F47*P47</f>
        <v>-3473371.6265060315</v>
      </c>
      <c r="R47">
        <f t="shared" ref="R47" si="212">R48+Q47</f>
        <v>-476385412.678455</v>
      </c>
      <c r="S47">
        <f t="shared" ref="S47" si="213">R47/100000</f>
        <v>-4763.8541267845503</v>
      </c>
      <c r="T47">
        <f t="shared" ref="T47" si="214">S47/1000</f>
        <v>-4.7638541267845502</v>
      </c>
    </row>
    <row r="48" spans="1:20" x14ac:dyDescent="0.25">
      <c r="A48" s="5">
        <v>44545</v>
      </c>
      <c r="B48">
        <v>0.66520000000000001</v>
      </c>
      <c r="C48">
        <v>0.74070000000000003</v>
      </c>
      <c r="D48">
        <v>0.63739999999999997</v>
      </c>
      <c r="E48">
        <v>0.68530000000000002</v>
      </c>
      <c r="F48">
        <v>15291136</v>
      </c>
      <c r="G48">
        <v>0.68530000000000002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-7.2604065827685832E-2</v>
      </c>
      <c r="Q48">
        <f t="shared" ref="Q48" si="216">F48*P48</f>
        <v>-1110198.6447240966</v>
      </c>
      <c r="R48">
        <f t="shared" ref="R48" si="217">R49+Q48</f>
        <v>-472912041.05194896</v>
      </c>
      <c r="S48">
        <f t="shared" ref="S48" si="218">R48/100000</f>
        <v>-4729.1204105194893</v>
      </c>
      <c r="T48">
        <f t="shared" ref="T48" si="219">S48/1000</f>
        <v>-4.7291204105194895</v>
      </c>
    </row>
    <row r="49" spans="1:20" x14ac:dyDescent="0.25">
      <c r="A49" s="5">
        <v>44544</v>
      </c>
      <c r="B49">
        <v>0.64749999999999996</v>
      </c>
      <c r="C49">
        <v>0.67949999999999999</v>
      </c>
      <c r="D49">
        <v>0.63390000000000002</v>
      </c>
      <c r="E49">
        <v>0.66559999999999997</v>
      </c>
      <c r="F49">
        <v>4406980</v>
      </c>
      <c r="G49">
        <v>0.66559999999999997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0.39035087719298106</v>
      </c>
      <c r="Q49">
        <f t="shared" ref="Q49" si="221">F49*P49</f>
        <v>1720268.5087719236</v>
      </c>
      <c r="R49">
        <f t="shared" ref="R49" si="222">R50+Q49</f>
        <v>-471801842.40722489</v>
      </c>
      <c r="S49">
        <f t="shared" ref="S49" si="223">R49/100000</f>
        <v>-4718.0184240722492</v>
      </c>
      <c r="T49">
        <f t="shared" ref="T49" si="224">S49/1000</f>
        <v>-4.7180184240722491</v>
      </c>
    </row>
    <row r="50" spans="1:20" x14ac:dyDescent="0.25">
      <c r="A50" s="5">
        <v>44543</v>
      </c>
      <c r="B50">
        <v>0.7409</v>
      </c>
      <c r="C50">
        <v>0.74750000000000005</v>
      </c>
      <c r="D50">
        <v>0.6341</v>
      </c>
      <c r="E50">
        <v>0.64800000000000002</v>
      </c>
      <c r="F50">
        <v>6255393</v>
      </c>
      <c r="G50">
        <v>0.64800000000000002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-0.75485008818342125</v>
      </c>
      <c r="Q50">
        <f t="shared" ref="Q50" si="226">F50*P50</f>
        <v>-4721883.9576719562</v>
      </c>
      <c r="R50">
        <f t="shared" ref="R50" si="227">R51+Q50</f>
        <v>-473522110.91599679</v>
      </c>
      <c r="S50">
        <f t="shared" ref="S50" si="228">R50/100000</f>
        <v>-4735.2211091599675</v>
      </c>
      <c r="T50">
        <f t="shared" ref="T50" si="229">S50/1000</f>
        <v>-4.7352211091599674</v>
      </c>
    </row>
    <row r="51" spans="1:20" x14ac:dyDescent="0.25">
      <c r="A51" s="5">
        <v>44542</v>
      </c>
      <c r="B51">
        <v>0.74729999999999996</v>
      </c>
      <c r="C51">
        <v>0.75639999999999996</v>
      </c>
      <c r="D51">
        <v>0.72099999999999997</v>
      </c>
      <c r="E51">
        <v>0.74099999999999999</v>
      </c>
      <c r="F51">
        <v>3823908</v>
      </c>
      <c r="G51">
        <v>0.74099999999999999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0.12994350282486017</v>
      </c>
      <c r="Q51">
        <f t="shared" ref="Q51" si="231">F51*P51</f>
        <v>496892.00000000541</v>
      </c>
      <c r="R51">
        <f t="shared" ref="R51" si="232">R52+Q51</f>
        <v>-468800226.95832485</v>
      </c>
      <c r="S51">
        <f t="shared" ref="S51" si="233">R51/100000</f>
        <v>-4688.0022695832486</v>
      </c>
      <c r="T51">
        <f t="shared" ref="T51" si="234">S51/1000</f>
        <v>-4.6880022695832482</v>
      </c>
    </row>
    <row r="52" spans="1:20" x14ac:dyDescent="0.25">
      <c r="A52" s="5">
        <v>44541</v>
      </c>
      <c r="B52">
        <v>0.72350000000000003</v>
      </c>
      <c r="C52">
        <v>0.7349</v>
      </c>
      <c r="D52">
        <v>0.71089999999999998</v>
      </c>
      <c r="E52">
        <v>0.73199999999999998</v>
      </c>
      <c r="F52">
        <v>229801</v>
      </c>
      <c r="G52">
        <v>0.73199999999999998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0.75833333333333242</v>
      </c>
      <c r="Q52">
        <f t="shared" ref="Q52" si="236">F52*P52</f>
        <v>174265.75833333313</v>
      </c>
      <c r="R52">
        <f t="shared" ref="R52" si="237">R53+Q52</f>
        <v>-469297118.95832485</v>
      </c>
      <c r="S52">
        <f t="shared" ref="S52" si="238">R52/100000</f>
        <v>-4692.9711895832488</v>
      </c>
      <c r="T52">
        <f t="shared" ref="T52" si="239">S52/1000</f>
        <v>-4.6929711895832487</v>
      </c>
    </row>
    <row r="53" spans="1:20" x14ac:dyDescent="0.25">
      <c r="A53" s="5">
        <v>44540</v>
      </c>
      <c r="B53">
        <v>0.75629999999999997</v>
      </c>
      <c r="C53">
        <v>0.78810000000000002</v>
      </c>
      <c r="D53">
        <v>0.71840000000000004</v>
      </c>
      <c r="E53">
        <v>0.72270000000000001</v>
      </c>
      <c r="F53">
        <v>3882950</v>
      </c>
      <c r="G53">
        <v>0.72270000000000001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-0.8766140602582505</v>
      </c>
      <c r="Q53">
        <f t="shared" ref="Q53" si="241">F53*P53</f>
        <v>-3403848.5652797739</v>
      </c>
      <c r="R53">
        <f t="shared" ref="R53" si="242">R54+Q53</f>
        <v>-469471384.71665817</v>
      </c>
      <c r="S53">
        <f t="shared" ref="S53" si="243">R53/100000</f>
        <v>-4694.7138471665821</v>
      </c>
      <c r="T53">
        <f t="shared" ref="T53" si="244">S53/1000</f>
        <v>-4.6947138471665824</v>
      </c>
    </row>
    <row r="54" spans="1:20" x14ac:dyDescent="0.25">
      <c r="A54" s="5">
        <v>44539</v>
      </c>
      <c r="B54">
        <v>0.84179999999999999</v>
      </c>
      <c r="C54">
        <v>0.84840000000000004</v>
      </c>
      <c r="D54">
        <v>0.75239999999999996</v>
      </c>
      <c r="E54">
        <v>0.75670000000000004</v>
      </c>
      <c r="F54">
        <v>5877539</v>
      </c>
      <c r="G54">
        <v>0.75670000000000004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-0.9104166666666651</v>
      </c>
      <c r="Q54">
        <f t="shared" ref="Q54" si="246">F54*P54</f>
        <v>-5351009.4645833243</v>
      </c>
      <c r="R54">
        <f t="shared" ref="R54" si="247">R55+Q54</f>
        <v>-466067536.15137839</v>
      </c>
      <c r="S54">
        <f t="shared" ref="S54" si="248">R54/100000</f>
        <v>-4660.6753615137841</v>
      </c>
      <c r="T54">
        <f t="shared" ref="T54" si="249">S54/1000</f>
        <v>-4.6606753615137837</v>
      </c>
    </row>
    <row r="55" spans="1:20" x14ac:dyDescent="0.25">
      <c r="A55" s="5">
        <v>44538</v>
      </c>
      <c r="B55">
        <v>0.84109999999999996</v>
      </c>
      <c r="C55">
        <v>0.87380000000000002</v>
      </c>
      <c r="D55">
        <v>0.79200000000000004</v>
      </c>
      <c r="E55">
        <v>0.84099999999999997</v>
      </c>
      <c r="F55">
        <v>10459844</v>
      </c>
      <c r="G55">
        <v>0.84099999999999997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0.19804400977994968</v>
      </c>
      <c r="Q55">
        <f t="shared" ref="Q55" si="251">F55*P55</f>
        <v>2071509.447432748</v>
      </c>
      <c r="R55">
        <f t="shared" ref="R55" si="252">R56+Q55</f>
        <v>-460716526.68679506</v>
      </c>
      <c r="S55">
        <f t="shared" ref="S55" si="253">R55/100000</f>
        <v>-4607.1652668679508</v>
      </c>
      <c r="T55">
        <f t="shared" ref="T55" si="254">S55/1000</f>
        <v>-4.607165266867951</v>
      </c>
    </row>
    <row r="56" spans="1:20" x14ac:dyDescent="0.25">
      <c r="A56" s="5">
        <v>44537</v>
      </c>
      <c r="B56">
        <v>0.76239999999999997</v>
      </c>
      <c r="C56">
        <v>0.86419999999999997</v>
      </c>
      <c r="D56">
        <v>0.75649999999999995</v>
      </c>
      <c r="E56">
        <v>0.84219999999999995</v>
      </c>
      <c r="F56">
        <v>14380531</v>
      </c>
      <c r="G56">
        <v>0.84219999999999995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0.59145775301764125</v>
      </c>
      <c r="Q56">
        <f t="shared" ref="Q56" si="256">F56*P56</f>
        <v>8505476.5524605345</v>
      </c>
      <c r="R56">
        <f t="shared" ref="R56" si="257">R57+Q56</f>
        <v>-462788036.13422781</v>
      </c>
      <c r="S56">
        <f t="shared" ref="S56" si="258">R56/100000</f>
        <v>-4627.8803613422779</v>
      </c>
      <c r="T56">
        <f t="shared" ref="T56" si="259">S56/1000</f>
        <v>-4.6278803613422781</v>
      </c>
    </row>
    <row r="57" spans="1:20" x14ac:dyDescent="0.25">
      <c r="A57" s="5">
        <v>44536</v>
      </c>
      <c r="B57">
        <v>0.75549999999999995</v>
      </c>
      <c r="C57">
        <v>0.77159999999999995</v>
      </c>
      <c r="D57">
        <v>0.6784</v>
      </c>
      <c r="E57">
        <v>0.7611</v>
      </c>
      <c r="F57">
        <v>8617321.5800000001</v>
      </c>
      <c r="G57">
        <v>0.7611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0.77467811158798372</v>
      </c>
      <c r="Q57">
        <f t="shared" ref="Q57" si="261">F57*P57</f>
        <v>6675650.4085407807</v>
      </c>
      <c r="R57">
        <f t="shared" ref="R57" si="262">R58+Q57</f>
        <v>-471293512.68668836</v>
      </c>
      <c r="S57">
        <f t="shared" ref="S57" si="263">R57/100000</f>
        <v>-4712.9351268668834</v>
      </c>
      <c r="T57">
        <f t="shared" ref="T57" si="264">S57/1000</f>
        <v>-4.7129351268668831</v>
      </c>
    </row>
    <row r="58" spans="1:20" x14ac:dyDescent="0.25">
      <c r="A58" s="5">
        <v>44535</v>
      </c>
      <c r="B58">
        <v>0.82630000000000003</v>
      </c>
      <c r="C58">
        <v>0.84470000000000001</v>
      </c>
      <c r="D58">
        <v>0.72109999999999996</v>
      </c>
      <c r="E58">
        <v>0.755</v>
      </c>
      <c r="F58">
        <v>9604463</v>
      </c>
      <c r="G58">
        <v>0.755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-0.45145631067961117</v>
      </c>
      <c r="Q58">
        <f t="shared" ref="Q58" si="266">F58*P58</f>
        <v>-4335995.4320388306</v>
      </c>
      <c r="R58">
        <f t="shared" ref="R58" si="267">R59+Q58</f>
        <v>-477969163.09522915</v>
      </c>
      <c r="S58">
        <f t="shared" ref="S58" si="268">R58/100000</f>
        <v>-4779.6916309522912</v>
      </c>
      <c r="T58">
        <f t="shared" ref="T58" si="269">S58/1000</f>
        <v>-4.779691630952291</v>
      </c>
    </row>
    <row r="59" spans="1:20" x14ac:dyDescent="0.25">
      <c r="A59" s="5">
        <v>44534</v>
      </c>
      <c r="B59">
        <v>0.98129999999999995</v>
      </c>
      <c r="C59">
        <v>1.0083</v>
      </c>
      <c r="D59">
        <v>0.70550000000000002</v>
      </c>
      <c r="E59">
        <v>0.82699999999999996</v>
      </c>
      <c r="F59">
        <v>26282263.579999998</v>
      </c>
      <c r="G59">
        <v>0.82699999999999996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-0.19749009247027768</v>
      </c>
      <c r="Q59">
        <f t="shared" ref="Q59" si="271">F59*P59</f>
        <v>-5190486.6647424111</v>
      </c>
      <c r="R59">
        <f t="shared" ref="R59" si="272">R60+Q59</f>
        <v>-473633167.66319031</v>
      </c>
      <c r="S59">
        <f t="shared" ref="S59" si="273">R59/100000</f>
        <v>-4736.3316766319031</v>
      </c>
      <c r="T59">
        <f t="shared" ref="T59" si="274">S59/1000</f>
        <v>-4.7363316766319032</v>
      </c>
    </row>
    <row r="60" spans="1:20" x14ac:dyDescent="0.25">
      <c r="A60" s="5">
        <v>44533</v>
      </c>
      <c r="B60">
        <v>0.94399999999999995</v>
      </c>
      <c r="C60">
        <v>1.0565</v>
      </c>
      <c r="D60">
        <v>0.89780000000000004</v>
      </c>
      <c r="E60">
        <v>0.98260000000000003</v>
      </c>
      <c r="F60">
        <v>33452591</v>
      </c>
      <c r="G60">
        <v>0.98260000000000003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6.8683049779458244E-2</v>
      </c>
      <c r="Q60">
        <f t="shared" ref="Q60" si="276">F60*P60</f>
        <v>2297625.9729048568</v>
      </c>
      <c r="R60">
        <f t="shared" ref="R60" si="277">R61+Q60</f>
        <v>-468442680.9984479</v>
      </c>
      <c r="S60">
        <f t="shared" ref="S60" si="278">R60/100000</f>
        <v>-4684.4268099844794</v>
      </c>
      <c r="T60">
        <f t="shared" ref="T60" si="279">S60/1000</f>
        <v>-4.6844268099844797</v>
      </c>
    </row>
    <row r="61" spans="1:20" x14ac:dyDescent="0.25">
      <c r="A61" s="5">
        <v>44532</v>
      </c>
      <c r="B61">
        <v>0.94769999999999999</v>
      </c>
      <c r="C61">
        <v>0.94989999999999997</v>
      </c>
      <c r="D61">
        <v>0.90559999999999996</v>
      </c>
      <c r="E61">
        <v>0.94479999999999997</v>
      </c>
      <c r="F61">
        <v>6063360</v>
      </c>
      <c r="G61">
        <v>0.94479999999999997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0.76975169300225765</v>
      </c>
      <c r="Q61">
        <f t="shared" ref="Q61" si="281">F61*P61</f>
        <v>4667281.6252821693</v>
      </c>
      <c r="R61">
        <f t="shared" ref="R61" si="282">R62+Q61</f>
        <v>-470740306.97135276</v>
      </c>
      <c r="S61">
        <f t="shared" ref="S61" si="283">R61/100000</f>
        <v>-4707.4030697135277</v>
      </c>
      <c r="T61">
        <f t="shared" ref="T61" si="284">S61/1000</f>
        <v>-4.7074030697135276</v>
      </c>
    </row>
    <row r="62" spans="1:20" x14ac:dyDescent="0.25">
      <c r="A62" s="5">
        <v>44531</v>
      </c>
      <c r="B62">
        <v>0.94010000000000005</v>
      </c>
      <c r="C62">
        <v>1.02</v>
      </c>
      <c r="D62">
        <v>0.9254</v>
      </c>
      <c r="E62">
        <v>0.9486</v>
      </c>
      <c r="F62">
        <v>17303724</v>
      </c>
      <c r="G62">
        <v>0.9486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-0.50951374207188171</v>
      </c>
      <c r="Q62">
        <f t="shared" ref="Q62" si="286">F62*P62</f>
        <v>-8816485.1670190301</v>
      </c>
      <c r="R62">
        <f t="shared" ref="R62" si="287">R63+Q62</f>
        <v>-475407588.59663492</v>
      </c>
      <c r="S62">
        <f t="shared" ref="S62" si="288">R62/100000</f>
        <v>-4754.0758859663492</v>
      </c>
      <c r="T62">
        <f t="shared" ref="T62" si="289">S62/1000</f>
        <v>-4.7540758859663494</v>
      </c>
    </row>
    <row r="63" spans="1:20" x14ac:dyDescent="0.25">
      <c r="A63" s="5">
        <v>44530</v>
      </c>
      <c r="B63">
        <v>0.9526</v>
      </c>
      <c r="C63">
        <v>0.99239999999999995</v>
      </c>
      <c r="D63">
        <v>0.90700000000000003</v>
      </c>
      <c r="E63">
        <v>0.93969999999999998</v>
      </c>
      <c r="F63">
        <v>10208360</v>
      </c>
      <c r="G63">
        <v>0.93969999999999998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-0.23419203747072642</v>
      </c>
      <c r="Q63">
        <f t="shared" ref="Q63" si="291">F63*P63</f>
        <v>-2390716.627634665</v>
      </c>
      <c r="R63">
        <f t="shared" ref="R63" si="292">R64+Q63</f>
        <v>-466591103.42961591</v>
      </c>
      <c r="S63">
        <f t="shared" ref="S63" si="293">R63/100000</f>
        <v>-4665.9110342961594</v>
      </c>
      <c r="T63">
        <f t="shared" ref="T63" si="294">S63/1000</f>
        <v>-4.6659110342961592</v>
      </c>
    </row>
    <row r="64" spans="1:20" x14ac:dyDescent="0.25">
      <c r="A64" s="5">
        <v>44529</v>
      </c>
      <c r="B64">
        <v>0.93030000000000002</v>
      </c>
      <c r="C64">
        <v>1.0266999999999999</v>
      </c>
      <c r="D64">
        <v>0.92</v>
      </c>
      <c r="E64">
        <v>0.95340000000000003</v>
      </c>
      <c r="F64">
        <v>19404017</v>
      </c>
      <c r="G64">
        <v>0.95340000000000003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-0.37394564198687885</v>
      </c>
      <c r="Q64">
        <f t="shared" ref="Q64" si="296">F64*P64</f>
        <v>-7256047.5941893114</v>
      </c>
      <c r="R64">
        <f t="shared" ref="R64" si="297">R65+Q64</f>
        <v>-464200386.80198127</v>
      </c>
      <c r="S64">
        <f t="shared" ref="S64" si="298">R64/100000</f>
        <v>-4642.0038680198131</v>
      </c>
      <c r="T64">
        <f t="shared" ref="T64" si="299">S64/1000</f>
        <v>-4.6420038680198132</v>
      </c>
    </row>
    <row r="65" spans="1:20" x14ac:dyDescent="0.25">
      <c r="A65" s="5">
        <v>44528</v>
      </c>
      <c r="B65">
        <v>0.91739999999999999</v>
      </c>
      <c r="C65">
        <v>1.038</v>
      </c>
      <c r="D65">
        <v>0.85840000000000005</v>
      </c>
      <c r="E65">
        <v>0.9304</v>
      </c>
      <c r="F65">
        <v>32902112</v>
      </c>
      <c r="G65">
        <v>0.9304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-0.19821826280623653</v>
      </c>
      <c r="Q65">
        <f t="shared" ref="Q65" si="301">F65*P65</f>
        <v>-6521799.4832962286</v>
      </c>
      <c r="R65">
        <f t="shared" ref="R65" si="302">R66+Q65</f>
        <v>-456944339.20779198</v>
      </c>
      <c r="S65">
        <f t="shared" ref="S65" si="303">R65/100000</f>
        <v>-4569.4433920779202</v>
      </c>
      <c r="T65">
        <f t="shared" ref="T65" si="304">S65/1000</f>
        <v>-4.5694433920779201</v>
      </c>
    </row>
    <row r="66" spans="1:20" x14ac:dyDescent="0.25">
      <c r="A66" s="5">
        <v>44527</v>
      </c>
      <c r="B66">
        <v>0.86080000000000001</v>
      </c>
      <c r="C66">
        <v>0.96489999999999998</v>
      </c>
      <c r="D66">
        <v>0.85129999999999995</v>
      </c>
      <c r="E66">
        <v>0.91749999999999998</v>
      </c>
      <c r="F66">
        <v>11508768</v>
      </c>
      <c r="G66">
        <v>0.91749999999999998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0.16549295774647915</v>
      </c>
      <c r="Q66">
        <f t="shared" ref="Q66" si="306">F66*P66</f>
        <v>1904620.0563380313</v>
      </c>
      <c r="R66">
        <f t="shared" ref="R66" si="307">R67+Q66</f>
        <v>-450422539.72449577</v>
      </c>
      <c r="S66">
        <f t="shared" ref="S66" si="308">R66/100000</f>
        <v>-4504.225397244958</v>
      </c>
      <c r="T66">
        <f t="shared" ref="T66" si="309">S66/1000</f>
        <v>-4.5042253972449577</v>
      </c>
    </row>
    <row r="67" spans="1:20" x14ac:dyDescent="0.25">
      <c r="A67" s="5">
        <v>44526</v>
      </c>
      <c r="B67">
        <v>0.93369999999999997</v>
      </c>
      <c r="C67">
        <v>0.95950000000000002</v>
      </c>
      <c r="D67">
        <v>0.81399999999999995</v>
      </c>
      <c r="E67">
        <v>0.86140000000000005</v>
      </c>
      <c r="F67">
        <v>12675806</v>
      </c>
      <c r="G67">
        <v>0.86140000000000005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-0.3484536082474215</v>
      </c>
      <c r="Q67">
        <f t="shared" ref="Q67" si="311">F67*P67</f>
        <v>-4416930.3381443145</v>
      </c>
      <c r="R67">
        <f t="shared" ref="R67" si="312">R68+Q67</f>
        <v>-452327159.78083378</v>
      </c>
      <c r="S67">
        <f t="shared" ref="S67" si="313">R67/100000</f>
        <v>-4523.2715978083379</v>
      </c>
      <c r="T67">
        <f t="shared" ref="T67" si="314">S67/1000</f>
        <v>-4.5232715978083382</v>
      </c>
    </row>
    <row r="68" spans="1:20" x14ac:dyDescent="0.25">
      <c r="A68" s="5">
        <v>44525</v>
      </c>
      <c r="B68">
        <v>0.89649999999999996</v>
      </c>
      <c r="C68">
        <v>0.95920000000000005</v>
      </c>
      <c r="D68">
        <v>0.88780000000000003</v>
      </c>
      <c r="E68">
        <v>0.93330000000000002</v>
      </c>
      <c r="F68">
        <v>8408376</v>
      </c>
      <c r="G68">
        <v>0.93330000000000002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0.27450980392156787</v>
      </c>
      <c r="Q68">
        <f t="shared" ref="Q68" si="316">F68*P68</f>
        <v>2308181.6470588171</v>
      </c>
      <c r="R68">
        <f t="shared" ref="R68" si="317">R69+Q68</f>
        <v>-447910229.44268948</v>
      </c>
      <c r="S68">
        <f t="shared" ref="S68" si="318">R68/100000</f>
        <v>-4479.1022944268943</v>
      </c>
      <c r="T68">
        <f t="shared" ref="T68" si="319">S68/1000</f>
        <v>-4.4791022944268946</v>
      </c>
    </row>
    <row r="69" spans="1:20" x14ac:dyDescent="0.25">
      <c r="A69" s="5">
        <v>44524</v>
      </c>
      <c r="B69">
        <v>0.93710000000000004</v>
      </c>
      <c r="C69">
        <v>0.94189999999999996</v>
      </c>
      <c r="D69">
        <v>0.90859999999999996</v>
      </c>
      <c r="E69">
        <v>0.91190000000000004</v>
      </c>
      <c r="F69">
        <v>2157729</v>
      </c>
      <c r="G69">
        <v>0.91190000000000004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-0.80180180180179694</v>
      </c>
      <c r="Q69">
        <f t="shared" ref="Q69" si="321">F69*P69</f>
        <v>-1730070.9999999895</v>
      </c>
      <c r="R69">
        <f t="shared" ref="R69" si="322">R70+Q69</f>
        <v>-450218411.08974832</v>
      </c>
      <c r="S69">
        <f t="shared" ref="S69" si="323">R69/100000</f>
        <v>-4502.1841108974832</v>
      </c>
      <c r="T69">
        <f t="shared" ref="T69" si="324">S69/1000</f>
        <v>-4.5021841108974829</v>
      </c>
    </row>
    <row r="70" spans="1:20" x14ac:dyDescent="0.25">
      <c r="A70" s="5">
        <v>44523</v>
      </c>
      <c r="B70">
        <v>0.9254</v>
      </c>
      <c r="C70">
        <v>0.95109999999999995</v>
      </c>
      <c r="D70">
        <v>0.90849999999999997</v>
      </c>
      <c r="E70">
        <v>0.93720000000000003</v>
      </c>
      <c r="F70">
        <v>6461150</v>
      </c>
      <c r="G70">
        <v>0.93720000000000003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0.34741784037559054</v>
      </c>
      <c r="Q70">
        <f t="shared" ref="Q70" si="326">F70*P70</f>
        <v>2244718.7793427468</v>
      </c>
      <c r="R70">
        <f t="shared" ref="R70" si="327">R71+Q70</f>
        <v>-448488340.08974832</v>
      </c>
      <c r="S70">
        <f t="shared" ref="S70" si="328">R70/100000</f>
        <v>-4484.8834008974836</v>
      </c>
      <c r="T70">
        <f t="shared" ref="T70" si="329">S70/1000</f>
        <v>-4.4848834008974841</v>
      </c>
    </row>
    <row r="71" spans="1:20" x14ac:dyDescent="0.25">
      <c r="A71" s="5">
        <v>44522</v>
      </c>
      <c r="B71">
        <v>0.97629999999999995</v>
      </c>
      <c r="C71">
        <v>0.99480000000000002</v>
      </c>
      <c r="D71">
        <v>0.91420000000000001</v>
      </c>
      <c r="E71">
        <v>0.92469999999999997</v>
      </c>
      <c r="F71">
        <v>10825537</v>
      </c>
      <c r="G71">
        <v>0.92469999999999997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-0.73945409429280518</v>
      </c>
      <c r="Q71">
        <f t="shared" ref="Q71" si="331">F71*P71</f>
        <v>-8004987.6575682517</v>
      </c>
      <c r="R71">
        <f t="shared" ref="R71" si="332">R72+Q71</f>
        <v>-450733058.86909109</v>
      </c>
      <c r="S71">
        <f t="shared" ref="S71" si="333">R71/100000</f>
        <v>-4507.3305886909111</v>
      </c>
      <c r="T71">
        <f t="shared" ref="T71" si="334">S71/1000</f>
        <v>-4.5073305886909107</v>
      </c>
    </row>
    <row r="72" spans="1:20" x14ac:dyDescent="0.25">
      <c r="A72" s="5">
        <v>44521</v>
      </c>
      <c r="B72">
        <v>1.0044</v>
      </c>
      <c r="C72">
        <v>1.0137</v>
      </c>
      <c r="D72">
        <v>0.96819999999999995</v>
      </c>
      <c r="E72">
        <v>0.97589999999999999</v>
      </c>
      <c r="F72">
        <v>7659867</v>
      </c>
      <c r="G72">
        <v>0.97589999999999999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-0.66153846153846052</v>
      </c>
      <c r="Q72">
        <f t="shared" ref="Q72" si="336">F72*P72</f>
        <v>-5067296.630769223</v>
      </c>
      <c r="R72">
        <f t="shared" ref="R72" si="337">R73+Q72</f>
        <v>-442728071.21152282</v>
      </c>
      <c r="S72">
        <f t="shared" ref="S72" si="338">R72/100000</f>
        <v>-4427.2807121152282</v>
      </c>
      <c r="T72">
        <f t="shared" ref="T72" si="339">S72/1000</f>
        <v>-4.4272807121152278</v>
      </c>
    </row>
    <row r="73" spans="1:20" x14ac:dyDescent="0.25">
      <c r="A73" s="5">
        <v>44520</v>
      </c>
      <c r="B73">
        <v>0.93700000000000006</v>
      </c>
      <c r="C73">
        <v>1.0259</v>
      </c>
      <c r="D73">
        <v>0.93689999999999996</v>
      </c>
      <c r="E73">
        <v>1.0044</v>
      </c>
      <c r="F73">
        <v>12671946</v>
      </c>
      <c r="G73">
        <v>1.0044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0.51685393258426837</v>
      </c>
      <c r="Q73">
        <f t="shared" ref="Q73" si="341">F73*P73</f>
        <v>6549545.1235954892</v>
      </c>
      <c r="R73">
        <f t="shared" ref="R73" si="342">R74+Q73</f>
        <v>-437660774.58075356</v>
      </c>
      <c r="S73">
        <f t="shared" ref="S73" si="343">R73/100000</f>
        <v>-4376.607745807536</v>
      </c>
      <c r="T73">
        <f t="shared" ref="T73" si="344">S73/1000</f>
        <v>-4.3766077458075356</v>
      </c>
    </row>
    <row r="74" spans="1:20" x14ac:dyDescent="0.25">
      <c r="A74" s="5">
        <v>44519</v>
      </c>
      <c r="B74">
        <v>0.88919999999999999</v>
      </c>
      <c r="C74">
        <v>0.95389999999999997</v>
      </c>
      <c r="D74">
        <v>0.87809999999999999</v>
      </c>
      <c r="E74">
        <v>0.93720000000000003</v>
      </c>
      <c r="F74">
        <v>7151418</v>
      </c>
      <c r="G74">
        <v>0.93720000000000003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0.55936675461741581</v>
      </c>
      <c r="Q74">
        <f t="shared" ref="Q74" si="346">F74*P74</f>
        <v>4000265.4775725706</v>
      </c>
      <c r="R74">
        <f t="shared" ref="R74" si="347">R75+Q74</f>
        <v>-444210319.70434904</v>
      </c>
      <c r="S74">
        <f t="shared" ref="S74" si="348">R74/100000</f>
        <v>-4442.1031970434906</v>
      </c>
      <c r="T74">
        <f t="shared" ref="T74" si="349">S74/1000</f>
        <v>-4.4421031970434903</v>
      </c>
    </row>
    <row r="75" spans="1:20" x14ac:dyDescent="0.25">
      <c r="A75" s="5">
        <v>44518</v>
      </c>
      <c r="B75">
        <v>1.0017</v>
      </c>
      <c r="C75">
        <v>1.0219</v>
      </c>
      <c r="D75">
        <v>0.85229999999999995</v>
      </c>
      <c r="E75">
        <v>0.88980000000000004</v>
      </c>
      <c r="F75">
        <v>14453447</v>
      </c>
      <c r="G75">
        <v>0.88980000000000004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-0.5577830188679237</v>
      </c>
      <c r="Q75">
        <f t="shared" ref="Q75" si="351">F75*P75</f>
        <v>-8061887.3007075349</v>
      </c>
      <c r="R75">
        <f t="shared" ref="R75" si="352">R76+Q75</f>
        <v>-448210585.1819216</v>
      </c>
      <c r="S75">
        <f t="shared" ref="S75" si="353">R75/100000</f>
        <v>-4482.1058518192158</v>
      </c>
      <c r="T75">
        <f t="shared" ref="T75" si="354">S75/1000</f>
        <v>-4.4821058518192158</v>
      </c>
    </row>
    <row r="76" spans="1:20" x14ac:dyDescent="0.25">
      <c r="A76" s="5">
        <v>44517</v>
      </c>
      <c r="B76">
        <v>1.0143</v>
      </c>
      <c r="C76">
        <v>1.0382</v>
      </c>
      <c r="D76">
        <v>0.96489999999999998</v>
      </c>
      <c r="E76">
        <v>1.0024</v>
      </c>
      <c r="F76">
        <v>11213631</v>
      </c>
      <c r="G76">
        <v>1.0024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2.3192360163709728E-2</v>
      </c>
      <c r="Q76">
        <f t="shared" ref="Q76" si="356">F76*P76</f>
        <v>260070.56889494049</v>
      </c>
      <c r="R76">
        <f t="shared" ref="R76" si="357">R77+Q76</f>
        <v>-440148697.88121408</v>
      </c>
      <c r="S76">
        <f t="shared" ref="S76" si="358">R76/100000</f>
        <v>-4401.4869788121405</v>
      </c>
      <c r="T76">
        <f t="shared" ref="T76" si="359">S76/1000</f>
        <v>-4.4014869788121409</v>
      </c>
    </row>
    <row r="77" spans="1:20" x14ac:dyDescent="0.25">
      <c r="A77" s="5">
        <v>44516</v>
      </c>
      <c r="B77">
        <v>1.1580999999999999</v>
      </c>
      <c r="C77">
        <v>1.1581999999999999</v>
      </c>
      <c r="D77">
        <v>0.95150000000000001</v>
      </c>
      <c r="E77">
        <v>1.0143</v>
      </c>
      <c r="F77">
        <v>18065913</v>
      </c>
      <c r="G77">
        <v>1.0143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-0.39235607160135461</v>
      </c>
      <c r="Q77">
        <f t="shared" ref="Q77" si="361">F77*P77</f>
        <v>-7088270.6545718433</v>
      </c>
      <c r="R77">
        <f t="shared" ref="R77" si="362">R78+Q77</f>
        <v>-440408768.450109</v>
      </c>
      <c r="S77">
        <f t="shared" ref="S77" si="363">R77/100000</f>
        <v>-4404.0876845010898</v>
      </c>
      <c r="T77">
        <f t="shared" ref="T77" si="364">S77/1000</f>
        <v>-4.4040876845010901</v>
      </c>
    </row>
    <row r="78" spans="1:20" x14ac:dyDescent="0.25">
      <c r="A78" s="5">
        <v>44515</v>
      </c>
      <c r="B78">
        <v>1.1606000000000001</v>
      </c>
      <c r="C78">
        <v>1.2050000000000001</v>
      </c>
      <c r="D78">
        <v>1.1417999999999999</v>
      </c>
      <c r="E78">
        <v>1.1580999999999999</v>
      </c>
      <c r="F78">
        <v>12072216</v>
      </c>
      <c r="G78">
        <v>1.1580999999999999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-0.48417721518987522</v>
      </c>
      <c r="Q78">
        <f t="shared" ref="Q78" si="366">F78*P78</f>
        <v>-5845091.9240506543</v>
      </c>
      <c r="R78">
        <f t="shared" ref="R78" si="367">R79+Q78</f>
        <v>-433320497.79553717</v>
      </c>
      <c r="S78">
        <f t="shared" ref="S78" si="368">R78/100000</f>
        <v>-4333.2049779553718</v>
      </c>
      <c r="T78">
        <f t="shared" ref="T78" si="369">S78/1000</f>
        <v>-4.3332049779553721</v>
      </c>
    </row>
    <row r="79" spans="1:20" x14ac:dyDescent="0.25">
      <c r="A79" s="5">
        <v>44514</v>
      </c>
      <c r="B79">
        <v>1.1739999999999999</v>
      </c>
      <c r="C79">
        <v>1.1966000000000001</v>
      </c>
      <c r="D79">
        <v>1.1313</v>
      </c>
      <c r="E79">
        <v>1.1611</v>
      </c>
      <c r="F79">
        <v>6808439</v>
      </c>
      <c r="G79">
        <v>1.1611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-8.7289433384380194E-2</v>
      </c>
      <c r="Q79">
        <f t="shared" ref="Q79" si="371">F79*P79</f>
        <v>-594304.78254211613</v>
      </c>
      <c r="R79">
        <f t="shared" ref="R79" si="372">R80+Q79</f>
        <v>-427475405.87148654</v>
      </c>
      <c r="S79">
        <f t="shared" ref="S79" si="373">R79/100000</f>
        <v>-4274.7540587148651</v>
      </c>
      <c r="T79">
        <f t="shared" ref="T79" si="374">S79/1000</f>
        <v>-4.2747540587148647</v>
      </c>
    </row>
    <row r="80" spans="1:20" x14ac:dyDescent="0.25">
      <c r="A80" s="5">
        <v>44513</v>
      </c>
      <c r="B80">
        <v>1.1875</v>
      </c>
      <c r="C80">
        <v>1.2296</v>
      </c>
      <c r="D80">
        <v>1.1499999999999999</v>
      </c>
      <c r="E80">
        <v>1.1738999999999999</v>
      </c>
      <c r="F80">
        <v>12279625</v>
      </c>
      <c r="G80">
        <v>1.1738999999999999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-0.39949748743718599</v>
      </c>
      <c r="Q80">
        <f t="shared" ref="Q80" si="376">F80*P80</f>
        <v>-4905679.3341708547</v>
      </c>
      <c r="R80">
        <f t="shared" ref="R80" si="377">R81+Q80</f>
        <v>-426881101.08894444</v>
      </c>
      <c r="S80">
        <f t="shared" ref="S80" si="378">R80/100000</f>
        <v>-4268.8110108894443</v>
      </c>
      <c r="T80">
        <f t="shared" ref="T80" si="379">S80/1000</f>
        <v>-4.2688110108894444</v>
      </c>
    </row>
    <row r="81" spans="1:20" x14ac:dyDescent="0.25">
      <c r="A81" s="5">
        <v>44512</v>
      </c>
      <c r="B81">
        <v>1.1363000000000001</v>
      </c>
      <c r="C81">
        <v>1.21</v>
      </c>
      <c r="D81">
        <v>1.1022000000000001</v>
      </c>
      <c r="E81">
        <v>1.1882999999999999</v>
      </c>
      <c r="F81">
        <v>21188356</v>
      </c>
      <c r="G81">
        <v>1.1882999999999999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0.59740259740259605</v>
      </c>
      <c r="Q81">
        <f t="shared" ref="Q81" si="381">F81*P81</f>
        <v>12657978.90909088</v>
      </c>
      <c r="R81">
        <f t="shared" ref="R81" si="382">R82+Q81</f>
        <v>-421975421.75477356</v>
      </c>
      <c r="S81">
        <f t="shared" ref="S81" si="383">R81/100000</f>
        <v>-4219.7542175477356</v>
      </c>
      <c r="T81">
        <f t="shared" ref="T81" si="384">S81/1000</f>
        <v>-4.2197542175477354</v>
      </c>
    </row>
    <row r="82" spans="1:20" x14ac:dyDescent="0.25">
      <c r="A82" s="5">
        <v>44511</v>
      </c>
      <c r="B82">
        <v>1.1001000000000001</v>
      </c>
      <c r="C82">
        <v>1.2427999999999999</v>
      </c>
      <c r="D82">
        <v>1.0857000000000001</v>
      </c>
      <c r="E82">
        <v>1.1369</v>
      </c>
      <c r="F82">
        <v>17716358</v>
      </c>
      <c r="G82">
        <v>1.1369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-0.34818586887332936</v>
      </c>
      <c r="Q82">
        <f t="shared" ref="Q82" si="386">F82*P82</f>
        <v>-6168585.5035009598</v>
      </c>
      <c r="R82">
        <f t="shared" ref="R82" si="387">R83+Q82</f>
        <v>-434633400.66386443</v>
      </c>
      <c r="S82">
        <f t="shared" ref="S82" si="388">R82/100000</f>
        <v>-4346.3340066386445</v>
      </c>
      <c r="T82">
        <f t="shared" ref="T82" si="389">S82/1000</f>
        <v>-4.3463340066386449</v>
      </c>
    </row>
    <row r="83" spans="1:20" x14ac:dyDescent="0.25">
      <c r="A83" s="5">
        <v>44510</v>
      </c>
      <c r="B83">
        <v>1.1981999999999999</v>
      </c>
      <c r="C83">
        <v>1.2699</v>
      </c>
      <c r="D83">
        <v>1.0092000000000001</v>
      </c>
      <c r="E83">
        <v>1.1003000000000001</v>
      </c>
      <c r="F83">
        <v>23827823</v>
      </c>
      <c r="G83">
        <v>1.1003000000000001</v>
      </c>
      <c r="L83" t="s">
        <v>8</v>
      </c>
      <c r="M83" t="s">
        <v>7</v>
      </c>
      <c r="N83" t="s">
        <v>8</v>
      </c>
      <c r="P83">
        <f t="shared" ref="P83" si="390">IF(C83=D83,0,((E83-D83)-(C83-E83))/(C83-D83))</f>
        <v>-0.30111238971998477</v>
      </c>
      <c r="Q83">
        <f t="shared" ref="Q83" si="391">F83*P83</f>
        <v>-7174852.7253548168</v>
      </c>
      <c r="R83">
        <f t="shared" ref="R83" si="392">R84+Q83</f>
        <v>-428464815.1603635</v>
      </c>
      <c r="S83">
        <f t="shared" ref="S83" si="393">R83/100000</f>
        <v>-4284.6481516036347</v>
      </c>
      <c r="T83">
        <f t="shared" ref="T83" si="394">S83/1000</f>
        <v>-4.2846481516036343</v>
      </c>
    </row>
    <row r="84" spans="1:20" x14ac:dyDescent="0.25">
      <c r="A84" s="5">
        <v>44509</v>
      </c>
      <c r="B84">
        <v>1.1880999999999999</v>
      </c>
      <c r="C84">
        <v>1.2673000000000001</v>
      </c>
      <c r="D84">
        <v>1.1757</v>
      </c>
      <c r="E84">
        <v>1.1983999999999999</v>
      </c>
      <c r="F84">
        <v>20311187</v>
      </c>
      <c r="G84">
        <v>1.1983999999999999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-0.50436681222707613</v>
      </c>
      <c r="Q84">
        <f t="shared" ref="Q84" si="396">F84*P84</f>
        <v>-10244288.639738031</v>
      </c>
      <c r="R84">
        <f t="shared" ref="R84" si="397">R85+Q84</f>
        <v>-421289962.4350087</v>
      </c>
      <c r="S84">
        <f t="shared" ref="S84" si="398">R84/100000</f>
        <v>-4212.8996243500869</v>
      </c>
      <c r="T84">
        <f t="shared" ref="T84" si="399">S84/1000</f>
        <v>-4.2128996243500874</v>
      </c>
    </row>
    <row r="85" spans="1:20" x14ac:dyDescent="0.25">
      <c r="A85" s="5">
        <v>44508</v>
      </c>
      <c r="B85">
        <v>1.1636</v>
      </c>
      <c r="C85">
        <v>1.24</v>
      </c>
      <c r="D85">
        <v>1.1449</v>
      </c>
      <c r="E85">
        <v>1.1880999999999999</v>
      </c>
      <c r="F85">
        <v>9972249</v>
      </c>
      <c r="G85">
        <v>1.1880999999999999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-9.1482649842272931E-2</v>
      </c>
      <c r="Q85">
        <f t="shared" ref="Q85" si="401">F85*P85</f>
        <v>-912287.76340695645</v>
      </c>
      <c r="R85">
        <f t="shared" ref="R85" si="402">R86+Q85</f>
        <v>-411045673.79527068</v>
      </c>
      <c r="S85">
        <f t="shared" ref="S85" si="403">R85/100000</f>
        <v>-4110.456737952707</v>
      </c>
      <c r="T85">
        <f t="shared" ref="T85" si="404">S85/1000</f>
        <v>-4.1104567379527071</v>
      </c>
    </row>
    <row r="86" spans="1:20" x14ac:dyDescent="0.25">
      <c r="A86" s="5">
        <v>44507</v>
      </c>
      <c r="B86">
        <v>1.1316999999999999</v>
      </c>
      <c r="C86">
        <v>1.1941999999999999</v>
      </c>
      <c r="D86">
        <v>1.1216999999999999</v>
      </c>
      <c r="E86">
        <v>1.1638999999999999</v>
      </c>
      <c r="F86">
        <v>8053177</v>
      </c>
      <c r="G86">
        <v>1.1638999999999999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0.16413793103448304</v>
      </c>
      <c r="Q86">
        <f t="shared" ref="Q86" si="406">F86*P86</f>
        <v>1321831.811034485</v>
      </c>
      <c r="R86">
        <f t="shared" ref="R86" si="407">R87+Q86</f>
        <v>-410133386.03186375</v>
      </c>
      <c r="S86">
        <f t="shared" ref="S86" si="408">R86/100000</f>
        <v>-4101.3338603186376</v>
      </c>
      <c r="T86">
        <f t="shared" ref="T86" si="409">S86/1000</f>
        <v>-4.101333860318638</v>
      </c>
    </row>
    <row r="87" spans="1:20" x14ac:dyDescent="0.25">
      <c r="A87" s="5">
        <v>44506</v>
      </c>
      <c r="B87">
        <v>1.1603000000000001</v>
      </c>
      <c r="C87">
        <v>1.179</v>
      </c>
      <c r="D87">
        <v>1.0820000000000001</v>
      </c>
      <c r="E87">
        <v>1.1321000000000001</v>
      </c>
      <c r="F87">
        <v>6846975</v>
      </c>
      <c r="G87">
        <v>1.1321000000000001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3.2989690721650436E-2</v>
      </c>
      <c r="Q87">
        <f t="shared" ref="Q87" si="411">F87*P87</f>
        <v>225879.58762887248</v>
      </c>
      <c r="R87">
        <f t="shared" ref="R87" si="412">R88+Q87</f>
        <v>-411455217.84289825</v>
      </c>
      <c r="S87">
        <f t="shared" ref="S87" si="413">R87/100000</f>
        <v>-4114.5521784289822</v>
      </c>
      <c r="T87">
        <f t="shared" ref="T87" si="414">S87/1000</f>
        <v>-4.1145521784289825</v>
      </c>
    </row>
    <row r="88" spans="1:20" x14ac:dyDescent="0.25">
      <c r="A88" s="5">
        <v>44505</v>
      </c>
      <c r="B88">
        <v>1.1912</v>
      </c>
      <c r="C88">
        <v>1.2528999999999999</v>
      </c>
      <c r="D88">
        <v>1.1507000000000001</v>
      </c>
      <c r="E88">
        <v>1.1599999999999999</v>
      </c>
      <c r="F88">
        <v>15833901</v>
      </c>
      <c r="G88">
        <v>1.1599999999999999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-0.81800391389432725</v>
      </c>
      <c r="Q88">
        <f t="shared" ref="Q88" si="416">F88*P88</f>
        <v>-12952192.990215302</v>
      </c>
      <c r="R88">
        <f t="shared" ref="R88" si="417">R89+Q88</f>
        <v>-411681097.43052715</v>
      </c>
      <c r="S88">
        <f t="shared" ref="S88" si="418">R88/100000</f>
        <v>-4116.8109743052719</v>
      </c>
      <c r="T88">
        <f t="shared" ref="T88" si="419">S88/1000</f>
        <v>-4.1168109743052721</v>
      </c>
    </row>
    <row r="89" spans="1:20" x14ac:dyDescent="0.25">
      <c r="A89" s="5">
        <v>44504</v>
      </c>
      <c r="B89">
        <v>1.1603000000000001</v>
      </c>
      <c r="C89">
        <v>1.2281</v>
      </c>
      <c r="D89">
        <v>1.1317999999999999</v>
      </c>
      <c r="E89">
        <v>1.1907000000000001</v>
      </c>
      <c r="F89">
        <v>21349998</v>
      </c>
      <c r="G89">
        <v>1.1907000000000001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0.22326064382139443</v>
      </c>
      <c r="Q89">
        <f t="shared" ref="Q89" si="421">F89*P89</f>
        <v>4766614.2990654837</v>
      </c>
      <c r="R89">
        <f t="shared" ref="R89" si="422">R90+Q89</f>
        <v>-398728904.44031185</v>
      </c>
      <c r="S89">
        <f t="shared" ref="S89" si="423">R89/100000</f>
        <v>-3987.2890444031186</v>
      </c>
      <c r="T89">
        <f t="shared" ref="T89" si="424">S89/1000</f>
        <v>-3.9872890444031186</v>
      </c>
    </row>
    <row r="90" spans="1:20" x14ac:dyDescent="0.25">
      <c r="A90" s="5">
        <v>44503</v>
      </c>
      <c r="B90">
        <v>1.2050000000000001</v>
      </c>
      <c r="C90">
        <v>1.2426999999999999</v>
      </c>
      <c r="D90">
        <v>1.1063000000000001</v>
      </c>
      <c r="E90">
        <v>1.1598999999999999</v>
      </c>
      <c r="F90">
        <v>16149160</v>
      </c>
      <c r="G90">
        <v>1.1598999999999999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-0.21407624633431191</v>
      </c>
      <c r="Q90">
        <f t="shared" ref="Q90" si="426">F90*P90</f>
        <v>-3457151.5542522166</v>
      </c>
      <c r="R90">
        <f t="shared" ref="R90" si="427">R91+Q90</f>
        <v>-403495518.73937732</v>
      </c>
      <c r="S90">
        <f t="shared" ref="S90" si="428">R90/100000</f>
        <v>-4034.955187393773</v>
      </c>
      <c r="T90">
        <f t="shared" ref="T90" si="429">S90/1000</f>
        <v>-4.0349551873937735</v>
      </c>
    </row>
    <row r="91" spans="1:20" x14ac:dyDescent="0.25">
      <c r="A91" s="5">
        <v>44502</v>
      </c>
      <c r="B91">
        <v>1.0679000000000001</v>
      </c>
      <c r="C91">
        <v>1.28</v>
      </c>
      <c r="D91">
        <v>1.0429999999999999</v>
      </c>
      <c r="E91">
        <v>1.2050000000000001</v>
      </c>
      <c r="F91">
        <v>39843225</v>
      </c>
      <c r="G91">
        <v>1.2050000000000001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0.36708860759493733</v>
      </c>
      <c r="Q91">
        <f t="shared" ref="Q91" si="431">F91*P91</f>
        <v>14625993.987341797</v>
      </c>
      <c r="R91">
        <f t="shared" ref="R91" si="432">R92+Q91</f>
        <v>-400038367.18512511</v>
      </c>
      <c r="S91">
        <f t="shared" ref="S91" si="433">R91/100000</f>
        <v>-4000.3836718512512</v>
      </c>
      <c r="T91">
        <f t="shared" ref="T91" si="434">S91/1000</f>
        <v>-4.0003836718512513</v>
      </c>
    </row>
    <row r="92" spans="1:20" x14ac:dyDescent="0.25">
      <c r="A92" s="5">
        <v>44501</v>
      </c>
      <c r="B92">
        <v>1.0215000000000001</v>
      </c>
      <c r="C92">
        <v>1.077</v>
      </c>
      <c r="D92">
        <v>0.98870000000000002</v>
      </c>
      <c r="E92">
        <v>1.0687</v>
      </c>
      <c r="F92">
        <v>11991961</v>
      </c>
      <c r="G92">
        <v>1.0687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0.81200453001132544</v>
      </c>
      <c r="Q92">
        <f t="shared" ref="Q92" si="436">F92*P92</f>
        <v>9737526.6557191443</v>
      </c>
      <c r="R92">
        <f t="shared" ref="R92" si="437">R93+Q92</f>
        <v>-414664361.17246693</v>
      </c>
      <c r="S92">
        <f t="shared" ref="S92" si="438">R92/100000</f>
        <v>-4146.6436117246694</v>
      </c>
      <c r="T92">
        <f t="shared" ref="T92" si="439">S92/1000</f>
        <v>-4.1466436117246692</v>
      </c>
    </row>
    <row r="93" spans="1:20" x14ac:dyDescent="0.25">
      <c r="A93" s="5">
        <v>44500</v>
      </c>
      <c r="B93">
        <v>1.0137</v>
      </c>
      <c r="C93">
        <v>1.0246999999999999</v>
      </c>
      <c r="D93">
        <v>0.97919999999999996</v>
      </c>
      <c r="E93">
        <v>1.0210999999999999</v>
      </c>
      <c r="F93">
        <v>7054625</v>
      </c>
      <c r="G93">
        <v>1.0210999999999999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0.84175824175823966</v>
      </c>
      <c r="Q93">
        <f t="shared" ref="Q93" si="441">F93*P93</f>
        <v>5938288.7362637212</v>
      </c>
      <c r="R93">
        <f t="shared" ref="R93" si="442">R94+Q93</f>
        <v>-424401887.82818609</v>
      </c>
      <c r="S93">
        <f t="shared" ref="S93" si="443">R93/100000</f>
        <v>-4244.0188782818614</v>
      </c>
      <c r="T93">
        <f t="shared" ref="T93" si="444">S93/1000</f>
        <v>-4.2440188782818611</v>
      </c>
    </row>
    <row r="94" spans="1:20" x14ac:dyDescent="0.25">
      <c r="A94" s="5">
        <v>44499</v>
      </c>
      <c r="B94">
        <v>1.042</v>
      </c>
      <c r="C94">
        <v>1.0441</v>
      </c>
      <c r="D94">
        <v>0.98519999999999996</v>
      </c>
      <c r="E94">
        <v>1.0149999999999999</v>
      </c>
      <c r="F94">
        <v>7563735</v>
      </c>
      <c r="G94">
        <v>1.0149999999999999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1.1884550084886437E-2</v>
      </c>
      <c r="Q94">
        <f t="shared" ref="Q94" si="446">F94*P94</f>
        <v>89891.587436308517</v>
      </c>
      <c r="R94">
        <f t="shared" ref="R94" si="447">R95+Q94</f>
        <v>-430340176.56444979</v>
      </c>
      <c r="S94">
        <f t="shared" ref="S94" si="448">R94/100000</f>
        <v>-4303.4017656444976</v>
      </c>
      <c r="T94">
        <f t="shared" ref="T94" si="449">S94/1000</f>
        <v>-4.3034017656444972</v>
      </c>
    </row>
    <row r="95" spans="1:20" x14ac:dyDescent="0.25">
      <c r="A95" s="5">
        <v>44498</v>
      </c>
      <c r="B95">
        <v>1.0038</v>
      </c>
      <c r="C95">
        <v>1.0499000000000001</v>
      </c>
      <c r="D95">
        <v>0.99629999999999996</v>
      </c>
      <c r="E95">
        <v>1.0415000000000001</v>
      </c>
      <c r="F95">
        <v>7731247</v>
      </c>
      <c r="G95">
        <v>1.0415000000000001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0.68656716417910635</v>
      </c>
      <c r="Q95">
        <f t="shared" ref="Q95" si="451">F95*P95</f>
        <v>5308020.3283582237</v>
      </c>
      <c r="R95">
        <f t="shared" ref="R95" si="452">R96+Q95</f>
        <v>-430430068.15188611</v>
      </c>
      <c r="S95">
        <f t="shared" ref="S95" si="453">R95/100000</f>
        <v>-4304.300681518861</v>
      </c>
      <c r="T95">
        <f t="shared" ref="T95" si="454">S95/1000</f>
        <v>-4.3043006815188614</v>
      </c>
    </row>
    <row r="96" spans="1:20" x14ac:dyDescent="0.25">
      <c r="A96" s="5">
        <v>44497</v>
      </c>
      <c r="B96">
        <v>0.96</v>
      </c>
      <c r="C96">
        <v>1.0223</v>
      </c>
      <c r="D96">
        <v>0.95860000000000001</v>
      </c>
      <c r="E96">
        <v>1.004</v>
      </c>
      <c r="F96">
        <v>11371181</v>
      </c>
      <c r="G96">
        <v>1.004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0.4254317111459972</v>
      </c>
      <c r="Q96">
        <f t="shared" ref="Q96" si="456">F96*P96</f>
        <v>4837660.9905808512</v>
      </c>
      <c r="R96">
        <f t="shared" ref="R96" si="457">R97+Q96</f>
        <v>-435738088.48024434</v>
      </c>
      <c r="S96">
        <f t="shared" ref="S96" si="458">R96/100000</f>
        <v>-4357.3808848024437</v>
      </c>
      <c r="T96">
        <f t="shared" ref="T96" si="459">S96/1000</f>
        <v>-4.3573808848024438</v>
      </c>
    </row>
    <row r="97" spans="1:20" x14ac:dyDescent="0.25">
      <c r="A97" s="5">
        <v>44496</v>
      </c>
      <c r="B97">
        <v>1.0935999999999999</v>
      </c>
      <c r="C97">
        <v>1.1599999999999999</v>
      </c>
      <c r="D97">
        <v>0.93820000000000003</v>
      </c>
      <c r="E97">
        <v>0.95950000000000002</v>
      </c>
      <c r="F97">
        <v>19100481</v>
      </c>
      <c r="G97">
        <v>0.95950000000000002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-0.80793507664562669</v>
      </c>
      <c r="Q97">
        <f t="shared" ref="Q97" si="461">F97*P97</f>
        <v>-15431948.580703337</v>
      </c>
      <c r="R97">
        <f t="shared" ref="R97" si="462">R98+Q97</f>
        <v>-440575749.4708252</v>
      </c>
      <c r="S97">
        <f t="shared" ref="S97" si="463">R97/100000</f>
        <v>-4405.7574947082521</v>
      </c>
      <c r="T97">
        <f t="shared" ref="T97" si="464">S97/1000</f>
        <v>-4.4057574947082525</v>
      </c>
    </row>
    <row r="98" spans="1:20" x14ac:dyDescent="0.25">
      <c r="A98" s="5">
        <v>44495</v>
      </c>
      <c r="B98">
        <v>1.0510999999999999</v>
      </c>
      <c r="C98">
        <v>1.1439999999999999</v>
      </c>
      <c r="D98">
        <v>1.05</v>
      </c>
      <c r="E98">
        <v>1.0933999999999999</v>
      </c>
      <c r="F98">
        <v>12838898</v>
      </c>
      <c r="G98">
        <v>1.0933999999999999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-7.6595744680852187E-2</v>
      </c>
      <c r="Q98">
        <f t="shared" ref="Q98" si="466">F98*P98</f>
        <v>-983404.95319150377</v>
      </c>
      <c r="R98">
        <f t="shared" ref="R98" si="467">R99+Q98</f>
        <v>-425143800.89012188</v>
      </c>
      <c r="S98">
        <f t="shared" ref="S98" si="468">R98/100000</f>
        <v>-4251.4380089012184</v>
      </c>
      <c r="T98">
        <f t="shared" ref="T98" si="469">S98/1000</f>
        <v>-4.2514380089012187</v>
      </c>
    </row>
    <row r="99" spans="1:20" x14ac:dyDescent="0.25">
      <c r="A99" s="5">
        <v>44494</v>
      </c>
      <c r="B99">
        <v>1.0129999999999999</v>
      </c>
      <c r="C99">
        <v>1.0616000000000001</v>
      </c>
      <c r="D99">
        <v>1.0076000000000001</v>
      </c>
      <c r="E99">
        <v>1.0506</v>
      </c>
      <c r="F99">
        <v>5528356</v>
      </c>
      <c r="G99">
        <v>1.0506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0.59259259259258845</v>
      </c>
      <c r="Q99">
        <f t="shared" ref="Q99" si="471">F99*P99</f>
        <v>3276062.814814792</v>
      </c>
      <c r="R99">
        <f t="shared" ref="R99" si="472">R100+Q99</f>
        <v>-424160395.93693036</v>
      </c>
      <c r="S99">
        <f t="shared" ref="S99" si="473">R99/100000</f>
        <v>-4241.603959369304</v>
      </c>
      <c r="T99">
        <f t="shared" ref="T99" si="474">S99/1000</f>
        <v>-4.2416039593693036</v>
      </c>
    </row>
    <row r="100" spans="1:20" x14ac:dyDescent="0.25">
      <c r="A100" s="5">
        <v>44493</v>
      </c>
      <c r="B100">
        <v>1.0591999999999999</v>
      </c>
      <c r="C100">
        <v>1.0645</v>
      </c>
      <c r="D100">
        <v>0.995</v>
      </c>
      <c r="E100">
        <v>1.0134000000000001</v>
      </c>
      <c r="F100">
        <v>4867232</v>
      </c>
      <c r="G100">
        <v>1.0134000000000001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-0.47050359712229983</v>
      </c>
      <c r="Q100">
        <f t="shared" ref="Q100" si="476">F100*P100</f>
        <v>-2290050.1640287656</v>
      </c>
      <c r="R100">
        <f t="shared" ref="R100" si="477">R101+Q100</f>
        <v>-427436458.75174516</v>
      </c>
      <c r="S100">
        <f t="shared" ref="S100" si="478">R100/100000</f>
        <v>-4274.3645875174516</v>
      </c>
      <c r="T100">
        <f t="shared" ref="T100" si="479">S100/1000</f>
        <v>-4.2743645875174519</v>
      </c>
    </row>
    <row r="101" spans="1:20" x14ac:dyDescent="0.25">
      <c r="A101" s="5">
        <v>44492</v>
      </c>
      <c r="B101">
        <v>1.0570999999999999</v>
      </c>
      <c r="C101">
        <v>1.0719000000000001</v>
      </c>
      <c r="D101">
        <v>1.0363</v>
      </c>
      <c r="E101">
        <v>1.0591999999999999</v>
      </c>
      <c r="F101">
        <v>4722836</v>
      </c>
      <c r="G101">
        <v>1.0591999999999999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0.28651685393257703</v>
      </c>
      <c r="Q101">
        <f t="shared" ref="Q101" si="481">F101*P101</f>
        <v>1353172.1123595163</v>
      </c>
      <c r="R101">
        <f t="shared" ref="R101" si="482">R102+Q101</f>
        <v>-425146408.5877164</v>
      </c>
      <c r="S101">
        <f t="shared" ref="S101" si="483">R101/100000</f>
        <v>-4251.4640858771636</v>
      </c>
      <c r="T101">
        <f t="shared" ref="T101" si="484">S101/1000</f>
        <v>-4.2514640858771635</v>
      </c>
    </row>
    <row r="102" spans="1:20" x14ac:dyDescent="0.25">
      <c r="A102" s="5">
        <v>44491</v>
      </c>
      <c r="B102">
        <v>1.0365</v>
      </c>
      <c r="C102">
        <v>1.1073</v>
      </c>
      <c r="D102">
        <v>1.0262</v>
      </c>
      <c r="E102">
        <v>1.0576000000000001</v>
      </c>
      <c r="F102">
        <v>10780697</v>
      </c>
      <c r="G102">
        <v>1.0576000000000001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-0.22564734895190841</v>
      </c>
      <c r="Q102">
        <f t="shared" ref="Q102" si="486">F102*P102</f>
        <v>-2432635.6979037924</v>
      </c>
      <c r="R102">
        <f t="shared" ref="R102" si="487">R103+Q102</f>
        <v>-426499580.70007592</v>
      </c>
      <c r="S102">
        <f t="shared" ref="S102" si="488">R102/100000</f>
        <v>-4264.9958070007597</v>
      </c>
      <c r="T102">
        <f t="shared" ref="T102" si="489">S102/1000</f>
        <v>-4.2649958070007594</v>
      </c>
    </row>
    <row r="103" spans="1:20" x14ac:dyDescent="0.25">
      <c r="A103" s="5">
        <v>44490</v>
      </c>
      <c r="B103">
        <v>1.0556000000000001</v>
      </c>
      <c r="C103">
        <v>1.1032999999999999</v>
      </c>
      <c r="D103">
        <v>1.0122</v>
      </c>
      <c r="E103">
        <v>1.0354000000000001</v>
      </c>
      <c r="F103">
        <v>10691046</v>
      </c>
      <c r="G103">
        <v>1.0354000000000001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-0.49066959385290626</v>
      </c>
      <c r="Q103">
        <f t="shared" ref="Q103" si="491">F103*P103</f>
        <v>-5245771.1986827385</v>
      </c>
      <c r="R103">
        <f t="shared" ref="R103" si="492">R104+Q103</f>
        <v>-424066945.00217211</v>
      </c>
      <c r="S103">
        <f t="shared" ref="S103" si="493">R103/100000</f>
        <v>-4240.6694500217209</v>
      </c>
      <c r="T103">
        <f t="shared" ref="T103" si="494">S103/1000</f>
        <v>-4.2406694500217208</v>
      </c>
    </row>
    <row r="104" spans="1:20" x14ac:dyDescent="0.25">
      <c r="A104" s="5">
        <v>44489</v>
      </c>
      <c r="B104">
        <v>1.0246999999999999</v>
      </c>
      <c r="C104">
        <v>1.0676000000000001</v>
      </c>
      <c r="D104">
        <v>1.0043</v>
      </c>
      <c r="E104">
        <v>1.0567</v>
      </c>
      <c r="F104">
        <v>6088834</v>
      </c>
      <c r="G104">
        <v>1.0567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0.6556082148499176</v>
      </c>
      <c r="Q104">
        <f t="shared" ref="Q104" si="496">F104*P104</f>
        <v>3991889.5892574834</v>
      </c>
      <c r="R104">
        <f t="shared" ref="R104" si="497">R105+Q104</f>
        <v>-418821173.80348939</v>
      </c>
      <c r="S104">
        <f t="shared" ref="S104" si="498">R104/100000</f>
        <v>-4188.2117380348936</v>
      </c>
      <c r="T104">
        <f t="shared" ref="T104" si="499">S104/1000</f>
        <v>-4.1882117380348935</v>
      </c>
    </row>
    <row r="105" spans="1:20" x14ac:dyDescent="0.25">
      <c r="A105" s="5">
        <v>44488</v>
      </c>
      <c r="B105">
        <v>1.0406</v>
      </c>
      <c r="C105">
        <v>1.0443</v>
      </c>
      <c r="D105">
        <v>0.99860000000000004</v>
      </c>
      <c r="E105">
        <v>1.0245</v>
      </c>
      <c r="F105">
        <v>4815733</v>
      </c>
      <c r="G105">
        <v>1.0245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0.13347921225382689</v>
      </c>
      <c r="Q105">
        <f t="shared" ref="Q105" si="501">F105*P105</f>
        <v>642800.24726475857</v>
      </c>
      <c r="R105">
        <f t="shared" ref="R105" si="502">R106+Q105</f>
        <v>-422813063.39274687</v>
      </c>
      <c r="S105">
        <f t="shared" ref="S105" si="503">R105/100000</f>
        <v>-4228.1306339274688</v>
      </c>
      <c r="T105">
        <f t="shared" ref="T105" si="504">S105/1000</f>
        <v>-4.2281306339274689</v>
      </c>
    </row>
    <row r="106" spans="1:20" x14ac:dyDescent="0.25">
      <c r="A106" s="5">
        <v>44487</v>
      </c>
      <c r="B106">
        <v>1.0183</v>
      </c>
      <c r="C106">
        <v>1.0472999999999999</v>
      </c>
      <c r="D106">
        <v>0.99199999999999999</v>
      </c>
      <c r="E106">
        <v>1.042</v>
      </c>
      <c r="F106">
        <v>7773805</v>
      </c>
      <c r="G106">
        <v>1.042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0.80831826401447127</v>
      </c>
      <c r="Q106">
        <f t="shared" ref="Q106" si="506">F106*P106</f>
        <v>6283708.5623870166</v>
      </c>
      <c r="R106">
        <f t="shared" ref="R106" si="507">R107+Q106</f>
        <v>-423455863.64001161</v>
      </c>
      <c r="S106">
        <f t="shared" ref="S106" si="508">R106/100000</f>
        <v>-4234.5586364001165</v>
      </c>
      <c r="T106">
        <f t="shared" ref="T106" si="509">S106/1000</f>
        <v>-4.2345586364001164</v>
      </c>
    </row>
    <row r="107" spans="1:20" x14ac:dyDescent="0.25">
      <c r="A107" s="5">
        <v>44486</v>
      </c>
      <c r="B107">
        <v>1.0669</v>
      </c>
      <c r="C107">
        <v>1.08</v>
      </c>
      <c r="D107">
        <v>0.97929999999999995</v>
      </c>
      <c r="E107">
        <v>1.0182</v>
      </c>
      <c r="F107">
        <v>8138711</v>
      </c>
      <c r="G107">
        <v>1.0182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-0.227408142999007</v>
      </c>
      <c r="Q107">
        <f t="shared" ref="Q107" si="511">F107*P107</f>
        <v>-1850809.1549155912</v>
      </c>
      <c r="R107">
        <f t="shared" ref="R107" si="512">R108+Q107</f>
        <v>-429739572.2023986</v>
      </c>
      <c r="S107">
        <f t="shared" ref="S107" si="513">R107/100000</f>
        <v>-4297.3957220239863</v>
      </c>
      <c r="T107">
        <f t="shared" ref="T107" si="514">S107/1000</f>
        <v>-4.2973957220239862</v>
      </c>
    </row>
    <row r="108" spans="1:20" x14ac:dyDescent="0.25">
      <c r="A108" s="5">
        <v>44485</v>
      </c>
      <c r="B108">
        <v>1.0294000000000001</v>
      </c>
      <c r="C108">
        <v>1.1135999999999999</v>
      </c>
      <c r="D108">
        <v>1.0249999999999999</v>
      </c>
      <c r="E108">
        <v>1.0650999999999999</v>
      </c>
      <c r="F108">
        <v>16295453</v>
      </c>
      <c r="G108">
        <v>1.0650999999999999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-9.4808126410834789E-2</v>
      </c>
      <c r="Q108">
        <f t="shared" ref="Q108" si="516">F108*P108</f>
        <v>-1544941.3679458171</v>
      </c>
      <c r="R108">
        <f t="shared" ref="R108" si="517">R109+Q108</f>
        <v>-427888763.04748303</v>
      </c>
      <c r="S108">
        <f t="shared" ref="S108" si="518">R108/100000</f>
        <v>-4278.8876304748301</v>
      </c>
      <c r="T108">
        <f t="shared" ref="T108" si="519">S108/1000</f>
        <v>-4.2788876304748298</v>
      </c>
    </row>
    <row r="109" spans="1:20" x14ac:dyDescent="0.25">
      <c r="A109" s="5">
        <v>44484</v>
      </c>
      <c r="B109">
        <v>1.0605</v>
      </c>
      <c r="C109">
        <v>1.0871999999999999</v>
      </c>
      <c r="D109">
        <v>1.0106999999999999</v>
      </c>
      <c r="E109">
        <v>1.0305</v>
      </c>
      <c r="F109">
        <v>12708576</v>
      </c>
      <c r="G109">
        <v>1.0305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-0.48235294117646965</v>
      </c>
      <c r="Q109">
        <f t="shared" ref="Q109" si="521">F109*P109</f>
        <v>-6130019.011764694</v>
      </c>
      <c r="R109">
        <f t="shared" ref="R109" si="522">R110+Q109</f>
        <v>-426343821.67953724</v>
      </c>
      <c r="S109">
        <f t="shared" ref="S109" si="523">R109/100000</f>
        <v>-4263.4382167953727</v>
      </c>
      <c r="T109">
        <f t="shared" ref="T109" si="524">S109/1000</f>
        <v>-4.2634382167953726</v>
      </c>
    </row>
    <row r="110" spans="1:20" x14ac:dyDescent="0.25">
      <c r="A110" s="5">
        <v>44483</v>
      </c>
      <c r="B110">
        <v>1.0308999999999999</v>
      </c>
      <c r="C110">
        <v>1.0632999999999999</v>
      </c>
      <c r="D110">
        <v>1.0227999999999999</v>
      </c>
      <c r="E110">
        <v>1.0603</v>
      </c>
      <c r="F110">
        <v>7362347</v>
      </c>
      <c r="G110">
        <v>1.0603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0.85185185185185708</v>
      </c>
      <c r="Q110">
        <f t="shared" ref="Q110" si="526">F110*P110</f>
        <v>6271628.9259259645</v>
      </c>
      <c r="R110">
        <f t="shared" ref="R110" si="527">R111+Q110</f>
        <v>-420213802.66777253</v>
      </c>
      <c r="S110">
        <f t="shared" ref="S110" si="528">R110/100000</f>
        <v>-4202.1380266777251</v>
      </c>
      <c r="T110">
        <f t="shared" ref="T110" si="529">S110/1000</f>
        <v>-4.2021380266777246</v>
      </c>
    </row>
    <row r="111" spans="1:20" x14ac:dyDescent="0.25">
      <c r="A111" s="5">
        <v>44482</v>
      </c>
      <c r="B111">
        <v>0.9718</v>
      </c>
      <c r="C111">
        <v>1.05</v>
      </c>
      <c r="D111">
        <v>0.94289999999999996</v>
      </c>
      <c r="E111">
        <v>1.0315000000000001</v>
      </c>
      <c r="F111">
        <v>10823962</v>
      </c>
      <c r="G111">
        <v>1.0315000000000001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0.65452847805789083</v>
      </c>
      <c r="Q111">
        <f t="shared" ref="Q111" si="531">F111*P111</f>
        <v>7084591.3744164445</v>
      </c>
      <c r="R111">
        <f t="shared" ref="R111" si="532">R112+Q111</f>
        <v>-426485431.5936985</v>
      </c>
      <c r="S111">
        <f t="shared" ref="S111" si="533">R111/100000</f>
        <v>-4264.8543159369847</v>
      </c>
      <c r="T111">
        <f t="shared" ref="T111" si="534">S111/1000</f>
        <v>-4.2648543159369847</v>
      </c>
    </row>
    <row r="112" spans="1:20" x14ac:dyDescent="0.25">
      <c r="A112" s="5">
        <v>44481</v>
      </c>
      <c r="B112">
        <v>0.96479999999999999</v>
      </c>
      <c r="C112">
        <v>0.97560000000000002</v>
      </c>
      <c r="D112">
        <v>0.89300000000000002</v>
      </c>
      <c r="E112">
        <v>0.97109999999999996</v>
      </c>
      <c r="F112">
        <v>5873694</v>
      </c>
      <c r="G112">
        <v>0.97109999999999996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0.89104116222760144</v>
      </c>
      <c r="Q112">
        <f t="shared" ref="Q112" si="536">F112*P112</f>
        <v>5233703.1283292891</v>
      </c>
      <c r="R112">
        <f t="shared" ref="R112" si="537">R113+Q112</f>
        <v>-433570022.96811497</v>
      </c>
      <c r="S112">
        <f t="shared" ref="S112" si="538">R112/100000</f>
        <v>-4335.7002296811497</v>
      </c>
      <c r="T112">
        <f t="shared" ref="T112" si="539">S112/1000</f>
        <v>-4.3357002296811498</v>
      </c>
    </row>
    <row r="113" spans="1:20" x14ac:dyDescent="0.25">
      <c r="A113" s="5">
        <v>44480</v>
      </c>
      <c r="B113">
        <v>0.95920000000000005</v>
      </c>
      <c r="C113">
        <v>1.0002</v>
      </c>
      <c r="D113">
        <v>0.93300000000000005</v>
      </c>
      <c r="E113">
        <v>0.96460000000000001</v>
      </c>
      <c r="F113">
        <v>4170034</v>
      </c>
      <c r="G113">
        <v>0.96460000000000001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-5.9523809523809638E-2</v>
      </c>
      <c r="Q113">
        <f t="shared" ref="Q113" si="541">F113*P113</f>
        <v>-248216.30952380999</v>
      </c>
      <c r="R113">
        <f t="shared" ref="R113" si="542">R114+Q113</f>
        <v>-438803726.09644425</v>
      </c>
      <c r="S113">
        <f t="shared" ref="S113" si="543">R113/100000</f>
        <v>-4388.0372609644428</v>
      </c>
      <c r="T113">
        <f t="shared" ref="T113" si="544">S113/1000</f>
        <v>-4.3880372609644427</v>
      </c>
    </row>
    <row r="114" spans="1:20" x14ac:dyDescent="0.25">
      <c r="A114" s="5">
        <v>44479</v>
      </c>
      <c r="B114">
        <v>1.0349999999999999</v>
      </c>
      <c r="C114">
        <v>1.0421</v>
      </c>
      <c r="D114">
        <v>0.95479999999999998</v>
      </c>
      <c r="E114">
        <v>0.96040000000000003</v>
      </c>
      <c r="F114">
        <v>6161270</v>
      </c>
      <c r="G114">
        <v>0.96040000000000003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-0.87170675830469535</v>
      </c>
      <c r="Q114">
        <f t="shared" ref="Q114" si="546">F114*P114</f>
        <v>-5370820.6987399701</v>
      </c>
      <c r="R114">
        <f t="shared" ref="R114" si="547">R115+Q114</f>
        <v>-438555509.78692043</v>
      </c>
      <c r="S114">
        <f t="shared" ref="S114" si="548">R114/100000</f>
        <v>-4385.5550978692045</v>
      </c>
      <c r="T114">
        <f t="shared" ref="T114" si="549">S114/1000</f>
        <v>-4.3855550978692044</v>
      </c>
    </row>
    <row r="115" spans="1:20" x14ac:dyDescent="0.25">
      <c r="A115" s="5">
        <v>44478</v>
      </c>
      <c r="B115">
        <v>1.0563</v>
      </c>
      <c r="C115">
        <v>1.0661</v>
      </c>
      <c r="D115">
        <v>1.0145999999999999</v>
      </c>
      <c r="E115">
        <v>1.0356000000000001</v>
      </c>
      <c r="F115">
        <v>7316375</v>
      </c>
      <c r="G115">
        <v>1.0356000000000001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-0.18446601941747229</v>
      </c>
      <c r="Q115">
        <f t="shared" ref="Q115" si="551">F115*P115</f>
        <v>-1349622.5728155088</v>
      </c>
      <c r="R115">
        <f t="shared" ref="R115" si="552">R116+Q115</f>
        <v>-433184689.08818048</v>
      </c>
      <c r="S115">
        <f t="shared" ref="S115" si="553">R115/100000</f>
        <v>-4331.8468908818049</v>
      </c>
      <c r="T115">
        <f t="shared" ref="T115" si="554">S115/1000</f>
        <v>-4.3318468908818053</v>
      </c>
    </row>
    <row r="116" spans="1:20" x14ac:dyDescent="0.25">
      <c r="A116" s="5">
        <v>44477</v>
      </c>
      <c r="B116">
        <v>1.0786</v>
      </c>
      <c r="C116">
        <v>1.1015999999999999</v>
      </c>
      <c r="D116">
        <v>1.0167999999999999</v>
      </c>
      <c r="E116">
        <v>1.0563</v>
      </c>
      <c r="F116">
        <v>16745112</v>
      </c>
      <c r="G116">
        <v>1.0563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-6.8396226415092048E-2</v>
      </c>
      <c r="Q116">
        <f t="shared" ref="Q116" si="556">F116*P116</f>
        <v>-1145302.4716980748</v>
      </c>
      <c r="R116">
        <f t="shared" ref="R116" si="557">R117+Q116</f>
        <v>-431835066.51536494</v>
      </c>
      <c r="S116">
        <f t="shared" ref="S116" si="558">R116/100000</f>
        <v>-4318.3506651536491</v>
      </c>
      <c r="T116">
        <f t="shared" ref="T116" si="559">S116/1000</f>
        <v>-4.3183506651536492</v>
      </c>
    </row>
    <row r="117" spans="1:20" x14ac:dyDescent="0.25">
      <c r="A117" s="5">
        <v>44476</v>
      </c>
      <c r="B117">
        <v>1.0439000000000001</v>
      </c>
      <c r="C117">
        <v>1.0914999999999999</v>
      </c>
      <c r="D117">
        <v>0.99919999999999998</v>
      </c>
      <c r="E117">
        <v>1.0793999999999999</v>
      </c>
      <c r="F117">
        <v>17880533</v>
      </c>
      <c r="G117">
        <v>1.0793999999999999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0.73781148429035737</v>
      </c>
      <c r="Q117">
        <f t="shared" ref="Q117" si="561">F117*P117</f>
        <v>13192462.592632717</v>
      </c>
      <c r="R117">
        <f t="shared" ref="R117" si="562">R118+Q117</f>
        <v>-430689764.0436669</v>
      </c>
      <c r="S117">
        <f t="shared" ref="S117" si="563">R117/100000</f>
        <v>-4306.8976404366686</v>
      </c>
      <c r="T117">
        <f t="shared" ref="T117" si="564">S117/1000</f>
        <v>-4.3068976404366683</v>
      </c>
    </row>
    <row r="118" spans="1:20" x14ac:dyDescent="0.25">
      <c r="A118" s="5">
        <v>44475</v>
      </c>
      <c r="B118">
        <v>1.0387</v>
      </c>
      <c r="C118">
        <v>1.0639000000000001</v>
      </c>
      <c r="D118">
        <v>0.96619999999999995</v>
      </c>
      <c r="E118">
        <v>1.0437000000000001</v>
      </c>
      <c r="F118">
        <v>13252854</v>
      </c>
      <c r="G118">
        <v>1.0437000000000001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0.58648925281473963</v>
      </c>
      <c r="Q118">
        <f t="shared" ref="Q118" si="566">F118*P118</f>
        <v>7772656.4401228335</v>
      </c>
      <c r="R118">
        <f t="shared" ref="R118" si="567">R119+Q118</f>
        <v>-443882226.63629961</v>
      </c>
      <c r="S118">
        <f t="shared" ref="S118" si="568">R118/100000</f>
        <v>-4438.8222663629958</v>
      </c>
      <c r="T118">
        <f t="shared" ref="T118" si="569">S118/1000</f>
        <v>-4.4388222663629957</v>
      </c>
    </row>
    <row r="119" spans="1:20" x14ac:dyDescent="0.25">
      <c r="A119" s="5">
        <v>44474</v>
      </c>
      <c r="B119">
        <v>1.0019</v>
      </c>
      <c r="C119">
        <v>1.0629999999999999</v>
      </c>
      <c r="D119">
        <v>0.98550000000000004</v>
      </c>
      <c r="E119">
        <v>1.0389999999999999</v>
      </c>
      <c r="F119">
        <v>15106630.76</v>
      </c>
      <c r="G119">
        <v>1.0389999999999999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0.38064516129032128</v>
      </c>
      <c r="Q119">
        <f t="shared" ref="Q119" si="571">F119*P119</f>
        <v>5750265.9021935286</v>
      </c>
      <c r="R119">
        <f t="shared" ref="R119" si="572">R120+Q119</f>
        <v>-451654883.07642245</v>
      </c>
      <c r="S119">
        <f t="shared" ref="S119" si="573">R119/100000</f>
        <v>-4516.5488307642245</v>
      </c>
      <c r="T119">
        <f t="shared" ref="T119" si="574">S119/1000</f>
        <v>-4.5165488307642248</v>
      </c>
    </row>
    <row r="120" spans="1:20" x14ac:dyDescent="0.25">
      <c r="A120" s="5">
        <v>44473</v>
      </c>
      <c r="B120">
        <v>0.99299999999999999</v>
      </c>
      <c r="C120">
        <v>1.0169999999999999</v>
      </c>
      <c r="D120">
        <v>0.93530000000000002</v>
      </c>
      <c r="E120">
        <v>1.0092000000000001</v>
      </c>
      <c r="F120">
        <v>11190727</v>
      </c>
      <c r="G120">
        <v>1.0092000000000001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0.8090575275397841</v>
      </c>
      <c r="Q120">
        <f t="shared" ref="Q120" si="576">F120*P120</f>
        <v>9053941.9179927055</v>
      </c>
      <c r="R120">
        <f t="shared" ref="R120" si="577">R121+Q120</f>
        <v>-457405148.978616</v>
      </c>
      <c r="S120">
        <f t="shared" ref="S120" si="578">R120/100000</f>
        <v>-4574.0514897861603</v>
      </c>
      <c r="T120">
        <f t="shared" ref="T120" si="579">S120/1000</f>
        <v>-4.5740514897861599</v>
      </c>
    </row>
    <row r="121" spans="1:20" x14ac:dyDescent="0.25">
      <c r="A121" s="5">
        <v>44472</v>
      </c>
      <c r="B121">
        <v>0.98729999999999996</v>
      </c>
      <c r="C121">
        <v>1.0344</v>
      </c>
      <c r="D121">
        <v>0.96009999999999995</v>
      </c>
      <c r="E121">
        <v>0.98929999999999996</v>
      </c>
      <c r="F121">
        <v>9618543</v>
      </c>
      <c r="G121">
        <v>0.98929999999999996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-0.21399730820995988</v>
      </c>
      <c r="Q121">
        <f t="shared" ref="Q121" si="581">F121*P121</f>
        <v>-2058342.3109017522</v>
      </c>
      <c r="R121">
        <f t="shared" ref="R121" si="582">R122+Q121</f>
        <v>-466459090.89660871</v>
      </c>
      <c r="S121">
        <f t="shared" ref="S121" si="583">R121/100000</f>
        <v>-4664.5909089660872</v>
      </c>
      <c r="T121">
        <f t="shared" ref="T121" si="584">S121/1000</f>
        <v>-4.6645909089660869</v>
      </c>
    </row>
    <row r="122" spans="1:20" x14ac:dyDescent="0.25">
      <c r="A122" s="5">
        <v>44471</v>
      </c>
      <c r="B122">
        <v>0.95140000000000002</v>
      </c>
      <c r="C122">
        <v>1.0361</v>
      </c>
      <c r="D122">
        <v>0.92720000000000002</v>
      </c>
      <c r="E122">
        <v>0.98699999999999999</v>
      </c>
      <c r="F122">
        <v>10665696</v>
      </c>
      <c r="G122">
        <v>0.98699999999999999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9.8255280073461265E-2</v>
      </c>
      <c r="Q122">
        <f t="shared" ref="Q122" si="586">F122*P122</f>
        <v>1047960.9476583955</v>
      </c>
      <c r="R122">
        <f t="shared" ref="R122" si="587">R123+Q122</f>
        <v>-464400748.58570695</v>
      </c>
      <c r="S122">
        <f t="shared" ref="S122" si="588">R122/100000</f>
        <v>-4644.0074858570697</v>
      </c>
      <c r="T122">
        <f t="shared" ref="T122" si="589">S122/1000</f>
        <v>-4.6440074858570695</v>
      </c>
    </row>
    <row r="123" spans="1:20" x14ac:dyDescent="0.25">
      <c r="A123" s="5">
        <v>44470</v>
      </c>
      <c r="B123">
        <v>0.8659</v>
      </c>
      <c r="C123">
        <v>0.96179999999999999</v>
      </c>
      <c r="D123">
        <v>0.86009999999999998</v>
      </c>
      <c r="E123">
        <v>0.95109999999999995</v>
      </c>
      <c r="F123">
        <v>9663390</v>
      </c>
      <c r="G123">
        <v>0.95109999999999995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0.78957718780727548</v>
      </c>
      <c r="Q123">
        <f t="shared" ref="Q123" si="591">F123*P123</f>
        <v>7629992.3008849481</v>
      </c>
      <c r="R123">
        <f t="shared" ref="R123" si="592">R124+Q123</f>
        <v>-465448709.53336537</v>
      </c>
      <c r="S123">
        <f t="shared" ref="S123" si="593">R123/100000</f>
        <v>-4654.487095333654</v>
      </c>
      <c r="T123">
        <f t="shared" ref="T123" si="594">S123/1000</f>
        <v>-4.6544870953336543</v>
      </c>
    </row>
    <row r="124" spans="1:20" x14ac:dyDescent="0.25">
      <c r="A124" s="5">
        <v>44469</v>
      </c>
      <c r="B124">
        <v>0.82969999999999999</v>
      </c>
      <c r="C124">
        <v>0.87880000000000003</v>
      </c>
      <c r="D124">
        <v>0.82389999999999997</v>
      </c>
      <c r="E124">
        <v>0.86629999999999996</v>
      </c>
      <c r="F124">
        <v>6700568</v>
      </c>
      <c r="G124">
        <v>0.86629999999999996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0.5446265938069198</v>
      </c>
      <c r="Q124">
        <f t="shared" ref="Q124" si="596">F124*P124</f>
        <v>3649307.5264116451</v>
      </c>
      <c r="R124">
        <f t="shared" ref="R124" si="597">R125+Q124</f>
        <v>-473078701.83425033</v>
      </c>
      <c r="S124">
        <f t="shared" ref="S124" si="598">R124/100000</f>
        <v>-4730.787018342503</v>
      </c>
      <c r="T124">
        <f t="shared" ref="T124" si="599">S124/1000</f>
        <v>-4.7307870183425029</v>
      </c>
    </row>
    <row r="125" spans="1:20" x14ac:dyDescent="0.25">
      <c r="A125" s="5">
        <v>44468</v>
      </c>
      <c r="B125">
        <v>0.78849999999999998</v>
      </c>
      <c r="C125">
        <v>0.90300000000000002</v>
      </c>
      <c r="D125">
        <v>0.78490000000000004</v>
      </c>
      <c r="E125">
        <v>0.82969999999999999</v>
      </c>
      <c r="F125">
        <v>14819437</v>
      </c>
      <c r="G125">
        <v>0.82969999999999999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-0.24132091447925558</v>
      </c>
      <c r="Q125">
        <f t="shared" ref="Q125" si="601">F125*P125</f>
        <v>-3576240.0889077159</v>
      </c>
      <c r="R125">
        <f t="shared" ref="R125" si="602">R126+Q125</f>
        <v>-476728009.36066198</v>
      </c>
      <c r="S125">
        <f t="shared" ref="S125" si="603">R125/100000</f>
        <v>-4767.2800936066196</v>
      </c>
      <c r="T125">
        <f t="shared" ref="T125" si="604">S125/1000</f>
        <v>-4.7672800936066198</v>
      </c>
    </row>
    <row r="126" spans="1:20" x14ac:dyDescent="0.25">
      <c r="A126" s="5">
        <v>44467</v>
      </c>
      <c r="B126">
        <v>0.8216</v>
      </c>
      <c r="C126">
        <v>0.84099999999999997</v>
      </c>
      <c r="D126">
        <v>0.78500000000000003</v>
      </c>
      <c r="E126">
        <v>0.78959999999999997</v>
      </c>
      <c r="F126">
        <v>5192383</v>
      </c>
      <c r="G126">
        <v>0.78959999999999997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-0.83571428571428774</v>
      </c>
      <c r="Q126">
        <f t="shared" ref="Q126" si="606">F126*P126</f>
        <v>-4339348.6500000106</v>
      </c>
      <c r="R126">
        <f t="shared" ref="R126" si="607">R127+Q126</f>
        <v>-473151769.27175426</v>
      </c>
      <c r="S126">
        <f t="shared" ref="S126" si="608">R126/100000</f>
        <v>-4731.5176927175426</v>
      </c>
      <c r="T126">
        <f t="shared" ref="T126" si="609">S126/1000</f>
        <v>-4.7315176927175422</v>
      </c>
    </row>
    <row r="127" spans="1:20" x14ac:dyDescent="0.25">
      <c r="A127" s="5">
        <v>44466</v>
      </c>
      <c r="B127">
        <v>0.84909999999999997</v>
      </c>
      <c r="C127">
        <v>0.90159999999999996</v>
      </c>
      <c r="D127">
        <v>0.82050000000000001</v>
      </c>
      <c r="E127">
        <v>0.82220000000000004</v>
      </c>
      <c r="F127">
        <v>7850686</v>
      </c>
      <c r="G127">
        <v>0.82220000000000004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-0.95807644882860576</v>
      </c>
      <c r="Q127">
        <f t="shared" ref="Q127" si="611">F127*P127</f>
        <v>-7521557.3637484517</v>
      </c>
      <c r="R127">
        <f t="shared" ref="R127" si="612">R128+Q127</f>
        <v>-468812420.62175423</v>
      </c>
      <c r="S127">
        <f t="shared" ref="S127" si="613">R127/100000</f>
        <v>-4688.1242062175425</v>
      </c>
      <c r="T127">
        <f t="shared" ref="T127" si="614">S127/1000</f>
        <v>-4.6881242062175428</v>
      </c>
    </row>
    <row r="128" spans="1:20" x14ac:dyDescent="0.25">
      <c r="A128" s="5">
        <v>44465</v>
      </c>
      <c r="B128">
        <v>0.85089999999999999</v>
      </c>
      <c r="C128">
        <v>0.87529999999999997</v>
      </c>
      <c r="D128">
        <v>0.78620000000000001</v>
      </c>
      <c r="E128">
        <v>0.85029999999999994</v>
      </c>
      <c r="F128">
        <v>8936010</v>
      </c>
      <c r="G128">
        <v>0.85029999999999994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0.43883277216610472</v>
      </c>
      <c r="Q128">
        <f t="shared" ref="Q128" si="616">F128*P128</f>
        <v>3921414.0404040334</v>
      </c>
      <c r="R128">
        <f t="shared" ref="R128" si="617">R129+Q128</f>
        <v>-461290863.2580058</v>
      </c>
      <c r="S128">
        <f t="shared" ref="S128" si="618">R128/100000</f>
        <v>-4612.9086325800581</v>
      </c>
      <c r="T128">
        <f t="shared" ref="T128" si="619">S128/1000</f>
        <v>-4.6129086325800577</v>
      </c>
    </row>
    <row r="129" spans="1:20" x14ac:dyDescent="0.25">
      <c r="A129" s="5">
        <v>44464</v>
      </c>
      <c r="B129">
        <v>0.872</v>
      </c>
      <c r="C129">
        <v>0.90880000000000005</v>
      </c>
      <c r="D129">
        <v>0.84640000000000004</v>
      </c>
      <c r="E129">
        <v>0.85089999999999999</v>
      </c>
      <c r="F129">
        <v>7351961</v>
      </c>
      <c r="G129">
        <v>0.85089999999999999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-0.85576923076923239</v>
      </c>
      <c r="Q129">
        <f t="shared" ref="Q129" si="621">F129*P129</f>
        <v>-6291582.0096153961</v>
      </c>
      <c r="R129">
        <f t="shared" ref="R129" si="622">R130+Q129</f>
        <v>-465212277.29840982</v>
      </c>
      <c r="S129">
        <f t="shared" ref="S129" si="623">R129/100000</f>
        <v>-4652.1227729840984</v>
      </c>
      <c r="T129">
        <f t="shared" ref="T129" si="624">S129/1000</f>
        <v>-4.6521227729840984</v>
      </c>
    </row>
    <row r="130" spans="1:20" x14ac:dyDescent="0.25">
      <c r="A130" s="5">
        <v>44463</v>
      </c>
      <c r="B130">
        <v>0.95499999999999996</v>
      </c>
      <c r="C130">
        <v>0.95879999999999999</v>
      </c>
      <c r="D130">
        <v>0.81899999999999995</v>
      </c>
      <c r="E130">
        <v>0.87109999999999999</v>
      </c>
      <c r="F130">
        <v>13467077</v>
      </c>
      <c r="G130">
        <v>0.87109999999999999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-0.2546494992846921</v>
      </c>
      <c r="Q130">
        <f t="shared" ref="Q130" si="626">F130*P130</f>
        <v>-3429384.4148783935</v>
      </c>
      <c r="R130">
        <f t="shared" ref="R130" si="627">R131+Q130</f>
        <v>-458920695.2887944</v>
      </c>
      <c r="S130">
        <f t="shared" ref="S130" si="628">R130/100000</f>
        <v>-4589.2069528879438</v>
      </c>
      <c r="T130">
        <f t="shared" ref="T130" si="629">S130/1000</f>
        <v>-4.5892069528879436</v>
      </c>
    </row>
    <row r="131" spans="1:20" x14ac:dyDescent="0.25">
      <c r="A131" s="5">
        <v>44462</v>
      </c>
      <c r="B131">
        <v>0.92449999999999999</v>
      </c>
      <c r="C131">
        <v>0.96789999999999998</v>
      </c>
      <c r="D131">
        <v>0.89149999999999996</v>
      </c>
      <c r="E131">
        <v>0.95579999999999998</v>
      </c>
      <c r="F131">
        <v>12325827</v>
      </c>
      <c r="G131">
        <v>0.95579999999999998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0.68324607329842946</v>
      </c>
      <c r="Q131">
        <f t="shared" ref="Q131" si="631">F131*P131</f>
        <v>8421572.8979057614</v>
      </c>
      <c r="R131">
        <f t="shared" ref="R131" si="632">R132+Q131</f>
        <v>-455491310.87391603</v>
      </c>
      <c r="S131">
        <f t="shared" ref="S131" si="633">R131/100000</f>
        <v>-4554.9131087391606</v>
      </c>
      <c r="T131">
        <f t="shared" ref="T131" si="634">S131/1000</f>
        <v>-4.5549131087391608</v>
      </c>
    </row>
    <row r="132" spans="1:20" x14ac:dyDescent="0.25">
      <c r="A132" s="5">
        <v>44461</v>
      </c>
      <c r="B132">
        <v>0.80779999999999996</v>
      </c>
      <c r="C132">
        <v>0.92910000000000004</v>
      </c>
      <c r="D132">
        <v>0.79900000000000004</v>
      </c>
      <c r="E132">
        <v>0.92459999999999998</v>
      </c>
      <c r="F132">
        <v>11954013</v>
      </c>
      <c r="G132">
        <v>0.92459999999999998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0.9308224442736347</v>
      </c>
      <c r="Q132">
        <f t="shared" ref="Q132" si="636">F132*P132</f>
        <v>11127063.599538805</v>
      </c>
      <c r="R132">
        <f t="shared" ref="R132" si="637">R133+Q132</f>
        <v>-463912883.7718218</v>
      </c>
      <c r="S132">
        <f t="shared" ref="S132" si="638">R132/100000</f>
        <v>-4639.1288377182182</v>
      </c>
      <c r="T132">
        <f t="shared" ref="T132" si="639">S132/1000</f>
        <v>-4.6391288377182178</v>
      </c>
    </row>
    <row r="133" spans="1:20" x14ac:dyDescent="0.25">
      <c r="A133" s="5">
        <v>44460</v>
      </c>
      <c r="B133">
        <v>0.88470000000000004</v>
      </c>
      <c r="C133">
        <v>0.93740000000000001</v>
      </c>
      <c r="D133">
        <v>0.79</v>
      </c>
      <c r="E133">
        <v>0.80779999999999996</v>
      </c>
      <c r="F133">
        <v>16665108.23</v>
      </c>
      <c r="G133">
        <v>0.80779999999999996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-0.75848032564450574</v>
      </c>
      <c r="Q133">
        <f t="shared" ref="Q133" si="641">F133*P133</f>
        <v>-12640156.717191333</v>
      </c>
      <c r="R133">
        <f t="shared" ref="R133" si="642">R134+Q133</f>
        <v>-475039947.3713606</v>
      </c>
      <c r="S133">
        <f t="shared" ref="S133" si="643">R133/100000</f>
        <v>-4750.3994737136063</v>
      </c>
      <c r="T133">
        <f t="shared" ref="T133" si="644">S133/1000</f>
        <v>-4.7503994737136059</v>
      </c>
    </row>
    <row r="134" spans="1:20" x14ac:dyDescent="0.25">
      <c r="A134" s="5">
        <v>44459</v>
      </c>
      <c r="B134">
        <v>1.0674999999999999</v>
      </c>
      <c r="C134">
        <v>1.0696000000000001</v>
      </c>
      <c r="D134">
        <v>0.9577</v>
      </c>
      <c r="E134">
        <v>0.96789999999999998</v>
      </c>
      <c r="F134">
        <v>9374351</v>
      </c>
      <c r="G134">
        <v>0.96789999999999998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-0.81769436997319078</v>
      </c>
      <c r="Q134">
        <f t="shared" ref="Q134" si="646">F134*P134</f>
        <v>-7665354.0348525513</v>
      </c>
      <c r="R134">
        <f t="shared" ref="R134" si="647">R135+Q134</f>
        <v>-462399790.65416926</v>
      </c>
      <c r="S134">
        <f t="shared" ref="S134" si="648">R134/100000</f>
        <v>-4623.9979065416928</v>
      </c>
      <c r="T134">
        <f t="shared" ref="T134" si="649">S134/1000</f>
        <v>-4.6239979065416925</v>
      </c>
    </row>
    <row r="135" spans="1:20" x14ac:dyDescent="0.25">
      <c r="A135" s="5">
        <v>44458</v>
      </c>
      <c r="B135">
        <v>1.0996999999999999</v>
      </c>
      <c r="C135">
        <v>1.1115999999999999</v>
      </c>
      <c r="D135">
        <v>1.05</v>
      </c>
      <c r="E135">
        <v>1.0683</v>
      </c>
      <c r="F135">
        <v>9515622</v>
      </c>
      <c r="G135">
        <v>1.0683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-0.40584415584415523</v>
      </c>
      <c r="Q135">
        <f t="shared" ref="Q135" si="651">F135*P135</f>
        <v>-3861859.5779220723</v>
      </c>
      <c r="R135">
        <f t="shared" ref="R135" si="652">R136+Q135</f>
        <v>-454734436.6193167</v>
      </c>
      <c r="S135">
        <f t="shared" ref="S135" si="653">R135/100000</f>
        <v>-4547.3443661931669</v>
      </c>
      <c r="T135">
        <f t="shared" ref="T135" si="654">S135/1000</f>
        <v>-4.5473443661931672</v>
      </c>
    </row>
    <row r="136" spans="1:20" x14ac:dyDescent="0.25">
      <c r="A136" s="5">
        <v>44457</v>
      </c>
      <c r="B136">
        <v>1.1175999999999999</v>
      </c>
      <c r="C136">
        <v>1.1567000000000001</v>
      </c>
      <c r="D136">
        <v>1.0802</v>
      </c>
      <c r="E136">
        <v>1.0996999999999999</v>
      </c>
      <c r="F136">
        <v>10943464</v>
      </c>
      <c r="G136">
        <v>1.0996999999999999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-0.49019607843137653</v>
      </c>
      <c r="Q136">
        <f t="shared" ref="Q136" si="656">F136*P136</f>
        <v>-5364443.1372549459</v>
      </c>
      <c r="R136">
        <f t="shared" ref="R136" si="657">R137+Q136</f>
        <v>-450872577.04139465</v>
      </c>
      <c r="S136">
        <f t="shared" ref="S136" si="658">R136/100000</f>
        <v>-4508.7257704139465</v>
      </c>
      <c r="T136">
        <f t="shared" ref="T136" si="659">S136/1000</f>
        <v>-4.508725770413947</v>
      </c>
    </row>
    <row r="137" spans="1:20" x14ac:dyDescent="0.25">
      <c r="A137" s="5">
        <v>44456</v>
      </c>
      <c r="B137">
        <v>1.1884999999999999</v>
      </c>
      <c r="C137">
        <v>1.1997</v>
      </c>
      <c r="D137">
        <v>1.0905</v>
      </c>
      <c r="E137">
        <v>1.1171</v>
      </c>
      <c r="F137">
        <v>12946209</v>
      </c>
      <c r="G137">
        <v>1.1171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-0.51282051282051344</v>
      </c>
      <c r="Q137">
        <f t="shared" ref="Q137" si="661">F137*P137</f>
        <v>-6639081.5384615464</v>
      </c>
      <c r="R137">
        <f t="shared" ref="R137" si="662">R138+Q137</f>
        <v>-445508133.9041397</v>
      </c>
      <c r="S137">
        <f t="shared" ref="S137" si="663">R137/100000</f>
        <v>-4455.0813390413969</v>
      </c>
      <c r="T137">
        <f t="shared" ref="T137" si="664">S137/1000</f>
        <v>-4.4550813390413966</v>
      </c>
    </row>
    <row r="138" spans="1:20" x14ac:dyDescent="0.25">
      <c r="A138" s="5">
        <v>44455</v>
      </c>
      <c r="B138">
        <v>1.2201</v>
      </c>
      <c r="C138">
        <v>1.2910999999999999</v>
      </c>
      <c r="D138">
        <v>1.1499999999999999</v>
      </c>
      <c r="E138">
        <v>1.1889000000000001</v>
      </c>
      <c r="F138">
        <v>16526575</v>
      </c>
      <c r="G138">
        <v>1.1889000000000001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-0.44861800141743224</v>
      </c>
      <c r="Q138">
        <f t="shared" ref="Q138" si="666">F138*P138</f>
        <v>-7414119.0467753001</v>
      </c>
      <c r="R138">
        <f t="shared" ref="R138" si="667">R139+Q138</f>
        <v>-438869052.36567813</v>
      </c>
      <c r="S138">
        <f t="shared" ref="S138" si="668">R138/100000</f>
        <v>-4388.6905236567809</v>
      </c>
      <c r="T138">
        <f t="shared" ref="T138" si="669">S138/1000</f>
        <v>-4.3886905236567806</v>
      </c>
    </row>
    <row r="139" spans="1:20" x14ac:dyDescent="0.25">
      <c r="A139" s="5">
        <v>44454</v>
      </c>
      <c r="B139">
        <v>1.1712</v>
      </c>
      <c r="C139">
        <v>1.2431000000000001</v>
      </c>
      <c r="D139">
        <v>1.1457999999999999</v>
      </c>
      <c r="E139">
        <v>1.2201</v>
      </c>
      <c r="F139">
        <v>14361011</v>
      </c>
      <c r="G139">
        <v>1.2201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0.52723535457348214</v>
      </c>
      <c r="Q139">
        <f t="shared" ref="Q139" si="671">F139*P139</f>
        <v>7571632.7266186774</v>
      </c>
      <c r="R139">
        <f t="shared" ref="R139" si="672">R140+Q139</f>
        <v>-431454933.31890285</v>
      </c>
      <c r="S139">
        <f t="shared" ref="S139" si="673">R139/100000</f>
        <v>-4314.5493331890284</v>
      </c>
      <c r="T139">
        <f t="shared" ref="T139" si="674">S139/1000</f>
        <v>-4.3145493331890288</v>
      </c>
    </row>
    <row r="140" spans="1:20" x14ac:dyDescent="0.25">
      <c r="A140" s="5">
        <v>44453</v>
      </c>
      <c r="B140">
        <v>1.0698000000000001</v>
      </c>
      <c r="C140">
        <v>1.2093</v>
      </c>
      <c r="D140">
        <v>1.0521</v>
      </c>
      <c r="E140">
        <v>1.1715</v>
      </c>
      <c r="F140">
        <v>17575265</v>
      </c>
      <c r="G140">
        <v>1.1715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0.51908396946564817</v>
      </c>
      <c r="Q140">
        <f t="shared" ref="Q140" si="676">F140*P140</f>
        <v>9123038.3206106741</v>
      </c>
      <c r="R140">
        <f t="shared" ref="R140" si="677">R141+Q140</f>
        <v>-439026566.0455215</v>
      </c>
      <c r="S140">
        <f t="shared" ref="S140" si="678">R140/100000</f>
        <v>-4390.2656604552149</v>
      </c>
      <c r="T140">
        <f t="shared" ref="T140" si="679">S140/1000</f>
        <v>-4.3902656604552153</v>
      </c>
    </row>
    <row r="141" spans="1:20" x14ac:dyDescent="0.25">
      <c r="A141" s="5">
        <v>44452</v>
      </c>
      <c r="B141">
        <v>1.1194</v>
      </c>
      <c r="C141">
        <v>1.1346000000000001</v>
      </c>
      <c r="D141">
        <v>0.99719999999999998</v>
      </c>
      <c r="E141">
        <v>1.0697000000000001</v>
      </c>
      <c r="F141">
        <v>11213171</v>
      </c>
      <c r="G141">
        <v>1.0697000000000001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5.53129548762748E-2</v>
      </c>
      <c r="Q141">
        <f t="shared" ref="Q141" si="681">F141*P141</f>
        <v>620233.62154295319</v>
      </c>
      <c r="R141">
        <f t="shared" ref="R141" si="682">R142+Q141</f>
        <v>-448149604.3661322</v>
      </c>
      <c r="S141">
        <f t="shared" ref="S141" si="683">R141/100000</f>
        <v>-4481.4960436613219</v>
      </c>
      <c r="T141">
        <f t="shared" ref="T141" si="684">S141/1000</f>
        <v>-4.4814960436613216</v>
      </c>
    </row>
    <row r="142" spans="1:20" x14ac:dyDescent="0.25">
      <c r="A142" s="5">
        <v>44451</v>
      </c>
      <c r="B142">
        <v>1.0779000000000001</v>
      </c>
      <c r="C142">
        <v>1.1617</v>
      </c>
      <c r="D142">
        <v>1.0624</v>
      </c>
      <c r="E142">
        <v>1.1202000000000001</v>
      </c>
      <c r="F142">
        <v>11214184</v>
      </c>
      <c r="G142">
        <v>1.1202000000000001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0.16414904330312399</v>
      </c>
      <c r="Q142">
        <f t="shared" ref="Q142" si="686">F142*P142</f>
        <v>1840797.5750252001</v>
      </c>
      <c r="R142">
        <f t="shared" ref="R142" si="687">R143+Q142</f>
        <v>-448769837.98767513</v>
      </c>
      <c r="S142">
        <f t="shared" ref="S142" si="688">R142/100000</f>
        <v>-4487.6983798767515</v>
      </c>
      <c r="T142">
        <f t="shared" ref="T142" si="689">S142/1000</f>
        <v>-4.4876983798767514</v>
      </c>
    </row>
    <row r="143" spans="1:20" x14ac:dyDescent="0.25">
      <c r="A143" s="5">
        <v>44450</v>
      </c>
      <c r="B143">
        <v>1.0979000000000001</v>
      </c>
      <c r="C143">
        <v>1.1494</v>
      </c>
      <c r="D143">
        <v>1.0669</v>
      </c>
      <c r="E143">
        <v>1.0781000000000001</v>
      </c>
      <c r="F143">
        <v>8625419</v>
      </c>
      <c r="G143">
        <v>1.0781000000000001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-0.72848484848484618</v>
      </c>
      <c r="Q143">
        <f t="shared" ref="Q143" si="691">F143*P143</f>
        <v>-6283487.0533333132</v>
      </c>
      <c r="R143">
        <f t="shared" ref="R143" si="692">R144+Q143</f>
        <v>-450610635.56270033</v>
      </c>
      <c r="S143">
        <f t="shared" ref="S143" si="693">R143/100000</f>
        <v>-4506.1063556270037</v>
      </c>
      <c r="T143">
        <f t="shared" ref="T143" si="694">S143/1000</f>
        <v>-4.5061063556270033</v>
      </c>
    </row>
    <row r="144" spans="1:20" x14ac:dyDescent="0.25">
      <c r="A144" s="5">
        <v>44449</v>
      </c>
      <c r="B144">
        <v>1.169</v>
      </c>
      <c r="C144">
        <v>1.2282</v>
      </c>
      <c r="D144">
        <v>1.0563</v>
      </c>
      <c r="E144">
        <v>1.0984</v>
      </c>
      <c r="F144">
        <v>15025107</v>
      </c>
      <c r="G144">
        <v>1.0984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-0.51018033740546787</v>
      </c>
      <c r="Q144">
        <f t="shared" ref="Q144" si="696">F144*P144</f>
        <v>-7665514.1588132568</v>
      </c>
      <c r="R144">
        <f t="shared" ref="R144" si="697">R145+Q144</f>
        <v>-444327148.50936699</v>
      </c>
      <c r="S144">
        <f t="shared" ref="S144" si="698">R144/100000</f>
        <v>-4443.27148509367</v>
      </c>
      <c r="T144">
        <f t="shared" ref="T144" si="699">S144/1000</f>
        <v>-4.4432714850936703</v>
      </c>
    </row>
    <row r="145" spans="1:20" x14ac:dyDescent="0.25">
      <c r="A145" s="5">
        <v>44448</v>
      </c>
      <c r="B145">
        <v>1.1292</v>
      </c>
      <c r="C145">
        <v>1.2464999999999999</v>
      </c>
      <c r="D145">
        <v>1.1044</v>
      </c>
      <c r="E145">
        <v>1.1693</v>
      </c>
      <c r="F145">
        <v>21112934</v>
      </c>
      <c r="G145">
        <v>1.1693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-8.655876143560863E-2</v>
      </c>
      <c r="Q145">
        <f t="shared" ref="Q145" si="701">F145*P145</f>
        <v>-1827509.4173117504</v>
      </c>
      <c r="R145">
        <f t="shared" ref="R145" si="702">R146+Q145</f>
        <v>-436661634.35055375</v>
      </c>
      <c r="S145">
        <f t="shared" ref="S145" si="703">R145/100000</f>
        <v>-4366.6163435055378</v>
      </c>
      <c r="T145">
        <f t="shared" ref="T145" si="704">S145/1000</f>
        <v>-4.3666163435055374</v>
      </c>
    </row>
    <row r="146" spans="1:20" x14ac:dyDescent="0.25">
      <c r="A146" s="5">
        <v>44447</v>
      </c>
      <c r="B146">
        <v>1.1497999999999999</v>
      </c>
      <c r="C146">
        <v>1.1998</v>
      </c>
      <c r="D146">
        <v>1.0283</v>
      </c>
      <c r="E146">
        <v>1.1287</v>
      </c>
      <c r="F146">
        <v>24514368</v>
      </c>
      <c r="G146">
        <v>1.1287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0.17084548104956329</v>
      </c>
      <c r="Q146">
        <f t="shared" ref="Q146" si="706">F146*P146</f>
        <v>4188168.9935860205</v>
      </c>
      <c r="R146">
        <f t="shared" ref="R146" si="707">R147+Q146</f>
        <v>-434834124.93324202</v>
      </c>
      <c r="S146">
        <f t="shared" ref="S146" si="708">R146/100000</f>
        <v>-4348.3412493324204</v>
      </c>
      <c r="T146">
        <f t="shared" ref="T146" si="709">S146/1000</f>
        <v>-4.3483412493324201</v>
      </c>
    </row>
    <row r="147" spans="1:20" x14ac:dyDescent="0.25">
      <c r="A147" s="5">
        <v>44446</v>
      </c>
      <c r="B147">
        <v>1.4074</v>
      </c>
      <c r="C147">
        <v>1.4308000000000001</v>
      </c>
      <c r="D147">
        <v>0.9</v>
      </c>
      <c r="E147">
        <v>1.1476</v>
      </c>
      <c r="F147">
        <v>47955861.630000003</v>
      </c>
      <c r="G147">
        <v>1.1476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-6.7068575734740357E-2</v>
      </c>
      <c r="Q147">
        <f t="shared" ref="Q147" si="711">F147*P147</f>
        <v>-3216331.3376563843</v>
      </c>
      <c r="R147">
        <f t="shared" ref="R147" si="712">R148+Q147</f>
        <v>-439022293.92682803</v>
      </c>
      <c r="S147">
        <f t="shared" ref="S147" si="713">R147/100000</f>
        <v>-4390.2229392682802</v>
      </c>
      <c r="T147">
        <f t="shared" ref="T147" si="714">S147/1000</f>
        <v>-4.3902229392682806</v>
      </c>
    </row>
    <row r="148" spans="1:20" x14ac:dyDescent="0.25">
      <c r="A148" s="5">
        <v>44445</v>
      </c>
      <c r="B148">
        <v>1.3861000000000001</v>
      </c>
      <c r="C148">
        <v>1.5</v>
      </c>
      <c r="D148">
        <v>1.3754999999999999</v>
      </c>
      <c r="E148">
        <v>1.4074</v>
      </c>
      <c r="F148">
        <v>25337627.02</v>
      </c>
      <c r="G148">
        <v>1.4074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-0.48755020080321243</v>
      </c>
      <c r="Q148">
        <f t="shared" ref="Q148" si="716">F148*P148</f>
        <v>-12353365.141477901</v>
      </c>
      <c r="R148">
        <f t="shared" ref="R148" si="717">R149+Q148</f>
        <v>-435805962.58917165</v>
      </c>
      <c r="S148">
        <f t="shared" ref="S148" si="718">R148/100000</f>
        <v>-4358.0596258917167</v>
      </c>
      <c r="T148">
        <f t="shared" ref="T148" si="719">S148/1000</f>
        <v>-4.358059625891717</v>
      </c>
    </row>
    <row r="149" spans="1:20" x14ac:dyDescent="0.25">
      <c r="A149" s="5">
        <v>44444</v>
      </c>
      <c r="B149">
        <v>1.3361000000000001</v>
      </c>
      <c r="C149">
        <v>1.4239999999999999</v>
      </c>
      <c r="D149">
        <v>1.3124</v>
      </c>
      <c r="E149">
        <v>1.3871</v>
      </c>
      <c r="F149">
        <v>15764736</v>
      </c>
      <c r="G149">
        <v>1.3871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0.33870967741935559</v>
      </c>
      <c r="Q149">
        <f t="shared" ref="Q149" si="721">F149*P149</f>
        <v>5339668.6451613018</v>
      </c>
      <c r="R149">
        <f t="shared" ref="R149" si="722">R150+Q149</f>
        <v>-423452597.44769377</v>
      </c>
      <c r="S149">
        <f t="shared" ref="S149" si="723">R149/100000</f>
        <v>-4234.5259744769373</v>
      </c>
      <c r="T149">
        <f t="shared" ref="T149" si="724">S149/1000</f>
        <v>-4.234525974476937</v>
      </c>
    </row>
    <row r="150" spans="1:20" x14ac:dyDescent="0.25">
      <c r="A150" s="5">
        <v>44443</v>
      </c>
      <c r="B150">
        <v>1.3835999999999999</v>
      </c>
      <c r="C150">
        <v>1.4054</v>
      </c>
      <c r="D150">
        <v>1.3213999999999999</v>
      </c>
      <c r="E150">
        <v>1.3358000000000001</v>
      </c>
      <c r="F150">
        <v>11588822</v>
      </c>
      <c r="G150">
        <v>1.3358000000000001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-0.65714285714285292</v>
      </c>
      <c r="Q150">
        <f t="shared" ref="Q150" si="726">F150*P150</f>
        <v>-7615511.5999999512</v>
      </c>
      <c r="R150">
        <f t="shared" ref="R150" si="727">R151+Q150</f>
        <v>-428792266.0928551</v>
      </c>
      <c r="S150">
        <f t="shared" ref="S150" si="728">R150/100000</f>
        <v>-4287.9226609285506</v>
      </c>
      <c r="T150">
        <f t="shared" ref="T150" si="729">S150/1000</f>
        <v>-4.287922660928551</v>
      </c>
    </row>
    <row r="151" spans="1:20" x14ac:dyDescent="0.25">
      <c r="A151" s="5">
        <v>44442</v>
      </c>
      <c r="B151">
        <v>1.3561000000000001</v>
      </c>
      <c r="C151">
        <v>1.4589000000000001</v>
      </c>
      <c r="D151">
        <v>1.3444</v>
      </c>
      <c r="E151">
        <v>1.3847</v>
      </c>
      <c r="F151">
        <v>27978933.300000001</v>
      </c>
      <c r="G151">
        <v>1.3847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-0.29606986899563342</v>
      </c>
      <c r="Q151">
        <f t="shared" ref="Q151" si="731">F151*P151</f>
        <v>-8283719.116768566</v>
      </c>
      <c r="R151">
        <f t="shared" ref="R151" si="732">R152+Q151</f>
        <v>-421176754.49285513</v>
      </c>
      <c r="S151">
        <f t="shared" ref="S151" si="733">R151/100000</f>
        <v>-4211.7675449285516</v>
      </c>
      <c r="T151">
        <f t="shared" ref="T151" si="734">S151/1000</f>
        <v>-4.2117675449285512</v>
      </c>
    </row>
    <row r="152" spans="1:20" x14ac:dyDescent="0.25">
      <c r="A152" s="5">
        <v>44441</v>
      </c>
      <c r="B152">
        <v>1.3160000000000001</v>
      </c>
      <c r="C152">
        <v>1.379</v>
      </c>
      <c r="D152">
        <v>1.2715000000000001</v>
      </c>
      <c r="E152">
        <v>1.3561000000000001</v>
      </c>
      <c r="F152">
        <v>30076080</v>
      </c>
      <c r="G152">
        <v>1.3561000000000001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0.57395348837209426</v>
      </c>
      <c r="Q152">
        <f t="shared" ref="Q152" si="736">F152*P152</f>
        <v>17262271.032558177</v>
      </c>
      <c r="R152">
        <f t="shared" ref="R152" si="737">R153+Q152</f>
        <v>-412893035.37608659</v>
      </c>
      <c r="S152">
        <f t="shared" ref="S152" si="738">R152/100000</f>
        <v>-4128.9303537608657</v>
      </c>
      <c r="T152">
        <f t="shared" ref="T152" si="739">S152/1000</f>
        <v>-4.1289303537608655</v>
      </c>
    </row>
    <row r="153" spans="1:20" x14ac:dyDescent="0.25">
      <c r="A153" s="5">
        <v>44440</v>
      </c>
      <c r="B153">
        <v>1.2229000000000001</v>
      </c>
      <c r="C153">
        <v>1.3767</v>
      </c>
      <c r="D153">
        <v>1.1708000000000001</v>
      </c>
      <c r="E153">
        <v>1.3160000000000001</v>
      </c>
      <c r="F153">
        <v>45257876.359999999</v>
      </c>
      <c r="G153">
        <v>1.3160000000000001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0.41039339485186999</v>
      </c>
      <c r="Q153">
        <f t="shared" ref="Q153" si="741">F153*P153</f>
        <v>18573533.523166593</v>
      </c>
      <c r="R153">
        <f t="shared" ref="R153" si="742">R154+Q153</f>
        <v>-430155306.4086448</v>
      </c>
      <c r="S153">
        <f t="shared" ref="S153" si="743">R153/100000</f>
        <v>-4301.5530640864481</v>
      </c>
      <c r="T153">
        <f t="shared" ref="T153" si="744">S153/1000</f>
        <v>-4.3015530640864483</v>
      </c>
    </row>
    <row r="154" spans="1:20" x14ac:dyDescent="0.25">
      <c r="A154" s="5">
        <v>44439</v>
      </c>
      <c r="B154">
        <v>1.0939000000000001</v>
      </c>
      <c r="C154">
        <v>1.31</v>
      </c>
      <c r="D154">
        <v>1.0788</v>
      </c>
      <c r="E154">
        <v>1.2221</v>
      </c>
      <c r="F154">
        <v>55286316.759999998</v>
      </c>
      <c r="G154">
        <v>1.2221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0.23961937716262921</v>
      </c>
      <c r="Q154">
        <f t="shared" ref="Q154" si="746">F154*P154</f>
        <v>13247672.787647028</v>
      </c>
      <c r="R154">
        <f t="shared" ref="R154" si="747">R155+Q154</f>
        <v>-448728839.93181139</v>
      </c>
      <c r="S154">
        <f t="shared" ref="S154" si="748">R154/100000</f>
        <v>-4487.288399318114</v>
      </c>
      <c r="T154">
        <f t="shared" ref="T154" si="749">S154/1000</f>
        <v>-4.4872883993181141</v>
      </c>
    </row>
    <row r="155" spans="1:20" x14ac:dyDescent="0.25">
      <c r="A155" s="5">
        <v>44438</v>
      </c>
      <c r="B155">
        <v>1.0919000000000001</v>
      </c>
      <c r="C155">
        <v>1.1695</v>
      </c>
      <c r="D155">
        <v>1.0111000000000001</v>
      </c>
      <c r="E155">
        <v>1.0939000000000001</v>
      </c>
      <c r="F155">
        <v>37201269.329999998</v>
      </c>
      <c r="G155">
        <v>1.0939000000000001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4.5454545454546094E-2</v>
      </c>
      <c r="Q155">
        <f t="shared" ref="Q155" si="751">F155*P155</f>
        <v>1690966.7877272964</v>
      </c>
      <c r="R155">
        <f t="shared" ref="R155" si="752">R156+Q155</f>
        <v>-461976512.7194584</v>
      </c>
      <c r="S155">
        <f t="shared" ref="S155" si="753">R155/100000</f>
        <v>-4619.7651271945842</v>
      </c>
      <c r="T155">
        <f t="shared" ref="T155" si="754">S155/1000</f>
        <v>-4.6197651271945839</v>
      </c>
    </row>
    <row r="156" spans="1:20" x14ac:dyDescent="0.25">
      <c r="A156" s="5">
        <v>44437</v>
      </c>
      <c r="B156">
        <v>1.0925</v>
      </c>
      <c r="C156">
        <v>1.1311</v>
      </c>
      <c r="D156">
        <v>1.0516000000000001</v>
      </c>
      <c r="E156">
        <v>1.0926</v>
      </c>
      <c r="F156">
        <v>13426600</v>
      </c>
      <c r="G156">
        <v>1.0926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3.1446540880502513E-2</v>
      </c>
      <c r="Q156">
        <f t="shared" ref="Q156" si="756">F156*P156</f>
        <v>422220.12578615505</v>
      </c>
      <c r="R156">
        <f t="shared" ref="R156" si="757">R157+Q156</f>
        <v>-463667479.5071857</v>
      </c>
      <c r="S156">
        <f t="shared" ref="S156" si="758">R156/100000</f>
        <v>-4636.6747950718573</v>
      </c>
      <c r="T156">
        <f t="shared" ref="T156" si="759">S156/1000</f>
        <v>-4.6366747950718574</v>
      </c>
    </row>
    <row r="157" spans="1:20" x14ac:dyDescent="0.25">
      <c r="A157" s="5">
        <v>44436</v>
      </c>
      <c r="B157">
        <v>1.1321000000000001</v>
      </c>
      <c r="C157">
        <v>1.1539999999999999</v>
      </c>
      <c r="D157">
        <v>1.0798000000000001</v>
      </c>
      <c r="E157">
        <v>1.0911999999999999</v>
      </c>
      <c r="F157">
        <v>15920253.42</v>
      </c>
      <c r="G157">
        <v>1.0911999999999999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-0.69272237196765818</v>
      </c>
      <c r="Q157">
        <f t="shared" ref="Q157" si="761">F157*P157</f>
        <v>-11028315.711428622</v>
      </c>
      <c r="R157">
        <f t="shared" ref="R157" si="762">R158+Q157</f>
        <v>-464089699.63297182</v>
      </c>
      <c r="S157">
        <f t="shared" ref="S157" si="763">R157/100000</f>
        <v>-4640.8969963297186</v>
      </c>
      <c r="T157">
        <f t="shared" ref="T157" si="764">S157/1000</f>
        <v>-4.6408969963297189</v>
      </c>
    </row>
    <row r="158" spans="1:20" x14ac:dyDescent="0.25">
      <c r="A158" s="5">
        <v>44435</v>
      </c>
      <c r="B158">
        <v>1.0673999999999999</v>
      </c>
      <c r="C158">
        <v>1.1449</v>
      </c>
      <c r="D158">
        <v>1.0170999999999999</v>
      </c>
      <c r="E158">
        <v>1.1317999999999999</v>
      </c>
      <c r="F158">
        <v>23007591.739999998</v>
      </c>
      <c r="G158">
        <v>1.1317999999999999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0.7949921752738639</v>
      </c>
      <c r="Q158">
        <f t="shared" ref="Q158" si="766">F158*P158</f>
        <v>18290855.405195583</v>
      </c>
      <c r="R158">
        <f t="shared" ref="R158" si="767">R159+Q158</f>
        <v>-453061383.92154318</v>
      </c>
      <c r="S158">
        <f t="shared" ref="S158" si="768">R158/100000</f>
        <v>-4530.6138392154317</v>
      </c>
      <c r="T158">
        <f t="shared" ref="T158" si="769">S158/1000</f>
        <v>-4.530613839215432</v>
      </c>
    </row>
    <row r="159" spans="1:20" x14ac:dyDescent="0.25">
      <c r="A159" s="5">
        <v>44434</v>
      </c>
      <c r="B159">
        <v>1.1687000000000001</v>
      </c>
      <c r="C159">
        <v>1.2022999999999999</v>
      </c>
      <c r="D159">
        <v>1.0402</v>
      </c>
      <c r="E159">
        <v>1.0674999999999999</v>
      </c>
      <c r="F159">
        <v>31574328.52</v>
      </c>
      <c r="G159">
        <v>1.0674999999999999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-0.66317088217150033</v>
      </c>
      <c r="Q159">
        <f t="shared" ref="Q159" si="771">F159*P159</f>
        <v>-20939175.298581161</v>
      </c>
      <c r="R159">
        <f t="shared" ref="R159" si="772">R160+Q159</f>
        <v>-471352239.32673877</v>
      </c>
      <c r="S159">
        <f t="shared" ref="S159" si="773">R159/100000</f>
        <v>-4713.522393267388</v>
      </c>
      <c r="T159">
        <f t="shared" ref="T159" si="774">S159/1000</f>
        <v>-4.7135223932673878</v>
      </c>
    </row>
    <row r="160" spans="1:20" x14ac:dyDescent="0.25">
      <c r="A160" s="5">
        <v>44433</v>
      </c>
      <c r="B160">
        <v>1.1599999999999999</v>
      </c>
      <c r="C160">
        <v>1.2743</v>
      </c>
      <c r="D160">
        <v>1.1099000000000001</v>
      </c>
      <c r="E160">
        <v>1.1695</v>
      </c>
      <c r="F160">
        <v>78911931.359999999</v>
      </c>
      <c r="G160">
        <v>1.1695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-0.27493917274939272</v>
      </c>
      <c r="Q160">
        <f t="shared" ref="Q160" si="776">F160*P160</f>
        <v>-21695981.128175262</v>
      </c>
      <c r="R160">
        <f t="shared" ref="R160" si="777">R161+Q160</f>
        <v>-450413064.02815759</v>
      </c>
      <c r="S160">
        <f t="shared" ref="S160" si="778">R160/100000</f>
        <v>-4504.1306402815762</v>
      </c>
      <c r="T160">
        <f t="shared" ref="T160" si="779">S160/1000</f>
        <v>-4.5041306402815762</v>
      </c>
    </row>
    <row r="161" spans="1:20" x14ac:dyDescent="0.25">
      <c r="A161" s="5">
        <v>44432</v>
      </c>
      <c r="B161">
        <v>1.1304000000000001</v>
      </c>
      <c r="C161">
        <v>1.2083999999999999</v>
      </c>
      <c r="D161">
        <v>0.98299999999999998</v>
      </c>
      <c r="E161">
        <v>1.1596</v>
      </c>
      <c r="F161">
        <v>50073541.149999999</v>
      </c>
      <c r="G161">
        <v>1.1596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0.56699201419698342</v>
      </c>
      <c r="Q161">
        <f t="shared" ref="Q161" si="781">F161*P161</f>
        <v>28391297.954614032</v>
      </c>
      <c r="R161">
        <f t="shared" ref="R161" si="782">R162+Q161</f>
        <v>-428717082.89998233</v>
      </c>
      <c r="S161">
        <f t="shared" ref="S161" si="783">R161/100000</f>
        <v>-4287.1708289998232</v>
      </c>
      <c r="T161">
        <f t="shared" ref="T161" si="784">S161/1000</f>
        <v>-4.2871708289998232</v>
      </c>
    </row>
    <row r="162" spans="1:20" x14ac:dyDescent="0.25">
      <c r="A162" s="5">
        <v>44431</v>
      </c>
      <c r="B162">
        <v>1.1727000000000001</v>
      </c>
      <c r="C162">
        <v>1.1779999999999999</v>
      </c>
      <c r="D162">
        <v>1.0851999999999999</v>
      </c>
      <c r="E162">
        <v>1.1319999999999999</v>
      </c>
      <c r="F162">
        <v>29630766.25</v>
      </c>
      <c r="G162">
        <v>1.1319999999999999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8.6206896551714648E-3</v>
      </c>
      <c r="Q162">
        <f t="shared" ref="Q162" si="786">F162*P162</f>
        <v>255437.64008617878</v>
      </c>
      <c r="R162">
        <f t="shared" ref="R162" si="787">R163+Q162</f>
        <v>-457108380.85459638</v>
      </c>
      <c r="S162">
        <f t="shared" ref="S162" si="788">R162/100000</f>
        <v>-4571.0838085459636</v>
      </c>
      <c r="T162">
        <f t="shared" ref="T162" si="789">S162/1000</f>
        <v>-4.5710838085459633</v>
      </c>
    </row>
    <row r="163" spans="1:20" x14ac:dyDescent="0.25">
      <c r="A163" s="5">
        <v>44430</v>
      </c>
      <c r="B163">
        <v>0.98299999999999998</v>
      </c>
      <c r="C163">
        <v>1.0084</v>
      </c>
      <c r="D163">
        <v>0.97629999999999995</v>
      </c>
      <c r="E163">
        <v>1.0014000000000001</v>
      </c>
      <c r="F163">
        <v>4575310.62</v>
      </c>
      <c r="G163">
        <v>1.0014000000000001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0.56386292834891638</v>
      </c>
      <c r="Q163">
        <f t="shared" ref="Q163" si="791">F163*P163</f>
        <v>2579848.0442990963</v>
      </c>
      <c r="R163">
        <f t="shared" ref="R163" si="792">R164+Q163</f>
        <v>-457363818.49468255</v>
      </c>
      <c r="S163">
        <f t="shared" ref="S163" si="793">R163/100000</f>
        <v>-4573.6381849468253</v>
      </c>
      <c r="T163">
        <f t="shared" ref="T163" si="794">S163/1000</f>
        <v>-4.5736381849468248</v>
      </c>
    </row>
    <row r="164" spans="1:20" x14ac:dyDescent="0.25">
      <c r="A164" s="5">
        <v>44429</v>
      </c>
      <c r="B164">
        <v>1.0318000000000001</v>
      </c>
      <c r="C164">
        <v>1.0337000000000001</v>
      </c>
      <c r="D164">
        <v>0.96109999999999995</v>
      </c>
      <c r="E164">
        <v>0.98309999999999997</v>
      </c>
      <c r="F164">
        <v>20013062.710000001</v>
      </c>
      <c r="G164">
        <v>0.98309999999999997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-0.39393939393939431</v>
      </c>
      <c r="Q164">
        <f t="shared" ref="Q164" si="796">F164*P164</f>
        <v>-7883933.7948484924</v>
      </c>
      <c r="R164">
        <f t="shared" ref="R164" si="797">R165+Q164</f>
        <v>-459943666.53898168</v>
      </c>
      <c r="S164">
        <f t="shared" ref="S164" si="798">R164/100000</f>
        <v>-4599.4366653898169</v>
      </c>
      <c r="T164">
        <f t="shared" ref="T164" si="799">S164/1000</f>
        <v>-4.5994366653898169</v>
      </c>
    </row>
    <row r="165" spans="1:20" x14ac:dyDescent="0.25">
      <c r="A165" s="5">
        <v>44428</v>
      </c>
      <c r="B165">
        <v>0.92059999999999997</v>
      </c>
      <c r="C165">
        <v>1.0496000000000001</v>
      </c>
      <c r="D165">
        <v>0.91769999999999996</v>
      </c>
      <c r="E165">
        <v>1.0321</v>
      </c>
      <c r="F165">
        <v>34671350.770000003</v>
      </c>
      <c r="G165">
        <v>1.0321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0.73464746019711824</v>
      </c>
      <c r="Q165">
        <f t="shared" ref="Q165" si="801">F165*P165</f>
        <v>25471219.784783904</v>
      </c>
      <c r="R165">
        <f t="shared" ref="R165" si="802">R166+Q165</f>
        <v>-452059732.74413317</v>
      </c>
      <c r="S165">
        <f t="shared" ref="S165" si="803">R165/100000</f>
        <v>-4520.5973274413318</v>
      </c>
      <c r="T165">
        <f t="shared" ref="T165" si="804">S165/1000</f>
        <v>-4.5205973274413314</v>
      </c>
    </row>
    <row r="166" spans="1:20" x14ac:dyDescent="0.25">
      <c r="A166" s="5">
        <v>44427</v>
      </c>
      <c r="B166">
        <v>0.89019999999999999</v>
      </c>
      <c r="C166">
        <v>0.92490000000000006</v>
      </c>
      <c r="D166">
        <v>0.84</v>
      </c>
      <c r="E166">
        <v>0.92059999999999997</v>
      </c>
      <c r="F166">
        <v>23452373.539999999</v>
      </c>
      <c r="G166">
        <v>0.92059999999999997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0.89870435806831384</v>
      </c>
      <c r="Q166">
        <f t="shared" ref="Q166" si="806">F166*P166</f>
        <v>21076750.30744401</v>
      </c>
      <c r="R166">
        <f t="shared" ref="R166" si="807">R167+Q166</f>
        <v>-477530952.52891707</v>
      </c>
      <c r="S166">
        <f t="shared" ref="S166" si="808">R166/100000</f>
        <v>-4775.3095252891708</v>
      </c>
      <c r="T166">
        <f t="shared" ref="T166" si="809">S166/1000</f>
        <v>-4.7753095252891704</v>
      </c>
    </row>
    <row r="167" spans="1:20" x14ac:dyDescent="0.25">
      <c r="A167" s="5">
        <v>44426</v>
      </c>
      <c r="B167">
        <v>0.90839999999999999</v>
      </c>
      <c r="C167">
        <v>0.92190000000000005</v>
      </c>
      <c r="D167">
        <v>0.85</v>
      </c>
      <c r="E167">
        <v>0.88919999999999999</v>
      </c>
      <c r="F167">
        <v>23569241.16</v>
      </c>
      <c r="G167">
        <v>0.88919999999999999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9.0403337969401157E-2</v>
      </c>
      <c r="Q167">
        <f t="shared" ref="Q167" si="811">F167*P167</f>
        <v>2130738.0742698004</v>
      </c>
      <c r="R167">
        <f t="shared" ref="R167" si="812">R168+Q167</f>
        <v>-498607702.83636111</v>
      </c>
      <c r="S167">
        <f t="shared" ref="S167" si="813">R167/100000</f>
        <v>-4986.0770283636111</v>
      </c>
      <c r="T167">
        <f t="shared" ref="T167" si="814">S167/1000</f>
        <v>-4.9860770283636109</v>
      </c>
    </row>
    <row r="168" spans="1:20" x14ac:dyDescent="0.25">
      <c r="A168" s="5">
        <v>44425</v>
      </c>
      <c r="B168">
        <v>0.96020000000000005</v>
      </c>
      <c r="C168">
        <v>1.0209999999999999</v>
      </c>
      <c r="D168">
        <v>0.88300000000000001</v>
      </c>
      <c r="E168">
        <v>0.90769999999999995</v>
      </c>
      <c r="F168">
        <v>32245531.289999999</v>
      </c>
      <c r="G168">
        <v>0.90769999999999995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-0.64202898550724696</v>
      </c>
      <c r="Q168">
        <f t="shared" ref="Q168" si="816">F168*P168</f>
        <v>-20702565.741260886</v>
      </c>
      <c r="R168">
        <f t="shared" ref="R168" si="817">R169+Q168</f>
        <v>-500738440.91063088</v>
      </c>
      <c r="S168">
        <f t="shared" ref="S168" si="818">R168/100000</f>
        <v>-5007.3844091063092</v>
      </c>
      <c r="T168">
        <f t="shared" ref="T168" si="819">S168/1000</f>
        <v>-5.0073844091063089</v>
      </c>
    </row>
    <row r="169" spans="1:20" x14ac:dyDescent="0.25">
      <c r="A169" s="5">
        <v>44424</v>
      </c>
      <c r="B169">
        <v>1.0168999999999999</v>
      </c>
      <c r="C169">
        <v>1.0705</v>
      </c>
      <c r="D169">
        <v>0.92630000000000001</v>
      </c>
      <c r="E169">
        <v>0.95879999999999999</v>
      </c>
      <c r="F169">
        <v>33318704.219999999</v>
      </c>
      <c r="G169">
        <v>0.95879999999999999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-0.54923717059639421</v>
      </c>
      <c r="Q169">
        <f t="shared" ref="Q169" si="821">F169*P169</f>
        <v>-18299870.83373094</v>
      </c>
      <c r="R169">
        <f t="shared" ref="R169" si="822">R170+Q169</f>
        <v>-480035875.16937</v>
      </c>
      <c r="S169">
        <f t="shared" ref="S169" si="823">R169/100000</f>
        <v>-4800.3587516936996</v>
      </c>
      <c r="T169">
        <f t="shared" ref="T169" si="824">S169/1000</f>
        <v>-4.8003587516936994</v>
      </c>
    </row>
    <row r="170" spans="1:20" x14ac:dyDescent="0.25">
      <c r="A170" s="5">
        <v>44423</v>
      </c>
      <c r="B170">
        <v>0.9879</v>
      </c>
      <c r="C170">
        <v>1.0369999999999999</v>
      </c>
      <c r="D170">
        <v>0.9476</v>
      </c>
      <c r="E170">
        <v>1.0168999999999999</v>
      </c>
      <c r="F170">
        <v>20056952.030000001</v>
      </c>
      <c r="G170">
        <v>1.0168999999999999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0.55033557046979809</v>
      </c>
      <c r="Q170">
        <f t="shared" ref="Q170" si="826">F170*P170</f>
        <v>11038054.137315426</v>
      </c>
      <c r="R170">
        <f t="shared" ref="R170" si="827">R171+Q170</f>
        <v>-461736004.33563906</v>
      </c>
      <c r="S170">
        <f t="shared" ref="S170" si="828">R170/100000</f>
        <v>-4617.3600433563906</v>
      </c>
      <c r="T170">
        <f t="shared" ref="T170" si="829">S170/1000</f>
        <v>-4.6173600433563911</v>
      </c>
    </row>
    <row r="171" spans="1:20" x14ac:dyDescent="0.25">
      <c r="A171" s="5">
        <v>44422</v>
      </c>
      <c r="B171">
        <v>1.0259</v>
      </c>
      <c r="C171">
        <v>1.0414000000000001</v>
      </c>
      <c r="D171">
        <v>0.94520000000000004</v>
      </c>
      <c r="E171">
        <v>0.9879</v>
      </c>
      <c r="F171">
        <v>22280017.399999999</v>
      </c>
      <c r="G171">
        <v>0.9879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-0.11226611226611367</v>
      </c>
      <c r="Q171">
        <f t="shared" ref="Q171" si="831">F171*P171</f>
        <v>-2501290.934719366</v>
      </c>
      <c r="R171">
        <f t="shared" ref="R171" si="832">R172+Q171</f>
        <v>-472774058.47295451</v>
      </c>
      <c r="S171">
        <f t="shared" ref="S171" si="833">R171/100000</f>
        <v>-4727.7405847295449</v>
      </c>
      <c r="T171">
        <f t="shared" ref="T171" si="834">S171/1000</f>
        <v>-4.7277405847295446</v>
      </c>
    </row>
    <row r="172" spans="1:20" x14ac:dyDescent="0.25">
      <c r="A172" s="5">
        <v>44421</v>
      </c>
      <c r="B172">
        <v>0.95199999999999996</v>
      </c>
      <c r="C172">
        <v>1.0349999999999999</v>
      </c>
      <c r="D172">
        <v>0.94210000000000005</v>
      </c>
      <c r="E172">
        <v>1.0276000000000001</v>
      </c>
      <c r="F172">
        <v>21351978.789999999</v>
      </c>
      <c r="G172">
        <v>1.0276000000000001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0.84068891280947555</v>
      </c>
      <c r="Q172">
        <f t="shared" ref="Q172" si="836">F172*P172</f>
        <v>17950371.83529608</v>
      </c>
      <c r="R172">
        <f t="shared" ref="R172" si="837">R173+Q172</f>
        <v>-470272767.53823513</v>
      </c>
      <c r="S172">
        <f t="shared" ref="S172" si="838">R172/100000</f>
        <v>-4702.7276753823517</v>
      </c>
      <c r="T172">
        <f t="shared" ref="T172" si="839">S172/1000</f>
        <v>-4.7027276753823513</v>
      </c>
    </row>
    <row r="173" spans="1:20" x14ac:dyDescent="0.25">
      <c r="A173" s="5">
        <v>44420</v>
      </c>
      <c r="B173">
        <v>0.99339999999999995</v>
      </c>
      <c r="C173">
        <v>1.0469999999999999</v>
      </c>
      <c r="D173">
        <v>0.89529999999999998</v>
      </c>
      <c r="E173">
        <v>0.95230000000000004</v>
      </c>
      <c r="F173">
        <v>30012633.41</v>
      </c>
      <c r="G173">
        <v>0.95230000000000004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-0.24851680949241831</v>
      </c>
      <c r="Q173">
        <f t="shared" ref="Q173" si="841">F173*P173</f>
        <v>-7458643.899518759</v>
      </c>
      <c r="R173">
        <f t="shared" ref="R173" si="842">R174+Q173</f>
        <v>-488223139.37353122</v>
      </c>
      <c r="S173">
        <f t="shared" ref="S173" si="843">R173/100000</f>
        <v>-4882.2313937353119</v>
      </c>
      <c r="T173">
        <f t="shared" ref="T173" si="844">S173/1000</f>
        <v>-4.8822313937353119</v>
      </c>
    </row>
    <row r="174" spans="1:20" x14ac:dyDescent="0.25">
      <c r="A174" s="5">
        <v>44419</v>
      </c>
      <c r="B174">
        <v>0.9294</v>
      </c>
      <c r="C174">
        <v>1.08</v>
      </c>
      <c r="D174">
        <v>0.92679999999999996</v>
      </c>
      <c r="E174">
        <v>0.99480000000000002</v>
      </c>
      <c r="F174">
        <v>52696811.689999998</v>
      </c>
      <c r="G174">
        <v>0.99480000000000002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-0.11227154046997376</v>
      </c>
      <c r="Q174">
        <f t="shared" ref="Q174" si="846">F174*P174</f>
        <v>-5916352.2262924211</v>
      </c>
      <c r="R174">
        <f t="shared" ref="R174" si="847">R175+Q174</f>
        <v>-480764495.47401243</v>
      </c>
      <c r="S174">
        <f t="shared" ref="S174" si="848">R174/100000</f>
        <v>-4807.6449547401244</v>
      </c>
      <c r="T174">
        <f t="shared" ref="T174" si="849">S174/1000</f>
        <v>-4.8076449547401241</v>
      </c>
    </row>
    <row r="175" spans="1:20" x14ac:dyDescent="0.25">
      <c r="A175" s="5">
        <v>44418</v>
      </c>
      <c r="B175">
        <v>0.9597</v>
      </c>
      <c r="C175">
        <v>0.96699999999999997</v>
      </c>
      <c r="D175">
        <v>0.89119999999999999</v>
      </c>
      <c r="E175">
        <v>0.92979999999999996</v>
      </c>
      <c r="F175">
        <v>28114977.449999999</v>
      </c>
      <c r="G175">
        <v>0.92979999999999996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1.8469656992083867E-2</v>
      </c>
      <c r="Q175">
        <f t="shared" ref="Q175" si="851">F175*P175</f>
        <v>519273.98984167277</v>
      </c>
      <c r="R175">
        <f t="shared" ref="R175" si="852">R176+Q175</f>
        <v>-474848143.24772</v>
      </c>
      <c r="S175">
        <f t="shared" ref="S175" si="853">R175/100000</f>
        <v>-4748.4814324771996</v>
      </c>
      <c r="T175">
        <f t="shared" ref="T175" si="854">S175/1000</f>
        <v>-4.7484814324771998</v>
      </c>
    </row>
    <row r="176" spans="1:20" x14ac:dyDescent="0.25">
      <c r="A176" s="5">
        <v>44417</v>
      </c>
      <c r="B176">
        <v>0.8659</v>
      </c>
      <c r="C176">
        <v>0.97</v>
      </c>
      <c r="D176">
        <v>0.83</v>
      </c>
      <c r="E176">
        <v>0.96009999999999995</v>
      </c>
      <c r="F176">
        <v>31933928.91</v>
      </c>
      <c r="G176">
        <v>0.96009999999999995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0.85857142857142832</v>
      </c>
      <c r="Q176">
        <f t="shared" ref="Q176" si="856">F176*P176</f>
        <v>27417558.964157134</v>
      </c>
      <c r="R176">
        <f t="shared" ref="R176" si="857">R177+Q176</f>
        <v>-475367417.2375617</v>
      </c>
      <c r="S176">
        <f t="shared" ref="S176" si="858">R176/100000</f>
        <v>-4753.6741723756168</v>
      </c>
      <c r="T176">
        <f t="shared" ref="T176" si="859">S176/1000</f>
        <v>-4.7536741723756171</v>
      </c>
    </row>
    <row r="177" spans="1:20" x14ac:dyDescent="0.25">
      <c r="A177" s="5">
        <v>44416</v>
      </c>
      <c r="B177">
        <v>0.93559999999999999</v>
      </c>
      <c r="C177">
        <v>0.96319999999999995</v>
      </c>
      <c r="D177">
        <v>0.84750000000000003</v>
      </c>
      <c r="E177">
        <v>0.86580000000000001</v>
      </c>
      <c r="F177">
        <v>31488844.579999998</v>
      </c>
      <c r="G177">
        <v>0.86580000000000001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-0.68366464995678489</v>
      </c>
      <c r="Q177">
        <f t="shared" ref="Q177" si="861">F177*P177</f>
        <v>-21527809.907329302</v>
      </c>
      <c r="R177">
        <f t="shared" ref="R177" si="862">R178+Q177</f>
        <v>-502784976.20171887</v>
      </c>
      <c r="S177">
        <f t="shared" ref="S177" si="863">R177/100000</f>
        <v>-5027.8497620171884</v>
      </c>
      <c r="T177">
        <f t="shared" ref="T177" si="864">S177/1000</f>
        <v>-5.0278497620171887</v>
      </c>
    </row>
    <row r="178" spans="1:20" x14ac:dyDescent="0.25">
      <c r="A178" s="5">
        <v>44415</v>
      </c>
      <c r="B178">
        <v>0.80020000000000002</v>
      </c>
      <c r="C178">
        <v>1.0199</v>
      </c>
      <c r="D178">
        <v>0.78749999999999998</v>
      </c>
      <c r="E178">
        <v>0.9355</v>
      </c>
      <c r="F178">
        <v>78508597.310000002</v>
      </c>
      <c r="G178">
        <v>0.9355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0.27366609294320127</v>
      </c>
      <c r="Q178">
        <f t="shared" ref="Q178" si="866">F178*P178</f>
        <v>21485141.088278823</v>
      </c>
      <c r="R178">
        <f t="shared" ref="R178" si="867">R179+Q178</f>
        <v>-481257166.29438955</v>
      </c>
      <c r="S178">
        <f t="shared" ref="S178" si="868">R178/100000</f>
        <v>-4812.5716629438957</v>
      </c>
      <c r="T178">
        <f t="shared" ref="T178" si="869">S178/1000</f>
        <v>-4.8125716629438955</v>
      </c>
    </row>
    <row r="179" spans="1:20" x14ac:dyDescent="0.25">
      <c r="A179" s="5">
        <v>44414</v>
      </c>
      <c r="B179">
        <v>0.81320000000000003</v>
      </c>
      <c r="C179">
        <v>0.82930000000000004</v>
      </c>
      <c r="D179">
        <v>0.77600000000000002</v>
      </c>
      <c r="E179">
        <v>0.80020000000000002</v>
      </c>
      <c r="F179">
        <v>26254885.73</v>
      </c>
      <c r="G179">
        <v>0.80020000000000002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-9.1932457786116584E-2</v>
      </c>
      <c r="Q179">
        <f t="shared" ref="Q179" si="871">F179*P179</f>
        <v>-2413676.1740525397</v>
      </c>
      <c r="R179">
        <f t="shared" ref="R179" si="872">R180+Q179</f>
        <v>-502742307.38266838</v>
      </c>
      <c r="S179">
        <f t="shared" ref="S179" si="873">R179/100000</f>
        <v>-5027.4230738266833</v>
      </c>
      <c r="T179">
        <f t="shared" ref="T179" si="874">S179/1000</f>
        <v>-5.0274230738266832</v>
      </c>
    </row>
    <row r="180" spans="1:20" x14ac:dyDescent="0.25">
      <c r="A180" s="5">
        <v>44413</v>
      </c>
      <c r="B180">
        <v>0.747</v>
      </c>
      <c r="C180">
        <v>0.89249999999999996</v>
      </c>
      <c r="D180">
        <v>0.72299999999999998</v>
      </c>
      <c r="E180">
        <v>0.81299999999999994</v>
      </c>
      <c r="F180">
        <v>86312573.799999997</v>
      </c>
      <c r="G180">
        <v>0.81299999999999994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6.1946902654866992E-2</v>
      </c>
      <c r="Q180">
        <f t="shared" ref="Q180" si="876">F180*P180</f>
        <v>5346796.6070796233</v>
      </c>
      <c r="R180">
        <f t="shared" ref="R180" si="877">R181+Q180</f>
        <v>-500328631.20861584</v>
      </c>
      <c r="S180">
        <f t="shared" ref="S180" si="878">R180/100000</f>
        <v>-5003.2863120861584</v>
      </c>
      <c r="T180">
        <f t="shared" ref="T180" si="879">S180/1000</f>
        <v>-5.0032863120861588</v>
      </c>
    </row>
    <row r="181" spans="1:20" x14ac:dyDescent="0.25">
      <c r="A181" s="5">
        <v>44412</v>
      </c>
      <c r="B181">
        <v>0.65200000000000002</v>
      </c>
      <c r="C181">
        <v>0.749</v>
      </c>
      <c r="D181">
        <v>0.64270000000000005</v>
      </c>
      <c r="E181">
        <v>0.747</v>
      </c>
      <c r="F181">
        <v>34675008.700000003</v>
      </c>
      <c r="G181">
        <v>0.747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0.96237064910630288</v>
      </c>
      <c r="Q181">
        <f t="shared" ref="Q181" si="881">F181*P181</f>
        <v>33370210.630385701</v>
      </c>
      <c r="R181">
        <f t="shared" ref="R181" si="882">R182+Q181</f>
        <v>-505675427.81569546</v>
      </c>
      <c r="S181">
        <f t="shared" ref="S181" si="883">R181/100000</f>
        <v>-5056.7542781569546</v>
      </c>
      <c r="T181">
        <f t="shared" ref="T181" si="884">S181/1000</f>
        <v>-5.056754278156955</v>
      </c>
    </row>
    <row r="182" spans="1:20" x14ac:dyDescent="0.25">
      <c r="A182" s="5">
        <v>44411</v>
      </c>
      <c r="B182">
        <v>0.67549999999999999</v>
      </c>
      <c r="C182">
        <v>0.69279999999999997</v>
      </c>
      <c r="D182">
        <v>0.63400000000000001</v>
      </c>
      <c r="E182">
        <v>0.65269999999999995</v>
      </c>
      <c r="F182">
        <v>21264137.18</v>
      </c>
      <c r="G182">
        <v>0.65269999999999995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-0.3639455782312942</v>
      </c>
      <c r="Q182">
        <f t="shared" ref="Q182" si="886">F182*P182</f>
        <v>-7738988.7015646612</v>
      </c>
      <c r="R182">
        <f t="shared" ref="R182" si="887">R183+Q182</f>
        <v>-539045638.44608116</v>
      </c>
      <c r="S182">
        <f t="shared" ref="S182" si="888">R182/100000</f>
        <v>-5390.4563844608119</v>
      </c>
      <c r="T182">
        <f t="shared" ref="T182" si="889">S182/1000</f>
        <v>-5.390456384460812</v>
      </c>
    </row>
    <row r="183" spans="1:20" x14ac:dyDescent="0.25">
      <c r="A183" s="5">
        <v>44410</v>
      </c>
      <c r="B183">
        <v>0.67530000000000001</v>
      </c>
      <c r="C183">
        <v>0.71150000000000002</v>
      </c>
      <c r="D183">
        <v>0.64549999999999996</v>
      </c>
      <c r="E183">
        <v>0.67530000000000001</v>
      </c>
      <c r="F183">
        <v>28781156.09</v>
      </c>
      <c r="G183">
        <v>0.67530000000000001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-9.6969696969696303E-2</v>
      </c>
      <c r="Q183">
        <f t="shared" ref="Q183" si="891">F183*P183</f>
        <v>-2790899.9844848295</v>
      </c>
      <c r="R183">
        <f t="shared" ref="R183" si="892">R184+Q183</f>
        <v>-531306649.74451655</v>
      </c>
      <c r="S183">
        <f t="shared" ref="S183" si="893">R183/100000</f>
        <v>-5313.0664974451656</v>
      </c>
      <c r="T183">
        <f t="shared" ref="T183" si="894">S183/1000</f>
        <v>-5.313066497445166</v>
      </c>
    </row>
    <row r="184" spans="1:20" x14ac:dyDescent="0.25">
      <c r="A184" s="5">
        <v>44409</v>
      </c>
      <c r="B184">
        <v>0.63500000000000001</v>
      </c>
      <c r="C184">
        <v>0.72430000000000005</v>
      </c>
      <c r="D184">
        <v>0.62739999999999996</v>
      </c>
      <c r="E184">
        <v>0.67589999999999995</v>
      </c>
      <c r="F184">
        <v>42117329.43</v>
      </c>
      <c r="G184">
        <v>0.67589999999999995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1.0319917440647871E-3</v>
      </c>
      <c r="Q184">
        <f t="shared" ref="Q184" si="896">F184*P184</f>
        <v>43464.736253816889</v>
      </c>
      <c r="R184">
        <f t="shared" ref="R184" si="897">R185+Q184</f>
        <v>-528515749.7600317</v>
      </c>
      <c r="S184">
        <f t="shared" ref="S184" si="898">R184/100000</f>
        <v>-5285.1574976003167</v>
      </c>
      <c r="T184">
        <f t="shared" ref="T184" si="899">S184/1000</f>
        <v>-5.2851574976003164</v>
      </c>
    </row>
    <row r="185" spans="1:20" x14ac:dyDescent="0.25">
      <c r="A185" s="5">
        <v>44408</v>
      </c>
      <c r="B185">
        <v>0.63900000000000001</v>
      </c>
      <c r="C185">
        <v>0.65149999999999997</v>
      </c>
      <c r="D185">
        <v>0.61209999999999998</v>
      </c>
      <c r="E185">
        <v>0.63549999999999995</v>
      </c>
      <c r="F185">
        <v>19824292.219999999</v>
      </c>
      <c r="G185">
        <v>0.63549999999999995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0.18781725888324782</v>
      </c>
      <c r="Q185">
        <f t="shared" ref="Q185" si="901">F185*P185</f>
        <v>3723344.2240608954</v>
      </c>
      <c r="R185">
        <f t="shared" ref="R185" si="902">R186+Q185</f>
        <v>-528559214.4962855</v>
      </c>
      <c r="S185">
        <f t="shared" ref="S185" si="903">R185/100000</f>
        <v>-5285.5921449628549</v>
      </c>
      <c r="T185">
        <f t="shared" ref="T185" si="904">S185/1000</f>
        <v>-5.2855921449628553</v>
      </c>
    </row>
    <row r="186" spans="1:20" x14ac:dyDescent="0.25">
      <c r="A186" s="5">
        <v>44407</v>
      </c>
      <c r="B186">
        <v>0.61899999999999999</v>
      </c>
      <c r="C186">
        <v>0.65400000000000003</v>
      </c>
      <c r="D186">
        <v>0.59030000000000005</v>
      </c>
      <c r="E186">
        <v>0.63849999999999996</v>
      </c>
      <c r="F186">
        <v>27631597.530000001</v>
      </c>
      <c r="G186">
        <v>0.63849999999999996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0.51334379905808247</v>
      </c>
      <c r="Q186">
        <f t="shared" ref="Q186" si="906">F186*P186</f>
        <v>14184509.250094129</v>
      </c>
      <c r="R186">
        <f t="shared" ref="R186" si="907">R187+Q186</f>
        <v>-532282558.72034639</v>
      </c>
      <c r="S186">
        <f t="shared" ref="S186" si="908">R186/100000</f>
        <v>-5322.8255872034642</v>
      </c>
      <c r="T186">
        <f t="shared" ref="T186" si="909">S186/1000</f>
        <v>-5.3228255872034644</v>
      </c>
    </row>
    <row r="187" spans="1:20" x14ac:dyDescent="0.25">
      <c r="A187" s="5">
        <v>44406</v>
      </c>
      <c r="B187">
        <v>0.59730000000000005</v>
      </c>
      <c r="C187">
        <v>0.61990000000000001</v>
      </c>
      <c r="D187">
        <v>0.58499999999999996</v>
      </c>
      <c r="E187">
        <v>0.61939999999999995</v>
      </c>
      <c r="F187">
        <v>17099209.559999999</v>
      </c>
      <c r="G187">
        <v>0.61939999999999995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0.97134670487105701</v>
      </c>
      <c r="Q187">
        <f t="shared" ref="Q187" si="911">F187*P187</f>
        <v>16609260.862005675</v>
      </c>
      <c r="R187">
        <f t="shared" ref="R187" si="912">R188+Q187</f>
        <v>-546467067.97044051</v>
      </c>
      <c r="S187">
        <f t="shared" ref="S187" si="913">R187/100000</f>
        <v>-5464.6706797044053</v>
      </c>
      <c r="T187">
        <f t="shared" ref="T187" si="914">S187/1000</f>
        <v>-5.4646706797044056</v>
      </c>
    </row>
    <row r="188" spans="1:20" x14ac:dyDescent="0.25">
      <c r="A188" s="5">
        <v>44405</v>
      </c>
      <c r="B188">
        <v>0.60519999999999996</v>
      </c>
      <c r="C188">
        <v>0.62090000000000001</v>
      </c>
      <c r="D188">
        <v>0.57950000000000002</v>
      </c>
      <c r="E188">
        <v>0.59789999999999999</v>
      </c>
      <c r="F188">
        <v>21630619.859999999</v>
      </c>
      <c r="G188">
        <v>0.59789999999999999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-0.1111111111111123</v>
      </c>
      <c r="Q188">
        <f t="shared" ref="Q188" si="916">F188*P188</f>
        <v>-2403402.2066666922</v>
      </c>
      <c r="R188">
        <f t="shared" ref="R188" si="917">R189+Q188</f>
        <v>-563076328.83244622</v>
      </c>
      <c r="S188">
        <f t="shared" ref="S188" si="918">R188/100000</f>
        <v>-5630.7632883244623</v>
      </c>
      <c r="T188">
        <f t="shared" ref="T188" si="919">S188/1000</f>
        <v>-5.630763288324462</v>
      </c>
    </row>
    <row r="189" spans="1:20" x14ac:dyDescent="0.25">
      <c r="A189" s="5">
        <v>44404</v>
      </c>
      <c r="B189">
        <v>0.6069</v>
      </c>
      <c r="C189">
        <v>0.625</v>
      </c>
      <c r="D189">
        <v>0.56999999999999995</v>
      </c>
      <c r="E189">
        <v>0.60640000000000005</v>
      </c>
      <c r="F189">
        <v>32504308.379999999</v>
      </c>
      <c r="G189">
        <v>0.60640000000000005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0.32363636363636605</v>
      </c>
      <c r="Q189">
        <f t="shared" ref="Q189" si="921">F189*P189</f>
        <v>10519576.16661826</v>
      </c>
      <c r="R189">
        <f t="shared" ref="R189" si="922">R190+Q189</f>
        <v>-560672926.62577951</v>
      </c>
      <c r="S189">
        <f t="shared" ref="S189" si="923">R189/100000</f>
        <v>-5606.7292662577947</v>
      </c>
      <c r="T189">
        <f t="shared" ref="T189" si="924">S189/1000</f>
        <v>-5.606729266257795</v>
      </c>
    </row>
    <row r="190" spans="1:20" x14ac:dyDescent="0.25">
      <c r="A190" s="5">
        <v>44403</v>
      </c>
      <c r="B190">
        <v>0.59799999999999998</v>
      </c>
      <c r="C190">
        <v>0.67500000000000004</v>
      </c>
      <c r="D190">
        <v>0.59309999999999996</v>
      </c>
      <c r="E190">
        <v>0.6069</v>
      </c>
      <c r="F190">
        <v>47510635.350000001</v>
      </c>
      <c r="G190">
        <v>0.6069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-0.66300366300366254</v>
      </c>
      <c r="Q190">
        <f t="shared" ref="Q190" si="926">F190*P190</f>
        <v>-31499725.268681299</v>
      </c>
      <c r="R190">
        <f t="shared" ref="R190" si="927">R191+Q190</f>
        <v>-571192502.79239774</v>
      </c>
      <c r="S190">
        <f t="shared" ref="S190" si="928">R190/100000</f>
        <v>-5711.9250279239777</v>
      </c>
      <c r="T190">
        <f t="shared" ref="T190" si="929">S190/1000</f>
        <v>-5.7119250279239777</v>
      </c>
    </row>
    <row r="191" spans="1:20" x14ac:dyDescent="0.25">
      <c r="A191" s="5">
        <v>44402</v>
      </c>
      <c r="B191">
        <v>0.5978</v>
      </c>
      <c r="C191">
        <v>0.62460000000000004</v>
      </c>
      <c r="D191">
        <v>0.55010000000000003</v>
      </c>
      <c r="E191">
        <v>0.59830000000000005</v>
      </c>
      <c r="F191">
        <v>33832602.32</v>
      </c>
      <c r="G191">
        <v>0.59830000000000005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0.29395973154362454</v>
      </c>
      <c r="Q191">
        <f t="shared" ref="Q191" si="931">F191*P191</f>
        <v>9945422.6954094078</v>
      </c>
      <c r="R191">
        <f t="shared" ref="R191" si="932">R192+Q191</f>
        <v>-539692777.52371645</v>
      </c>
      <c r="S191">
        <f t="shared" ref="S191" si="933">R191/100000</f>
        <v>-5396.9277752371645</v>
      </c>
      <c r="T191">
        <f t="shared" ref="T191" si="934">S191/1000</f>
        <v>-5.3969277752371649</v>
      </c>
    </row>
    <row r="192" spans="1:20" x14ac:dyDescent="0.25">
      <c r="A192" s="5">
        <v>44401</v>
      </c>
      <c r="B192">
        <v>0.56499999999999995</v>
      </c>
      <c r="C192">
        <v>0.60899999999999999</v>
      </c>
      <c r="D192">
        <v>0.55549999999999999</v>
      </c>
      <c r="E192">
        <v>0.5978</v>
      </c>
      <c r="F192">
        <v>31076401.359999999</v>
      </c>
      <c r="G192">
        <v>0.5978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0.58130841121495369</v>
      </c>
      <c r="Q192">
        <f t="shared" ref="Q192" si="936">F192*P192</f>
        <v>18064973.500859827</v>
      </c>
      <c r="R192">
        <f t="shared" ref="R192" si="937">R193+Q192</f>
        <v>-549638200.21912587</v>
      </c>
      <c r="S192">
        <f t="shared" ref="S192" si="938">R192/100000</f>
        <v>-5496.3820021912588</v>
      </c>
      <c r="T192">
        <f t="shared" ref="T192:T197" si="939">S192/1000</f>
        <v>-5.4963820021912593</v>
      </c>
    </row>
    <row r="193" spans="1:20" x14ac:dyDescent="0.25">
      <c r="A193" s="5">
        <v>44400</v>
      </c>
      <c r="B193">
        <v>0.56159999999999999</v>
      </c>
      <c r="C193">
        <v>0.57469999999999999</v>
      </c>
      <c r="D193">
        <v>0.51870000000000005</v>
      </c>
      <c r="E193">
        <v>0.56459999999999999</v>
      </c>
      <c r="F193">
        <v>26888248.399999999</v>
      </c>
      <c r="G193">
        <v>0.56459999999999999</v>
      </c>
      <c r="L193" t="s">
        <v>7</v>
      </c>
      <c r="M193" t="s">
        <v>8</v>
      </c>
      <c r="N193" t="s">
        <v>8</v>
      </c>
      <c r="P193">
        <f t="shared" ref="P193" si="940">IF(C193=D193,0,((E193-D193)-(C193-E193))/(C193-D193))</f>
        <v>0.63928571428571401</v>
      </c>
      <c r="Q193">
        <f t="shared" ref="Q193" si="941">F193*P193</f>
        <v>17189273.084285706</v>
      </c>
      <c r="R193">
        <f t="shared" ref="R193" si="942">R194+Q193</f>
        <v>-567703173.71998572</v>
      </c>
      <c r="S193">
        <f t="shared" ref="S193" si="943">R193/100000</f>
        <v>-5677.0317371998572</v>
      </c>
      <c r="T193">
        <f t="shared" si="939"/>
        <v>-5.6770317371998571</v>
      </c>
    </row>
    <row r="194" spans="1:20" x14ac:dyDescent="0.25">
      <c r="A194" s="5">
        <v>44399</v>
      </c>
      <c r="B194">
        <v>0.54649999999999999</v>
      </c>
      <c r="C194">
        <v>0.57540000000000002</v>
      </c>
      <c r="D194">
        <v>0.51919999999999999</v>
      </c>
      <c r="E194">
        <v>0.56079999999999997</v>
      </c>
      <c r="F194">
        <v>35674140.659999996</v>
      </c>
      <c r="G194">
        <v>0.56079999999999997</v>
      </c>
      <c r="L194" t="s">
        <v>8</v>
      </c>
      <c r="M194" t="s">
        <v>8</v>
      </c>
      <c r="N194" t="s">
        <v>8</v>
      </c>
      <c r="P194">
        <f t="shared" ref="P194" si="944">IF(C194=D194,0,((E194-D194)-(C194-E194))/(C194-D194))</f>
        <v>0.48042704626334343</v>
      </c>
      <c r="Q194">
        <f t="shared" ref="Q194" si="945">F194*P194</f>
        <v>17138822.025266837</v>
      </c>
      <c r="R194">
        <f t="shared" ref="R194" si="946">R195+Q194</f>
        <v>-584892446.80427146</v>
      </c>
      <c r="S194">
        <f t="shared" ref="S194" si="947">R194/100000</f>
        <v>-5848.9244680427146</v>
      </c>
      <c r="T194">
        <f t="shared" si="939"/>
        <v>-5.8489244680427142</v>
      </c>
    </row>
    <row r="195" spans="1:20" x14ac:dyDescent="0.25">
      <c r="A195" s="5">
        <v>44398</v>
      </c>
      <c r="B195">
        <v>0.49709999999999999</v>
      </c>
      <c r="C195">
        <v>0.5554</v>
      </c>
      <c r="D195">
        <v>0.47410000000000002</v>
      </c>
      <c r="E195">
        <v>0.54620000000000002</v>
      </c>
      <c r="F195">
        <v>59445590.740000002</v>
      </c>
      <c r="G195">
        <v>0.54620000000000002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0.77367773677736806</v>
      </c>
      <c r="Q195">
        <f t="shared" ref="Q195" si="949">F195*P195</f>
        <v>45991730.105116867</v>
      </c>
      <c r="R195">
        <f t="shared" ref="R195" si="950">R196+Q195</f>
        <v>-602031268.82953835</v>
      </c>
      <c r="S195">
        <f t="shared" ref="S195" si="951">R195/100000</f>
        <v>-6020.3126882953839</v>
      </c>
      <c r="T195">
        <f t="shared" si="939"/>
        <v>-6.0203126882953839</v>
      </c>
    </row>
    <row r="196" spans="1:20" x14ac:dyDescent="0.25">
      <c r="A196" s="5">
        <v>44397</v>
      </c>
      <c r="B196">
        <v>0.46710000000000002</v>
      </c>
      <c r="C196">
        <v>0.52649999999999997</v>
      </c>
      <c r="D196">
        <v>0.41499999999999998</v>
      </c>
      <c r="E196">
        <v>0.49709999999999999</v>
      </c>
      <c r="F196">
        <v>59497656.039999999</v>
      </c>
      <c r="G196">
        <v>0.49709999999999999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0.47264573991031417</v>
      </c>
      <c r="Q196">
        <f t="shared" ref="Q196" si="953">F196*P196</f>
        <v>28121313.661955174</v>
      </c>
      <c r="R196">
        <f t="shared" ref="R196" si="954">R197+Q196</f>
        <v>-648022998.93465519</v>
      </c>
      <c r="S196">
        <f t="shared" ref="S196" si="955">R196/100000</f>
        <v>-6480.2299893465515</v>
      </c>
      <c r="T196">
        <f t="shared" si="939"/>
        <v>-6.4802299893465518</v>
      </c>
    </row>
    <row r="197" spans="1:20" x14ac:dyDescent="0.25">
      <c r="A197" s="5">
        <v>44396</v>
      </c>
      <c r="B197">
        <v>0.51500000000000001</v>
      </c>
      <c r="C197">
        <v>0.51749999999999996</v>
      </c>
      <c r="D197">
        <v>0.45419999999999999</v>
      </c>
      <c r="E197">
        <v>0.46760000000000002</v>
      </c>
      <c r="F197">
        <v>18480910.460000001</v>
      </c>
      <c r="G197">
        <v>-9.1999999999999993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-0.57661927330173679</v>
      </c>
      <c r="Q197">
        <f t="shared" ref="Q197" si="957">F197*P197</f>
        <v>-10656449.159399666</v>
      </c>
      <c r="R197">
        <f t="shared" ref="R197" si="958">R198+Q197</f>
        <v>-676144312.59661031</v>
      </c>
      <c r="S197">
        <f t="shared" ref="S197" si="959">R197/100000</f>
        <v>-6761.4431259661033</v>
      </c>
      <c r="T197">
        <f t="shared" si="939"/>
        <v>-6.7614431259661032</v>
      </c>
    </row>
    <row r="198" spans="1:20" x14ac:dyDescent="0.25">
      <c r="A198" s="5">
        <v>44395</v>
      </c>
      <c r="B198">
        <v>0.51290000000000002</v>
      </c>
      <c r="C198">
        <v>0.54990000000000006</v>
      </c>
      <c r="D198">
        <v>0.49080000000000001</v>
      </c>
      <c r="E198">
        <v>0.51529999999999998</v>
      </c>
      <c r="F198">
        <v>19784328.210000001</v>
      </c>
      <c r="G198">
        <v>0.47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-0.17089678510998479</v>
      </c>
      <c r="Q198">
        <f t="shared" ref="Q198:Q261" si="961">F198*P198</f>
        <v>-3381078.0866497802</v>
      </c>
      <c r="R198">
        <f t="shared" ref="R198:R261" si="962">R199+Q198</f>
        <v>-665487863.43721068</v>
      </c>
      <c r="S198">
        <f t="shared" ref="S198:S261" si="963">R198/100000</f>
        <v>-6654.8786343721067</v>
      </c>
      <c r="T198">
        <f t="shared" ref="T198:T261" si="964">S198/1000</f>
        <v>-6.6548786343721069</v>
      </c>
    </row>
    <row r="199" spans="1:20" x14ac:dyDescent="0.25">
      <c r="A199" s="5">
        <v>44394</v>
      </c>
      <c r="B199">
        <v>0.5343</v>
      </c>
      <c r="C199">
        <v>0.55859999999999999</v>
      </c>
      <c r="D199">
        <v>0.50190000000000001</v>
      </c>
      <c r="E199">
        <v>0.51290000000000002</v>
      </c>
      <c r="F199">
        <v>23423236.27</v>
      </c>
      <c r="G199">
        <v>-4.01</v>
      </c>
      <c r="L199" t="s">
        <v>7</v>
      </c>
      <c r="M199" t="s">
        <v>7</v>
      </c>
      <c r="N199" t="s">
        <v>7</v>
      </c>
      <c r="P199">
        <f t="shared" si="960"/>
        <v>-0.61199294532627813</v>
      </c>
      <c r="Q199">
        <f t="shared" si="961"/>
        <v>-14334855.353950605</v>
      </c>
      <c r="R199">
        <f t="shared" si="962"/>
        <v>-662106785.3505609</v>
      </c>
      <c r="S199">
        <f t="shared" si="963"/>
        <v>-6621.0678535056086</v>
      </c>
      <c r="T199">
        <f t="shared" si="964"/>
        <v>-6.6210678535056084</v>
      </c>
    </row>
    <row r="200" spans="1:20" x14ac:dyDescent="0.25">
      <c r="A200" s="5">
        <v>44393</v>
      </c>
      <c r="B200">
        <v>0.56620000000000004</v>
      </c>
      <c r="C200">
        <v>0.60370000000000001</v>
      </c>
      <c r="D200">
        <v>0.51719999999999999</v>
      </c>
      <c r="E200">
        <v>0.53359999999999996</v>
      </c>
      <c r="F200">
        <v>36959740.729999997</v>
      </c>
      <c r="G200">
        <v>-5.76</v>
      </c>
      <c r="L200" t="s">
        <v>7</v>
      </c>
      <c r="M200" t="s">
        <v>7</v>
      </c>
      <c r="N200" t="s">
        <v>7</v>
      </c>
      <c r="P200">
        <f t="shared" si="960"/>
        <v>-0.62080924855491404</v>
      </c>
      <c r="Q200">
        <f t="shared" si="961"/>
        <v>-22944948.869375747</v>
      </c>
      <c r="R200">
        <f t="shared" si="962"/>
        <v>-647771929.99661028</v>
      </c>
      <c r="S200">
        <f t="shared" si="963"/>
        <v>-6477.7192999661029</v>
      </c>
      <c r="T200">
        <f t="shared" si="964"/>
        <v>-6.4777192999661031</v>
      </c>
    </row>
    <row r="201" spans="1:20" x14ac:dyDescent="0.25">
      <c r="A201" s="5">
        <v>44392</v>
      </c>
      <c r="B201">
        <v>0.61399999999999999</v>
      </c>
      <c r="C201">
        <v>0.65</v>
      </c>
      <c r="D201">
        <v>0.54320000000000002</v>
      </c>
      <c r="E201">
        <v>0.56599999999999995</v>
      </c>
      <c r="F201">
        <v>45378914.329999998</v>
      </c>
      <c r="G201">
        <v>-7.82</v>
      </c>
      <c r="L201" t="s">
        <v>7</v>
      </c>
      <c r="M201" t="s">
        <v>7</v>
      </c>
      <c r="N201" t="s">
        <v>7</v>
      </c>
      <c r="P201">
        <f t="shared" si="960"/>
        <v>-0.57303370786516983</v>
      </c>
      <c r="Q201">
        <f t="shared" si="961"/>
        <v>-26003647.537415788</v>
      </c>
      <c r="R201">
        <f t="shared" si="962"/>
        <v>-624826981.12723458</v>
      </c>
      <c r="S201">
        <f t="shared" si="963"/>
        <v>-6248.2698112723456</v>
      </c>
      <c r="T201">
        <f t="shared" si="964"/>
        <v>-6.2482698112723458</v>
      </c>
    </row>
    <row r="202" spans="1:20" x14ac:dyDescent="0.25">
      <c r="A202" s="5">
        <v>44391</v>
      </c>
      <c r="B202">
        <v>0.66979999999999995</v>
      </c>
      <c r="C202">
        <v>0.67290000000000005</v>
      </c>
      <c r="D202">
        <v>0.58209999999999995</v>
      </c>
      <c r="E202">
        <v>0.6139</v>
      </c>
      <c r="F202">
        <v>54710971.170000002</v>
      </c>
      <c r="G202">
        <v>-8.35</v>
      </c>
      <c r="L202" t="s">
        <v>7</v>
      </c>
      <c r="M202" t="s">
        <v>7</v>
      </c>
      <c r="N202" t="s">
        <v>7</v>
      </c>
      <c r="P202">
        <f t="shared" si="960"/>
        <v>-0.29955947136563843</v>
      </c>
      <c r="Q202">
        <f t="shared" si="961"/>
        <v>-16389189.601585886</v>
      </c>
      <c r="R202">
        <f t="shared" si="962"/>
        <v>-598823333.58981884</v>
      </c>
      <c r="S202">
        <f t="shared" si="963"/>
        <v>-5988.2333358981887</v>
      </c>
      <c r="T202">
        <f t="shared" si="964"/>
        <v>-5.9882333358981885</v>
      </c>
    </row>
    <row r="203" spans="1:20" x14ac:dyDescent="0.25">
      <c r="A203" s="5">
        <v>44390</v>
      </c>
      <c r="B203">
        <v>0.74719999999999998</v>
      </c>
      <c r="C203">
        <v>0.75570000000000004</v>
      </c>
      <c r="D203">
        <v>0.65849999999999997</v>
      </c>
      <c r="E203">
        <v>0.66959999999999997</v>
      </c>
      <c r="F203">
        <v>28101289.780000001</v>
      </c>
      <c r="G203">
        <v>-10.39</v>
      </c>
      <c r="L203" t="s">
        <v>7</v>
      </c>
      <c r="M203" t="s">
        <v>7</v>
      </c>
      <c r="N203" t="s">
        <v>7</v>
      </c>
      <c r="P203">
        <f t="shared" si="960"/>
        <v>-0.77160493827160515</v>
      </c>
      <c r="Q203">
        <f t="shared" si="961"/>
        <v>-21683093.966049388</v>
      </c>
      <c r="R203">
        <f t="shared" si="962"/>
        <v>-582434143.98823297</v>
      </c>
      <c r="S203">
        <f t="shared" si="963"/>
        <v>-5824.3414398823297</v>
      </c>
      <c r="T203">
        <f t="shared" si="964"/>
        <v>-5.8243414398823301</v>
      </c>
    </row>
    <row r="204" spans="1:20" x14ac:dyDescent="0.25">
      <c r="A204" s="5">
        <v>44389</v>
      </c>
      <c r="B204">
        <v>0.77</v>
      </c>
      <c r="C204">
        <v>0.84399999999999997</v>
      </c>
      <c r="D204">
        <v>0.72460000000000002</v>
      </c>
      <c r="E204">
        <v>0.74770000000000003</v>
      </c>
      <c r="F204">
        <v>33131419.170000002</v>
      </c>
      <c r="G204">
        <v>-2.9</v>
      </c>
      <c r="L204" t="s">
        <v>7</v>
      </c>
      <c r="M204" t="s">
        <v>8</v>
      </c>
      <c r="N204" t="s">
        <v>8</v>
      </c>
      <c r="P204">
        <f t="shared" si="960"/>
        <v>-0.61306532663316549</v>
      </c>
      <c r="Q204">
        <f t="shared" si="961"/>
        <v>-20311724.315276373</v>
      </c>
      <c r="R204">
        <f t="shared" si="962"/>
        <v>-560751050.02218354</v>
      </c>
      <c r="S204">
        <f t="shared" si="963"/>
        <v>-5607.5105002218352</v>
      </c>
      <c r="T204">
        <f t="shared" si="964"/>
        <v>-5.6075105002218351</v>
      </c>
    </row>
    <row r="205" spans="1:20" x14ac:dyDescent="0.25">
      <c r="A205" s="5">
        <v>44388</v>
      </c>
      <c r="B205">
        <v>0.75270000000000004</v>
      </c>
      <c r="C205">
        <v>0.79649999999999999</v>
      </c>
      <c r="D205">
        <v>0.73899999999999999</v>
      </c>
      <c r="E205">
        <v>0.76900000000000002</v>
      </c>
      <c r="F205">
        <v>19123982.84</v>
      </c>
      <c r="G205">
        <v>2.17</v>
      </c>
      <c r="L205" t="s">
        <v>7</v>
      </c>
      <c r="M205" t="s">
        <v>8</v>
      </c>
      <c r="N205" t="s">
        <v>8</v>
      </c>
      <c r="P205">
        <f t="shared" si="960"/>
        <v>4.3478260869566222E-2</v>
      </c>
      <c r="Q205">
        <f t="shared" si="961"/>
        <v>831477.51478262793</v>
      </c>
      <c r="R205">
        <f t="shared" si="962"/>
        <v>-540439325.70690715</v>
      </c>
      <c r="S205">
        <f t="shared" si="963"/>
        <v>-5404.3932570690713</v>
      </c>
      <c r="T205">
        <f t="shared" si="964"/>
        <v>-5.4043932570690716</v>
      </c>
    </row>
    <row r="206" spans="1:20" x14ac:dyDescent="0.25">
      <c r="A206" s="5">
        <v>44387</v>
      </c>
      <c r="B206">
        <v>0.73939999999999995</v>
      </c>
      <c r="C206">
        <v>0.85709999999999997</v>
      </c>
      <c r="D206">
        <v>0.73099999999999998</v>
      </c>
      <c r="E206">
        <v>0.75280000000000002</v>
      </c>
      <c r="F206">
        <v>56024186.229999997</v>
      </c>
      <c r="G206">
        <v>1.81</v>
      </c>
      <c r="L206" t="s">
        <v>8</v>
      </c>
      <c r="M206" t="s">
        <v>8</v>
      </c>
      <c r="N206" t="s">
        <v>8</v>
      </c>
      <c r="P206">
        <f t="shared" si="960"/>
        <v>-0.65424266455194224</v>
      </c>
      <c r="Q206">
        <f t="shared" si="961"/>
        <v>-36653412.87846943</v>
      </c>
      <c r="R206">
        <f t="shared" si="962"/>
        <v>-541270803.22168982</v>
      </c>
      <c r="S206">
        <f t="shared" si="963"/>
        <v>-5412.7080322168986</v>
      </c>
      <c r="T206">
        <f t="shared" si="964"/>
        <v>-5.4127080322168988</v>
      </c>
    </row>
    <row r="207" spans="1:20" x14ac:dyDescent="0.25">
      <c r="A207" s="5">
        <v>44386</v>
      </c>
      <c r="B207">
        <v>0.73819999999999997</v>
      </c>
      <c r="C207">
        <v>0.75970000000000004</v>
      </c>
      <c r="D207">
        <v>0.69799999999999995</v>
      </c>
      <c r="E207">
        <v>0.73950000000000005</v>
      </c>
      <c r="F207">
        <v>32744675.539999999</v>
      </c>
      <c r="G207">
        <v>0.18</v>
      </c>
      <c r="L207" t="s">
        <v>7</v>
      </c>
      <c r="M207" t="s">
        <v>7</v>
      </c>
      <c r="N207" t="s">
        <v>8</v>
      </c>
      <c r="P207">
        <f t="shared" si="960"/>
        <v>0.3452188006482993</v>
      </c>
      <c r="Q207">
        <f t="shared" si="961"/>
        <v>11304077.617536502</v>
      </c>
      <c r="R207">
        <f t="shared" si="962"/>
        <v>-504617390.34322041</v>
      </c>
      <c r="S207">
        <f t="shared" si="963"/>
        <v>-5046.1739034322045</v>
      </c>
      <c r="T207">
        <f t="shared" si="964"/>
        <v>-5.0461739034322042</v>
      </c>
    </row>
    <row r="208" spans="1:20" x14ac:dyDescent="0.25">
      <c r="A208" s="5">
        <v>44385</v>
      </c>
      <c r="B208">
        <v>0.90890000000000004</v>
      </c>
      <c r="C208">
        <v>0.92659999999999998</v>
      </c>
      <c r="D208">
        <v>0.71130000000000004</v>
      </c>
      <c r="E208">
        <v>0.73870000000000002</v>
      </c>
      <c r="F208">
        <v>76809037.359999999</v>
      </c>
      <c r="G208">
        <v>-18.73</v>
      </c>
      <c r="L208" t="s">
        <v>7</v>
      </c>
      <c r="M208" t="s">
        <v>7</v>
      </c>
      <c r="N208" t="s">
        <v>8</v>
      </c>
      <c r="P208">
        <f t="shared" si="960"/>
        <v>-0.74547143520668846</v>
      </c>
      <c r="Q208">
        <f t="shared" si="961"/>
        <v>-57258943.31760335</v>
      </c>
      <c r="R208">
        <f t="shared" si="962"/>
        <v>-515921467.9607569</v>
      </c>
      <c r="S208">
        <f t="shared" si="963"/>
        <v>-5159.2146796075685</v>
      </c>
      <c r="T208">
        <f t="shared" si="964"/>
        <v>-5.1592146796075689</v>
      </c>
    </row>
    <row r="209" spans="1:20" x14ac:dyDescent="0.25">
      <c r="A209" s="5">
        <v>44384</v>
      </c>
      <c r="B209">
        <v>0.78749999999999998</v>
      </c>
      <c r="C209">
        <v>0.94740000000000002</v>
      </c>
      <c r="D209">
        <v>0.75660000000000005</v>
      </c>
      <c r="E209">
        <v>0.91020000000000001</v>
      </c>
      <c r="F209">
        <v>79051030.920000002</v>
      </c>
      <c r="G209">
        <v>15.58</v>
      </c>
      <c r="L209" t="s">
        <v>8</v>
      </c>
      <c r="M209" t="s">
        <v>8</v>
      </c>
      <c r="N209" t="s">
        <v>8</v>
      </c>
      <c r="P209">
        <f t="shared" si="960"/>
        <v>0.61006289308176087</v>
      </c>
      <c r="Q209">
        <f t="shared" si="961"/>
        <v>48226100.624150932</v>
      </c>
      <c r="R209">
        <f t="shared" si="962"/>
        <v>-458662524.64315355</v>
      </c>
      <c r="S209">
        <f t="shared" si="963"/>
        <v>-4586.6252464315357</v>
      </c>
      <c r="T209">
        <f t="shared" si="964"/>
        <v>-4.5866252464315354</v>
      </c>
    </row>
    <row r="210" spans="1:20" x14ac:dyDescent="0.25">
      <c r="A210" s="5">
        <v>44383</v>
      </c>
      <c r="B210">
        <v>0.60609999999999997</v>
      </c>
      <c r="C210">
        <v>0.89</v>
      </c>
      <c r="D210">
        <v>0.60460000000000003</v>
      </c>
      <c r="E210">
        <v>0.7873</v>
      </c>
      <c r="F210">
        <v>195755189.09</v>
      </c>
      <c r="G210">
        <v>29.9</v>
      </c>
      <c r="L210" t="s">
        <v>8</v>
      </c>
      <c r="M210" t="s">
        <v>8</v>
      </c>
      <c r="N210" t="s">
        <v>8</v>
      </c>
      <c r="P210">
        <f t="shared" si="960"/>
        <v>0.28030833917309028</v>
      </c>
      <c r="Q210">
        <f t="shared" si="961"/>
        <v>54871811.93833214</v>
      </c>
      <c r="R210">
        <f t="shared" si="962"/>
        <v>-506888625.26730448</v>
      </c>
      <c r="S210">
        <f t="shared" si="963"/>
        <v>-5068.8862526730445</v>
      </c>
      <c r="T210">
        <f t="shared" si="964"/>
        <v>-5.0688862526730443</v>
      </c>
    </row>
    <row r="211" spans="1:20" x14ac:dyDescent="0.25">
      <c r="A211" s="5">
        <v>44382</v>
      </c>
      <c r="B211">
        <v>0.53039999999999998</v>
      </c>
      <c r="C211">
        <v>0.63419999999999999</v>
      </c>
      <c r="D211">
        <v>0.501</v>
      </c>
      <c r="E211">
        <v>0.60680000000000001</v>
      </c>
      <c r="F211">
        <v>71573289.329999998</v>
      </c>
      <c r="G211">
        <v>14.4</v>
      </c>
      <c r="L211" t="s">
        <v>8</v>
      </c>
      <c r="M211" t="s">
        <v>8</v>
      </c>
      <c r="N211" t="s">
        <v>8</v>
      </c>
      <c r="P211">
        <f t="shared" si="960"/>
        <v>0.58858858858858887</v>
      </c>
      <c r="Q211">
        <f t="shared" si="961"/>
        <v>42127221.347387403</v>
      </c>
      <c r="R211">
        <f t="shared" si="962"/>
        <v>-561760437.20563662</v>
      </c>
      <c r="S211">
        <f t="shared" si="963"/>
        <v>-5617.6043720563666</v>
      </c>
      <c r="T211">
        <f t="shared" si="964"/>
        <v>-5.6176043720563662</v>
      </c>
    </row>
    <row r="212" spans="1:20" x14ac:dyDescent="0.25">
      <c r="A212" s="5">
        <v>44381</v>
      </c>
      <c r="B212">
        <v>0.45929999999999999</v>
      </c>
      <c r="C212">
        <v>0.54190000000000005</v>
      </c>
      <c r="D212">
        <v>0.44829999999999998</v>
      </c>
      <c r="E212">
        <v>0.53029999999999999</v>
      </c>
      <c r="F212">
        <v>25040563.239999998</v>
      </c>
      <c r="G212">
        <v>15.46</v>
      </c>
      <c r="L212" t="s">
        <v>8</v>
      </c>
      <c r="M212" t="s">
        <v>8</v>
      </c>
      <c r="N212" t="s">
        <v>8</v>
      </c>
      <c r="P212">
        <f t="shared" si="960"/>
        <v>0.75213675213675113</v>
      </c>
      <c r="Q212">
        <f t="shared" si="961"/>
        <v>18833927.907008521</v>
      </c>
      <c r="R212">
        <f t="shared" si="962"/>
        <v>-603887658.55302405</v>
      </c>
      <c r="S212">
        <f t="shared" si="963"/>
        <v>-6038.8765855302408</v>
      </c>
      <c r="T212">
        <f t="shared" si="964"/>
        <v>-6.0388765855302404</v>
      </c>
    </row>
    <row r="213" spans="1:20" x14ac:dyDescent="0.25">
      <c r="A213" s="5">
        <v>44380</v>
      </c>
      <c r="B213">
        <v>0.44429999999999997</v>
      </c>
      <c r="C213">
        <v>0.46239999999999998</v>
      </c>
      <c r="D213">
        <v>0.43209999999999998</v>
      </c>
      <c r="E213">
        <v>0.45910000000000001</v>
      </c>
      <c r="F213">
        <v>11160505.189999999</v>
      </c>
      <c r="G213">
        <v>3.33</v>
      </c>
      <c r="L213" t="s">
        <v>8</v>
      </c>
      <c r="M213" t="s">
        <v>7</v>
      </c>
      <c r="N213" t="s">
        <v>8</v>
      </c>
      <c r="P213">
        <f t="shared" si="960"/>
        <v>0.78217821782178409</v>
      </c>
      <c r="Q213">
        <f t="shared" si="961"/>
        <v>8729504.0595049709</v>
      </c>
      <c r="R213">
        <f t="shared" si="962"/>
        <v>-622721586.46003258</v>
      </c>
      <c r="S213">
        <f t="shared" si="963"/>
        <v>-6227.2158646003254</v>
      </c>
      <c r="T213">
        <f t="shared" si="964"/>
        <v>-6.2272158646003257</v>
      </c>
    </row>
    <row r="214" spans="1:20" x14ac:dyDescent="0.25">
      <c r="A214" s="5">
        <v>44379</v>
      </c>
      <c r="B214">
        <v>0.43519999999999998</v>
      </c>
      <c r="C214">
        <v>0.44829999999999998</v>
      </c>
      <c r="D214">
        <v>0.41949999999999998</v>
      </c>
      <c r="E214">
        <v>0.44450000000000001</v>
      </c>
      <c r="F214">
        <v>14919593.369999999</v>
      </c>
      <c r="G214">
        <v>2.14</v>
      </c>
      <c r="L214" t="s">
        <v>7</v>
      </c>
      <c r="M214" t="s">
        <v>7</v>
      </c>
      <c r="N214" t="s">
        <v>8</v>
      </c>
      <c r="P214">
        <f t="shared" si="960"/>
        <v>0.73611111111111316</v>
      </c>
      <c r="Q214">
        <f t="shared" si="961"/>
        <v>10982478.452916697</v>
      </c>
      <c r="R214">
        <f t="shared" si="962"/>
        <v>-631451090.51953757</v>
      </c>
      <c r="S214">
        <f t="shared" si="963"/>
        <v>-6314.5109051953759</v>
      </c>
      <c r="T214">
        <f t="shared" si="964"/>
        <v>-6.3145109051953758</v>
      </c>
    </row>
    <row r="215" spans="1:20" x14ac:dyDescent="0.25">
      <c r="A215" s="5">
        <v>44378</v>
      </c>
      <c r="B215">
        <v>0.4844</v>
      </c>
      <c r="C215">
        <v>0.48480000000000001</v>
      </c>
      <c r="D215">
        <v>0.42820000000000003</v>
      </c>
      <c r="E215">
        <v>0.43519999999999998</v>
      </c>
      <c r="F215">
        <v>14319948.539999999</v>
      </c>
      <c r="G215">
        <v>-10.16</v>
      </c>
      <c r="L215" t="s">
        <v>8</v>
      </c>
      <c r="M215" t="s">
        <v>7</v>
      </c>
      <c r="N215" t="s">
        <v>8</v>
      </c>
      <c r="P215">
        <f t="shared" si="960"/>
        <v>-0.75265017667844691</v>
      </c>
      <c r="Q215">
        <f t="shared" si="961"/>
        <v>-10777911.798657266</v>
      </c>
      <c r="R215">
        <f t="shared" si="962"/>
        <v>-642433568.97245431</v>
      </c>
      <c r="S215">
        <f t="shared" si="963"/>
        <v>-6424.335689724543</v>
      </c>
      <c r="T215">
        <f t="shared" si="964"/>
        <v>-6.4243356897245434</v>
      </c>
    </row>
    <row r="216" spans="1:20" x14ac:dyDescent="0.25">
      <c r="A216" s="5">
        <v>44377</v>
      </c>
      <c r="B216">
        <v>0.47420000000000001</v>
      </c>
      <c r="C216">
        <v>0.48509999999999998</v>
      </c>
      <c r="D216">
        <v>0.43330000000000002</v>
      </c>
      <c r="E216">
        <v>0.48449999999999999</v>
      </c>
      <c r="F216">
        <v>30958566.18</v>
      </c>
      <c r="G216">
        <v>2.17</v>
      </c>
      <c r="L216" t="s">
        <v>7</v>
      </c>
      <c r="M216" t="s">
        <v>7</v>
      </c>
      <c r="N216" t="s">
        <v>8</v>
      </c>
      <c r="P216">
        <f t="shared" si="960"/>
        <v>0.97683397683397721</v>
      </c>
      <c r="Q216">
        <f t="shared" si="961"/>
        <v>30241379.318687271</v>
      </c>
      <c r="R216">
        <f t="shared" si="962"/>
        <v>-631655657.17379701</v>
      </c>
      <c r="S216">
        <f t="shared" si="963"/>
        <v>-6316.5565717379704</v>
      </c>
      <c r="T216">
        <f t="shared" si="964"/>
        <v>-6.3165565717379701</v>
      </c>
    </row>
    <row r="217" spans="1:20" x14ac:dyDescent="0.25">
      <c r="A217" s="5">
        <v>44376</v>
      </c>
      <c r="B217">
        <v>0.42080000000000001</v>
      </c>
      <c r="C217">
        <v>0.51570000000000005</v>
      </c>
      <c r="D217">
        <v>0.41770000000000002</v>
      </c>
      <c r="E217">
        <v>0.47420000000000001</v>
      </c>
      <c r="F217">
        <v>42651560.140000001</v>
      </c>
      <c r="G217">
        <v>12.69</v>
      </c>
      <c r="L217" t="s">
        <v>8</v>
      </c>
      <c r="M217" t="s">
        <v>8</v>
      </c>
      <c r="N217" t="s">
        <v>8</v>
      </c>
      <c r="P217">
        <f t="shared" si="960"/>
        <v>0.15306122448979545</v>
      </c>
      <c r="Q217">
        <f t="shared" si="961"/>
        <v>6528300.0214285515</v>
      </c>
      <c r="R217">
        <f t="shared" si="962"/>
        <v>-661897036.49248433</v>
      </c>
      <c r="S217">
        <f t="shared" si="963"/>
        <v>-6618.9703649248431</v>
      </c>
      <c r="T217">
        <f t="shared" si="964"/>
        <v>-6.6189703649248433</v>
      </c>
    </row>
    <row r="218" spans="1:20" x14ac:dyDescent="0.25">
      <c r="A218" s="5">
        <v>44375</v>
      </c>
      <c r="B218">
        <v>0.38619999999999999</v>
      </c>
      <c r="C218">
        <v>0.44140000000000001</v>
      </c>
      <c r="D218">
        <v>0.37559999999999999</v>
      </c>
      <c r="E218">
        <v>0.42080000000000001</v>
      </c>
      <c r="F218">
        <v>28636326.920000002</v>
      </c>
      <c r="G218">
        <v>8.9600000000000009</v>
      </c>
      <c r="L218" t="s">
        <v>8</v>
      </c>
      <c r="M218" t="s">
        <v>8</v>
      </c>
      <c r="N218" t="s">
        <v>8</v>
      </c>
      <c r="P218">
        <f t="shared" si="960"/>
        <v>0.37386018237082069</v>
      </c>
      <c r="Q218">
        <f t="shared" si="961"/>
        <v>10705982.404741643</v>
      </c>
      <c r="R218">
        <f t="shared" si="962"/>
        <v>-668425336.51391292</v>
      </c>
      <c r="S218">
        <f t="shared" si="963"/>
        <v>-6684.2533651391295</v>
      </c>
      <c r="T218">
        <f t="shared" si="964"/>
        <v>-6.6842533651391296</v>
      </c>
    </row>
    <row r="219" spans="1:20" x14ac:dyDescent="0.25">
      <c r="A219" s="5">
        <v>44374</v>
      </c>
      <c r="B219">
        <v>0.3584</v>
      </c>
      <c r="C219">
        <v>0.38650000000000001</v>
      </c>
      <c r="D219">
        <v>0.34949999999999998</v>
      </c>
      <c r="E219">
        <v>0.38550000000000001</v>
      </c>
      <c r="F219">
        <v>9926904.6400000006</v>
      </c>
      <c r="G219">
        <v>7.56</v>
      </c>
      <c r="L219" t="s">
        <v>8</v>
      </c>
      <c r="M219" t="s">
        <v>7</v>
      </c>
      <c r="N219" t="s">
        <v>7</v>
      </c>
      <c r="P219">
        <f t="shared" si="960"/>
        <v>0.94594594594594594</v>
      </c>
      <c r="Q219">
        <f t="shared" si="961"/>
        <v>9390315.2000000011</v>
      </c>
      <c r="R219">
        <f t="shared" si="962"/>
        <v>-679131318.91865456</v>
      </c>
      <c r="S219">
        <f t="shared" si="963"/>
        <v>-6791.313189186546</v>
      </c>
      <c r="T219">
        <f t="shared" si="964"/>
        <v>-6.7913131891865461</v>
      </c>
    </row>
    <row r="220" spans="1:20" x14ac:dyDescent="0.25">
      <c r="A220" s="5">
        <v>44373</v>
      </c>
      <c r="B220">
        <v>0.35270000000000001</v>
      </c>
      <c r="C220">
        <v>0.38</v>
      </c>
      <c r="D220">
        <v>0.33210000000000001</v>
      </c>
      <c r="E220">
        <v>0.35870000000000002</v>
      </c>
      <c r="F220">
        <v>23037598.109999999</v>
      </c>
      <c r="G220">
        <v>1.7</v>
      </c>
      <c r="L220" t="s">
        <v>7</v>
      </c>
      <c r="M220" t="s">
        <v>7</v>
      </c>
      <c r="N220" t="s">
        <v>7</v>
      </c>
      <c r="P220">
        <f t="shared" si="960"/>
        <v>0.11064718162839306</v>
      </c>
      <c r="Q220">
        <f t="shared" si="961"/>
        <v>2549045.3023590944</v>
      </c>
      <c r="R220">
        <f t="shared" si="962"/>
        <v>-688521634.11865461</v>
      </c>
      <c r="S220">
        <f t="shared" si="963"/>
        <v>-6885.2163411865458</v>
      </c>
      <c r="T220">
        <f t="shared" si="964"/>
        <v>-6.8852163411865455</v>
      </c>
    </row>
    <row r="221" spans="1:20" x14ac:dyDescent="0.25">
      <c r="A221" s="5">
        <v>44372</v>
      </c>
      <c r="B221">
        <v>0.3957</v>
      </c>
      <c r="C221">
        <v>0.41299999999999998</v>
      </c>
      <c r="D221">
        <v>0.3417</v>
      </c>
      <c r="E221">
        <v>0.35299999999999998</v>
      </c>
      <c r="F221">
        <v>26433728.16</v>
      </c>
      <c r="G221">
        <v>-10.79</v>
      </c>
      <c r="L221" t="s">
        <v>8</v>
      </c>
      <c r="M221" t="s">
        <v>7</v>
      </c>
      <c r="N221" t="s">
        <v>7</v>
      </c>
      <c r="P221">
        <f t="shared" si="960"/>
        <v>-0.68302945301542828</v>
      </c>
      <c r="Q221">
        <f t="shared" si="961"/>
        <v>-18055014.886283323</v>
      </c>
      <c r="R221">
        <f t="shared" si="962"/>
        <v>-691070679.42101371</v>
      </c>
      <c r="S221">
        <f t="shared" si="963"/>
        <v>-6910.7067942101376</v>
      </c>
      <c r="T221">
        <f t="shared" si="964"/>
        <v>-6.9107067942101379</v>
      </c>
    </row>
    <row r="222" spans="1:20" x14ac:dyDescent="0.25">
      <c r="A222" s="5">
        <v>44371</v>
      </c>
      <c r="B222">
        <v>0.37309999999999999</v>
      </c>
      <c r="C222">
        <v>0.40989999999999999</v>
      </c>
      <c r="D222">
        <v>0.35249999999999998</v>
      </c>
      <c r="E222">
        <v>0.3957</v>
      </c>
      <c r="F222">
        <v>24125585.199999999</v>
      </c>
      <c r="G222">
        <v>6.06</v>
      </c>
      <c r="L222" t="s">
        <v>8</v>
      </c>
      <c r="M222" t="s">
        <v>8</v>
      </c>
      <c r="N222" t="s">
        <v>7</v>
      </c>
      <c r="P222">
        <f t="shared" si="960"/>
        <v>0.50522648083623733</v>
      </c>
      <c r="Q222">
        <f t="shared" si="961"/>
        <v>12188884.508710811</v>
      </c>
      <c r="R222">
        <f t="shared" si="962"/>
        <v>-673015664.53473043</v>
      </c>
      <c r="S222">
        <f t="shared" si="963"/>
        <v>-6730.1566453473042</v>
      </c>
      <c r="T222">
        <f t="shared" si="964"/>
        <v>-6.7301566453473045</v>
      </c>
    </row>
    <row r="223" spans="1:20" x14ac:dyDescent="0.25">
      <c r="A223" s="5">
        <v>44370</v>
      </c>
      <c r="B223">
        <v>0.33500000000000002</v>
      </c>
      <c r="C223">
        <v>0.3952</v>
      </c>
      <c r="D223">
        <v>0.31879999999999997</v>
      </c>
      <c r="E223">
        <v>0.3735</v>
      </c>
      <c r="F223">
        <v>38885964.159999996</v>
      </c>
      <c r="G223">
        <v>11.49</v>
      </c>
      <c r="L223" t="s">
        <v>8</v>
      </c>
      <c r="M223" t="s">
        <v>8</v>
      </c>
      <c r="N223" t="s">
        <v>7</v>
      </c>
      <c r="P223">
        <f t="shared" si="960"/>
        <v>0.43193717277486937</v>
      </c>
      <c r="Q223">
        <f t="shared" si="961"/>
        <v>16796293.419895295</v>
      </c>
      <c r="R223">
        <f t="shared" si="962"/>
        <v>-685204549.0434413</v>
      </c>
      <c r="S223">
        <f t="shared" si="963"/>
        <v>-6852.0454904344133</v>
      </c>
      <c r="T223">
        <f t="shared" si="964"/>
        <v>-6.8520454904344135</v>
      </c>
    </row>
    <row r="224" spans="1:20" x14ac:dyDescent="0.25">
      <c r="A224" s="5">
        <v>44369</v>
      </c>
      <c r="B224">
        <v>0.39340000000000003</v>
      </c>
      <c r="C224">
        <v>0.41570000000000001</v>
      </c>
      <c r="D224">
        <v>0.30299999999999999</v>
      </c>
      <c r="E224">
        <v>0.33500000000000002</v>
      </c>
      <c r="F224">
        <v>49629442.390000001</v>
      </c>
      <c r="G224">
        <v>-14.84</v>
      </c>
      <c r="L224" t="s">
        <v>7</v>
      </c>
      <c r="M224" t="s">
        <v>7</v>
      </c>
      <c r="N224" t="s">
        <v>7</v>
      </c>
      <c r="P224">
        <f t="shared" si="960"/>
        <v>-0.43212067435669882</v>
      </c>
      <c r="Q224">
        <f t="shared" si="961"/>
        <v>-21445908.113513734</v>
      </c>
      <c r="R224">
        <f t="shared" si="962"/>
        <v>-702000842.46333659</v>
      </c>
      <c r="S224">
        <f t="shared" si="963"/>
        <v>-7020.0084246333663</v>
      </c>
      <c r="T224">
        <f t="shared" si="964"/>
        <v>-7.0200084246333665</v>
      </c>
    </row>
    <row r="225" spans="1:20" x14ac:dyDescent="0.25">
      <c r="A225" s="5">
        <v>44368</v>
      </c>
      <c r="B225">
        <v>0.53839999999999999</v>
      </c>
      <c r="C225">
        <v>0.54600000000000004</v>
      </c>
      <c r="D225">
        <v>0.39029999999999998</v>
      </c>
      <c r="E225">
        <v>0.39300000000000002</v>
      </c>
      <c r="F225">
        <v>17410112.829999998</v>
      </c>
      <c r="G225">
        <v>-27.01</v>
      </c>
      <c r="L225" t="s">
        <v>7</v>
      </c>
      <c r="M225" t="s">
        <v>7</v>
      </c>
      <c r="N225" t="s">
        <v>7</v>
      </c>
      <c r="P225">
        <f t="shared" si="960"/>
        <v>-0.96531791907514408</v>
      </c>
      <c r="Q225">
        <f t="shared" si="961"/>
        <v>-16806293.887919065</v>
      </c>
      <c r="R225">
        <f t="shared" si="962"/>
        <v>-680554934.34982288</v>
      </c>
      <c r="S225">
        <f t="shared" si="963"/>
        <v>-6805.5493434982291</v>
      </c>
      <c r="T225">
        <f t="shared" si="964"/>
        <v>-6.805549343498229</v>
      </c>
    </row>
    <row r="226" spans="1:20" x14ac:dyDescent="0.25">
      <c r="A226" s="5">
        <v>44367</v>
      </c>
      <c r="B226">
        <v>0.53590000000000004</v>
      </c>
      <c r="C226">
        <v>0.56559999999999999</v>
      </c>
      <c r="D226">
        <v>0.49459999999999998</v>
      </c>
      <c r="E226">
        <v>0.53739999999999999</v>
      </c>
      <c r="F226">
        <v>11431658.01</v>
      </c>
      <c r="G226">
        <v>0.28000000000000003</v>
      </c>
      <c r="L226" t="s">
        <v>7</v>
      </c>
      <c r="M226" t="s">
        <v>7</v>
      </c>
      <c r="N226" t="s">
        <v>7</v>
      </c>
      <c r="P226">
        <f t="shared" si="960"/>
        <v>0.20563380281690141</v>
      </c>
      <c r="Q226">
        <f t="shared" si="961"/>
        <v>2350735.3090985916</v>
      </c>
      <c r="R226">
        <f t="shared" si="962"/>
        <v>-663748640.46190381</v>
      </c>
      <c r="S226">
        <f t="shared" si="963"/>
        <v>-6637.4864046190378</v>
      </c>
      <c r="T226">
        <f t="shared" si="964"/>
        <v>-6.6374864046190378</v>
      </c>
    </row>
    <row r="227" spans="1:20" x14ac:dyDescent="0.25">
      <c r="A227" s="5">
        <v>44366</v>
      </c>
      <c r="B227">
        <v>0.55830000000000002</v>
      </c>
      <c r="C227">
        <v>0.56850000000000001</v>
      </c>
      <c r="D227">
        <v>0.53390000000000004</v>
      </c>
      <c r="E227">
        <v>0.53680000000000005</v>
      </c>
      <c r="F227">
        <v>5984215.8600000003</v>
      </c>
      <c r="G227">
        <v>-3.85</v>
      </c>
      <c r="L227" t="s">
        <v>7</v>
      </c>
      <c r="M227" t="s">
        <v>7</v>
      </c>
      <c r="N227" t="s">
        <v>7</v>
      </c>
      <c r="P227">
        <f t="shared" si="960"/>
        <v>-0.83236994219653082</v>
      </c>
      <c r="Q227">
        <f t="shared" si="961"/>
        <v>-4981081.4094797634</v>
      </c>
      <c r="R227">
        <f t="shared" si="962"/>
        <v>-666099375.77100241</v>
      </c>
      <c r="S227">
        <f t="shared" si="963"/>
        <v>-6660.9937577100245</v>
      </c>
      <c r="T227">
        <f t="shared" si="964"/>
        <v>-6.6609937577100249</v>
      </c>
    </row>
    <row r="228" spans="1:20" x14ac:dyDescent="0.25">
      <c r="A228" s="5">
        <v>44365</v>
      </c>
      <c r="B228">
        <v>0.59830000000000005</v>
      </c>
      <c r="C228">
        <v>0.60709999999999997</v>
      </c>
      <c r="D228">
        <v>0.54110000000000003</v>
      </c>
      <c r="E228">
        <v>0.5585</v>
      </c>
      <c r="F228">
        <v>8132189.9500000002</v>
      </c>
      <c r="G228">
        <v>-6.65</v>
      </c>
      <c r="L228" t="s">
        <v>7</v>
      </c>
      <c r="M228" t="s">
        <v>7</v>
      </c>
      <c r="N228" t="s">
        <v>7</v>
      </c>
      <c r="P228">
        <f t="shared" si="960"/>
        <v>-0.47272727272727316</v>
      </c>
      <c r="Q228">
        <f t="shared" si="961"/>
        <v>-3844307.9763636398</v>
      </c>
      <c r="R228">
        <f t="shared" si="962"/>
        <v>-661118294.36152267</v>
      </c>
      <c r="S228">
        <f t="shared" si="963"/>
        <v>-6611.1829436152266</v>
      </c>
      <c r="T228">
        <f t="shared" si="964"/>
        <v>-6.6111829436152263</v>
      </c>
    </row>
    <row r="229" spans="1:20" x14ac:dyDescent="0.25">
      <c r="A229" s="5">
        <v>44364</v>
      </c>
      <c r="B229">
        <v>0.59179999999999999</v>
      </c>
      <c r="C229">
        <v>0.61960000000000004</v>
      </c>
      <c r="D229">
        <v>0.58009999999999995</v>
      </c>
      <c r="E229">
        <v>0.59830000000000005</v>
      </c>
      <c r="F229">
        <v>6597874.9900000002</v>
      </c>
      <c r="G229">
        <v>1.1000000000000001</v>
      </c>
      <c r="L229" t="s">
        <v>7</v>
      </c>
      <c r="M229" t="s">
        <v>8</v>
      </c>
      <c r="N229" t="s">
        <v>7</v>
      </c>
      <c r="P229">
        <f t="shared" si="960"/>
        <v>-7.8481012658224644E-2</v>
      </c>
      <c r="Q229">
        <f t="shared" si="961"/>
        <v>-517807.91060757381</v>
      </c>
      <c r="R229">
        <f t="shared" si="962"/>
        <v>-657273986.38515902</v>
      </c>
      <c r="S229">
        <f t="shared" si="963"/>
        <v>-6572.7398638515906</v>
      </c>
      <c r="T229">
        <f t="shared" si="964"/>
        <v>-6.5727398638515906</v>
      </c>
    </row>
    <row r="230" spans="1:20" x14ac:dyDescent="0.25">
      <c r="A230" s="5">
        <v>44363</v>
      </c>
      <c r="B230">
        <v>0.63939999999999997</v>
      </c>
      <c r="C230">
        <v>0.63939999999999997</v>
      </c>
      <c r="D230">
        <v>0.58520000000000005</v>
      </c>
      <c r="E230">
        <v>0.59119999999999995</v>
      </c>
      <c r="F230">
        <v>11925690.779999999</v>
      </c>
      <c r="G230">
        <v>-7.54</v>
      </c>
      <c r="L230" t="s">
        <v>7</v>
      </c>
      <c r="M230" t="s">
        <v>8</v>
      </c>
      <c r="N230" t="s">
        <v>7</v>
      </c>
      <c r="P230">
        <f t="shared" si="960"/>
        <v>-0.77859778597786333</v>
      </c>
      <c r="Q230">
        <f t="shared" si="961"/>
        <v>-9285316.437564617</v>
      </c>
      <c r="R230">
        <f t="shared" si="962"/>
        <v>-656756178.47455144</v>
      </c>
      <c r="S230">
        <f t="shared" si="963"/>
        <v>-6567.5617847455142</v>
      </c>
      <c r="T230">
        <f t="shared" si="964"/>
        <v>-6.5675617847455143</v>
      </c>
    </row>
    <row r="231" spans="1:20" x14ac:dyDescent="0.25">
      <c r="A231" s="5">
        <v>44362</v>
      </c>
      <c r="B231">
        <v>0.62629999999999997</v>
      </c>
      <c r="C231">
        <v>0.67120000000000002</v>
      </c>
      <c r="D231">
        <v>0.61960000000000004</v>
      </c>
      <c r="E231">
        <v>0.63939999999999997</v>
      </c>
      <c r="F231">
        <v>20278110.829999998</v>
      </c>
      <c r="G231">
        <v>2.09</v>
      </c>
      <c r="L231" t="s">
        <v>8</v>
      </c>
      <c r="M231" t="s">
        <v>8</v>
      </c>
      <c r="N231" t="s">
        <v>7</v>
      </c>
      <c r="P231">
        <f t="shared" si="960"/>
        <v>-0.23255813953488616</v>
      </c>
      <c r="Q231">
        <f t="shared" si="961"/>
        <v>-4715839.7279070262</v>
      </c>
      <c r="R231">
        <f t="shared" si="962"/>
        <v>-647470862.03698683</v>
      </c>
      <c r="S231">
        <f t="shared" si="963"/>
        <v>-6474.7086203698682</v>
      </c>
      <c r="T231">
        <f t="shared" si="964"/>
        <v>-6.4747086203698681</v>
      </c>
    </row>
    <row r="232" spans="1:20" x14ac:dyDescent="0.25">
      <c r="A232" s="5">
        <v>44361</v>
      </c>
      <c r="B232">
        <v>0.61229999999999996</v>
      </c>
      <c r="C232">
        <v>0.63939999999999997</v>
      </c>
      <c r="D232">
        <v>0.59309999999999996</v>
      </c>
      <c r="E232">
        <v>0.62539999999999996</v>
      </c>
      <c r="F232">
        <v>18085527.940000001</v>
      </c>
      <c r="G232">
        <v>2.14</v>
      </c>
      <c r="L232" t="s">
        <v>8</v>
      </c>
      <c r="M232" t="s">
        <v>7</v>
      </c>
      <c r="N232" t="s">
        <v>7</v>
      </c>
      <c r="P232">
        <f t="shared" si="960"/>
        <v>0.39524838012958918</v>
      </c>
      <c r="Q232">
        <f t="shared" si="961"/>
        <v>7148275.6220734268</v>
      </c>
      <c r="R232">
        <f t="shared" si="962"/>
        <v>-642755022.30907977</v>
      </c>
      <c r="S232">
        <f t="shared" si="963"/>
        <v>-6427.5502230907978</v>
      </c>
      <c r="T232">
        <f t="shared" si="964"/>
        <v>-6.4275502230907975</v>
      </c>
    </row>
    <row r="233" spans="1:20" x14ac:dyDescent="0.25">
      <c r="A233" s="5">
        <v>44360</v>
      </c>
      <c r="B233">
        <v>0.58050000000000002</v>
      </c>
      <c r="C233">
        <v>0.622</v>
      </c>
      <c r="D233">
        <v>0.56100000000000005</v>
      </c>
      <c r="E233">
        <v>0.61229999999999996</v>
      </c>
      <c r="F233">
        <v>13983242.439999999</v>
      </c>
      <c r="G233">
        <v>5.48</v>
      </c>
      <c r="L233" t="s">
        <v>8</v>
      </c>
      <c r="M233" t="s">
        <v>7</v>
      </c>
      <c r="N233" t="s">
        <v>7</v>
      </c>
      <c r="P233">
        <f t="shared" si="960"/>
        <v>0.68196721311475239</v>
      </c>
      <c r="Q233">
        <f t="shared" si="961"/>
        <v>9536112.87711473</v>
      </c>
      <c r="R233">
        <f t="shared" si="962"/>
        <v>-649903297.93115318</v>
      </c>
      <c r="S233">
        <f t="shared" si="963"/>
        <v>-6499.0329793115316</v>
      </c>
      <c r="T233">
        <f t="shared" si="964"/>
        <v>-6.4990329793115311</v>
      </c>
    </row>
    <row r="234" spans="1:20" x14ac:dyDescent="0.25">
      <c r="A234" s="5">
        <v>44359</v>
      </c>
      <c r="B234">
        <v>0.59140000000000004</v>
      </c>
      <c r="C234">
        <v>0.6028</v>
      </c>
      <c r="D234">
        <v>0.55069999999999997</v>
      </c>
      <c r="E234">
        <v>0.58020000000000005</v>
      </c>
      <c r="F234">
        <v>16227878.619999999</v>
      </c>
      <c r="G234">
        <v>-1.89</v>
      </c>
      <c r="L234" t="s">
        <v>7</v>
      </c>
      <c r="M234" t="s">
        <v>7</v>
      </c>
      <c r="N234" t="s">
        <v>7</v>
      </c>
      <c r="P234">
        <f t="shared" si="960"/>
        <v>0.13243761996161466</v>
      </c>
      <c r="Q234">
        <f t="shared" si="961"/>
        <v>2149181.6214587716</v>
      </c>
      <c r="R234">
        <f t="shared" si="962"/>
        <v>-659439410.80826795</v>
      </c>
      <c r="S234">
        <f t="shared" si="963"/>
        <v>-6594.3941080826798</v>
      </c>
      <c r="T234">
        <f t="shared" si="964"/>
        <v>-6.59439410808268</v>
      </c>
    </row>
    <row r="235" spans="1:20" x14ac:dyDescent="0.25">
      <c r="A235" s="5">
        <v>44358</v>
      </c>
      <c r="B235">
        <v>0.66020000000000001</v>
      </c>
      <c r="C235">
        <v>0.71750000000000003</v>
      </c>
      <c r="D235">
        <v>0.57279999999999998</v>
      </c>
      <c r="E235">
        <v>0.59140000000000004</v>
      </c>
      <c r="F235">
        <v>30502696</v>
      </c>
      <c r="G235">
        <v>-10.42</v>
      </c>
      <c r="L235" t="s">
        <v>7</v>
      </c>
      <c r="M235" t="s">
        <v>7</v>
      </c>
      <c r="N235" t="s">
        <v>7</v>
      </c>
      <c r="P235">
        <f t="shared" si="960"/>
        <v>-0.74291637871458116</v>
      </c>
      <c r="Q235">
        <f t="shared" si="961"/>
        <v>-22660952.45335174</v>
      </c>
      <c r="R235">
        <f t="shared" si="962"/>
        <v>-661588592.42972672</v>
      </c>
      <c r="S235">
        <f t="shared" si="963"/>
        <v>-6615.8859242972676</v>
      </c>
      <c r="T235">
        <f t="shared" si="964"/>
        <v>-6.6158859242972676</v>
      </c>
    </row>
    <row r="236" spans="1:20" x14ac:dyDescent="0.25">
      <c r="A236" s="5">
        <v>44357</v>
      </c>
      <c r="B236">
        <v>0.72860000000000003</v>
      </c>
      <c r="C236">
        <v>0.75649999999999995</v>
      </c>
      <c r="D236">
        <v>0.64639999999999997</v>
      </c>
      <c r="E236">
        <v>0.66069999999999995</v>
      </c>
      <c r="F236">
        <v>14759789.720000001</v>
      </c>
      <c r="G236">
        <v>-9.32</v>
      </c>
      <c r="L236" t="s">
        <v>8</v>
      </c>
      <c r="M236" t="s">
        <v>8</v>
      </c>
      <c r="N236" t="s">
        <v>7</v>
      </c>
      <c r="P236">
        <f t="shared" si="960"/>
        <v>-0.74023614895549528</v>
      </c>
      <c r="Q236">
        <f t="shared" si="961"/>
        <v>-10925729.901725708</v>
      </c>
      <c r="R236">
        <f t="shared" si="962"/>
        <v>-638927639.97637498</v>
      </c>
      <c r="S236">
        <f t="shared" si="963"/>
        <v>-6389.2763997637494</v>
      </c>
      <c r="T236">
        <f t="shared" si="964"/>
        <v>-6.3892763997637498</v>
      </c>
    </row>
    <row r="237" spans="1:20" x14ac:dyDescent="0.25">
      <c r="A237" s="5">
        <v>44356</v>
      </c>
      <c r="B237">
        <v>0.67390000000000005</v>
      </c>
      <c r="C237">
        <v>0.73</v>
      </c>
      <c r="D237">
        <v>0.62549999999999994</v>
      </c>
      <c r="E237">
        <v>0.72809999999999997</v>
      </c>
      <c r="F237">
        <v>14871121.439999999</v>
      </c>
      <c r="G237">
        <v>8.0399999999999991</v>
      </c>
      <c r="L237" t="s">
        <v>8</v>
      </c>
      <c r="M237" t="s">
        <v>7</v>
      </c>
      <c r="N237" t="s">
        <v>7</v>
      </c>
      <c r="P237">
        <f t="shared" si="960"/>
        <v>0.9636363636363634</v>
      </c>
      <c r="Q237">
        <f t="shared" si="961"/>
        <v>14330353.38763636</v>
      </c>
      <c r="R237">
        <f t="shared" si="962"/>
        <v>-628001910.07464933</v>
      </c>
      <c r="S237">
        <f t="shared" si="963"/>
        <v>-6280.0191007464937</v>
      </c>
      <c r="T237">
        <f t="shared" si="964"/>
        <v>-6.2800191007464941</v>
      </c>
    </row>
    <row r="238" spans="1:20" x14ac:dyDescent="0.25">
      <c r="A238" s="5">
        <v>44355</v>
      </c>
      <c r="B238">
        <v>0.70499999999999996</v>
      </c>
      <c r="C238">
        <v>0.71709999999999996</v>
      </c>
      <c r="D238">
        <v>0.61660000000000004</v>
      </c>
      <c r="E238">
        <v>0.67520000000000002</v>
      </c>
      <c r="F238">
        <v>15870767.060000001</v>
      </c>
      <c r="G238">
        <v>-4.2300000000000004</v>
      </c>
      <c r="L238" t="s">
        <v>7</v>
      </c>
      <c r="M238" t="s">
        <v>7</v>
      </c>
      <c r="N238" t="s">
        <v>7</v>
      </c>
      <c r="P238">
        <f t="shared" si="960"/>
        <v>0.16616915422885634</v>
      </c>
      <c r="Q238">
        <f t="shared" si="961"/>
        <v>2637231.9393233927</v>
      </c>
      <c r="R238">
        <f t="shared" si="962"/>
        <v>-642332263.46228564</v>
      </c>
      <c r="S238">
        <f t="shared" si="963"/>
        <v>-6423.3226346228566</v>
      </c>
      <c r="T238">
        <f t="shared" si="964"/>
        <v>-6.4233226346228562</v>
      </c>
    </row>
    <row r="239" spans="1:20" x14ac:dyDescent="0.25">
      <c r="A239" s="5">
        <v>44354</v>
      </c>
      <c r="B239">
        <v>0.79090000000000005</v>
      </c>
      <c r="C239">
        <v>0.81710000000000005</v>
      </c>
      <c r="D239">
        <v>0.69699999999999995</v>
      </c>
      <c r="E239">
        <v>0.70469999999999999</v>
      </c>
      <c r="F239">
        <v>11999056.02</v>
      </c>
      <c r="G239">
        <v>-10.9</v>
      </c>
      <c r="L239" t="s">
        <v>7</v>
      </c>
      <c r="M239" t="s">
        <v>7</v>
      </c>
      <c r="N239" t="s">
        <v>8</v>
      </c>
      <c r="P239">
        <f t="shared" si="960"/>
        <v>-0.87177352206494529</v>
      </c>
      <c r="Q239">
        <f t="shared" si="961"/>
        <v>-10460459.328009984</v>
      </c>
      <c r="R239">
        <f t="shared" si="962"/>
        <v>-644969495.40160906</v>
      </c>
      <c r="S239">
        <f t="shared" si="963"/>
        <v>-6449.6949540160904</v>
      </c>
      <c r="T239">
        <f t="shared" si="964"/>
        <v>-6.4496949540160902</v>
      </c>
    </row>
    <row r="240" spans="1:20" x14ac:dyDescent="0.25">
      <c r="A240" s="5">
        <v>44353</v>
      </c>
      <c r="B240">
        <v>0.77749999999999997</v>
      </c>
      <c r="C240">
        <v>0.81269999999999998</v>
      </c>
      <c r="D240">
        <v>0.76649999999999996</v>
      </c>
      <c r="E240">
        <v>0.79090000000000005</v>
      </c>
      <c r="F240">
        <v>6459656.0599999996</v>
      </c>
      <c r="G240">
        <v>1.72</v>
      </c>
      <c r="L240" t="s">
        <v>8</v>
      </c>
      <c r="M240" t="s">
        <v>7</v>
      </c>
      <c r="N240" t="s">
        <v>8</v>
      </c>
      <c r="P240">
        <f t="shared" si="960"/>
        <v>5.6277056277059666E-2</v>
      </c>
      <c r="Q240">
        <f t="shared" si="961"/>
        <v>363530.42761906947</v>
      </c>
      <c r="R240">
        <f t="shared" si="962"/>
        <v>-634509036.0735991</v>
      </c>
      <c r="S240">
        <f t="shared" si="963"/>
        <v>-6345.0903607359915</v>
      </c>
      <c r="T240">
        <f t="shared" si="964"/>
        <v>-6.3450903607359912</v>
      </c>
    </row>
    <row r="241" spans="1:20" x14ac:dyDescent="0.25">
      <c r="A241" s="5">
        <v>44352</v>
      </c>
      <c r="B241">
        <v>0.82230000000000003</v>
      </c>
      <c r="C241">
        <v>0.88300000000000001</v>
      </c>
      <c r="D241">
        <v>0.75</v>
      </c>
      <c r="E241">
        <v>0.77649999999999997</v>
      </c>
      <c r="F241">
        <v>20163193.260000002</v>
      </c>
      <c r="G241">
        <v>-5.57</v>
      </c>
      <c r="L241" t="s">
        <v>7</v>
      </c>
      <c r="M241" t="s">
        <v>7</v>
      </c>
      <c r="N241" t="s">
        <v>8</v>
      </c>
      <c r="P241">
        <f t="shared" si="960"/>
        <v>-0.60150375939849676</v>
      </c>
      <c r="Q241">
        <f t="shared" si="961"/>
        <v>-12128236.547368433</v>
      </c>
      <c r="R241">
        <f t="shared" si="962"/>
        <v>-634872566.5012182</v>
      </c>
      <c r="S241">
        <f t="shared" si="963"/>
        <v>-6348.7256650121817</v>
      </c>
      <c r="T241">
        <f t="shared" si="964"/>
        <v>-6.3487256650121813</v>
      </c>
    </row>
    <row r="242" spans="1:20" x14ac:dyDescent="0.25">
      <c r="A242" s="5">
        <v>44351</v>
      </c>
      <c r="B242">
        <v>0.92589999999999995</v>
      </c>
      <c r="C242">
        <v>0.92669999999999997</v>
      </c>
      <c r="D242">
        <v>0.77869999999999995</v>
      </c>
      <c r="E242">
        <v>0.82289999999999996</v>
      </c>
      <c r="F242">
        <v>20605331.27</v>
      </c>
      <c r="G242">
        <v>-11.12</v>
      </c>
      <c r="L242" t="s">
        <v>7</v>
      </c>
      <c r="M242" t="s">
        <v>7</v>
      </c>
      <c r="N242" t="s">
        <v>8</v>
      </c>
      <c r="P242">
        <f t="shared" si="960"/>
        <v>-0.40270270270270253</v>
      </c>
      <c r="Q242">
        <f t="shared" si="961"/>
        <v>-8297822.59251351</v>
      </c>
      <c r="R242">
        <f t="shared" si="962"/>
        <v>-622744329.95384979</v>
      </c>
      <c r="S242">
        <f t="shared" si="963"/>
        <v>-6227.4432995384977</v>
      </c>
      <c r="T242">
        <f t="shared" si="964"/>
        <v>-6.2274432995384981</v>
      </c>
    </row>
    <row r="243" spans="1:20" x14ac:dyDescent="0.25">
      <c r="A243" s="5">
        <v>44350</v>
      </c>
      <c r="B243">
        <v>0.83440000000000003</v>
      </c>
      <c r="C243">
        <v>0.94159999999999999</v>
      </c>
      <c r="D243">
        <v>0.82240000000000002</v>
      </c>
      <c r="E243">
        <v>0.92579999999999996</v>
      </c>
      <c r="F243">
        <v>25788663.940000001</v>
      </c>
      <c r="G243">
        <v>10.95</v>
      </c>
      <c r="L243" t="s">
        <v>8</v>
      </c>
      <c r="M243" t="s">
        <v>8</v>
      </c>
      <c r="N243" t="s">
        <v>8</v>
      </c>
      <c r="P243">
        <f t="shared" si="960"/>
        <v>0.73489932885905973</v>
      </c>
      <c r="Q243">
        <f t="shared" si="961"/>
        <v>18952071.821677838</v>
      </c>
      <c r="R243">
        <f t="shared" si="962"/>
        <v>-614446507.36133623</v>
      </c>
      <c r="S243">
        <f t="shared" si="963"/>
        <v>-6144.4650736133626</v>
      </c>
      <c r="T243">
        <f t="shared" si="964"/>
        <v>-6.1444650736133628</v>
      </c>
    </row>
    <row r="244" spans="1:20" x14ac:dyDescent="0.25">
      <c r="A244" s="5">
        <v>44349</v>
      </c>
      <c r="B244">
        <v>0.82589999999999997</v>
      </c>
      <c r="C244">
        <v>0.88180000000000003</v>
      </c>
      <c r="D244">
        <v>0.79390000000000005</v>
      </c>
      <c r="E244">
        <v>0.83509999999999995</v>
      </c>
      <c r="F244">
        <v>14250502.58</v>
      </c>
      <c r="G244">
        <v>1.1100000000000001</v>
      </c>
      <c r="L244" t="s">
        <v>7</v>
      </c>
      <c r="M244" t="s">
        <v>8</v>
      </c>
      <c r="N244" t="s">
        <v>7</v>
      </c>
      <c r="P244">
        <f t="shared" si="960"/>
        <v>-6.2571103526736893E-2</v>
      </c>
      <c r="Q244">
        <f t="shared" si="961"/>
        <v>-891669.67224121117</v>
      </c>
      <c r="R244">
        <f t="shared" si="962"/>
        <v>-633398579.18301404</v>
      </c>
      <c r="S244">
        <f t="shared" si="963"/>
        <v>-6333.9857918301404</v>
      </c>
      <c r="T244">
        <f t="shared" si="964"/>
        <v>-6.3339857918301403</v>
      </c>
    </row>
    <row r="245" spans="1:20" x14ac:dyDescent="0.25">
      <c r="A245" s="5">
        <v>44348</v>
      </c>
      <c r="B245">
        <v>0.86529999999999996</v>
      </c>
      <c r="C245">
        <v>0.88870000000000005</v>
      </c>
      <c r="D245">
        <v>0.78390000000000004</v>
      </c>
      <c r="E245">
        <v>0.82389999999999997</v>
      </c>
      <c r="F245">
        <v>17304961.030000001</v>
      </c>
      <c r="G245">
        <v>-4.78</v>
      </c>
      <c r="L245" t="s">
        <v>8</v>
      </c>
      <c r="M245" t="s">
        <v>8</v>
      </c>
      <c r="N245" t="s">
        <v>7</v>
      </c>
      <c r="P245">
        <f t="shared" si="960"/>
        <v>-0.23664122137404728</v>
      </c>
      <c r="Q245">
        <f t="shared" si="961"/>
        <v>-4095067.1139694913</v>
      </c>
      <c r="R245">
        <f t="shared" si="962"/>
        <v>-632506909.51077282</v>
      </c>
      <c r="S245">
        <f t="shared" si="963"/>
        <v>-6325.0690951077286</v>
      </c>
      <c r="T245">
        <f t="shared" si="964"/>
        <v>-6.3250690951077289</v>
      </c>
    </row>
    <row r="246" spans="1:20" x14ac:dyDescent="0.25">
      <c r="A246" s="5">
        <v>44347</v>
      </c>
      <c r="B246">
        <v>0.751</v>
      </c>
      <c r="C246">
        <v>0.87670000000000003</v>
      </c>
      <c r="D246">
        <v>0.69579999999999997</v>
      </c>
      <c r="E246">
        <v>0.86739999999999995</v>
      </c>
      <c r="F246">
        <v>26378689.02</v>
      </c>
      <c r="G246">
        <v>15.5</v>
      </c>
      <c r="L246" t="s">
        <v>8</v>
      </c>
      <c r="M246" t="s">
        <v>8</v>
      </c>
      <c r="N246" t="s">
        <v>7</v>
      </c>
      <c r="P246">
        <f t="shared" si="960"/>
        <v>0.89718076285240378</v>
      </c>
      <c r="Q246">
        <f t="shared" si="961"/>
        <v>23666452.338009927</v>
      </c>
      <c r="R246">
        <f t="shared" si="962"/>
        <v>-628411842.39680338</v>
      </c>
      <c r="S246">
        <f t="shared" si="963"/>
        <v>-6284.1184239680342</v>
      </c>
      <c r="T246">
        <f t="shared" si="964"/>
        <v>-6.2841184239680343</v>
      </c>
    </row>
    <row r="247" spans="1:20" x14ac:dyDescent="0.25">
      <c r="A247" s="5">
        <v>44346</v>
      </c>
      <c r="B247">
        <v>0.70230000000000004</v>
      </c>
      <c r="C247">
        <v>0.8</v>
      </c>
      <c r="D247">
        <v>0.6573</v>
      </c>
      <c r="E247">
        <v>0.75270000000000004</v>
      </c>
      <c r="F247">
        <v>14349205.810000001</v>
      </c>
      <c r="G247">
        <v>7.18</v>
      </c>
      <c r="L247" t="s">
        <v>7</v>
      </c>
      <c r="M247" t="s">
        <v>8</v>
      </c>
      <c r="N247" t="s">
        <v>7</v>
      </c>
      <c r="P247">
        <f t="shared" si="960"/>
        <v>0.33707077785564132</v>
      </c>
      <c r="Q247">
        <f t="shared" si="961"/>
        <v>4836697.9639873877</v>
      </c>
      <c r="R247">
        <f t="shared" si="962"/>
        <v>-652078294.73481333</v>
      </c>
      <c r="S247">
        <f t="shared" si="963"/>
        <v>-6520.7829473481333</v>
      </c>
      <c r="T247">
        <f t="shared" si="964"/>
        <v>-6.5207829473481329</v>
      </c>
    </row>
    <row r="248" spans="1:20" x14ac:dyDescent="0.25">
      <c r="A248" s="5">
        <v>44345</v>
      </c>
      <c r="B248">
        <v>0.76800000000000002</v>
      </c>
      <c r="C248">
        <v>0.82289999999999996</v>
      </c>
      <c r="D248">
        <v>0.66310000000000002</v>
      </c>
      <c r="E248">
        <v>0.70179999999999998</v>
      </c>
      <c r="F248">
        <v>17925909.129999999</v>
      </c>
      <c r="G248">
        <v>-8.6199999999999992</v>
      </c>
      <c r="L248" t="s">
        <v>7</v>
      </c>
      <c r="M248" t="s">
        <v>7</v>
      </c>
      <c r="N248" t="s">
        <v>7</v>
      </c>
      <c r="P248">
        <f t="shared" si="960"/>
        <v>-0.51564455569461864</v>
      </c>
      <c r="Q248">
        <f t="shared" si="961"/>
        <v>-9243397.4487609565</v>
      </c>
      <c r="R248">
        <f t="shared" si="962"/>
        <v>-656914992.69880068</v>
      </c>
      <c r="S248">
        <f t="shared" si="963"/>
        <v>-6569.1499269880069</v>
      </c>
      <c r="T248">
        <f t="shared" si="964"/>
        <v>-6.5691499269880067</v>
      </c>
    </row>
    <row r="249" spans="1:20" x14ac:dyDescent="0.25">
      <c r="A249" s="5">
        <v>44344</v>
      </c>
      <c r="B249">
        <v>0.89570000000000005</v>
      </c>
      <c r="C249">
        <v>0.93210000000000004</v>
      </c>
      <c r="D249">
        <v>0.72750000000000004</v>
      </c>
      <c r="E249">
        <v>0.76900000000000002</v>
      </c>
      <c r="F249">
        <v>25376250.82</v>
      </c>
      <c r="G249">
        <v>-14.15</v>
      </c>
      <c r="L249" t="s">
        <v>7</v>
      </c>
      <c r="M249" t="s">
        <v>7</v>
      </c>
      <c r="N249" t="s">
        <v>8</v>
      </c>
      <c r="P249">
        <f t="shared" si="960"/>
        <v>-0.59433040078201382</v>
      </c>
      <c r="Q249">
        <f t="shared" si="961"/>
        <v>-15081877.320195507</v>
      </c>
      <c r="R249">
        <f t="shared" si="962"/>
        <v>-647671595.2500397</v>
      </c>
      <c r="S249">
        <f t="shared" si="963"/>
        <v>-6476.7159525003972</v>
      </c>
      <c r="T249">
        <f t="shared" si="964"/>
        <v>-6.4767159525003972</v>
      </c>
    </row>
    <row r="250" spans="1:20" x14ac:dyDescent="0.25">
      <c r="A250" s="5">
        <v>44343</v>
      </c>
      <c r="B250">
        <v>0.96819999999999995</v>
      </c>
      <c r="C250">
        <v>0.9738</v>
      </c>
      <c r="D250">
        <v>0.86240000000000006</v>
      </c>
      <c r="E250">
        <v>0.89590000000000003</v>
      </c>
      <c r="F250">
        <v>18257467.760000002</v>
      </c>
      <c r="G250">
        <v>-7.47</v>
      </c>
      <c r="L250" t="s">
        <v>8</v>
      </c>
      <c r="M250" t="s">
        <v>8</v>
      </c>
      <c r="N250" t="s">
        <v>8</v>
      </c>
      <c r="P250">
        <f t="shared" si="960"/>
        <v>-0.39856373429084396</v>
      </c>
      <c r="Q250">
        <f t="shared" si="961"/>
        <v>-7276764.5291202907</v>
      </c>
      <c r="R250">
        <f t="shared" si="962"/>
        <v>-632589717.92984414</v>
      </c>
      <c r="S250">
        <f t="shared" si="963"/>
        <v>-6325.8971792984412</v>
      </c>
      <c r="T250">
        <f t="shared" si="964"/>
        <v>-6.3258971792984413</v>
      </c>
    </row>
    <row r="251" spans="1:20" x14ac:dyDescent="0.25">
      <c r="A251" s="5">
        <v>44342</v>
      </c>
      <c r="B251">
        <v>0.85409999999999997</v>
      </c>
      <c r="C251">
        <v>0.98550000000000004</v>
      </c>
      <c r="D251">
        <v>0.82750000000000001</v>
      </c>
      <c r="E251">
        <v>0.96799999999999997</v>
      </c>
      <c r="F251">
        <v>24820032.960000001</v>
      </c>
      <c r="G251">
        <v>13.34</v>
      </c>
      <c r="L251" t="s">
        <v>7</v>
      </c>
      <c r="M251" t="s">
        <v>8</v>
      </c>
      <c r="N251" t="s">
        <v>8</v>
      </c>
      <c r="P251">
        <f t="shared" si="960"/>
        <v>0.778481012658227</v>
      </c>
      <c r="Q251">
        <f t="shared" si="961"/>
        <v>19321924.392911371</v>
      </c>
      <c r="R251">
        <f t="shared" si="962"/>
        <v>-625312953.40072381</v>
      </c>
      <c r="S251">
        <f t="shared" si="963"/>
        <v>-6253.1295340072384</v>
      </c>
      <c r="T251">
        <f t="shared" si="964"/>
        <v>-6.2531295340072379</v>
      </c>
    </row>
    <row r="252" spans="1:20" x14ac:dyDescent="0.25">
      <c r="A252" s="5">
        <v>44341</v>
      </c>
      <c r="B252">
        <v>0.9335</v>
      </c>
      <c r="C252">
        <v>0.99970000000000003</v>
      </c>
      <c r="D252">
        <v>0.77100000000000002</v>
      </c>
      <c r="E252">
        <v>0.85429999999999995</v>
      </c>
      <c r="F252">
        <v>35896896.009999998</v>
      </c>
      <c r="G252">
        <v>-8.48</v>
      </c>
      <c r="L252" t="s">
        <v>8</v>
      </c>
      <c r="M252" t="s">
        <v>7</v>
      </c>
      <c r="N252" t="s">
        <v>8</v>
      </c>
      <c r="P252">
        <f t="shared" si="960"/>
        <v>-0.27153476169654633</v>
      </c>
      <c r="Q252">
        <f t="shared" si="961"/>
        <v>-9747255.1037210543</v>
      </c>
      <c r="R252">
        <f t="shared" si="962"/>
        <v>-644634877.79363513</v>
      </c>
      <c r="S252">
        <f t="shared" si="963"/>
        <v>-6446.3487779363513</v>
      </c>
      <c r="T252">
        <f t="shared" si="964"/>
        <v>-6.4463487779363513</v>
      </c>
    </row>
    <row r="253" spans="1:20" x14ac:dyDescent="0.25">
      <c r="A253" s="5">
        <v>44340</v>
      </c>
      <c r="B253">
        <v>0.65</v>
      </c>
      <c r="C253">
        <v>0.95820000000000005</v>
      </c>
      <c r="D253">
        <v>0.63560000000000005</v>
      </c>
      <c r="E253">
        <v>0.93369999999999997</v>
      </c>
      <c r="F253">
        <v>44040750.159999996</v>
      </c>
      <c r="G253">
        <v>43.65</v>
      </c>
      <c r="L253" t="s">
        <v>8</v>
      </c>
      <c r="M253" t="s">
        <v>8</v>
      </c>
      <c r="N253" t="s">
        <v>8</v>
      </c>
      <c r="P253">
        <f t="shared" si="960"/>
        <v>0.84810911345319229</v>
      </c>
      <c r="Q253">
        <f t="shared" si="961"/>
        <v>37351361.574011132</v>
      </c>
      <c r="R253">
        <f t="shared" si="962"/>
        <v>-634887622.68991411</v>
      </c>
      <c r="S253">
        <f t="shared" si="963"/>
        <v>-6348.8762268991413</v>
      </c>
      <c r="T253">
        <f t="shared" si="964"/>
        <v>-6.348876226899141</v>
      </c>
    </row>
    <row r="254" spans="1:20" x14ac:dyDescent="0.25">
      <c r="A254" s="5">
        <v>44339</v>
      </c>
      <c r="B254">
        <v>0.88519999999999999</v>
      </c>
      <c r="C254">
        <v>0.92420000000000002</v>
      </c>
      <c r="D254">
        <v>0.50829999999999997</v>
      </c>
      <c r="E254">
        <v>0.6512</v>
      </c>
      <c r="F254">
        <v>44967990.969999999</v>
      </c>
      <c r="G254">
        <v>-26.43</v>
      </c>
      <c r="L254" t="s">
        <v>7</v>
      </c>
      <c r="M254" t="s">
        <v>7</v>
      </c>
      <c r="N254" t="s">
        <v>7</v>
      </c>
      <c r="P254">
        <f t="shared" si="960"/>
        <v>-0.31281558066842985</v>
      </c>
      <c r="Q254">
        <f t="shared" si="961"/>
        <v>-14066688.206773259</v>
      </c>
      <c r="R254">
        <f t="shared" si="962"/>
        <v>-672238984.26392519</v>
      </c>
      <c r="S254">
        <f t="shared" si="963"/>
        <v>-6722.3898426392516</v>
      </c>
      <c r="T254">
        <f t="shared" si="964"/>
        <v>-6.7223898426392514</v>
      </c>
    </row>
    <row r="255" spans="1:20" x14ac:dyDescent="0.25">
      <c r="A255" s="5">
        <v>44338</v>
      </c>
      <c r="B255">
        <v>1.0467</v>
      </c>
      <c r="C255">
        <v>1.0719000000000001</v>
      </c>
      <c r="D255">
        <v>0.87</v>
      </c>
      <c r="E255">
        <v>0.8831</v>
      </c>
      <c r="F255">
        <v>21710957.989999998</v>
      </c>
      <c r="G255">
        <v>-15.63</v>
      </c>
      <c r="L255" t="s">
        <v>7</v>
      </c>
      <c r="M255" t="s">
        <v>8</v>
      </c>
      <c r="N255" t="s">
        <v>7</v>
      </c>
      <c r="P255">
        <f t="shared" si="960"/>
        <v>-0.87023278850916297</v>
      </c>
      <c r="Q255">
        <f t="shared" si="961"/>
        <v>-18893587.51284299</v>
      </c>
      <c r="R255">
        <f t="shared" si="962"/>
        <v>-658172296.05715191</v>
      </c>
      <c r="S255">
        <f t="shared" si="963"/>
        <v>-6581.7229605715193</v>
      </c>
      <c r="T255">
        <f t="shared" si="964"/>
        <v>-6.5817229605715193</v>
      </c>
    </row>
    <row r="256" spans="1:20" x14ac:dyDescent="0.25">
      <c r="A256" s="5">
        <v>44337</v>
      </c>
      <c r="B256">
        <v>1.3120000000000001</v>
      </c>
      <c r="C256">
        <v>1.405</v>
      </c>
      <c r="D256">
        <v>0.879</v>
      </c>
      <c r="E256">
        <v>1.0490999999999999</v>
      </c>
      <c r="F256">
        <v>44172467.530000001</v>
      </c>
      <c r="G256">
        <v>-20.04</v>
      </c>
      <c r="L256" t="s">
        <v>7</v>
      </c>
      <c r="M256" t="s">
        <v>7</v>
      </c>
      <c r="N256" t="s">
        <v>7</v>
      </c>
      <c r="P256">
        <f t="shared" si="960"/>
        <v>-0.35323193916349843</v>
      </c>
      <c r="Q256">
        <f t="shared" si="961"/>
        <v>-15603126.36325857</v>
      </c>
      <c r="R256">
        <f t="shared" si="962"/>
        <v>-639278708.5443089</v>
      </c>
      <c r="S256">
        <f t="shared" si="963"/>
        <v>-6392.7870854430894</v>
      </c>
      <c r="T256">
        <f t="shared" si="964"/>
        <v>-6.3927870854430893</v>
      </c>
    </row>
    <row r="257" spans="1:20" x14ac:dyDescent="0.25">
      <c r="A257" s="5">
        <v>44336</v>
      </c>
      <c r="B257">
        <v>1.1444000000000001</v>
      </c>
      <c r="C257">
        <v>1.4164000000000001</v>
      </c>
      <c r="D257">
        <v>1.1000000000000001</v>
      </c>
      <c r="E257">
        <v>1.3126</v>
      </c>
      <c r="F257">
        <v>28044804.850000001</v>
      </c>
      <c r="G257">
        <v>14.7</v>
      </c>
      <c r="L257" t="s">
        <v>8</v>
      </c>
      <c r="M257" t="s">
        <v>8</v>
      </c>
      <c r="N257" t="s">
        <v>7</v>
      </c>
      <c r="P257">
        <f t="shared" si="960"/>
        <v>0.34386852085967062</v>
      </c>
      <c r="Q257">
        <f t="shared" si="961"/>
        <v>9643725.5615676176</v>
      </c>
      <c r="R257">
        <f t="shared" si="962"/>
        <v>-623675582.1810503</v>
      </c>
      <c r="S257">
        <f t="shared" si="963"/>
        <v>-6236.7558218105032</v>
      </c>
      <c r="T257">
        <f t="shared" si="964"/>
        <v>-6.2367558218105028</v>
      </c>
    </row>
    <row r="258" spans="1:20" x14ac:dyDescent="0.25">
      <c r="A258" s="5">
        <v>44335</v>
      </c>
      <c r="B258">
        <v>1.8877999999999999</v>
      </c>
      <c r="C258">
        <v>1.9215</v>
      </c>
      <c r="D258">
        <v>1.02</v>
      </c>
      <c r="E258">
        <v>1.1440999999999999</v>
      </c>
      <c r="F258">
        <v>47133595.030000001</v>
      </c>
      <c r="G258">
        <v>-39.4</v>
      </c>
      <c r="L258" t="s">
        <v>7</v>
      </c>
      <c r="M258" t="s">
        <v>7</v>
      </c>
      <c r="N258" t="s">
        <v>7</v>
      </c>
      <c r="P258">
        <f t="shared" si="960"/>
        <v>-0.724681087077094</v>
      </c>
      <c r="Q258">
        <f t="shared" si="961"/>
        <v>-34156824.884191915</v>
      </c>
      <c r="R258">
        <f t="shared" si="962"/>
        <v>-633319307.74261796</v>
      </c>
      <c r="S258">
        <f t="shared" si="963"/>
        <v>-6333.19307742618</v>
      </c>
      <c r="T258">
        <f t="shared" si="964"/>
        <v>-6.3331930774261798</v>
      </c>
    </row>
    <row r="259" spans="1:20" x14ac:dyDescent="0.25">
      <c r="A259" s="5">
        <v>44334</v>
      </c>
      <c r="B259">
        <v>1.7829999999999999</v>
      </c>
      <c r="C259">
        <v>2</v>
      </c>
      <c r="D259">
        <v>1.76</v>
      </c>
      <c r="E259">
        <v>1.8878999999999999</v>
      </c>
      <c r="F259">
        <v>19669177.649999999</v>
      </c>
      <c r="G259">
        <v>5.88</v>
      </c>
      <c r="L259" t="s">
        <v>8</v>
      </c>
      <c r="M259" t="s">
        <v>8</v>
      </c>
      <c r="N259" t="s">
        <v>7</v>
      </c>
      <c r="P259">
        <f t="shared" si="960"/>
        <v>6.5833333333332564E-2</v>
      </c>
      <c r="Q259">
        <f t="shared" si="961"/>
        <v>1294887.5286249847</v>
      </c>
      <c r="R259">
        <f t="shared" si="962"/>
        <v>-599162482.85842609</v>
      </c>
      <c r="S259">
        <f t="shared" si="963"/>
        <v>-5991.6248285842612</v>
      </c>
      <c r="T259">
        <f t="shared" si="964"/>
        <v>-5.9916248285842615</v>
      </c>
    </row>
    <row r="260" spans="1:20" x14ac:dyDescent="0.25">
      <c r="A260" s="5">
        <v>44333</v>
      </c>
      <c r="B260">
        <v>1.8931</v>
      </c>
      <c r="C260">
        <v>1.94</v>
      </c>
      <c r="D260">
        <v>1.6478999999999999</v>
      </c>
      <c r="E260">
        <v>1.7803</v>
      </c>
      <c r="F260">
        <v>21277975.289999999</v>
      </c>
      <c r="G260">
        <v>-5.96</v>
      </c>
      <c r="L260" t="s">
        <v>7</v>
      </c>
      <c r="M260" t="s">
        <v>7</v>
      </c>
      <c r="N260" t="s">
        <v>7</v>
      </c>
      <c r="P260">
        <f t="shared" si="960"/>
        <v>-9.3461143444025604E-2</v>
      </c>
      <c r="Q260">
        <f t="shared" si="961"/>
        <v>-1988663.9007771222</v>
      </c>
      <c r="R260">
        <f t="shared" si="962"/>
        <v>-600457370.38705111</v>
      </c>
      <c r="S260">
        <f t="shared" si="963"/>
        <v>-6004.5737038705111</v>
      </c>
      <c r="T260">
        <f t="shared" si="964"/>
        <v>-6.0045737038705109</v>
      </c>
    </row>
    <row r="261" spans="1:20" x14ac:dyDescent="0.25">
      <c r="A261" s="5">
        <v>44332</v>
      </c>
      <c r="B261">
        <v>1.9433</v>
      </c>
      <c r="C261">
        <v>2.1</v>
      </c>
      <c r="D261">
        <v>1.75</v>
      </c>
      <c r="E261">
        <v>1.8944000000000001</v>
      </c>
      <c r="F261">
        <v>17291875.469999999</v>
      </c>
      <c r="G261">
        <v>-2.52</v>
      </c>
      <c r="L261" t="s">
        <v>7</v>
      </c>
      <c r="M261" t="s">
        <v>7</v>
      </c>
      <c r="N261" t="s">
        <v>7</v>
      </c>
      <c r="P261">
        <f t="shared" si="960"/>
        <v>-0.1748571428571426</v>
      </c>
      <c r="Q261">
        <f t="shared" si="961"/>
        <v>-3023607.9393257098</v>
      </c>
      <c r="R261">
        <f t="shared" si="962"/>
        <v>-598468706.486274</v>
      </c>
      <c r="S261">
        <f t="shared" si="963"/>
        <v>-5984.68706486274</v>
      </c>
      <c r="T261">
        <f t="shared" si="964"/>
        <v>-5.9846870648627402</v>
      </c>
    </row>
    <row r="262" spans="1:20" x14ac:dyDescent="0.25">
      <c r="A262" s="5">
        <v>44331</v>
      </c>
      <c r="B262">
        <v>2.2170999999999998</v>
      </c>
      <c r="C262">
        <v>2.2595999999999998</v>
      </c>
      <c r="D262">
        <v>1.925</v>
      </c>
      <c r="E262">
        <v>1.9433</v>
      </c>
      <c r="F262">
        <v>19591686.390000001</v>
      </c>
      <c r="G262">
        <v>-12.35</v>
      </c>
      <c r="L262" t="s">
        <v>7</v>
      </c>
      <c r="M262" t="s">
        <v>7</v>
      </c>
      <c r="N262" t="s">
        <v>8</v>
      </c>
      <c r="P262">
        <f t="shared" ref="P262:P325" si="965">IF(C262=D262,0,((E262-D262)-(C262-E262))/(C262-D262))</f>
        <v>-0.89061566049013752</v>
      </c>
      <c r="Q262">
        <f t="shared" ref="Q262:Q325" si="966">F262*P262</f>
        <v>-17448662.714345489</v>
      </c>
      <c r="R262">
        <f t="shared" ref="R262:R325" si="967">R263+Q262</f>
        <v>-595445098.54694831</v>
      </c>
      <c r="S262">
        <f t="shared" ref="S262:S325" si="968">R262/100000</f>
        <v>-5954.4509854694834</v>
      </c>
      <c r="T262">
        <f t="shared" ref="T262:T325" si="969">S262/1000</f>
        <v>-5.9544509854694834</v>
      </c>
    </row>
    <row r="263" spans="1:20" x14ac:dyDescent="0.25">
      <c r="A263" s="5">
        <v>44330</v>
      </c>
      <c r="B263">
        <v>2.2387000000000001</v>
      </c>
      <c r="C263">
        <v>2.4691000000000001</v>
      </c>
      <c r="D263">
        <v>2.1293000000000002</v>
      </c>
      <c r="E263">
        <v>2.2166000000000001</v>
      </c>
      <c r="F263">
        <v>36147298.189999998</v>
      </c>
      <c r="G263">
        <v>-0.99</v>
      </c>
      <c r="L263" t="s">
        <v>7</v>
      </c>
      <c r="M263" t="s">
        <v>8</v>
      </c>
      <c r="N263" t="s">
        <v>8</v>
      </c>
      <c r="P263">
        <f t="shared" si="965"/>
        <v>-0.48616833431430273</v>
      </c>
      <c r="Q263">
        <f t="shared" si="966"/>
        <v>-17573671.750994708</v>
      </c>
      <c r="R263">
        <f t="shared" si="967"/>
        <v>-577996435.83260286</v>
      </c>
      <c r="S263">
        <f t="shared" si="968"/>
        <v>-5779.9643583260286</v>
      </c>
      <c r="T263">
        <f t="shared" si="969"/>
        <v>-5.779964358326029</v>
      </c>
    </row>
    <row r="264" spans="1:20" x14ac:dyDescent="0.25">
      <c r="A264" s="5">
        <v>44329</v>
      </c>
      <c r="B264">
        <v>1.8083</v>
      </c>
      <c r="C264">
        <v>2.52</v>
      </c>
      <c r="D264">
        <v>1.6996</v>
      </c>
      <c r="E264">
        <v>2.2366999999999999</v>
      </c>
      <c r="F264">
        <v>91997419.469999999</v>
      </c>
      <c r="G264">
        <v>23.69</v>
      </c>
      <c r="L264" t="s">
        <v>8</v>
      </c>
      <c r="M264" t="s">
        <v>8</v>
      </c>
      <c r="N264" t="s">
        <v>7</v>
      </c>
      <c r="P264">
        <f t="shared" si="965"/>
        <v>0.30936128717698658</v>
      </c>
      <c r="Q264">
        <f t="shared" si="966"/>
        <v>28460440.104200367</v>
      </c>
      <c r="R264">
        <f t="shared" si="967"/>
        <v>-560422764.08160818</v>
      </c>
      <c r="S264">
        <f t="shared" si="968"/>
        <v>-5604.2276408160815</v>
      </c>
      <c r="T264">
        <f t="shared" si="969"/>
        <v>-5.6042276408160818</v>
      </c>
    </row>
    <row r="265" spans="1:20" x14ac:dyDescent="0.25">
      <c r="A265" s="5">
        <v>44328</v>
      </c>
      <c r="B265">
        <v>1.8798999999999999</v>
      </c>
      <c r="C265">
        <v>2.39</v>
      </c>
      <c r="D265">
        <v>1.7778</v>
      </c>
      <c r="E265">
        <v>1.8081</v>
      </c>
      <c r="F265">
        <v>67619285.359999999</v>
      </c>
      <c r="G265">
        <v>-3.82</v>
      </c>
      <c r="L265" t="s">
        <v>8</v>
      </c>
      <c r="M265" t="s">
        <v>8</v>
      </c>
      <c r="N265" t="s">
        <v>8</v>
      </c>
      <c r="P265">
        <f t="shared" si="965"/>
        <v>-0.90101274093433525</v>
      </c>
      <c r="Q265">
        <f t="shared" si="966"/>
        <v>-60925837.642234571</v>
      </c>
      <c r="R265">
        <f t="shared" si="967"/>
        <v>-588883204.18580854</v>
      </c>
      <c r="S265">
        <f t="shared" si="968"/>
        <v>-5888.8320418580852</v>
      </c>
      <c r="T265">
        <f t="shared" si="969"/>
        <v>-5.8888320418580848</v>
      </c>
    </row>
    <row r="266" spans="1:20" x14ac:dyDescent="0.25">
      <c r="A266" s="5">
        <v>44327</v>
      </c>
      <c r="B266">
        <v>1.6659999999999999</v>
      </c>
      <c r="C266">
        <v>1.887</v>
      </c>
      <c r="D266">
        <v>1.6114999999999999</v>
      </c>
      <c r="E266">
        <v>1.8798999999999999</v>
      </c>
      <c r="F266">
        <v>13807116.66</v>
      </c>
      <c r="G266">
        <v>12.84</v>
      </c>
      <c r="L266" t="s">
        <v>8</v>
      </c>
      <c r="M266" t="s">
        <v>8</v>
      </c>
      <c r="N266" t="s">
        <v>7</v>
      </c>
      <c r="P266">
        <f t="shared" si="965"/>
        <v>0.94845735027223155</v>
      </c>
      <c r="Q266">
        <f t="shared" si="966"/>
        <v>13095461.282243185</v>
      </c>
      <c r="R266">
        <f t="shared" si="967"/>
        <v>-527957366.54357392</v>
      </c>
      <c r="S266">
        <f t="shared" si="968"/>
        <v>-5279.5736654357388</v>
      </c>
      <c r="T266">
        <f t="shared" si="969"/>
        <v>-5.2795736654357386</v>
      </c>
    </row>
    <row r="267" spans="1:20" x14ac:dyDescent="0.25">
      <c r="A267" s="5">
        <v>44326</v>
      </c>
      <c r="B267">
        <v>1.8812</v>
      </c>
      <c r="C267">
        <v>1.9194</v>
      </c>
      <c r="D267">
        <v>1.5295000000000001</v>
      </c>
      <c r="E267">
        <v>1.6661999999999999</v>
      </c>
      <c r="F267">
        <v>13917799.51</v>
      </c>
      <c r="G267">
        <v>-11.43</v>
      </c>
      <c r="L267" t="s">
        <v>7</v>
      </c>
      <c r="M267" t="s">
        <v>7</v>
      </c>
      <c r="N267" t="s">
        <v>7</v>
      </c>
      <c r="P267">
        <f t="shared" si="965"/>
        <v>-0.2987945627083875</v>
      </c>
      <c r="Q267">
        <f t="shared" si="966"/>
        <v>-4158562.81845346</v>
      </c>
      <c r="R267">
        <f t="shared" si="967"/>
        <v>-541052827.82581711</v>
      </c>
      <c r="S267">
        <f t="shared" si="968"/>
        <v>-5410.5282782581708</v>
      </c>
      <c r="T267">
        <f t="shared" si="969"/>
        <v>-5.4105282782581705</v>
      </c>
    </row>
    <row r="268" spans="1:20" x14ac:dyDescent="0.25">
      <c r="A268" s="5">
        <v>44325</v>
      </c>
      <c r="B268">
        <v>1.8765000000000001</v>
      </c>
      <c r="C268">
        <v>1.9104000000000001</v>
      </c>
      <c r="D268">
        <v>1.7994000000000001</v>
      </c>
      <c r="E268">
        <v>1.8809</v>
      </c>
      <c r="F268">
        <v>13345467.25</v>
      </c>
      <c r="G268">
        <v>0.23</v>
      </c>
      <c r="L268" t="s">
        <v>7</v>
      </c>
      <c r="M268" t="s">
        <v>7</v>
      </c>
      <c r="N268" t="s">
        <v>8</v>
      </c>
      <c r="P268">
        <f t="shared" si="965"/>
        <v>0.46846846846846696</v>
      </c>
      <c r="Q268">
        <f t="shared" si="966"/>
        <v>6251930.6036035838</v>
      </c>
      <c r="R268">
        <f t="shared" si="967"/>
        <v>-536894265.00736368</v>
      </c>
      <c r="S268">
        <f t="shared" si="968"/>
        <v>-5368.9426500736372</v>
      </c>
      <c r="T268">
        <f t="shared" si="969"/>
        <v>-5.3689426500736372</v>
      </c>
    </row>
    <row r="269" spans="1:20" x14ac:dyDescent="0.25">
      <c r="A269" s="5">
        <v>44324</v>
      </c>
      <c r="B269">
        <v>1.9411</v>
      </c>
      <c r="C269">
        <v>1.98</v>
      </c>
      <c r="D269">
        <v>1.7971999999999999</v>
      </c>
      <c r="E269">
        <v>1.8754999999999999</v>
      </c>
      <c r="F269">
        <v>25333468.539999999</v>
      </c>
      <c r="G269">
        <v>-3.38</v>
      </c>
      <c r="L269" t="s">
        <v>7</v>
      </c>
      <c r="M269" t="s">
        <v>7</v>
      </c>
      <c r="N269" t="s">
        <v>8</v>
      </c>
      <c r="P269">
        <f t="shared" si="965"/>
        <v>-0.14332603938730848</v>
      </c>
      <c r="Q269">
        <f t="shared" si="966"/>
        <v>-3630945.7097811801</v>
      </c>
      <c r="R269">
        <f t="shared" si="967"/>
        <v>-543146195.61096728</v>
      </c>
      <c r="S269">
        <f t="shared" si="968"/>
        <v>-5431.4619561096724</v>
      </c>
      <c r="T269">
        <f t="shared" si="969"/>
        <v>-5.4314619561096729</v>
      </c>
    </row>
    <row r="270" spans="1:20" x14ac:dyDescent="0.25">
      <c r="A270" s="5">
        <v>44323</v>
      </c>
      <c r="B270">
        <v>1.929</v>
      </c>
      <c r="C270">
        <v>2.0724</v>
      </c>
      <c r="D270">
        <v>1.851</v>
      </c>
      <c r="E270">
        <v>1.9436</v>
      </c>
      <c r="F270">
        <v>15322480.26</v>
      </c>
      <c r="G270">
        <v>0.76</v>
      </c>
      <c r="L270" t="s">
        <v>7</v>
      </c>
      <c r="M270" t="s">
        <v>7</v>
      </c>
      <c r="N270" t="s">
        <v>8</v>
      </c>
      <c r="P270">
        <f t="shared" si="965"/>
        <v>-0.16350496838301717</v>
      </c>
      <c r="Q270">
        <f t="shared" si="966"/>
        <v>-2505301.6504607047</v>
      </c>
      <c r="R270">
        <f t="shared" si="967"/>
        <v>-539515249.90118611</v>
      </c>
      <c r="S270">
        <f t="shared" si="968"/>
        <v>-5395.1524990118614</v>
      </c>
      <c r="T270">
        <f t="shared" si="969"/>
        <v>-5.3951524990118616</v>
      </c>
    </row>
    <row r="271" spans="1:20" x14ac:dyDescent="0.25">
      <c r="A271" s="5">
        <v>44322</v>
      </c>
      <c r="B271">
        <v>1.9884999999999999</v>
      </c>
      <c r="C271">
        <v>2.04</v>
      </c>
      <c r="D271">
        <v>1.8906000000000001</v>
      </c>
      <c r="E271">
        <v>1.9289000000000001</v>
      </c>
      <c r="F271">
        <v>15363487.75</v>
      </c>
      <c r="G271">
        <v>-3</v>
      </c>
      <c r="L271" t="s">
        <v>7</v>
      </c>
      <c r="M271" t="s">
        <v>7</v>
      </c>
      <c r="N271" t="s">
        <v>8</v>
      </c>
      <c r="P271">
        <f t="shared" si="965"/>
        <v>-0.48728246318607754</v>
      </c>
      <c r="Q271">
        <f t="shared" si="966"/>
        <v>-7486358.1539491285</v>
      </c>
      <c r="R271">
        <f t="shared" si="967"/>
        <v>-537009948.25072539</v>
      </c>
      <c r="S271">
        <f t="shared" si="968"/>
        <v>-5370.0994825072539</v>
      </c>
      <c r="T271">
        <f t="shared" si="969"/>
        <v>-5.3700994825072543</v>
      </c>
    </row>
    <row r="272" spans="1:20" x14ac:dyDescent="0.25">
      <c r="A272" s="5">
        <v>44321</v>
      </c>
      <c r="B272">
        <v>1.8604000000000001</v>
      </c>
      <c r="C272">
        <v>2.0990000000000002</v>
      </c>
      <c r="D272">
        <v>1.833</v>
      </c>
      <c r="E272">
        <v>1.9877</v>
      </c>
      <c r="F272">
        <v>15160020.970000001</v>
      </c>
      <c r="G272">
        <v>6.84</v>
      </c>
      <c r="L272" t="s">
        <v>8</v>
      </c>
      <c r="M272" t="s">
        <v>7</v>
      </c>
      <c r="N272" t="s">
        <v>8</v>
      </c>
      <c r="P272">
        <f t="shared" si="965"/>
        <v>0.16315789473684153</v>
      </c>
      <c r="Q272">
        <f t="shared" si="966"/>
        <v>2473477.1056315703</v>
      </c>
      <c r="R272">
        <f t="shared" si="967"/>
        <v>-529523590.09677625</v>
      </c>
      <c r="S272">
        <f t="shared" si="968"/>
        <v>-5295.2359009677621</v>
      </c>
      <c r="T272">
        <f t="shared" si="969"/>
        <v>-5.2952359009677616</v>
      </c>
    </row>
    <row r="273" spans="1:20" x14ac:dyDescent="0.25">
      <c r="A273" s="5">
        <v>44320</v>
      </c>
      <c r="B273">
        <v>2.177</v>
      </c>
      <c r="C273">
        <v>2.1785999999999999</v>
      </c>
      <c r="D273">
        <v>1.8252999999999999</v>
      </c>
      <c r="E273">
        <v>1.8606</v>
      </c>
      <c r="F273">
        <v>24548529.899999999</v>
      </c>
      <c r="G273">
        <v>-14.53</v>
      </c>
      <c r="L273" t="s">
        <v>7</v>
      </c>
      <c r="M273" t="s">
        <v>7</v>
      </c>
      <c r="N273" t="s">
        <v>8</v>
      </c>
      <c r="P273">
        <f t="shared" si="965"/>
        <v>-0.80016982734220143</v>
      </c>
      <c r="Q273">
        <f t="shared" si="966"/>
        <v>-19642992.931587867</v>
      </c>
      <c r="R273">
        <f t="shared" si="967"/>
        <v>-531997067.20240784</v>
      </c>
      <c r="S273">
        <f t="shared" si="968"/>
        <v>-5319.9706720240783</v>
      </c>
      <c r="T273">
        <f t="shared" si="969"/>
        <v>-5.3199706720240787</v>
      </c>
    </row>
    <row r="274" spans="1:20" x14ac:dyDescent="0.25">
      <c r="A274" s="5">
        <v>44319</v>
      </c>
      <c r="B274">
        <v>1.9710000000000001</v>
      </c>
      <c r="C274">
        <v>2.2549000000000001</v>
      </c>
      <c r="D274">
        <v>1.9710000000000001</v>
      </c>
      <c r="E274">
        <v>2.177</v>
      </c>
      <c r="F274">
        <v>24641981.039999999</v>
      </c>
      <c r="G274">
        <v>10.45</v>
      </c>
      <c r="L274" t="s">
        <v>8</v>
      </c>
      <c r="M274" t="s">
        <v>8</v>
      </c>
      <c r="N274" t="s">
        <v>8</v>
      </c>
      <c r="P274">
        <f t="shared" si="965"/>
        <v>0.4512152166255719</v>
      </c>
      <c r="Q274">
        <f t="shared" si="966"/>
        <v>11118836.813046835</v>
      </c>
      <c r="R274">
        <f t="shared" si="967"/>
        <v>-512354074.27081996</v>
      </c>
      <c r="S274">
        <f t="shared" si="968"/>
        <v>-5123.5407427082</v>
      </c>
      <c r="T274">
        <f t="shared" si="969"/>
        <v>-5.1235407427082</v>
      </c>
    </row>
    <row r="275" spans="1:20" x14ac:dyDescent="0.25">
      <c r="A275" s="5">
        <v>44318</v>
      </c>
      <c r="B275">
        <v>2.0430000000000001</v>
      </c>
      <c r="C275">
        <v>2.0990000000000002</v>
      </c>
      <c r="D275">
        <v>1.9275</v>
      </c>
      <c r="E275">
        <v>1.9732000000000001</v>
      </c>
      <c r="F275">
        <v>17786409.719999999</v>
      </c>
      <c r="G275">
        <v>-3.42</v>
      </c>
      <c r="L275" t="s">
        <v>7</v>
      </c>
      <c r="M275" t="s">
        <v>8</v>
      </c>
      <c r="N275" t="s">
        <v>8</v>
      </c>
      <c r="P275">
        <f t="shared" si="965"/>
        <v>-0.46705539358600562</v>
      </c>
      <c r="Q275">
        <f t="shared" si="966"/>
        <v>-8307238.5922565553</v>
      </c>
      <c r="R275">
        <f t="shared" si="967"/>
        <v>-523472911.08386678</v>
      </c>
      <c r="S275">
        <f t="shared" si="968"/>
        <v>-5234.729110838668</v>
      </c>
      <c r="T275">
        <f t="shared" si="969"/>
        <v>-5.2347291108386678</v>
      </c>
    </row>
    <row r="276" spans="1:20" x14ac:dyDescent="0.25">
      <c r="A276" s="5">
        <v>44317</v>
      </c>
      <c r="B276">
        <v>1.9319999999999999</v>
      </c>
      <c r="C276">
        <v>2.1857000000000002</v>
      </c>
      <c r="D276">
        <v>1.8749</v>
      </c>
      <c r="E276">
        <v>2.0428999999999999</v>
      </c>
      <c r="F276">
        <v>36472999.840000004</v>
      </c>
      <c r="G276">
        <v>5.74</v>
      </c>
      <c r="L276" t="s">
        <v>8</v>
      </c>
      <c r="M276" t="s">
        <v>8</v>
      </c>
      <c r="N276" t="s">
        <v>8</v>
      </c>
      <c r="P276">
        <f t="shared" si="965"/>
        <v>8.1081081081079961E-2</v>
      </c>
      <c r="Q276">
        <f t="shared" si="966"/>
        <v>2957270.257297257</v>
      </c>
      <c r="R276">
        <f t="shared" si="967"/>
        <v>-515165672.49161023</v>
      </c>
      <c r="S276">
        <f t="shared" si="968"/>
        <v>-5151.6567249161026</v>
      </c>
      <c r="T276">
        <f t="shared" si="969"/>
        <v>-5.1516567249161023</v>
      </c>
    </row>
    <row r="277" spans="1:20" x14ac:dyDescent="0.25">
      <c r="A277" s="5">
        <v>44316</v>
      </c>
      <c r="B277">
        <v>1.6086</v>
      </c>
      <c r="C277">
        <v>1.9670000000000001</v>
      </c>
      <c r="D277">
        <v>1.5621</v>
      </c>
      <c r="E277">
        <v>1.9334</v>
      </c>
      <c r="F277">
        <v>52848938.170000002</v>
      </c>
      <c r="G277">
        <v>20.190000000000001</v>
      </c>
      <c r="L277" t="s">
        <v>8</v>
      </c>
      <c r="M277" t="s">
        <v>8</v>
      </c>
      <c r="N277" t="s">
        <v>8</v>
      </c>
      <c r="P277">
        <f t="shared" si="965"/>
        <v>0.83403309459125674</v>
      </c>
      <c r="Q277">
        <f t="shared" si="966"/>
        <v>44077763.447787091</v>
      </c>
      <c r="R277">
        <f t="shared" si="967"/>
        <v>-518122942.74890751</v>
      </c>
      <c r="S277">
        <f t="shared" si="968"/>
        <v>-5181.2294274890746</v>
      </c>
      <c r="T277">
        <f t="shared" si="969"/>
        <v>-5.1812294274890744</v>
      </c>
    </row>
    <row r="278" spans="1:20" x14ac:dyDescent="0.25">
      <c r="A278" s="5">
        <v>44315</v>
      </c>
      <c r="B278">
        <v>1.4331</v>
      </c>
      <c r="C278">
        <v>1.6375</v>
      </c>
      <c r="D278">
        <v>1.4003000000000001</v>
      </c>
      <c r="E278">
        <v>1.6072</v>
      </c>
      <c r="F278">
        <v>27133613.489999998</v>
      </c>
      <c r="G278">
        <v>12.15</v>
      </c>
      <c r="L278" t="s">
        <v>8</v>
      </c>
      <c r="M278" t="s">
        <v>8</v>
      </c>
      <c r="N278" t="s">
        <v>8</v>
      </c>
      <c r="P278">
        <f t="shared" si="965"/>
        <v>0.74451939291736924</v>
      </c>
      <c r="Q278">
        <f t="shared" si="966"/>
        <v>20201501.44322934</v>
      </c>
      <c r="R278">
        <f t="shared" si="967"/>
        <v>-562200706.19669461</v>
      </c>
      <c r="S278">
        <f t="shared" si="968"/>
        <v>-5622.0070619669459</v>
      </c>
      <c r="T278">
        <f t="shared" si="969"/>
        <v>-5.6220070619669462</v>
      </c>
    </row>
    <row r="279" spans="1:20" x14ac:dyDescent="0.25">
      <c r="A279" s="5">
        <v>44314</v>
      </c>
      <c r="B279">
        <v>1.4475</v>
      </c>
      <c r="C279">
        <v>1.5156000000000001</v>
      </c>
      <c r="D279">
        <v>1.3379000000000001</v>
      </c>
      <c r="E279">
        <v>1.4322999999999999</v>
      </c>
      <c r="F279">
        <v>18291274.059999999</v>
      </c>
      <c r="G279">
        <v>-1.05</v>
      </c>
      <c r="L279" t="s">
        <v>8</v>
      </c>
      <c r="M279" t="s">
        <v>8</v>
      </c>
      <c r="N279" t="s">
        <v>7</v>
      </c>
      <c r="P279">
        <f t="shared" si="965"/>
        <v>6.2464828362406681E-2</v>
      </c>
      <c r="Q279">
        <f t="shared" si="966"/>
        <v>1142561.2946876416</v>
      </c>
      <c r="R279">
        <f t="shared" si="967"/>
        <v>-582402207.63992393</v>
      </c>
      <c r="S279">
        <f t="shared" si="968"/>
        <v>-5824.0220763992393</v>
      </c>
      <c r="T279">
        <f t="shared" si="969"/>
        <v>-5.8240220763992392</v>
      </c>
    </row>
    <row r="280" spans="1:20" x14ac:dyDescent="0.25">
      <c r="A280" s="5">
        <v>44313</v>
      </c>
      <c r="B280">
        <v>1.3347</v>
      </c>
      <c r="C280">
        <v>1.4793000000000001</v>
      </c>
      <c r="D280">
        <v>1.3066</v>
      </c>
      <c r="E280">
        <v>1.4483999999999999</v>
      </c>
      <c r="F280">
        <v>19887416.460000001</v>
      </c>
      <c r="G280">
        <v>8.52</v>
      </c>
      <c r="L280" t="s">
        <v>8</v>
      </c>
      <c r="M280" t="s">
        <v>8</v>
      </c>
      <c r="N280" t="s">
        <v>7</v>
      </c>
      <c r="P280">
        <f t="shared" si="965"/>
        <v>0.64215402431962787</v>
      </c>
      <c r="Q280">
        <f t="shared" si="966"/>
        <v>12770784.513109408</v>
      </c>
      <c r="R280">
        <f t="shared" si="967"/>
        <v>-583544768.93461156</v>
      </c>
      <c r="S280">
        <f t="shared" si="968"/>
        <v>-5835.447689346116</v>
      </c>
      <c r="T280">
        <f t="shared" si="969"/>
        <v>-5.8354476893461165</v>
      </c>
    </row>
    <row r="281" spans="1:20" x14ac:dyDescent="0.25">
      <c r="A281" s="5">
        <v>44312</v>
      </c>
      <c r="B281">
        <v>1.2177</v>
      </c>
      <c r="C281">
        <v>1.4</v>
      </c>
      <c r="D281">
        <v>1.2057</v>
      </c>
      <c r="E281">
        <v>1.3348</v>
      </c>
      <c r="F281">
        <v>19515619.039999999</v>
      </c>
      <c r="G281">
        <v>9.6199999999999992</v>
      </c>
      <c r="L281" t="s">
        <v>8</v>
      </c>
      <c r="M281" t="s">
        <v>8</v>
      </c>
      <c r="N281" t="s">
        <v>7</v>
      </c>
      <c r="P281">
        <f t="shared" si="965"/>
        <v>0.32887287699433915</v>
      </c>
      <c r="Q281">
        <f t="shared" si="966"/>
        <v>6418157.7800103026</v>
      </c>
      <c r="R281">
        <f t="shared" si="967"/>
        <v>-596315553.447721</v>
      </c>
      <c r="S281">
        <f t="shared" si="968"/>
        <v>-5963.1555344772105</v>
      </c>
      <c r="T281">
        <f t="shared" si="969"/>
        <v>-5.9631555344772105</v>
      </c>
    </row>
    <row r="282" spans="1:20" x14ac:dyDescent="0.25">
      <c r="A282" s="5">
        <v>44311</v>
      </c>
      <c r="B282">
        <v>1.23481</v>
      </c>
      <c r="C282">
        <v>1.2927999999999999</v>
      </c>
      <c r="D282">
        <v>1.135</v>
      </c>
      <c r="E282">
        <v>1.2150000000000001</v>
      </c>
      <c r="F282">
        <v>12825861.810000001</v>
      </c>
      <c r="G282">
        <v>-1.6</v>
      </c>
      <c r="L282" t="s">
        <v>7</v>
      </c>
      <c r="M282" t="s">
        <v>7</v>
      </c>
      <c r="N282" t="s">
        <v>7</v>
      </c>
      <c r="P282">
        <f t="shared" si="965"/>
        <v>1.3941698352346025E-2</v>
      </c>
      <c r="Q282">
        <f t="shared" si="966"/>
        <v>178814.2964638948</v>
      </c>
      <c r="R282">
        <f t="shared" si="967"/>
        <v>-602733711.22773135</v>
      </c>
      <c r="S282">
        <f t="shared" si="968"/>
        <v>-6027.3371122773133</v>
      </c>
      <c r="T282">
        <f t="shared" si="969"/>
        <v>-6.0273371122773129</v>
      </c>
    </row>
    <row r="283" spans="1:20" x14ac:dyDescent="0.25">
      <c r="A283" s="5">
        <v>44310</v>
      </c>
      <c r="B283">
        <v>1.37313</v>
      </c>
      <c r="C283">
        <v>1.3769400000000001</v>
      </c>
      <c r="D283">
        <v>1.2231799999999999</v>
      </c>
      <c r="E283">
        <v>1.23258</v>
      </c>
      <c r="F283">
        <v>10886992.4</v>
      </c>
      <c r="G283">
        <v>-10.24</v>
      </c>
      <c r="L283" t="s">
        <v>8</v>
      </c>
      <c r="M283" t="s">
        <v>7</v>
      </c>
      <c r="N283" t="s">
        <v>7</v>
      </c>
      <c r="P283">
        <f t="shared" si="965"/>
        <v>-0.87773152965660683</v>
      </c>
      <c r="Q283">
        <f t="shared" si="966"/>
        <v>-9555856.4926118534</v>
      </c>
      <c r="R283">
        <f t="shared" si="967"/>
        <v>-602912525.52419519</v>
      </c>
      <c r="S283">
        <f t="shared" si="968"/>
        <v>-6029.1252552419519</v>
      </c>
      <c r="T283">
        <f t="shared" si="969"/>
        <v>-6.0291252552419516</v>
      </c>
    </row>
    <row r="284" spans="1:20" x14ac:dyDescent="0.25">
      <c r="A284" s="5">
        <v>44309</v>
      </c>
      <c r="B284">
        <v>1.36002</v>
      </c>
      <c r="C284">
        <v>1.3905400000000001</v>
      </c>
      <c r="D284">
        <v>1.1890000000000001</v>
      </c>
      <c r="E284">
        <v>1.37317</v>
      </c>
      <c r="F284">
        <v>35382863.5</v>
      </c>
      <c r="G284">
        <v>0.97</v>
      </c>
      <c r="L284" t="s">
        <v>7</v>
      </c>
      <c r="M284" t="s">
        <v>7</v>
      </c>
      <c r="N284" t="s">
        <v>7</v>
      </c>
      <c r="P284">
        <f t="shared" si="965"/>
        <v>0.82762727002083847</v>
      </c>
      <c r="Q284">
        <f t="shared" si="966"/>
        <v>29283822.72402497</v>
      </c>
      <c r="R284">
        <f t="shared" si="967"/>
        <v>-593356669.03158331</v>
      </c>
      <c r="S284">
        <f t="shared" si="968"/>
        <v>-5933.5666903158335</v>
      </c>
      <c r="T284">
        <f t="shared" si="969"/>
        <v>-5.9335666903158337</v>
      </c>
    </row>
    <row r="285" spans="1:20" x14ac:dyDescent="0.25">
      <c r="A285" s="5">
        <v>44308</v>
      </c>
      <c r="B285">
        <v>1.5209299999999999</v>
      </c>
      <c r="C285">
        <v>1.649</v>
      </c>
      <c r="D285">
        <v>1.3122799999999999</v>
      </c>
      <c r="E285">
        <v>1.3622000000000001</v>
      </c>
      <c r="F285">
        <v>34349086.899999999</v>
      </c>
      <c r="G285">
        <v>-10.44</v>
      </c>
      <c r="L285" t="s">
        <v>8</v>
      </c>
      <c r="M285" t="s">
        <v>8</v>
      </c>
      <c r="N285" t="s">
        <v>8</v>
      </c>
      <c r="P285">
        <f t="shared" si="965"/>
        <v>-0.70349251603706242</v>
      </c>
      <c r="Q285">
        <f t="shared" si="966"/>
        <v>-24164325.566856701</v>
      </c>
      <c r="R285">
        <f t="shared" si="967"/>
        <v>-622640491.75560832</v>
      </c>
      <c r="S285">
        <f t="shared" si="968"/>
        <v>-6226.4049175560831</v>
      </c>
      <c r="T285">
        <f t="shared" si="969"/>
        <v>-6.2264049175560832</v>
      </c>
    </row>
    <row r="286" spans="1:20" x14ac:dyDescent="0.25">
      <c r="A286" s="5">
        <v>44307</v>
      </c>
      <c r="B286">
        <v>1.3599399999999999</v>
      </c>
      <c r="C286">
        <v>1.58</v>
      </c>
      <c r="D286">
        <v>1.32759</v>
      </c>
      <c r="E286">
        <v>1.52061</v>
      </c>
      <c r="F286">
        <v>38523972.899999999</v>
      </c>
      <c r="G286">
        <v>11.81</v>
      </c>
      <c r="L286" t="s">
        <v>8</v>
      </c>
      <c r="M286" t="s">
        <v>8</v>
      </c>
      <c r="N286" t="s">
        <v>7</v>
      </c>
      <c r="P286">
        <f t="shared" si="965"/>
        <v>0.52941642565666935</v>
      </c>
      <c r="Q286">
        <f t="shared" si="966"/>
        <v>20395224.034812395</v>
      </c>
      <c r="R286">
        <f t="shared" si="967"/>
        <v>-598476166.18875158</v>
      </c>
      <c r="S286">
        <f t="shared" si="968"/>
        <v>-5984.7616618875154</v>
      </c>
      <c r="T286">
        <f t="shared" si="969"/>
        <v>-5.9847616618875152</v>
      </c>
    </row>
    <row r="287" spans="1:20" x14ac:dyDescent="0.25">
      <c r="A287" s="5">
        <v>44306</v>
      </c>
      <c r="B287">
        <v>1.27403</v>
      </c>
      <c r="C287">
        <v>1.37097</v>
      </c>
      <c r="D287">
        <v>1.1338200000000001</v>
      </c>
      <c r="E287">
        <v>1.35873</v>
      </c>
      <c r="F287">
        <v>32874175.600000001</v>
      </c>
      <c r="G287">
        <v>6.65</v>
      </c>
      <c r="L287" t="s">
        <v>7</v>
      </c>
      <c r="M287" t="s">
        <v>7</v>
      </c>
      <c r="N287" t="s">
        <v>7</v>
      </c>
      <c r="P287">
        <f t="shared" si="965"/>
        <v>0.89677419354838683</v>
      </c>
      <c r="Q287">
        <f t="shared" si="966"/>
        <v>29480712.312258057</v>
      </c>
      <c r="R287">
        <f t="shared" si="967"/>
        <v>-618871390.22356403</v>
      </c>
      <c r="S287">
        <f t="shared" si="968"/>
        <v>-6188.7139022356405</v>
      </c>
      <c r="T287">
        <f t="shared" si="969"/>
        <v>-6.1887139022356408</v>
      </c>
    </row>
    <row r="288" spans="1:20" x14ac:dyDescent="0.25">
      <c r="A288" s="5">
        <v>44305</v>
      </c>
      <c r="B288">
        <v>1.47461</v>
      </c>
      <c r="C288">
        <v>1.57439</v>
      </c>
      <c r="D288">
        <v>1.27041</v>
      </c>
      <c r="E288">
        <v>1.2740899999999999</v>
      </c>
      <c r="F288">
        <v>23128730</v>
      </c>
      <c r="G288">
        <v>-13.6</v>
      </c>
      <c r="L288" t="s">
        <v>8</v>
      </c>
      <c r="M288" t="s">
        <v>8</v>
      </c>
      <c r="N288" t="s">
        <v>7</v>
      </c>
      <c r="P288">
        <f t="shared" si="965"/>
        <v>-0.97578788078163103</v>
      </c>
      <c r="Q288">
        <f t="shared" si="966"/>
        <v>-22568734.431870531</v>
      </c>
      <c r="R288">
        <f t="shared" si="967"/>
        <v>-648352102.53582203</v>
      </c>
      <c r="S288">
        <f t="shared" si="968"/>
        <v>-6483.52102535822</v>
      </c>
      <c r="T288">
        <f t="shared" si="969"/>
        <v>-6.4835210253582201</v>
      </c>
    </row>
    <row r="289" spans="1:20" x14ac:dyDescent="0.25">
      <c r="A289" s="5">
        <v>44304</v>
      </c>
      <c r="B289">
        <v>1.6724300000000001</v>
      </c>
      <c r="C289">
        <v>1.7511000000000001</v>
      </c>
      <c r="D289">
        <v>1.1003000000000001</v>
      </c>
      <c r="E289">
        <v>1.4735400000000001</v>
      </c>
      <c r="F289">
        <v>46188584.5</v>
      </c>
      <c r="G289">
        <v>-11.89</v>
      </c>
      <c r="L289" t="s">
        <v>7</v>
      </c>
      <c r="M289" t="s">
        <v>7</v>
      </c>
      <c r="N289" t="s">
        <v>7</v>
      </c>
      <c r="P289">
        <f t="shared" si="965"/>
        <v>0.14701905347264901</v>
      </c>
      <c r="Q289">
        <f t="shared" si="966"/>
        <v>6790601.9744314672</v>
      </c>
      <c r="R289">
        <f t="shared" si="967"/>
        <v>-625783368.10395145</v>
      </c>
      <c r="S289">
        <f t="shared" si="968"/>
        <v>-6257.8336810395149</v>
      </c>
      <c r="T289">
        <f t="shared" si="969"/>
        <v>-6.2578336810395152</v>
      </c>
    </row>
    <row r="290" spans="1:20" x14ac:dyDescent="0.25">
      <c r="A290" s="5">
        <v>44303</v>
      </c>
      <c r="B290">
        <v>1.6260600000000001</v>
      </c>
      <c r="C290">
        <v>1.76251</v>
      </c>
      <c r="D290">
        <v>1.6252500000000001</v>
      </c>
      <c r="E290">
        <v>1.67343</v>
      </c>
      <c r="F290">
        <v>34120485.700000003</v>
      </c>
      <c r="G290">
        <v>2.91</v>
      </c>
      <c r="L290" t="s">
        <v>8</v>
      </c>
      <c r="M290" t="s">
        <v>8</v>
      </c>
      <c r="N290" t="s">
        <v>7</v>
      </c>
      <c r="P290">
        <f t="shared" si="965"/>
        <v>-0.29797464665598267</v>
      </c>
      <c r="Q290">
        <f t="shared" si="966"/>
        <v>-10167039.67018801</v>
      </c>
      <c r="R290">
        <f t="shared" si="967"/>
        <v>-632573970.07838297</v>
      </c>
      <c r="S290">
        <f t="shared" si="968"/>
        <v>-6325.7397007838299</v>
      </c>
      <c r="T290">
        <f t="shared" si="969"/>
        <v>-6.3257397007838296</v>
      </c>
    </row>
    <row r="291" spans="1:20" x14ac:dyDescent="0.25">
      <c r="A291" s="5">
        <v>44302</v>
      </c>
      <c r="B291">
        <v>1.66187</v>
      </c>
      <c r="C291">
        <v>1.6701600000000001</v>
      </c>
      <c r="D291">
        <v>1.50064</v>
      </c>
      <c r="E291">
        <v>1.62605</v>
      </c>
      <c r="F291">
        <v>25222352.399999999</v>
      </c>
      <c r="G291">
        <v>-2.16</v>
      </c>
      <c r="L291" t="s">
        <v>7</v>
      </c>
      <c r="M291" t="s">
        <v>8</v>
      </c>
      <c r="N291" t="s">
        <v>7</v>
      </c>
      <c r="P291">
        <f t="shared" si="965"/>
        <v>0.47958942897593132</v>
      </c>
      <c r="Q291">
        <f t="shared" si="966"/>
        <v>12096373.58494571</v>
      </c>
      <c r="R291">
        <f t="shared" si="967"/>
        <v>-622406930.40819502</v>
      </c>
      <c r="S291">
        <f t="shared" si="968"/>
        <v>-6224.0693040819506</v>
      </c>
      <c r="T291">
        <f t="shared" si="969"/>
        <v>-6.2240693040819508</v>
      </c>
    </row>
    <row r="292" spans="1:20" x14ac:dyDescent="0.25">
      <c r="A292" s="5">
        <v>44301</v>
      </c>
      <c r="B292">
        <v>1.61229</v>
      </c>
      <c r="C292">
        <v>1.75084</v>
      </c>
      <c r="D292">
        <v>1.6</v>
      </c>
      <c r="E292">
        <v>1.6601999999999999</v>
      </c>
      <c r="F292">
        <v>34196754.399999999</v>
      </c>
      <c r="G292">
        <v>2.97</v>
      </c>
      <c r="L292" t="s">
        <v>8</v>
      </c>
      <c r="M292" t="s">
        <v>8</v>
      </c>
      <c r="N292" t="s">
        <v>7</v>
      </c>
      <c r="P292">
        <f t="shared" si="965"/>
        <v>-0.20180323521612484</v>
      </c>
      <c r="Q292">
        <f t="shared" si="966"/>
        <v>-6901015.6718112519</v>
      </c>
      <c r="R292">
        <f t="shared" si="967"/>
        <v>-634503303.9931407</v>
      </c>
      <c r="S292">
        <f t="shared" si="968"/>
        <v>-6345.0330399314071</v>
      </c>
      <c r="T292">
        <f t="shared" si="969"/>
        <v>-6.3450330399314074</v>
      </c>
    </row>
    <row r="293" spans="1:20" x14ac:dyDescent="0.25">
      <c r="A293" s="5">
        <v>44300</v>
      </c>
      <c r="B293">
        <v>1.53064</v>
      </c>
      <c r="C293">
        <v>1.6238699999999999</v>
      </c>
      <c r="D293">
        <v>1.3747799999999999</v>
      </c>
      <c r="E293">
        <v>1.61111</v>
      </c>
      <c r="F293">
        <v>30635301.5</v>
      </c>
      <c r="G293">
        <v>5.26</v>
      </c>
      <c r="L293" t="s">
        <v>7</v>
      </c>
      <c r="M293" t="s">
        <v>7</v>
      </c>
      <c r="N293" t="s">
        <v>7</v>
      </c>
      <c r="P293">
        <f t="shared" si="965"/>
        <v>0.89754707133967737</v>
      </c>
      <c r="Q293">
        <f t="shared" si="966"/>
        <v>27496625.140933026</v>
      </c>
      <c r="R293">
        <f t="shared" si="967"/>
        <v>-627602288.32132947</v>
      </c>
      <c r="S293">
        <f t="shared" si="968"/>
        <v>-6276.0228832132943</v>
      </c>
      <c r="T293">
        <f t="shared" si="969"/>
        <v>-6.2760228832132947</v>
      </c>
    </row>
    <row r="294" spans="1:20" x14ac:dyDescent="0.25">
      <c r="A294" s="5">
        <v>44299</v>
      </c>
      <c r="B294">
        <v>1.63428</v>
      </c>
      <c r="C294">
        <v>1.6596500000000001</v>
      </c>
      <c r="D294">
        <v>1.51501</v>
      </c>
      <c r="E294">
        <v>1.5308299999999999</v>
      </c>
      <c r="F294">
        <v>22676151.5</v>
      </c>
      <c r="G294">
        <v>-6.33</v>
      </c>
      <c r="L294" t="s">
        <v>7</v>
      </c>
      <c r="M294" t="s">
        <v>7</v>
      </c>
      <c r="N294" t="s">
        <v>7</v>
      </c>
      <c r="P294">
        <f t="shared" si="965"/>
        <v>-0.78125000000000089</v>
      </c>
      <c r="Q294">
        <f t="shared" si="966"/>
        <v>-17715743.359375019</v>
      </c>
      <c r="R294">
        <f t="shared" si="967"/>
        <v>-655098913.46226251</v>
      </c>
      <c r="S294">
        <f t="shared" si="968"/>
        <v>-6550.989134622625</v>
      </c>
      <c r="T294">
        <f t="shared" si="969"/>
        <v>-6.5509891346226246</v>
      </c>
    </row>
    <row r="295" spans="1:20" x14ac:dyDescent="0.25">
      <c r="A295" s="5">
        <v>44298</v>
      </c>
      <c r="B295">
        <v>1.5707800000000001</v>
      </c>
      <c r="C295">
        <v>1.65842</v>
      </c>
      <c r="D295">
        <v>1.5073799999999999</v>
      </c>
      <c r="E295">
        <v>1.6328</v>
      </c>
      <c r="F295">
        <v>27168785.800000001</v>
      </c>
      <c r="G295">
        <v>3.95</v>
      </c>
      <c r="L295" t="s">
        <v>8</v>
      </c>
      <c r="M295" t="s">
        <v>7</v>
      </c>
      <c r="N295" t="s">
        <v>7</v>
      </c>
      <c r="P295">
        <f t="shared" si="965"/>
        <v>0.66075211864406824</v>
      </c>
      <c r="Q295">
        <f t="shared" si="966"/>
        <v>17951832.778336879</v>
      </c>
      <c r="R295">
        <f t="shared" si="967"/>
        <v>-637383170.10288751</v>
      </c>
      <c r="S295">
        <f t="shared" si="968"/>
        <v>-6373.8317010288747</v>
      </c>
      <c r="T295">
        <f t="shared" si="969"/>
        <v>-6.373831701028875</v>
      </c>
    </row>
    <row r="296" spans="1:20" x14ac:dyDescent="0.25">
      <c r="A296" s="5">
        <v>44297</v>
      </c>
      <c r="B296">
        <v>1.58501</v>
      </c>
      <c r="C296">
        <v>1.62704</v>
      </c>
      <c r="D296">
        <v>1.5129999999999999</v>
      </c>
      <c r="E296">
        <v>1.5707800000000001</v>
      </c>
      <c r="F296">
        <v>20657893.199999999</v>
      </c>
      <c r="G296">
        <v>-0.9</v>
      </c>
      <c r="L296" t="s">
        <v>7</v>
      </c>
      <c r="M296" t="s">
        <v>7</v>
      </c>
      <c r="N296" t="s">
        <v>7</v>
      </c>
      <c r="P296">
        <f t="shared" si="965"/>
        <v>1.3328656611716819E-2</v>
      </c>
      <c r="Q296">
        <f t="shared" si="966"/>
        <v>275341.96478431992</v>
      </c>
      <c r="R296">
        <f t="shared" si="967"/>
        <v>-655335002.88122439</v>
      </c>
      <c r="S296">
        <f t="shared" si="968"/>
        <v>-6553.3500288122441</v>
      </c>
      <c r="T296">
        <f t="shared" si="969"/>
        <v>-6.5533500288122442</v>
      </c>
    </row>
    <row r="297" spans="1:20" x14ac:dyDescent="0.25">
      <c r="A297" s="5">
        <v>44296</v>
      </c>
      <c r="B297">
        <v>1.6852499999999999</v>
      </c>
      <c r="C297">
        <v>1.7341200000000001</v>
      </c>
      <c r="D297">
        <v>1.5275099999999999</v>
      </c>
      <c r="E297">
        <v>1.585</v>
      </c>
      <c r="F297">
        <v>30399341.5</v>
      </c>
      <c r="G297">
        <v>-5.95</v>
      </c>
      <c r="L297" t="s">
        <v>7</v>
      </c>
      <c r="M297" t="s">
        <v>7</v>
      </c>
      <c r="N297" t="s">
        <v>7</v>
      </c>
      <c r="P297">
        <f t="shared" si="965"/>
        <v>-0.44349257054353625</v>
      </c>
      <c r="Q297">
        <f t="shared" si="966"/>
        <v>-13481882.104665799</v>
      </c>
      <c r="R297">
        <f t="shared" si="967"/>
        <v>-655610344.84600866</v>
      </c>
      <c r="S297">
        <f t="shared" si="968"/>
        <v>-6556.1034484600868</v>
      </c>
      <c r="T297">
        <f t="shared" si="969"/>
        <v>-6.5561034484600871</v>
      </c>
    </row>
    <row r="298" spans="1:20" x14ac:dyDescent="0.25">
      <c r="A298" s="5">
        <v>44295</v>
      </c>
      <c r="B298">
        <v>1.7501</v>
      </c>
      <c r="C298">
        <v>1.7869999999999999</v>
      </c>
      <c r="D298">
        <v>1.6800299999999999</v>
      </c>
      <c r="E298">
        <v>1.68727</v>
      </c>
      <c r="F298">
        <v>20049812.300000001</v>
      </c>
      <c r="G298">
        <v>-3.59</v>
      </c>
      <c r="L298" t="s">
        <v>7</v>
      </c>
      <c r="M298" t="s">
        <v>7</v>
      </c>
      <c r="N298" t="s">
        <v>8</v>
      </c>
      <c r="P298">
        <f t="shared" si="965"/>
        <v>-0.86463494437692556</v>
      </c>
      <c r="Q298">
        <f t="shared" si="966"/>
        <v>-17335768.342778299</v>
      </c>
      <c r="R298">
        <f t="shared" si="967"/>
        <v>-642128462.7413429</v>
      </c>
      <c r="S298">
        <f t="shared" si="968"/>
        <v>-6421.284627413429</v>
      </c>
      <c r="T298">
        <f t="shared" si="969"/>
        <v>-6.4212846274134288</v>
      </c>
    </row>
    <row r="299" spans="1:20" x14ac:dyDescent="0.25">
      <c r="A299" s="5">
        <v>44294</v>
      </c>
      <c r="B299">
        <v>1.7345200000000001</v>
      </c>
      <c r="C299">
        <v>1.82521</v>
      </c>
      <c r="D299">
        <v>1.6950000000000001</v>
      </c>
      <c r="E299">
        <v>1.7501</v>
      </c>
      <c r="F299">
        <v>20423926.300000001</v>
      </c>
      <c r="G299">
        <v>0.9</v>
      </c>
      <c r="L299" t="s">
        <v>8</v>
      </c>
      <c r="M299" t="s">
        <v>7</v>
      </c>
      <c r="N299" t="s">
        <v>8</v>
      </c>
      <c r="P299">
        <f t="shared" si="965"/>
        <v>-0.1536748329621388</v>
      </c>
      <c r="Q299">
        <f t="shared" si="966"/>
        <v>-3138643.4625835335</v>
      </c>
      <c r="R299">
        <f t="shared" si="967"/>
        <v>-624792694.39856458</v>
      </c>
      <c r="S299">
        <f t="shared" si="968"/>
        <v>-6247.9269439856462</v>
      </c>
      <c r="T299">
        <f t="shared" si="969"/>
        <v>-6.2479269439856457</v>
      </c>
    </row>
    <row r="300" spans="1:20" x14ac:dyDescent="0.25">
      <c r="A300" s="5">
        <v>44293</v>
      </c>
      <c r="B300">
        <v>1.9622999999999999</v>
      </c>
      <c r="C300">
        <v>1.98407</v>
      </c>
      <c r="D300">
        <v>1.67422</v>
      </c>
      <c r="E300">
        <v>1.73454</v>
      </c>
      <c r="F300">
        <v>19814243.5</v>
      </c>
      <c r="G300">
        <v>-11.61</v>
      </c>
      <c r="L300" t="s">
        <v>7</v>
      </c>
      <c r="M300" t="s">
        <v>7</v>
      </c>
      <c r="N300" t="s">
        <v>8</v>
      </c>
      <c r="P300">
        <f t="shared" si="965"/>
        <v>-0.61065031466838837</v>
      </c>
      <c r="Q300">
        <f t="shared" si="966"/>
        <v>-12099574.028191069</v>
      </c>
      <c r="R300">
        <f t="shared" si="967"/>
        <v>-621654050.93598104</v>
      </c>
      <c r="S300">
        <f t="shared" si="968"/>
        <v>-6216.5405093598101</v>
      </c>
      <c r="T300">
        <f t="shared" si="969"/>
        <v>-6.2165405093598105</v>
      </c>
    </row>
    <row r="301" spans="1:20" x14ac:dyDescent="0.25">
      <c r="A301" s="5">
        <v>44292</v>
      </c>
      <c r="B301">
        <v>1.9085700000000001</v>
      </c>
      <c r="C301">
        <v>2.1419999999999999</v>
      </c>
      <c r="D301">
        <v>1.90638</v>
      </c>
      <c r="E301">
        <v>1.96</v>
      </c>
      <c r="F301">
        <v>24660954.699999999</v>
      </c>
      <c r="G301">
        <v>2.69</v>
      </c>
      <c r="L301" t="s">
        <v>8</v>
      </c>
      <c r="M301" t="s">
        <v>8</v>
      </c>
      <c r="N301" t="s">
        <v>8</v>
      </c>
      <c r="P301">
        <f t="shared" si="965"/>
        <v>-0.54486036838978003</v>
      </c>
      <c r="Q301">
        <f t="shared" si="966"/>
        <v>-13436776.862685677</v>
      </c>
      <c r="R301">
        <f t="shared" si="967"/>
        <v>-609554476.90778995</v>
      </c>
      <c r="S301">
        <f t="shared" si="968"/>
        <v>-6095.5447690778992</v>
      </c>
      <c r="T301">
        <f t="shared" si="969"/>
        <v>-6.0955447690778994</v>
      </c>
    </row>
    <row r="302" spans="1:20" x14ac:dyDescent="0.25">
      <c r="A302" s="5">
        <v>44291</v>
      </c>
      <c r="B302">
        <v>1.91347</v>
      </c>
      <c r="C302">
        <v>2.0995499999999998</v>
      </c>
      <c r="D302">
        <v>1.81288</v>
      </c>
      <c r="E302">
        <v>1.90848</v>
      </c>
      <c r="F302">
        <v>20492309.899999999</v>
      </c>
      <c r="G302">
        <v>-0.26</v>
      </c>
      <c r="L302" t="s">
        <v>8</v>
      </c>
      <c r="M302" t="s">
        <v>8</v>
      </c>
      <c r="N302" t="s">
        <v>8</v>
      </c>
      <c r="P302">
        <f t="shared" si="965"/>
        <v>-0.33303101126731094</v>
      </c>
      <c r="Q302">
        <f t="shared" si="966"/>
        <v>-6824574.6892001266</v>
      </c>
      <c r="R302">
        <f t="shared" si="967"/>
        <v>-596117700.04510427</v>
      </c>
      <c r="S302">
        <f t="shared" si="968"/>
        <v>-5961.1770004510427</v>
      </c>
      <c r="T302">
        <f t="shared" si="969"/>
        <v>-5.9611770004510429</v>
      </c>
    </row>
    <row r="303" spans="1:20" x14ac:dyDescent="0.25">
      <c r="A303" s="5">
        <v>44290</v>
      </c>
      <c r="B303">
        <v>1.8075699999999999</v>
      </c>
      <c r="C303">
        <v>1.9426600000000001</v>
      </c>
      <c r="D303">
        <v>1.774</v>
      </c>
      <c r="E303">
        <v>1.9129</v>
      </c>
      <c r="F303">
        <v>13717890.199999999</v>
      </c>
      <c r="G303">
        <v>5.83</v>
      </c>
      <c r="L303" t="s">
        <v>7</v>
      </c>
      <c r="M303" t="s">
        <v>8</v>
      </c>
      <c r="N303" t="s">
        <v>8</v>
      </c>
      <c r="P303">
        <f t="shared" si="965"/>
        <v>0.64710067591604403</v>
      </c>
      <c r="Q303">
        <f t="shared" si="966"/>
        <v>8876856.0205620751</v>
      </c>
      <c r="R303">
        <f t="shared" si="967"/>
        <v>-589293125.3559041</v>
      </c>
      <c r="S303">
        <f t="shared" si="968"/>
        <v>-5892.9312535590407</v>
      </c>
      <c r="T303">
        <f t="shared" si="969"/>
        <v>-5.8929312535590403</v>
      </c>
    </row>
    <row r="304" spans="1:20" x14ac:dyDescent="0.25">
      <c r="A304" s="5">
        <v>44289</v>
      </c>
      <c r="B304">
        <v>1.8567400000000001</v>
      </c>
      <c r="C304">
        <v>2.03714</v>
      </c>
      <c r="D304">
        <v>1.7529999999999999</v>
      </c>
      <c r="E304">
        <v>1.8093999999999999</v>
      </c>
      <c r="F304">
        <v>22708245.899999999</v>
      </c>
      <c r="G304">
        <v>-2.5499999999999998</v>
      </c>
      <c r="L304" t="s">
        <v>8</v>
      </c>
      <c r="M304" t="s">
        <v>8</v>
      </c>
      <c r="N304" t="s">
        <v>8</v>
      </c>
      <c r="P304">
        <f t="shared" si="965"/>
        <v>-0.60301259942281982</v>
      </c>
      <c r="Q304">
        <f t="shared" si="966"/>
        <v>-13693358.38849159</v>
      </c>
      <c r="R304">
        <f t="shared" si="967"/>
        <v>-598169981.37646616</v>
      </c>
      <c r="S304">
        <f t="shared" si="968"/>
        <v>-5981.6998137646615</v>
      </c>
      <c r="T304">
        <f t="shared" si="969"/>
        <v>-5.9816998137646618</v>
      </c>
    </row>
    <row r="305" spans="1:20" x14ac:dyDescent="0.25">
      <c r="A305" s="5">
        <v>44288</v>
      </c>
      <c r="B305">
        <v>1.79986</v>
      </c>
      <c r="C305">
        <v>1.86205</v>
      </c>
      <c r="D305">
        <v>1.7529999999999999</v>
      </c>
      <c r="E305">
        <v>1.8567400000000001</v>
      </c>
      <c r="F305">
        <v>12791085.5</v>
      </c>
      <c r="G305">
        <v>3.16</v>
      </c>
      <c r="L305" t="s">
        <v>8</v>
      </c>
      <c r="M305" t="s">
        <v>8</v>
      </c>
      <c r="N305" t="s">
        <v>8</v>
      </c>
      <c r="P305">
        <f t="shared" si="965"/>
        <v>0.90261348005502207</v>
      </c>
      <c r="Q305">
        <f t="shared" si="966"/>
        <v>11545406.196836332</v>
      </c>
      <c r="R305">
        <f t="shared" si="967"/>
        <v>-584476622.98797452</v>
      </c>
      <c r="S305">
        <f t="shared" si="968"/>
        <v>-5844.766229879745</v>
      </c>
      <c r="T305">
        <f t="shared" si="969"/>
        <v>-5.8447662298797454</v>
      </c>
    </row>
    <row r="306" spans="1:20" x14ac:dyDescent="0.25">
      <c r="A306" s="5">
        <v>44287</v>
      </c>
      <c r="B306">
        <v>1.7424200000000001</v>
      </c>
      <c r="C306">
        <v>1.86832</v>
      </c>
      <c r="D306">
        <v>1.7050000000000001</v>
      </c>
      <c r="E306">
        <v>1.79772</v>
      </c>
      <c r="F306">
        <v>15875404.6</v>
      </c>
      <c r="G306">
        <v>3.17</v>
      </c>
      <c r="L306" t="s">
        <v>8</v>
      </c>
      <c r="M306" t="s">
        <v>8</v>
      </c>
      <c r="N306" t="s">
        <v>8</v>
      </c>
      <c r="P306">
        <f t="shared" si="965"/>
        <v>0.1354396277247118</v>
      </c>
      <c r="Q306">
        <f t="shared" si="966"/>
        <v>2150158.8890031772</v>
      </c>
      <c r="R306">
        <f t="shared" si="967"/>
        <v>-596022029.18481088</v>
      </c>
      <c r="S306">
        <f t="shared" si="968"/>
        <v>-5960.2202918481089</v>
      </c>
      <c r="T306">
        <f t="shared" si="969"/>
        <v>-5.9602202918481089</v>
      </c>
    </row>
    <row r="307" spans="1:20" x14ac:dyDescent="0.25">
      <c r="A307" s="5">
        <v>44286</v>
      </c>
      <c r="B307">
        <v>1.8343499999999999</v>
      </c>
      <c r="C307">
        <v>1.86982</v>
      </c>
      <c r="D307">
        <v>1.7</v>
      </c>
      <c r="E307">
        <v>1.74207</v>
      </c>
      <c r="F307">
        <v>16134403.199999999</v>
      </c>
      <c r="G307">
        <v>-5.03</v>
      </c>
      <c r="L307" t="s">
        <v>7</v>
      </c>
      <c r="M307" t="s">
        <v>8</v>
      </c>
      <c r="N307" t="s">
        <v>8</v>
      </c>
      <c r="P307">
        <f t="shared" si="965"/>
        <v>-0.50453421269579513</v>
      </c>
      <c r="Q307">
        <f t="shared" si="966"/>
        <v>-8140358.4158285167</v>
      </c>
      <c r="R307">
        <f t="shared" si="967"/>
        <v>-598172188.07381403</v>
      </c>
      <c r="S307">
        <f t="shared" si="968"/>
        <v>-5981.7218807381405</v>
      </c>
      <c r="T307">
        <f t="shared" si="969"/>
        <v>-5.9817218807381405</v>
      </c>
    </row>
    <row r="308" spans="1:20" x14ac:dyDescent="0.25">
      <c r="A308" s="5">
        <v>44285</v>
      </c>
      <c r="B308">
        <v>1.83917</v>
      </c>
      <c r="C308">
        <v>1.92685</v>
      </c>
      <c r="D308">
        <v>1.8114600000000001</v>
      </c>
      <c r="E308">
        <v>1.8357600000000001</v>
      </c>
      <c r="F308">
        <v>15237735.9</v>
      </c>
      <c r="G308">
        <v>-0.19</v>
      </c>
      <c r="L308" t="s">
        <v>8</v>
      </c>
      <c r="M308" t="s">
        <v>8</v>
      </c>
      <c r="N308" t="s">
        <v>8</v>
      </c>
      <c r="P308">
        <f t="shared" si="965"/>
        <v>-0.57881965508276256</v>
      </c>
      <c r="Q308">
        <f t="shared" si="966"/>
        <v>-8819901.0378802288</v>
      </c>
      <c r="R308">
        <f t="shared" si="967"/>
        <v>-590031829.65798557</v>
      </c>
      <c r="S308">
        <f t="shared" si="968"/>
        <v>-5900.318296579856</v>
      </c>
      <c r="T308">
        <f t="shared" si="969"/>
        <v>-5.9003182965798562</v>
      </c>
    </row>
    <row r="309" spans="1:20" x14ac:dyDescent="0.25">
      <c r="A309" s="5">
        <v>44284</v>
      </c>
      <c r="B309">
        <v>1.79897</v>
      </c>
      <c r="C309">
        <v>1.8785700000000001</v>
      </c>
      <c r="D309">
        <v>1.76095</v>
      </c>
      <c r="E309">
        <v>1.83917</v>
      </c>
      <c r="F309">
        <v>11469700.1</v>
      </c>
      <c r="G309">
        <v>2.23</v>
      </c>
      <c r="L309" t="s">
        <v>8</v>
      </c>
      <c r="M309" t="s">
        <v>8</v>
      </c>
      <c r="N309" t="s">
        <v>8</v>
      </c>
      <c r="P309">
        <f t="shared" si="965"/>
        <v>0.33004591055942728</v>
      </c>
      <c r="Q309">
        <f t="shared" si="966"/>
        <v>3785527.6133480542</v>
      </c>
      <c r="R309">
        <f t="shared" si="967"/>
        <v>-581211928.62010539</v>
      </c>
      <c r="S309">
        <f t="shared" si="968"/>
        <v>-5812.1192862010539</v>
      </c>
      <c r="T309">
        <f t="shared" si="969"/>
        <v>-5.812119286201054</v>
      </c>
    </row>
    <row r="310" spans="1:20" x14ac:dyDescent="0.25">
      <c r="A310" s="5">
        <v>44283</v>
      </c>
      <c r="B310">
        <v>1.8546499999999999</v>
      </c>
      <c r="C310">
        <v>1.976</v>
      </c>
      <c r="D310">
        <v>1.7384900000000001</v>
      </c>
      <c r="E310">
        <v>1.8003</v>
      </c>
      <c r="F310">
        <v>12697068.699999999</v>
      </c>
      <c r="G310">
        <v>-2.93</v>
      </c>
      <c r="L310" t="s">
        <v>7</v>
      </c>
      <c r="M310" t="s">
        <v>8</v>
      </c>
      <c r="N310" t="s">
        <v>8</v>
      </c>
      <c r="P310">
        <f t="shared" si="965"/>
        <v>-0.47951665193044546</v>
      </c>
      <c r="Q310">
        <f t="shared" si="966"/>
        <v>-6088455.872354853</v>
      </c>
      <c r="R310">
        <f t="shared" si="967"/>
        <v>-584997456.23345339</v>
      </c>
      <c r="S310">
        <f t="shared" si="968"/>
        <v>-5849.9745623345343</v>
      </c>
      <c r="T310">
        <f t="shared" si="969"/>
        <v>-5.8499745623345341</v>
      </c>
    </row>
    <row r="311" spans="1:20" x14ac:dyDescent="0.25">
      <c r="A311" s="5">
        <v>44282</v>
      </c>
      <c r="B311">
        <v>1.93299</v>
      </c>
      <c r="C311">
        <v>1.954</v>
      </c>
      <c r="D311">
        <v>1.78833</v>
      </c>
      <c r="E311">
        <v>1.8546499999999999</v>
      </c>
      <c r="F311">
        <v>11841020.699999999</v>
      </c>
      <c r="G311">
        <v>-4.05</v>
      </c>
      <c r="L311" t="s">
        <v>7</v>
      </c>
      <c r="M311" t="s">
        <v>8</v>
      </c>
      <c r="N311" t="s">
        <v>8</v>
      </c>
      <c r="P311">
        <f t="shared" si="965"/>
        <v>-0.19937224603126769</v>
      </c>
      <c r="Q311">
        <f t="shared" si="966"/>
        <v>-2360770.8922617333</v>
      </c>
      <c r="R311">
        <f t="shared" si="967"/>
        <v>-578909000.36109853</v>
      </c>
      <c r="S311">
        <f t="shared" si="968"/>
        <v>-5789.0900036109851</v>
      </c>
      <c r="T311">
        <f t="shared" si="969"/>
        <v>-5.7890900036109851</v>
      </c>
    </row>
    <row r="312" spans="1:20" x14ac:dyDescent="0.25">
      <c r="A312" s="5">
        <v>44281</v>
      </c>
      <c r="B312">
        <v>1.6361000000000001</v>
      </c>
      <c r="C312">
        <v>1.9738500000000001</v>
      </c>
      <c r="D312">
        <v>1.63161</v>
      </c>
      <c r="E312">
        <v>1.9343399999999999</v>
      </c>
      <c r="F312">
        <v>23029397.899999999</v>
      </c>
      <c r="G312">
        <v>18.23</v>
      </c>
      <c r="L312" t="s">
        <v>8</v>
      </c>
      <c r="M312" t="s">
        <v>8</v>
      </c>
      <c r="N312" t="s">
        <v>8</v>
      </c>
      <c r="P312">
        <f t="shared" si="965"/>
        <v>0.76910939691444513</v>
      </c>
      <c r="Q312">
        <f t="shared" si="966"/>
        <v>17712126.330171786</v>
      </c>
      <c r="R312">
        <f t="shared" si="967"/>
        <v>-576548229.46883678</v>
      </c>
      <c r="S312">
        <f t="shared" si="968"/>
        <v>-5765.4822946883678</v>
      </c>
      <c r="T312">
        <f t="shared" si="969"/>
        <v>-5.7654822946883675</v>
      </c>
    </row>
    <row r="313" spans="1:20" x14ac:dyDescent="0.25">
      <c r="A313" s="5">
        <v>44280</v>
      </c>
      <c r="B313">
        <v>1.79149</v>
      </c>
      <c r="C313">
        <v>1.86029</v>
      </c>
      <c r="D313">
        <v>1.6173599999999999</v>
      </c>
      <c r="E313">
        <v>1.6361000000000001</v>
      </c>
      <c r="F313">
        <v>26519724.899999999</v>
      </c>
      <c r="G313">
        <v>-8.67</v>
      </c>
      <c r="L313" t="s">
        <v>7</v>
      </c>
      <c r="M313" t="s">
        <v>7</v>
      </c>
      <c r="N313" t="s">
        <v>8</v>
      </c>
      <c r="P313">
        <f t="shared" si="965"/>
        <v>-0.84571687317334054</v>
      </c>
      <c r="Q313">
        <f t="shared" si="966"/>
        <v>-22428178.819845181</v>
      </c>
      <c r="R313">
        <f t="shared" si="967"/>
        <v>-594260355.79900861</v>
      </c>
      <c r="S313">
        <f t="shared" si="968"/>
        <v>-5942.6035579900863</v>
      </c>
      <c r="T313">
        <f t="shared" si="969"/>
        <v>-5.9426035579900862</v>
      </c>
    </row>
    <row r="314" spans="1:20" x14ac:dyDescent="0.25">
      <c r="A314" s="5">
        <v>44279</v>
      </c>
      <c r="B314">
        <v>2.1349200000000002</v>
      </c>
      <c r="C314">
        <v>2.2999999999999998</v>
      </c>
      <c r="D314">
        <v>1.698</v>
      </c>
      <c r="E314">
        <v>1.79494</v>
      </c>
      <c r="F314">
        <v>49274364.899999999</v>
      </c>
      <c r="G314">
        <v>-15.92</v>
      </c>
      <c r="L314" t="s">
        <v>8</v>
      </c>
      <c r="M314" t="s">
        <v>8</v>
      </c>
      <c r="N314" t="s">
        <v>8</v>
      </c>
      <c r="P314">
        <f t="shared" si="965"/>
        <v>-0.67794019933554805</v>
      </c>
      <c r="Q314">
        <f t="shared" si="966"/>
        <v>-33405072.762438532</v>
      </c>
      <c r="R314">
        <f t="shared" si="967"/>
        <v>-571832176.97916341</v>
      </c>
      <c r="S314">
        <f t="shared" si="968"/>
        <v>-5718.3217697916343</v>
      </c>
      <c r="T314">
        <f t="shared" si="969"/>
        <v>-5.7183217697916344</v>
      </c>
    </row>
    <row r="315" spans="1:20" x14ac:dyDescent="0.25">
      <c r="A315" s="5">
        <v>44278</v>
      </c>
      <c r="B315">
        <v>1.6858599999999999</v>
      </c>
      <c r="C315">
        <v>2.1787899999999998</v>
      </c>
      <c r="D315">
        <v>1.6757200000000001</v>
      </c>
      <c r="E315">
        <v>2.1349200000000002</v>
      </c>
      <c r="F315">
        <v>45994049.600000001</v>
      </c>
      <c r="G315">
        <v>26.64</v>
      </c>
      <c r="L315" t="s">
        <v>8</v>
      </c>
      <c r="M315" t="s">
        <v>8</v>
      </c>
      <c r="N315" t="s">
        <v>8</v>
      </c>
      <c r="P315">
        <f t="shared" si="965"/>
        <v>0.82559087204564108</v>
      </c>
      <c r="Q315">
        <f t="shared" si="966"/>
        <v>37972267.518174469</v>
      </c>
      <c r="R315">
        <f t="shared" si="967"/>
        <v>-538427104.21672487</v>
      </c>
      <c r="S315">
        <f t="shared" si="968"/>
        <v>-5384.2710421672491</v>
      </c>
      <c r="T315">
        <f t="shared" si="969"/>
        <v>-5.3842710421672493</v>
      </c>
    </row>
    <row r="316" spans="1:20" x14ac:dyDescent="0.25">
      <c r="A316" s="5">
        <v>44277</v>
      </c>
      <c r="B316">
        <v>1.7458499999999999</v>
      </c>
      <c r="C316">
        <v>1.8901300000000001</v>
      </c>
      <c r="D316">
        <v>1.6605399999999999</v>
      </c>
      <c r="E316">
        <v>1.6850000000000001</v>
      </c>
      <c r="F316">
        <v>20242592.199999999</v>
      </c>
      <c r="G316">
        <v>-3.49</v>
      </c>
      <c r="L316" t="s">
        <v>7</v>
      </c>
      <c r="M316" t="s">
        <v>8</v>
      </c>
      <c r="N316" t="s">
        <v>8</v>
      </c>
      <c r="P316">
        <f t="shared" si="965"/>
        <v>-0.78692451761836202</v>
      </c>
      <c r="Q316">
        <f t="shared" si="966"/>
        <v>-15929392.102330217</v>
      </c>
      <c r="R316">
        <f t="shared" si="967"/>
        <v>-576399371.7348994</v>
      </c>
      <c r="S316">
        <f t="shared" si="968"/>
        <v>-5763.9937173489943</v>
      </c>
      <c r="T316">
        <f t="shared" si="969"/>
        <v>-5.7639937173489946</v>
      </c>
    </row>
    <row r="317" spans="1:20" x14ac:dyDescent="0.25">
      <c r="A317" s="5">
        <v>44276</v>
      </c>
      <c r="B317">
        <v>1.8528</v>
      </c>
      <c r="C317">
        <v>1.8708800000000001</v>
      </c>
      <c r="D317">
        <v>1.72</v>
      </c>
      <c r="E317">
        <v>1.74637</v>
      </c>
      <c r="F317">
        <v>13594999.1</v>
      </c>
      <c r="G317">
        <v>-5.74</v>
      </c>
      <c r="L317" t="s">
        <v>7</v>
      </c>
      <c r="M317" t="s">
        <v>8</v>
      </c>
      <c r="N317" t="s">
        <v>8</v>
      </c>
      <c r="P317">
        <f t="shared" si="965"/>
        <v>-0.65045068928950178</v>
      </c>
      <c r="Q317">
        <f t="shared" si="966"/>
        <v>-8842876.5354851559</v>
      </c>
      <c r="R317">
        <f t="shared" si="967"/>
        <v>-560469979.63256919</v>
      </c>
      <c r="S317">
        <f t="shared" si="968"/>
        <v>-5604.6997963256918</v>
      </c>
      <c r="T317">
        <f t="shared" si="969"/>
        <v>-5.6046997963256917</v>
      </c>
    </row>
    <row r="318" spans="1:20" x14ac:dyDescent="0.25">
      <c r="A318" s="5">
        <v>44275</v>
      </c>
      <c r="B318">
        <v>1.7569600000000001</v>
      </c>
      <c r="C318">
        <v>1.9735</v>
      </c>
      <c r="D318">
        <v>1.7543599999999999</v>
      </c>
      <c r="E318">
        <v>1.8528</v>
      </c>
      <c r="F318">
        <v>20944177.5</v>
      </c>
      <c r="G318">
        <v>5.45</v>
      </c>
      <c r="L318" t="s">
        <v>8</v>
      </c>
      <c r="M318" t="s">
        <v>8</v>
      </c>
      <c r="N318" t="s">
        <v>8</v>
      </c>
      <c r="P318">
        <f t="shared" si="965"/>
        <v>-0.10157889933375895</v>
      </c>
      <c r="Q318">
        <f t="shared" si="966"/>
        <v>-2127486.497900879</v>
      </c>
      <c r="R318">
        <f t="shared" si="967"/>
        <v>-551627103.09708405</v>
      </c>
      <c r="S318">
        <f t="shared" si="968"/>
        <v>-5516.27103097084</v>
      </c>
      <c r="T318">
        <f t="shared" si="969"/>
        <v>-5.5162710309708398</v>
      </c>
    </row>
    <row r="319" spans="1:20" x14ac:dyDescent="0.25">
      <c r="A319" s="5">
        <v>44274</v>
      </c>
      <c r="B319">
        <v>1.73237</v>
      </c>
      <c r="C319">
        <v>1.8044800000000001</v>
      </c>
      <c r="D319">
        <v>1.65</v>
      </c>
      <c r="E319">
        <v>1.7569600000000001</v>
      </c>
      <c r="F319">
        <v>11877505.800000001</v>
      </c>
      <c r="G319">
        <v>1.42</v>
      </c>
      <c r="L319" t="s">
        <v>7</v>
      </c>
      <c r="M319" t="s">
        <v>8</v>
      </c>
      <c r="N319" t="s">
        <v>7</v>
      </c>
      <c r="P319">
        <f t="shared" si="965"/>
        <v>0.38477472812014563</v>
      </c>
      <c r="Q319">
        <f t="shared" si="966"/>
        <v>4570164.0649404535</v>
      </c>
      <c r="R319">
        <f t="shared" si="967"/>
        <v>-549499616.5991832</v>
      </c>
      <c r="S319">
        <f t="shared" si="968"/>
        <v>-5494.9961659918317</v>
      </c>
      <c r="T319">
        <f t="shared" si="969"/>
        <v>-5.4949961659918314</v>
      </c>
    </row>
    <row r="320" spans="1:20" x14ac:dyDescent="0.25">
      <c r="A320" s="5">
        <v>44273</v>
      </c>
      <c r="B320">
        <v>1.8121400000000001</v>
      </c>
      <c r="C320">
        <v>1.87</v>
      </c>
      <c r="D320">
        <v>1.7151099999999999</v>
      </c>
      <c r="E320">
        <v>1.73237</v>
      </c>
      <c r="F320">
        <v>17139943.600000001</v>
      </c>
      <c r="G320">
        <v>-4.4000000000000004</v>
      </c>
      <c r="L320" t="s">
        <v>7</v>
      </c>
      <c r="M320" t="s">
        <v>8</v>
      </c>
      <c r="N320" t="s">
        <v>7</v>
      </c>
      <c r="P320">
        <f t="shared" si="965"/>
        <v>-0.77713215830589411</v>
      </c>
      <c r="Q320">
        <f t="shared" si="966"/>
        <v>-13320001.363109298</v>
      </c>
      <c r="R320">
        <f t="shared" si="967"/>
        <v>-554069780.66412365</v>
      </c>
      <c r="S320">
        <f t="shared" si="968"/>
        <v>-5540.6978066412366</v>
      </c>
      <c r="T320">
        <f t="shared" si="969"/>
        <v>-5.5406978066412362</v>
      </c>
    </row>
    <row r="321" spans="1:20" x14ac:dyDescent="0.25">
      <c r="A321" s="5">
        <v>44272</v>
      </c>
      <c r="B321">
        <v>1.6614</v>
      </c>
      <c r="C321">
        <v>1.905</v>
      </c>
      <c r="D321">
        <v>1.6610100000000001</v>
      </c>
      <c r="E321">
        <v>1.8121499999999999</v>
      </c>
      <c r="F321">
        <v>38613979.299999997</v>
      </c>
      <c r="G321">
        <v>9.07</v>
      </c>
      <c r="L321" t="s">
        <v>8</v>
      </c>
      <c r="M321" t="s">
        <v>8</v>
      </c>
      <c r="N321" t="s">
        <v>7</v>
      </c>
      <c r="P321">
        <f t="shared" si="965"/>
        <v>0.23890323373908665</v>
      </c>
      <c r="Q321">
        <f t="shared" si="966"/>
        <v>9225004.5223041531</v>
      </c>
      <c r="R321">
        <f t="shared" si="967"/>
        <v>-540749779.3010143</v>
      </c>
      <c r="S321">
        <f t="shared" si="968"/>
        <v>-5407.4977930101431</v>
      </c>
      <c r="T321">
        <f t="shared" si="969"/>
        <v>-5.4074977930101431</v>
      </c>
    </row>
    <row r="322" spans="1:20" x14ac:dyDescent="0.25">
      <c r="A322" s="5">
        <v>44271</v>
      </c>
      <c r="B322">
        <v>1.65086</v>
      </c>
      <c r="C322">
        <v>1.69</v>
      </c>
      <c r="D322">
        <v>1.52</v>
      </c>
      <c r="E322">
        <v>1.661</v>
      </c>
      <c r="F322">
        <v>21526954.699999999</v>
      </c>
      <c r="G322">
        <v>0.61</v>
      </c>
      <c r="L322" t="s">
        <v>7</v>
      </c>
      <c r="M322" t="s">
        <v>8</v>
      </c>
      <c r="N322" t="s">
        <v>7</v>
      </c>
      <c r="P322">
        <f t="shared" si="965"/>
        <v>0.65882352941176558</v>
      </c>
      <c r="Q322">
        <f t="shared" si="966"/>
        <v>14182464.272941194</v>
      </c>
      <c r="R322">
        <f t="shared" si="967"/>
        <v>-549974783.82331848</v>
      </c>
      <c r="S322">
        <f t="shared" si="968"/>
        <v>-5499.7478382331847</v>
      </c>
      <c r="T322">
        <f t="shared" si="969"/>
        <v>-5.4997478382331844</v>
      </c>
    </row>
    <row r="323" spans="1:20" x14ac:dyDescent="0.25">
      <c r="A323" s="5">
        <v>44270</v>
      </c>
      <c r="B323">
        <v>1.5053399999999999</v>
      </c>
      <c r="C323">
        <v>1.7486600000000001</v>
      </c>
      <c r="D323">
        <v>1.4658</v>
      </c>
      <c r="E323">
        <v>1.6493100000000001</v>
      </c>
      <c r="F323">
        <v>34455821.899999999</v>
      </c>
      <c r="G323">
        <v>9.56</v>
      </c>
      <c r="L323" t="s">
        <v>8</v>
      </c>
      <c r="M323" t="s">
        <v>8</v>
      </c>
      <c r="N323" t="s">
        <v>7</v>
      </c>
      <c r="P323">
        <f t="shared" si="965"/>
        <v>0.29753234815809931</v>
      </c>
      <c r="Q323">
        <f t="shared" si="966"/>
        <v>10251721.597624263</v>
      </c>
      <c r="R323">
        <f t="shared" si="967"/>
        <v>-564157248.09625971</v>
      </c>
      <c r="S323">
        <f t="shared" si="968"/>
        <v>-5641.5724809625972</v>
      </c>
      <c r="T323">
        <f t="shared" si="969"/>
        <v>-5.6415724809625969</v>
      </c>
    </row>
    <row r="324" spans="1:20" x14ac:dyDescent="0.25">
      <c r="A324" s="5">
        <v>44269</v>
      </c>
      <c r="B324">
        <v>1.5410200000000001</v>
      </c>
      <c r="C324">
        <v>1.585</v>
      </c>
      <c r="D324">
        <v>1.4399</v>
      </c>
      <c r="E324">
        <v>1.50275</v>
      </c>
      <c r="F324">
        <v>15277907.6</v>
      </c>
      <c r="G324">
        <v>-2.48</v>
      </c>
      <c r="L324" t="s">
        <v>8</v>
      </c>
      <c r="M324" t="s">
        <v>7</v>
      </c>
      <c r="N324" t="s">
        <v>7</v>
      </c>
      <c r="P324">
        <f t="shared" si="965"/>
        <v>-0.13370089593383777</v>
      </c>
      <c r="Q324">
        <f t="shared" si="966"/>
        <v>-2042669.9341143891</v>
      </c>
      <c r="R324">
        <f t="shared" si="967"/>
        <v>-574408969.69388402</v>
      </c>
      <c r="S324">
        <f t="shared" si="968"/>
        <v>-5744.0896969388405</v>
      </c>
      <c r="T324">
        <f t="shared" si="969"/>
        <v>-5.7440896969388406</v>
      </c>
    </row>
    <row r="325" spans="1:20" x14ac:dyDescent="0.25">
      <c r="A325" s="5">
        <v>44268</v>
      </c>
      <c r="B325">
        <v>1.4864900000000001</v>
      </c>
      <c r="C325">
        <v>1.6</v>
      </c>
      <c r="D325">
        <v>1.4</v>
      </c>
      <c r="E325">
        <v>1.54101</v>
      </c>
      <c r="F325">
        <v>16775656.4</v>
      </c>
      <c r="G325">
        <v>3.67</v>
      </c>
      <c r="L325" t="s">
        <v>7</v>
      </c>
      <c r="M325" t="s">
        <v>7</v>
      </c>
      <c r="N325" t="s">
        <v>7</v>
      </c>
      <c r="P325">
        <f t="shared" si="965"/>
        <v>0.41009999999999952</v>
      </c>
      <c r="Q325">
        <f t="shared" si="966"/>
        <v>6879696.6896399921</v>
      </c>
      <c r="R325">
        <f t="shared" si="967"/>
        <v>-572366299.75976968</v>
      </c>
      <c r="S325">
        <f t="shared" si="968"/>
        <v>-5723.6629975976966</v>
      </c>
      <c r="T325">
        <f t="shared" si="969"/>
        <v>-5.7236629975976969</v>
      </c>
    </row>
    <row r="326" spans="1:20" x14ac:dyDescent="0.25">
      <c r="A326" s="5">
        <v>44267</v>
      </c>
      <c r="B326">
        <v>1.60222</v>
      </c>
      <c r="C326">
        <v>1.69333</v>
      </c>
      <c r="D326">
        <v>1.43</v>
      </c>
      <c r="E326">
        <v>1.48935</v>
      </c>
      <c r="F326">
        <v>18493265.199999999</v>
      </c>
      <c r="G326">
        <v>-7.04</v>
      </c>
      <c r="L326" t="s">
        <v>7</v>
      </c>
      <c r="M326" t="s">
        <v>7</v>
      </c>
      <c r="N326" t="s">
        <v>7</v>
      </c>
      <c r="P326">
        <f t="shared" ref="P326:P389" si="970">IF(C326=D326,0,((E326-D326)-(C326-E326))/(C326-D326))</f>
        <v>-0.54923480044051187</v>
      </c>
      <c r="Q326">
        <f t="shared" ref="Q326:Q389" si="971">F326*P326</f>
        <v>-10157144.821615463</v>
      </c>
      <c r="R326">
        <f t="shared" ref="R326:R389" si="972">R327+Q326</f>
        <v>-579245996.44940972</v>
      </c>
      <c r="S326">
        <f t="shared" ref="S326:S389" si="973">R326/100000</f>
        <v>-5792.4599644940972</v>
      </c>
      <c r="T326">
        <f t="shared" ref="T326:T389" si="974">S326/1000</f>
        <v>-5.7924599644940971</v>
      </c>
    </row>
    <row r="327" spans="1:20" x14ac:dyDescent="0.25">
      <c r="A327" s="5">
        <v>44266</v>
      </c>
      <c r="B327">
        <v>1.62</v>
      </c>
      <c r="C327">
        <v>1.7103200000000001</v>
      </c>
      <c r="D327">
        <v>1.5429999999999999</v>
      </c>
      <c r="E327">
        <v>1.6</v>
      </c>
      <c r="F327">
        <v>16991093.199999999</v>
      </c>
      <c r="G327">
        <v>-1.23</v>
      </c>
      <c r="L327" t="s">
        <v>7</v>
      </c>
      <c r="M327" t="s">
        <v>7</v>
      </c>
      <c r="N327" t="s">
        <v>8</v>
      </c>
      <c r="P327">
        <f t="shared" si="970"/>
        <v>-0.31867081042313988</v>
      </c>
      <c r="Q327">
        <f t="shared" si="971"/>
        <v>-5414565.4400191009</v>
      </c>
      <c r="R327">
        <f t="shared" si="972"/>
        <v>-569088851.62779427</v>
      </c>
      <c r="S327">
        <f t="shared" si="973"/>
        <v>-5690.8885162779425</v>
      </c>
      <c r="T327">
        <f t="shared" si="974"/>
        <v>-5.6908885162779423</v>
      </c>
    </row>
    <row r="328" spans="1:20" x14ac:dyDescent="0.25">
      <c r="A328" s="5">
        <v>44265</v>
      </c>
      <c r="B328">
        <v>1.84355</v>
      </c>
      <c r="C328">
        <v>1.855</v>
      </c>
      <c r="D328">
        <v>1.58311</v>
      </c>
      <c r="E328">
        <v>1.6234</v>
      </c>
      <c r="F328">
        <v>20283875.699999999</v>
      </c>
      <c r="G328">
        <v>-11.94</v>
      </c>
      <c r="L328" t="s">
        <v>7</v>
      </c>
      <c r="M328" t="s">
        <v>8</v>
      </c>
      <c r="N328" t="s">
        <v>8</v>
      </c>
      <c r="P328">
        <f t="shared" si="970"/>
        <v>-0.70363014454374972</v>
      </c>
      <c r="Q328">
        <f t="shared" si="971"/>
        <v>-14272346.390698452</v>
      </c>
      <c r="R328">
        <f t="shared" si="972"/>
        <v>-563674286.18777514</v>
      </c>
      <c r="S328">
        <f t="shared" si="973"/>
        <v>-5636.7428618777512</v>
      </c>
      <c r="T328">
        <f t="shared" si="974"/>
        <v>-5.6367428618777513</v>
      </c>
    </row>
    <row r="329" spans="1:20" x14ac:dyDescent="0.25">
      <c r="A329" s="5">
        <v>44264</v>
      </c>
      <c r="B329">
        <v>1.6239600000000001</v>
      </c>
      <c r="C329">
        <v>1.85649</v>
      </c>
      <c r="D329">
        <v>1.61148</v>
      </c>
      <c r="E329">
        <v>1.84355</v>
      </c>
      <c r="F329">
        <v>25500214.399999999</v>
      </c>
      <c r="G329">
        <v>13.52</v>
      </c>
      <c r="L329" t="s">
        <v>8</v>
      </c>
      <c r="M329" t="s">
        <v>8</v>
      </c>
      <c r="N329" t="s">
        <v>8</v>
      </c>
      <c r="P329">
        <f t="shared" si="970"/>
        <v>0.89437165829966159</v>
      </c>
      <c r="Q329">
        <f t="shared" si="971"/>
        <v>22806669.039924908</v>
      </c>
      <c r="R329">
        <f t="shared" si="972"/>
        <v>-549401939.7970767</v>
      </c>
      <c r="S329">
        <f t="shared" si="973"/>
        <v>-5494.0193979707674</v>
      </c>
      <c r="T329">
        <f t="shared" si="974"/>
        <v>-5.4940193979707672</v>
      </c>
    </row>
    <row r="330" spans="1:20" x14ac:dyDescent="0.25">
      <c r="A330" s="5">
        <v>44263</v>
      </c>
      <c r="B330">
        <v>1.6855899999999999</v>
      </c>
      <c r="C330">
        <v>1.7244999999999999</v>
      </c>
      <c r="D330">
        <v>1.5200400000000001</v>
      </c>
      <c r="E330">
        <v>1.62222</v>
      </c>
      <c r="F330">
        <v>20047292.899999999</v>
      </c>
      <c r="G330">
        <v>-3.76</v>
      </c>
      <c r="L330" t="s">
        <v>7</v>
      </c>
      <c r="M330" t="s">
        <v>7</v>
      </c>
      <c r="N330" t="s">
        <v>8</v>
      </c>
      <c r="P330">
        <f t="shared" si="970"/>
        <v>-4.8909322116790107E-4</v>
      </c>
      <c r="Q330">
        <f t="shared" si="971"/>
        <v>-9804.9950601573928</v>
      </c>
      <c r="R330">
        <f t="shared" si="972"/>
        <v>-572208608.83700156</v>
      </c>
      <c r="S330">
        <f t="shared" si="973"/>
        <v>-5722.0860883700152</v>
      </c>
      <c r="T330">
        <f t="shared" si="974"/>
        <v>-5.7220860883700153</v>
      </c>
    </row>
    <row r="331" spans="1:20" x14ac:dyDescent="0.25">
      <c r="A331" s="5">
        <v>44262</v>
      </c>
      <c r="B331">
        <v>1.70553</v>
      </c>
      <c r="C331">
        <v>1.73838</v>
      </c>
      <c r="D331">
        <v>1.60179</v>
      </c>
      <c r="E331">
        <v>1.6855</v>
      </c>
      <c r="F331">
        <v>16516153</v>
      </c>
      <c r="G331">
        <v>-1.17</v>
      </c>
      <c r="L331" t="s">
        <v>7</v>
      </c>
      <c r="M331" t="s">
        <v>7</v>
      </c>
      <c r="N331" t="s">
        <v>8</v>
      </c>
      <c r="P331">
        <f t="shared" si="970"/>
        <v>0.22571198477194462</v>
      </c>
      <c r="Q331">
        <f t="shared" si="971"/>
        <v>3727893.6744271074</v>
      </c>
      <c r="R331">
        <f t="shared" si="972"/>
        <v>-572198803.84194136</v>
      </c>
      <c r="S331">
        <f t="shared" si="973"/>
        <v>-5721.9880384194139</v>
      </c>
      <c r="T331">
        <f t="shared" si="974"/>
        <v>-5.7219880384194139</v>
      </c>
    </row>
    <row r="332" spans="1:20" x14ac:dyDescent="0.25">
      <c r="A332" s="5">
        <v>44261</v>
      </c>
      <c r="B332">
        <v>1.8270999999999999</v>
      </c>
      <c r="C332">
        <v>1.92</v>
      </c>
      <c r="D332">
        <v>1.62</v>
      </c>
      <c r="E332">
        <v>1.70547</v>
      </c>
      <c r="F332">
        <v>17952526.100000001</v>
      </c>
      <c r="G332">
        <v>-6.66</v>
      </c>
      <c r="L332" t="s">
        <v>8</v>
      </c>
      <c r="M332" t="s">
        <v>8</v>
      </c>
      <c r="N332" t="s">
        <v>8</v>
      </c>
      <c r="P332">
        <f t="shared" si="970"/>
        <v>-0.43020000000000008</v>
      </c>
      <c r="Q332">
        <f t="shared" si="971"/>
        <v>-7723176.7282200018</v>
      </c>
      <c r="R332">
        <f t="shared" si="972"/>
        <v>-575926697.51636851</v>
      </c>
      <c r="S332">
        <f t="shared" si="973"/>
        <v>-5759.2669751636849</v>
      </c>
      <c r="T332">
        <f t="shared" si="974"/>
        <v>-5.7592669751636851</v>
      </c>
    </row>
    <row r="333" spans="1:20" x14ac:dyDescent="0.25">
      <c r="A333" s="5">
        <v>44260</v>
      </c>
      <c r="B333">
        <v>1.7170700000000001</v>
      </c>
      <c r="C333">
        <v>1.8979999999999999</v>
      </c>
      <c r="D333">
        <v>1.5484500000000001</v>
      </c>
      <c r="E333">
        <v>1.8265</v>
      </c>
      <c r="F333">
        <v>36965332.399999999</v>
      </c>
      <c r="G333">
        <v>6.37</v>
      </c>
      <c r="L333" t="s">
        <v>7</v>
      </c>
      <c r="M333" t="s">
        <v>7</v>
      </c>
      <c r="N333" t="s">
        <v>8</v>
      </c>
      <c r="P333">
        <f t="shared" si="970"/>
        <v>0.5909025890430557</v>
      </c>
      <c r="Q333">
        <f t="shared" si="971"/>
        <v>21842910.619997151</v>
      </c>
      <c r="R333">
        <f t="shared" si="972"/>
        <v>-568203520.78814852</v>
      </c>
      <c r="S333">
        <f t="shared" si="973"/>
        <v>-5682.0352078814849</v>
      </c>
      <c r="T333">
        <f t="shared" si="974"/>
        <v>-5.6820352078814853</v>
      </c>
    </row>
    <row r="334" spans="1:20" x14ac:dyDescent="0.25">
      <c r="A334" s="5">
        <v>44259</v>
      </c>
      <c r="B334">
        <v>1.8328100000000001</v>
      </c>
      <c r="C334">
        <v>2.0910000000000002</v>
      </c>
      <c r="D334">
        <v>1.67726</v>
      </c>
      <c r="E334">
        <v>1.7170700000000001</v>
      </c>
      <c r="F334">
        <v>47449146.200000003</v>
      </c>
      <c r="G334">
        <v>-6.31</v>
      </c>
      <c r="L334" t="s">
        <v>8</v>
      </c>
      <c r="M334" t="s">
        <v>8</v>
      </c>
      <c r="N334" t="s">
        <v>8</v>
      </c>
      <c r="P334">
        <f t="shared" si="970"/>
        <v>-0.80756030357229125</v>
      </c>
      <c r="Q334">
        <f t="shared" si="971"/>
        <v>-38318046.909518033</v>
      </c>
      <c r="R334">
        <f t="shared" si="972"/>
        <v>-590046431.40814567</v>
      </c>
      <c r="S334">
        <f t="shared" si="973"/>
        <v>-5900.4643140814569</v>
      </c>
      <c r="T334">
        <f t="shared" si="974"/>
        <v>-5.9004643140814572</v>
      </c>
    </row>
    <row r="335" spans="1:20" x14ac:dyDescent="0.25">
      <c r="A335" s="5">
        <v>44258</v>
      </c>
      <c r="B335">
        <v>1.5141</v>
      </c>
      <c r="C335">
        <v>1.93</v>
      </c>
      <c r="D335">
        <v>1.48447</v>
      </c>
      <c r="E335">
        <v>1.83474</v>
      </c>
      <c r="F335">
        <v>54233128.700000003</v>
      </c>
      <c r="G335">
        <v>21.18</v>
      </c>
      <c r="L335" t="s">
        <v>8</v>
      </c>
      <c r="M335" t="s">
        <v>8</v>
      </c>
      <c r="N335" t="s">
        <v>8</v>
      </c>
      <c r="P335">
        <f t="shared" si="970"/>
        <v>0.57237447534397279</v>
      </c>
      <c r="Q335">
        <f t="shared" si="971"/>
        <v>31041658.585924655</v>
      </c>
      <c r="R335">
        <f t="shared" si="972"/>
        <v>-551728384.49862766</v>
      </c>
      <c r="S335">
        <f t="shared" si="973"/>
        <v>-5517.2838449862766</v>
      </c>
      <c r="T335">
        <f t="shared" si="974"/>
        <v>-5.5172838449862764</v>
      </c>
    </row>
    <row r="336" spans="1:20" x14ac:dyDescent="0.25">
      <c r="A336" s="5">
        <v>44257</v>
      </c>
      <c r="B336">
        <v>1.57576</v>
      </c>
      <c r="C336">
        <v>1.69157</v>
      </c>
      <c r="D336">
        <v>1.4148700000000001</v>
      </c>
      <c r="E336">
        <v>1.5160499999999999</v>
      </c>
      <c r="F336">
        <v>40175688</v>
      </c>
      <c r="G336">
        <v>-3.79</v>
      </c>
      <c r="L336" t="s">
        <v>8</v>
      </c>
      <c r="M336" t="s">
        <v>8</v>
      </c>
      <c r="N336" t="s">
        <v>8</v>
      </c>
      <c r="P336">
        <f t="shared" si="970"/>
        <v>-0.26866642573184063</v>
      </c>
      <c r="Q336">
        <f t="shared" si="971"/>
        <v>-10793858.496277601</v>
      </c>
      <c r="R336">
        <f t="shared" si="972"/>
        <v>-582770043.08455229</v>
      </c>
      <c r="S336">
        <f t="shared" si="973"/>
        <v>-5827.7004308455225</v>
      </c>
      <c r="T336">
        <f t="shared" si="974"/>
        <v>-5.8277004308455229</v>
      </c>
    </row>
    <row r="337" spans="1:20" x14ac:dyDescent="0.25">
      <c r="A337" s="5">
        <v>44256</v>
      </c>
      <c r="B337">
        <v>1.2446200000000001</v>
      </c>
      <c r="C337">
        <v>1.58999</v>
      </c>
      <c r="D337">
        <v>1.2238100000000001</v>
      </c>
      <c r="E337">
        <v>1.57521</v>
      </c>
      <c r="F337">
        <v>37022866.600000001</v>
      </c>
      <c r="G337">
        <v>26.56</v>
      </c>
      <c r="L337" t="s">
        <v>8</v>
      </c>
      <c r="M337" t="s">
        <v>8</v>
      </c>
      <c r="N337" t="s">
        <v>8</v>
      </c>
      <c r="P337">
        <f t="shared" si="970"/>
        <v>0.91927467365776383</v>
      </c>
      <c r="Q337">
        <f t="shared" si="971"/>
        <v>34034183.611589924</v>
      </c>
      <c r="R337">
        <f t="shared" si="972"/>
        <v>-571976184.58827472</v>
      </c>
      <c r="S337">
        <f t="shared" si="973"/>
        <v>-5719.7618458827474</v>
      </c>
      <c r="T337">
        <f t="shared" si="974"/>
        <v>-5.7197618458827471</v>
      </c>
    </row>
    <row r="338" spans="1:20" x14ac:dyDescent="0.25">
      <c r="A338" s="5">
        <v>44255</v>
      </c>
      <c r="B338">
        <v>1.2182500000000001</v>
      </c>
      <c r="C338">
        <v>1.284</v>
      </c>
      <c r="D338">
        <v>1.0672200000000001</v>
      </c>
      <c r="E338">
        <v>1.2446200000000001</v>
      </c>
      <c r="F338">
        <v>33463167.199999999</v>
      </c>
      <c r="G338">
        <v>2.16</v>
      </c>
      <c r="L338" t="s">
        <v>7</v>
      </c>
      <c r="M338" t="s">
        <v>7</v>
      </c>
      <c r="N338" t="s">
        <v>7</v>
      </c>
      <c r="P338">
        <f t="shared" si="970"/>
        <v>0.6366823507703665</v>
      </c>
      <c r="Q338">
        <f t="shared" si="971"/>
        <v>21305407.957117822</v>
      </c>
      <c r="R338">
        <f t="shared" si="972"/>
        <v>-606010368.19986463</v>
      </c>
      <c r="S338">
        <f t="shared" si="973"/>
        <v>-6060.1036819986466</v>
      </c>
      <c r="T338">
        <f t="shared" si="974"/>
        <v>-6.0601036819986467</v>
      </c>
    </row>
    <row r="339" spans="1:20" x14ac:dyDescent="0.25">
      <c r="A339" s="5">
        <v>44254</v>
      </c>
      <c r="B339">
        <v>1.27847</v>
      </c>
      <c r="C339">
        <v>1.4</v>
      </c>
      <c r="D339">
        <v>1.17439</v>
      </c>
      <c r="E339">
        <v>1.21777</v>
      </c>
      <c r="F339">
        <v>17004911.899999999</v>
      </c>
      <c r="G339">
        <v>-4.75</v>
      </c>
      <c r="L339" t="s">
        <v>8</v>
      </c>
      <c r="M339" t="s">
        <v>7</v>
      </c>
      <c r="N339" t="s">
        <v>7</v>
      </c>
      <c r="P339">
        <f t="shared" si="970"/>
        <v>-0.61544257789991574</v>
      </c>
      <c r="Q339">
        <f t="shared" si="971"/>
        <v>-10465546.816696953</v>
      </c>
      <c r="R339">
        <f t="shared" si="972"/>
        <v>-627315776.15698242</v>
      </c>
      <c r="S339">
        <f t="shared" si="973"/>
        <v>-6273.1577615698243</v>
      </c>
      <c r="T339">
        <f t="shared" si="974"/>
        <v>-6.2731577615698244</v>
      </c>
    </row>
    <row r="340" spans="1:20" x14ac:dyDescent="0.25">
      <c r="A340" s="5">
        <v>44253</v>
      </c>
      <c r="B340">
        <v>1.40317</v>
      </c>
      <c r="C340">
        <v>1.4882500000000001</v>
      </c>
      <c r="D340">
        <v>1.165</v>
      </c>
      <c r="E340">
        <v>1.2800499999999999</v>
      </c>
      <c r="F340">
        <v>55733639.299999997</v>
      </c>
      <c r="G340">
        <v>-8.77</v>
      </c>
      <c r="L340" t="s">
        <v>7</v>
      </c>
      <c r="M340" t="s">
        <v>7</v>
      </c>
      <c r="N340" t="s">
        <v>7</v>
      </c>
      <c r="P340">
        <f t="shared" si="970"/>
        <v>-0.28816705336427001</v>
      </c>
      <c r="Q340">
        <f t="shared" si="971"/>
        <v>-16060598.610348076</v>
      </c>
      <c r="R340">
        <f t="shared" si="972"/>
        <v>-616850229.34028542</v>
      </c>
      <c r="S340">
        <f t="shared" si="973"/>
        <v>-6168.5022934028539</v>
      </c>
      <c r="T340">
        <f t="shared" si="974"/>
        <v>-6.1685022934028542</v>
      </c>
    </row>
    <row r="341" spans="1:20" x14ac:dyDescent="0.25">
      <c r="A341" s="5">
        <v>44252</v>
      </c>
      <c r="B341">
        <v>1.52</v>
      </c>
      <c r="C341">
        <v>1.7849999999999999</v>
      </c>
      <c r="D341">
        <v>1.38097</v>
      </c>
      <c r="E341">
        <v>1.40317</v>
      </c>
      <c r="F341">
        <v>53010528.200000003</v>
      </c>
      <c r="G341">
        <v>-7.69</v>
      </c>
      <c r="L341" t="s">
        <v>8</v>
      </c>
      <c r="M341" t="s">
        <v>8</v>
      </c>
      <c r="N341" t="s">
        <v>8</v>
      </c>
      <c r="P341">
        <f t="shared" si="970"/>
        <v>-0.89010717025963415</v>
      </c>
      <c r="Q341">
        <f t="shared" si="971"/>
        <v>-47185051.250070542</v>
      </c>
      <c r="R341">
        <f t="shared" si="972"/>
        <v>-600789630.72993731</v>
      </c>
      <c r="S341">
        <f t="shared" si="973"/>
        <v>-6007.8963072993729</v>
      </c>
      <c r="T341">
        <f t="shared" si="974"/>
        <v>-6.0078963072993732</v>
      </c>
    </row>
    <row r="342" spans="1:20" x14ac:dyDescent="0.25">
      <c r="A342" s="5">
        <v>44251</v>
      </c>
      <c r="B342">
        <v>1.2337899999999999</v>
      </c>
      <c r="C342">
        <v>1.55</v>
      </c>
      <c r="D342">
        <v>1.15974</v>
      </c>
      <c r="E342">
        <v>1.5172300000000001</v>
      </c>
      <c r="F342">
        <v>34820687.899999999</v>
      </c>
      <c r="G342">
        <v>22.97</v>
      </c>
      <c r="L342" t="s">
        <v>8</v>
      </c>
      <c r="M342" t="s">
        <v>8</v>
      </c>
      <c r="N342" t="s">
        <v>8</v>
      </c>
      <c r="P342">
        <f t="shared" si="970"/>
        <v>0.83206067749705348</v>
      </c>
      <c r="Q342">
        <f t="shared" si="971"/>
        <v>28972925.164987452</v>
      </c>
      <c r="R342">
        <f t="shared" si="972"/>
        <v>-553604579.47986674</v>
      </c>
      <c r="S342">
        <f t="shared" si="973"/>
        <v>-5536.0457947986679</v>
      </c>
      <c r="T342">
        <f t="shared" si="974"/>
        <v>-5.5360457947986683</v>
      </c>
    </row>
    <row r="343" spans="1:20" x14ac:dyDescent="0.25">
      <c r="A343" s="5">
        <v>44250</v>
      </c>
      <c r="B343">
        <v>1.4734700000000001</v>
      </c>
      <c r="C343">
        <v>1.48177</v>
      </c>
      <c r="D343">
        <v>0.96575999999999995</v>
      </c>
      <c r="E343">
        <v>1.2344200000000001</v>
      </c>
      <c r="F343">
        <v>54014141.799999997</v>
      </c>
      <c r="G343">
        <v>-16.22</v>
      </c>
      <c r="L343" t="s">
        <v>7</v>
      </c>
      <c r="M343" t="s">
        <v>7</v>
      </c>
      <c r="N343" t="s">
        <v>7</v>
      </c>
      <c r="P343">
        <f t="shared" si="970"/>
        <v>4.1297649270363286E-2</v>
      </c>
      <c r="Q343">
        <f t="shared" si="971"/>
        <v>2230657.0836960687</v>
      </c>
      <c r="R343">
        <f t="shared" si="972"/>
        <v>-582577504.64485419</v>
      </c>
      <c r="S343">
        <f t="shared" si="973"/>
        <v>-5825.7750464485416</v>
      </c>
      <c r="T343">
        <f t="shared" si="974"/>
        <v>-5.825775046448542</v>
      </c>
    </row>
    <row r="344" spans="1:20" x14ac:dyDescent="0.25">
      <c r="A344" s="5">
        <v>44249</v>
      </c>
      <c r="B344">
        <v>1.60185</v>
      </c>
      <c r="C344">
        <v>1.79</v>
      </c>
      <c r="D344">
        <v>1.15103</v>
      </c>
      <c r="E344">
        <v>1.47126</v>
      </c>
      <c r="F344">
        <v>69275474.900000006</v>
      </c>
      <c r="G344">
        <v>-8.15</v>
      </c>
      <c r="L344" t="s">
        <v>8</v>
      </c>
      <c r="M344" t="s">
        <v>7</v>
      </c>
      <c r="N344" t="s">
        <v>7</v>
      </c>
      <c r="P344">
        <f t="shared" si="970"/>
        <v>2.3318778659404842E-3</v>
      </c>
      <c r="Q344">
        <f t="shared" si="971"/>
        <v>161541.9465718256</v>
      </c>
      <c r="R344">
        <f t="shared" si="972"/>
        <v>-584808161.72855031</v>
      </c>
      <c r="S344">
        <f t="shared" si="973"/>
        <v>-5848.0816172855029</v>
      </c>
      <c r="T344">
        <f t="shared" si="974"/>
        <v>-5.8480816172855032</v>
      </c>
    </row>
    <row r="345" spans="1:20" x14ac:dyDescent="0.25">
      <c r="A345" s="5">
        <v>44248</v>
      </c>
      <c r="B345">
        <v>1.58022</v>
      </c>
      <c r="C345">
        <v>1.655</v>
      </c>
      <c r="D345">
        <v>1.49</v>
      </c>
      <c r="E345">
        <v>1.6012299999999999</v>
      </c>
      <c r="F345">
        <v>21712404.199999999</v>
      </c>
      <c r="G345">
        <v>1.33</v>
      </c>
      <c r="L345" t="s">
        <v>8</v>
      </c>
      <c r="M345" t="s">
        <v>7</v>
      </c>
      <c r="N345" t="s">
        <v>8</v>
      </c>
      <c r="P345">
        <f t="shared" si="970"/>
        <v>0.34824242424242324</v>
      </c>
      <c r="Q345">
        <f t="shared" si="971"/>
        <v>7561180.2747393716</v>
      </c>
      <c r="R345">
        <f t="shared" si="972"/>
        <v>-584969703.67512214</v>
      </c>
      <c r="S345">
        <f t="shared" si="973"/>
        <v>-5849.6970367512213</v>
      </c>
      <c r="T345">
        <f t="shared" si="974"/>
        <v>-5.8496970367512215</v>
      </c>
    </row>
    <row r="346" spans="1:20" x14ac:dyDescent="0.25">
      <c r="A346" s="5">
        <v>44247</v>
      </c>
      <c r="B346">
        <v>1.5548500000000001</v>
      </c>
      <c r="C346">
        <v>1.8</v>
      </c>
      <c r="D346">
        <v>1.4350000000000001</v>
      </c>
      <c r="E346">
        <v>1.58083</v>
      </c>
      <c r="F346">
        <v>42507600.600000001</v>
      </c>
      <c r="G346">
        <v>1.67</v>
      </c>
      <c r="L346" t="s">
        <v>7</v>
      </c>
      <c r="M346" t="s">
        <v>7</v>
      </c>
      <c r="N346" t="s">
        <v>8</v>
      </c>
      <c r="P346">
        <f t="shared" si="970"/>
        <v>-0.20093150684931557</v>
      </c>
      <c r="Q346">
        <f t="shared" si="971"/>
        <v>-8541116.2411068715</v>
      </c>
      <c r="R346">
        <f t="shared" si="972"/>
        <v>-592530883.94986153</v>
      </c>
      <c r="S346">
        <f t="shared" si="973"/>
        <v>-5925.3088394986153</v>
      </c>
      <c r="T346">
        <f t="shared" si="974"/>
        <v>-5.9253088394986149</v>
      </c>
    </row>
    <row r="347" spans="1:20" x14ac:dyDescent="0.25">
      <c r="A347" s="5">
        <v>44246</v>
      </c>
      <c r="B347">
        <v>1.6305799999999999</v>
      </c>
      <c r="C347">
        <v>1.6970000000000001</v>
      </c>
      <c r="D347">
        <v>1.5125299999999999</v>
      </c>
      <c r="E347">
        <v>1.55484</v>
      </c>
      <c r="F347">
        <v>29358250.600000001</v>
      </c>
      <c r="G347">
        <v>-4.6399999999999997</v>
      </c>
      <c r="L347" t="s">
        <v>7</v>
      </c>
      <c r="M347" t="s">
        <v>7</v>
      </c>
      <c r="N347" t="s">
        <v>8</v>
      </c>
      <c r="P347">
        <f t="shared" si="970"/>
        <v>-0.54128042500135476</v>
      </c>
      <c r="Q347">
        <f t="shared" si="971"/>
        <v>-15891046.36206428</v>
      </c>
      <c r="R347">
        <f t="shared" si="972"/>
        <v>-583989767.70875466</v>
      </c>
      <c r="S347">
        <f t="shared" si="973"/>
        <v>-5839.897677087547</v>
      </c>
      <c r="T347">
        <f t="shared" si="974"/>
        <v>-5.8398976770875466</v>
      </c>
    </row>
    <row r="348" spans="1:20" x14ac:dyDescent="0.25">
      <c r="A348" s="5">
        <v>44245</v>
      </c>
      <c r="B348">
        <v>1.6798500000000001</v>
      </c>
      <c r="C348">
        <v>1.86</v>
      </c>
      <c r="D348">
        <v>1.5678000000000001</v>
      </c>
      <c r="E348">
        <v>1.6282000000000001</v>
      </c>
      <c r="F348">
        <v>35868329.5</v>
      </c>
      <c r="G348">
        <v>-3.07</v>
      </c>
      <c r="L348" t="s">
        <v>8</v>
      </c>
      <c r="M348" t="s">
        <v>8</v>
      </c>
      <c r="N348" t="s">
        <v>8</v>
      </c>
      <c r="P348">
        <f t="shared" si="970"/>
        <v>-0.58658453114305265</v>
      </c>
      <c r="Q348">
        <f t="shared" si="971"/>
        <v>-21039807.242642023</v>
      </c>
      <c r="R348">
        <f t="shared" si="972"/>
        <v>-568098721.34669042</v>
      </c>
      <c r="S348">
        <f t="shared" si="973"/>
        <v>-5680.987213466904</v>
      </c>
      <c r="T348">
        <f t="shared" si="974"/>
        <v>-5.6809872134669037</v>
      </c>
    </row>
    <row r="349" spans="1:20" x14ac:dyDescent="0.25">
      <c r="A349" s="5">
        <v>44244</v>
      </c>
      <c r="B349">
        <v>1.59998</v>
      </c>
      <c r="C349">
        <v>1.736</v>
      </c>
      <c r="D349">
        <v>1.4</v>
      </c>
      <c r="E349">
        <v>1.68164</v>
      </c>
      <c r="F349">
        <v>30290947.399999999</v>
      </c>
      <c r="G349">
        <v>5.0999999999999996</v>
      </c>
      <c r="L349" t="s">
        <v>7</v>
      </c>
      <c r="M349" t="s">
        <v>7</v>
      </c>
      <c r="N349" t="s">
        <v>7</v>
      </c>
      <c r="P349">
        <f t="shared" si="970"/>
        <v>0.67642857142857171</v>
      </c>
      <c r="Q349">
        <f t="shared" si="971"/>
        <v>20489662.277000006</v>
      </c>
      <c r="R349">
        <f t="shared" si="972"/>
        <v>-547058914.10404837</v>
      </c>
      <c r="S349">
        <f t="shared" si="973"/>
        <v>-5470.5891410404838</v>
      </c>
      <c r="T349">
        <f t="shared" si="974"/>
        <v>-5.4705891410404837</v>
      </c>
    </row>
    <row r="350" spans="1:20" x14ac:dyDescent="0.25">
      <c r="A350" s="5">
        <v>44243</v>
      </c>
      <c r="B350">
        <v>1.6007</v>
      </c>
      <c r="C350">
        <v>1.7696700000000001</v>
      </c>
      <c r="D350">
        <v>1.49</v>
      </c>
      <c r="E350">
        <v>1.5999699999999999</v>
      </c>
      <c r="F350">
        <v>24663207.699999999</v>
      </c>
      <c r="G350">
        <v>-0.05</v>
      </c>
      <c r="L350" t="s">
        <v>8</v>
      </c>
      <c r="M350" t="s">
        <v>8</v>
      </c>
      <c r="N350" t="s">
        <v>7</v>
      </c>
      <c r="P350">
        <f t="shared" si="970"/>
        <v>-0.21357313977187495</v>
      </c>
      <c r="Q350">
        <f t="shared" si="971"/>
        <v>-5267398.7053348823</v>
      </c>
      <c r="R350">
        <f t="shared" si="972"/>
        <v>-567548576.38104832</v>
      </c>
      <c r="S350">
        <f t="shared" si="973"/>
        <v>-5675.4857638104831</v>
      </c>
      <c r="T350">
        <f t="shared" si="974"/>
        <v>-5.6754857638104834</v>
      </c>
    </row>
    <row r="351" spans="1:20" x14ac:dyDescent="0.25">
      <c r="A351" s="5">
        <v>44242</v>
      </c>
      <c r="B351">
        <v>1.6759299999999999</v>
      </c>
      <c r="C351">
        <v>1.8280700000000001</v>
      </c>
      <c r="D351">
        <v>1.3064100000000001</v>
      </c>
      <c r="E351">
        <v>1.6002000000000001</v>
      </c>
      <c r="F351">
        <v>54139051.200000003</v>
      </c>
      <c r="G351">
        <v>-4.5199999999999996</v>
      </c>
      <c r="L351" t="s">
        <v>7</v>
      </c>
      <c r="M351" t="s">
        <v>7</v>
      </c>
      <c r="N351" t="s">
        <v>7</v>
      </c>
      <c r="P351">
        <f t="shared" si="970"/>
        <v>0.12636583215120956</v>
      </c>
      <c r="Q351">
        <f t="shared" si="971"/>
        <v>6841326.2567649409</v>
      </c>
      <c r="R351">
        <f t="shared" si="972"/>
        <v>-562281177.67571342</v>
      </c>
      <c r="S351">
        <f t="shared" si="973"/>
        <v>-5622.8117767571339</v>
      </c>
      <c r="T351">
        <f t="shared" si="974"/>
        <v>-5.6228117767571337</v>
      </c>
    </row>
    <row r="352" spans="1:20" x14ac:dyDescent="0.25">
      <c r="A352" s="5">
        <v>44241</v>
      </c>
      <c r="B352">
        <v>1.86202</v>
      </c>
      <c r="C352">
        <v>1.9025799999999999</v>
      </c>
      <c r="D352">
        <v>1.5613300000000001</v>
      </c>
      <c r="E352">
        <v>1.67327</v>
      </c>
      <c r="F352">
        <v>51018207.5</v>
      </c>
      <c r="G352">
        <v>-10.14</v>
      </c>
      <c r="L352" t="s">
        <v>7</v>
      </c>
      <c r="M352" t="s">
        <v>7</v>
      </c>
      <c r="N352" t="s">
        <v>7</v>
      </c>
      <c r="P352">
        <f t="shared" si="970"/>
        <v>-0.34394139194139206</v>
      </c>
      <c r="Q352">
        <f t="shared" si="971"/>
        <v>-17547273.301904768</v>
      </c>
      <c r="R352">
        <f t="shared" si="972"/>
        <v>-569122503.93247831</v>
      </c>
      <c r="S352">
        <f t="shared" si="973"/>
        <v>-5691.2250393247832</v>
      </c>
      <c r="T352">
        <f t="shared" si="974"/>
        <v>-5.6912250393247836</v>
      </c>
    </row>
    <row r="353" spans="1:20" x14ac:dyDescent="0.25">
      <c r="A353" s="5">
        <v>44240</v>
      </c>
      <c r="B353">
        <v>2.1559699999999999</v>
      </c>
      <c r="C353">
        <v>2.32009</v>
      </c>
      <c r="D353">
        <v>1.71</v>
      </c>
      <c r="E353">
        <v>1.8629800000000001</v>
      </c>
      <c r="F353">
        <v>92957144.299999997</v>
      </c>
      <c r="G353">
        <v>-13.59</v>
      </c>
      <c r="L353" t="s">
        <v>7</v>
      </c>
      <c r="M353" t="s">
        <v>7</v>
      </c>
      <c r="N353" t="s">
        <v>7</v>
      </c>
      <c r="P353">
        <f t="shared" si="970"/>
        <v>-0.49850022127882737</v>
      </c>
      <c r="Q353">
        <f t="shared" si="971"/>
        <v>-46339157.002997883</v>
      </c>
      <c r="R353">
        <f t="shared" si="972"/>
        <v>-551575230.63057351</v>
      </c>
      <c r="S353">
        <f t="shared" si="973"/>
        <v>-5515.7523063057351</v>
      </c>
      <c r="T353">
        <f t="shared" si="974"/>
        <v>-5.5157523063057354</v>
      </c>
    </row>
    <row r="354" spans="1:20" x14ac:dyDescent="0.25">
      <c r="A354" s="5">
        <v>44239</v>
      </c>
      <c r="B354">
        <v>2.1263000000000001</v>
      </c>
      <c r="C354">
        <v>2.4132600000000002</v>
      </c>
      <c r="D354">
        <v>2.0477099999999999</v>
      </c>
      <c r="E354">
        <v>2.15998</v>
      </c>
      <c r="F354">
        <v>32470429.800000001</v>
      </c>
      <c r="G354">
        <v>1.58</v>
      </c>
      <c r="L354" t="s">
        <v>8</v>
      </c>
      <c r="M354" t="s">
        <v>8</v>
      </c>
      <c r="N354" t="s">
        <v>7</v>
      </c>
      <c r="P354">
        <f t="shared" si="970"/>
        <v>-0.38574750376145528</v>
      </c>
      <c r="Q354">
        <f t="shared" si="971"/>
        <v>-12525387.24141157</v>
      </c>
      <c r="R354">
        <f t="shared" si="972"/>
        <v>-505236073.62757558</v>
      </c>
      <c r="S354">
        <f t="shared" si="973"/>
        <v>-5052.3607362757557</v>
      </c>
      <c r="T354">
        <f t="shared" si="974"/>
        <v>-5.0523607362757561</v>
      </c>
    </row>
    <row r="355" spans="1:20" x14ac:dyDescent="0.25">
      <c r="A355" s="5">
        <v>44238</v>
      </c>
      <c r="B355">
        <v>2.1899899999999999</v>
      </c>
      <c r="C355">
        <v>2.2999999999999998</v>
      </c>
      <c r="D355">
        <v>2</v>
      </c>
      <c r="E355">
        <v>2.1277499999999998</v>
      </c>
      <c r="F355">
        <v>28903558.399999999</v>
      </c>
      <c r="G355">
        <v>-2.84</v>
      </c>
      <c r="L355" t="s">
        <v>8</v>
      </c>
      <c r="M355" t="s">
        <v>8</v>
      </c>
      <c r="N355" t="s">
        <v>7</v>
      </c>
      <c r="P355">
        <f t="shared" si="970"/>
        <v>-0.14833333333333409</v>
      </c>
      <c r="Q355">
        <f t="shared" si="971"/>
        <v>-4287361.1626666887</v>
      </c>
      <c r="R355">
        <f t="shared" si="972"/>
        <v>-492710686.38616401</v>
      </c>
      <c r="S355">
        <f t="shared" si="973"/>
        <v>-4927.1068638616398</v>
      </c>
      <c r="T355">
        <f t="shared" si="974"/>
        <v>-4.9271068638616402</v>
      </c>
    </row>
    <row r="356" spans="1:20" x14ac:dyDescent="0.25">
      <c r="A356" s="5">
        <v>44237</v>
      </c>
      <c r="B356">
        <v>2.0998399999999999</v>
      </c>
      <c r="C356">
        <v>2.4300000000000002</v>
      </c>
      <c r="D356">
        <v>1.9</v>
      </c>
      <c r="E356">
        <v>2.1840899999999999</v>
      </c>
      <c r="F356">
        <v>46040336.700000003</v>
      </c>
      <c r="G356">
        <v>4.01</v>
      </c>
      <c r="L356" t="s">
        <v>7</v>
      </c>
      <c r="M356" t="s">
        <v>7</v>
      </c>
      <c r="N356" t="s">
        <v>7</v>
      </c>
      <c r="P356">
        <f t="shared" si="970"/>
        <v>7.2037735849055928E-2</v>
      </c>
      <c r="Q356">
        <f t="shared" si="971"/>
        <v>3316641.6135961954</v>
      </c>
      <c r="R356">
        <f t="shared" si="972"/>
        <v>-488423325.22349733</v>
      </c>
      <c r="S356">
        <f t="shared" si="973"/>
        <v>-4884.2332522349734</v>
      </c>
      <c r="T356">
        <f t="shared" si="974"/>
        <v>-4.8842332522349734</v>
      </c>
    </row>
    <row r="357" spans="1:20" x14ac:dyDescent="0.25">
      <c r="A357" s="5">
        <v>44236</v>
      </c>
      <c r="B357">
        <v>2.24471</v>
      </c>
      <c r="C357">
        <v>2.6</v>
      </c>
      <c r="D357">
        <v>1.986</v>
      </c>
      <c r="E357">
        <v>2.0998399999999999</v>
      </c>
      <c r="F357">
        <v>49099869.399999999</v>
      </c>
      <c r="G357">
        <v>-6.45</v>
      </c>
      <c r="L357" t="s">
        <v>8</v>
      </c>
      <c r="M357" t="s">
        <v>8</v>
      </c>
      <c r="N357" t="s">
        <v>8</v>
      </c>
      <c r="P357">
        <f t="shared" si="970"/>
        <v>-0.62918566775244322</v>
      </c>
      <c r="Q357">
        <f t="shared" si="971"/>
        <v>-30892934.114996754</v>
      </c>
      <c r="R357">
        <f t="shared" si="972"/>
        <v>-491739966.83709353</v>
      </c>
      <c r="S357">
        <f t="shared" si="973"/>
        <v>-4917.3996683709356</v>
      </c>
      <c r="T357">
        <f t="shared" si="974"/>
        <v>-4.917399668370936</v>
      </c>
    </row>
    <row r="358" spans="1:20" x14ac:dyDescent="0.25">
      <c r="A358" s="5">
        <v>44235</v>
      </c>
      <c r="B358">
        <v>2.2274400000000001</v>
      </c>
      <c r="C358">
        <v>2.4660000000000002</v>
      </c>
      <c r="D358">
        <v>2.1023000000000001</v>
      </c>
      <c r="E358">
        <v>2.2495699999999998</v>
      </c>
      <c r="F358">
        <v>30765848.800000001</v>
      </c>
      <c r="G358">
        <v>0.99</v>
      </c>
      <c r="L358" t="s">
        <v>8</v>
      </c>
      <c r="M358" t="s">
        <v>8</v>
      </c>
      <c r="N358" t="s">
        <v>7</v>
      </c>
      <c r="P358">
        <f t="shared" si="970"/>
        <v>-0.1901567225735511</v>
      </c>
      <c r="Q358">
        <f t="shared" si="971"/>
        <v>-5850332.9750014199</v>
      </c>
      <c r="R358">
        <f t="shared" si="972"/>
        <v>-460847032.7220968</v>
      </c>
      <c r="S358">
        <f t="shared" si="973"/>
        <v>-4608.4703272209681</v>
      </c>
      <c r="T358">
        <f t="shared" si="974"/>
        <v>-4.6084703272209682</v>
      </c>
    </row>
    <row r="359" spans="1:20" x14ac:dyDescent="0.25">
      <c r="A359" s="5">
        <v>44234</v>
      </c>
      <c r="B359">
        <v>2.4401600000000001</v>
      </c>
      <c r="C359">
        <v>2.4576600000000002</v>
      </c>
      <c r="D359">
        <v>1.8841600000000001</v>
      </c>
      <c r="E359">
        <v>2.2341700000000002</v>
      </c>
      <c r="F359">
        <v>40007405.600000001</v>
      </c>
      <c r="G359">
        <v>-8.44</v>
      </c>
      <c r="L359" t="s">
        <v>7</v>
      </c>
      <c r="M359" t="s">
        <v>7</v>
      </c>
      <c r="N359" t="s">
        <v>7</v>
      </c>
      <c r="P359">
        <f t="shared" si="970"/>
        <v>0.22061028770706217</v>
      </c>
      <c r="Q359">
        <f t="shared" si="971"/>
        <v>8826045.25982913</v>
      </c>
      <c r="R359">
        <f t="shared" si="972"/>
        <v>-454996699.74709541</v>
      </c>
      <c r="S359">
        <f t="shared" si="973"/>
        <v>-4549.9669974709541</v>
      </c>
      <c r="T359">
        <f t="shared" si="974"/>
        <v>-4.5499669974709542</v>
      </c>
    </row>
    <row r="360" spans="1:20" x14ac:dyDescent="0.25">
      <c r="A360" s="5">
        <v>44233</v>
      </c>
      <c r="B360">
        <v>2.61931</v>
      </c>
      <c r="C360">
        <v>2.64</v>
      </c>
      <c r="D360">
        <v>2.2263500000000001</v>
      </c>
      <c r="E360">
        <v>2.4336700000000002</v>
      </c>
      <c r="F360">
        <v>31238172.600000001</v>
      </c>
      <c r="G360">
        <v>-7.09</v>
      </c>
      <c r="L360" t="s">
        <v>7</v>
      </c>
      <c r="M360" t="s">
        <v>7</v>
      </c>
      <c r="N360" t="s">
        <v>8</v>
      </c>
      <c r="P360">
        <f t="shared" si="970"/>
        <v>2.3933276924943026E-3</v>
      </c>
      <c r="Q360">
        <f t="shared" si="971"/>
        <v>74763.183546496759</v>
      </c>
      <c r="R360">
        <f t="shared" si="972"/>
        <v>-463822745.00692451</v>
      </c>
      <c r="S360">
        <f t="shared" si="973"/>
        <v>-4638.2274500692447</v>
      </c>
      <c r="T360">
        <f t="shared" si="974"/>
        <v>-4.6382274500692446</v>
      </c>
    </row>
    <row r="361" spans="1:20" x14ac:dyDescent="0.25">
      <c r="A361" s="5">
        <v>44232</v>
      </c>
      <c r="B361">
        <v>2.3077000000000001</v>
      </c>
      <c r="C361">
        <v>2.9432499999999999</v>
      </c>
      <c r="D361">
        <v>2.2801200000000001</v>
      </c>
      <c r="E361">
        <v>2.6223299999999998</v>
      </c>
      <c r="F361">
        <v>36245676.200000003</v>
      </c>
      <c r="G361">
        <v>13.63</v>
      </c>
      <c r="L361" t="s">
        <v>8</v>
      </c>
      <c r="M361" t="s">
        <v>8</v>
      </c>
      <c r="N361" t="s">
        <v>8</v>
      </c>
      <c r="P361">
        <f t="shared" si="970"/>
        <v>3.2105318715786639E-2</v>
      </c>
      <c r="Q361">
        <f t="shared" si="971"/>
        <v>1163678.9864702024</v>
      </c>
      <c r="R361">
        <f t="shared" si="972"/>
        <v>-463897508.19047099</v>
      </c>
      <c r="S361">
        <f t="shared" si="973"/>
        <v>-4638.9750819047104</v>
      </c>
      <c r="T361">
        <f t="shared" si="974"/>
        <v>-4.63897508190471</v>
      </c>
    </row>
    <row r="362" spans="1:20" x14ac:dyDescent="0.25">
      <c r="A362" s="5">
        <v>44231</v>
      </c>
      <c r="B362">
        <v>2.1147900000000002</v>
      </c>
      <c r="C362">
        <v>2.5099999999999998</v>
      </c>
      <c r="D362">
        <v>1.9</v>
      </c>
      <c r="E362">
        <v>2.3098900000000002</v>
      </c>
      <c r="F362">
        <v>55524137.799999997</v>
      </c>
      <c r="G362">
        <v>9.23</v>
      </c>
      <c r="L362" t="s">
        <v>8</v>
      </c>
      <c r="M362" t="s">
        <v>8</v>
      </c>
      <c r="N362" t="s">
        <v>8</v>
      </c>
      <c r="P362">
        <f t="shared" si="970"/>
        <v>0.3439016393442636</v>
      </c>
      <c r="Q362">
        <f t="shared" si="971"/>
        <v>19094842.012596793</v>
      </c>
      <c r="R362">
        <f t="shared" si="972"/>
        <v>-465061187.17694122</v>
      </c>
      <c r="S362">
        <f t="shared" si="973"/>
        <v>-4650.6118717694126</v>
      </c>
      <c r="T362">
        <f t="shared" si="974"/>
        <v>-4.6506118717694127</v>
      </c>
    </row>
    <row r="363" spans="1:20" x14ac:dyDescent="0.25">
      <c r="A363" s="5">
        <v>44230</v>
      </c>
      <c r="B363">
        <v>1.92004</v>
      </c>
      <c r="C363">
        <v>2.15</v>
      </c>
      <c r="D363">
        <v>1.84</v>
      </c>
      <c r="E363">
        <v>2.11381</v>
      </c>
      <c r="F363">
        <v>23201671.600000001</v>
      </c>
      <c r="G363">
        <v>10.09</v>
      </c>
      <c r="L363" t="s">
        <v>7</v>
      </c>
      <c r="M363" t="s">
        <v>8</v>
      </c>
      <c r="N363" t="s">
        <v>7</v>
      </c>
      <c r="P363">
        <f t="shared" si="970"/>
        <v>0.7665161290322583</v>
      </c>
      <c r="Q363">
        <f t="shared" si="971"/>
        <v>17784455.501909684</v>
      </c>
      <c r="R363">
        <f t="shared" si="972"/>
        <v>-484156029.189538</v>
      </c>
      <c r="S363">
        <f t="shared" si="973"/>
        <v>-4841.56029189538</v>
      </c>
      <c r="T363">
        <f t="shared" si="974"/>
        <v>-4.8415602918953802</v>
      </c>
    </row>
    <row r="364" spans="1:20" x14ac:dyDescent="0.25">
      <c r="A364" s="5">
        <v>44229</v>
      </c>
      <c r="B364">
        <v>2.07429</v>
      </c>
      <c r="C364">
        <v>2.1291099999999998</v>
      </c>
      <c r="D364">
        <v>1.8414999999999999</v>
      </c>
      <c r="E364">
        <v>1.9200699999999999</v>
      </c>
      <c r="F364">
        <v>22765074.100000001</v>
      </c>
      <c r="G364">
        <v>-7.43</v>
      </c>
      <c r="L364" t="s">
        <v>8</v>
      </c>
      <c r="M364" t="s">
        <v>8</v>
      </c>
      <c r="N364" t="s">
        <v>7</v>
      </c>
      <c r="P364">
        <f t="shared" si="970"/>
        <v>-0.45363513090643542</v>
      </c>
      <c r="Q364">
        <f t="shared" si="971"/>
        <v>-10327037.369448204</v>
      </c>
      <c r="R364">
        <f t="shared" si="972"/>
        <v>-501940484.69144768</v>
      </c>
      <c r="S364">
        <f t="shared" si="973"/>
        <v>-5019.4048469144764</v>
      </c>
      <c r="T364">
        <f t="shared" si="974"/>
        <v>-5.0194048469144761</v>
      </c>
    </row>
    <row r="365" spans="1:20" x14ac:dyDescent="0.25">
      <c r="A365" s="5">
        <v>44228</v>
      </c>
      <c r="B365">
        <v>2.0451100000000002</v>
      </c>
      <c r="C365">
        <v>2.1888700000000001</v>
      </c>
      <c r="D365">
        <v>1.74</v>
      </c>
      <c r="E365">
        <v>2.0716700000000001</v>
      </c>
      <c r="F365">
        <v>40069586.100000001</v>
      </c>
      <c r="G365">
        <v>1.3</v>
      </c>
      <c r="L365" t="s">
        <v>7</v>
      </c>
      <c r="M365" t="s">
        <v>7</v>
      </c>
      <c r="N365" t="s">
        <v>7</v>
      </c>
      <c r="P365">
        <f t="shared" si="970"/>
        <v>0.4777998084077798</v>
      </c>
      <c r="Q365">
        <f t="shared" si="971"/>
        <v>19145240.561559036</v>
      </c>
      <c r="R365">
        <f t="shared" si="972"/>
        <v>-491613447.32199949</v>
      </c>
      <c r="S365">
        <f t="shared" si="973"/>
        <v>-4916.134473219995</v>
      </c>
      <c r="T365">
        <f t="shared" si="974"/>
        <v>-4.9161344732199952</v>
      </c>
    </row>
    <row r="366" spans="1:20" x14ac:dyDescent="0.25">
      <c r="A366" s="5">
        <v>44227</v>
      </c>
      <c r="B366">
        <v>2.1558899999999999</v>
      </c>
      <c r="C366">
        <v>2.3494000000000002</v>
      </c>
      <c r="D366">
        <v>1.97</v>
      </c>
      <c r="E366">
        <v>2.0479099999999999</v>
      </c>
      <c r="F366">
        <v>30790723.699999999</v>
      </c>
      <c r="G366">
        <v>-5.01</v>
      </c>
      <c r="L366" t="s">
        <v>7</v>
      </c>
      <c r="M366" t="s">
        <v>7</v>
      </c>
      <c r="N366" t="s">
        <v>8</v>
      </c>
      <c r="P366">
        <f t="shared" si="970"/>
        <v>-0.58929889298893046</v>
      </c>
      <c r="Q366">
        <f t="shared" si="971"/>
        <v>-18144939.390738025</v>
      </c>
      <c r="R366">
        <f t="shared" si="972"/>
        <v>-510758687.88355851</v>
      </c>
      <c r="S366">
        <f t="shared" si="973"/>
        <v>-5107.5868788355847</v>
      </c>
      <c r="T366">
        <f t="shared" si="974"/>
        <v>-5.1075868788355843</v>
      </c>
    </row>
    <row r="367" spans="1:20" x14ac:dyDescent="0.25">
      <c r="A367" s="5">
        <v>44226</v>
      </c>
      <c r="B367">
        <v>2.1122100000000001</v>
      </c>
      <c r="C367">
        <v>2.39</v>
      </c>
      <c r="D367">
        <v>1.8959999999999999</v>
      </c>
      <c r="E367">
        <v>2.15361</v>
      </c>
      <c r="F367">
        <v>63496191</v>
      </c>
      <c r="G367">
        <v>1.96</v>
      </c>
      <c r="L367" t="s">
        <v>8</v>
      </c>
      <c r="M367" t="s">
        <v>8</v>
      </c>
      <c r="N367" t="s">
        <v>8</v>
      </c>
      <c r="P367">
        <f t="shared" si="970"/>
        <v>4.295546558704455E-2</v>
      </c>
      <c r="Q367">
        <f t="shared" si="971"/>
        <v>2727508.447408908</v>
      </c>
      <c r="R367">
        <f t="shared" si="972"/>
        <v>-492613748.4928205</v>
      </c>
      <c r="S367">
        <f t="shared" si="973"/>
        <v>-4926.1374849282047</v>
      </c>
      <c r="T367">
        <f t="shared" si="974"/>
        <v>-4.9261374849282049</v>
      </c>
    </row>
    <row r="368" spans="1:20" x14ac:dyDescent="0.25">
      <c r="A368" s="5">
        <v>44225</v>
      </c>
      <c r="B368">
        <v>1.6476500000000001</v>
      </c>
      <c r="C368">
        <v>2.1917399999999998</v>
      </c>
      <c r="D368">
        <v>1.36</v>
      </c>
      <c r="E368">
        <v>2.1145</v>
      </c>
      <c r="F368">
        <v>68120900.599999994</v>
      </c>
      <c r="G368">
        <v>28.33</v>
      </c>
      <c r="L368" t="s">
        <v>8</v>
      </c>
      <c r="M368" t="s">
        <v>8</v>
      </c>
      <c r="N368" t="s">
        <v>8</v>
      </c>
      <c r="P368">
        <f t="shared" si="970"/>
        <v>0.81426888210258064</v>
      </c>
      <c r="Q368">
        <f t="shared" si="971"/>
        <v>55468729.579383008</v>
      </c>
      <c r="R368">
        <f t="shared" si="972"/>
        <v>-495341256.94022942</v>
      </c>
      <c r="S368">
        <f t="shared" si="973"/>
        <v>-4953.4125694022941</v>
      </c>
      <c r="T368">
        <f t="shared" si="974"/>
        <v>-4.9534125694022944</v>
      </c>
    </row>
    <row r="369" spans="1:20" x14ac:dyDescent="0.25">
      <c r="A369" s="5">
        <v>44224</v>
      </c>
      <c r="B369">
        <v>1.4661500000000001</v>
      </c>
      <c r="C369">
        <v>1.875</v>
      </c>
      <c r="D369">
        <v>1.38</v>
      </c>
      <c r="E369">
        <v>1.6476500000000001</v>
      </c>
      <c r="F369">
        <v>54967993.899999999</v>
      </c>
      <c r="G369">
        <v>12.38</v>
      </c>
      <c r="L369" t="s">
        <v>8</v>
      </c>
      <c r="M369" t="s">
        <v>7</v>
      </c>
      <c r="N369" t="s">
        <v>8</v>
      </c>
      <c r="P369">
        <f t="shared" si="970"/>
        <v>8.1414141414141855E-2</v>
      </c>
      <c r="Q369">
        <f t="shared" si="971"/>
        <v>4475172.0286262864</v>
      </c>
      <c r="R369">
        <f t="shared" si="972"/>
        <v>-550809986.51961243</v>
      </c>
      <c r="S369">
        <f t="shared" si="973"/>
        <v>-5508.0998651961245</v>
      </c>
      <c r="T369">
        <f t="shared" si="974"/>
        <v>-5.5080998651961242</v>
      </c>
    </row>
    <row r="370" spans="1:20" x14ac:dyDescent="0.25">
      <c r="A370" s="5">
        <v>44223</v>
      </c>
      <c r="B370">
        <v>1.4290799999999999</v>
      </c>
      <c r="C370">
        <v>1.8214999999999999</v>
      </c>
      <c r="D370">
        <v>1.2340500000000001</v>
      </c>
      <c r="E370">
        <v>1.46861</v>
      </c>
      <c r="F370">
        <v>136787255.40000001</v>
      </c>
      <c r="G370">
        <v>2.77</v>
      </c>
      <c r="L370" t="s">
        <v>8</v>
      </c>
      <c r="M370" t="s">
        <v>8</v>
      </c>
      <c r="N370" t="s">
        <v>8</v>
      </c>
      <c r="P370">
        <f t="shared" si="970"/>
        <v>-0.20142990892841958</v>
      </c>
      <c r="Q370">
        <f t="shared" si="971"/>
        <v>-27553044.397790469</v>
      </c>
      <c r="R370">
        <f t="shared" si="972"/>
        <v>-555285158.54823875</v>
      </c>
      <c r="S370">
        <f t="shared" si="973"/>
        <v>-5552.8515854823872</v>
      </c>
      <c r="T370">
        <f t="shared" si="974"/>
        <v>-5.5528515854823874</v>
      </c>
    </row>
    <row r="371" spans="1:20" x14ac:dyDescent="0.25">
      <c r="A371" s="5">
        <v>44222</v>
      </c>
      <c r="B371">
        <v>0.93472</v>
      </c>
      <c r="C371">
        <v>1.4485699999999999</v>
      </c>
      <c r="D371">
        <v>0.91500000000000004</v>
      </c>
      <c r="E371">
        <v>1.431</v>
      </c>
      <c r="F371">
        <v>60345839.799999997</v>
      </c>
      <c r="G371">
        <v>53.09</v>
      </c>
      <c r="L371" t="s">
        <v>8</v>
      </c>
      <c r="M371" t="s">
        <v>8</v>
      </c>
      <c r="N371" t="s">
        <v>8</v>
      </c>
      <c r="P371">
        <f t="shared" si="970"/>
        <v>0.9341417246097049</v>
      </c>
      <c r="Q371">
        <f t="shared" si="971"/>
        <v>56371566.863792963</v>
      </c>
      <c r="R371">
        <f t="shared" si="972"/>
        <v>-527732114.15044826</v>
      </c>
      <c r="S371">
        <f t="shared" si="973"/>
        <v>-5277.3211415044825</v>
      </c>
      <c r="T371">
        <f t="shared" si="974"/>
        <v>-5.2773211415044825</v>
      </c>
    </row>
    <row r="372" spans="1:20" x14ac:dyDescent="0.25">
      <c r="A372" s="5">
        <v>44221</v>
      </c>
      <c r="B372">
        <v>1.08846</v>
      </c>
      <c r="C372">
        <v>1.1000000000000001</v>
      </c>
      <c r="D372">
        <v>0.90100000000000002</v>
      </c>
      <c r="E372">
        <v>0.93689</v>
      </c>
      <c r="F372">
        <v>29877206.199999999</v>
      </c>
      <c r="G372">
        <v>-13.93</v>
      </c>
      <c r="L372" t="s">
        <v>7</v>
      </c>
      <c r="M372" t="s">
        <v>7</v>
      </c>
      <c r="N372" t="s">
        <v>8</v>
      </c>
      <c r="P372">
        <f t="shared" si="970"/>
        <v>-0.63929648241206061</v>
      </c>
      <c r="Q372">
        <f t="shared" si="971"/>
        <v>-19100392.827959809</v>
      </c>
      <c r="R372">
        <f t="shared" si="972"/>
        <v>-584103681.01424122</v>
      </c>
      <c r="S372">
        <f t="shared" si="973"/>
        <v>-5841.0368101424119</v>
      </c>
      <c r="T372">
        <f t="shared" si="974"/>
        <v>-5.8410368101424117</v>
      </c>
    </row>
    <row r="373" spans="1:20" x14ac:dyDescent="0.25">
      <c r="A373" s="5">
        <v>44220</v>
      </c>
      <c r="B373">
        <v>0.90815000000000001</v>
      </c>
      <c r="C373">
        <v>1.09578</v>
      </c>
      <c r="D373">
        <v>0.89200999999999997</v>
      </c>
      <c r="E373">
        <v>1.0880099999999999</v>
      </c>
      <c r="F373">
        <v>39112844.100000001</v>
      </c>
      <c r="G373">
        <v>19.809999999999999</v>
      </c>
      <c r="L373" t="s">
        <v>8</v>
      </c>
      <c r="M373" t="s">
        <v>8</v>
      </c>
      <c r="N373" t="s">
        <v>8</v>
      </c>
      <c r="P373">
        <f t="shared" si="970"/>
        <v>0.92373754723462675</v>
      </c>
      <c r="Q373">
        <f t="shared" si="971"/>
        <v>36130002.674304344</v>
      </c>
      <c r="R373">
        <f t="shared" si="972"/>
        <v>-565003288.18628144</v>
      </c>
      <c r="S373">
        <f t="shared" si="973"/>
        <v>-5650.0328818628141</v>
      </c>
      <c r="T373">
        <f t="shared" si="974"/>
        <v>-5.6500328818628143</v>
      </c>
    </row>
    <row r="374" spans="1:20" x14ac:dyDescent="0.25">
      <c r="A374" s="5">
        <v>44219</v>
      </c>
      <c r="B374">
        <v>0.8</v>
      </c>
      <c r="C374">
        <v>1.0284899999999999</v>
      </c>
      <c r="D374">
        <v>0.77044000000000001</v>
      </c>
      <c r="E374">
        <v>0.90800000000000003</v>
      </c>
      <c r="F374">
        <v>64983052.700000003</v>
      </c>
      <c r="G374">
        <v>13.5</v>
      </c>
      <c r="L374" t="s">
        <v>8</v>
      </c>
      <c r="M374" t="s">
        <v>8</v>
      </c>
      <c r="N374" t="s">
        <v>8</v>
      </c>
      <c r="P374">
        <f t="shared" si="970"/>
        <v>6.6149970935865721E-2</v>
      </c>
      <c r="Q374">
        <f t="shared" si="971"/>
        <v>4298627.0474288305</v>
      </c>
      <c r="R374">
        <f t="shared" si="972"/>
        <v>-601133290.86058581</v>
      </c>
      <c r="S374">
        <f t="shared" si="973"/>
        <v>-6011.3329086058584</v>
      </c>
      <c r="T374">
        <f t="shared" si="974"/>
        <v>-6.0113329086058584</v>
      </c>
    </row>
    <row r="375" spans="1:20" x14ac:dyDescent="0.25">
      <c r="A375" s="5">
        <v>44218</v>
      </c>
      <c r="B375">
        <v>0.64978000000000002</v>
      </c>
      <c r="C375">
        <v>0.84997999999999996</v>
      </c>
      <c r="D375">
        <v>0.58399999999999996</v>
      </c>
      <c r="E375">
        <v>0.79913999999999996</v>
      </c>
      <c r="F375">
        <v>40775890.399999999</v>
      </c>
      <c r="G375">
        <v>22.99</v>
      </c>
      <c r="L375" t="s">
        <v>8</v>
      </c>
      <c r="M375" t="s">
        <v>8</v>
      </c>
      <c r="N375" t="s">
        <v>8</v>
      </c>
      <c r="P375">
        <f t="shared" si="970"/>
        <v>0.61771561771561778</v>
      </c>
      <c r="Q375">
        <f t="shared" si="971"/>
        <v>25187904.326340329</v>
      </c>
      <c r="R375">
        <f t="shared" si="972"/>
        <v>-605431917.90801466</v>
      </c>
      <c r="S375">
        <f t="shared" si="973"/>
        <v>-6054.3191790801466</v>
      </c>
      <c r="T375">
        <f t="shared" si="974"/>
        <v>-6.0543191790801467</v>
      </c>
    </row>
    <row r="376" spans="1:20" x14ac:dyDescent="0.25">
      <c r="A376" s="5">
        <v>44217</v>
      </c>
      <c r="B376">
        <v>0.71589999999999998</v>
      </c>
      <c r="C376">
        <v>0.78800000000000003</v>
      </c>
      <c r="D376">
        <v>0.63100999999999996</v>
      </c>
      <c r="E376">
        <v>0.64681</v>
      </c>
      <c r="F376">
        <v>53127678.399999999</v>
      </c>
      <c r="G376">
        <v>-9.65</v>
      </c>
      <c r="L376" t="s">
        <v>8</v>
      </c>
      <c r="M376" t="s">
        <v>8</v>
      </c>
      <c r="N376" t="s">
        <v>8</v>
      </c>
      <c r="P376">
        <f t="shared" si="970"/>
        <v>-0.7987132938403716</v>
      </c>
      <c r="Q376">
        <f t="shared" si="971"/>
        <v>-42433783.008955963</v>
      </c>
      <c r="R376">
        <f t="shared" si="972"/>
        <v>-630619822.23435497</v>
      </c>
      <c r="S376">
        <f t="shared" si="973"/>
        <v>-6306.1982223435498</v>
      </c>
      <c r="T376">
        <f t="shared" si="974"/>
        <v>-6.30619822234355</v>
      </c>
    </row>
    <row r="377" spans="1:20" x14ac:dyDescent="0.25">
      <c r="A377" s="5">
        <v>44216</v>
      </c>
      <c r="B377">
        <v>0.57633000000000001</v>
      </c>
      <c r="C377">
        <v>0.72726999999999997</v>
      </c>
      <c r="D377">
        <v>0.55347000000000002</v>
      </c>
      <c r="E377">
        <v>0.71594999999999998</v>
      </c>
      <c r="F377">
        <v>39909134.5</v>
      </c>
      <c r="G377">
        <v>24.23</v>
      </c>
      <c r="L377" t="s">
        <v>8</v>
      </c>
      <c r="M377" t="s">
        <v>8</v>
      </c>
      <c r="N377" t="s">
        <v>8</v>
      </c>
      <c r="P377">
        <f t="shared" si="970"/>
        <v>0.8697353279631761</v>
      </c>
      <c r="Q377">
        <f t="shared" si="971"/>
        <v>34710384.183084004</v>
      </c>
      <c r="R377">
        <f t="shared" si="972"/>
        <v>-588186039.22539902</v>
      </c>
      <c r="S377">
        <f t="shared" si="973"/>
        <v>-5881.8603922539905</v>
      </c>
      <c r="T377">
        <f t="shared" si="974"/>
        <v>-5.8818603922539907</v>
      </c>
    </row>
    <row r="378" spans="1:20" x14ac:dyDescent="0.25">
      <c r="A378" s="5">
        <v>44215</v>
      </c>
      <c r="B378">
        <v>0.54437000000000002</v>
      </c>
      <c r="C378">
        <v>0.64990000000000003</v>
      </c>
      <c r="D378">
        <v>0.54057999999999995</v>
      </c>
      <c r="E378">
        <v>0.57655000000000001</v>
      </c>
      <c r="F378">
        <v>37156745.100000001</v>
      </c>
      <c r="G378">
        <v>5.91</v>
      </c>
      <c r="L378" t="s">
        <v>8</v>
      </c>
      <c r="M378" t="s">
        <v>8</v>
      </c>
      <c r="N378" t="s">
        <v>8</v>
      </c>
      <c r="P378">
        <f t="shared" si="970"/>
        <v>-0.34193194291986773</v>
      </c>
      <c r="Q378">
        <f t="shared" si="971"/>
        <v>-12705078.044621276</v>
      </c>
      <c r="R378">
        <f t="shared" si="972"/>
        <v>-622896423.40848303</v>
      </c>
      <c r="S378">
        <f t="shared" si="973"/>
        <v>-6228.9642340848304</v>
      </c>
      <c r="T378">
        <f t="shared" si="974"/>
        <v>-6.2289642340848301</v>
      </c>
    </row>
    <row r="379" spans="1:20" x14ac:dyDescent="0.25">
      <c r="A379" s="5">
        <v>44214</v>
      </c>
      <c r="B379">
        <v>0.48937000000000003</v>
      </c>
      <c r="C379">
        <v>0.54437000000000002</v>
      </c>
      <c r="D379">
        <v>0.48699999999999999</v>
      </c>
      <c r="E379">
        <v>0.54437000000000002</v>
      </c>
      <c r="F379">
        <v>17283877</v>
      </c>
      <c r="G379">
        <v>11.24</v>
      </c>
      <c r="L379" t="s">
        <v>8</v>
      </c>
      <c r="M379" t="s">
        <v>8</v>
      </c>
      <c r="N379" t="s">
        <v>8</v>
      </c>
      <c r="P379">
        <f t="shared" si="970"/>
        <v>1</v>
      </c>
      <c r="Q379">
        <f t="shared" si="971"/>
        <v>17283877</v>
      </c>
      <c r="R379">
        <f t="shared" si="972"/>
        <v>-610191345.3638618</v>
      </c>
      <c r="S379">
        <f t="shared" si="973"/>
        <v>-6101.9134536386182</v>
      </c>
      <c r="T379">
        <f t="shared" si="974"/>
        <v>-6.1019134536386179</v>
      </c>
    </row>
    <row r="380" spans="1:20" x14ac:dyDescent="0.25">
      <c r="A380" s="5">
        <v>44213</v>
      </c>
      <c r="B380">
        <v>0.47322999999999998</v>
      </c>
      <c r="C380">
        <v>0.51500000000000001</v>
      </c>
      <c r="D380">
        <v>0.44133</v>
      </c>
      <c r="E380">
        <v>0.48935000000000001</v>
      </c>
      <c r="F380">
        <v>24509029</v>
      </c>
      <c r="G380">
        <v>3.41</v>
      </c>
      <c r="L380" t="s">
        <v>7</v>
      </c>
      <c r="M380" t="s">
        <v>7</v>
      </c>
      <c r="N380" t="s">
        <v>8</v>
      </c>
      <c r="P380">
        <f t="shared" si="970"/>
        <v>0.30365141848785121</v>
      </c>
      <c r="Q380">
        <f t="shared" si="971"/>
        <v>7442201.4216098813</v>
      </c>
      <c r="R380">
        <f t="shared" si="972"/>
        <v>-627475222.3638618</v>
      </c>
      <c r="S380">
        <f t="shared" si="973"/>
        <v>-6274.7522236386176</v>
      </c>
      <c r="T380">
        <f t="shared" si="974"/>
        <v>-6.2747522236386173</v>
      </c>
    </row>
    <row r="381" spans="1:20" x14ac:dyDescent="0.25">
      <c r="A381" s="5">
        <v>44212</v>
      </c>
      <c r="B381">
        <v>0.43683</v>
      </c>
      <c r="C381">
        <v>0.55000000000000004</v>
      </c>
      <c r="D381">
        <v>0.42020999999999997</v>
      </c>
      <c r="E381">
        <v>0.47283999999999998</v>
      </c>
      <c r="F381">
        <v>53333191.200000003</v>
      </c>
      <c r="G381">
        <v>8.24</v>
      </c>
      <c r="L381" t="s">
        <v>8</v>
      </c>
      <c r="M381" t="s">
        <v>8</v>
      </c>
      <c r="N381" t="s">
        <v>8</v>
      </c>
      <c r="P381">
        <f t="shared" si="970"/>
        <v>-0.18899761152631203</v>
      </c>
      <c r="Q381">
        <f t="shared" si="971"/>
        <v>-10079845.751876123</v>
      </c>
      <c r="R381">
        <f t="shared" si="972"/>
        <v>-634917423.78547168</v>
      </c>
      <c r="S381">
        <f t="shared" si="973"/>
        <v>-6349.1742378547169</v>
      </c>
      <c r="T381">
        <f t="shared" si="974"/>
        <v>-6.3491742378547169</v>
      </c>
    </row>
    <row r="382" spans="1:20" x14ac:dyDescent="0.25">
      <c r="A382" s="5">
        <v>44211</v>
      </c>
      <c r="B382">
        <v>0.43822</v>
      </c>
      <c r="C382">
        <v>0.5</v>
      </c>
      <c r="D382">
        <v>0.38838</v>
      </c>
      <c r="E382">
        <v>0.43563000000000002</v>
      </c>
      <c r="F382">
        <v>39435931.100000001</v>
      </c>
      <c r="G382">
        <v>-0.59</v>
      </c>
      <c r="L382" t="s">
        <v>8</v>
      </c>
      <c r="M382" t="s">
        <v>8</v>
      </c>
      <c r="N382" t="s">
        <v>8</v>
      </c>
      <c r="P382">
        <f t="shared" si="970"/>
        <v>-0.15337753090843906</v>
      </c>
      <c r="Q382">
        <f t="shared" si="971"/>
        <v>-6048585.7411933234</v>
      </c>
      <c r="R382">
        <f t="shared" si="972"/>
        <v>-624837578.03359556</v>
      </c>
      <c r="S382">
        <f t="shared" si="973"/>
        <v>-6248.3757803359558</v>
      </c>
      <c r="T382">
        <f t="shared" si="974"/>
        <v>-6.2483757803359561</v>
      </c>
    </row>
    <row r="383" spans="1:20" x14ac:dyDescent="0.25">
      <c r="A383" s="5">
        <v>44210</v>
      </c>
      <c r="B383">
        <v>0.45867000000000002</v>
      </c>
      <c r="C383">
        <v>0.47889999999999999</v>
      </c>
      <c r="D383">
        <v>0.41127999999999998</v>
      </c>
      <c r="E383">
        <v>0.43720999999999999</v>
      </c>
      <c r="F383">
        <v>33161924.5</v>
      </c>
      <c r="G383">
        <v>-4.68</v>
      </c>
      <c r="L383" t="s">
        <v>8</v>
      </c>
      <c r="M383" t="s">
        <v>8</v>
      </c>
      <c r="N383" t="s">
        <v>8</v>
      </c>
      <c r="P383">
        <f t="shared" si="970"/>
        <v>-0.23306713989943795</v>
      </c>
      <c r="Q383">
        <f t="shared" si="971"/>
        <v>-7728954.8967760988</v>
      </c>
      <c r="R383">
        <f t="shared" si="972"/>
        <v>-618788992.29240227</v>
      </c>
      <c r="S383">
        <f t="shared" si="973"/>
        <v>-6187.8899229240224</v>
      </c>
      <c r="T383">
        <f t="shared" si="974"/>
        <v>-6.1878899229240227</v>
      </c>
    </row>
    <row r="384" spans="1:20" x14ac:dyDescent="0.25">
      <c r="A384" s="5">
        <v>44209</v>
      </c>
      <c r="B384">
        <v>0.38547999999999999</v>
      </c>
      <c r="C384">
        <v>0.47</v>
      </c>
      <c r="D384">
        <v>0.36323</v>
      </c>
      <c r="E384">
        <v>0.45904</v>
      </c>
      <c r="F384">
        <v>29847997.600000001</v>
      </c>
      <c r="G384">
        <v>19.079999999999998</v>
      </c>
      <c r="L384" t="s">
        <v>8</v>
      </c>
      <c r="M384" t="s">
        <v>8</v>
      </c>
      <c r="N384" t="s">
        <v>8</v>
      </c>
      <c r="P384">
        <f t="shared" si="970"/>
        <v>0.79469888545471623</v>
      </c>
      <c r="Q384">
        <f t="shared" si="971"/>
        <v>23720170.425775047</v>
      </c>
      <c r="R384">
        <f t="shared" si="972"/>
        <v>-611060037.39562619</v>
      </c>
      <c r="S384">
        <f t="shared" si="973"/>
        <v>-6110.600373956262</v>
      </c>
      <c r="T384">
        <f t="shared" si="974"/>
        <v>-6.1106003739562622</v>
      </c>
    </row>
    <row r="385" spans="1:20" x14ac:dyDescent="0.25">
      <c r="A385" s="5">
        <v>44208</v>
      </c>
      <c r="B385">
        <v>0.35258</v>
      </c>
      <c r="C385">
        <v>0.41800999999999999</v>
      </c>
      <c r="D385">
        <v>0.33179999999999998</v>
      </c>
      <c r="E385">
        <v>0.38667000000000001</v>
      </c>
      <c r="F385">
        <v>33399848.800000001</v>
      </c>
      <c r="G385">
        <v>9.67</v>
      </c>
      <c r="L385" t="s">
        <v>8</v>
      </c>
      <c r="M385" t="s">
        <v>8</v>
      </c>
      <c r="N385" t="s">
        <v>7</v>
      </c>
      <c r="P385">
        <f t="shared" si="970"/>
        <v>0.27293817422572841</v>
      </c>
      <c r="Q385">
        <f t="shared" si="971"/>
        <v>9116093.7508873865</v>
      </c>
      <c r="R385">
        <f t="shared" si="972"/>
        <v>-634780207.82140124</v>
      </c>
      <c r="S385">
        <f t="shared" si="973"/>
        <v>-6347.802078214012</v>
      </c>
      <c r="T385">
        <f t="shared" si="974"/>
        <v>-6.3478020782140119</v>
      </c>
    </row>
    <row r="386" spans="1:20" x14ac:dyDescent="0.25">
      <c r="A386" s="5">
        <v>44207</v>
      </c>
      <c r="B386">
        <v>0.41872999999999999</v>
      </c>
      <c r="C386">
        <v>0.41889999999999999</v>
      </c>
      <c r="D386">
        <v>0.30199999999999999</v>
      </c>
      <c r="E386">
        <v>0.35347000000000001</v>
      </c>
      <c r="F386">
        <v>42716921.799999997</v>
      </c>
      <c r="G386">
        <v>-15.59</v>
      </c>
      <c r="L386" t="s">
        <v>7</v>
      </c>
      <c r="M386" t="s">
        <v>7</v>
      </c>
      <c r="N386" t="s">
        <v>7</v>
      </c>
      <c r="P386">
        <f t="shared" si="970"/>
        <v>-0.11941830624465331</v>
      </c>
      <c r="Q386">
        <f t="shared" si="971"/>
        <v>-5101182.4493413065</v>
      </c>
      <c r="R386">
        <f t="shared" si="972"/>
        <v>-643896301.57228863</v>
      </c>
      <c r="S386">
        <f t="shared" si="973"/>
        <v>-6438.9630157228867</v>
      </c>
      <c r="T386">
        <f t="shared" si="974"/>
        <v>-6.4389630157228863</v>
      </c>
    </row>
    <row r="387" spans="1:20" x14ac:dyDescent="0.25">
      <c r="A387" s="5">
        <v>44206</v>
      </c>
      <c r="B387">
        <v>0.45533000000000001</v>
      </c>
      <c r="C387">
        <v>0.49</v>
      </c>
      <c r="D387">
        <v>0.38500000000000001</v>
      </c>
      <c r="E387">
        <v>0.41865999999999998</v>
      </c>
      <c r="F387">
        <v>30298264.899999999</v>
      </c>
      <c r="G387">
        <v>-8.0500000000000007</v>
      </c>
      <c r="L387" t="s">
        <v>7</v>
      </c>
      <c r="M387" t="s">
        <v>7</v>
      </c>
      <c r="N387" t="s">
        <v>7</v>
      </c>
      <c r="P387">
        <f t="shared" si="970"/>
        <v>-0.35885714285714337</v>
      </c>
      <c r="Q387">
        <f t="shared" si="971"/>
        <v>-10872748.775542872</v>
      </c>
      <c r="R387">
        <f t="shared" si="972"/>
        <v>-638795119.12294734</v>
      </c>
      <c r="S387">
        <f t="shared" si="973"/>
        <v>-6387.9511912294738</v>
      </c>
      <c r="T387">
        <f t="shared" si="974"/>
        <v>-6.3879511912294742</v>
      </c>
    </row>
    <row r="388" spans="1:20" x14ac:dyDescent="0.25">
      <c r="A388" s="5">
        <v>44205</v>
      </c>
      <c r="B388">
        <v>0.38350000000000001</v>
      </c>
      <c r="C388">
        <v>0.48499999999999999</v>
      </c>
      <c r="D388">
        <v>0.37119999999999997</v>
      </c>
      <c r="E388">
        <v>0.45532</v>
      </c>
      <c r="F388">
        <v>41081568</v>
      </c>
      <c r="G388">
        <v>18.73</v>
      </c>
      <c r="L388" t="s">
        <v>8</v>
      </c>
      <c r="M388" t="s">
        <v>8</v>
      </c>
      <c r="N388" t="s">
        <v>7</v>
      </c>
      <c r="P388">
        <f t="shared" si="970"/>
        <v>0.47838312829525514</v>
      </c>
      <c r="Q388">
        <f t="shared" si="971"/>
        <v>19652729.015114248</v>
      </c>
      <c r="R388">
        <f t="shared" si="972"/>
        <v>-627922370.34740448</v>
      </c>
      <c r="S388">
        <f t="shared" si="973"/>
        <v>-6279.2237034740447</v>
      </c>
      <c r="T388">
        <f t="shared" si="974"/>
        <v>-6.2792237034740443</v>
      </c>
    </row>
    <row r="389" spans="1:20" x14ac:dyDescent="0.25">
      <c r="A389" s="5">
        <v>44204</v>
      </c>
      <c r="B389">
        <v>0.41843000000000002</v>
      </c>
      <c r="C389">
        <v>0.45400000000000001</v>
      </c>
      <c r="D389">
        <v>0.35221000000000002</v>
      </c>
      <c r="E389">
        <v>0.38349</v>
      </c>
      <c r="F389">
        <v>82587763.200000003</v>
      </c>
      <c r="G389">
        <v>-8.35</v>
      </c>
      <c r="L389" t="s">
        <v>7</v>
      </c>
      <c r="M389" t="s">
        <v>7</v>
      </c>
      <c r="N389" t="s">
        <v>7</v>
      </c>
      <c r="P389">
        <f t="shared" si="970"/>
        <v>-0.38540131643579967</v>
      </c>
      <c r="Q389">
        <f t="shared" si="971"/>
        <v>-31829432.658768091</v>
      </c>
      <c r="R389">
        <f t="shared" si="972"/>
        <v>-647575099.36251867</v>
      </c>
      <c r="S389">
        <f t="shared" si="973"/>
        <v>-6475.7509936251863</v>
      </c>
      <c r="T389">
        <f t="shared" si="974"/>
        <v>-6.4757509936251862</v>
      </c>
    </row>
    <row r="390" spans="1:20" x14ac:dyDescent="0.25">
      <c r="A390" s="5">
        <v>44203</v>
      </c>
      <c r="B390">
        <v>0.29679</v>
      </c>
      <c r="C390">
        <v>0.73734999999999995</v>
      </c>
      <c r="D390">
        <v>0.29372999999999999</v>
      </c>
      <c r="E390">
        <v>0.41643999999999998</v>
      </c>
      <c r="F390">
        <v>144552864.59999999</v>
      </c>
      <c r="G390">
        <v>40.31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-0.446778774626933</v>
      </c>
      <c r="Q390">
        <f t="shared" ref="Q390:Q453" si="976">F390*P390</f>
        <v>-64583151.714800961</v>
      </c>
      <c r="R390">
        <f t="shared" ref="R390:R453" si="977">R391+Q390</f>
        <v>-615745666.70375061</v>
      </c>
      <c r="S390">
        <f t="shared" ref="S390:S453" si="978">R390/100000</f>
        <v>-6157.4566670375061</v>
      </c>
      <c r="T390">
        <f t="shared" ref="T390:T453" si="979">S390/1000</f>
        <v>-6.1574566670375059</v>
      </c>
    </row>
    <row r="391" spans="1:20" x14ac:dyDescent="0.25">
      <c r="A391" s="5">
        <v>44202</v>
      </c>
      <c r="B391">
        <v>0.28649999999999998</v>
      </c>
      <c r="C391">
        <v>0.30630000000000002</v>
      </c>
      <c r="D391">
        <v>0.26895000000000002</v>
      </c>
      <c r="E391">
        <v>0.29644999999999999</v>
      </c>
      <c r="F391">
        <v>26175109</v>
      </c>
      <c r="G391">
        <v>3.47</v>
      </c>
      <c r="L391" t="s">
        <v>8</v>
      </c>
      <c r="M391" t="s">
        <v>8</v>
      </c>
      <c r="N391" t="s">
        <v>7</v>
      </c>
      <c r="P391">
        <f t="shared" si="975"/>
        <v>0.47255689424363978</v>
      </c>
      <c r="Q391">
        <f t="shared" si="976"/>
        <v>12369228.215528743</v>
      </c>
      <c r="R391">
        <f t="shared" si="977"/>
        <v>-551162514.98894966</v>
      </c>
      <c r="S391">
        <f t="shared" si="978"/>
        <v>-5511.6251498894962</v>
      </c>
      <c r="T391">
        <f t="shared" si="979"/>
        <v>-5.5116251498894959</v>
      </c>
    </row>
    <row r="392" spans="1:20" x14ac:dyDescent="0.25">
      <c r="A392" s="5">
        <v>44201</v>
      </c>
      <c r="B392">
        <v>0.25724000000000002</v>
      </c>
      <c r="C392">
        <v>0.28999999999999998</v>
      </c>
      <c r="D392">
        <v>0.24085000000000001</v>
      </c>
      <c r="E392">
        <v>0.28649999999999998</v>
      </c>
      <c r="F392">
        <v>26845333.699999999</v>
      </c>
      <c r="G392">
        <v>11.37</v>
      </c>
      <c r="L392" t="s">
        <v>8</v>
      </c>
      <c r="M392" t="s">
        <v>8</v>
      </c>
      <c r="N392" t="s">
        <v>7</v>
      </c>
      <c r="P392">
        <f t="shared" si="975"/>
        <v>0.8575788402848421</v>
      </c>
      <c r="Q392">
        <f t="shared" si="976"/>
        <v>23021990.141505588</v>
      </c>
      <c r="R392">
        <f t="shared" si="977"/>
        <v>-563531743.20447838</v>
      </c>
      <c r="S392">
        <f t="shared" si="978"/>
        <v>-5635.3174320447843</v>
      </c>
      <c r="T392">
        <f t="shared" si="979"/>
        <v>-5.6353174320447845</v>
      </c>
    </row>
    <row r="393" spans="1:20" x14ac:dyDescent="0.25">
      <c r="A393" s="5">
        <v>44200</v>
      </c>
      <c r="B393">
        <v>0.28686</v>
      </c>
      <c r="C393">
        <v>0.31999</v>
      </c>
      <c r="D393">
        <v>0.22999</v>
      </c>
      <c r="E393">
        <v>0.25723000000000001</v>
      </c>
      <c r="F393">
        <v>55602352.5</v>
      </c>
      <c r="G393">
        <v>-10.33</v>
      </c>
      <c r="L393" t="s">
        <v>7</v>
      </c>
      <c r="M393" t="s">
        <v>7</v>
      </c>
      <c r="N393" t="s">
        <v>7</v>
      </c>
      <c r="P393">
        <f t="shared" si="975"/>
        <v>-0.39466666666666633</v>
      </c>
      <c r="Q393">
        <f t="shared" si="976"/>
        <v>-21944395.119999982</v>
      </c>
      <c r="R393">
        <f t="shared" si="977"/>
        <v>-586553733.34598398</v>
      </c>
      <c r="S393">
        <f t="shared" si="978"/>
        <v>-5865.5373334598398</v>
      </c>
      <c r="T393">
        <f t="shared" si="979"/>
        <v>-5.86553733345984</v>
      </c>
    </row>
    <row r="394" spans="1:20" x14ac:dyDescent="0.25">
      <c r="A394" s="5">
        <v>44199</v>
      </c>
      <c r="B394">
        <v>0.23455999999999999</v>
      </c>
      <c r="C394">
        <v>0.32246000000000002</v>
      </c>
      <c r="D394">
        <v>0.22857</v>
      </c>
      <c r="E394">
        <v>0.28686</v>
      </c>
      <c r="F394">
        <v>45489608.399999999</v>
      </c>
      <c r="G394">
        <v>22.3</v>
      </c>
      <c r="L394" t="s">
        <v>8</v>
      </c>
      <c r="M394" t="s">
        <v>8</v>
      </c>
      <c r="N394" t="s">
        <v>8</v>
      </c>
      <c r="P394">
        <f t="shared" si="975"/>
        <v>0.24166577910320566</v>
      </c>
      <c r="Q394">
        <f t="shared" si="976"/>
        <v>10993281.655085728</v>
      </c>
      <c r="R394">
        <f t="shared" si="977"/>
        <v>-564609338.22598398</v>
      </c>
      <c r="S394">
        <f t="shared" si="978"/>
        <v>-5646.0933822598399</v>
      </c>
      <c r="T394">
        <f t="shared" si="979"/>
        <v>-5.6460933822598403</v>
      </c>
    </row>
    <row r="395" spans="1:20" x14ac:dyDescent="0.25">
      <c r="A395" s="5">
        <v>44198</v>
      </c>
      <c r="B395">
        <v>0.21665999999999999</v>
      </c>
      <c r="C395">
        <v>0.249</v>
      </c>
      <c r="D395">
        <v>0.20868999999999999</v>
      </c>
      <c r="E395">
        <v>0.23455999999999999</v>
      </c>
      <c r="F395">
        <v>34598609</v>
      </c>
      <c r="G395">
        <v>8.26</v>
      </c>
      <c r="L395" t="s">
        <v>8</v>
      </c>
      <c r="M395" t="s">
        <v>8</v>
      </c>
      <c r="N395" t="s">
        <v>8</v>
      </c>
      <c r="P395">
        <f t="shared" si="975"/>
        <v>0.28355246837013126</v>
      </c>
      <c r="Q395">
        <f t="shared" si="976"/>
        <v>9810520.9841230381</v>
      </c>
      <c r="R395">
        <f t="shared" si="977"/>
        <v>-575602619.88106966</v>
      </c>
      <c r="S395">
        <f t="shared" si="978"/>
        <v>-5756.0261988106968</v>
      </c>
      <c r="T395">
        <f t="shared" si="979"/>
        <v>-5.7560261988106971</v>
      </c>
    </row>
    <row r="396" spans="1:20" x14ac:dyDescent="0.25">
      <c r="A396" s="5">
        <v>44197</v>
      </c>
      <c r="B396">
        <v>0.18459999999999999</v>
      </c>
      <c r="C396">
        <v>0.22</v>
      </c>
      <c r="D396">
        <v>0.18110000000000001</v>
      </c>
      <c r="E396">
        <v>0.21665999999999999</v>
      </c>
      <c r="F396">
        <v>20560764.100000001</v>
      </c>
      <c r="G396">
        <v>17.37</v>
      </c>
      <c r="L396" t="s">
        <v>8</v>
      </c>
      <c r="M396" t="s">
        <v>8</v>
      </c>
      <c r="N396" t="s">
        <v>8</v>
      </c>
      <c r="P396">
        <f t="shared" si="975"/>
        <v>0.82827763496143902</v>
      </c>
      <c r="Q396">
        <f t="shared" si="976"/>
        <v>17030021.061748061</v>
      </c>
      <c r="R396">
        <f t="shared" si="977"/>
        <v>-585413140.86519265</v>
      </c>
      <c r="S396">
        <f t="shared" si="978"/>
        <v>-5854.1314086519269</v>
      </c>
      <c r="T396">
        <f t="shared" si="979"/>
        <v>-5.8541314086519272</v>
      </c>
    </row>
    <row r="397" spans="1:20" x14ac:dyDescent="0.25">
      <c r="A397" s="5">
        <v>44196</v>
      </c>
      <c r="B397">
        <v>0.18007000000000001</v>
      </c>
      <c r="C397">
        <v>0.192</v>
      </c>
      <c r="D397">
        <v>0.17388000000000001</v>
      </c>
      <c r="E397">
        <v>0.18462000000000001</v>
      </c>
      <c r="F397">
        <v>8676010.3000000007</v>
      </c>
      <c r="G397">
        <v>2.5299999999999998</v>
      </c>
      <c r="L397" t="s">
        <v>7</v>
      </c>
      <c r="M397" t="s">
        <v>8</v>
      </c>
      <c r="N397" t="s">
        <v>8</v>
      </c>
      <c r="P397">
        <f t="shared" si="975"/>
        <v>0.18543046357615908</v>
      </c>
      <c r="Q397">
        <f t="shared" si="976"/>
        <v>1608796.6119205311</v>
      </c>
      <c r="R397">
        <f t="shared" si="977"/>
        <v>-602443161.92694068</v>
      </c>
      <c r="S397">
        <f t="shared" si="978"/>
        <v>-6024.4316192694068</v>
      </c>
      <c r="T397">
        <f t="shared" si="979"/>
        <v>-6.0244316192694072</v>
      </c>
    </row>
    <row r="398" spans="1:20" x14ac:dyDescent="0.25">
      <c r="A398" s="5">
        <v>44195</v>
      </c>
      <c r="B398">
        <v>0.19339999999999999</v>
      </c>
      <c r="C398">
        <v>0.19464000000000001</v>
      </c>
      <c r="D398">
        <v>0.17810000000000001</v>
      </c>
      <c r="E398">
        <v>0.18032999999999999</v>
      </c>
      <c r="F398">
        <v>15630638.9</v>
      </c>
      <c r="G398">
        <v>-6.76</v>
      </c>
      <c r="L398" t="s">
        <v>8</v>
      </c>
      <c r="M398" t="s">
        <v>8</v>
      </c>
      <c r="N398" t="s">
        <v>8</v>
      </c>
      <c r="P398">
        <f t="shared" si="975"/>
        <v>-0.7303506650544157</v>
      </c>
      <c r="Q398">
        <f t="shared" si="976"/>
        <v>-11415847.51584042</v>
      </c>
      <c r="R398">
        <f t="shared" si="977"/>
        <v>-604051958.53886116</v>
      </c>
      <c r="S398">
        <f t="shared" si="978"/>
        <v>-6040.5195853886116</v>
      </c>
      <c r="T398">
        <f t="shared" si="979"/>
        <v>-6.040519585388612</v>
      </c>
    </row>
    <row r="399" spans="1:20" x14ac:dyDescent="0.25">
      <c r="A399" s="5">
        <v>44194</v>
      </c>
      <c r="B399">
        <v>0.18472</v>
      </c>
      <c r="C399">
        <v>0.19511000000000001</v>
      </c>
      <c r="D399">
        <v>0.17158000000000001</v>
      </c>
      <c r="E399">
        <v>0.19341</v>
      </c>
      <c r="F399">
        <v>14275687.699999999</v>
      </c>
      <c r="G399">
        <v>4.7</v>
      </c>
      <c r="L399" t="s">
        <v>7</v>
      </c>
      <c r="M399" t="s">
        <v>8</v>
      </c>
      <c r="N399" t="s">
        <v>8</v>
      </c>
      <c r="P399">
        <f t="shared" si="975"/>
        <v>0.85550361240968908</v>
      </c>
      <c r="Q399">
        <f t="shared" si="976"/>
        <v>12212902.396982566</v>
      </c>
      <c r="R399">
        <f t="shared" si="977"/>
        <v>-592636111.02302074</v>
      </c>
      <c r="S399">
        <f t="shared" si="978"/>
        <v>-5926.3611102302075</v>
      </c>
      <c r="T399">
        <f t="shared" si="979"/>
        <v>-5.9263611102302072</v>
      </c>
    </row>
    <row r="400" spans="1:20" x14ac:dyDescent="0.25">
      <c r="A400" s="5">
        <v>44193</v>
      </c>
      <c r="B400">
        <v>0.17433000000000001</v>
      </c>
      <c r="C400">
        <v>0.19800000000000001</v>
      </c>
      <c r="D400">
        <v>0.1736</v>
      </c>
      <c r="E400">
        <v>0.18451000000000001</v>
      </c>
      <c r="F400">
        <v>16358493.5</v>
      </c>
      <c r="G400">
        <v>5.84</v>
      </c>
      <c r="L400" t="s">
        <v>8</v>
      </c>
      <c r="M400" t="s">
        <v>8</v>
      </c>
      <c r="N400" t="s">
        <v>8</v>
      </c>
      <c r="P400">
        <f t="shared" si="975"/>
        <v>-0.10573770491803272</v>
      </c>
      <c r="Q400">
        <f t="shared" si="976"/>
        <v>-1729709.5586065564</v>
      </c>
      <c r="R400">
        <f t="shared" si="977"/>
        <v>-604849013.42000329</v>
      </c>
      <c r="S400">
        <f t="shared" si="978"/>
        <v>-6048.490134200033</v>
      </c>
      <c r="T400">
        <f t="shared" si="979"/>
        <v>-6.0484901342000335</v>
      </c>
    </row>
    <row r="401" spans="1:20" x14ac:dyDescent="0.25">
      <c r="A401" s="5">
        <v>44192</v>
      </c>
      <c r="B401">
        <v>0.16702</v>
      </c>
      <c r="C401">
        <v>0.18881000000000001</v>
      </c>
      <c r="D401">
        <v>0.15462000000000001</v>
      </c>
      <c r="E401">
        <v>0.17396</v>
      </c>
      <c r="F401">
        <v>19081329.699999999</v>
      </c>
      <c r="G401">
        <v>4.16</v>
      </c>
      <c r="L401" t="s">
        <v>7</v>
      </c>
      <c r="M401" t="s">
        <v>7</v>
      </c>
      <c r="N401" t="s">
        <v>7</v>
      </c>
      <c r="P401">
        <f t="shared" si="975"/>
        <v>0.13132494881544293</v>
      </c>
      <c r="Q401">
        <f t="shared" si="976"/>
        <v>2505854.6461830908</v>
      </c>
      <c r="R401">
        <f t="shared" si="977"/>
        <v>-603119303.86139679</v>
      </c>
      <c r="S401">
        <f t="shared" si="978"/>
        <v>-6031.1930386139675</v>
      </c>
      <c r="T401">
        <f t="shared" si="979"/>
        <v>-6.0311930386139672</v>
      </c>
    </row>
    <row r="402" spans="1:20" x14ac:dyDescent="0.25">
      <c r="A402" s="5">
        <v>44191</v>
      </c>
      <c r="B402">
        <v>0.16889999999999999</v>
      </c>
      <c r="C402">
        <v>0.17599999999999999</v>
      </c>
      <c r="D402">
        <v>0.16311</v>
      </c>
      <c r="E402">
        <v>0.16719000000000001</v>
      </c>
      <c r="F402">
        <v>11221841.800000001</v>
      </c>
      <c r="G402">
        <v>-1.01</v>
      </c>
      <c r="L402" t="s">
        <v>7</v>
      </c>
      <c r="M402" t="s">
        <v>8</v>
      </c>
      <c r="N402" t="s">
        <v>7</v>
      </c>
      <c r="P402">
        <f t="shared" si="975"/>
        <v>-0.36695112490302478</v>
      </c>
      <c r="Q402">
        <f t="shared" si="976"/>
        <v>-4117867.4719937849</v>
      </c>
      <c r="R402">
        <f t="shared" si="977"/>
        <v>-605625158.50757992</v>
      </c>
      <c r="S402">
        <f t="shared" si="978"/>
        <v>-6056.2515850757991</v>
      </c>
      <c r="T402">
        <f t="shared" si="979"/>
        <v>-6.056251585075799</v>
      </c>
    </row>
    <row r="403" spans="1:20" x14ac:dyDescent="0.25">
      <c r="A403" s="5">
        <v>44190</v>
      </c>
      <c r="B403">
        <v>0.18185000000000001</v>
      </c>
      <c r="C403">
        <v>0.18554999999999999</v>
      </c>
      <c r="D403">
        <v>0.16500000000000001</v>
      </c>
      <c r="E403">
        <v>0.16889999999999999</v>
      </c>
      <c r="F403">
        <v>9207477.4000000004</v>
      </c>
      <c r="G403">
        <v>-7.12</v>
      </c>
      <c r="L403" t="s">
        <v>7</v>
      </c>
      <c r="M403" t="s">
        <v>8</v>
      </c>
      <c r="N403" t="s">
        <v>7</v>
      </c>
      <c r="P403">
        <f t="shared" si="975"/>
        <v>-0.62043795620438058</v>
      </c>
      <c r="Q403">
        <f t="shared" si="976"/>
        <v>-5712668.4598540245</v>
      </c>
      <c r="R403">
        <f t="shared" si="977"/>
        <v>-601507291.03558612</v>
      </c>
      <c r="S403">
        <f t="shared" si="978"/>
        <v>-6015.0729103558615</v>
      </c>
      <c r="T403">
        <f t="shared" si="979"/>
        <v>-6.0150729103558618</v>
      </c>
    </row>
    <row r="404" spans="1:20" x14ac:dyDescent="0.25">
      <c r="A404" s="5">
        <v>44189</v>
      </c>
      <c r="B404">
        <v>0.17363999999999999</v>
      </c>
      <c r="C404">
        <v>0.18512000000000001</v>
      </c>
      <c r="D404">
        <v>0.15831000000000001</v>
      </c>
      <c r="E404">
        <v>0.18181</v>
      </c>
      <c r="F404">
        <v>15249363.199999999</v>
      </c>
      <c r="G404">
        <v>4.71</v>
      </c>
      <c r="L404" t="s">
        <v>8</v>
      </c>
      <c r="M404" t="s">
        <v>8</v>
      </c>
      <c r="N404" t="s">
        <v>7</v>
      </c>
      <c r="P404">
        <f t="shared" si="975"/>
        <v>0.75307720999626948</v>
      </c>
      <c r="Q404">
        <f t="shared" si="976"/>
        <v>11483947.892875783</v>
      </c>
      <c r="R404">
        <f t="shared" si="977"/>
        <v>-595794622.57573211</v>
      </c>
      <c r="S404">
        <f t="shared" si="978"/>
        <v>-5957.9462257573214</v>
      </c>
      <c r="T404">
        <f t="shared" si="979"/>
        <v>-5.957946225757321</v>
      </c>
    </row>
    <row r="405" spans="1:20" x14ac:dyDescent="0.25">
      <c r="A405" s="5">
        <v>44188</v>
      </c>
      <c r="B405">
        <v>0.20749999999999999</v>
      </c>
      <c r="C405">
        <v>0.20904</v>
      </c>
      <c r="D405">
        <v>0.14828</v>
      </c>
      <c r="E405">
        <v>0.17366999999999999</v>
      </c>
      <c r="F405">
        <v>14862482.1</v>
      </c>
      <c r="G405">
        <v>-16.3</v>
      </c>
      <c r="L405" t="s">
        <v>7</v>
      </c>
      <c r="M405" t="s">
        <v>7</v>
      </c>
      <c r="N405" t="s">
        <v>7</v>
      </c>
      <c r="P405">
        <f t="shared" si="975"/>
        <v>-0.16425279789335115</v>
      </c>
      <c r="Q405">
        <f t="shared" si="976"/>
        <v>-2441204.2685648492</v>
      </c>
      <c r="R405">
        <f t="shared" si="977"/>
        <v>-607278570.4686079</v>
      </c>
      <c r="S405">
        <f t="shared" si="978"/>
        <v>-6072.785704686079</v>
      </c>
      <c r="T405">
        <f t="shared" si="979"/>
        <v>-6.0727857046860789</v>
      </c>
    </row>
    <row r="406" spans="1:20" x14ac:dyDescent="0.25">
      <c r="A406" s="5">
        <v>44187</v>
      </c>
      <c r="B406">
        <v>0.20437</v>
      </c>
      <c r="C406">
        <v>0.21809999999999999</v>
      </c>
      <c r="D406">
        <v>0.18811</v>
      </c>
      <c r="E406">
        <v>0.20759</v>
      </c>
      <c r="F406">
        <v>14325723.4</v>
      </c>
      <c r="G406">
        <v>1.58</v>
      </c>
      <c r="L406" t="s">
        <v>7</v>
      </c>
      <c r="M406" t="s">
        <v>7</v>
      </c>
      <c r="N406" t="s">
        <v>8</v>
      </c>
      <c r="P406">
        <f t="shared" si="975"/>
        <v>0.29909969989996693</v>
      </c>
      <c r="Q406">
        <f t="shared" si="976"/>
        <v>4284819.569789934</v>
      </c>
      <c r="R406">
        <f t="shared" si="977"/>
        <v>-604837366.20004308</v>
      </c>
      <c r="S406">
        <f t="shared" si="978"/>
        <v>-6048.3736620004311</v>
      </c>
      <c r="T406">
        <f t="shared" si="979"/>
        <v>-6.0483736620004311</v>
      </c>
    </row>
    <row r="407" spans="1:20" x14ac:dyDescent="0.25">
      <c r="A407" s="5">
        <v>44186</v>
      </c>
      <c r="B407">
        <v>0.21102000000000001</v>
      </c>
      <c r="C407">
        <v>0.21967999999999999</v>
      </c>
      <c r="D407">
        <v>0.19586999999999999</v>
      </c>
      <c r="E407">
        <v>0.20465</v>
      </c>
      <c r="F407">
        <v>16043910.199999999</v>
      </c>
      <c r="G407">
        <v>-3.02</v>
      </c>
      <c r="L407" t="s">
        <v>7</v>
      </c>
      <c r="M407" t="s">
        <v>7</v>
      </c>
      <c r="N407" t="s">
        <v>8</v>
      </c>
      <c r="P407">
        <f t="shared" si="975"/>
        <v>-0.26249475010499701</v>
      </c>
      <c r="Q407">
        <f t="shared" si="976"/>
        <v>-4211442.1986560123</v>
      </c>
      <c r="R407">
        <f t="shared" si="977"/>
        <v>-609122185.76983297</v>
      </c>
      <c r="S407">
        <f t="shared" si="978"/>
        <v>-6091.2218576983296</v>
      </c>
      <c r="T407">
        <f t="shared" si="979"/>
        <v>-6.0912218576983292</v>
      </c>
    </row>
    <row r="408" spans="1:20" x14ac:dyDescent="0.25">
      <c r="A408" s="5">
        <v>44185</v>
      </c>
      <c r="B408">
        <v>0.22764000000000001</v>
      </c>
      <c r="C408">
        <v>0.23588999999999999</v>
      </c>
      <c r="D408">
        <v>0.20580999999999999</v>
      </c>
      <c r="E408">
        <v>0.21101</v>
      </c>
      <c r="F408">
        <v>19024538.600000001</v>
      </c>
      <c r="G408">
        <v>-7.31</v>
      </c>
      <c r="L408" t="s">
        <v>7</v>
      </c>
      <c r="M408" t="s">
        <v>7</v>
      </c>
      <c r="N408" t="s">
        <v>8</v>
      </c>
      <c r="P408">
        <f t="shared" si="975"/>
        <v>-0.65425531914893542</v>
      </c>
      <c r="Q408">
        <f t="shared" si="976"/>
        <v>-12446905.573404241</v>
      </c>
      <c r="R408">
        <f t="shared" si="977"/>
        <v>-604910743.57117701</v>
      </c>
      <c r="S408">
        <f t="shared" si="978"/>
        <v>-6049.1074357117704</v>
      </c>
      <c r="T408">
        <f t="shared" si="979"/>
        <v>-6.04910743571177</v>
      </c>
    </row>
    <row r="409" spans="1:20" x14ac:dyDescent="0.25">
      <c r="A409" s="5">
        <v>44184</v>
      </c>
      <c r="B409">
        <v>0.24021999999999999</v>
      </c>
      <c r="C409">
        <v>0.25087999999999999</v>
      </c>
      <c r="D409">
        <v>0.22600000000000001</v>
      </c>
      <c r="E409">
        <v>0.22764000000000001</v>
      </c>
      <c r="F409">
        <v>16924574.300000001</v>
      </c>
      <c r="G409">
        <v>-5.24</v>
      </c>
      <c r="L409" t="s">
        <v>8</v>
      </c>
      <c r="M409" t="s">
        <v>8</v>
      </c>
      <c r="N409" t="s">
        <v>8</v>
      </c>
      <c r="P409">
        <f t="shared" si="975"/>
        <v>-0.86816720257234703</v>
      </c>
      <c r="Q409">
        <f t="shared" si="976"/>
        <v>-14693360.324758839</v>
      </c>
      <c r="R409">
        <f t="shared" si="977"/>
        <v>-592463837.99777281</v>
      </c>
      <c r="S409">
        <f t="shared" si="978"/>
        <v>-5924.6383799777277</v>
      </c>
      <c r="T409">
        <f t="shared" si="979"/>
        <v>-5.9246383799777274</v>
      </c>
    </row>
    <row r="410" spans="1:20" x14ac:dyDescent="0.25">
      <c r="A410" s="5">
        <v>44183</v>
      </c>
      <c r="B410">
        <v>0.22817999999999999</v>
      </c>
      <c r="C410">
        <v>0.24854000000000001</v>
      </c>
      <c r="D410">
        <v>0.22087000000000001</v>
      </c>
      <c r="E410">
        <v>0.24031</v>
      </c>
      <c r="F410">
        <v>21989034.5</v>
      </c>
      <c r="G410">
        <v>5.32</v>
      </c>
      <c r="L410" t="s">
        <v>7</v>
      </c>
      <c r="M410" t="s">
        <v>8</v>
      </c>
      <c r="N410" t="s">
        <v>8</v>
      </c>
      <c r="P410">
        <f t="shared" si="975"/>
        <v>0.40513191181785219</v>
      </c>
      <c r="Q410">
        <f t="shared" si="976"/>
        <v>8908459.5860137101</v>
      </c>
      <c r="R410">
        <f t="shared" si="977"/>
        <v>-577770477.67301393</v>
      </c>
      <c r="S410">
        <f t="shared" si="978"/>
        <v>-5777.7047767301392</v>
      </c>
      <c r="T410">
        <f t="shared" si="979"/>
        <v>-5.7777047767301388</v>
      </c>
    </row>
    <row r="411" spans="1:20" x14ac:dyDescent="0.25">
      <c r="A411" s="5">
        <v>44182</v>
      </c>
      <c r="B411">
        <v>0.23758000000000001</v>
      </c>
      <c r="C411">
        <v>0.25800000000000001</v>
      </c>
      <c r="D411">
        <v>0.22486999999999999</v>
      </c>
      <c r="E411">
        <v>0.22805</v>
      </c>
      <c r="F411">
        <v>34408037.399999999</v>
      </c>
      <c r="G411">
        <v>-4.01</v>
      </c>
      <c r="L411" t="s">
        <v>8</v>
      </c>
      <c r="M411" t="s">
        <v>8</v>
      </c>
      <c r="N411" t="s">
        <v>8</v>
      </c>
      <c r="P411">
        <f t="shared" si="975"/>
        <v>-0.80802897675822427</v>
      </c>
      <c r="Q411">
        <f t="shared" si="976"/>
        <v>-27802691.25258071</v>
      </c>
      <c r="R411">
        <f t="shared" si="977"/>
        <v>-586678937.2590276</v>
      </c>
      <c r="S411">
        <f t="shared" si="978"/>
        <v>-5866.7893725902759</v>
      </c>
      <c r="T411">
        <f t="shared" si="979"/>
        <v>-5.8667893725902758</v>
      </c>
    </row>
    <row r="412" spans="1:20" x14ac:dyDescent="0.25">
      <c r="A412" s="5">
        <v>44181</v>
      </c>
      <c r="B412">
        <v>0.19370000000000001</v>
      </c>
      <c r="C412">
        <v>0.24667</v>
      </c>
      <c r="D412">
        <v>0.19028</v>
      </c>
      <c r="E412">
        <v>0.23760000000000001</v>
      </c>
      <c r="F412">
        <v>50551538</v>
      </c>
      <c r="G412">
        <v>22.66</v>
      </c>
      <c r="L412" t="s">
        <v>8</v>
      </c>
      <c r="M412" t="s">
        <v>8</v>
      </c>
      <c r="N412" t="s">
        <v>8</v>
      </c>
      <c r="P412">
        <f t="shared" si="975"/>
        <v>0.67831175740379512</v>
      </c>
      <c r="Q412">
        <f t="shared" si="976"/>
        <v>34289702.580244727</v>
      </c>
      <c r="R412">
        <f t="shared" si="977"/>
        <v>-558876246.00644684</v>
      </c>
      <c r="S412">
        <f t="shared" si="978"/>
        <v>-5588.7624600644685</v>
      </c>
      <c r="T412">
        <f t="shared" si="979"/>
        <v>-5.5887624600644683</v>
      </c>
    </row>
    <row r="413" spans="1:20" x14ac:dyDescent="0.25">
      <c r="A413" s="5">
        <v>44180</v>
      </c>
      <c r="B413">
        <v>0.20699999999999999</v>
      </c>
      <c r="C413">
        <v>0.21001</v>
      </c>
      <c r="D413">
        <v>0.19055</v>
      </c>
      <c r="E413">
        <v>0.19298999999999999</v>
      </c>
      <c r="F413">
        <v>15177628.1</v>
      </c>
      <c r="G413">
        <v>-6.77</v>
      </c>
      <c r="L413" t="s">
        <v>7</v>
      </c>
      <c r="M413" t="s">
        <v>8</v>
      </c>
      <c r="N413" t="s">
        <v>7</v>
      </c>
      <c r="P413">
        <f t="shared" si="975"/>
        <v>-0.74922918807810923</v>
      </c>
      <c r="Q413">
        <f t="shared" si="976"/>
        <v>-11371521.978314495</v>
      </c>
      <c r="R413">
        <f t="shared" si="977"/>
        <v>-593165948.58669162</v>
      </c>
      <c r="S413">
        <f t="shared" si="978"/>
        <v>-5931.6594858669159</v>
      </c>
      <c r="T413">
        <f t="shared" si="979"/>
        <v>-5.9316594858669163</v>
      </c>
    </row>
    <row r="414" spans="1:20" x14ac:dyDescent="0.25">
      <c r="A414" s="5">
        <v>44179</v>
      </c>
      <c r="B414">
        <v>0.20454</v>
      </c>
      <c r="C414">
        <v>0.20931</v>
      </c>
      <c r="D414">
        <v>0.19447</v>
      </c>
      <c r="E414">
        <v>0.20665</v>
      </c>
      <c r="F414">
        <v>14973224.800000001</v>
      </c>
      <c r="G414">
        <v>1.03</v>
      </c>
      <c r="L414" t="s">
        <v>7</v>
      </c>
      <c r="M414" t="s">
        <v>8</v>
      </c>
      <c r="N414" t="s">
        <v>7</v>
      </c>
      <c r="P414">
        <f t="shared" si="975"/>
        <v>0.64150943396226456</v>
      </c>
      <c r="Q414">
        <f t="shared" si="976"/>
        <v>9605464.9660377428</v>
      </c>
      <c r="R414">
        <f t="shared" si="977"/>
        <v>-581794426.6083771</v>
      </c>
      <c r="S414">
        <f t="shared" si="978"/>
        <v>-5817.9442660837713</v>
      </c>
      <c r="T414">
        <f t="shared" si="979"/>
        <v>-5.8179442660837717</v>
      </c>
    </row>
    <row r="415" spans="1:20" x14ac:dyDescent="0.25">
      <c r="A415" s="5">
        <v>44178</v>
      </c>
      <c r="B415">
        <v>0.20261000000000001</v>
      </c>
      <c r="C415">
        <v>0.21987000000000001</v>
      </c>
      <c r="D415">
        <v>0.19556999999999999</v>
      </c>
      <c r="E415">
        <v>0.20477000000000001</v>
      </c>
      <c r="F415">
        <v>23605655.800000001</v>
      </c>
      <c r="G415">
        <v>1.07</v>
      </c>
      <c r="L415" t="s">
        <v>8</v>
      </c>
      <c r="M415" t="s">
        <v>8</v>
      </c>
      <c r="N415" t="s">
        <v>7</v>
      </c>
      <c r="P415">
        <f t="shared" si="975"/>
        <v>-0.24279835390946439</v>
      </c>
      <c r="Q415">
        <f t="shared" si="976"/>
        <v>-5731414.3711934006</v>
      </c>
      <c r="R415">
        <f t="shared" si="977"/>
        <v>-591399891.57441485</v>
      </c>
      <c r="S415">
        <f t="shared" si="978"/>
        <v>-5913.9989157441487</v>
      </c>
      <c r="T415">
        <f t="shared" si="979"/>
        <v>-5.9139989157441484</v>
      </c>
    </row>
    <row r="416" spans="1:20" x14ac:dyDescent="0.25">
      <c r="A416" s="5">
        <v>44177</v>
      </c>
      <c r="B416">
        <v>0.17449999999999999</v>
      </c>
      <c r="C416">
        <v>0.20902999999999999</v>
      </c>
      <c r="D416">
        <v>0.1729</v>
      </c>
      <c r="E416">
        <v>0.20233999999999999</v>
      </c>
      <c r="F416">
        <v>34979755.200000003</v>
      </c>
      <c r="G416">
        <v>15.95</v>
      </c>
      <c r="L416" t="s">
        <v>8</v>
      </c>
      <c r="M416" t="s">
        <v>7</v>
      </c>
      <c r="N416" t="s">
        <v>7</v>
      </c>
      <c r="P416">
        <f t="shared" si="975"/>
        <v>0.62967063382230826</v>
      </c>
      <c r="Q416">
        <f t="shared" si="976"/>
        <v>22025724.627733186</v>
      </c>
      <c r="R416">
        <f t="shared" si="977"/>
        <v>-585668477.20322144</v>
      </c>
      <c r="S416">
        <f t="shared" si="978"/>
        <v>-5856.6847720322148</v>
      </c>
      <c r="T416">
        <f t="shared" si="979"/>
        <v>-5.8566847720322146</v>
      </c>
    </row>
    <row r="417" spans="1:20" x14ac:dyDescent="0.25">
      <c r="A417" s="5">
        <v>44176</v>
      </c>
      <c r="B417">
        <v>0.20749999999999999</v>
      </c>
      <c r="C417">
        <v>0.20785000000000001</v>
      </c>
      <c r="D417">
        <v>0.17391000000000001</v>
      </c>
      <c r="E417">
        <v>0.17394000000000001</v>
      </c>
      <c r="F417">
        <v>28774091.5</v>
      </c>
      <c r="G417">
        <v>-16.170000000000002</v>
      </c>
      <c r="L417" t="s">
        <v>7</v>
      </c>
      <c r="M417" t="s">
        <v>7</v>
      </c>
      <c r="N417" t="s">
        <v>7</v>
      </c>
      <c r="P417">
        <f t="shared" si="975"/>
        <v>-0.99823217442545653</v>
      </c>
      <c r="Q417">
        <f t="shared" si="976"/>
        <v>-28723223.925162047</v>
      </c>
      <c r="R417">
        <f t="shared" si="977"/>
        <v>-607694201.83095467</v>
      </c>
      <c r="S417">
        <f t="shared" si="978"/>
        <v>-6076.9420183095463</v>
      </c>
      <c r="T417">
        <f t="shared" si="979"/>
        <v>-6.0769420183095466</v>
      </c>
    </row>
    <row r="418" spans="1:20" x14ac:dyDescent="0.25">
      <c r="A418" s="5">
        <v>44175</v>
      </c>
      <c r="B418">
        <v>0.22162000000000001</v>
      </c>
      <c r="C418">
        <v>0.22322</v>
      </c>
      <c r="D418">
        <v>0.2</v>
      </c>
      <c r="E418">
        <v>0.20702999999999999</v>
      </c>
      <c r="F418">
        <v>15190624.800000001</v>
      </c>
      <c r="G418">
        <v>-6.58</v>
      </c>
      <c r="L418" t="s">
        <v>8</v>
      </c>
      <c r="M418" t="s">
        <v>8</v>
      </c>
      <c r="N418" t="s">
        <v>7</v>
      </c>
      <c r="P418">
        <f t="shared" si="975"/>
        <v>-0.39448751076658195</v>
      </c>
      <c r="Q418">
        <f t="shared" si="976"/>
        <v>-5992511.7643411066</v>
      </c>
      <c r="R418">
        <f t="shared" si="977"/>
        <v>-578970977.90579259</v>
      </c>
      <c r="S418">
        <f t="shared" si="978"/>
        <v>-5789.7097790579255</v>
      </c>
      <c r="T418">
        <f t="shared" si="979"/>
        <v>-5.7897097790579259</v>
      </c>
    </row>
    <row r="419" spans="1:20" x14ac:dyDescent="0.25">
      <c r="A419" s="5">
        <v>44174</v>
      </c>
      <c r="B419">
        <v>0.20824999999999999</v>
      </c>
      <c r="C419">
        <v>0.23701</v>
      </c>
      <c r="D419">
        <v>0.18867</v>
      </c>
      <c r="E419">
        <v>0.2225</v>
      </c>
      <c r="F419">
        <v>39847830.299999997</v>
      </c>
      <c r="G419">
        <v>6.84</v>
      </c>
      <c r="L419" t="s">
        <v>7</v>
      </c>
      <c r="M419" t="s">
        <v>7</v>
      </c>
      <c r="N419" t="s">
        <v>7</v>
      </c>
      <c r="P419">
        <f t="shared" si="975"/>
        <v>0.39966901117087311</v>
      </c>
      <c r="Q419">
        <f t="shared" si="976"/>
        <v>15925942.933305755</v>
      </c>
      <c r="R419">
        <f t="shared" si="977"/>
        <v>-572978466.14145148</v>
      </c>
      <c r="S419">
        <f t="shared" si="978"/>
        <v>-5729.7846614145146</v>
      </c>
      <c r="T419">
        <f t="shared" si="979"/>
        <v>-5.7297846614145147</v>
      </c>
    </row>
    <row r="420" spans="1:20" x14ac:dyDescent="0.25">
      <c r="A420" s="5">
        <v>44173</v>
      </c>
      <c r="B420">
        <v>0.23894000000000001</v>
      </c>
      <c r="C420">
        <v>0.24424000000000001</v>
      </c>
      <c r="D420">
        <v>0.20438000000000001</v>
      </c>
      <c r="E420">
        <v>0.20816999999999999</v>
      </c>
      <c r="F420">
        <v>29650357.899999999</v>
      </c>
      <c r="G420">
        <v>-12.88</v>
      </c>
      <c r="L420" t="s">
        <v>7</v>
      </c>
      <c r="M420" t="s">
        <v>7</v>
      </c>
      <c r="N420" t="s">
        <v>7</v>
      </c>
      <c r="P420">
        <f t="shared" si="975"/>
        <v>-0.80983442047165144</v>
      </c>
      <c r="Q420">
        <f t="shared" si="976"/>
        <v>-24011880.406723551</v>
      </c>
      <c r="R420">
        <f t="shared" si="977"/>
        <v>-588904409.07475722</v>
      </c>
      <c r="S420">
        <f t="shared" si="978"/>
        <v>-5889.0440907475722</v>
      </c>
      <c r="T420">
        <f t="shared" si="979"/>
        <v>-5.8890440907475723</v>
      </c>
    </row>
    <row r="421" spans="1:20" x14ac:dyDescent="0.25">
      <c r="A421" s="5">
        <v>44172</v>
      </c>
      <c r="B421">
        <v>0.25394</v>
      </c>
      <c r="C421">
        <v>0.25790999999999997</v>
      </c>
      <c r="D421">
        <v>0.23665</v>
      </c>
      <c r="E421">
        <v>0.23894000000000001</v>
      </c>
      <c r="F421">
        <v>18212799.800000001</v>
      </c>
      <c r="G421">
        <v>-5.91</v>
      </c>
      <c r="L421" t="s">
        <v>7</v>
      </c>
      <c r="M421" t="s">
        <v>7</v>
      </c>
      <c r="N421" t="s">
        <v>8</v>
      </c>
      <c r="P421">
        <f t="shared" si="975"/>
        <v>-0.7845719661335826</v>
      </c>
      <c r="Q421">
        <f t="shared" si="976"/>
        <v>-14289252.14788332</v>
      </c>
      <c r="R421">
        <f t="shared" si="977"/>
        <v>-564892528.66803372</v>
      </c>
      <c r="S421">
        <f t="shared" si="978"/>
        <v>-5648.9252866803372</v>
      </c>
      <c r="T421">
        <f t="shared" si="979"/>
        <v>-5.6489252866803374</v>
      </c>
    </row>
    <row r="422" spans="1:20" x14ac:dyDescent="0.25">
      <c r="A422" s="5">
        <v>44171</v>
      </c>
      <c r="B422">
        <v>0.26047999999999999</v>
      </c>
      <c r="C422">
        <v>0.26500000000000001</v>
      </c>
      <c r="D422">
        <v>0.24099999999999999</v>
      </c>
      <c r="E422">
        <v>0.25435000000000002</v>
      </c>
      <c r="F422">
        <v>16396423</v>
      </c>
      <c r="G422">
        <v>-2.35</v>
      </c>
      <c r="L422" t="s">
        <v>7</v>
      </c>
      <c r="M422" t="s">
        <v>7</v>
      </c>
      <c r="N422" t="s">
        <v>8</v>
      </c>
      <c r="P422">
        <f t="shared" si="975"/>
        <v>0.11250000000000139</v>
      </c>
      <c r="Q422">
        <f t="shared" si="976"/>
        <v>1844597.5875000227</v>
      </c>
      <c r="R422">
        <f t="shared" si="977"/>
        <v>-550603276.52015042</v>
      </c>
      <c r="S422">
        <f t="shared" si="978"/>
        <v>-5506.0327652015039</v>
      </c>
      <c r="T422">
        <f t="shared" si="979"/>
        <v>-5.5060327652015042</v>
      </c>
    </row>
    <row r="423" spans="1:20" x14ac:dyDescent="0.25">
      <c r="A423" s="5">
        <v>44170</v>
      </c>
      <c r="B423">
        <v>0.23266000000000001</v>
      </c>
      <c r="C423">
        <v>0.26650000000000001</v>
      </c>
      <c r="D423">
        <v>0.23</v>
      </c>
      <c r="E423">
        <v>0.26049</v>
      </c>
      <c r="F423">
        <v>18400434.199999999</v>
      </c>
      <c r="G423">
        <v>11.96</v>
      </c>
      <c r="L423" t="s">
        <v>8</v>
      </c>
      <c r="M423" t="s">
        <v>7</v>
      </c>
      <c r="N423" t="s">
        <v>8</v>
      </c>
      <c r="P423">
        <f t="shared" si="975"/>
        <v>0.67068493150684849</v>
      </c>
      <c r="Q423">
        <f t="shared" si="976"/>
        <v>12340893.951123271</v>
      </c>
      <c r="R423">
        <f t="shared" si="977"/>
        <v>-552447874.1076504</v>
      </c>
      <c r="S423">
        <f t="shared" si="978"/>
        <v>-5524.4787410765039</v>
      </c>
      <c r="T423">
        <f t="shared" si="979"/>
        <v>-5.5244787410765035</v>
      </c>
    </row>
    <row r="424" spans="1:20" x14ac:dyDescent="0.25">
      <c r="A424" s="5">
        <v>44169</v>
      </c>
      <c r="B424">
        <v>0.28290999999999999</v>
      </c>
      <c r="C424">
        <v>0.29382999999999998</v>
      </c>
      <c r="D424">
        <v>0.23</v>
      </c>
      <c r="E424">
        <v>0.2329</v>
      </c>
      <c r="F424">
        <v>47595690</v>
      </c>
      <c r="G424">
        <v>-17.68</v>
      </c>
      <c r="L424" t="s">
        <v>7</v>
      </c>
      <c r="M424" t="s">
        <v>7</v>
      </c>
      <c r="N424" t="s">
        <v>8</v>
      </c>
      <c r="P424">
        <f t="shared" si="975"/>
        <v>-0.90913363622121302</v>
      </c>
      <c r="Q424">
        <f t="shared" si="976"/>
        <v>-43270842.718157627</v>
      </c>
      <c r="R424">
        <f t="shared" si="977"/>
        <v>-564788768.05877364</v>
      </c>
      <c r="S424">
        <f t="shared" si="978"/>
        <v>-5647.8876805877362</v>
      </c>
      <c r="T424">
        <f t="shared" si="979"/>
        <v>-5.6478876805877363</v>
      </c>
    </row>
    <row r="425" spans="1:20" x14ac:dyDescent="0.25">
      <c r="A425" s="5">
        <v>44168</v>
      </c>
      <c r="B425">
        <v>0.26200000000000001</v>
      </c>
      <c r="C425">
        <v>0.30504999999999999</v>
      </c>
      <c r="D425">
        <v>0.25</v>
      </c>
      <c r="E425">
        <v>0.28292</v>
      </c>
      <c r="F425">
        <v>63202756.899999999</v>
      </c>
      <c r="G425">
        <v>7.98</v>
      </c>
      <c r="L425" t="s">
        <v>8</v>
      </c>
      <c r="M425" t="s">
        <v>8</v>
      </c>
      <c r="N425" t="s">
        <v>8</v>
      </c>
      <c r="P425">
        <f t="shared" si="975"/>
        <v>0.19600363306085422</v>
      </c>
      <c r="Q425">
        <f t="shared" si="976"/>
        <v>12387969.971861972</v>
      </c>
      <c r="R425">
        <f t="shared" si="977"/>
        <v>-521517925.34061599</v>
      </c>
      <c r="S425">
        <f t="shared" si="978"/>
        <v>-5215.1792534061597</v>
      </c>
      <c r="T425">
        <f t="shared" si="979"/>
        <v>-5.2151792534061601</v>
      </c>
    </row>
    <row r="426" spans="1:20" x14ac:dyDescent="0.25">
      <c r="A426" s="5">
        <v>44167</v>
      </c>
      <c r="B426">
        <v>0.22797000000000001</v>
      </c>
      <c r="C426">
        <v>0.27450000000000002</v>
      </c>
      <c r="D426">
        <v>0.22323000000000001</v>
      </c>
      <c r="E426">
        <v>0.26162000000000002</v>
      </c>
      <c r="F426">
        <v>38211296.100000001</v>
      </c>
      <c r="G426">
        <v>14.76</v>
      </c>
      <c r="L426" t="s">
        <v>8</v>
      </c>
      <c r="M426" t="s">
        <v>8</v>
      </c>
      <c r="N426" t="s">
        <v>8</v>
      </c>
      <c r="P426">
        <f t="shared" si="975"/>
        <v>0.4975619270528574</v>
      </c>
      <c r="Q426">
        <f t="shared" si="976"/>
        <v>19012486.122703336</v>
      </c>
      <c r="R426">
        <f t="shared" si="977"/>
        <v>-533905895.31247795</v>
      </c>
      <c r="S426">
        <f t="shared" si="978"/>
        <v>-5339.0589531247797</v>
      </c>
      <c r="T426">
        <f t="shared" si="979"/>
        <v>-5.3390589531247796</v>
      </c>
    </row>
    <row r="427" spans="1:20" x14ac:dyDescent="0.25">
      <c r="A427" s="5">
        <v>44166</v>
      </c>
      <c r="B427">
        <v>0.22944999999999999</v>
      </c>
      <c r="C427">
        <v>0.24176</v>
      </c>
      <c r="D427">
        <v>0.20788000000000001</v>
      </c>
      <c r="E427">
        <v>0.22797000000000001</v>
      </c>
      <c r="F427">
        <v>24708533.300000001</v>
      </c>
      <c r="G427">
        <v>-0.65</v>
      </c>
      <c r="L427" t="s">
        <v>7</v>
      </c>
      <c r="M427" t="s">
        <v>7</v>
      </c>
      <c r="N427" t="s">
        <v>7</v>
      </c>
      <c r="P427">
        <f t="shared" si="975"/>
        <v>0.18595041322314054</v>
      </c>
      <c r="Q427">
        <f t="shared" si="976"/>
        <v>4594561.9772727285</v>
      </c>
      <c r="R427">
        <f t="shared" si="977"/>
        <v>-552918381.43518126</v>
      </c>
      <c r="S427">
        <f t="shared" si="978"/>
        <v>-5529.1838143518125</v>
      </c>
      <c r="T427">
        <f t="shared" si="979"/>
        <v>-5.5291838143518124</v>
      </c>
    </row>
    <row r="428" spans="1:20" x14ac:dyDescent="0.25">
      <c r="A428" s="5">
        <v>44165</v>
      </c>
      <c r="B428">
        <v>0.22226000000000001</v>
      </c>
      <c r="C428">
        <v>0.25738</v>
      </c>
      <c r="D428">
        <v>0.22197</v>
      </c>
      <c r="E428">
        <v>0.22944999999999999</v>
      </c>
      <c r="F428">
        <v>36844115.299999997</v>
      </c>
      <c r="G428">
        <v>3.23</v>
      </c>
      <c r="L428" t="s">
        <v>8</v>
      </c>
      <c r="M428" t="s">
        <v>8</v>
      </c>
      <c r="N428" t="s">
        <v>7</v>
      </c>
      <c r="P428">
        <f t="shared" si="975"/>
        <v>-0.57752047444224863</v>
      </c>
      <c r="Q428">
        <f t="shared" si="976"/>
        <v>-21278230.94846091</v>
      </c>
      <c r="R428">
        <f t="shared" si="977"/>
        <v>-557512943.41245401</v>
      </c>
      <c r="S428">
        <f t="shared" si="978"/>
        <v>-5575.1294341245402</v>
      </c>
      <c r="T428">
        <f t="shared" si="979"/>
        <v>-5.5751294341245403</v>
      </c>
    </row>
    <row r="429" spans="1:20" x14ac:dyDescent="0.25">
      <c r="A429" s="5">
        <v>44164</v>
      </c>
      <c r="B429">
        <v>0.22331999999999999</v>
      </c>
      <c r="C429">
        <v>0.23</v>
      </c>
      <c r="D429">
        <v>0.20243</v>
      </c>
      <c r="E429">
        <v>0.22236</v>
      </c>
      <c r="F429">
        <v>27767319.300000001</v>
      </c>
      <c r="G429">
        <v>-0.43</v>
      </c>
      <c r="L429" t="s">
        <v>8</v>
      </c>
      <c r="M429" t="s">
        <v>7</v>
      </c>
      <c r="N429" t="s">
        <v>7</v>
      </c>
      <c r="P429">
        <f t="shared" si="975"/>
        <v>0.44577439245556727</v>
      </c>
      <c r="Q429">
        <f t="shared" si="976"/>
        <v>12377959.891077248</v>
      </c>
      <c r="R429">
        <f t="shared" si="977"/>
        <v>-536234712.46399313</v>
      </c>
      <c r="S429">
        <f t="shared" si="978"/>
        <v>-5362.3471246399313</v>
      </c>
      <c r="T429">
        <f t="shared" si="979"/>
        <v>-5.362347124639931</v>
      </c>
    </row>
    <row r="430" spans="1:20" x14ac:dyDescent="0.25">
      <c r="A430" s="5">
        <v>44163</v>
      </c>
      <c r="B430">
        <v>0.21931</v>
      </c>
      <c r="C430">
        <v>0.24199999999999999</v>
      </c>
      <c r="D430">
        <v>0.19289000000000001</v>
      </c>
      <c r="E430">
        <v>0.22437000000000001</v>
      </c>
      <c r="F430">
        <v>43314368.299999997</v>
      </c>
      <c r="G430">
        <v>2.31</v>
      </c>
      <c r="L430" t="s">
        <v>7</v>
      </c>
      <c r="M430" t="s">
        <v>7</v>
      </c>
      <c r="N430" t="s">
        <v>7</v>
      </c>
      <c r="P430">
        <f t="shared" si="975"/>
        <v>0.28201995520260703</v>
      </c>
      <c r="Q430">
        <f t="shared" si="976"/>
        <v>12215516.207595222</v>
      </c>
      <c r="R430">
        <f t="shared" si="977"/>
        <v>-548612672.35507035</v>
      </c>
      <c r="S430">
        <f t="shared" si="978"/>
        <v>-5486.1267235507039</v>
      </c>
      <c r="T430">
        <f t="shared" si="979"/>
        <v>-5.4861267235507043</v>
      </c>
    </row>
    <row r="431" spans="1:20" x14ac:dyDescent="0.25">
      <c r="A431" s="5">
        <v>44162</v>
      </c>
      <c r="B431">
        <v>0.21276999999999999</v>
      </c>
      <c r="C431">
        <v>0.24553</v>
      </c>
      <c r="D431">
        <v>0.20499999999999999</v>
      </c>
      <c r="E431">
        <v>0.21931</v>
      </c>
      <c r="F431">
        <v>36510005.799999997</v>
      </c>
      <c r="G431">
        <v>3.07</v>
      </c>
      <c r="L431" t="s">
        <v>8</v>
      </c>
      <c r="M431" t="s">
        <v>8</v>
      </c>
      <c r="N431" t="s">
        <v>7</v>
      </c>
      <c r="P431">
        <f t="shared" si="975"/>
        <v>-0.29385640266469215</v>
      </c>
      <c r="Q431">
        <f t="shared" si="976"/>
        <v>-10728698.965655046</v>
      </c>
      <c r="R431">
        <f t="shared" si="977"/>
        <v>-560828188.56266558</v>
      </c>
      <c r="S431">
        <f t="shared" si="978"/>
        <v>-5608.2818856266558</v>
      </c>
      <c r="T431">
        <f t="shared" si="979"/>
        <v>-5.6082818856266554</v>
      </c>
    </row>
    <row r="432" spans="1:20" x14ac:dyDescent="0.25">
      <c r="A432" s="5">
        <v>44161</v>
      </c>
      <c r="B432">
        <v>0.24446000000000001</v>
      </c>
      <c r="C432">
        <v>0.24986</v>
      </c>
      <c r="D432">
        <v>0.18329000000000001</v>
      </c>
      <c r="E432">
        <v>0.21276999999999999</v>
      </c>
      <c r="F432">
        <v>68452638.400000006</v>
      </c>
      <c r="G432">
        <v>-12.96</v>
      </c>
      <c r="L432" t="s">
        <v>7</v>
      </c>
      <c r="M432" t="s">
        <v>7</v>
      </c>
      <c r="N432" t="s">
        <v>7</v>
      </c>
      <c r="P432">
        <f t="shared" si="975"/>
        <v>-0.1143157578488814</v>
      </c>
      <c r="Q432">
        <f t="shared" si="976"/>
        <v>-7825215.2354514413</v>
      </c>
      <c r="R432">
        <f t="shared" si="977"/>
        <v>-550099489.59701049</v>
      </c>
      <c r="S432">
        <f t="shared" si="978"/>
        <v>-5500.9948959701051</v>
      </c>
      <c r="T432">
        <f t="shared" si="979"/>
        <v>-5.5009948959701047</v>
      </c>
    </row>
    <row r="433" spans="1:20" x14ac:dyDescent="0.25">
      <c r="A433" s="5">
        <v>44160</v>
      </c>
      <c r="B433">
        <v>0.26712000000000002</v>
      </c>
      <c r="C433">
        <v>0.27798</v>
      </c>
      <c r="D433">
        <v>0.22292999999999999</v>
      </c>
      <c r="E433">
        <v>0.24446000000000001</v>
      </c>
      <c r="F433">
        <v>41448832.700000003</v>
      </c>
      <c r="G433">
        <v>-8.48</v>
      </c>
      <c r="L433" t="s">
        <v>7</v>
      </c>
      <c r="M433" t="s">
        <v>7</v>
      </c>
      <c r="N433" t="s">
        <v>8</v>
      </c>
      <c r="P433">
        <f t="shared" si="975"/>
        <v>-0.21780199818346901</v>
      </c>
      <c r="Q433">
        <f t="shared" si="976"/>
        <v>-9027638.5844323114</v>
      </c>
      <c r="R433">
        <f t="shared" si="977"/>
        <v>-542274274.36155903</v>
      </c>
      <c r="S433">
        <f t="shared" si="978"/>
        <v>-5422.7427436155904</v>
      </c>
      <c r="T433">
        <f t="shared" si="979"/>
        <v>-5.4227427436155899</v>
      </c>
    </row>
    <row r="434" spans="1:20" x14ac:dyDescent="0.25">
      <c r="A434" s="5">
        <v>44159</v>
      </c>
      <c r="B434">
        <v>0.19186</v>
      </c>
      <c r="C434">
        <v>0.28888000000000003</v>
      </c>
      <c r="D434">
        <v>0.18321999999999999</v>
      </c>
      <c r="E434">
        <v>0.26756999999999997</v>
      </c>
      <c r="F434">
        <v>109672649.09999999</v>
      </c>
      <c r="G434">
        <v>39.46</v>
      </c>
      <c r="L434" t="s">
        <v>8</v>
      </c>
      <c r="M434" t="s">
        <v>8</v>
      </c>
      <c r="N434" t="s">
        <v>8</v>
      </c>
      <c r="P434">
        <f t="shared" si="975"/>
        <v>0.59663070225250725</v>
      </c>
      <c r="Q434">
        <f t="shared" si="976"/>
        <v>65434069.650425807</v>
      </c>
      <c r="R434">
        <f t="shared" si="977"/>
        <v>-533246635.77712667</v>
      </c>
      <c r="S434">
        <f t="shared" si="978"/>
        <v>-5332.4663577712663</v>
      </c>
      <c r="T434">
        <f t="shared" si="979"/>
        <v>-5.3324663577712661</v>
      </c>
    </row>
    <row r="435" spans="1:20" x14ac:dyDescent="0.25">
      <c r="A435" s="5">
        <v>44158</v>
      </c>
      <c r="B435">
        <v>0.19596</v>
      </c>
      <c r="C435">
        <v>0.22700000000000001</v>
      </c>
      <c r="D435">
        <v>0.18101999999999999</v>
      </c>
      <c r="E435">
        <v>0.19184999999999999</v>
      </c>
      <c r="F435">
        <v>71215706</v>
      </c>
      <c r="G435">
        <v>-2.1</v>
      </c>
      <c r="L435" t="s">
        <v>8</v>
      </c>
      <c r="M435" t="s">
        <v>8</v>
      </c>
      <c r="N435" t="s">
        <v>8</v>
      </c>
      <c r="P435">
        <f t="shared" si="975"/>
        <v>-0.52892561983471065</v>
      </c>
      <c r="Q435">
        <f t="shared" si="976"/>
        <v>-37667811.438016519</v>
      </c>
      <c r="R435">
        <f t="shared" si="977"/>
        <v>-598680705.42755246</v>
      </c>
      <c r="S435">
        <f t="shared" si="978"/>
        <v>-5986.8070542755249</v>
      </c>
      <c r="T435">
        <f t="shared" si="979"/>
        <v>-5.9868070542755252</v>
      </c>
    </row>
    <row r="436" spans="1:20" x14ac:dyDescent="0.25">
      <c r="A436" s="5">
        <v>44157</v>
      </c>
      <c r="B436">
        <v>0.15681</v>
      </c>
      <c r="C436">
        <v>0.21</v>
      </c>
      <c r="D436">
        <v>0.152</v>
      </c>
      <c r="E436">
        <v>0.19595000000000001</v>
      </c>
      <c r="F436">
        <v>81096993.799999997</v>
      </c>
      <c r="G436">
        <v>24.96</v>
      </c>
      <c r="L436" t="s">
        <v>8</v>
      </c>
      <c r="M436" t="s">
        <v>8</v>
      </c>
      <c r="N436" t="s">
        <v>8</v>
      </c>
      <c r="P436">
        <f t="shared" si="975"/>
        <v>0.51551724137931099</v>
      </c>
      <c r="Q436">
        <f t="shared" si="976"/>
        <v>41806898.527931087</v>
      </c>
      <c r="R436">
        <f t="shared" si="977"/>
        <v>-561012893.98953593</v>
      </c>
      <c r="S436">
        <f t="shared" si="978"/>
        <v>-5610.1289398953595</v>
      </c>
      <c r="T436">
        <f t="shared" si="979"/>
        <v>-5.6101289398953593</v>
      </c>
    </row>
    <row r="437" spans="1:20" x14ac:dyDescent="0.25">
      <c r="A437" s="5">
        <v>44156</v>
      </c>
      <c r="B437">
        <v>0.14272000000000001</v>
      </c>
      <c r="C437">
        <v>0.16833999999999999</v>
      </c>
      <c r="D437">
        <v>0.13791</v>
      </c>
      <c r="E437">
        <v>0.15737000000000001</v>
      </c>
      <c r="F437">
        <v>51943098.200000003</v>
      </c>
      <c r="G437">
        <v>10.26</v>
      </c>
      <c r="L437" t="s">
        <v>7</v>
      </c>
      <c r="M437" t="s">
        <v>8</v>
      </c>
      <c r="N437" t="s">
        <v>8</v>
      </c>
      <c r="P437">
        <f t="shared" si="975"/>
        <v>0.27900098586920896</v>
      </c>
      <c r="Q437">
        <f t="shared" si="976"/>
        <v>14492175.606901133</v>
      </c>
      <c r="R437">
        <f t="shared" si="977"/>
        <v>-602819792.51746702</v>
      </c>
      <c r="S437">
        <f t="shared" si="978"/>
        <v>-6028.1979251746707</v>
      </c>
      <c r="T437">
        <f t="shared" si="979"/>
        <v>-6.0281979251746707</v>
      </c>
    </row>
    <row r="438" spans="1:20" x14ac:dyDescent="0.25">
      <c r="A438" s="5">
        <v>44155</v>
      </c>
      <c r="B438">
        <v>0.13966999999999999</v>
      </c>
      <c r="C438">
        <v>0.15759000000000001</v>
      </c>
      <c r="D438">
        <v>0.13819999999999999</v>
      </c>
      <c r="E438">
        <v>0.14272000000000001</v>
      </c>
      <c r="F438">
        <v>48088941.799999997</v>
      </c>
      <c r="G438">
        <v>2.1800000000000002</v>
      </c>
      <c r="L438" t="s">
        <v>7</v>
      </c>
      <c r="M438" t="s">
        <v>7</v>
      </c>
      <c r="N438" t="s">
        <v>8</v>
      </c>
      <c r="P438">
        <f t="shared" si="975"/>
        <v>-0.53378029912325742</v>
      </c>
      <c r="Q438">
        <f t="shared" si="976"/>
        <v>-25668929.738524914</v>
      </c>
      <c r="R438">
        <f t="shared" si="977"/>
        <v>-617311968.12436819</v>
      </c>
      <c r="S438">
        <f t="shared" si="978"/>
        <v>-6173.119681243682</v>
      </c>
      <c r="T438">
        <f t="shared" si="979"/>
        <v>-6.1731196812436817</v>
      </c>
    </row>
    <row r="439" spans="1:20" x14ac:dyDescent="0.25">
      <c r="A439" s="5">
        <v>44154</v>
      </c>
      <c r="B439">
        <v>0.14731</v>
      </c>
      <c r="C439">
        <v>0.17499999999999999</v>
      </c>
      <c r="D439">
        <v>0.13200000000000001</v>
      </c>
      <c r="E439">
        <v>0.13900000000000001</v>
      </c>
      <c r="F439">
        <v>129793788.59999999</v>
      </c>
      <c r="G439">
        <v>-5.64</v>
      </c>
      <c r="L439" t="s">
        <v>8</v>
      </c>
      <c r="M439" t="s">
        <v>8</v>
      </c>
      <c r="N439" t="s">
        <v>8</v>
      </c>
      <c r="P439">
        <f t="shared" si="975"/>
        <v>-0.67441860465116232</v>
      </c>
      <c r="Q439">
        <f t="shared" si="976"/>
        <v>-87535345.799999937</v>
      </c>
      <c r="R439">
        <f t="shared" si="977"/>
        <v>-591643038.38584328</v>
      </c>
      <c r="S439">
        <f t="shared" si="978"/>
        <v>-5916.4303838584328</v>
      </c>
      <c r="T439">
        <f t="shared" si="979"/>
        <v>-5.9164303838584331</v>
      </c>
    </row>
    <row r="440" spans="1:20" x14ac:dyDescent="0.25">
      <c r="A440" s="5">
        <v>44153</v>
      </c>
      <c r="B440">
        <v>0.1239</v>
      </c>
      <c r="C440">
        <v>0.17399999999999999</v>
      </c>
      <c r="D440">
        <v>9.6000000000000002E-2</v>
      </c>
      <c r="E440">
        <v>0.14710999999999999</v>
      </c>
      <c r="F440">
        <v>186828678.69999999</v>
      </c>
      <c r="G440">
        <v>18.73</v>
      </c>
      <c r="L440" t="s">
        <v>7</v>
      </c>
      <c r="M440" t="s">
        <v>7</v>
      </c>
      <c r="N440" t="s">
        <v>7</v>
      </c>
      <c r="P440">
        <f t="shared" si="975"/>
        <v>0.31051282051282048</v>
      </c>
      <c r="Q440">
        <f t="shared" si="976"/>
        <v>58012699.975820504</v>
      </c>
      <c r="R440">
        <f t="shared" si="977"/>
        <v>-504107692.58584338</v>
      </c>
      <c r="S440">
        <f t="shared" si="978"/>
        <v>-5041.0769258584342</v>
      </c>
      <c r="T440">
        <f t="shared" si="979"/>
        <v>-5.0410769258584338</v>
      </c>
    </row>
    <row r="441" spans="1:20" x14ac:dyDescent="0.25">
      <c r="A441" s="5">
        <v>44152</v>
      </c>
      <c r="B441">
        <v>0.14721999999999999</v>
      </c>
      <c r="C441">
        <v>0.14989</v>
      </c>
      <c r="D441">
        <v>0.1095</v>
      </c>
      <c r="E441">
        <v>0.1239</v>
      </c>
      <c r="F441">
        <v>123779590.5</v>
      </c>
      <c r="G441">
        <v>-15.84</v>
      </c>
      <c r="L441" t="s">
        <v>7</v>
      </c>
      <c r="M441" t="s">
        <v>7</v>
      </c>
      <c r="N441" t="s">
        <v>7</v>
      </c>
      <c r="P441">
        <f t="shared" si="975"/>
        <v>-0.28695221589502362</v>
      </c>
      <c r="Q441">
        <f t="shared" si="976"/>
        <v>-35518827.776553616</v>
      </c>
      <c r="R441">
        <f t="shared" si="977"/>
        <v>-562120392.56166387</v>
      </c>
      <c r="S441">
        <f t="shared" si="978"/>
        <v>-5621.203925616639</v>
      </c>
      <c r="T441">
        <f t="shared" si="979"/>
        <v>-5.6212039256166388</v>
      </c>
    </row>
    <row r="442" spans="1:20" x14ac:dyDescent="0.25">
      <c r="A442" s="5">
        <v>44151</v>
      </c>
      <c r="B442">
        <v>0.14201</v>
      </c>
      <c r="C442">
        <v>0.191</v>
      </c>
      <c r="D442">
        <v>0.12261</v>
      </c>
      <c r="E442">
        <v>0.14721999999999999</v>
      </c>
      <c r="F442">
        <v>174538294</v>
      </c>
      <c r="G442">
        <v>3.67</v>
      </c>
      <c r="L442" t="s">
        <v>8</v>
      </c>
      <c r="M442" t="s">
        <v>8</v>
      </c>
      <c r="N442" t="s">
        <v>8</v>
      </c>
      <c r="P442">
        <f t="shared" si="975"/>
        <v>-0.28030413803187626</v>
      </c>
      <c r="Q442">
        <f t="shared" si="976"/>
        <v>-48923806.053224199</v>
      </c>
      <c r="R442">
        <f t="shared" si="977"/>
        <v>-526601564.78511024</v>
      </c>
      <c r="S442">
        <f t="shared" si="978"/>
        <v>-5266.0156478511026</v>
      </c>
      <c r="T442">
        <f t="shared" si="979"/>
        <v>-5.2660156478511029</v>
      </c>
    </row>
    <row r="443" spans="1:20" x14ac:dyDescent="0.25">
      <c r="A443" s="5">
        <v>44150</v>
      </c>
      <c r="B443">
        <v>9.3539999999999998E-2</v>
      </c>
      <c r="C443">
        <v>0.15003</v>
      </c>
      <c r="D443">
        <v>9.1020000000000004E-2</v>
      </c>
      <c r="E443">
        <v>0.14201</v>
      </c>
      <c r="F443">
        <v>115145440.3</v>
      </c>
      <c r="G443">
        <v>51.82</v>
      </c>
      <c r="L443" t="s">
        <v>8</v>
      </c>
      <c r="M443" t="s">
        <v>8</v>
      </c>
      <c r="N443" t="s">
        <v>8</v>
      </c>
      <c r="P443">
        <f t="shared" si="975"/>
        <v>0.72818166412472463</v>
      </c>
      <c r="Q443">
        <f t="shared" si="976"/>
        <v>83846798.334028125</v>
      </c>
      <c r="R443">
        <f t="shared" si="977"/>
        <v>-477677758.73188603</v>
      </c>
      <c r="S443">
        <f t="shared" si="978"/>
        <v>-4776.7775873188602</v>
      </c>
      <c r="T443">
        <f t="shared" si="979"/>
        <v>-4.7767775873188603</v>
      </c>
    </row>
    <row r="444" spans="1:20" x14ac:dyDescent="0.25">
      <c r="A444" s="5">
        <v>44149</v>
      </c>
      <c r="B444">
        <v>8.677E-2</v>
      </c>
      <c r="C444">
        <v>0.105</v>
      </c>
      <c r="D444">
        <v>8.2150000000000001E-2</v>
      </c>
      <c r="E444">
        <v>9.3549999999999994E-2</v>
      </c>
      <c r="F444">
        <v>87433073.900000006</v>
      </c>
      <c r="G444">
        <v>7.81</v>
      </c>
      <c r="L444" t="s">
        <v>8</v>
      </c>
      <c r="M444" t="s">
        <v>8</v>
      </c>
      <c r="N444" t="s">
        <v>8</v>
      </c>
      <c r="P444">
        <f t="shared" si="975"/>
        <v>-2.1881838074401918E-3</v>
      </c>
      <c r="Q444">
        <f t="shared" si="976"/>
        <v>-191319.63654270166</v>
      </c>
      <c r="R444">
        <f t="shared" si="977"/>
        <v>-561524557.06591415</v>
      </c>
      <c r="S444">
        <f t="shared" si="978"/>
        <v>-5615.2455706591418</v>
      </c>
      <c r="T444">
        <f t="shared" si="979"/>
        <v>-5.615245570659142</v>
      </c>
    </row>
    <row r="445" spans="1:20" x14ac:dyDescent="0.25">
      <c r="A445" s="5">
        <v>44148</v>
      </c>
      <c r="B445">
        <v>6.6400000000000001E-2</v>
      </c>
      <c r="C445">
        <v>9.1999999999999998E-2</v>
      </c>
      <c r="D445">
        <v>6.386E-2</v>
      </c>
      <c r="E445">
        <v>8.6400000000000005E-2</v>
      </c>
      <c r="F445">
        <v>56917655.5</v>
      </c>
      <c r="G445">
        <v>30.12</v>
      </c>
      <c r="L445" t="s">
        <v>8</v>
      </c>
      <c r="M445" t="s">
        <v>8</v>
      </c>
      <c r="N445" t="s">
        <v>8</v>
      </c>
      <c r="P445">
        <f t="shared" si="975"/>
        <v>0.60199004975124415</v>
      </c>
      <c r="Q445">
        <f t="shared" si="976"/>
        <v>34263862.266169176</v>
      </c>
      <c r="R445">
        <f t="shared" si="977"/>
        <v>-561333237.42937148</v>
      </c>
      <c r="S445">
        <f t="shared" si="978"/>
        <v>-5613.3323742937146</v>
      </c>
      <c r="T445">
        <f t="shared" si="979"/>
        <v>-5.6133323742937149</v>
      </c>
    </row>
    <row r="446" spans="1:20" x14ac:dyDescent="0.25">
      <c r="A446" s="5">
        <v>44147</v>
      </c>
      <c r="B446">
        <v>5.62E-2</v>
      </c>
      <c r="C446">
        <v>8.0009999999999998E-2</v>
      </c>
      <c r="D446">
        <v>5.5E-2</v>
      </c>
      <c r="E446">
        <v>6.6129999999999994E-2</v>
      </c>
      <c r="F446">
        <v>92779369.5</v>
      </c>
      <c r="G446">
        <v>17.670000000000002</v>
      </c>
      <c r="L446" t="s">
        <v>8</v>
      </c>
      <c r="M446" t="s">
        <v>8</v>
      </c>
      <c r="N446" t="s">
        <v>8</v>
      </c>
      <c r="P446">
        <f t="shared" si="975"/>
        <v>-0.1099560175929632</v>
      </c>
      <c r="Q446">
        <f t="shared" si="976"/>
        <v>-10201649.985006033</v>
      </c>
      <c r="R446">
        <f t="shared" si="977"/>
        <v>-595597099.69554067</v>
      </c>
      <c r="S446">
        <f t="shared" si="978"/>
        <v>-5955.9709969554069</v>
      </c>
      <c r="T446">
        <f t="shared" si="979"/>
        <v>-5.9559709969554069</v>
      </c>
    </row>
    <row r="447" spans="1:20" x14ac:dyDescent="0.25">
      <c r="A447" s="5">
        <v>44146</v>
      </c>
      <c r="B447">
        <v>5.2679999999999998E-2</v>
      </c>
      <c r="C447">
        <v>6.9849999999999995E-2</v>
      </c>
      <c r="D447">
        <v>4.9730000000000003E-2</v>
      </c>
      <c r="E447">
        <v>5.6430000000000001E-2</v>
      </c>
      <c r="F447">
        <v>54533408.600000001</v>
      </c>
      <c r="G447">
        <v>7.12</v>
      </c>
      <c r="L447" t="s">
        <v>8</v>
      </c>
      <c r="M447" t="s">
        <v>8</v>
      </c>
      <c r="N447" t="s">
        <v>8</v>
      </c>
      <c r="P447">
        <f t="shared" si="975"/>
        <v>-0.33399602385685884</v>
      </c>
      <c r="Q447">
        <f t="shared" si="976"/>
        <v>-18213941.639761433</v>
      </c>
      <c r="R447">
        <f t="shared" si="977"/>
        <v>-585395449.71053469</v>
      </c>
      <c r="S447">
        <f t="shared" si="978"/>
        <v>-5853.9544971053465</v>
      </c>
      <c r="T447">
        <f t="shared" si="979"/>
        <v>-5.8539544971053461</v>
      </c>
    </row>
    <row r="448" spans="1:20" x14ac:dyDescent="0.25">
      <c r="A448" s="5">
        <v>44145</v>
      </c>
      <c r="B448">
        <v>4.7879999999999999E-2</v>
      </c>
      <c r="C448">
        <v>5.5789999999999999E-2</v>
      </c>
      <c r="D448">
        <v>4.7019999999999999E-2</v>
      </c>
      <c r="E448">
        <v>5.2659999999999998E-2</v>
      </c>
      <c r="F448">
        <v>33008690.100000001</v>
      </c>
      <c r="G448">
        <v>9.98</v>
      </c>
      <c r="L448" t="s">
        <v>7</v>
      </c>
      <c r="M448" t="s">
        <v>7</v>
      </c>
      <c r="N448" t="s">
        <v>8</v>
      </c>
      <c r="P448">
        <f t="shared" si="975"/>
        <v>0.28620296465222328</v>
      </c>
      <c r="Q448">
        <f t="shared" si="976"/>
        <v>9447184.9659064934</v>
      </c>
      <c r="R448">
        <f t="shared" si="977"/>
        <v>-567181508.07077324</v>
      </c>
      <c r="S448">
        <f t="shared" si="978"/>
        <v>-5671.8150807077327</v>
      </c>
      <c r="T448">
        <f t="shared" si="979"/>
        <v>-5.6718150807077325</v>
      </c>
    </row>
    <row r="449" spans="1:20" x14ac:dyDescent="0.25">
      <c r="A449" s="5">
        <v>44144</v>
      </c>
      <c r="B449">
        <v>5.0610000000000002E-2</v>
      </c>
      <c r="C449">
        <v>5.8000000000000003E-2</v>
      </c>
      <c r="D449">
        <v>4.1599999999999998E-2</v>
      </c>
      <c r="E449">
        <v>4.8039999999999999E-2</v>
      </c>
      <c r="F449">
        <v>56241312.899999999</v>
      </c>
      <c r="G449">
        <v>-5.08</v>
      </c>
      <c r="L449" t="s">
        <v>8</v>
      </c>
      <c r="M449" t="s">
        <v>8</v>
      </c>
      <c r="N449" t="s">
        <v>8</v>
      </c>
      <c r="P449">
        <f t="shared" si="975"/>
        <v>-0.21463414634146349</v>
      </c>
      <c r="Q449">
        <f t="shared" si="976"/>
        <v>-12071306.183414638</v>
      </c>
      <c r="R449">
        <f t="shared" si="977"/>
        <v>-576628693.03667974</v>
      </c>
      <c r="S449">
        <f t="shared" si="978"/>
        <v>-5766.2869303667976</v>
      </c>
      <c r="T449">
        <f t="shared" si="979"/>
        <v>-5.7662869303667978</v>
      </c>
    </row>
    <row r="450" spans="1:20" x14ac:dyDescent="0.25">
      <c r="A450" s="5">
        <v>44143</v>
      </c>
      <c r="B450">
        <v>3.925E-2</v>
      </c>
      <c r="C450">
        <v>5.5550000000000002E-2</v>
      </c>
      <c r="D450">
        <v>3.6859999999999997E-2</v>
      </c>
      <c r="E450">
        <v>5.0610000000000002E-2</v>
      </c>
      <c r="F450">
        <v>73021192.900000006</v>
      </c>
      <c r="G450">
        <v>28.94</v>
      </c>
      <c r="L450" t="s">
        <v>8</v>
      </c>
      <c r="M450" t="s">
        <v>8</v>
      </c>
      <c r="N450" t="s">
        <v>8</v>
      </c>
      <c r="P450">
        <f t="shared" si="975"/>
        <v>0.47137506688068503</v>
      </c>
      <c r="Q450">
        <f t="shared" si="976"/>
        <v>34420369.686944909</v>
      </c>
      <c r="R450">
        <f t="shared" si="977"/>
        <v>-564557386.85326517</v>
      </c>
      <c r="S450">
        <f t="shared" si="978"/>
        <v>-5645.5738685326514</v>
      </c>
      <c r="T450">
        <f t="shared" si="979"/>
        <v>-5.6455738685326518</v>
      </c>
    </row>
    <row r="451" spans="1:20" x14ac:dyDescent="0.25">
      <c r="A451" s="5">
        <v>44142</v>
      </c>
      <c r="B451">
        <v>3.7769999999999998E-2</v>
      </c>
      <c r="C451">
        <v>4.7640000000000002E-2</v>
      </c>
      <c r="D451">
        <v>3.61E-2</v>
      </c>
      <c r="E451">
        <v>3.925E-2</v>
      </c>
      <c r="F451">
        <v>36193117.700000003</v>
      </c>
      <c r="G451">
        <v>3.92</v>
      </c>
      <c r="L451" t="s">
        <v>8</v>
      </c>
      <c r="M451" t="s">
        <v>8</v>
      </c>
      <c r="N451" t="s">
        <v>8</v>
      </c>
      <c r="P451">
        <f t="shared" si="975"/>
        <v>-0.45407279029462744</v>
      </c>
      <c r="Q451">
        <f t="shared" si="976"/>
        <v>-16434309.943500869</v>
      </c>
      <c r="R451">
        <f t="shared" si="977"/>
        <v>-598977756.54021013</v>
      </c>
      <c r="S451">
        <f t="shared" si="978"/>
        <v>-5989.7775654021016</v>
      </c>
      <c r="T451">
        <f t="shared" si="979"/>
        <v>-5.9897775654021013</v>
      </c>
    </row>
    <row r="452" spans="1:20" x14ac:dyDescent="0.25">
      <c r="A452" s="5">
        <v>44141</v>
      </c>
      <c r="B452">
        <v>3.0519999999999999E-2</v>
      </c>
      <c r="C452">
        <v>3.918E-2</v>
      </c>
      <c r="D452">
        <v>0.03</v>
      </c>
      <c r="E452">
        <v>3.7490000000000002E-2</v>
      </c>
      <c r="F452">
        <v>28924194.800000001</v>
      </c>
      <c r="G452">
        <v>22.84</v>
      </c>
      <c r="L452" t="s">
        <v>8</v>
      </c>
      <c r="M452" t="s">
        <v>8</v>
      </c>
      <c r="N452" t="s">
        <v>8</v>
      </c>
      <c r="P452">
        <f t="shared" si="975"/>
        <v>0.63180827886710311</v>
      </c>
      <c r="Q452">
        <f t="shared" si="976"/>
        <v>18274545.734204814</v>
      </c>
      <c r="R452">
        <f t="shared" si="977"/>
        <v>-582543446.59670925</v>
      </c>
      <c r="S452">
        <f t="shared" si="978"/>
        <v>-5825.4344659670924</v>
      </c>
      <c r="T452">
        <f t="shared" si="979"/>
        <v>-5.825434465967092</v>
      </c>
    </row>
    <row r="453" spans="1:20" x14ac:dyDescent="0.25">
      <c r="A453" s="5">
        <v>44140</v>
      </c>
      <c r="B453">
        <v>2.8459999999999999E-2</v>
      </c>
      <c r="C453">
        <v>3.3599999999999998E-2</v>
      </c>
      <c r="D453">
        <v>2.8320000000000001E-2</v>
      </c>
      <c r="E453">
        <v>3.0599999999999999E-2</v>
      </c>
      <c r="F453">
        <v>25101111.399999999</v>
      </c>
      <c r="G453">
        <v>7.52</v>
      </c>
      <c r="L453" t="s">
        <v>8</v>
      </c>
      <c r="M453" t="s">
        <v>8</v>
      </c>
      <c r="N453" t="s">
        <v>8</v>
      </c>
      <c r="P453">
        <f t="shared" si="975"/>
        <v>-0.13636363636363683</v>
      </c>
      <c r="Q453">
        <f t="shared" si="976"/>
        <v>-3422878.8272727388</v>
      </c>
      <c r="R453">
        <f t="shared" si="977"/>
        <v>-600817992.33091402</v>
      </c>
      <c r="S453">
        <f t="shared" si="978"/>
        <v>-6008.1799233091406</v>
      </c>
      <c r="T453">
        <f t="shared" si="979"/>
        <v>-6.0081799233091404</v>
      </c>
    </row>
    <row r="454" spans="1:20" x14ac:dyDescent="0.25">
      <c r="A454" s="5">
        <v>44139</v>
      </c>
      <c r="B454">
        <v>2.7789999999999999E-2</v>
      </c>
      <c r="C454">
        <v>3.0099999999999998E-2</v>
      </c>
      <c r="D454">
        <v>2.699E-2</v>
      </c>
      <c r="E454">
        <v>2.8230000000000002E-2</v>
      </c>
      <c r="F454">
        <v>15128630.699999999</v>
      </c>
      <c r="G454">
        <v>1.58</v>
      </c>
      <c r="L454" t="s">
        <v>8</v>
      </c>
      <c r="M454" t="s">
        <v>8</v>
      </c>
      <c r="N454" t="s">
        <v>7</v>
      </c>
      <c r="P454">
        <f t="shared" ref="P454:P517" si="980">IF(C454=D454,0,((E454-D454)-(C454-E454))/(C454-D454))</f>
        <v>-0.20257234726687959</v>
      </c>
      <c r="Q454">
        <f t="shared" ref="Q454:Q517" si="981">F454*P454</f>
        <v>-3064642.2318327753</v>
      </c>
      <c r="R454">
        <f t="shared" ref="R454:R517" si="982">R455+Q454</f>
        <v>-597395113.50364125</v>
      </c>
      <c r="S454">
        <f t="shared" ref="S454:S517" si="983">R454/100000</f>
        <v>-5973.9511350364128</v>
      </c>
      <c r="T454">
        <f t="shared" ref="T454:T517" si="984">S454/1000</f>
        <v>-5.9739511350364127</v>
      </c>
    </row>
    <row r="455" spans="1:20" x14ac:dyDescent="0.25">
      <c r="A455" s="5">
        <v>44138</v>
      </c>
      <c r="B455">
        <v>2.819E-2</v>
      </c>
      <c r="C455">
        <v>2.8570000000000002E-2</v>
      </c>
      <c r="D455">
        <v>2.5690000000000001E-2</v>
      </c>
      <c r="E455">
        <v>2.7629999999999998E-2</v>
      </c>
      <c r="F455">
        <v>8188138.5999999996</v>
      </c>
      <c r="G455">
        <v>-1.99</v>
      </c>
      <c r="L455" t="s">
        <v>7</v>
      </c>
      <c r="M455" t="s">
        <v>7</v>
      </c>
      <c r="N455" t="s">
        <v>7</v>
      </c>
      <c r="P455">
        <f t="shared" si="980"/>
        <v>0.34722222222222004</v>
      </c>
      <c r="Q455">
        <f t="shared" si="981"/>
        <v>2843103.6805555378</v>
      </c>
      <c r="R455">
        <f t="shared" si="982"/>
        <v>-594330471.27180851</v>
      </c>
      <c r="S455">
        <f t="shared" si="983"/>
        <v>-5943.3047127180853</v>
      </c>
      <c r="T455">
        <f t="shared" si="984"/>
        <v>-5.9433047127180849</v>
      </c>
    </row>
    <row r="456" spans="1:20" x14ac:dyDescent="0.25">
      <c r="A456" s="5">
        <v>44137</v>
      </c>
      <c r="B456">
        <v>2.9059999999999999E-2</v>
      </c>
      <c r="C456">
        <v>3.0499999999999999E-2</v>
      </c>
      <c r="D456">
        <v>2.81E-2</v>
      </c>
      <c r="E456">
        <v>2.81E-2</v>
      </c>
      <c r="F456">
        <v>6694471.7999999998</v>
      </c>
      <c r="G456">
        <v>-3.3</v>
      </c>
      <c r="L456" t="s">
        <v>8</v>
      </c>
      <c r="M456" t="s">
        <v>8</v>
      </c>
      <c r="N456" t="s">
        <v>7</v>
      </c>
      <c r="P456">
        <f t="shared" si="980"/>
        <v>-1</v>
      </c>
      <c r="Q456">
        <f t="shared" si="981"/>
        <v>-6694471.7999999998</v>
      </c>
      <c r="R456">
        <f t="shared" si="982"/>
        <v>-597173574.95236409</v>
      </c>
      <c r="S456">
        <f t="shared" si="983"/>
        <v>-5971.7357495236411</v>
      </c>
      <c r="T456">
        <f t="shared" si="984"/>
        <v>-5.9717357495236412</v>
      </c>
    </row>
    <row r="457" spans="1:20" x14ac:dyDescent="0.25">
      <c r="A457" s="5">
        <v>44136</v>
      </c>
      <c r="B457">
        <v>2.8910000000000002E-2</v>
      </c>
      <c r="C457">
        <v>2.954E-2</v>
      </c>
      <c r="D457">
        <v>2.836E-2</v>
      </c>
      <c r="E457">
        <v>2.9020000000000001E-2</v>
      </c>
      <c r="F457">
        <v>3846327.9</v>
      </c>
      <c r="G457">
        <v>0.38</v>
      </c>
      <c r="L457" t="s">
        <v>8</v>
      </c>
      <c r="M457" t="s">
        <v>8</v>
      </c>
      <c r="N457" t="s">
        <v>7</v>
      </c>
      <c r="P457">
        <f t="shared" si="980"/>
        <v>0.11864406779661117</v>
      </c>
      <c r="Q457">
        <f t="shared" si="981"/>
        <v>456343.98813559709</v>
      </c>
      <c r="R457">
        <f t="shared" si="982"/>
        <v>-590479103.15236413</v>
      </c>
      <c r="S457">
        <f t="shared" si="983"/>
        <v>-5904.7910315236413</v>
      </c>
      <c r="T457">
        <f t="shared" si="984"/>
        <v>-5.9047910315236409</v>
      </c>
    </row>
    <row r="458" spans="1:20" x14ac:dyDescent="0.25">
      <c r="A458" s="5">
        <v>44135</v>
      </c>
      <c r="B458">
        <v>2.921E-2</v>
      </c>
      <c r="C458">
        <v>2.9700000000000001E-2</v>
      </c>
      <c r="D458">
        <v>2.811E-2</v>
      </c>
      <c r="E458">
        <v>2.8479999999999998E-2</v>
      </c>
      <c r="F458">
        <v>4638149.4000000004</v>
      </c>
      <c r="G458">
        <v>-2.5</v>
      </c>
      <c r="L458" t="s">
        <v>8</v>
      </c>
      <c r="M458" t="s">
        <v>8</v>
      </c>
      <c r="N458" t="s">
        <v>7</v>
      </c>
      <c r="P458">
        <f t="shared" si="980"/>
        <v>-0.53459119496855534</v>
      </c>
      <c r="Q458">
        <f t="shared" si="981"/>
        <v>-2479513.8301886884</v>
      </c>
      <c r="R458">
        <f t="shared" si="982"/>
        <v>-590935447.14049971</v>
      </c>
      <c r="S458">
        <f t="shared" si="983"/>
        <v>-5909.3544714049967</v>
      </c>
      <c r="T458">
        <f t="shared" si="984"/>
        <v>-5.9093544714049964</v>
      </c>
    </row>
    <row r="459" spans="1:20" x14ac:dyDescent="0.25">
      <c r="A459" s="5">
        <v>44134</v>
      </c>
      <c r="B459">
        <v>3.091E-2</v>
      </c>
      <c r="C459">
        <v>3.099E-2</v>
      </c>
      <c r="D459">
        <v>2.4E-2</v>
      </c>
      <c r="E459">
        <v>2.9409999999999999E-2</v>
      </c>
      <c r="F459">
        <v>14858386</v>
      </c>
      <c r="G459">
        <v>-4.8499999999999996</v>
      </c>
      <c r="L459" t="s">
        <v>7</v>
      </c>
      <c r="M459" t="s">
        <v>7</v>
      </c>
      <c r="N459" t="s">
        <v>7</v>
      </c>
      <c r="P459">
        <f t="shared" si="980"/>
        <v>0.54792560801144441</v>
      </c>
      <c r="Q459">
        <f t="shared" si="981"/>
        <v>8141290.1831187336</v>
      </c>
      <c r="R459">
        <f t="shared" si="982"/>
        <v>-588455933.31031108</v>
      </c>
      <c r="S459">
        <f t="shared" si="983"/>
        <v>-5884.5593331031105</v>
      </c>
      <c r="T459">
        <f t="shared" si="984"/>
        <v>-5.8845593331031107</v>
      </c>
    </row>
    <row r="460" spans="1:20" x14ac:dyDescent="0.25">
      <c r="A460" s="5">
        <v>44133</v>
      </c>
      <c r="B460">
        <v>2.869E-2</v>
      </c>
      <c r="C460">
        <v>3.5000000000000003E-2</v>
      </c>
      <c r="D460">
        <v>2.7029999999999998E-2</v>
      </c>
      <c r="E460">
        <v>3.1E-2</v>
      </c>
      <c r="F460">
        <v>40526096.100000001</v>
      </c>
      <c r="G460">
        <v>8.0500000000000007</v>
      </c>
      <c r="L460" t="s">
        <v>7</v>
      </c>
      <c r="M460" t="s">
        <v>7</v>
      </c>
      <c r="N460" t="s">
        <v>7</v>
      </c>
      <c r="P460">
        <f t="shared" si="980"/>
        <v>-3.7641154328735544E-3</v>
      </c>
      <c r="Q460">
        <f t="shared" si="981"/>
        <v>-152544.90376412676</v>
      </c>
      <c r="R460">
        <f t="shared" si="982"/>
        <v>-596597223.49342978</v>
      </c>
      <c r="S460">
        <f t="shared" si="983"/>
        <v>-5965.9722349342974</v>
      </c>
      <c r="T460">
        <f t="shared" si="984"/>
        <v>-5.9659722349342976</v>
      </c>
    </row>
    <row r="461" spans="1:20" x14ac:dyDescent="0.25">
      <c r="A461" s="5">
        <v>44132</v>
      </c>
      <c r="B461">
        <v>3.109E-2</v>
      </c>
      <c r="C461">
        <v>3.134E-2</v>
      </c>
      <c r="D461">
        <v>2.8219999999999999E-2</v>
      </c>
      <c r="E461">
        <v>2.878E-2</v>
      </c>
      <c r="F461">
        <v>10742208.9</v>
      </c>
      <c r="G461">
        <v>-7.43</v>
      </c>
      <c r="L461" t="s">
        <v>7</v>
      </c>
      <c r="M461" t="s">
        <v>7</v>
      </c>
      <c r="N461" t="s">
        <v>7</v>
      </c>
      <c r="P461">
        <f t="shared" si="980"/>
        <v>-0.64102564102564019</v>
      </c>
      <c r="Q461">
        <f t="shared" si="981"/>
        <v>-6886031.3461538376</v>
      </c>
      <c r="R461">
        <f t="shared" si="982"/>
        <v>-596444678.58966565</v>
      </c>
      <c r="S461">
        <f t="shared" si="983"/>
        <v>-5964.4467858966564</v>
      </c>
      <c r="T461">
        <f t="shared" si="984"/>
        <v>-5.9644467858966568</v>
      </c>
    </row>
    <row r="462" spans="1:20" x14ac:dyDescent="0.25">
      <c r="A462" s="5">
        <v>44131</v>
      </c>
      <c r="B462">
        <v>3.2439999999999997E-2</v>
      </c>
      <c r="C462">
        <v>3.4200000000000001E-2</v>
      </c>
      <c r="D462">
        <v>3.0499999999999999E-2</v>
      </c>
      <c r="E462">
        <v>3.109E-2</v>
      </c>
      <c r="F462">
        <v>15416287.199999999</v>
      </c>
      <c r="G462">
        <v>-4.16</v>
      </c>
      <c r="L462" t="s">
        <v>7</v>
      </c>
      <c r="M462" t="s">
        <v>7</v>
      </c>
      <c r="N462" t="s">
        <v>7</v>
      </c>
      <c r="P462">
        <f t="shared" si="980"/>
        <v>-0.68108108108108112</v>
      </c>
      <c r="Q462">
        <f t="shared" si="981"/>
        <v>-10499741.552432433</v>
      </c>
      <c r="R462">
        <f t="shared" si="982"/>
        <v>-589558647.2435118</v>
      </c>
      <c r="S462">
        <f t="shared" si="983"/>
        <v>-5895.5864724351177</v>
      </c>
      <c r="T462">
        <f t="shared" si="984"/>
        <v>-5.8955864724351175</v>
      </c>
    </row>
    <row r="463" spans="1:20" x14ac:dyDescent="0.25">
      <c r="A463" s="5">
        <v>44130</v>
      </c>
      <c r="B463">
        <v>3.4380000000000001E-2</v>
      </c>
      <c r="C463">
        <v>3.8920000000000003E-2</v>
      </c>
      <c r="D463">
        <v>3.1739999999999997E-2</v>
      </c>
      <c r="E463">
        <v>3.2419999999999997E-2</v>
      </c>
      <c r="F463">
        <v>48765722</v>
      </c>
      <c r="G463">
        <v>-5.7</v>
      </c>
      <c r="L463" t="s">
        <v>8</v>
      </c>
      <c r="M463" t="s">
        <v>8</v>
      </c>
      <c r="N463" t="s">
        <v>7</v>
      </c>
      <c r="P463">
        <f t="shared" si="980"/>
        <v>-0.81058495821727039</v>
      </c>
      <c r="Q463">
        <f t="shared" si="981"/>
        <v>-39528760.729805022</v>
      </c>
      <c r="R463">
        <f t="shared" si="982"/>
        <v>-579058905.69107938</v>
      </c>
      <c r="S463">
        <f t="shared" si="983"/>
        <v>-5790.5890569107942</v>
      </c>
      <c r="T463">
        <f t="shared" si="984"/>
        <v>-5.7905890569107941</v>
      </c>
    </row>
    <row r="464" spans="1:20" x14ac:dyDescent="0.25">
      <c r="A464" s="5">
        <v>44129</v>
      </c>
      <c r="B464">
        <v>3.209E-2</v>
      </c>
      <c r="C464">
        <v>3.5499999999999997E-2</v>
      </c>
      <c r="D464">
        <v>3.1710000000000002E-2</v>
      </c>
      <c r="E464">
        <v>3.4290000000000001E-2</v>
      </c>
      <c r="F464">
        <v>17016353.800000001</v>
      </c>
      <c r="G464">
        <v>6.86</v>
      </c>
      <c r="L464" t="s">
        <v>7</v>
      </c>
      <c r="M464" t="s">
        <v>8</v>
      </c>
      <c r="N464" t="s">
        <v>7</v>
      </c>
      <c r="P464">
        <f t="shared" si="980"/>
        <v>0.36147757255936808</v>
      </c>
      <c r="Q464">
        <f t="shared" si="981"/>
        <v>6151030.265435379</v>
      </c>
      <c r="R464">
        <f t="shared" si="982"/>
        <v>-539530144.96127439</v>
      </c>
      <c r="S464">
        <f t="shared" si="983"/>
        <v>-5395.3014496127435</v>
      </c>
      <c r="T464">
        <f t="shared" si="984"/>
        <v>-5.3953014496127434</v>
      </c>
    </row>
    <row r="465" spans="1:20" x14ac:dyDescent="0.25">
      <c r="A465" s="5">
        <v>44128</v>
      </c>
      <c r="B465">
        <v>3.2129999999999999E-2</v>
      </c>
      <c r="C465">
        <v>3.56E-2</v>
      </c>
      <c r="D465">
        <v>3.1230000000000001E-2</v>
      </c>
      <c r="E465">
        <v>3.1890000000000002E-2</v>
      </c>
      <c r="F465">
        <v>18504886.100000001</v>
      </c>
      <c r="G465">
        <v>-0.75</v>
      </c>
      <c r="L465" t="s">
        <v>8</v>
      </c>
      <c r="M465" t="s">
        <v>8</v>
      </c>
      <c r="N465" t="s">
        <v>7</v>
      </c>
      <c r="P465">
        <f t="shared" si="980"/>
        <v>-0.69794050343249381</v>
      </c>
      <c r="Q465">
        <f t="shared" si="981"/>
        <v>-12915309.520594958</v>
      </c>
      <c r="R465">
        <f t="shared" si="982"/>
        <v>-545681175.22670972</v>
      </c>
      <c r="S465">
        <f t="shared" si="983"/>
        <v>-5456.8117522670973</v>
      </c>
      <c r="T465">
        <f t="shared" si="984"/>
        <v>-5.4568117522670976</v>
      </c>
    </row>
    <row r="466" spans="1:20" x14ac:dyDescent="0.25">
      <c r="A466" s="5">
        <v>44127</v>
      </c>
      <c r="B466">
        <v>3.2009999999999997E-2</v>
      </c>
      <c r="C466">
        <v>3.4439999999999998E-2</v>
      </c>
      <c r="D466">
        <v>3.056E-2</v>
      </c>
      <c r="E466">
        <v>3.2149999999999998E-2</v>
      </c>
      <c r="F466">
        <v>18717821.399999999</v>
      </c>
      <c r="G466">
        <v>0.44</v>
      </c>
      <c r="L466" t="s">
        <v>7</v>
      </c>
      <c r="M466" t="s">
        <v>8</v>
      </c>
      <c r="N466" t="s">
        <v>7</v>
      </c>
      <c r="P466">
        <f t="shared" si="980"/>
        <v>-0.18041237113402139</v>
      </c>
      <c r="Q466">
        <f t="shared" si="981"/>
        <v>-3376926.5412371275</v>
      </c>
      <c r="R466">
        <f t="shared" si="982"/>
        <v>-532765865.70611477</v>
      </c>
      <c r="S466">
        <f t="shared" si="983"/>
        <v>-5327.658657061148</v>
      </c>
      <c r="T466">
        <f t="shared" si="984"/>
        <v>-5.3276586570611482</v>
      </c>
    </row>
    <row r="467" spans="1:20" x14ac:dyDescent="0.25">
      <c r="A467" s="5">
        <v>44126</v>
      </c>
      <c r="B467">
        <v>3.1399999999999997E-2</v>
      </c>
      <c r="C467">
        <v>3.5470000000000002E-2</v>
      </c>
      <c r="D467">
        <v>3.0890000000000001E-2</v>
      </c>
      <c r="E467">
        <v>3.193E-2</v>
      </c>
      <c r="F467">
        <v>46095707.100000001</v>
      </c>
      <c r="G467">
        <v>1.69</v>
      </c>
      <c r="L467" t="s">
        <v>7</v>
      </c>
      <c r="M467" t="s">
        <v>8</v>
      </c>
      <c r="N467" t="s">
        <v>7</v>
      </c>
      <c r="P467">
        <f t="shared" si="980"/>
        <v>-0.54585152838427986</v>
      </c>
      <c r="Q467">
        <f t="shared" si="981"/>
        <v>-25161412.172489103</v>
      </c>
      <c r="R467">
        <f t="shared" si="982"/>
        <v>-529388939.16487765</v>
      </c>
      <c r="S467">
        <f t="shared" si="983"/>
        <v>-5293.8893916487768</v>
      </c>
      <c r="T467">
        <f t="shared" si="984"/>
        <v>-5.2938893916487766</v>
      </c>
    </row>
    <row r="468" spans="1:20" x14ac:dyDescent="0.25">
      <c r="A468" s="5">
        <v>44125</v>
      </c>
      <c r="B468">
        <v>3.1060000000000001E-2</v>
      </c>
      <c r="C468">
        <v>3.5799999999999998E-2</v>
      </c>
      <c r="D468">
        <v>2.9100000000000001E-2</v>
      </c>
      <c r="E468">
        <v>3.1359999999999999E-2</v>
      </c>
      <c r="F468">
        <v>46106327.5</v>
      </c>
      <c r="G468">
        <v>0.97</v>
      </c>
      <c r="L468" t="s">
        <v>8</v>
      </c>
      <c r="M468" t="s">
        <v>8</v>
      </c>
      <c r="N468" t="s">
        <v>7</v>
      </c>
      <c r="P468">
        <f t="shared" si="980"/>
        <v>-0.32537313432835852</v>
      </c>
      <c r="Q468">
        <f t="shared" si="981"/>
        <v>-15001760.29104479</v>
      </c>
      <c r="R468">
        <f t="shared" si="982"/>
        <v>-504227526.99238855</v>
      </c>
      <c r="S468">
        <f t="shared" si="983"/>
        <v>-5042.2752699238854</v>
      </c>
      <c r="T468">
        <f t="shared" si="984"/>
        <v>-5.0422752699238851</v>
      </c>
    </row>
    <row r="469" spans="1:20" x14ac:dyDescent="0.25">
      <c r="A469" s="5">
        <v>44124</v>
      </c>
      <c r="B469">
        <v>3.2689999999999997E-2</v>
      </c>
      <c r="C469">
        <v>3.3079999999999998E-2</v>
      </c>
      <c r="D469">
        <v>2.8969999999999999E-2</v>
      </c>
      <c r="E469">
        <v>3.1199999999999999E-2</v>
      </c>
      <c r="F469">
        <v>28826609.5</v>
      </c>
      <c r="G469">
        <v>-4.5599999999999996</v>
      </c>
      <c r="L469" t="s">
        <v>7</v>
      </c>
      <c r="M469" t="s">
        <v>7</v>
      </c>
      <c r="N469" t="s">
        <v>7</v>
      </c>
      <c r="P469">
        <f t="shared" si="980"/>
        <v>8.5158150851581432E-2</v>
      </c>
      <c r="Q469">
        <f t="shared" si="981"/>
        <v>2454820.7603406305</v>
      </c>
      <c r="R469">
        <f t="shared" si="982"/>
        <v>-489225766.70134377</v>
      </c>
      <c r="S469">
        <f t="shared" si="983"/>
        <v>-4892.2576670134376</v>
      </c>
      <c r="T469">
        <f t="shared" si="984"/>
        <v>-4.8922576670134372</v>
      </c>
    </row>
    <row r="470" spans="1:20" x14ac:dyDescent="0.25">
      <c r="A470" s="5">
        <v>44123</v>
      </c>
      <c r="B470">
        <v>3.7510000000000002E-2</v>
      </c>
      <c r="C470">
        <v>3.7679999999999998E-2</v>
      </c>
      <c r="D470">
        <v>0.03</v>
      </c>
      <c r="E470">
        <v>3.2689999999999997E-2</v>
      </c>
      <c r="F470">
        <v>30962838.899999999</v>
      </c>
      <c r="G470">
        <v>-12.85</v>
      </c>
      <c r="L470" t="s">
        <v>7</v>
      </c>
      <c r="M470" t="s">
        <v>7</v>
      </c>
      <c r="N470" t="s">
        <v>7</v>
      </c>
      <c r="P470">
        <f t="shared" si="980"/>
        <v>-0.29947916666666713</v>
      </c>
      <c r="Q470">
        <f t="shared" si="981"/>
        <v>-9272725.191406263</v>
      </c>
      <c r="R470">
        <f t="shared" si="982"/>
        <v>-491680587.46168441</v>
      </c>
      <c r="S470">
        <f t="shared" si="983"/>
        <v>-4916.8058746168444</v>
      </c>
      <c r="T470">
        <f t="shared" si="984"/>
        <v>-4.9168058746168448</v>
      </c>
    </row>
    <row r="471" spans="1:20" x14ac:dyDescent="0.25">
      <c r="A471" s="5">
        <v>44122</v>
      </c>
      <c r="B471">
        <v>3.8719999999999997E-2</v>
      </c>
      <c r="C471">
        <v>4.0570000000000002E-2</v>
      </c>
      <c r="D471">
        <v>3.6510000000000001E-2</v>
      </c>
      <c r="E471">
        <v>3.7510000000000002E-2</v>
      </c>
      <c r="F471">
        <v>40805800.5</v>
      </c>
      <c r="G471">
        <v>-3.12</v>
      </c>
      <c r="L471" t="s">
        <v>7</v>
      </c>
      <c r="M471" t="s">
        <v>7</v>
      </c>
      <c r="N471" t="s">
        <v>7</v>
      </c>
      <c r="P471">
        <f t="shared" si="980"/>
        <v>-0.50738916256157607</v>
      </c>
      <c r="Q471">
        <f t="shared" si="981"/>
        <v>-20704420.943349741</v>
      </c>
      <c r="R471">
        <f t="shared" si="982"/>
        <v>-482407862.27027816</v>
      </c>
      <c r="S471">
        <f t="shared" si="983"/>
        <v>-4824.0786227027811</v>
      </c>
      <c r="T471">
        <f t="shared" si="984"/>
        <v>-4.824078622702781</v>
      </c>
    </row>
    <row r="472" spans="1:20" x14ac:dyDescent="0.25">
      <c r="A472" s="5">
        <v>44121</v>
      </c>
      <c r="B472">
        <v>3.397E-2</v>
      </c>
      <c r="C472">
        <v>4.7100000000000003E-2</v>
      </c>
      <c r="D472">
        <v>3.3570000000000003E-2</v>
      </c>
      <c r="E472">
        <v>3.8719999999999997E-2</v>
      </c>
      <c r="F472">
        <v>122512776.8</v>
      </c>
      <c r="G472">
        <v>13.98</v>
      </c>
      <c r="L472" t="s">
        <v>8</v>
      </c>
      <c r="M472" t="s">
        <v>8</v>
      </c>
      <c r="N472" t="s">
        <v>7</v>
      </c>
      <c r="P472">
        <f t="shared" si="980"/>
        <v>-0.23872875092387366</v>
      </c>
      <c r="Q472">
        <f t="shared" si="981"/>
        <v>-29247322.177679326</v>
      </c>
      <c r="R472">
        <f t="shared" si="982"/>
        <v>-461703441.32692844</v>
      </c>
      <c r="S472">
        <f t="shared" si="983"/>
        <v>-4617.0344132692844</v>
      </c>
      <c r="T472">
        <f t="shared" si="984"/>
        <v>-4.617034413269284</v>
      </c>
    </row>
    <row r="473" spans="1:20" x14ac:dyDescent="0.25">
      <c r="A473" s="5">
        <v>44120</v>
      </c>
      <c r="B473">
        <v>3.807E-2</v>
      </c>
      <c r="C473">
        <v>3.8679999999999999E-2</v>
      </c>
      <c r="D473">
        <v>3.32E-2</v>
      </c>
      <c r="E473">
        <v>3.3759999999999998E-2</v>
      </c>
      <c r="F473">
        <v>34067828.799999997</v>
      </c>
      <c r="G473">
        <v>-11.32</v>
      </c>
      <c r="L473" t="s">
        <v>7</v>
      </c>
      <c r="M473" t="s">
        <v>7</v>
      </c>
      <c r="N473" t="s">
        <v>7</v>
      </c>
      <c r="P473">
        <f t="shared" si="980"/>
        <v>-0.79562043795620507</v>
      </c>
      <c r="Q473">
        <f t="shared" si="981"/>
        <v>-27105060.870073013</v>
      </c>
      <c r="R473">
        <f t="shared" si="982"/>
        <v>-432456119.14924914</v>
      </c>
      <c r="S473">
        <f t="shared" si="983"/>
        <v>-4324.5611914924912</v>
      </c>
      <c r="T473">
        <f t="shared" si="984"/>
        <v>-4.3245611914924913</v>
      </c>
    </row>
    <row r="474" spans="1:20" x14ac:dyDescent="0.25">
      <c r="A474" s="5">
        <v>44119</v>
      </c>
      <c r="B474">
        <v>4.3540000000000002E-2</v>
      </c>
      <c r="C474">
        <v>4.3580000000000001E-2</v>
      </c>
      <c r="D474">
        <v>3.7510000000000002E-2</v>
      </c>
      <c r="E474">
        <v>3.8059999999999997E-2</v>
      </c>
      <c r="F474">
        <v>21324134.899999999</v>
      </c>
      <c r="G474">
        <v>-12.59</v>
      </c>
      <c r="L474" t="s">
        <v>7</v>
      </c>
      <c r="M474" t="s">
        <v>7</v>
      </c>
      <c r="N474" t="s">
        <v>7</v>
      </c>
      <c r="P474">
        <f t="shared" si="980"/>
        <v>-0.81878088962108897</v>
      </c>
      <c r="Q474">
        <f t="shared" si="981"/>
        <v>-17459794.143822111</v>
      </c>
      <c r="R474">
        <f t="shared" si="982"/>
        <v>-405351058.27917612</v>
      </c>
      <c r="S474">
        <f t="shared" si="983"/>
        <v>-4053.510582791761</v>
      </c>
      <c r="T474">
        <f t="shared" si="984"/>
        <v>-4.0535105827917608</v>
      </c>
    </row>
    <row r="475" spans="1:20" x14ac:dyDescent="0.25">
      <c r="A475" s="5">
        <v>44118</v>
      </c>
      <c r="B475">
        <v>4.3020000000000003E-2</v>
      </c>
      <c r="C475">
        <v>4.564E-2</v>
      </c>
      <c r="D475">
        <v>4.1599999999999998E-2</v>
      </c>
      <c r="E475">
        <v>4.3549999999999998E-2</v>
      </c>
      <c r="F475">
        <v>25326846.899999999</v>
      </c>
      <c r="G475">
        <v>1.23</v>
      </c>
      <c r="L475" t="s">
        <v>8</v>
      </c>
      <c r="M475" t="s">
        <v>7</v>
      </c>
      <c r="N475" t="s">
        <v>7</v>
      </c>
      <c r="P475">
        <f t="shared" si="980"/>
        <v>-3.4653465346534941E-2</v>
      </c>
      <c r="Q475">
        <f t="shared" si="981"/>
        <v>-877663.01138614584</v>
      </c>
      <c r="R475">
        <f t="shared" si="982"/>
        <v>-387891264.13535398</v>
      </c>
      <c r="S475">
        <f t="shared" si="983"/>
        <v>-3878.91264135354</v>
      </c>
      <c r="T475">
        <f t="shared" si="984"/>
        <v>-3.8789126413535402</v>
      </c>
    </row>
    <row r="476" spans="1:20" x14ac:dyDescent="0.25">
      <c r="A476" s="5">
        <v>44117</v>
      </c>
      <c r="B476">
        <v>4.267E-2</v>
      </c>
      <c r="C476">
        <v>4.7350000000000003E-2</v>
      </c>
      <c r="D476">
        <v>4.2000000000000003E-2</v>
      </c>
      <c r="E476">
        <v>4.3020000000000003E-2</v>
      </c>
      <c r="F476">
        <v>42527729.200000003</v>
      </c>
      <c r="G476">
        <v>0.82</v>
      </c>
      <c r="L476" t="s">
        <v>7</v>
      </c>
      <c r="M476" t="s">
        <v>7</v>
      </c>
      <c r="N476" t="s">
        <v>7</v>
      </c>
      <c r="P476">
        <f t="shared" si="980"/>
        <v>-0.61869158878504671</v>
      </c>
      <c r="Q476">
        <f t="shared" si="981"/>
        <v>-26311548.346168224</v>
      </c>
      <c r="R476">
        <f t="shared" si="982"/>
        <v>-387013601.12396783</v>
      </c>
      <c r="S476">
        <f t="shared" si="983"/>
        <v>-3870.1360112396783</v>
      </c>
      <c r="T476">
        <f t="shared" si="984"/>
        <v>-3.8701360112396781</v>
      </c>
    </row>
    <row r="477" spans="1:20" x14ac:dyDescent="0.25">
      <c r="A477" s="5">
        <v>44116</v>
      </c>
      <c r="B477">
        <v>4.3679999999999997E-2</v>
      </c>
      <c r="C477">
        <v>4.9669999999999999E-2</v>
      </c>
      <c r="D477">
        <v>4.2549999999999998E-2</v>
      </c>
      <c r="E477">
        <v>4.2979999999999997E-2</v>
      </c>
      <c r="F477">
        <v>52595615.5</v>
      </c>
      <c r="G477">
        <v>-1.6</v>
      </c>
      <c r="L477" t="s">
        <v>8</v>
      </c>
      <c r="M477" t="s">
        <v>7</v>
      </c>
      <c r="N477" t="s">
        <v>7</v>
      </c>
      <c r="P477">
        <f t="shared" si="980"/>
        <v>-0.87921348314606751</v>
      </c>
      <c r="Q477">
        <f t="shared" si="981"/>
        <v>-46242774.301966295</v>
      </c>
      <c r="R477">
        <f t="shared" si="982"/>
        <v>-360702052.77779961</v>
      </c>
      <c r="S477">
        <f t="shared" si="983"/>
        <v>-3607.020527777996</v>
      </c>
      <c r="T477">
        <f t="shared" si="984"/>
        <v>-3.6070205277779959</v>
      </c>
    </row>
    <row r="478" spans="1:20" x14ac:dyDescent="0.25">
      <c r="A478" s="5">
        <v>44115</v>
      </c>
      <c r="B478">
        <v>5.1610000000000003E-2</v>
      </c>
      <c r="C478">
        <v>5.1709999999999999E-2</v>
      </c>
      <c r="D478">
        <v>4.2290000000000001E-2</v>
      </c>
      <c r="E478">
        <v>4.367E-2</v>
      </c>
      <c r="F478">
        <v>94100682.200000003</v>
      </c>
      <c r="G478">
        <v>-15.38</v>
      </c>
      <c r="L478" t="s">
        <v>7</v>
      </c>
      <c r="M478" t="s">
        <v>7</v>
      </c>
      <c r="N478" t="s">
        <v>7</v>
      </c>
      <c r="P478">
        <f t="shared" si="980"/>
        <v>-0.70700636942675166</v>
      </c>
      <c r="Q478">
        <f t="shared" si="981"/>
        <v>-66529781.682802558</v>
      </c>
      <c r="R478">
        <f t="shared" si="982"/>
        <v>-314459278.4758333</v>
      </c>
      <c r="S478">
        <f t="shared" si="983"/>
        <v>-3144.592784758333</v>
      </c>
      <c r="T478">
        <f t="shared" si="984"/>
        <v>-3.1445927847583328</v>
      </c>
    </row>
    <row r="479" spans="1:20" x14ac:dyDescent="0.25">
      <c r="A479" s="5">
        <v>44114</v>
      </c>
      <c r="B479">
        <v>0.02</v>
      </c>
      <c r="C479">
        <v>0.15</v>
      </c>
      <c r="D479">
        <v>0.02</v>
      </c>
      <c r="E479">
        <v>5.1610000000000003E-2</v>
      </c>
      <c r="F479">
        <v>482642027.30000001</v>
      </c>
      <c r="G479">
        <v>158.05000000000001</v>
      </c>
      <c r="P479">
        <f t="shared" si="980"/>
        <v>-0.51369230769230756</v>
      </c>
      <c r="Q479">
        <f t="shared" si="981"/>
        <v>-247929496.79303071</v>
      </c>
      <c r="R479">
        <f t="shared" si="982"/>
        <v>-247929496.79303071</v>
      </c>
      <c r="S479">
        <f t="shared" si="983"/>
        <v>-2479.2949679303069</v>
      </c>
      <c r="T479">
        <f t="shared" si="984"/>
        <v>-2.4792949679303069</v>
      </c>
    </row>
    <row r="480" spans="1:20" x14ac:dyDescent="0.25">
      <c r="A480" s="5"/>
      <c r="C480"/>
      <c r="D480"/>
      <c r="P480">
        <f t="shared" si="980"/>
        <v>0</v>
      </c>
      <c r="Q480">
        <f t="shared" si="981"/>
        <v>0</v>
      </c>
      <c r="R480">
        <f t="shared" si="982"/>
        <v>0</v>
      </c>
      <c r="S480">
        <f t="shared" si="983"/>
        <v>0</v>
      </c>
      <c r="T480">
        <f t="shared" si="984"/>
        <v>0</v>
      </c>
    </row>
    <row r="481" spans="1:20" x14ac:dyDescent="0.25">
      <c r="A481" s="5"/>
      <c r="C481"/>
      <c r="D481"/>
      <c r="P481">
        <f t="shared" si="980"/>
        <v>0</v>
      </c>
      <c r="Q481">
        <f t="shared" si="981"/>
        <v>0</v>
      </c>
      <c r="R481">
        <f t="shared" si="982"/>
        <v>0</v>
      </c>
      <c r="S481">
        <f t="shared" si="983"/>
        <v>0</v>
      </c>
      <c r="T481">
        <f t="shared" si="984"/>
        <v>0</v>
      </c>
    </row>
    <row r="482" spans="1:20" x14ac:dyDescent="0.25">
      <c r="A482" s="5"/>
      <c r="C482"/>
      <c r="D482"/>
      <c r="P482">
        <f t="shared" si="980"/>
        <v>0</v>
      </c>
      <c r="Q482">
        <f t="shared" si="981"/>
        <v>0</v>
      </c>
      <c r="R482">
        <f t="shared" si="982"/>
        <v>0</v>
      </c>
      <c r="S482">
        <f t="shared" si="983"/>
        <v>0</v>
      </c>
      <c r="T482">
        <f t="shared" si="984"/>
        <v>0</v>
      </c>
    </row>
    <row r="483" spans="1:20" x14ac:dyDescent="0.25">
      <c r="A483" s="5"/>
      <c r="C483"/>
      <c r="D483"/>
      <c r="P483">
        <f t="shared" si="980"/>
        <v>0</v>
      </c>
      <c r="Q483">
        <f t="shared" si="981"/>
        <v>0</v>
      </c>
      <c r="R483">
        <f t="shared" si="982"/>
        <v>0</v>
      </c>
      <c r="S483">
        <f t="shared" si="983"/>
        <v>0</v>
      </c>
      <c r="T483">
        <f t="shared" si="984"/>
        <v>0</v>
      </c>
    </row>
    <row r="484" spans="1:20" x14ac:dyDescent="0.25">
      <c r="A484" s="5"/>
      <c r="C484"/>
      <c r="D484"/>
      <c r="P484">
        <f t="shared" si="980"/>
        <v>0</v>
      </c>
      <c r="Q484">
        <f t="shared" si="981"/>
        <v>0</v>
      </c>
      <c r="R484">
        <f t="shared" si="982"/>
        <v>0</v>
      </c>
      <c r="S484">
        <f t="shared" si="983"/>
        <v>0</v>
      </c>
      <c r="T484">
        <f t="shared" si="984"/>
        <v>0</v>
      </c>
    </row>
    <row r="485" spans="1:20" x14ac:dyDescent="0.25">
      <c r="A485" s="5"/>
      <c r="C485"/>
      <c r="D485"/>
      <c r="P485">
        <f t="shared" si="980"/>
        <v>0</v>
      </c>
      <c r="Q485">
        <f t="shared" si="981"/>
        <v>0</v>
      </c>
      <c r="R485">
        <f t="shared" si="982"/>
        <v>0</v>
      </c>
      <c r="S485">
        <f t="shared" si="983"/>
        <v>0</v>
      </c>
      <c r="T485">
        <f t="shared" si="984"/>
        <v>0</v>
      </c>
    </row>
    <row r="486" spans="1:20" x14ac:dyDescent="0.25">
      <c r="A486" s="5"/>
      <c r="C486"/>
      <c r="D486"/>
      <c r="P486">
        <f t="shared" si="980"/>
        <v>0</v>
      </c>
      <c r="Q486">
        <f t="shared" si="981"/>
        <v>0</v>
      </c>
      <c r="R486">
        <f t="shared" si="982"/>
        <v>0</v>
      </c>
      <c r="S486">
        <f t="shared" si="983"/>
        <v>0</v>
      </c>
      <c r="T486">
        <f t="shared" si="984"/>
        <v>0</v>
      </c>
    </row>
    <row r="487" spans="1:20" x14ac:dyDescent="0.25">
      <c r="A487" s="5"/>
      <c r="C487"/>
      <c r="D487"/>
      <c r="P487">
        <f t="shared" si="980"/>
        <v>0</v>
      </c>
      <c r="Q487">
        <f t="shared" si="981"/>
        <v>0</v>
      </c>
      <c r="R487">
        <f t="shared" si="982"/>
        <v>0</v>
      </c>
      <c r="S487">
        <f t="shared" si="983"/>
        <v>0</v>
      </c>
      <c r="T487">
        <f t="shared" si="984"/>
        <v>0</v>
      </c>
    </row>
    <row r="488" spans="1:20" x14ac:dyDescent="0.25">
      <c r="A488" s="5"/>
      <c r="C488"/>
      <c r="D488"/>
      <c r="P488">
        <f t="shared" si="980"/>
        <v>0</v>
      </c>
      <c r="Q488">
        <f t="shared" si="981"/>
        <v>0</v>
      </c>
      <c r="R488">
        <f t="shared" si="982"/>
        <v>0</v>
      </c>
      <c r="S488">
        <f t="shared" si="983"/>
        <v>0</v>
      </c>
      <c r="T488">
        <f t="shared" si="984"/>
        <v>0</v>
      </c>
    </row>
    <row r="489" spans="1:20" x14ac:dyDescent="0.25">
      <c r="A489" s="5"/>
      <c r="C489"/>
      <c r="D489"/>
      <c r="P489">
        <f t="shared" si="980"/>
        <v>0</v>
      </c>
      <c r="Q489">
        <f t="shared" si="981"/>
        <v>0</v>
      </c>
      <c r="R489">
        <f t="shared" si="982"/>
        <v>0</v>
      </c>
      <c r="S489">
        <f t="shared" si="983"/>
        <v>0</v>
      </c>
      <c r="T489">
        <f t="shared" si="984"/>
        <v>0</v>
      </c>
    </row>
    <row r="490" spans="1:20" x14ac:dyDescent="0.25">
      <c r="A490" s="5"/>
      <c r="C490"/>
      <c r="D490"/>
      <c r="P490">
        <f t="shared" si="980"/>
        <v>0</v>
      </c>
      <c r="Q490">
        <f t="shared" si="981"/>
        <v>0</v>
      </c>
      <c r="R490">
        <f t="shared" si="982"/>
        <v>0</v>
      </c>
      <c r="S490">
        <f t="shared" si="983"/>
        <v>0</v>
      </c>
      <c r="T490">
        <f t="shared" si="984"/>
        <v>0</v>
      </c>
    </row>
    <row r="491" spans="1:20" x14ac:dyDescent="0.25">
      <c r="A491" s="5"/>
      <c r="C491"/>
      <c r="D491"/>
      <c r="P491">
        <f t="shared" si="980"/>
        <v>0</v>
      </c>
      <c r="Q491">
        <f t="shared" si="981"/>
        <v>0</v>
      </c>
      <c r="R491">
        <f t="shared" si="982"/>
        <v>0</v>
      </c>
      <c r="S491">
        <f t="shared" si="983"/>
        <v>0</v>
      </c>
      <c r="T491">
        <f t="shared" si="984"/>
        <v>0</v>
      </c>
    </row>
    <row r="492" spans="1:20" x14ac:dyDescent="0.25">
      <c r="A492" s="5"/>
      <c r="C492"/>
      <c r="D492"/>
      <c r="P492">
        <f t="shared" si="980"/>
        <v>0</v>
      </c>
      <c r="Q492">
        <f t="shared" si="981"/>
        <v>0</v>
      </c>
      <c r="R492">
        <f t="shared" si="982"/>
        <v>0</v>
      </c>
      <c r="S492">
        <f t="shared" si="983"/>
        <v>0</v>
      </c>
      <c r="T492">
        <f t="shared" si="984"/>
        <v>0</v>
      </c>
    </row>
    <row r="493" spans="1:20" x14ac:dyDescent="0.25">
      <c r="A493" s="5"/>
      <c r="C493"/>
      <c r="D493"/>
      <c r="P493">
        <f t="shared" si="980"/>
        <v>0</v>
      </c>
      <c r="Q493">
        <f t="shared" si="981"/>
        <v>0</v>
      </c>
      <c r="R493">
        <f t="shared" si="982"/>
        <v>0</v>
      </c>
      <c r="S493">
        <f t="shared" si="983"/>
        <v>0</v>
      </c>
      <c r="T493">
        <f t="shared" si="984"/>
        <v>0</v>
      </c>
    </row>
    <row r="494" spans="1:20" x14ac:dyDescent="0.25">
      <c r="A494" s="5"/>
      <c r="C494"/>
      <c r="D494"/>
      <c r="P494">
        <f t="shared" si="980"/>
        <v>0</v>
      </c>
      <c r="Q494">
        <f t="shared" si="981"/>
        <v>0</v>
      </c>
      <c r="R494">
        <f t="shared" si="982"/>
        <v>0</v>
      </c>
      <c r="S494">
        <f t="shared" si="983"/>
        <v>0</v>
      </c>
      <c r="T494">
        <f t="shared" si="984"/>
        <v>0</v>
      </c>
    </row>
    <row r="495" spans="1:20" x14ac:dyDescent="0.25">
      <c r="A495" s="5"/>
      <c r="C495"/>
      <c r="D495"/>
      <c r="P495">
        <f t="shared" si="980"/>
        <v>0</v>
      </c>
      <c r="Q495">
        <f t="shared" si="981"/>
        <v>0</v>
      </c>
      <c r="R495">
        <f t="shared" si="982"/>
        <v>0</v>
      </c>
      <c r="S495">
        <f t="shared" si="983"/>
        <v>0</v>
      </c>
      <c r="T495">
        <f t="shared" si="984"/>
        <v>0</v>
      </c>
    </row>
    <row r="496" spans="1:20" x14ac:dyDescent="0.25">
      <c r="A496" s="5"/>
      <c r="C496"/>
      <c r="D496"/>
      <c r="P496">
        <f t="shared" si="980"/>
        <v>0</v>
      </c>
      <c r="Q496">
        <f t="shared" si="981"/>
        <v>0</v>
      </c>
      <c r="R496">
        <f t="shared" si="982"/>
        <v>0</v>
      </c>
      <c r="S496">
        <f t="shared" si="983"/>
        <v>0</v>
      </c>
      <c r="T496">
        <f t="shared" si="984"/>
        <v>0</v>
      </c>
    </row>
    <row r="497" spans="1:20" x14ac:dyDescent="0.25">
      <c r="A497" s="5"/>
      <c r="C497"/>
      <c r="D497"/>
      <c r="P497">
        <f t="shared" si="980"/>
        <v>0</v>
      </c>
      <c r="Q497">
        <f t="shared" si="981"/>
        <v>0</v>
      </c>
      <c r="R497">
        <f t="shared" si="982"/>
        <v>0</v>
      </c>
      <c r="S497">
        <f t="shared" si="983"/>
        <v>0</v>
      </c>
      <c r="T497">
        <f t="shared" si="984"/>
        <v>0</v>
      </c>
    </row>
    <row r="498" spans="1:20" x14ac:dyDescent="0.25">
      <c r="A498" s="5"/>
      <c r="C498"/>
      <c r="D498"/>
      <c r="P498">
        <f t="shared" si="980"/>
        <v>0</v>
      </c>
      <c r="Q498">
        <f t="shared" si="981"/>
        <v>0</v>
      </c>
      <c r="R498">
        <f t="shared" si="982"/>
        <v>0</v>
      </c>
      <c r="S498">
        <f t="shared" si="983"/>
        <v>0</v>
      </c>
      <c r="T498">
        <f t="shared" si="984"/>
        <v>0</v>
      </c>
    </row>
    <row r="499" spans="1:20" x14ac:dyDescent="0.25">
      <c r="A499" s="5"/>
      <c r="C499"/>
      <c r="D499"/>
      <c r="P499">
        <f t="shared" si="980"/>
        <v>0</v>
      </c>
      <c r="Q499">
        <f t="shared" si="981"/>
        <v>0</v>
      </c>
      <c r="R499">
        <f t="shared" si="982"/>
        <v>0</v>
      </c>
      <c r="S499">
        <f t="shared" si="983"/>
        <v>0</v>
      </c>
      <c r="T499">
        <f t="shared" si="984"/>
        <v>0</v>
      </c>
    </row>
    <row r="500" spans="1:20" x14ac:dyDescent="0.25">
      <c r="A500" s="5"/>
      <c r="C500"/>
      <c r="D500"/>
      <c r="P500">
        <f t="shared" si="980"/>
        <v>0</v>
      </c>
      <c r="Q500">
        <f t="shared" si="981"/>
        <v>0</v>
      </c>
      <c r="R500">
        <f t="shared" si="982"/>
        <v>0</v>
      </c>
      <c r="S500">
        <f t="shared" si="983"/>
        <v>0</v>
      </c>
      <c r="T500">
        <f t="shared" si="984"/>
        <v>0</v>
      </c>
    </row>
    <row r="501" spans="1:20" x14ac:dyDescent="0.25">
      <c r="A501" s="5"/>
      <c r="C501"/>
      <c r="D501"/>
      <c r="P501">
        <f t="shared" si="980"/>
        <v>0</v>
      </c>
      <c r="Q501">
        <f t="shared" si="981"/>
        <v>0</v>
      </c>
      <c r="R501">
        <f t="shared" si="982"/>
        <v>0</v>
      </c>
      <c r="S501">
        <f t="shared" si="983"/>
        <v>0</v>
      </c>
      <c r="T501">
        <f t="shared" si="984"/>
        <v>0</v>
      </c>
    </row>
    <row r="502" spans="1:20" x14ac:dyDescent="0.25">
      <c r="A502" s="5"/>
      <c r="C502"/>
      <c r="D502"/>
      <c r="P502">
        <f t="shared" si="980"/>
        <v>0</v>
      </c>
      <c r="Q502">
        <f t="shared" si="981"/>
        <v>0</v>
      </c>
      <c r="R502">
        <f t="shared" si="982"/>
        <v>0</v>
      </c>
      <c r="S502">
        <f t="shared" si="983"/>
        <v>0</v>
      </c>
      <c r="T502">
        <f t="shared" si="984"/>
        <v>0</v>
      </c>
    </row>
    <row r="503" spans="1:20" x14ac:dyDescent="0.25">
      <c r="A503" s="5"/>
      <c r="C503"/>
      <c r="D503"/>
      <c r="P503">
        <f t="shared" si="980"/>
        <v>0</v>
      </c>
      <c r="Q503">
        <f t="shared" si="981"/>
        <v>0</v>
      </c>
      <c r="R503">
        <f t="shared" si="982"/>
        <v>0</v>
      </c>
      <c r="S503">
        <f t="shared" si="983"/>
        <v>0</v>
      </c>
      <c r="T503">
        <f t="shared" si="984"/>
        <v>0</v>
      </c>
    </row>
    <row r="504" spans="1:20" x14ac:dyDescent="0.25">
      <c r="A504" s="5"/>
      <c r="C504"/>
      <c r="D504"/>
      <c r="P504">
        <f t="shared" si="980"/>
        <v>0</v>
      </c>
      <c r="Q504">
        <f t="shared" si="981"/>
        <v>0</v>
      </c>
      <c r="R504">
        <f t="shared" si="982"/>
        <v>0</v>
      </c>
      <c r="S504">
        <f t="shared" si="983"/>
        <v>0</v>
      </c>
      <c r="T504">
        <f t="shared" si="984"/>
        <v>0</v>
      </c>
    </row>
    <row r="505" spans="1:20" x14ac:dyDescent="0.25">
      <c r="A505" s="5"/>
      <c r="C505"/>
      <c r="D505"/>
      <c r="P505">
        <f t="shared" si="980"/>
        <v>0</v>
      </c>
      <c r="Q505">
        <f t="shared" si="981"/>
        <v>0</v>
      </c>
      <c r="R505">
        <f t="shared" si="982"/>
        <v>0</v>
      </c>
      <c r="S505">
        <f t="shared" si="983"/>
        <v>0</v>
      </c>
      <c r="T505">
        <f t="shared" si="984"/>
        <v>0</v>
      </c>
    </row>
    <row r="506" spans="1:20" x14ac:dyDescent="0.25">
      <c r="A506" s="5"/>
      <c r="C506"/>
      <c r="D506"/>
      <c r="P506">
        <f t="shared" si="980"/>
        <v>0</v>
      </c>
      <c r="Q506">
        <f t="shared" si="981"/>
        <v>0</v>
      </c>
      <c r="R506">
        <f t="shared" si="982"/>
        <v>0</v>
      </c>
      <c r="S506">
        <f t="shared" si="983"/>
        <v>0</v>
      </c>
      <c r="T506">
        <f t="shared" si="984"/>
        <v>0</v>
      </c>
    </row>
    <row r="507" spans="1:20" x14ac:dyDescent="0.25">
      <c r="A507" s="5"/>
      <c r="C507"/>
      <c r="D507"/>
      <c r="P507">
        <f t="shared" si="980"/>
        <v>0</v>
      </c>
      <c r="Q507">
        <f t="shared" si="981"/>
        <v>0</v>
      </c>
      <c r="R507">
        <f t="shared" si="982"/>
        <v>0</v>
      </c>
      <c r="S507">
        <f t="shared" si="983"/>
        <v>0</v>
      </c>
      <c r="T507">
        <f t="shared" si="984"/>
        <v>0</v>
      </c>
    </row>
    <row r="508" spans="1:20" x14ac:dyDescent="0.25">
      <c r="A508" s="5"/>
      <c r="C508"/>
      <c r="D508"/>
      <c r="P508">
        <f t="shared" si="980"/>
        <v>0</v>
      </c>
      <c r="Q508">
        <f t="shared" si="981"/>
        <v>0</v>
      </c>
      <c r="R508">
        <f t="shared" si="982"/>
        <v>0</v>
      </c>
      <c r="S508">
        <f t="shared" si="983"/>
        <v>0</v>
      </c>
      <c r="T508">
        <f t="shared" si="984"/>
        <v>0</v>
      </c>
    </row>
    <row r="509" spans="1:20" x14ac:dyDescent="0.25">
      <c r="A509" s="5"/>
      <c r="C509"/>
      <c r="D509"/>
      <c r="P509">
        <f t="shared" si="980"/>
        <v>0</v>
      </c>
      <c r="Q509">
        <f t="shared" si="981"/>
        <v>0</v>
      </c>
      <c r="R509">
        <f t="shared" si="982"/>
        <v>0</v>
      </c>
      <c r="S509">
        <f t="shared" si="983"/>
        <v>0</v>
      </c>
      <c r="T509">
        <f t="shared" si="984"/>
        <v>0</v>
      </c>
    </row>
    <row r="510" spans="1:20" x14ac:dyDescent="0.25">
      <c r="A510" s="5"/>
      <c r="C510"/>
      <c r="D510"/>
      <c r="P510">
        <f t="shared" si="980"/>
        <v>0</v>
      </c>
      <c r="Q510">
        <f t="shared" si="981"/>
        <v>0</v>
      </c>
      <c r="R510">
        <f t="shared" si="982"/>
        <v>0</v>
      </c>
      <c r="S510">
        <f t="shared" si="983"/>
        <v>0</v>
      </c>
      <c r="T510">
        <f t="shared" si="984"/>
        <v>0</v>
      </c>
    </row>
    <row r="511" spans="1:20" x14ac:dyDescent="0.25">
      <c r="A511" s="5"/>
      <c r="C511"/>
      <c r="D511"/>
      <c r="P511">
        <f t="shared" si="980"/>
        <v>0</v>
      </c>
      <c r="Q511">
        <f t="shared" si="981"/>
        <v>0</v>
      </c>
      <c r="R511">
        <f t="shared" si="982"/>
        <v>0</v>
      </c>
      <c r="S511">
        <f t="shared" si="983"/>
        <v>0</v>
      </c>
      <c r="T511">
        <f t="shared" si="984"/>
        <v>0</v>
      </c>
    </row>
    <row r="512" spans="1:20" x14ac:dyDescent="0.25">
      <c r="A512" s="5"/>
      <c r="C512"/>
      <c r="D512"/>
      <c r="P512">
        <f t="shared" si="980"/>
        <v>0</v>
      </c>
      <c r="Q512">
        <f t="shared" si="981"/>
        <v>0</v>
      </c>
      <c r="R512">
        <f t="shared" si="982"/>
        <v>0</v>
      </c>
      <c r="S512">
        <f t="shared" si="983"/>
        <v>0</v>
      </c>
      <c r="T512">
        <f t="shared" si="984"/>
        <v>0</v>
      </c>
    </row>
    <row r="513" spans="1:20" x14ac:dyDescent="0.25">
      <c r="A513" s="5"/>
      <c r="C513"/>
      <c r="D513"/>
      <c r="P513">
        <f t="shared" si="980"/>
        <v>0</v>
      </c>
      <c r="Q513">
        <f t="shared" si="981"/>
        <v>0</v>
      </c>
      <c r="R513">
        <f t="shared" si="982"/>
        <v>0</v>
      </c>
      <c r="S513">
        <f t="shared" si="983"/>
        <v>0</v>
      </c>
      <c r="T513">
        <f t="shared" si="984"/>
        <v>0</v>
      </c>
    </row>
    <row r="514" spans="1:20" x14ac:dyDescent="0.25">
      <c r="A514" s="5"/>
      <c r="C514"/>
      <c r="D514"/>
      <c r="P514">
        <f t="shared" si="980"/>
        <v>0</v>
      </c>
      <c r="Q514">
        <f t="shared" si="981"/>
        <v>0</v>
      </c>
      <c r="R514">
        <f t="shared" si="982"/>
        <v>0</v>
      </c>
      <c r="S514">
        <f t="shared" si="983"/>
        <v>0</v>
      </c>
      <c r="T514">
        <f t="shared" si="984"/>
        <v>0</v>
      </c>
    </row>
    <row r="515" spans="1:20" x14ac:dyDescent="0.25">
      <c r="A515" s="5"/>
      <c r="C515"/>
      <c r="D515"/>
      <c r="P515">
        <f t="shared" si="980"/>
        <v>0</v>
      </c>
      <c r="Q515">
        <f t="shared" si="981"/>
        <v>0</v>
      </c>
      <c r="R515">
        <f t="shared" si="982"/>
        <v>0</v>
      </c>
      <c r="S515">
        <f t="shared" si="983"/>
        <v>0</v>
      </c>
      <c r="T515">
        <f t="shared" si="984"/>
        <v>0</v>
      </c>
    </row>
    <row r="516" spans="1:20" x14ac:dyDescent="0.25">
      <c r="A516" s="5"/>
      <c r="C516"/>
      <c r="D516"/>
      <c r="P516">
        <f t="shared" si="980"/>
        <v>0</v>
      </c>
      <c r="Q516">
        <f t="shared" si="981"/>
        <v>0</v>
      </c>
      <c r="R516">
        <f t="shared" si="982"/>
        <v>0</v>
      </c>
      <c r="S516">
        <f t="shared" si="983"/>
        <v>0</v>
      </c>
      <c r="T516">
        <f t="shared" si="984"/>
        <v>0</v>
      </c>
    </row>
    <row r="517" spans="1:20" x14ac:dyDescent="0.25">
      <c r="A517" s="5"/>
      <c r="C517"/>
      <c r="D517"/>
      <c r="P517">
        <f t="shared" si="980"/>
        <v>0</v>
      </c>
      <c r="Q517">
        <f t="shared" si="981"/>
        <v>0</v>
      </c>
      <c r="R517">
        <f t="shared" si="982"/>
        <v>0</v>
      </c>
      <c r="S517">
        <f t="shared" si="983"/>
        <v>0</v>
      </c>
      <c r="T517">
        <f t="shared" si="984"/>
        <v>0</v>
      </c>
    </row>
    <row r="518" spans="1:20" x14ac:dyDescent="0.25">
      <c r="A518" s="5"/>
      <c r="C518"/>
      <c r="D518"/>
      <c r="P518">
        <f t="shared" ref="P518:P581" si="985">IF(C518=D518,0,((E518-D518)-(C518-E518))/(C518-D518))</f>
        <v>0</v>
      </c>
      <c r="Q518">
        <f t="shared" ref="Q518:Q581" si="986">F518*P518</f>
        <v>0</v>
      </c>
      <c r="R518">
        <f t="shared" ref="R518:R581" si="987">R519+Q518</f>
        <v>0</v>
      </c>
      <c r="S518">
        <f t="shared" ref="S518:S581" si="988">R518/100000</f>
        <v>0</v>
      </c>
      <c r="T518">
        <f t="shared" ref="T518:T581" si="989">S518/1000</f>
        <v>0</v>
      </c>
    </row>
    <row r="519" spans="1:20" x14ac:dyDescent="0.25">
      <c r="A519" s="5"/>
      <c r="C519"/>
      <c r="D519"/>
      <c r="P519">
        <f t="shared" si="985"/>
        <v>0</v>
      </c>
      <c r="Q519">
        <f t="shared" si="986"/>
        <v>0</v>
      </c>
      <c r="R519">
        <f t="shared" si="987"/>
        <v>0</v>
      </c>
      <c r="S519">
        <f t="shared" si="988"/>
        <v>0</v>
      </c>
      <c r="T519">
        <f t="shared" si="989"/>
        <v>0</v>
      </c>
    </row>
    <row r="520" spans="1:20" x14ac:dyDescent="0.25">
      <c r="A520" s="5"/>
      <c r="C520"/>
      <c r="D520"/>
      <c r="P520">
        <f t="shared" si="985"/>
        <v>0</v>
      </c>
      <c r="Q520">
        <f t="shared" si="986"/>
        <v>0</v>
      </c>
      <c r="R520">
        <f t="shared" si="987"/>
        <v>0</v>
      </c>
      <c r="S520">
        <f t="shared" si="988"/>
        <v>0</v>
      </c>
      <c r="T520">
        <f t="shared" si="989"/>
        <v>0</v>
      </c>
    </row>
    <row r="521" spans="1:20" x14ac:dyDescent="0.25">
      <c r="A521" s="5"/>
      <c r="C521"/>
      <c r="D521"/>
      <c r="P521">
        <f t="shared" si="985"/>
        <v>0</v>
      </c>
      <c r="Q521">
        <f t="shared" si="986"/>
        <v>0</v>
      </c>
      <c r="R521">
        <f t="shared" si="987"/>
        <v>0</v>
      </c>
      <c r="S521">
        <f t="shared" si="988"/>
        <v>0</v>
      </c>
      <c r="T521">
        <f t="shared" si="989"/>
        <v>0</v>
      </c>
    </row>
    <row r="522" spans="1:20" x14ac:dyDescent="0.25">
      <c r="A522" s="5"/>
      <c r="C522"/>
      <c r="D522"/>
      <c r="P522">
        <f t="shared" si="985"/>
        <v>0</v>
      </c>
      <c r="Q522">
        <f t="shared" si="986"/>
        <v>0</v>
      </c>
      <c r="R522">
        <f t="shared" si="987"/>
        <v>0</v>
      </c>
      <c r="S522">
        <f t="shared" si="988"/>
        <v>0</v>
      </c>
      <c r="T522">
        <f t="shared" si="989"/>
        <v>0</v>
      </c>
    </row>
    <row r="523" spans="1:20" x14ac:dyDescent="0.25">
      <c r="A523" s="5"/>
      <c r="C523"/>
      <c r="D523"/>
      <c r="P523">
        <f t="shared" si="985"/>
        <v>0</v>
      </c>
      <c r="Q523">
        <f t="shared" si="986"/>
        <v>0</v>
      </c>
      <c r="R523">
        <f t="shared" si="987"/>
        <v>0</v>
      </c>
      <c r="S523">
        <f t="shared" si="988"/>
        <v>0</v>
      </c>
      <c r="T523">
        <f t="shared" si="989"/>
        <v>0</v>
      </c>
    </row>
    <row r="524" spans="1:20" x14ac:dyDescent="0.25">
      <c r="A524" s="5"/>
      <c r="C524"/>
      <c r="D524"/>
      <c r="P524">
        <f t="shared" si="985"/>
        <v>0</v>
      </c>
      <c r="Q524">
        <f t="shared" si="986"/>
        <v>0</v>
      </c>
      <c r="R524">
        <f t="shared" si="987"/>
        <v>0</v>
      </c>
      <c r="S524">
        <f t="shared" si="988"/>
        <v>0</v>
      </c>
      <c r="T524">
        <f t="shared" si="989"/>
        <v>0</v>
      </c>
    </row>
    <row r="525" spans="1:20" x14ac:dyDescent="0.25">
      <c r="A525" s="5"/>
      <c r="C525"/>
      <c r="D525"/>
      <c r="P525">
        <f t="shared" si="985"/>
        <v>0</v>
      </c>
      <c r="Q525">
        <f t="shared" si="986"/>
        <v>0</v>
      </c>
      <c r="R525">
        <f t="shared" si="987"/>
        <v>0</v>
      </c>
      <c r="S525">
        <f t="shared" si="988"/>
        <v>0</v>
      </c>
      <c r="T525">
        <f t="shared" si="989"/>
        <v>0</v>
      </c>
    </row>
    <row r="526" spans="1:20" x14ac:dyDescent="0.25">
      <c r="A526" s="5"/>
      <c r="C526"/>
      <c r="D526"/>
      <c r="P526">
        <f t="shared" si="985"/>
        <v>0</v>
      </c>
      <c r="Q526">
        <f t="shared" si="986"/>
        <v>0</v>
      </c>
      <c r="R526">
        <f t="shared" si="987"/>
        <v>0</v>
      </c>
      <c r="S526">
        <f t="shared" si="988"/>
        <v>0</v>
      </c>
      <c r="T526">
        <f t="shared" si="989"/>
        <v>0</v>
      </c>
    </row>
    <row r="527" spans="1:20" x14ac:dyDescent="0.25">
      <c r="A527" s="5"/>
      <c r="C527"/>
      <c r="D527"/>
      <c r="P527">
        <f t="shared" si="985"/>
        <v>0</v>
      </c>
      <c r="Q527">
        <f t="shared" si="986"/>
        <v>0</v>
      </c>
      <c r="R527">
        <f t="shared" si="987"/>
        <v>0</v>
      </c>
      <c r="S527">
        <f t="shared" si="988"/>
        <v>0</v>
      </c>
      <c r="T527">
        <f t="shared" si="989"/>
        <v>0</v>
      </c>
    </row>
    <row r="528" spans="1:20" x14ac:dyDescent="0.25">
      <c r="A528" s="5"/>
      <c r="C528"/>
      <c r="D528"/>
      <c r="P528">
        <f t="shared" si="985"/>
        <v>0</v>
      </c>
      <c r="Q528">
        <f t="shared" si="986"/>
        <v>0</v>
      </c>
      <c r="R528">
        <f t="shared" si="987"/>
        <v>0</v>
      </c>
      <c r="S528">
        <f t="shared" si="988"/>
        <v>0</v>
      </c>
      <c r="T528">
        <f t="shared" si="989"/>
        <v>0</v>
      </c>
    </row>
    <row r="529" spans="1:20" x14ac:dyDescent="0.25">
      <c r="A529" s="5"/>
      <c r="C529"/>
      <c r="D529"/>
      <c r="P529">
        <f t="shared" si="985"/>
        <v>0</v>
      </c>
      <c r="Q529">
        <f t="shared" si="986"/>
        <v>0</v>
      </c>
      <c r="R529">
        <f t="shared" si="987"/>
        <v>0</v>
      </c>
      <c r="S529">
        <f t="shared" si="988"/>
        <v>0</v>
      </c>
      <c r="T529">
        <f t="shared" si="989"/>
        <v>0</v>
      </c>
    </row>
    <row r="530" spans="1:20" x14ac:dyDescent="0.25">
      <c r="A530" s="5"/>
      <c r="C530"/>
      <c r="D530"/>
      <c r="P530">
        <f t="shared" si="985"/>
        <v>0</v>
      </c>
      <c r="Q530">
        <f t="shared" si="986"/>
        <v>0</v>
      </c>
      <c r="R530">
        <f t="shared" si="987"/>
        <v>0</v>
      </c>
      <c r="S530">
        <f t="shared" si="988"/>
        <v>0</v>
      </c>
      <c r="T530">
        <f t="shared" si="989"/>
        <v>0</v>
      </c>
    </row>
    <row r="531" spans="1:20" x14ac:dyDescent="0.25">
      <c r="A531" s="5"/>
      <c r="C531"/>
      <c r="D531"/>
      <c r="P531">
        <f t="shared" si="985"/>
        <v>0</v>
      </c>
      <c r="Q531">
        <f t="shared" si="986"/>
        <v>0</v>
      </c>
      <c r="R531">
        <f t="shared" si="987"/>
        <v>0</v>
      </c>
      <c r="S531">
        <f t="shared" si="988"/>
        <v>0</v>
      </c>
      <c r="T531">
        <f t="shared" si="989"/>
        <v>0</v>
      </c>
    </row>
    <row r="532" spans="1:20" x14ac:dyDescent="0.25">
      <c r="A532" s="5"/>
      <c r="C532"/>
      <c r="D532"/>
      <c r="P532">
        <f t="shared" si="985"/>
        <v>0</v>
      </c>
      <c r="Q532">
        <f t="shared" si="986"/>
        <v>0</v>
      </c>
      <c r="R532">
        <f t="shared" si="987"/>
        <v>0</v>
      </c>
      <c r="S532">
        <f t="shared" si="988"/>
        <v>0</v>
      </c>
      <c r="T532">
        <f t="shared" si="989"/>
        <v>0</v>
      </c>
    </row>
    <row r="533" spans="1:20" x14ac:dyDescent="0.25">
      <c r="A533" s="5"/>
      <c r="C533"/>
      <c r="D533"/>
      <c r="P533">
        <f t="shared" si="985"/>
        <v>0</v>
      </c>
      <c r="Q533">
        <f t="shared" si="986"/>
        <v>0</v>
      </c>
      <c r="R533">
        <f t="shared" si="987"/>
        <v>0</v>
      </c>
      <c r="S533">
        <f t="shared" si="988"/>
        <v>0</v>
      </c>
      <c r="T533">
        <f t="shared" si="989"/>
        <v>0</v>
      </c>
    </row>
    <row r="534" spans="1:20" x14ac:dyDescent="0.25">
      <c r="A534" s="5"/>
      <c r="C534"/>
      <c r="D534"/>
      <c r="P534">
        <f t="shared" si="985"/>
        <v>0</v>
      </c>
      <c r="Q534">
        <f t="shared" si="986"/>
        <v>0</v>
      </c>
      <c r="R534">
        <f t="shared" si="987"/>
        <v>0</v>
      </c>
      <c r="S534">
        <f t="shared" si="988"/>
        <v>0</v>
      </c>
      <c r="T534">
        <f t="shared" si="989"/>
        <v>0</v>
      </c>
    </row>
    <row r="535" spans="1:20" x14ac:dyDescent="0.25">
      <c r="A535" s="5"/>
      <c r="C535"/>
      <c r="D535"/>
      <c r="P535">
        <f t="shared" si="985"/>
        <v>0</v>
      </c>
      <c r="Q535">
        <f t="shared" si="986"/>
        <v>0</v>
      </c>
      <c r="R535">
        <f t="shared" si="987"/>
        <v>0</v>
      </c>
      <c r="S535">
        <f t="shared" si="988"/>
        <v>0</v>
      </c>
      <c r="T535">
        <f t="shared" si="989"/>
        <v>0</v>
      </c>
    </row>
    <row r="536" spans="1:20" x14ac:dyDescent="0.25">
      <c r="A536" s="5"/>
      <c r="C536"/>
      <c r="D536"/>
      <c r="P536">
        <f t="shared" si="985"/>
        <v>0</v>
      </c>
      <c r="Q536">
        <f t="shared" si="986"/>
        <v>0</v>
      </c>
      <c r="R536">
        <f t="shared" si="987"/>
        <v>0</v>
      </c>
      <c r="S536">
        <f t="shared" si="988"/>
        <v>0</v>
      </c>
      <c r="T536">
        <f t="shared" si="989"/>
        <v>0</v>
      </c>
    </row>
    <row r="537" spans="1:20" x14ac:dyDescent="0.25">
      <c r="A537" s="5"/>
      <c r="C537"/>
      <c r="D537"/>
      <c r="P537">
        <f t="shared" si="985"/>
        <v>0</v>
      </c>
      <c r="Q537">
        <f t="shared" si="986"/>
        <v>0</v>
      </c>
      <c r="R537">
        <f t="shared" si="987"/>
        <v>0</v>
      </c>
      <c r="S537">
        <f t="shared" si="988"/>
        <v>0</v>
      </c>
      <c r="T537">
        <f t="shared" si="989"/>
        <v>0</v>
      </c>
    </row>
    <row r="538" spans="1:20" x14ac:dyDescent="0.25">
      <c r="A538" s="5"/>
      <c r="C538"/>
      <c r="D538"/>
      <c r="P538">
        <f t="shared" si="985"/>
        <v>0</v>
      </c>
      <c r="Q538">
        <f t="shared" si="986"/>
        <v>0</v>
      </c>
      <c r="R538">
        <f t="shared" si="987"/>
        <v>0</v>
      </c>
      <c r="S538">
        <f t="shared" si="988"/>
        <v>0</v>
      </c>
      <c r="T538">
        <f t="shared" si="989"/>
        <v>0</v>
      </c>
    </row>
    <row r="539" spans="1:20" x14ac:dyDescent="0.25">
      <c r="A539" s="5"/>
      <c r="C539"/>
      <c r="D539"/>
      <c r="P539">
        <f t="shared" si="985"/>
        <v>0</v>
      </c>
      <c r="Q539">
        <f t="shared" si="986"/>
        <v>0</v>
      </c>
      <c r="R539">
        <f t="shared" si="987"/>
        <v>0</v>
      </c>
      <c r="S539">
        <f t="shared" si="988"/>
        <v>0</v>
      </c>
      <c r="T539">
        <f t="shared" si="989"/>
        <v>0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29" zoomScale="90" zoomScaleNormal="90" workbookViewId="0">
      <pane xSplit="4" topLeftCell="G1" activePane="topRight" state="frozen"/>
      <selection pane="topRight" activeCell="XEV39" sqref="XEV39:XEW40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557" zoomScale="90" zoomScaleNormal="90" workbookViewId="0">
      <pane xSplit="4" topLeftCell="FM1" activePane="topRight" state="frozen"/>
      <selection activeCell="A109" sqref="A109"/>
      <selection pane="topRight" activeCell="IN635" sqref="IN63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$A$634</v>
      </c>
      <c r="D111" s="1" t="str">
        <f>ADDRESS(C121-1,D121,1,1)</f>
        <v>$IN$634</v>
      </c>
      <c r="E111"/>
    </row>
    <row r="112" spans="1:5" x14ac:dyDescent="0.25">
      <c r="A112" s="7">
        <v>12164.144957890772</v>
      </c>
      <c r="C112" s="1" t="str">
        <f>ADDRESS(C121,1,1,1)</f>
        <v>$A$635</v>
      </c>
      <c r="D112" s="1" t="str">
        <f>ADDRESS(C121,D121-1,1,1)</f>
        <v>$IM$635</v>
      </c>
      <c r="E112"/>
    </row>
    <row r="113" spans="1:5" x14ac:dyDescent="0.25">
      <c r="A113" s="7">
        <v>11925.63231165762</v>
      </c>
      <c r="C113" s="1" t="str">
        <f>ADDRESS(C121+1,1,1,1)</f>
        <v>$A$636</v>
      </c>
      <c r="D113" s="1" t="str">
        <f>ADDRESS(C121-1,D121+1,1,1)</f>
        <v>$IO$634</v>
      </c>
    </row>
    <row r="114" spans="1:5" x14ac:dyDescent="0.25">
      <c r="A114" s="7">
        <v>11691.796383978059</v>
      </c>
      <c r="C114" s="1" t="str">
        <f>ADDRESS(C121,D121,1,1)</f>
        <v>$IN$635</v>
      </c>
      <c r="D114" s="1" t="str">
        <f>ADDRESS(C121+1,D121+1,1,1)</f>
        <v>$IO$636</v>
      </c>
    </row>
    <row r="115" spans="1:5" x14ac:dyDescent="0.25">
      <c r="A115" s="7">
        <v>11462.545474488292</v>
      </c>
      <c r="C115" s="1" t="str">
        <f>ADDRESS(C121+1,D121,1,1)</f>
        <v>$IN$636</v>
      </c>
    </row>
    <row r="116" spans="1:5" x14ac:dyDescent="0.25">
      <c r="A116" s="7">
        <v>11237.789680870874</v>
      </c>
      <c r="C116" s="1">
        <f>C117-1</f>
        <v>634</v>
      </c>
    </row>
    <row r="117" spans="1:5" x14ac:dyDescent="0.25">
      <c r="A117" s="7">
        <v>11017.440863598895</v>
      </c>
      <c r="C117" s="1">
        <f>C121</f>
        <v>635</v>
      </c>
      <c r="D117" s="1">
        <f>D121</f>
        <v>248</v>
      </c>
    </row>
    <row r="118" spans="1:5" x14ac:dyDescent="0.25">
      <c r="A118" s="7">
        <v>10801.412611371465</v>
      </c>
      <c r="C118" s="1">
        <f>C117+1</f>
        <v>636</v>
      </c>
      <c r="D118" s="1">
        <f>D117+1</f>
        <v>249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635</v>
      </c>
      <c r="D121" s="19">
        <v>248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R635</v>
      </c>
      <c r="D123" s="1" t="str">
        <f>"C"&amp;D121</f>
        <v>C248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0.38653760856489122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124" x14ac:dyDescent="0.25">
      <c r="A529" s="7">
        <v>3.1536243640574906</v>
      </c>
      <c r="B529"/>
      <c r="C529"/>
      <c r="D529"/>
      <c r="E529"/>
    </row>
    <row r="530" spans="1:124" x14ac:dyDescent="0.25">
      <c r="A530" s="7">
        <v>3.0917885922132262</v>
      </c>
      <c r="B530"/>
      <c r="C530"/>
      <c r="D530"/>
      <c r="E530"/>
    </row>
    <row r="531" spans="1:124" x14ac:dyDescent="0.25">
      <c r="A531" s="7">
        <v>3.0311652864835552</v>
      </c>
      <c r="B531"/>
      <c r="C531"/>
      <c r="D531"/>
      <c r="E531"/>
    </row>
    <row r="532" spans="1:124" x14ac:dyDescent="0.25">
      <c r="A532" s="7">
        <v>2.9717306730230932</v>
      </c>
      <c r="B532"/>
      <c r="C532"/>
      <c r="D532"/>
      <c r="E532"/>
    </row>
    <row r="533" spans="1:124" x14ac:dyDescent="0.25">
      <c r="A533" s="7">
        <v>2.9134614441402875</v>
      </c>
      <c r="B533"/>
      <c r="C533"/>
      <c r="D533"/>
      <c r="E533"/>
      <c r="BM533" s="27" t="s">
        <v>8</v>
      </c>
    </row>
    <row r="534" spans="1:124" x14ac:dyDescent="0.25">
      <c r="A534" s="7">
        <v>2.8563347491571447</v>
      </c>
      <c r="B534"/>
      <c r="C534"/>
      <c r="D534"/>
      <c r="E534"/>
      <c r="BM534" s="27" t="s">
        <v>8</v>
      </c>
      <c r="BN534" s="27" t="s">
        <v>7</v>
      </c>
    </row>
    <row r="535" spans="1:124" x14ac:dyDescent="0.25">
      <c r="A535" s="7">
        <v>2.8003281854481812</v>
      </c>
      <c r="B535"/>
      <c r="C535"/>
      <c r="D535"/>
      <c r="E535"/>
      <c r="BM535" s="27" t="s">
        <v>8</v>
      </c>
      <c r="BN535" s="27" t="s">
        <v>7</v>
      </c>
    </row>
    <row r="536" spans="1:124" x14ac:dyDescent="0.25">
      <c r="A536" s="7">
        <v>2.7454197896550796</v>
      </c>
      <c r="B536"/>
      <c r="C536"/>
      <c r="D536"/>
      <c r="E536"/>
      <c r="BM536" s="27" t="s">
        <v>8</v>
      </c>
      <c r="BN536" s="27" t="s">
        <v>7</v>
      </c>
    </row>
    <row r="537" spans="1:124" x14ac:dyDescent="0.25">
      <c r="A537" s="7">
        <v>2.6915880290736074</v>
      </c>
      <c r="B537"/>
      <c r="C537"/>
      <c r="D537"/>
      <c r="E537"/>
      <c r="BM537" s="27" t="s">
        <v>8</v>
      </c>
      <c r="BN537" s="27" t="s">
        <v>7</v>
      </c>
    </row>
    <row r="538" spans="1:124" x14ac:dyDescent="0.25">
      <c r="A538" s="7">
        <v>2.6388117932094191</v>
      </c>
      <c r="B538"/>
      <c r="C538"/>
      <c r="D538"/>
      <c r="E538"/>
      <c r="BM538" s="27" t="s">
        <v>8</v>
      </c>
      <c r="BN538" s="27" t="s">
        <v>7</v>
      </c>
    </row>
    <row r="539" spans="1:124" x14ac:dyDescent="0.25">
      <c r="A539" s="7">
        <v>2.5870703854994304</v>
      </c>
      <c r="B539"/>
      <c r="C539"/>
      <c r="D539"/>
      <c r="E539"/>
      <c r="BM539" s="27" t="s">
        <v>8</v>
      </c>
      <c r="BN539" s="27" t="s">
        <v>7</v>
      </c>
      <c r="BO539" s="27" t="s">
        <v>8</v>
      </c>
    </row>
    <row r="540" spans="1:124" x14ac:dyDescent="0.25">
      <c r="A540" s="7">
        <v>2.53634351519552</v>
      </c>
      <c r="B540"/>
      <c r="C540"/>
      <c r="D540"/>
      <c r="E540"/>
      <c r="BM540" s="27" t="s">
        <v>8</v>
      </c>
      <c r="BN540" s="27" t="s">
        <v>7</v>
      </c>
      <c r="BO540" s="27" t="s">
        <v>8</v>
      </c>
      <c r="BP540" s="27" t="s">
        <v>7</v>
      </c>
    </row>
    <row r="541" spans="1:124" x14ac:dyDescent="0.25">
      <c r="A541" s="7">
        <v>2.4866112894073726</v>
      </c>
      <c r="B541"/>
      <c r="C541"/>
      <c r="D541"/>
      <c r="E541"/>
      <c r="BM541" s="27" t="s">
        <v>8</v>
      </c>
      <c r="BN541" s="27" t="s">
        <v>7</v>
      </c>
      <c r="BO541" s="27" t="s">
        <v>8</v>
      </c>
      <c r="BP541" s="27" t="s">
        <v>7</v>
      </c>
      <c r="DS541" s="27" t="s">
        <v>8</v>
      </c>
    </row>
    <row r="542" spans="1:124" x14ac:dyDescent="0.25">
      <c r="A542" s="7">
        <v>2.4378542053013459</v>
      </c>
      <c r="B542"/>
      <c r="C542"/>
      <c r="D542"/>
      <c r="E542"/>
      <c r="BM542" s="27" t="s">
        <v>8</v>
      </c>
      <c r="BN542" s="27" t="s">
        <v>7</v>
      </c>
      <c r="BO542" s="27" t="s">
        <v>8</v>
      </c>
      <c r="BP542" s="27" t="s">
        <v>7</v>
      </c>
      <c r="DS542" s="27" t="s">
        <v>8</v>
      </c>
      <c r="DT542" s="27" t="s">
        <v>7</v>
      </c>
    </row>
    <row r="543" spans="1:124" x14ac:dyDescent="0.25">
      <c r="A543" s="7">
        <v>2.3900531424522997</v>
      </c>
      <c r="B543"/>
      <c r="C543"/>
      <c r="D543"/>
      <c r="E543"/>
      <c r="BM543" s="27" t="s">
        <v>8</v>
      </c>
      <c r="BN543" s="27" t="s">
        <v>7</v>
      </c>
      <c r="BO543" s="27" t="s">
        <v>8</v>
      </c>
      <c r="BP543" s="27" t="s">
        <v>7</v>
      </c>
      <c r="BQ543" s="27" t="s">
        <v>8</v>
      </c>
      <c r="DS543" s="27" t="s">
        <v>8</v>
      </c>
      <c r="DT543" s="27" t="s">
        <v>7</v>
      </c>
    </row>
    <row r="544" spans="1:124" x14ac:dyDescent="0.25">
      <c r="A544" s="7">
        <v>2.343189355345392</v>
      </c>
      <c r="B544"/>
      <c r="C544"/>
      <c r="D544"/>
      <c r="E544"/>
      <c r="BI544" s="27" t="s">
        <v>8</v>
      </c>
      <c r="BM544" s="27" t="s">
        <v>8</v>
      </c>
      <c r="BN544" s="27" t="s">
        <v>7</v>
      </c>
      <c r="BO544" s="27" t="s">
        <v>8</v>
      </c>
      <c r="BP544" s="27" t="s">
        <v>7</v>
      </c>
      <c r="BQ544" s="27" t="s">
        <v>8</v>
      </c>
      <c r="BR544" s="27" t="s">
        <v>7</v>
      </c>
      <c r="DS544" s="27" t="s">
        <v>8</v>
      </c>
      <c r="DT544" s="27" t="s">
        <v>7</v>
      </c>
    </row>
    <row r="545" spans="1:126" x14ac:dyDescent="0.25">
      <c r="A545" s="7">
        <v>2.2972444660248938</v>
      </c>
      <c r="B545"/>
      <c r="C545"/>
      <c r="D545"/>
      <c r="E545"/>
      <c r="BI545" s="27" t="s">
        <v>8</v>
      </c>
      <c r="BJ545" s="27" t="s">
        <v>7</v>
      </c>
      <c r="BM545" s="27" t="s">
        <v>8</v>
      </c>
      <c r="BN545" s="27" t="s">
        <v>7</v>
      </c>
      <c r="BO545" s="27" t="s">
        <v>8</v>
      </c>
      <c r="BP545" s="27" t="s">
        <v>7</v>
      </c>
      <c r="BQ545" s="27" t="s">
        <v>8</v>
      </c>
      <c r="BR545" s="27" t="s">
        <v>7</v>
      </c>
      <c r="CO545" s="27" t="s">
        <v>8</v>
      </c>
      <c r="DS545" s="27" t="s">
        <v>8</v>
      </c>
      <c r="DT545" s="27" t="s">
        <v>7</v>
      </c>
    </row>
    <row r="546" spans="1:126" x14ac:dyDescent="0.25">
      <c r="A546" s="7">
        <v>2.252200456887151</v>
      </c>
      <c r="B546"/>
      <c r="C546"/>
      <c r="D546"/>
      <c r="E546"/>
      <c r="BI546" s="27" t="s">
        <v>8</v>
      </c>
      <c r="BJ546" s="27" t="s">
        <v>7</v>
      </c>
      <c r="BM546" s="27" t="s">
        <v>8</v>
      </c>
      <c r="BN546" s="27" t="s">
        <v>7</v>
      </c>
      <c r="BO546" s="27" t="s">
        <v>8</v>
      </c>
      <c r="BP546" s="27" t="s">
        <v>7</v>
      </c>
      <c r="BQ546" s="27" t="s">
        <v>8</v>
      </c>
      <c r="BR546" s="27" t="s">
        <v>7</v>
      </c>
      <c r="CO546" s="27" t="s">
        <v>8</v>
      </c>
      <c r="CP546" s="27" t="s">
        <v>7</v>
      </c>
      <c r="DO546" s="27" t="s">
        <v>8</v>
      </c>
      <c r="DS546" s="27" t="s">
        <v>8</v>
      </c>
      <c r="DT546" s="27" t="s">
        <v>7</v>
      </c>
    </row>
    <row r="547" spans="1:126" x14ac:dyDescent="0.25">
      <c r="A547" s="7">
        <v>2.208039663614854</v>
      </c>
      <c r="B547"/>
      <c r="C547"/>
      <c r="D547"/>
      <c r="E547"/>
      <c r="BI547" s="27" t="s">
        <v>8</v>
      </c>
      <c r="BJ547" s="27" t="s">
        <v>7</v>
      </c>
      <c r="BM547" s="27" t="s">
        <v>8</v>
      </c>
      <c r="BN547" s="27" t="s">
        <v>7</v>
      </c>
      <c r="BO547" s="27" t="s">
        <v>8</v>
      </c>
      <c r="BP547" s="27" t="s">
        <v>7</v>
      </c>
      <c r="BQ547" s="27" t="s">
        <v>8</v>
      </c>
      <c r="BR547" s="27" t="s">
        <v>7</v>
      </c>
      <c r="CO547" s="27" t="s">
        <v>8</v>
      </c>
      <c r="CP547" s="27" t="s">
        <v>7</v>
      </c>
      <c r="DO547" s="27" t="s">
        <v>8</v>
      </c>
      <c r="DP547" s="27" t="s">
        <v>7</v>
      </c>
      <c r="DS547" s="27" t="s">
        <v>8</v>
      </c>
      <c r="DT547" s="27" t="s">
        <v>7</v>
      </c>
    </row>
    <row r="548" spans="1:126" x14ac:dyDescent="0.25">
      <c r="A548" s="7">
        <v>2.1647447682498568</v>
      </c>
      <c r="B548"/>
      <c r="C548"/>
      <c r="D548"/>
      <c r="E548"/>
      <c r="BI548" s="27" t="s">
        <v>8</v>
      </c>
      <c r="BJ548" s="27" t="s">
        <v>7</v>
      </c>
      <c r="BM548" s="27" t="s">
        <v>8</v>
      </c>
      <c r="BN548" s="27" t="s">
        <v>7</v>
      </c>
      <c r="BO548" s="27" t="s">
        <v>8</v>
      </c>
      <c r="BP548" s="27" t="s">
        <v>7</v>
      </c>
      <c r="BQ548" s="27" t="s">
        <v>8</v>
      </c>
      <c r="BR548" s="27" t="s">
        <v>7</v>
      </c>
      <c r="CO548" s="27" t="s">
        <v>8</v>
      </c>
      <c r="CP548" s="27" t="s">
        <v>7</v>
      </c>
      <c r="DM548" s="27" t="s">
        <v>8</v>
      </c>
      <c r="DO548" s="27" t="s">
        <v>8</v>
      </c>
      <c r="DP548" s="27" t="s">
        <v>7</v>
      </c>
      <c r="DS548" s="27" t="s">
        <v>8</v>
      </c>
      <c r="DT548" s="27" t="s">
        <v>7</v>
      </c>
    </row>
    <row r="549" spans="1:126" x14ac:dyDescent="0.25">
      <c r="A549" s="7">
        <v>2.1222987924018204</v>
      </c>
      <c r="B549"/>
      <c r="C549"/>
      <c r="D549"/>
      <c r="E549"/>
      <c r="BI549" s="27" t="s">
        <v>8</v>
      </c>
      <c r="BJ549" s="27" t="s">
        <v>7</v>
      </c>
      <c r="BK549" s="27" t="s">
        <v>8</v>
      </c>
      <c r="BM549" s="27" t="s">
        <v>8</v>
      </c>
      <c r="BN549" s="27" t="s">
        <v>7</v>
      </c>
      <c r="BO549" s="27" t="s">
        <v>8</v>
      </c>
      <c r="BP549" s="27" t="s">
        <v>7</v>
      </c>
      <c r="BQ549" s="27" t="s">
        <v>8</v>
      </c>
      <c r="BR549" s="27" t="s">
        <v>7</v>
      </c>
      <c r="CO549" s="27" t="s">
        <v>8</v>
      </c>
      <c r="CP549" s="27" t="s">
        <v>7</v>
      </c>
      <c r="CW549" s="27" t="s">
        <v>8</v>
      </c>
      <c r="DM549" s="27" t="s">
        <v>8</v>
      </c>
      <c r="DN549" s="27" t="s">
        <v>7</v>
      </c>
      <c r="DO549" s="27" t="s">
        <v>8</v>
      </c>
      <c r="DP549" s="27" t="s">
        <v>7</v>
      </c>
      <c r="DS549" s="27" t="s">
        <v>8</v>
      </c>
      <c r="DT549" s="27" t="s">
        <v>7</v>
      </c>
    </row>
    <row r="550" spans="1:126" x14ac:dyDescent="0.25">
      <c r="A550" s="7">
        <v>2.0806850905900198</v>
      </c>
      <c r="B550"/>
      <c r="C550"/>
      <c r="D550"/>
      <c r="E550"/>
      <c r="BI550" s="27" t="s">
        <v>8</v>
      </c>
      <c r="BJ550" s="27" t="s">
        <v>7</v>
      </c>
      <c r="BK550" s="27" t="s">
        <v>8</v>
      </c>
      <c r="BL550" s="27" t="s">
        <v>7</v>
      </c>
      <c r="BM550" s="27" t="s">
        <v>8</v>
      </c>
      <c r="BN550" s="27" t="s">
        <v>7</v>
      </c>
      <c r="BO550" s="27" t="s">
        <v>8</v>
      </c>
      <c r="BP550" s="27" t="s">
        <v>7</v>
      </c>
      <c r="BQ550" s="27" t="s">
        <v>8</v>
      </c>
      <c r="BR550" s="27" t="s">
        <v>7</v>
      </c>
      <c r="CC550" s="27" t="s">
        <v>8</v>
      </c>
      <c r="CO550" s="27" t="s">
        <v>8</v>
      </c>
      <c r="CP550" s="27" t="s">
        <v>7</v>
      </c>
      <c r="CW550" s="27" t="s">
        <v>8</v>
      </c>
      <c r="CX550" s="27" t="s">
        <v>7</v>
      </c>
      <c r="DM550" s="27" t="s">
        <v>8</v>
      </c>
      <c r="DN550" s="27" t="s">
        <v>7</v>
      </c>
      <c r="DO550" s="27" t="s">
        <v>8</v>
      </c>
      <c r="DP550" s="27" t="s">
        <v>7</v>
      </c>
      <c r="DQ550" s="27" t="s">
        <v>8</v>
      </c>
      <c r="DS550" s="27" t="s">
        <v>8</v>
      </c>
      <c r="DT550" s="27" t="s">
        <v>7</v>
      </c>
    </row>
    <row r="551" spans="1:126" x14ac:dyDescent="0.25">
      <c r="A551" s="7">
        <v>2.0398873437157055</v>
      </c>
      <c r="B551"/>
      <c r="C551"/>
      <c r="D551"/>
      <c r="E551"/>
      <c r="BI551" s="27" t="s">
        <v>8</v>
      </c>
      <c r="BJ551" s="27" t="s">
        <v>7</v>
      </c>
      <c r="BK551" s="27" t="s">
        <v>8</v>
      </c>
      <c r="BL551" s="27" t="s">
        <v>7</v>
      </c>
      <c r="BM551" s="27" t="s">
        <v>8</v>
      </c>
      <c r="BN551" s="27" t="s">
        <v>7</v>
      </c>
      <c r="BO551" s="27" t="s">
        <v>8</v>
      </c>
      <c r="BP551" s="27" t="s">
        <v>7</v>
      </c>
      <c r="BQ551" s="27" t="s">
        <v>8</v>
      </c>
      <c r="BR551" s="27" t="s">
        <v>7</v>
      </c>
      <c r="CC551" s="27" t="s">
        <v>8</v>
      </c>
      <c r="CD551" s="27" t="s">
        <v>7</v>
      </c>
      <c r="CO551" s="27" t="s">
        <v>8</v>
      </c>
      <c r="CP551" s="27" t="s">
        <v>7</v>
      </c>
      <c r="CW551" s="27" t="s">
        <v>8</v>
      </c>
      <c r="CX551" s="27" t="s">
        <v>7</v>
      </c>
      <c r="DM551" s="27" t="s">
        <v>8</v>
      </c>
      <c r="DN551" s="27" t="s">
        <v>7</v>
      </c>
      <c r="DO551" s="27" t="s">
        <v>8</v>
      </c>
      <c r="DP551" s="27" t="s">
        <v>7</v>
      </c>
      <c r="DQ551" s="27" t="s">
        <v>8</v>
      </c>
      <c r="DR551" s="27" t="s">
        <v>7</v>
      </c>
      <c r="DS551" s="27" t="s">
        <v>8</v>
      </c>
      <c r="DT551" s="27" t="s">
        <v>7</v>
      </c>
    </row>
    <row r="552" spans="1:126" x14ac:dyDescent="0.25">
      <c r="A552" s="7">
        <v>1.9998895526624565</v>
      </c>
      <c r="B552"/>
      <c r="C552"/>
      <c r="D552"/>
      <c r="E552"/>
      <c r="BI552" s="27" t="s">
        <v>8</v>
      </c>
      <c r="BJ552" s="27" t="s">
        <v>7</v>
      </c>
      <c r="BK552" s="27" t="s">
        <v>8</v>
      </c>
      <c r="BL552" s="27" t="s">
        <v>7</v>
      </c>
      <c r="BM552" s="27" t="s">
        <v>8</v>
      </c>
      <c r="BN552" s="27" t="s">
        <v>7</v>
      </c>
      <c r="BO552" s="27" t="s">
        <v>8</v>
      </c>
      <c r="BP552" s="27" t="s">
        <v>7</v>
      </c>
      <c r="BQ552" s="27" t="s">
        <v>8</v>
      </c>
      <c r="BR552" s="27" t="s">
        <v>7</v>
      </c>
      <c r="CC552" s="27" t="s">
        <v>8</v>
      </c>
      <c r="CD552" s="27" t="s">
        <v>7</v>
      </c>
      <c r="CO552" s="27" t="s">
        <v>8</v>
      </c>
      <c r="CP552" s="27" t="s">
        <v>7</v>
      </c>
      <c r="CU552" s="27" t="s">
        <v>8</v>
      </c>
      <c r="CW552" s="27" t="s">
        <v>8</v>
      </c>
      <c r="CX552" s="27" t="s">
        <v>7</v>
      </c>
      <c r="DM552" s="27" t="s">
        <v>8</v>
      </c>
      <c r="DN552" s="27" t="s">
        <v>7</v>
      </c>
      <c r="DO552" s="27" t="s">
        <v>8</v>
      </c>
      <c r="DP552" s="27" t="s">
        <v>7</v>
      </c>
      <c r="DQ552" s="27" t="s">
        <v>8</v>
      </c>
      <c r="DR552" s="27" t="s">
        <v>7</v>
      </c>
      <c r="DS552" s="27" t="s">
        <v>8</v>
      </c>
      <c r="DT552" s="27" t="s">
        <v>7</v>
      </c>
      <c r="DU552" s="27" t="s">
        <v>8</v>
      </c>
    </row>
    <row r="553" spans="1:126" x14ac:dyDescent="0.25">
      <c r="A553" s="7">
        <v>1.9606760320220162</v>
      </c>
      <c r="B553"/>
      <c r="C553"/>
      <c r="D553"/>
      <c r="E553"/>
      <c r="BI553" s="27" t="s">
        <v>8</v>
      </c>
      <c r="BJ553" s="27" t="s">
        <v>7</v>
      </c>
      <c r="BK553" s="27" t="s">
        <v>8</v>
      </c>
      <c r="BL553" s="27" t="s">
        <v>7</v>
      </c>
      <c r="BM553" s="27" t="s">
        <v>8</v>
      </c>
      <c r="BN553" s="27" t="s">
        <v>7</v>
      </c>
      <c r="BO553" s="27" t="s">
        <v>8</v>
      </c>
      <c r="BP553" s="27" t="s">
        <v>7</v>
      </c>
      <c r="BQ553" s="27" t="s">
        <v>8</v>
      </c>
      <c r="BR553" s="27" t="s">
        <v>7</v>
      </c>
      <c r="CC553" s="27" t="s">
        <v>8</v>
      </c>
      <c r="CD553" s="27" t="s">
        <v>7</v>
      </c>
      <c r="CM553" s="27" t="s">
        <v>8</v>
      </c>
      <c r="CO553" s="27" t="s">
        <v>8</v>
      </c>
      <c r="CP553" s="27" t="s">
        <v>7</v>
      </c>
      <c r="CQ553" s="27" t="s">
        <v>8</v>
      </c>
      <c r="CU553" s="27" t="s">
        <v>8</v>
      </c>
      <c r="CV553" s="27" t="s">
        <v>7</v>
      </c>
      <c r="CW553" s="27" t="s">
        <v>8</v>
      </c>
      <c r="CX553" s="27" t="s">
        <v>7</v>
      </c>
      <c r="DM553" s="27" t="s">
        <v>8</v>
      </c>
      <c r="DN553" s="27" t="s">
        <v>7</v>
      </c>
      <c r="DP553" s="27" t="s">
        <v>7</v>
      </c>
      <c r="DQ553" s="27" t="s">
        <v>8</v>
      </c>
      <c r="DR553" s="27" t="s">
        <v>7</v>
      </c>
      <c r="DS553" s="27" t="s">
        <v>8</v>
      </c>
      <c r="DT553" s="27" t="s">
        <v>7</v>
      </c>
      <c r="DU553" s="27" t="s">
        <v>8</v>
      </c>
      <c r="DV553" s="27" t="s">
        <v>7</v>
      </c>
    </row>
    <row r="554" spans="1:126" x14ac:dyDescent="0.25">
      <c r="A554" s="7">
        <v>1.9222314039431532</v>
      </c>
      <c r="B554"/>
      <c r="C554"/>
      <c r="D554"/>
      <c r="E554"/>
      <c r="BI554" s="27" t="s">
        <v>8</v>
      </c>
      <c r="BJ554" s="27" t="s">
        <v>7</v>
      </c>
      <c r="BK554" s="27" t="s">
        <v>8</v>
      </c>
      <c r="BL554" s="27" t="s">
        <v>7</v>
      </c>
      <c r="BM554" s="27" t="s">
        <v>8</v>
      </c>
      <c r="BN554" s="27" t="s">
        <v>7</v>
      </c>
      <c r="BO554" s="27" t="s">
        <v>8</v>
      </c>
      <c r="BP554" s="27" t="s">
        <v>7</v>
      </c>
      <c r="BR554" s="27" t="s">
        <v>7</v>
      </c>
      <c r="CC554" s="27" t="s">
        <v>8</v>
      </c>
      <c r="CD554" s="27" t="s">
        <v>7</v>
      </c>
      <c r="CM554" s="27" t="s">
        <v>8</v>
      </c>
      <c r="CN554" s="27" t="s">
        <v>7</v>
      </c>
      <c r="CO554" s="27" t="s">
        <v>8</v>
      </c>
      <c r="CP554" s="27" t="s">
        <v>7</v>
      </c>
      <c r="CQ554" s="27" t="s">
        <v>8</v>
      </c>
      <c r="CR554" s="27" t="s">
        <v>7</v>
      </c>
      <c r="CS554" s="27" t="s">
        <v>8</v>
      </c>
      <c r="CU554" s="27" t="s">
        <v>8</v>
      </c>
      <c r="CV554" s="27" t="s">
        <v>7</v>
      </c>
      <c r="CW554" s="27" t="s">
        <v>8</v>
      </c>
      <c r="CX554" s="27" t="s">
        <v>7</v>
      </c>
      <c r="DM554" s="27" t="s">
        <v>8</v>
      </c>
      <c r="DP554" s="27" t="s">
        <v>7</v>
      </c>
      <c r="DQ554" s="27" t="s">
        <v>8</v>
      </c>
      <c r="DR554" s="27" t="s">
        <v>7</v>
      </c>
      <c r="DS554" s="27" t="s">
        <v>8</v>
      </c>
      <c r="DT554" s="27" t="s">
        <v>7</v>
      </c>
      <c r="DU554" s="27" t="s">
        <v>8</v>
      </c>
      <c r="DV554" s="27" t="s">
        <v>7</v>
      </c>
    </row>
    <row r="555" spans="1:126" x14ac:dyDescent="0.25">
      <c r="A555" s="7">
        <v>1.8845405921011305</v>
      </c>
      <c r="B555"/>
      <c r="C555"/>
      <c r="D555"/>
      <c r="E555"/>
      <c r="BI555" s="27" t="s">
        <v>8</v>
      </c>
      <c r="BJ555" s="27" t="s">
        <v>7</v>
      </c>
      <c r="BK555" s="27" t="s">
        <v>8</v>
      </c>
      <c r="BL555" s="27" t="s">
        <v>7</v>
      </c>
      <c r="BM555" s="27" t="s">
        <v>8</v>
      </c>
      <c r="BN555" s="27" t="s">
        <v>7</v>
      </c>
      <c r="BR555" s="27" t="s">
        <v>7</v>
      </c>
      <c r="CC555" s="27" t="s">
        <v>8</v>
      </c>
      <c r="CD555" s="27" t="s">
        <v>7</v>
      </c>
      <c r="CE555" s="27" t="s">
        <v>8</v>
      </c>
      <c r="CK555" s="27" t="s">
        <v>8</v>
      </c>
      <c r="CM555" s="27" t="s">
        <v>8</v>
      </c>
      <c r="CN555" s="27" t="s">
        <v>7</v>
      </c>
      <c r="CO555" s="27" t="s">
        <v>8</v>
      </c>
      <c r="CP555" s="27" t="s">
        <v>7</v>
      </c>
      <c r="CQ555" s="27" t="s">
        <v>8</v>
      </c>
      <c r="CR555" s="27" t="s">
        <v>7</v>
      </c>
      <c r="CS555" s="27" t="s">
        <v>8</v>
      </c>
      <c r="CT555" s="27" t="s">
        <v>7</v>
      </c>
      <c r="CU555" s="27" t="s">
        <v>8</v>
      </c>
      <c r="CV555" s="27" t="s">
        <v>7</v>
      </c>
      <c r="CW555" s="27" t="s">
        <v>8</v>
      </c>
      <c r="CX555" s="27" t="s">
        <v>7</v>
      </c>
      <c r="DM555" s="27" t="s">
        <v>8</v>
      </c>
      <c r="DP555" s="27" t="s">
        <v>7</v>
      </c>
      <c r="DQ555" s="27" t="s">
        <v>8</v>
      </c>
      <c r="DR555" s="27" t="s">
        <v>7</v>
      </c>
      <c r="DS555" s="27" t="s">
        <v>8</v>
      </c>
      <c r="DT555" s="27" t="s">
        <v>7</v>
      </c>
      <c r="DU555" s="27" t="s">
        <v>8</v>
      </c>
      <c r="DV555" s="27" t="s">
        <v>7</v>
      </c>
    </row>
    <row r="556" spans="1:126" x14ac:dyDescent="0.25">
      <c r="A556" s="7">
        <v>1.8475888157854219</v>
      </c>
      <c r="B556"/>
      <c r="C556"/>
      <c r="D556"/>
      <c r="E556"/>
      <c r="BI556" s="27" t="s">
        <v>8</v>
      </c>
      <c r="BJ556" s="27" t="s">
        <v>7</v>
      </c>
      <c r="BK556" s="27" t="s">
        <v>8</v>
      </c>
      <c r="BL556" s="27" t="s">
        <v>7</v>
      </c>
      <c r="BR556" s="27" t="s">
        <v>7</v>
      </c>
      <c r="BU556" s="27" t="s">
        <v>8</v>
      </c>
      <c r="CC556" s="27" t="s">
        <v>8</v>
      </c>
      <c r="CD556" s="27" t="s">
        <v>7</v>
      </c>
      <c r="CE556" s="27" t="s">
        <v>8</v>
      </c>
      <c r="CF556" s="27" t="s">
        <v>7</v>
      </c>
      <c r="CG556" s="27" t="s">
        <v>8</v>
      </c>
      <c r="CK556" s="27" t="s">
        <v>8</v>
      </c>
      <c r="CL556" s="27" t="s">
        <v>7</v>
      </c>
      <c r="CM556" s="27" t="s">
        <v>8</v>
      </c>
      <c r="CN556" s="27" t="s">
        <v>7</v>
      </c>
      <c r="CO556" s="27" t="s">
        <v>8</v>
      </c>
      <c r="CP556" s="27" t="s">
        <v>7</v>
      </c>
      <c r="CQ556" s="27" t="s">
        <v>8</v>
      </c>
      <c r="CR556" s="27" t="s">
        <v>7</v>
      </c>
      <c r="CS556" s="27" t="s">
        <v>8</v>
      </c>
      <c r="CT556" s="27" t="s">
        <v>7</v>
      </c>
      <c r="CU556" s="27" t="s">
        <v>8</v>
      </c>
      <c r="CV556" s="27" t="s">
        <v>7</v>
      </c>
      <c r="CW556" s="27" t="s">
        <v>8</v>
      </c>
      <c r="CX556" s="27" t="s">
        <v>7</v>
      </c>
      <c r="DM556" s="27" t="s">
        <v>8</v>
      </c>
      <c r="DP556" s="27" t="s">
        <v>7</v>
      </c>
      <c r="DR556" s="27" t="s">
        <v>7</v>
      </c>
      <c r="DS556" s="27" t="s">
        <v>8</v>
      </c>
      <c r="DT556" s="27" t="s">
        <v>7</v>
      </c>
      <c r="DU556" s="27" t="s">
        <v>8</v>
      </c>
      <c r="DV556" s="27" t="s">
        <v>7</v>
      </c>
    </row>
    <row r="557" spans="1:126" x14ac:dyDescent="0.25">
      <c r="A557" s="7">
        <v>1.8113615841033548</v>
      </c>
      <c r="B557"/>
      <c r="C557"/>
      <c r="D557"/>
      <c r="E557"/>
      <c r="BI557" s="27" t="s">
        <v>8</v>
      </c>
      <c r="BJ557" s="27" t="s">
        <v>7</v>
      </c>
      <c r="BK557" s="27" t="s">
        <v>8</v>
      </c>
      <c r="BR557" s="27" t="s">
        <v>7</v>
      </c>
      <c r="BU557" s="27" t="s">
        <v>8</v>
      </c>
      <c r="BV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CG557" s="27" t="s">
        <v>8</v>
      </c>
      <c r="CH557" s="27" t="s">
        <v>7</v>
      </c>
      <c r="CK557" s="27" t="s">
        <v>8</v>
      </c>
      <c r="CL557" s="27" t="s">
        <v>7</v>
      </c>
      <c r="CM557" s="27" t="s">
        <v>8</v>
      </c>
      <c r="CN557" s="27" t="s">
        <v>7</v>
      </c>
      <c r="CO557" s="27" t="s">
        <v>8</v>
      </c>
      <c r="CP557" s="27" t="s">
        <v>7</v>
      </c>
      <c r="CQ557" s="27" t="s">
        <v>8</v>
      </c>
      <c r="CR557" s="27" t="s">
        <v>7</v>
      </c>
      <c r="CS557" s="27" t="s">
        <v>8</v>
      </c>
      <c r="CT557" s="27" t="s">
        <v>7</v>
      </c>
      <c r="CU557" s="27" t="s">
        <v>8</v>
      </c>
      <c r="CV557" s="27" t="s">
        <v>7</v>
      </c>
      <c r="CW557" s="27" t="s">
        <v>8</v>
      </c>
      <c r="CX557" s="27" t="s">
        <v>7</v>
      </c>
      <c r="CY557" s="27" t="s">
        <v>8</v>
      </c>
      <c r="DM557" s="27" t="s">
        <v>8</v>
      </c>
      <c r="DR557" s="27" t="s">
        <v>7</v>
      </c>
      <c r="DS557" s="27" t="s">
        <v>8</v>
      </c>
      <c r="DT557" s="27" t="s">
        <v>7</v>
      </c>
      <c r="DU557" s="27" t="s">
        <v>8</v>
      </c>
      <c r="DV557" s="27" t="s">
        <v>7</v>
      </c>
    </row>
    <row r="558" spans="1:126" x14ac:dyDescent="0.25">
      <c r="A558" s="7">
        <v>1.7758446902974065</v>
      </c>
      <c r="B558"/>
      <c r="C558"/>
      <c r="D558"/>
      <c r="E558"/>
      <c r="BI558" s="27" t="s">
        <v>8</v>
      </c>
      <c r="BJ558" s="27" t="s">
        <v>7</v>
      </c>
      <c r="BK558" s="27" t="s">
        <v>8</v>
      </c>
      <c r="BR558" s="27" t="s">
        <v>7</v>
      </c>
      <c r="BU558" s="27" t="s">
        <v>8</v>
      </c>
      <c r="BV558" s="27" t="s">
        <v>7</v>
      </c>
      <c r="BW558" s="27" t="s">
        <v>8</v>
      </c>
      <c r="BY558" s="27" t="s">
        <v>8</v>
      </c>
      <c r="CC558" s="27" t="s">
        <v>8</v>
      </c>
      <c r="CD558" s="27" t="s">
        <v>7</v>
      </c>
      <c r="CE558" s="27" t="s">
        <v>8</v>
      </c>
      <c r="CF558" s="27" t="s">
        <v>7</v>
      </c>
      <c r="CG558" s="27" t="s">
        <v>8</v>
      </c>
      <c r="CH558" s="27" t="s">
        <v>7</v>
      </c>
      <c r="CK558" s="27" t="s">
        <v>8</v>
      </c>
      <c r="CL558" s="27" t="s">
        <v>7</v>
      </c>
      <c r="CM558" s="27" t="s">
        <v>8</v>
      </c>
      <c r="CN558" s="27" t="s">
        <v>7</v>
      </c>
      <c r="CO558" s="27" t="s">
        <v>8</v>
      </c>
      <c r="CP558" s="27" t="s">
        <v>7</v>
      </c>
      <c r="CQ558" s="27" t="s">
        <v>8</v>
      </c>
      <c r="CR558" s="27" t="s">
        <v>7</v>
      </c>
      <c r="CS558" s="27" t="s">
        <v>8</v>
      </c>
      <c r="CT558" s="27" t="s">
        <v>7</v>
      </c>
      <c r="CU558" s="27" t="s">
        <v>8</v>
      </c>
      <c r="CV558" s="27" t="s">
        <v>7</v>
      </c>
      <c r="CX558" s="27" t="s">
        <v>7</v>
      </c>
      <c r="CY558" s="27" t="s">
        <v>8</v>
      </c>
      <c r="CZ558" s="27" t="s">
        <v>7</v>
      </c>
      <c r="DM558" s="27" t="s">
        <v>8</v>
      </c>
      <c r="DR558" s="27" t="s">
        <v>7</v>
      </c>
      <c r="DS558" s="27" t="s">
        <v>8</v>
      </c>
      <c r="DT558" s="27" t="s">
        <v>7</v>
      </c>
      <c r="DU558" s="27" t="s">
        <v>8</v>
      </c>
      <c r="DV558" s="27" t="s">
        <v>7</v>
      </c>
    </row>
    <row r="559" spans="1:126" x14ac:dyDescent="0.25">
      <c r="A559" s="7">
        <v>1.7410242061739281</v>
      </c>
      <c r="B559"/>
      <c r="C559"/>
      <c r="D559"/>
      <c r="E559"/>
      <c r="BI559" s="27" t="s">
        <v>8</v>
      </c>
      <c r="BJ559" s="27" t="s">
        <v>7</v>
      </c>
      <c r="BR559" s="27" t="s">
        <v>7</v>
      </c>
      <c r="BS559" s="27" t="s">
        <v>8</v>
      </c>
      <c r="BU559" s="27" t="s">
        <v>8</v>
      </c>
      <c r="BV559" s="27" t="s">
        <v>7</v>
      </c>
      <c r="BW559" s="27" t="s">
        <v>8</v>
      </c>
      <c r="BX559" s="27" t="s">
        <v>7</v>
      </c>
      <c r="BY559" s="27" t="s">
        <v>8</v>
      </c>
      <c r="BZ559" s="27" t="s">
        <v>7</v>
      </c>
      <c r="CC559" s="27" t="s">
        <v>8</v>
      </c>
      <c r="CD559" s="27" t="s">
        <v>7</v>
      </c>
      <c r="CE559" s="27" t="s">
        <v>8</v>
      </c>
      <c r="CF559" s="27" t="s">
        <v>7</v>
      </c>
      <c r="CG559" s="27" t="s">
        <v>8</v>
      </c>
      <c r="CH559" s="27" t="s">
        <v>7</v>
      </c>
      <c r="CI559" s="27" t="s">
        <v>8</v>
      </c>
      <c r="CK559" s="27" t="s">
        <v>8</v>
      </c>
      <c r="CL559" s="27" t="s">
        <v>7</v>
      </c>
      <c r="CM559" s="27" t="s">
        <v>8</v>
      </c>
      <c r="CN559" s="27" t="s">
        <v>7</v>
      </c>
      <c r="CO559" s="27" t="s">
        <v>8</v>
      </c>
      <c r="CP559" s="27" t="s">
        <v>7</v>
      </c>
      <c r="CQ559" s="27" t="s">
        <v>8</v>
      </c>
      <c r="CR559" s="27" t="s">
        <v>7</v>
      </c>
      <c r="CT559" s="27" t="s">
        <v>7</v>
      </c>
      <c r="CU559" s="27" t="s">
        <v>8</v>
      </c>
      <c r="CX559" s="27" t="s">
        <v>7</v>
      </c>
      <c r="CY559" s="27" t="s">
        <v>8</v>
      </c>
      <c r="CZ559" s="27" t="s">
        <v>7</v>
      </c>
      <c r="DC559" s="27" t="s">
        <v>8</v>
      </c>
      <c r="DE559" s="27" t="s">
        <v>8</v>
      </c>
      <c r="DM559" s="27" t="s">
        <v>8</v>
      </c>
      <c r="DR559" s="27" t="s">
        <v>7</v>
      </c>
      <c r="DS559" s="27" t="s">
        <v>8</v>
      </c>
      <c r="DT559" s="27" t="s">
        <v>7</v>
      </c>
      <c r="DU559" s="27" t="s">
        <v>8</v>
      </c>
      <c r="DV559" s="27" t="s">
        <v>7</v>
      </c>
    </row>
    <row r="560" spans="1:126" x14ac:dyDescent="0.25">
      <c r="A560" s="7">
        <v>1.7068864766411058</v>
      </c>
      <c r="B560"/>
      <c r="C560"/>
      <c r="D560"/>
      <c r="E560"/>
      <c r="BI560" s="27" t="s">
        <v>8</v>
      </c>
      <c r="BR560" s="27" t="s">
        <v>7</v>
      </c>
      <c r="BS560" s="27" t="s">
        <v>8</v>
      </c>
      <c r="BT560" s="27" t="s">
        <v>7</v>
      </c>
      <c r="BU560" s="27" t="s">
        <v>8</v>
      </c>
      <c r="BV560" s="27" t="s">
        <v>7</v>
      </c>
      <c r="BW560" s="27" t="s">
        <v>8</v>
      </c>
      <c r="BX560" s="27" t="s">
        <v>7</v>
      </c>
      <c r="BY560" s="27" t="s">
        <v>8</v>
      </c>
      <c r="BZ560" s="27" t="s">
        <v>7</v>
      </c>
      <c r="CC560" s="27" t="s">
        <v>8</v>
      </c>
      <c r="CD560" s="27" t="s">
        <v>7</v>
      </c>
      <c r="CE560" s="27" t="s">
        <v>8</v>
      </c>
      <c r="CF560" s="27" t="s">
        <v>7</v>
      </c>
      <c r="CG560" s="27" t="s">
        <v>8</v>
      </c>
      <c r="CH560" s="27" t="s">
        <v>7</v>
      </c>
      <c r="CI560" s="27" t="s">
        <v>8</v>
      </c>
      <c r="CJ560" s="27" t="s">
        <v>7</v>
      </c>
      <c r="CK560" s="27" t="s">
        <v>8</v>
      </c>
      <c r="CL560" s="27" t="s">
        <v>7</v>
      </c>
      <c r="CM560" s="27" t="s">
        <v>8</v>
      </c>
      <c r="CN560" s="27" t="s">
        <v>7</v>
      </c>
      <c r="CO560" s="27" t="s">
        <v>8</v>
      </c>
      <c r="CP560" s="27" t="s">
        <v>7</v>
      </c>
      <c r="CQ560" s="27" t="s">
        <v>8</v>
      </c>
      <c r="CT560" s="27" t="s">
        <v>7</v>
      </c>
      <c r="CX560" s="27" t="s">
        <v>7</v>
      </c>
      <c r="CZ560" s="27" t="s">
        <v>7</v>
      </c>
      <c r="DC560" s="27" t="s">
        <v>8</v>
      </c>
      <c r="DD560" s="27" t="s">
        <v>7</v>
      </c>
      <c r="DE560" s="27" t="s">
        <v>8</v>
      </c>
      <c r="DF560" s="27" t="s">
        <v>7</v>
      </c>
      <c r="DM560" s="27" t="s">
        <v>8</v>
      </c>
      <c r="DR560" s="27" t="s">
        <v>7</v>
      </c>
      <c r="DS560" s="27" t="s">
        <v>8</v>
      </c>
      <c r="DT560" s="27" t="s">
        <v>7</v>
      </c>
      <c r="DU560" s="27" t="s">
        <v>8</v>
      </c>
      <c r="DV560" s="27" t="s">
        <v>7</v>
      </c>
    </row>
    <row r="561" spans="1:212" x14ac:dyDescent="0.25">
      <c r="A561" s="7">
        <v>1.6734181143540252</v>
      </c>
      <c r="B561"/>
      <c r="C561"/>
      <c r="D561"/>
      <c r="E561"/>
      <c r="BI561" s="27" t="s">
        <v>8</v>
      </c>
      <c r="BR561" s="27" t="s">
        <v>7</v>
      </c>
      <c r="BS561" s="27" t="s">
        <v>8</v>
      </c>
      <c r="BT561" s="27" t="s">
        <v>7</v>
      </c>
      <c r="BU561" s="27" t="s">
        <v>8</v>
      </c>
      <c r="BV561" s="27" t="s">
        <v>7</v>
      </c>
      <c r="BW561" s="27" t="s">
        <v>8</v>
      </c>
      <c r="BX561" s="27" t="s">
        <v>7</v>
      </c>
      <c r="BY561" s="27" t="s">
        <v>8</v>
      </c>
      <c r="BZ561" s="27" t="s">
        <v>7</v>
      </c>
      <c r="CC561" s="27" t="s">
        <v>8</v>
      </c>
      <c r="CD561" s="27" t="s">
        <v>7</v>
      </c>
      <c r="CE561" s="27" t="s">
        <v>8</v>
      </c>
      <c r="CF561" s="27" t="s">
        <v>7</v>
      </c>
      <c r="CG561" s="27" t="s">
        <v>8</v>
      </c>
      <c r="CH561" s="27" t="s">
        <v>7</v>
      </c>
      <c r="CI561" s="27" t="s">
        <v>8</v>
      </c>
      <c r="CJ561" s="27" t="s">
        <v>7</v>
      </c>
      <c r="CK561" s="27" t="s">
        <v>8</v>
      </c>
      <c r="CL561" s="27" t="s">
        <v>7</v>
      </c>
      <c r="CN561" s="27" t="s">
        <v>7</v>
      </c>
      <c r="CP561" s="27" t="s">
        <v>7</v>
      </c>
      <c r="CQ561" s="27" t="s">
        <v>8</v>
      </c>
      <c r="CZ561" s="27" t="s">
        <v>7</v>
      </c>
      <c r="DC561" s="27" t="s">
        <v>8</v>
      </c>
      <c r="DD561" s="27" t="s">
        <v>7</v>
      </c>
      <c r="DE561" s="27" t="s">
        <v>8</v>
      </c>
      <c r="DF561" s="27" t="s">
        <v>7</v>
      </c>
      <c r="DM561" s="27" t="s">
        <v>8</v>
      </c>
      <c r="DR561" s="27" t="s">
        <v>7</v>
      </c>
      <c r="DS561" s="27" t="s">
        <v>8</v>
      </c>
      <c r="DT561" s="27" t="s">
        <v>7</v>
      </c>
      <c r="DV561" s="27" t="s">
        <v>7</v>
      </c>
    </row>
    <row r="562" spans="1:212" x14ac:dyDescent="0.25">
      <c r="A562" s="7">
        <v>1.6406059944647307</v>
      </c>
      <c r="B562"/>
      <c r="C562"/>
      <c r="D562"/>
      <c r="E562"/>
      <c r="BI562" s="27" t="s">
        <v>8</v>
      </c>
      <c r="BR562" s="27" t="s">
        <v>7</v>
      </c>
      <c r="BS562" s="27" t="s">
        <v>8</v>
      </c>
      <c r="BT562" s="27" t="s">
        <v>7</v>
      </c>
      <c r="BU562" s="27" t="s">
        <v>8</v>
      </c>
      <c r="BV562" s="27" t="s">
        <v>7</v>
      </c>
      <c r="BW562" s="27" t="s">
        <v>8</v>
      </c>
      <c r="BX562" s="27" t="s">
        <v>7</v>
      </c>
      <c r="BY562" s="27" t="s">
        <v>8</v>
      </c>
      <c r="BZ562" s="27" t="s">
        <v>7</v>
      </c>
      <c r="CC562" s="27" t="s">
        <v>8</v>
      </c>
      <c r="CD562" s="27" t="s">
        <v>7</v>
      </c>
      <c r="CE562" s="27" t="s">
        <v>8</v>
      </c>
      <c r="CF562" s="27" t="s">
        <v>7</v>
      </c>
      <c r="CG562" s="27" t="s">
        <v>8</v>
      </c>
      <c r="CH562" s="27" t="s">
        <v>7</v>
      </c>
      <c r="CI562" s="27" t="s">
        <v>8</v>
      </c>
      <c r="CJ562" s="27" t="s">
        <v>7</v>
      </c>
      <c r="CK562" s="27" t="s">
        <v>8</v>
      </c>
      <c r="CP562" s="27" t="s">
        <v>7</v>
      </c>
      <c r="CZ562" s="27" t="s">
        <v>7</v>
      </c>
      <c r="DA562" s="27" t="s">
        <v>8</v>
      </c>
      <c r="DC562" s="27" t="s">
        <v>8</v>
      </c>
      <c r="DD562" s="27" t="s">
        <v>7</v>
      </c>
      <c r="DE562" s="27" t="s">
        <v>8</v>
      </c>
      <c r="DF562" s="27" t="s">
        <v>7</v>
      </c>
      <c r="DI562" s="27" t="s">
        <v>8</v>
      </c>
      <c r="DM562" s="27" t="s">
        <v>8</v>
      </c>
      <c r="DR562" s="27" t="s">
        <v>7</v>
      </c>
      <c r="DS562" s="27" t="s">
        <v>8</v>
      </c>
      <c r="DV562" s="27" t="s">
        <v>7</v>
      </c>
    </row>
    <row r="563" spans="1:212" x14ac:dyDescent="0.25">
      <c r="A563" s="7">
        <v>1.6084372494752261</v>
      </c>
      <c r="B563"/>
      <c r="C563"/>
      <c r="D563"/>
      <c r="E563"/>
      <c r="BI563" s="27" t="s">
        <v>8</v>
      </c>
      <c r="BR563" s="27" t="s">
        <v>7</v>
      </c>
      <c r="BS563" s="27" t="s">
        <v>8</v>
      </c>
      <c r="BT563" s="27" t="s">
        <v>7</v>
      </c>
      <c r="BU563" s="27" t="s">
        <v>8</v>
      </c>
      <c r="BV563" s="27" t="s">
        <v>7</v>
      </c>
      <c r="BW563" s="27" t="s">
        <v>8</v>
      </c>
      <c r="BX563" s="27" t="s">
        <v>7</v>
      </c>
      <c r="BY563" s="27" t="s">
        <v>8</v>
      </c>
      <c r="BZ563" s="27" t="s">
        <v>7</v>
      </c>
      <c r="CC563" s="27" t="s">
        <v>8</v>
      </c>
      <c r="CD563" s="27" t="s">
        <v>7</v>
      </c>
      <c r="CE563" s="27" t="s">
        <v>8</v>
      </c>
      <c r="CF563" s="27" t="s">
        <v>7</v>
      </c>
      <c r="CG563" s="27" t="s">
        <v>8</v>
      </c>
      <c r="CH563" s="27" t="s">
        <v>7</v>
      </c>
      <c r="CI563" s="27" t="s">
        <v>8</v>
      </c>
      <c r="CJ563" s="27" t="s">
        <v>7</v>
      </c>
      <c r="CK563" s="27" t="s">
        <v>8</v>
      </c>
      <c r="CZ563" s="27" t="s">
        <v>7</v>
      </c>
      <c r="DA563" s="27" t="s">
        <v>8</v>
      </c>
      <c r="DB563" s="27" t="s">
        <v>7</v>
      </c>
      <c r="DC563" s="27" t="s">
        <v>8</v>
      </c>
      <c r="DD563" s="27" t="s">
        <v>7</v>
      </c>
      <c r="DE563" s="27" t="s">
        <v>8</v>
      </c>
      <c r="DF563" s="27" t="s">
        <v>7</v>
      </c>
      <c r="DI563" s="27" t="s">
        <v>8</v>
      </c>
      <c r="DJ563" s="27" t="s">
        <v>7</v>
      </c>
      <c r="DM563" s="27" t="s">
        <v>8</v>
      </c>
      <c r="DR563" s="27" t="s">
        <v>7</v>
      </c>
      <c r="DS563" s="27" t="s">
        <v>8</v>
      </c>
      <c r="DV563" s="27" t="s">
        <v>7</v>
      </c>
    </row>
    <row r="564" spans="1:212" x14ac:dyDescent="0.25">
      <c r="A564" s="7">
        <v>1.5768992641913981</v>
      </c>
      <c r="B564"/>
      <c r="C564"/>
      <c r="D564"/>
      <c r="E564"/>
      <c r="BI564" s="27" t="s">
        <v>8</v>
      </c>
      <c r="BR564" s="27" t="s">
        <v>7</v>
      </c>
      <c r="BS564" s="27" t="s">
        <v>8</v>
      </c>
      <c r="BT564" s="27" t="s">
        <v>7</v>
      </c>
      <c r="BU564" s="27" t="s">
        <v>8</v>
      </c>
      <c r="BV564" s="27" t="s">
        <v>7</v>
      </c>
      <c r="BW564" s="27" t="s">
        <v>8</v>
      </c>
      <c r="BX564" s="27" t="s">
        <v>7</v>
      </c>
      <c r="BY564" s="27" t="s">
        <v>8</v>
      </c>
      <c r="BZ564" s="27" t="s">
        <v>7</v>
      </c>
      <c r="CC564" s="27" t="s">
        <v>8</v>
      </c>
      <c r="CD564" s="27" t="s">
        <v>7</v>
      </c>
      <c r="CF564" s="27" t="s">
        <v>7</v>
      </c>
      <c r="CG564" s="27" t="s">
        <v>8</v>
      </c>
      <c r="CH564" s="27" t="s">
        <v>7</v>
      </c>
      <c r="CI564" s="27" t="s">
        <v>8</v>
      </c>
      <c r="CJ564" s="27" t="s">
        <v>7</v>
      </c>
      <c r="CK564" s="27" t="s">
        <v>8</v>
      </c>
      <c r="CZ564" s="27" t="s">
        <v>7</v>
      </c>
      <c r="DA564" s="27" t="s">
        <v>8</v>
      </c>
      <c r="DB564" s="27" t="s">
        <v>7</v>
      </c>
      <c r="DC564" s="27" t="s">
        <v>8</v>
      </c>
      <c r="DD564" s="27" t="s">
        <v>7</v>
      </c>
      <c r="DE564" s="27" t="s">
        <v>8</v>
      </c>
      <c r="DF564" s="27" t="s">
        <v>7</v>
      </c>
      <c r="DI564" s="27" t="s">
        <v>8</v>
      </c>
      <c r="DJ564" s="27" t="s">
        <v>7</v>
      </c>
      <c r="DM564" s="27" t="s">
        <v>8</v>
      </c>
      <c r="DR564" s="27" t="s">
        <v>7</v>
      </c>
      <c r="DS564" s="27" t="s">
        <v>8</v>
      </c>
      <c r="DV564" s="27" t="s">
        <v>7</v>
      </c>
    </row>
    <row r="565" spans="1:212" x14ac:dyDescent="0.25">
      <c r="A565" s="7">
        <v>1.5459796707758806</v>
      </c>
      <c r="B565"/>
      <c r="C565"/>
      <c r="D565"/>
      <c r="E565"/>
      <c r="BI565" s="27" t="s">
        <v>8</v>
      </c>
      <c r="BR565" s="27" t="s">
        <v>7</v>
      </c>
      <c r="BS565" s="27" t="s">
        <v>8</v>
      </c>
      <c r="BT565" s="27" t="s">
        <v>7</v>
      </c>
      <c r="BU565" s="27" t="s">
        <v>8</v>
      </c>
      <c r="BV565" s="27" t="s">
        <v>7</v>
      </c>
      <c r="BW565" s="27" t="s">
        <v>8</v>
      </c>
      <c r="BX565" s="27" t="s">
        <v>7</v>
      </c>
      <c r="BY565" s="27" t="s">
        <v>8</v>
      </c>
      <c r="BZ565" s="27" t="s">
        <v>7</v>
      </c>
      <c r="CC565" s="27" t="s">
        <v>8</v>
      </c>
      <c r="CF565" s="27" t="s">
        <v>7</v>
      </c>
      <c r="CH565" s="27" t="s">
        <v>7</v>
      </c>
      <c r="CI565" s="27" t="s">
        <v>8</v>
      </c>
      <c r="CJ565" s="27" t="s">
        <v>7</v>
      </c>
      <c r="CZ565" s="27" t="s">
        <v>7</v>
      </c>
      <c r="DA565" s="27" t="s">
        <v>8</v>
      </c>
      <c r="DB565" s="27" t="s">
        <v>7</v>
      </c>
      <c r="DC565" s="27" t="s">
        <v>8</v>
      </c>
      <c r="DD565" s="27" t="s">
        <v>7</v>
      </c>
      <c r="DE565" s="27" t="s">
        <v>8</v>
      </c>
      <c r="DF565" s="27" t="s">
        <v>7</v>
      </c>
      <c r="DG565" s="27" t="s">
        <v>8</v>
      </c>
      <c r="DI565" s="27" t="s">
        <v>8</v>
      </c>
      <c r="DJ565" s="27" t="s">
        <v>7</v>
      </c>
      <c r="DM565" s="27" t="s">
        <v>8</v>
      </c>
      <c r="DR565" s="27" t="s">
        <v>7</v>
      </c>
      <c r="DV565" s="27" t="s">
        <v>7</v>
      </c>
    </row>
    <row r="566" spans="1:212" x14ac:dyDescent="0.25">
      <c r="A566" s="7">
        <v>1.5156663438979221</v>
      </c>
      <c r="B566"/>
      <c r="C566"/>
      <c r="D566"/>
      <c r="E566"/>
      <c r="BI566" s="27" t="s">
        <v>8</v>
      </c>
      <c r="BR566" s="27" t="s">
        <v>7</v>
      </c>
      <c r="BS566" s="27" t="s">
        <v>8</v>
      </c>
      <c r="BT566" s="27" t="s">
        <v>7</v>
      </c>
      <c r="BU566" s="27" t="s">
        <v>8</v>
      </c>
      <c r="BV566" s="27" t="s">
        <v>7</v>
      </c>
      <c r="BW566" s="27" t="s">
        <v>8</v>
      </c>
      <c r="BX566" s="27" t="s">
        <v>7</v>
      </c>
      <c r="BY566" s="27" t="s">
        <v>8</v>
      </c>
      <c r="BZ566" s="27" t="s">
        <v>7</v>
      </c>
      <c r="CC566" s="27" t="s">
        <v>8</v>
      </c>
      <c r="CH566" s="27" t="s">
        <v>7</v>
      </c>
      <c r="CI566" s="27" t="s">
        <v>8</v>
      </c>
      <c r="CZ566" s="27" t="s">
        <v>7</v>
      </c>
      <c r="DB566" s="27" t="s">
        <v>7</v>
      </c>
      <c r="DC566" s="27" t="s">
        <v>8</v>
      </c>
      <c r="DD566" s="27" t="s">
        <v>7</v>
      </c>
      <c r="DF566" s="27" t="s">
        <v>7</v>
      </c>
      <c r="DG566" s="27" t="s">
        <v>8</v>
      </c>
      <c r="DH566" s="27" t="s">
        <v>7</v>
      </c>
      <c r="DI566" s="27" t="s">
        <v>8</v>
      </c>
      <c r="DJ566" s="27" t="s">
        <v>7</v>
      </c>
      <c r="DM566" s="27" t="s">
        <v>8</v>
      </c>
      <c r="DV566" s="27" t="s">
        <v>7</v>
      </c>
    </row>
    <row r="567" spans="1:212" x14ac:dyDescent="0.25">
      <c r="A567" s="7">
        <v>1.4859473959783549</v>
      </c>
      <c r="B567"/>
      <c r="C567"/>
      <c r="D567"/>
      <c r="E567"/>
      <c r="BI567" s="27" t="s">
        <v>8</v>
      </c>
      <c r="BR567" s="27" t="s">
        <v>7</v>
      </c>
      <c r="BS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BY567" s="27" t="s">
        <v>8</v>
      </c>
      <c r="BZ567" s="27" t="s">
        <v>7</v>
      </c>
      <c r="CC567" s="27" t="s">
        <v>8</v>
      </c>
      <c r="CH567" s="27" t="s">
        <v>7</v>
      </c>
      <c r="CI567" s="27" t="s">
        <v>8</v>
      </c>
      <c r="DB567" s="27" t="s">
        <v>7</v>
      </c>
      <c r="DC567" s="27" t="s">
        <v>8</v>
      </c>
      <c r="DF567" s="27" t="s">
        <v>7</v>
      </c>
      <c r="DG567" s="27" t="s">
        <v>8</v>
      </c>
      <c r="DH567" s="27" t="s">
        <v>7</v>
      </c>
      <c r="DI567" s="27" t="s">
        <v>8</v>
      </c>
      <c r="DJ567" s="27" t="s">
        <v>7</v>
      </c>
      <c r="DM567" s="27" t="s">
        <v>8</v>
      </c>
      <c r="DV567" s="27" t="s">
        <v>7</v>
      </c>
      <c r="FU567" s="27" t="s">
        <v>8</v>
      </c>
    </row>
    <row r="568" spans="1:212" x14ac:dyDescent="0.25">
      <c r="A568" s="7">
        <v>1.4568111725277988</v>
      </c>
      <c r="B568"/>
      <c r="C568"/>
      <c r="D568"/>
      <c r="E568"/>
      <c r="BI568" s="27" t="s">
        <v>8</v>
      </c>
      <c r="BR568" s="27" t="s">
        <v>7</v>
      </c>
      <c r="BS568" s="27" t="s">
        <v>8</v>
      </c>
      <c r="BT568" s="27" t="s">
        <v>7</v>
      </c>
      <c r="BU568" s="27" t="s">
        <v>8</v>
      </c>
      <c r="BV568" s="27" t="s">
        <v>7</v>
      </c>
      <c r="BX568" s="27" t="s">
        <v>7</v>
      </c>
      <c r="BY568" s="27" t="s">
        <v>8</v>
      </c>
      <c r="BZ568" s="27" t="s">
        <v>7</v>
      </c>
      <c r="CC568" s="27" t="s">
        <v>8</v>
      </c>
      <c r="CH568" s="27" t="s">
        <v>7</v>
      </c>
      <c r="CI568" s="27" t="s">
        <v>8</v>
      </c>
      <c r="DB568" s="27" t="s">
        <v>7</v>
      </c>
      <c r="DC568" s="27" t="s">
        <v>8</v>
      </c>
      <c r="DF568" s="27" t="s">
        <v>7</v>
      </c>
      <c r="DG568" s="27" t="s">
        <v>8</v>
      </c>
      <c r="DH568" s="27" t="s">
        <v>7</v>
      </c>
      <c r="DI568" s="27" t="s">
        <v>8</v>
      </c>
      <c r="DJ568" s="27" t="s">
        <v>7</v>
      </c>
      <c r="DM568" s="27" t="s">
        <v>8</v>
      </c>
      <c r="DV568" s="27" t="s">
        <v>7</v>
      </c>
      <c r="FS568" s="27" t="s">
        <v>8</v>
      </c>
      <c r="FU568" s="27" t="s">
        <v>8</v>
      </c>
      <c r="FV568" s="27" t="s">
        <v>7</v>
      </c>
    </row>
    <row r="569" spans="1:212" x14ac:dyDescent="0.25">
      <c r="A569" s="7">
        <v>1.4282462475762734</v>
      </c>
      <c r="B569"/>
      <c r="C569"/>
      <c r="D569"/>
      <c r="E569"/>
      <c r="BI569" s="27" t="s">
        <v>8</v>
      </c>
      <c r="BR569" s="27" t="s">
        <v>7</v>
      </c>
      <c r="BS569" s="27" t="s">
        <v>8</v>
      </c>
      <c r="BT569" s="27" t="s">
        <v>7</v>
      </c>
      <c r="BU569" s="27" t="s">
        <v>8</v>
      </c>
      <c r="BX569" s="27" t="s">
        <v>7</v>
      </c>
      <c r="BY569" s="27" t="s">
        <v>8</v>
      </c>
      <c r="BZ569" s="27" t="s">
        <v>7</v>
      </c>
      <c r="CC569" s="27" t="s">
        <v>8</v>
      </c>
      <c r="CH569" s="27" t="s">
        <v>7</v>
      </c>
      <c r="CI569" s="27" t="s">
        <v>8</v>
      </c>
      <c r="DB569" s="27" t="s">
        <v>7</v>
      </c>
      <c r="DC569" s="27" t="s">
        <v>8</v>
      </c>
      <c r="DF569" s="27" t="s">
        <v>7</v>
      </c>
      <c r="DG569" s="27" t="s">
        <v>8</v>
      </c>
      <c r="DH569" s="27" t="s">
        <v>7</v>
      </c>
      <c r="DI569" s="27" t="s">
        <v>8</v>
      </c>
      <c r="DJ569" s="27" t="s">
        <v>7</v>
      </c>
      <c r="DM569" s="27" t="s">
        <v>8</v>
      </c>
      <c r="DV569" s="27" t="s">
        <v>7</v>
      </c>
      <c r="FS569" s="27" t="s">
        <v>8</v>
      </c>
      <c r="FT569" s="27" t="s">
        <v>7</v>
      </c>
      <c r="FU569" s="27" t="s">
        <v>8</v>
      </c>
      <c r="FV569" s="27" t="s">
        <v>7</v>
      </c>
    </row>
    <row r="570" spans="1:212" x14ac:dyDescent="0.25">
      <c r="A570" s="7">
        <v>1.4002414191924248</v>
      </c>
      <c r="B570"/>
      <c r="C570"/>
      <c r="D570"/>
      <c r="E570"/>
      <c r="BI570" s="27" t="s">
        <v>8</v>
      </c>
      <c r="BR570" s="27" t="s">
        <v>7</v>
      </c>
      <c r="BS570" s="27" t="s">
        <v>8</v>
      </c>
      <c r="BT570" s="27" t="s">
        <v>7</v>
      </c>
      <c r="BX570" s="27" t="s">
        <v>7</v>
      </c>
      <c r="BY570" s="27" t="s">
        <v>8</v>
      </c>
      <c r="BZ570" s="27" t="s">
        <v>7</v>
      </c>
      <c r="CC570" s="27" t="s">
        <v>8</v>
      </c>
      <c r="CH570" s="27" t="s">
        <v>7</v>
      </c>
      <c r="DB570" s="27" t="s">
        <v>7</v>
      </c>
      <c r="DF570" s="27" t="s">
        <v>7</v>
      </c>
      <c r="DG570" s="27" t="s">
        <v>8</v>
      </c>
      <c r="DH570" s="27" t="s">
        <v>7</v>
      </c>
      <c r="DI570" s="27" t="s">
        <v>8</v>
      </c>
      <c r="DJ570" s="27" t="s">
        <v>7</v>
      </c>
      <c r="DM570" s="27" t="s">
        <v>8</v>
      </c>
      <c r="DV570" s="27" t="s">
        <v>7</v>
      </c>
      <c r="DW570" s="27" t="s">
        <v>8</v>
      </c>
      <c r="FS570" s="27" t="s">
        <v>8</v>
      </c>
      <c r="FT570" s="27" t="s">
        <v>7</v>
      </c>
      <c r="FU570" s="27" t="s">
        <v>8</v>
      </c>
      <c r="FV570" s="27" t="s">
        <v>7</v>
      </c>
    </row>
    <row r="571" spans="1:212" x14ac:dyDescent="0.25">
      <c r="A571" s="7">
        <v>1.3727857050906125</v>
      </c>
      <c r="B571"/>
      <c r="C571"/>
      <c r="D571"/>
      <c r="E571"/>
      <c r="BI571" s="27" t="s">
        <v>8</v>
      </c>
      <c r="BR571" s="27" t="s">
        <v>7</v>
      </c>
      <c r="BS571" s="27" t="s">
        <v>8</v>
      </c>
      <c r="BX571" s="27" t="s">
        <v>7</v>
      </c>
      <c r="BY571" s="27" t="s">
        <v>8</v>
      </c>
      <c r="BZ571" s="27" t="s">
        <v>7</v>
      </c>
      <c r="CA571" s="27" t="s">
        <v>8</v>
      </c>
      <c r="CC571" s="27" t="s">
        <v>8</v>
      </c>
      <c r="DF571" s="27" t="s">
        <v>7</v>
      </c>
      <c r="DG571" s="27" t="s">
        <v>8</v>
      </c>
      <c r="DH571" s="27" t="s">
        <v>7</v>
      </c>
      <c r="DI571" s="27" t="s">
        <v>8</v>
      </c>
      <c r="DJ571" s="27" t="s">
        <v>7</v>
      </c>
      <c r="DK571" s="27" t="s">
        <v>8</v>
      </c>
      <c r="DM571" s="27" t="s">
        <v>8</v>
      </c>
      <c r="DV571" s="27" t="s">
        <v>7</v>
      </c>
      <c r="DW571" s="27" t="s">
        <v>8</v>
      </c>
      <c r="DX571" s="27" t="s">
        <v>7</v>
      </c>
      <c r="FQ571" s="27" t="s">
        <v>8</v>
      </c>
      <c r="FS571" s="27" t="s">
        <v>8</v>
      </c>
      <c r="FT571" s="27" t="s">
        <v>7</v>
      </c>
      <c r="FU571" s="27" t="s">
        <v>8</v>
      </c>
      <c r="FV571" s="27" t="s">
        <v>7</v>
      </c>
    </row>
    <row r="572" spans="1:212" x14ac:dyDescent="0.25">
      <c r="A572" s="7">
        <v>1.3458683383241299</v>
      </c>
      <c r="B572"/>
      <c r="C572"/>
      <c r="D572"/>
      <c r="E572"/>
      <c r="BI572" s="27" t="s">
        <v>8</v>
      </c>
      <c r="BR572" s="27" t="s">
        <v>7</v>
      </c>
      <c r="BS572" s="27" t="s">
        <v>8</v>
      </c>
      <c r="BX572" s="27" t="s">
        <v>7</v>
      </c>
      <c r="BY572" s="27" t="s">
        <v>8</v>
      </c>
      <c r="BZ572" s="27" t="s">
        <v>7</v>
      </c>
      <c r="CA572" s="27" t="s">
        <v>8</v>
      </c>
      <c r="CB572" s="27" t="s">
        <v>7</v>
      </c>
      <c r="CC572" s="27" t="s">
        <v>8</v>
      </c>
      <c r="DF572" s="27" t="s">
        <v>7</v>
      </c>
      <c r="DG572" s="27" t="s">
        <v>8</v>
      </c>
      <c r="DH572" s="27" t="s">
        <v>7</v>
      </c>
      <c r="DI572" s="27" t="s">
        <v>8</v>
      </c>
      <c r="DJ572" s="27" t="s">
        <v>7</v>
      </c>
      <c r="DK572" s="27" t="s">
        <v>8</v>
      </c>
      <c r="DL572" s="27" t="s">
        <v>7</v>
      </c>
      <c r="DM572" s="27" t="s">
        <v>8</v>
      </c>
      <c r="DV572" s="27" t="s">
        <v>7</v>
      </c>
      <c r="DW572" s="27" t="s">
        <v>8</v>
      </c>
      <c r="DX572" s="27" t="s">
        <v>7</v>
      </c>
      <c r="FQ572" s="27" t="s">
        <v>8</v>
      </c>
      <c r="FR572" s="27" t="s">
        <v>7</v>
      </c>
      <c r="FS572" s="27" t="s">
        <v>8</v>
      </c>
      <c r="FT572" s="27" t="s">
        <v>7</v>
      </c>
      <c r="FU572" s="27" t="s">
        <v>8</v>
      </c>
      <c r="FV572" s="27" t="s">
        <v>7</v>
      </c>
    </row>
    <row r="573" spans="1:212" x14ac:dyDescent="0.25">
      <c r="A573" s="7">
        <v>1.3194787630628724</v>
      </c>
      <c r="B573"/>
      <c r="C573"/>
      <c r="D573"/>
      <c r="E573"/>
      <c r="BI573" s="27" t="s">
        <v>8</v>
      </c>
      <c r="BR573" s="27" t="s">
        <v>7</v>
      </c>
      <c r="BX573" s="27" t="s">
        <v>7</v>
      </c>
      <c r="BY573" s="27" t="s">
        <v>8</v>
      </c>
      <c r="BZ573" s="27" t="s">
        <v>7</v>
      </c>
      <c r="CA573" s="27" t="s">
        <v>8</v>
      </c>
      <c r="CB573" s="27" t="s">
        <v>7</v>
      </c>
      <c r="CC573" s="27" t="s">
        <v>8</v>
      </c>
      <c r="DF573" s="27" t="s">
        <v>7</v>
      </c>
      <c r="DG573" s="27" t="s">
        <v>8</v>
      </c>
      <c r="DH573" s="27" t="s">
        <v>7</v>
      </c>
      <c r="DI573" s="27" t="s">
        <v>8</v>
      </c>
      <c r="DJ573" s="27" t="s">
        <v>7</v>
      </c>
      <c r="DK573" s="27" t="s">
        <v>8</v>
      </c>
      <c r="DL573" s="27" t="s">
        <v>7</v>
      </c>
      <c r="DM573" s="27" t="s">
        <v>8</v>
      </c>
      <c r="DV573" s="27" t="s">
        <v>7</v>
      </c>
      <c r="DW573" s="27" t="s">
        <v>8</v>
      </c>
      <c r="DX573" s="27" t="s">
        <v>7</v>
      </c>
      <c r="FQ573" s="27" t="s">
        <v>8</v>
      </c>
      <c r="FR573" s="27" t="s">
        <v>7</v>
      </c>
      <c r="FS573" s="27" t="s">
        <v>8</v>
      </c>
      <c r="FT573" s="27" t="s">
        <v>7</v>
      </c>
      <c r="FV573" s="27" t="s">
        <v>7</v>
      </c>
    </row>
    <row r="574" spans="1:212" x14ac:dyDescent="0.25">
      <c r="A574" s="7">
        <v>1.2936066304537963</v>
      </c>
      <c r="B574"/>
      <c r="C574"/>
      <c r="D574"/>
      <c r="E574"/>
      <c r="BI574" s="27" t="s">
        <v>8</v>
      </c>
      <c r="BX574" s="27" t="s">
        <v>7</v>
      </c>
      <c r="BY574" s="27" t="s">
        <v>8</v>
      </c>
      <c r="BZ574" s="27" t="s">
        <v>7</v>
      </c>
      <c r="CA574" s="27" t="s">
        <v>8</v>
      </c>
      <c r="CB574" s="27" t="s">
        <v>7</v>
      </c>
      <c r="CC574" s="27" t="s">
        <v>8</v>
      </c>
      <c r="DF574" s="27" t="s">
        <v>7</v>
      </c>
      <c r="DG574" s="27" t="s">
        <v>8</v>
      </c>
      <c r="DH574" s="27" t="s">
        <v>7</v>
      </c>
      <c r="DI574" s="27" t="s">
        <v>8</v>
      </c>
      <c r="DJ574" s="27" t="s">
        <v>7</v>
      </c>
      <c r="DK574" s="27" t="s">
        <v>8</v>
      </c>
      <c r="DL574" s="27" t="s">
        <v>7</v>
      </c>
      <c r="DM574" s="27" t="s">
        <v>8</v>
      </c>
      <c r="DV574" s="27" t="s">
        <v>7</v>
      </c>
      <c r="DW574" s="27" t="s">
        <v>8</v>
      </c>
      <c r="DX574" s="27" t="s">
        <v>7</v>
      </c>
      <c r="FQ574" s="27" t="s">
        <v>8</v>
      </c>
      <c r="FR574" s="27" t="s">
        <v>7</v>
      </c>
      <c r="FV574" s="27" t="s">
        <v>7</v>
      </c>
    </row>
    <row r="575" spans="1:212" x14ac:dyDescent="0.25">
      <c r="A575" s="7">
        <v>1.2682417945625455</v>
      </c>
      <c r="B575"/>
      <c r="C575"/>
      <c r="D575"/>
      <c r="E575"/>
      <c r="BI575" s="27" t="s">
        <v>8</v>
      </c>
      <c r="BX575" s="27" t="s">
        <v>7</v>
      </c>
      <c r="BY575" s="27" t="s">
        <v>8</v>
      </c>
      <c r="BZ575" s="27" t="s">
        <v>7</v>
      </c>
      <c r="CA575" s="27" t="s">
        <v>8</v>
      </c>
      <c r="CB575" s="27" t="s">
        <v>7</v>
      </c>
      <c r="CC575" s="27" t="s">
        <v>8</v>
      </c>
      <c r="DF575" s="27" t="s">
        <v>7</v>
      </c>
      <c r="DG575" s="27" t="s">
        <v>8</v>
      </c>
      <c r="DH575" s="27" t="s">
        <v>7</v>
      </c>
      <c r="DI575" s="27" t="s">
        <v>8</v>
      </c>
      <c r="DJ575" s="27" t="s">
        <v>7</v>
      </c>
      <c r="DK575" s="27" t="s">
        <v>8</v>
      </c>
      <c r="DL575" s="27" t="s">
        <v>7</v>
      </c>
      <c r="DM575" s="27" t="s">
        <v>8</v>
      </c>
      <c r="DV575" s="27" t="s">
        <v>7</v>
      </c>
      <c r="DW575" s="27" t="s">
        <v>8</v>
      </c>
      <c r="DX575" s="27" t="s">
        <v>7</v>
      </c>
      <c r="FM575" s="27" t="s">
        <v>8</v>
      </c>
      <c r="FQ575" s="27" t="s">
        <v>8</v>
      </c>
      <c r="FV575" s="27" t="s">
        <v>7</v>
      </c>
      <c r="GA575" s="27" t="s">
        <v>8</v>
      </c>
      <c r="GY575" s="27" t="s">
        <v>8</v>
      </c>
      <c r="HC575" s="27" t="s">
        <v>8</v>
      </c>
    </row>
    <row r="576" spans="1:212" x14ac:dyDescent="0.25">
      <c r="A576" s="7">
        <v>1.2433743083946525</v>
      </c>
      <c r="B576"/>
      <c r="C576"/>
      <c r="D576"/>
      <c r="E576"/>
      <c r="BI576" s="27" t="s">
        <v>8</v>
      </c>
      <c r="BX576" s="27" t="s">
        <v>7</v>
      </c>
      <c r="BY576" s="27" t="s">
        <v>8</v>
      </c>
      <c r="BZ576" s="27" t="s">
        <v>7</v>
      </c>
      <c r="CA576" s="27" t="s">
        <v>8</v>
      </c>
      <c r="CB576" s="27" t="s">
        <v>7</v>
      </c>
      <c r="CC576" s="27" t="s">
        <v>8</v>
      </c>
      <c r="DF576" s="27" t="s">
        <v>7</v>
      </c>
      <c r="DG576" s="27" t="s">
        <v>8</v>
      </c>
      <c r="DH576" s="27" t="s">
        <v>7</v>
      </c>
      <c r="DI576" s="27" t="s">
        <v>8</v>
      </c>
      <c r="DJ576" s="27" t="s">
        <v>7</v>
      </c>
      <c r="DK576" s="27" t="s">
        <v>8</v>
      </c>
      <c r="DL576" s="27" t="s">
        <v>7</v>
      </c>
      <c r="DM576" s="27" t="s">
        <v>8</v>
      </c>
      <c r="DV576" s="27" t="s">
        <v>7</v>
      </c>
      <c r="DW576" s="27" t="s">
        <v>8</v>
      </c>
      <c r="DX576" s="27" t="s">
        <v>7</v>
      </c>
      <c r="FM576" s="27" t="s">
        <v>8</v>
      </c>
      <c r="FN576" s="27" t="s">
        <v>7</v>
      </c>
      <c r="FQ576" s="27" t="s">
        <v>8</v>
      </c>
      <c r="FV576" s="27" t="s">
        <v>7</v>
      </c>
      <c r="FW576" s="27" t="s">
        <v>8</v>
      </c>
      <c r="GA576" s="27" t="s">
        <v>8</v>
      </c>
      <c r="GB576" s="27" t="s">
        <v>7</v>
      </c>
      <c r="GY576" s="27" t="s">
        <v>8</v>
      </c>
      <c r="GZ576" s="27" t="s">
        <v>7</v>
      </c>
      <c r="HA576" s="27" t="s">
        <v>8</v>
      </c>
      <c r="HC576" s="27" t="s">
        <v>8</v>
      </c>
      <c r="HD576" s="27" t="s">
        <v>7</v>
      </c>
    </row>
    <row r="577" spans="1:224" x14ac:dyDescent="0.25">
      <c r="A577" s="7">
        <v>1.2189944199947573</v>
      </c>
      <c r="B577"/>
      <c r="C577"/>
      <c r="D577"/>
      <c r="E577"/>
      <c r="BI577" s="27" t="s">
        <v>8</v>
      </c>
      <c r="BX577" s="27" t="s">
        <v>7</v>
      </c>
      <c r="BY577" s="27" t="s">
        <v>8</v>
      </c>
      <c r="BZ577" s="27" t="s">
        <v>7</v>
      </c>
      <c r="CA577" s="27" t="s">
        <v>8</v>
      </c>
      <c r="CB577" s="27" t="s">
        <v>7</v>
      </c>
      <c r="CC577" s="27" t="s">
        <v>8</v>
      </c>
      <c r="DF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L577" s="27" t="s">
        <v>7</v>
      </c>
      <c r="DM577" s="27" t="s">
        <v>8</v>
      </c>
      <c r="DV577" s="27" t="s">
        <v>7</v>
      </c>
      <c r="DW577" s="27" t="s">
        <v>8</v>
      </c>
      <c r="DX577" s="27" t="s">
        <v>7</v>
      </c>
      <c r="FM577" s="27" t="s">
        <v>8</v>
      </c>
      <c r="FN577" s="27" t="s">
        <v>7</v>
      </c>
      <c r="FQ577" s="27" t="s">
        <v>8</v>
      </c>
      <c r="FV577" s="27" t="s">
        <v>7</v>
      </c>
      <c r="FW577" s="27" t="s">
        <v>8</v>
      </c>
      <c r="FX577" s="27" t="s">
        <v>7</v>
      </c>
      <c r="GA577" s="27" t="s">
        <v>8</v>
      </c>
      <c r="GB577" s="27" t="s">
        <v>7</v>
      </c>
      <c r="GY577" s="27" t="s">
        <v>8</v>
      </c>
      <c r="GZ577" s="27" t="s">
        <v>7</v>
      </c>
      <c r="HA577" s="27" t="s">
        <v>8</v>
      </c>
      <c r="HB577" s="27" t="s">
        <v>7</v>
      </c>
      <c r="HC577" s="27" t="s">
        <v>8</v>
      </c>
      <c r="HD577" s="27" t="s">
        <v>7</v>
      </c>
      <c r="HE577" s="27" t="s">
        <v>8</v>
      </c>
    </row>
    <row r="578" spans="1:224" x14ac:dyDescent="0.25">
      <c r="A578" s="7">
        <v>1.1950925686223111</v>
      </c>
      <c r="B578"/>
      <c r="C578"/>
      <c r="D578"/>
      <c r="E578"/>
      <c r="BI578" s="27" t="s">
        <v>8</v>
      </c>
      <c r="BX578" s="27" t="s">
        <v>7</v>
      </c>
      <c r="BY578" s="27" t="s">
        <v>8</v>
      </c>
      <c r="BZ578" s="27" t="s">
        <v>7</v>
      </c>
      <c r="CA578" s="27" t="s">
        <v>8</v>
      </c>
      <c r="CB578" s="27" t="s">
        <v>7</v>
      </c>
      <c r="CC578" s="27" t="s">
        <v>8</v>
      </c>
      <c r="DF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L578" s="27" t="s">
        <v>7</v>
      </c>
      <c r="DM578" s="27" t="s">
        <v>8</v>
      </c>
      <c r="DV578" s="27" t="s">
        <v>7</v>
      </c>
      <c r="DW578" s="27" t="s">
        <v>8</v>
      </c>
      <c r="DX578" s="27" t="s">
        <v>7</v>
      </c>
      <c r="FM578" s="27" t="s">
        <v>8</v>
      </c>
      <c r="FN578" s="27" t="s">
        <v>7</v>
      </c>
      <c r="FQ578" s="27" t="s">
        <v>8</v>
      </c>
      <c r="FV578" s="27" t="s">
        <v>7</v>
      </c>
      <c r="FW578" s="27" t="s">
        <v>8</v>
      </c>
      <c r="FX578" s="27" t="s">
        <v>7</v>
      </c>
      <c r="GA578" s="27" t="s">
        <v>8</v>
      </c>
      <c r="GB578" s="27" t="s">
        <v>7</v>
      </c>
      <c r="GY578" s="27" t="s">
        <v>8</v>
      </c>
      <c r="GZ578" s="27" t="s">
        <v>7</v>
      </c>
      <c r="HA578" s="27" t="s">
        <v>8</v>
      </c>
      <c r="HB578" s="27" t="s">
        <v>7</v>
      </c>
      <c r="HC578" s="27" t="s">
        <v>8</v>
      </c>
      <c r="HD578" s="27" t="s">
        <v>7</v>
      </c>
      <c r="HE578" s="27" t="s">
        <v>8</v>
      </c>
      <c r="HF578" s="27" t="s">
        <v>7</v>
      </c>
    </row>
    <row r="579" spans="1:224" x14ac:dyDescent="0.25">
      <c r="A579" s="7">
        <v>1.1716593810022657</v>
      </c>
      <c r="B579"/>
      <c r="C579"/>
      <c r="D579"/>
      <c r="E579"/>
      <c r="BI579" s="27" t="s">
        <v>8</v>
      </c>
      <c r="BX579" s="27" t="s">
        <v>7</v>
      </c>
      <c r="BY579" s="27" t="s">
        <v>8</v>
      </c>
      <c r="BZ579" s="27" t="s">
        <v>7</v>
      </c>
      <c r="CB579" s="27" t="s">
        <v>7</v>
      </c>
      <c r="CC579" s="27" t="s">
        <v>8</v>
      </c>
      <c r="DF579" s="27" t="s">
        <v>7</v>
      </c>
      <c r="DG579" s="27" t="s">
        <v>8</v>
      </c>
      <c r="DH579" s="27" t="s">
        <v>7</v>
      </c>
      <c r="DI579" s="27" t="s">
        <v>8</v>
      </c>
      <c r="DL579" s="27" t="s">
        <v>7</v>
      </c>
      <c r="DM579" s="27" t="s">
        <v>8</v>
      </c>
      <c r="DV579" s="27" t="s">
        <v>7</v>
      </c>
      <c r="DW579" s="27" t="s">
        <v>8</v>
      </c>
      <c r="DX579" s="27" t="s">
        <v>7</v>
      </c>
      <c r="FM579" s="27" t="s">
        <v>8</v>
      </c>
      <c r="FN579" s="27" t="s">
        <v>7</v>
      </c>
      <c r="FQ579" s="27" t="s">
        <v>8</v>
      </c>
      <c r="FV579" s="27" t="s">
        <v>7</v>
      </c>
      <c r="FW579" s="27" t="s">
        <v>8</v>
      </c>
      <c r="FX579" s="27" t="s">
        <v>7</v>
      </c>
      <c r="GA579" s="27" t="s">
        <v>8</v>
      </c>
      <c r="GB579" s="27" t="s">
        <v>7</v>
      </c>
      <c r="GY579" s="27" t="s">
        <v>8</v>
      </c>
      <c r="GZ579" s="27" t="s">
        <v>7</v>
      </c>
      <c r="HA579" s="27" t="s">
        <v>8</v>
      </c>
      <c r="HB579" s="27" t="s">
        <v>7</v>
      </c>
      <c r="HC579" s="27" t="s">
        <v>8</v>
      </c>
      <c r="HD579" s="27" t="s">
        <v>7</v>
      </c>
      <c r="HE579" s="27" t="s">
        <v>8</v>
      </c>
      <c r="HF579" s="27" t="s">
        <v>7</v>
      </c>
    </row>
    <row r="580" spans="1:224" x14ac:dyDescent="0.25">
      <c r="A580" s="7">
        <v>1.14868566764928</v>
      </c>
      <c r="B580"/>
      <c r="C580"/>
      <c r="D580"/>
      <c r="E580"/>
      <c r="BI580" s="27" t="s">
        <v>8</v>
      </c>
      <c r="BX580" s="27" t="s">
        <v>7</v>
      </c>
      <c r="BY580" s="27" t="s">
        <v>8</v>
      </c>
      <c r="CB580" s="27" t="s">
        <v>7</v>
      </c>
      <c r="CC580" s="27" t="s">
        <v>8</v>
      </c>
      <c r="DF580" s="27" t="s">
        <v>7</v>
      </c>
      <c r="DG580" s="27" t="s">
        <v>8</v>
      </c>
      <c r="DH580" s="27" t="s">
        <v>7</v>
      </c>
      <c r="DL580" s="27" t="s">
        <v>7</v>
      </c>
      <c r="DV580" s="27" t="s">
        <v>7</v>
      </c>
      <c r="DW580" s="27" t="s">
        <v>8</v>
      </c>
      <c r="DX580" s="27" t="s">
        <v>7</v>
      </c>
      <c r="FM580" s="27" t="s">
        <v>8</v>
      </c>
      <c r="FN580" s="27" t="s">
        <v>7</v>
      </c>
      <c r="FO580" s="27" t="s">
        <v>8</v>
      </c>
      <c r="FQ580" s="27" t="s">
        <v>8</v>
      </c>
      <c r="FV580" s="27" t="s">
        <v>7</v>
      </c>
      <c r="FW580" s="27" t="s">
        <v>8</v>
      </c>
      <c r="FX580" s="27" t="s">
        <v>7</v>
      </c>
      <c r="FY580" s="27" t="s">
        <v>8</v>
      </c>
      <c r="GA580" s="27" t="s">
        <v>8</v>
      </c>
      <c r="GB580" s="27" t="s">
        <v>7</v>
      </c>
      <c r="GU580" s="27" t="s">
        <v>8</v>
      </c>
      <c r="GY580" s="27" t="s">
        <v>8</v>
      </c>
      <c r="GZ580" s="27" t="s">
        <v>7</v>
      </c>
      <c r="HA580" s="27" t="s">
        <v>8</v>
      </c>
      <c r="HB580" s="27" t="s">
        <v>7</v>
      </c>
      <c r="HC580" s="27" t="s">
        <v>8</v>
      </c>
      <c r="HD580" s="27" t="s">
        <v>7</v>
      </c>
      <c r="HE580" s="27" t="s">
        <v>8</v>
      </c>
      <c r="HF580" s="27" t="s">
        <v>7</v>
      </c>
    </row>
    <row r="581" spans="1:224" x14ac:dyDescent="0.25">
      <c r="A581" s="7">
        <v>1.1261624192640001</v>
      </c>
      <c r="B581"/>
      <c r="C581"/>
      <c r="D581"/>
      <c r="E581"/>
      <c r="BI581" s="27" t="s">
        <v>8</v>
      </c>
      <c r="BX581" s="27" t="s">
        <v>7</v>
      </c>
      <c r="BY581" s="27" t="s">
        <v>8</v>
      </c>
      <c r="CB581" s="27" t="s">
        <v>7</v>
      </c>
      <c r="CC581" s="27" t="s">
        <v>8</v>
      </c>
      <c r="DF581" s="27" t="s">
        <v>7</v>
      </c>
      <c r="DG581" s="27" t="s">
        <v>8</v>
      </c>
      <c r="DV581" s="27" t="s">
        <v>7</v>
      </c>
      <c r="DW581" s="27" t="s">
        <v>8</v>
      </c>
      <c r="DX581" s="27" t="s">
        <v>7</v>
      </c>
      <c r="FM581" s="27" t="s">
        <v>8</v>
      </c>
      <c r="FN581" s="27" t="s">
        <v>7</v>
      </c>
      <c r="FO581" s="27" t="s">
        <v>8</v>
      </c>
      <c r="FP581" s="27" t="s">
        <v>7</v>
      </c>
      <c r="FQ581" s="27" t="s">
        <v>8</v>
      </c>
      <c r="FV581" s="27" t="s">
        <v>7</v>
      </c>
      <c r="FW581" s="27" t="s">
        <v>8</v>
      </c>
      <c r="FX581" s="27" t="s">
        <v>7</v>
      </c>
      <c r="FY581" s="27" t="s">
        <v>8</v>
      </c>
      <c r="FZ581" s="27" t="s">
        <v>7</v>
      </c>
      <c r="GA581" s="27" t="s">
        <v>8</v>
      </c>
      <c r="GB581" s="27" t="s">
        <v>7</v>
      </c>
      <c r="GU581" s="27" t="s">
        <v>8</v>
      </c>
      <c r="GV581" s="27" t="s">
        <v>7</v>
      </c>
      <c r="GY581" s="27" t="s">
        <v>8</v>
      </c>
      <c r="GZ581" s="27" t="s">
        <v>7</v>
      </c>
      <c r="HB581" s="27" t="s">
        <v>7</v>
      </c>
      <c r="HC581" s="27" t="s">
        <v>8</v>
      </c>
      <c r="HD581" s="27" t="s">
        <v>7</v>
      </c>
      <c r="HE581" s="27" t="s">
        <v>8</v>
      </c>
      <c r="HF581" s="27" t="s">
        <v>7</v>
      </c>
    </row>
    <row r="582" spans="1:224" x14ac:dyDescent="0.25">
      <c r="A582" s="7">
        <v>1.1040808032</v>
      </c>
      <c r="B582"/>
      <c r="C582"/>
      <c r="D582"/>
      <c r="E582"/>
      <c r="BI582" s="27" t="s">
        <v>8</v>
      </c>
      <c r="BX582" s="27" t="s">
        <v>7</v>
      </c>
      <c r="BY582" s="27" t="s">
        <v>8</v>
      </c>
      <c r="CB582" s="27" t="s">
        <v>7</v>
      </c>
      <c r="CC582" s="27" t="s">
        <v>8</v>
      </c>
      <c r="DF582" s="27" t="s">
        <v>7</v>
      </c>
      <c r="DV582" s="27" t="s">
        <v>7</v>
      </c>
      <c r="DW582" s="27" t="s">
        <v>8</v>
      </c>
      <c r="DX582" s="27" t="s">
        <v>7</v>
      </c>
      <c r="FM582" s="27" t="s">
        <v>8</v>
      </c>
      <c r="FN582" s="27" t="s">
        <v>7</v>
      </c>
      <c r="FO582" s="27" t="s">
        <v>8</v>
      </c>
      <c r="FP582" s="27" t="s">
        <v>7</v>
      </c>
      <c r="FQ582" s="27" t="s">
        <v>8</v>
      </c>
      <c r="FV582" s="27" t="s">
        <v>7</v>
      </c>
      <c r="FW582" s="27" t="s">
        <v>8</v>
      </c>
      <c r="FX582" s="27" t="s">
        <v>7</v>
      </c>
      <c r="FY582" s="27" t="s">
        <v>8</v>
      </c>
      <c r="FZ582" s="27" t="s">
        <v>7</v>
      </c>
      <c r="GA582" s="27" t="s">
        <v>8</v>
      </c>
      <c r="GB582" s="27" t="s">
        <v>7</v>
      </c>
      <c r="GQ582" s="27" t="s">
        <v>8</v>
      </c>
      <c r="GS582" s="27" t="s">
        <v>8</v>
      </c>
      <c r="GU582" s="27" t="s">
        <v>8</v>
      </c>
      <c r="GV582" s="27" t="s">
        <v>7</v>
      </c>
      <c r="GY582" s="27" t="s">
        <v>8</v>
      </c>
      <c r="HB582" s="27" t="s">
        <v>7</v>
      </c>
      <c r="HC582" s="27" t="s">
        <v>8</v>
      </c>
      <c r="HD582" s="27" t="s">
        <v>7</v>
      </c>
      <c r="HF582" s="27" t="s">
        <v>7</v>
      </c>
    </row>
    <row r="583" spans="1:224" x14ac:dyDescent="0.25">
      <c r="A583" s="7">
        <v>1.08243216</v>
      </c>
      <c r="B583"/>
      <c r="C583"/>
      <c r="D583"/>
      <c r="E583"/>
      <c r="BG583" s="27" t="s">
        <v>8</v>
      </c>
      <c r="BI583" s="27" t="s">
        <v>8</v>
      </c>
      <c r="BX583" s="27" t="s">
        <v>7</v>
      </c>
      <c r="BY583" s="27" t="s">
        <v>8</v>
      </c>
      <c r="CB583" s="27" t="s">
        <v>7</v>
      </c>
      <c r="DV583" s="27" t="s">
        <v>7</v>
      </c>
      <c r="DW583" s="27" t="s">
        <v>8</v>
      </c>
      <c r="DX583" s="27" t="s">
        <v>7</v>
      </c>
      <c r="FM583" s="27" t="s">
        <v>8</v>
      </c>
      <c r="FN583" s="27" t="s">
        <v>7</v>
      </c>
      <c r="FO583" s="27" t="s">
        <v>8</v>
      </c>
      <c r="FP583" s="27" t="s">
        <v>7</v>
      </c>
      <c r="FQ583" s="27" t="s">
        <v>8</v>
      </c>
      <c r="FV583" s="27" t="s">
        <v>7</v>
      </c>
      <c r="FW583" s="27" t="s">
        <v>8</v>
      </c>
      <c r="FX583" s="27" t="s">
        <v>7</v>
      </c>
      <c r="FY583" s="27" t="s">
        <v>8</v>
      </c>
      <c r="FZ583" s="27" t="s">
        <v>7</v>
      </c>
      <c r="GA583" s="27" t="s">
        <v>8</v>
      </c>
      <c r="GB583" s="27" t="s">
        <v>7</v>
      </c>
      <c r="GO583" s="27" t="s">
        <v>8</v>
      </c>
      <c r="GQ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GV583" s="27" t="s">
        <v>7</v>
      </c>
      <c r="GY583" s="27" t="s">
        <v>8</v>
      </c>
      <c r="HB583" s="27" t="s">
        <v>7</v>
      </c>
      <c r="HF583" s="27" t="s">
        <v>7</v>
      </c>
    </row>
    <row r="584" spans="1:224" x14ac:dyDescent="0.25">
      <c r="A584" s="7">
        <v>1.0612079999999999</v>
      </c>
      <c r="B584"/>
      <c r="C584"/>
      <c r="D584"/>
      <c r="E584"/>
      <c r="BG584" s="27" t="s">
        <v>8</v>
      </c>
      <c r="BH584" s="27" t="s">
        <v>7</v>
      </c>
      <c r="BI584" s="27" t="s">
        <v>8</v>
      </c>
      <c r="BX584" s="27" t="s">
        <v>7</v>
      </c>
      <c r="BY584" s="27" t="s">
        <v>8</v>
      </c>
      <c r="DV584" s="27" t="s">
        <v>7</v>
      </c>
      <c r="DW584" s="27" t="s">
        <v>8</v>
      </c>
      <c r="DX584" s="27" t="s">
        <v>7</v>
      </c>
      <c r="FG584" s="27" t="s">
        <v>8</v>
      </c>
      <c r="FM584" s="27" t="s">
        <v>8</v>
      </c>
      <c r="FN584" s="27" t="s">
        <v>7</v>
      </c>
      <c r="FO584" s="27" t="s">
        <v>8</v>
      </c>
      <c r="FP584" s="27" t="s">
        <v>7</v>
      </c>
      <c r="FQ584" s="27" t="s">
        <v>8</v>
      </c>
      <c r="FV584" s="27" t="s">
        <v>7</v>
      </c>
      <c r="FW584" s="27" t="s">
        <v>8</v>
      </c>
      <c r="FX584" s="27" t="s">
        <v>7</v>
      </c>
      <c r="FZ584" s="27" t="s">
        <v>7</v>
      </c>
      <c r="GA584" s="27" t="s">
        <v>8</v>
      </c>
      <c r="GB584" s="27" t="s">
        <v>7</v>
      </c>
      <c r="GM584" s="27" t="s">
        <v>8</v>
      </c>
      <c r="GO584" s="27" t="s">
        <v>8</v>
      </c>
      <c r="GP584" s="27" t="s">
        <v>7</v>
      </c>
      <c r="GQ584" s="27" t="s">
        <v>8</v>
      </c>
      <c r="GR584" s="27" t="s">
        <v>7</v>
      </c>
      <c r="GS584" s="27" t="s">
        <v>8</v>
      </c>
      <c r="GT584" s="27" t="s">
        <v>7</v>
      </c>
      <c r="GU584" s="27" t="s">
        <v>8</v>
      </c>
      <c r="GV584" s="27" t="s">
        <v>7</v>
      </c>
      <c r="GY584" s="27" t="s">
        <v>8</v>
      </c>
      <c r="HF584" s="27" t="s">
        <v>7</v>
      </c>
    </row>
    <row r="585" spans="1:224" x14ac:dyDescent="0.25">
      <c r="A585" s="7">
        <v>1.0404</v>
      </c>
      <c r="B585"/>
      <c r="C585"/>
      <c r="D585"/>
      <c r="E585"/>
      <c r="BG585" s="27" t="s">
        <v>8</v>
      </c>
      <c r="BH585" s="27" t="s">
        <v>7</v>
      </c>
      <c r="BI585" s="27" t="s">
        <v>8</v>
      </c>
      <c r="BX585" s="27" t="s">
        <v>7</v>
      </c>
      <c r="BY585" s="27" t="s">
        <v>8</v>
      </c>
      <c r="DV585" s="27" t="s">
        <v>7</v>
      </c>
      <c r="DX585" s="27" t="s">
        <v>7</v>
      </c>
      <c r="FG585" s="27" t="s">
        <v>8</v>
      </c>
      <c r="FH585" s="27" t="s">
        <v>7</v>
      </c>
      <c r="FI585" s="27" t="s">
        <v>8</v>
      </c>
      <c r="FK585" s="27" t="s">
        <v>8</v>
      </c>
      <c r="FM585" s="27" t="s">
        <v>8</v>
      </c>
      <c r="FN585" s="27" t="s">
        <v>7</v>
      </c>
      <c r="FO585" s="27" t="s">
        <v>8</v>
      </c>
      <c r="FP585" s="27" t="s">
        <v>7</v>
      </c>
      <c r="FQ585" s="27" t="s">
        <v>8</v>
      </c>
      <c r="FV585" s="27" t="s">
        <v>7</v>
      </c>
      <c r="FW585" s="27" t="s">
        <v>8</v>
      </c>
      <c r="FZ585" s="27" t="s">
        <v>7</v>
      </c>
      <c r="GA585" s="27" t="s">
        <v>8</v>
      </c>
      <c r="GB585" s="27" t="s">
        <v>7</v>
      </c>
      <c r="GM585" s="27" t="s">
        <v>8</v>
      </c>
      <c r="GN585" s="27" t="s">
        <v>7</v>
      </c>
      <c r="GO585" s="27" t="s">
        <v>8</v>
      </c>
      <c r="GP585" s="27" t="s">
        <v>7</v>
      </c>
      <c r="GQ585" s="27" t="s">
        <v>8</v>
      </c>
      <c r="GR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GW585" s="27" t="s">
        <v>8</v>
      </c>
      <c r="GY585" s="27" t="s">
        <v>8</v>
      </c>
      <c r="HF585" s="27" t="s">
        <v>7</v>
      </c>
      <c r="HO585" s="27" t="s">
        <v>8</v>
      </c>
    </row>
    <row r="586" spans="1:224" x14ac:dyDescent="0.25">
      <c r="A586" s="7">
        <v>1.02</v>
      </c>
      <c r="B586"/>
      <c r="C586"/>
      <c r="D586"/>
      <c r="E586"/>
      <c r="BG586" s="27" t="s">
        <v>8</v>
      </c>
      <c r="BH586" s="27" t="s">
        <v>7</v>
      </c>
      <c r="BI586" s="27" t="s">
        <v>8</v>
      </c>
      <c r="BX586" s="27" t="s">
        <v>7</v>
      </c>
      <c r="BY586" s="27" t="s">
        <v>8</v>
      </c>
      <c r="DX586" s="27" t="s">
        <v>7</v>
      </c>
      <c r="FG586" s="27" t="s">
        <v>8</v>
      </c>
      <c r="FH586" s="27" t="s">
        <v>7</v>
      </c>
      <c r="FI586" s="27" t="s">
        <v>8</v>
      </c>
      <c r="FJ586" s="27" t="s">
        <v>7</v>
      </c>
      <c r="FK586" s="27" t="s">
        <v>8</v>
      </c>
      <c r="FL586" s="27" t="s">
        <v>7</v>
      </c>
      <c r="FM586" s="27" t="s">
        <v>8</v>
      </c>
      <c r="FN586" s="27" t="s">
        <v>7</v>
      </c>
      <c r="FP586" s="27" t="s">
        <v>7</v>
      </c>
      <c r="FV586" s="27" t="s">
        <v>7</v>
      </c>
      <c r="FW586" s="27" t="s">
        <v>8</v>
      </c>
      <c r="FZ586" s="27" t="s">
        <v>7</v>
      </c>
      <c r="GA586" s="27" t="s">
        <v>8</v>
      </c>
      <c r="GB586" s="27" t="s">
        <v>7</v>
      </c>
      <c r="GK586" s="27" t="s">
        <v>8</v>
      </c>
      <c r="GM586" s="27" t="s">
        <v>8</v>
      </c>
      <c r="GN586" s="27" t="s">
        <v>7</v>
      </c>
      <c r="GO586" s="27" t="s">
        <v>8</v>
      </c>
      <c r="GP586" s="27" t="s">
        <v>7</v>
      </c>
      <c r="GQ586" s="27" t="s">
        <v>8</v>
      </c>
      <c r="GR586" s="27" t="s">
        <v>7</v>
      </c>
      <c r="GS586" s="27" t="s">
        <v>8</v>
      </c>
      <c r="GT586" s="27" t="s">
        <v>7</v>
      </c>
      <c r="GU586" s="27" t="s">
        <v>8</v>
      </c>
      <c r="GV586" s="27" t="s">
        <v>7</v>
      </c>
      <c r="GW586" s="27" t="s">
        <v>8</v>
      </c>
      <c r="GX586" s="27" t="s">
        <v>7</v>
      </c>
      <c r="GY586" s="27" t="s">
        <v>8</v>
      </c>
      <c r="HF586" s="27" t="s">
        <v>7</v>
      </c>
      <c r="HG586" s="27" t="s">
        <v>8</v>
      </c>
      <c r="HI586" s="27" t="s">
        <v>8</v>
      </c>
      <c r="HK586" s="27" t="s">
        <v>8</v>
      </c>
      <c r="HO586" s="27" t="s">
        <v>8</v>
      </c>
      <c r="HP586" s="27" t="s">
        <v>7</v>
      </c>
    </row>
    <row r="587" spans="1:224" x14ac:dyDescent="0.25">
      <c r="A587" s="7">
        <v>1</v>
      </c>
      <c r="B587"/>
      <c r="C587"/>
      <c r="D587"/>
      <c r="E587" s="29" t="s">
        <v>8</v>
      </c>
      <c r="BG587" s="27" t="s">
        <v>8</v>
      </c>
      <c r="BH587" s="27" t="s">
        <v>7</v>
      </c>
      <c r="BI587" s="27" t="s">
        <v>8</v>
      </c>
      <c r="BX587" s="27" t="s">
        <v>7</v>
      </c>
      <c r="BY587" s="27" t="s">
        <v>8</v>
      </c>
      <c r="DX587" s="27" t="s">
        <v>7</v>
      </c>
      <c r="FE587" s="27" t="s">
        <v>8</v>
      </c>
      <c r="FG587" s="27" t="s">
        <v>8</v>
      </c>
      <c r="FH587" s="27" t="s">
        <v>7</v>
      </c>
      <c r="FI587" s="27" t="s">
        <v>8</v>
      </c>
      <c r="FJ587" s="27" t="s">
        <v>7</v>
      </c>
      <c r="FK587" s="27" t="s">
        <v>8</v>
      </c>
      <c r="FL587" s="27" t="s">
        <v>7</v>
      </c>
      <c r="FM587" s="27" t="s">
        <v>8</v>
      </c>
      <c r="FV587" s="27" t="s">
        <v>7</v>
      </c>
      <c r="FW587" s="27" t="s">
        <v>8</v>
      </c>
      <c r="FZ587" s="27" t="s">
        <v>7</v>
      </c>
      <c r="GB587" s="27" t="s">
        <v>7</v>
      </c>
      <c r="GK587" s="27" t="s">
        <v>8</v>
      </c>
      <c r="GL587" s="27" t="s">
        <v>7</v>
      </c>
      <c r="GM587" s="27" t="s">
        <v>8</v>
      </c>
      <c r="GN587" s="27" t="s">
        <v>7</v>
      </c>
      <c r="GO587" s="27" t="s">
        <v>8</v>
      </c>
      <c r="GP587" s="27" t="s">
        <v>7</v>
      </c>
      <c r="GQ587" s="27" t="s">
        <v>8</v>
      </c>
      <c r="GR587" s="27" t="s">
        <v>7</v>
      </c>
      <c r="GS587" s="27" t="s">
        <v>8</v>
      </c>
      <c r="GT587" s="27" t="s">
        <v>7</v>
      </c>
      <c r="GV587" s="27" t="s">
        <v>7</v>
      </c>
      <c r="GW587" s="27" t="s">
        <v>8</v>
      </c>
      <c r="GX587" s="27" t="s">
        <v>7</v>
      </c>
      <c r="GY587" s="27" t="s">
        <v>8</v>
      </c>
      <c r="HF587" s="27" t="s">
        <v>7</v>
      </c>
      <c r="HG587" s="27" t="s">
        <v>8</v>
      </c>
      <c r="HH587" s="27" t="s">
        <v>7</v>
      </c>
      <c r="HI587" s="27" t="s">
        <v>8</v>
      </c>
      <c r="HJ587" s="27" t="s">
        <v>7</v>
      </c>
      <c r="HK587" s="27" t="s">
        <v>8</v>
      </c>
      <c r="HL587" s="27" t="s">
        <v>7</v>
      </c>
      <c r="HM587" s="27" t="s">
        <v>8</v>
      </c>
      <c r="HO587" s="27" t="s">
        <v>8</v>
      </c>
      <c r="HP587" s="27" t="s">
        <v>7</v>
      </c>
    </row>
    <row r="588" spans="1:224" x14ac:dyDescent="0.25">
      <c r="A588" s="7">
        <v>0.98039215686274506</v>
      </c>
      <c r="B588"/>
      <c r="C588"/>
      <c r="D588"/>
      <c r="E588"/>
      <c r="F588" s="27" t="s">
        <v>7</v>
      </c>
      <c r="BG588" s="27" t="s">
        <v>8</v>
      </c>
      <c r="BH588" s="27" t="s">
        <v>7</v>
      </c>
      <c r="BI588" s="27" t="s">
        <v>8</v>
      </c>
      <c r="BX588" s="27" t="s">
        <v>7</v>
      </c>
      <c r="DX588" s="27" t="s">
        <v>7</v>
      </c>
      <c r="DY588" s="27" t="s">
        <v>8</v>
      </c>
      <c r="FE588" s="27" t="s">
        <v>8</v>
      </c>
      <c r="FF588" s="27" t="s">
        <v>7</v>
      </c>
      <c r="FG588" s="27" t="s">
        <v>8</v>
      </c>
      <c r="FH588" s="27" t="s">
        <v>7</v>
      </c>
      <c r="FI588" s="27" t="s">
        <v>8</v>
      </c>
      <c r="FJ588" s="27" t="s">
        <v>7</v>
      </c>
      <c r="FK588" s="27" t="s">
        <v>8</v>
      </c>
      <c r="FL588" s="27" t="s">
        <v>7</v>
      </c>
      <c r="FM588" s="27" t="s">
        <v>8</v>
      </c>
      <c r="FV588" s="27" t="s">
        <v>7</v>
      </c>
      <c r="FW588" s="27" t="s">
        <v>8</v>
      </c>
      <c r="GB588" s="27" t="s">
        <v>7</v>
      </c>
      <c r="GK588" s="27" t="s">
        <v>8</v>
      </c>
      <c r="GL588" s="27" t="s">
        <v>7</v>
      </c>
      <c r="GM588" s="27" t="s">
        <v>8</v>
      </c>
      <c r="GN588" s="27" t="s">
        <v>7</v>
      </c>
      <c r="GP588" s="27" t="s">
        <v>7</v>
      </c>
      <c r="GQ588" s="27" t="s">
        <v>8</v>
      </c>
      <c r="GR588" s="27" t="s">
        <v>7</v>
      </c>
      <c r="GV588" s="27" t="s">
        <v>7</v>
      </c>
      <c r="GW588" s="27" t="s">
        <v>8</v>
      </c>
      <c r="GX588" s="27" t="s">
        <v>7</v>
      </c>
      <c r="HF588" s="27" t="s">
        <v>7</v>
      </c>
      <c r="HG588" s="27" t="s">
        <v>8</v>
      </c>
      <c r="HH588" s="27" t="s">
        <v>7</v>
      </c>
      <c r="HI588" s="27" t="s">
        <v>8</v>
      </c>
      <c r="HJ588" s="27" t="s">
        <v>7</v>
      </c>
      <c r="HK588" s="27" t="s">
        <v>8</v>
      </c>
      <c r="HL588" s="27" t="s">
        <v>7</v>
      </c>
      <c r="HM588" s="27" t="s">
        <v>8</v>
      </c>
      <c r="HN588" s="27" t="s">
        <v>7</v>
      </c>
      <c r="HO588" s="27" t="s">
        <v>8</v>
      </c>
      <c r="HP588" s="27" t="s">
        <v>7</v>
      </c>
    </row>
    <row r="589" spans="1:224" x14ac:dyDescent="0.25">
      <c r="A589" s="7">
        <v>0.96116878123798544</v>
      </c>
      <c r="B589"/>
      <c r="C589"/>
      <c r="D589"/>
      <c r="E589"/>
      <c r="F589" s="27" t="s">
        <v>7</v>
      </c>
      <c r="BG589" s="27" t="s">
        <v>8</v>
      </c>
      <c r="BH589" s="27" t="s">
        <v>7</v>
      </c>
      <c r="BI589" s="27" t="s">
        <v>8</v>
      </c>
      <c r="DX589" s="27" t="s">
        <v>7</v>
      </c>
      <c r="DY589" s="27" t="s">
        <v>8</v>
      </c>
      <c r="DZ589" s="27" t="s">
        <v>7</v>
      </c>
      <c r="EA589" s="27" t="s">
        <v>8</v>
      </c>
      <c r="FE589" s="27" t="s">
        <v>8</v>
      </c>
      <c r="FF589" s="27" t="s">
        <v>7</v>
      </c>
      <c r="FG589" s="27" t="s">
        <v>8</v>
      </c>
      <c r="FH589" s="27" t="s">
        <v>7</v>
      </c>
      <c r="FI589" s="27" t="s">
        <v>8</v>
      </c>
      <c r="FJ589" s="27" t="s">
        <v>7</v>
      </c>
      <c r="FK589" s="27" t="s">
        <v>8</v>
      </c>
      <c r="FL589" s="27" t="s">
        <v>7</v>
      </c>
      <c r="FV589" s="27" t="s">
        <v>7</v>
      </c>
      <c r="FW589" s="27" t="s">
        <v>8</v>
      </c>
      <c r="GB589" s="27" t="s">
        <v>7</v>
      </c>
      <c r="GC589" s="27" t="s">
        <v>8</v>
      </c>
      <c r="GK589" s="27" t="s">
        <v>8</v>
      </c>
      <c r="GL589" s="27" t="s">
        <v>7</v>
      </c>
      <c r="GM589" s="27" t="s">
        <v>8</v>
      </c>
      <c r="GP589" s="27" t="s">
        <v>7</v>
      </c>
      <c r="GQ589" s="27" t="s">
        <v>8</v>
      </c>
      <c r="GV589" s="27" t="s">
        <v>7</v>
      </c>
      <c r="HF589" s="27" t="s">
        <v>7</v>
      </c>
      <c r="HH589" s="27" t="s">
        <v>7</v>
      </c>
      <c r="HI589" s="27" t="s">
        <v>8</v>
      </c>
      <c r="HJ589" s="27" t="s">
        <v>7</v>
      </c>
      <c r="HK589" s="27" t="s">
        <v>8</v>
      </c>
      <c r="HL589" s="27" t="s">
        <v>7</v>
      </c>
      <c r="HM589" s="27" t="s">
        <v>8</v>
      </c>
      <c r="HN589" s="27" t="s">
        <v>7</v>
      </c>
      <c r="HO589" s="27" t="s">
        <v>8</v>
      </c>
      <c r="HP589" s="27" t="s">
        <v>7</v>
      </c>
    </row>
    <row r="590" spans="1:224" x14ac:dyDescent="0.25">
      <c r="A590" s="7">
        <v>0.94232233454704462</v>
      </c>
      <c r="B590"/>
      <c r="C590"/>
      <c r="D590"/>
      <c r="E590"/>
      <c r="F590" s="27" t="s">
        <v>7</v>
      </c>
      <c r="BG590" s="27" t="s">
        <v>8</v>
      </c>
      <c r="BH590" s="27" t="s">
        <v>7</v>
      </c>
      <c r="BI590" s="27" t="s">
        <v>8</v>
      </c>
      <c r="DX590" s="27" t="s">
        <v>7</v>
      </c>
      <c r="DY590" s="27" t="s">
        <v>8</v>
      </c>
      <c r="DZ590" s="27" t="s">
        <v>7</v>
      </c>
      <c r="EA590" s="27" t="s">
        <v>8</v>
      </c>
      <c r="EB590" s="27" t="s">
        <v>7</v>
      </c>
      <c r="ES590" s="27" t="s">
        <v>8</v>
      </c>
      <c r="FE590" s="27" t="s">
        <v>8</v>
      </c>
      <c r="FF590" s="27" t="s">
        <v>7</v>
      </c>
      <c r="FG590" s="27" t="s">
        <v>8</v>
      </c>
      <c r="FH590" s="27" t="s">
        <v>7</v>
      </c>
      <c r="FI590" s="27" t="s">
        <v>8</v>
      </c>
      <c r="FJ590" s="27" t="s">
        <v>7</v>
      </c>
      <c r="FK590" s="27" t="s">
        <v>8</v>
      </c>
      <c r="FV590" s="27" t="s">
        <v>7</v>
      </c>
      <c r="FW590" s="27" t="s">
        <v>8</v>
      </c>
      <c r="GB590" s="27" t="s">
        <v>7</v>
      </c>
      <c r="GC590" s="27" t="s">
        <v>8</v>
      </c>
      <c r="GD590" s="27" t="s">
        <v>7</v>
      </c>
      <c r="GK590" s="27" t="s">
        <v>8</v>
      </c>
      <c r="GL590" s="27" t="s">
        <v>7</v>
      </c>
      <c r="GP590" s="27" t="s">
        <v>7</v>
      </c>
      <c r="GQ590" s="27" t="s">
        <v>8</v>
      </c>
      <c r="HH590" s="27" t="s">
        <v>7</v>
      </c>
      <c r="HI590" s="27" t="s">
        <v>8</v>
      </c>
      <c r="HJ590" s="27" t="s">
        <v>7</v>
      </c>
      <c r="HK590" s="27" t="s">
        <v>8</v>
      </c>
      <c r="HL590" s="27" t="s">
        <v>7</v>
      </c>
      <c r="HM590" s="27" t="s">
        <v>8</v>
      </c>
      <c r="HN590" s="27" t="s">
        <v>7</v>
      </c>
      <c r="HO590" s="27" t="s">
        <v>8</v>
      </c>
      <c r="HP590" s="27" t="s">
        <v>7</v>
      </c>
    </row>
    <row r="591" spans="1:224" x14ac:dyDescent="0.25">
      <c r="A591" s="7">
        <v>0.92384542602651432</v>
      </c>
      <c r="B591"/>
      <c r="C591"/>
      <c r="D591"/>
      <c r="E591"/>
      <c r="F591" s="27" t="s">
        <v>7</v>
      </c>
      <c r="BG591" s="27" t="s">
        <v>8</v>
      </c>
      <c r="BH591" s="27" t="s">
        <v>7</v>
      </c>
      <c r="BI591" s="27" t="s">
        <v>8</v>
      </c>
      <c r="DX591" s="27" t="s">
        <v>7</v>
      </c>
      <c r="DY591" s="27" t="s">
        <v>8</v>
      </c>
      <c r="DZ591" s="27" t="s">
        <v>7</v>
      </c>
      <c r="EA591" s="27" t="s">
        <v>8</v>
      </c>
      <c r="EB591" s="27" t="s">
        <v>7</v>
      </c>
      <c r="EE591" s="27" t="s">
        <v>8</v>
      </c>
      <c r="ES591" s="27" t="s">
        <v>8</v>
      </c>
      <c r="ET591" s="27" t="s">
        <v>7</v>
      </c>
      <c r="FE591" s="27" t="s">
        <v>8</v>
      </c>
      <c r="FF591" s="27" t="s">
        <v>7</v>
      </c>
      <c r="FG591" s="27" t="s">
        <v>8</v>
      </c>
      <c r="FH591" s="27" t="s">
        <v>7</v>
      </c>
      <c r="FI591" s="27" t="s">
        <v>8</v>
      </c>
      <c r="FJ591" s="27" t="s">
        <v>7</v>
      </c>
      <c r="FK591" s="27" t="s">
        <v>8</v>
      </c>
      <c r="FV591" s="27" t="s">
        <v>7</v>
      </c>
      <c r="FW591" s="27" t="s">
        <v>8</v>
      </c>
      <c r="GB591" s="27" t="s">
        <v>7</v>
      </c>
      <c r="GC591" s="27" t="s">
        <v>8</v>
      </c>
      <c r="GD591" s="27" t="s">
        <v>7</v>
      </c>
      <c r="GK591" s="27" t="s">
        <v>8</v>
      </c>
      <c r="GP591" s="27" t="s">
        <v>7</v>
      </c>
      <c r="GQ591" s="27" t="s">
        <v>8</v>
      </c>
      <c r="HH591" s="27" t="s">
        <v>7</v>
      </c>
      <c r="HI591" s="27" t="s">
        <v>8</v>
      </c>
      <c r="HJ591" s="27" t="s">
        <v>7</v>
      </c>
      <c r="HK591" s="27" t="s">
        <v>8</v>
      </c>
      <c r="HL591" s="27" t="s">
        <v>7</v>
      </c>
      <c r="HN591" s="27" t="s">
        <v>7</v>
      </c>
      <c r="HO591" s="27" t="s">
        <v>8</v>
      </c>
      <c r="HP591" s="27" t="s">
        <v>7</v>
      </c>
    </row>
    <row r="592" spans="1:224" x14ac:dyDescent="0.25">
      <c r="A592" s="7">
        <v>0.90573080982991594</v>
      </c>
      <c r="B592"/>
      <c r="C592"/>
      <c r="D592"/>
      <c r="E592"/>
      <c r="F592" s="27" t="s">
        <v>7</v>
      </c>
      <c r="BG592" s="27" t="s">
        <v>8</v>
      </c>
      <c r="BH592" s="27" t="s">
        <v>7</v>
      </c>
      <c r="DX592" s="27" t="s">
        <v>7</v>
      </c>
      <c r="DY592" s="27" t="s">
        <v>8</v>
      </c>
      <c r="DZ592" s="27" t="s">
        <v>7</v>
      </c>
      <c r="EA592" s="27" t="s">
        <v>8</v>
      </c>
      <c r="EB592" s="27" t="s">
        <v>7</v>
      </c>
      <c r="EE592" s="27" t="s">
        <v>8</v>
      </c>
      <c r="EF592" s="27" t="s">
        <v>7</v>
      </c>
      <c r="ES592" s="27" t="s">
        <v>8</v>
      </c>
      <c r="ET592" s="27" t="s">
        <v>7</v>
      </c>
      <c r="FE592" s="27" t="s">
        <v>8</v>
      </c>
      <c r="FF592" s="27" t="s">
        <v>7</v>
      </c>
      <c r="FG592" s="27" t="s">
        <v>8</v>
      </c>
      <c r="FH592" s="27" t="s">
        <v>7</v>
      </c>
      <c r="FJ592" s="27" t="s">
        <v>7</v>
      </c>
      <c r="FK592" s="27" t="s">
        <v>8</v>
      </c>
      <c r="FV592" s="27" t="s">
        <v>7</v>
      </c>
      <c r="GB592" s="27" t="s">
        <v>7</v>
      </c>
      <c r="GC592" s="27" t="s">
        <v>8</v>
      </c>
      <c r="GD592" s="27" t="s">
        <v>7</v>
      </c>
      <c r="GE592" s="27" t="s">
        <v>8</v>
      </c>
      <c r="GK592" s="27" t="s">
        <v>8</v>
      </c>
      <c r="GP592" s="27" t="s">
        <v>7</v>
      </c>
      <c r="HH592" s="27" t="s">
        <v>7</v>
      </c>
      <c r="HI592" s="27" t="s">
        <v>8</v>
      </c>
      <c r="HJ592" s="27" t="s">
        <v>7</v>
      </c>
      <c r="HK592" s="27" t="s">
        <v>8</v>
      </c>
      <c r="HN592" s="27" t="s">
        <v>7</v>
      </c>
      <c r="HP592" s="27" t="s">
        <v>7</v>
      </c>
    </row>
    <row r="593" spans="1:238" x14ac:dyDescent="0.25">
      <c r="A593" s="7">
        <v>0.8879713821861922</v>
      </c>
      <c r="B593"/>
      <c r="C593"/>
      <c r="D593"/>
      <c r="E593"/>
      <c r="F593" s="27" t="s">
        <v>7</v>
      </c>
      <c r="BG593" s="27" t="s">
        <v>8</v>
      </c>
      <c r="DX593" s="27" t="s">
        <v>7</v>
      </c>
      <c r="DY593" s="27" t="s">
        <v>8</v>
      </c>
      <c r="DZ593" s="27" t="s">
        <v>7</v>
      </c>
      <c r="EA593" s="27" t="s">
        <v>8</v>
      </c>
      <c r="EB593" s="27" t="s">
        <v>7</v>
      </c>
      <c r="EC593" s="27" t="s">
        <v>8</v>
      </c>
      <c r="EE593" s="27" t="s">
        <v>8</v>
      </c>
      <c r="EF593" s="27" t="s">
        <v>7</v>
      </c>
      <c r="ES593" s="27" t="s">
        <v>8</v>
      </c>
      <c r="ET593" s="27" t="s">
        <v>7</v>
      </c>
      <c r="FC593" s="27" t="s">
        <v>8</v>
      </c>
      <c r="FE593" s="27" t="s">
        <v>8</v>
      </c>
      <c r="FF593" s="27" t="s">
        <v>7</v>
      </c>
      <c r="FG593" s="27" t="s">
        <v>8</v>
      </c>
      <c r="FJ593" s="27" t="s">
        <v>7</v>
      </c>
      <c r="FK593" s="27" t="s">
        <v>8</v>
      </c>
      <c r="GB593" s="27" t="s">
        <v>7</v>
      </c>
      <c r="GC593" s="27" t="s">
        <v>8</v>
      </c>
      <c r="GD593" s="27" t="s">
        <v>7</v>
      </c>
      <c r="GE593" s="27" t="s">
        <v>8</v>
      </c>
      <c r="GF593" s="27" t="s">
        <v>7</v>
      </c>
      <c r="GG593" s="27" t="s">
        <v>8</v>
      </c>
      <c r="GI593" s="27" t="s">
        <v>8</v>
      </c>
      <c r="GK593" s="27" t="s">
        <v>8</v>
      </c>
      <c r="HH593" s="27" t="s">
        <v>7</v>
      </c>
      <c r="HI593" s="27" t="s">
        <v>8</v>
      </c>
      <c r="HJ593" s="27" t="s">
        <v>7</v>
      </c>
      <c r="HK593" s="27" t="s">
        <v>8</v>
      </c>
      <c r="HP593" s="27" t="s">
        <v>7</v>
      </c>
    </row>
    <row r="594" spans="1:238" x14ac:dyDescent="0.25">
      <c r="A594" s="7">
        <v>0.87056017861391399</v>
      </c>
      <c r="B594"/>
      <c r="C594"/>
      <c r="D594"/>
      <c r="E594"/>
      <c r="F594" s="27" t="s">
        <v>7</v>
      </c>
      <c r="BG594" s="27" t="s">
        <v>8</v>
      </c>
      <c r="DX594" s="27" t="s">
        <v>7</v>
      </c>
      <c r="DY594" s="27" t="s">
        <v>8</v>
      </c>
      <c r="DZ594" s="27" t="s">
        <v>7</v>
      </c>
      <c r="EA594" s="27" t="s">
        <v>8</v>
      </c>
      <c r="EB594" s="27" t="s">
        <v>7</v>
      </c>
      <c r="EC594" s="27" t="s">
        <v>8</v>
      </c>
      <c r="ED594" s="27" t="s">
        <v>7</v>
      </c>
      <c r="EE594" s="27" t="s">
        <v>8</v>
      </c>
      <c r="EF594" s="27" t="s">
        <v>7</v>
      </c>
      <c r="ES594" s="27" t="s">
        <v>8</v>
      </c>
      <c r="ET594" s="27" t="s">
        <v>7</v>
      </c>
      <c r="FC594" s="27" t="s">
        <v>8</v>
      </c>
      <c r="FD594" s="27" t="s">
        <v>7</v>
      </c>
      <c r="FE594" s="27" t="s">
        <v>8</v>
      </c>
      <c r="FF594" s="27" t="s">
        <v>7</v>
      </c>
      <c r="FG594" s="27" t="s">
        <v>8</v>
      </c>
      <c r="FJ594" s="27" t="s">
        <v>7</v>
      </c>
      <c r="FK594" s="27" t="s">
        <v>8</v>
      </c>
      <c r="GB594" s="27" t="s">
        <v>7</v>
      </c>
      <c r="GC594" s="27" t="s">
        <v>8</v>
      </c>
      <c r="GD594" s="27" t="s">
        <v>7</v>
      </c>
      <c r="GE594" s="27" t="s">
        <v>8</v>
      </c>
      <c r="GF594" s="27" t="s">
        <v>7</v>
      </c>
      <c r="GG594" s="27" t="s">
        <v>8</v>
      </c>
      <c r="GH594" s="27" t="s">
        <v>7</v>
      </c>
      <c r="GI594" s="27" t="s">
        <v>8</v>
      </c>
      <c r="GJ594" s="27" t="s">
        <v>7</v>
      </c>
      <c r="GK594" s="27" t="s">
        <v>8</v>
      </c>
      <c r="HH594" s="27" t="s">
        <v>7</v>
      </c>
      <c r="HI594" s="27" t="s">
        <v>8</v>
      </c>
      <c r="HJ594" s="27" t="s">
        <v>7</v>
      </c>
      <c r="HK594" s="27" t="s">
        <v>8</v>
      </c>
      <c r="HP594" s="27" t="s">
        <v>7</v>
      </c>
      <c r="HS594" s="27" t="s">
        <v>8</v>
      </c>
    </row>
    <row r="595" spans="1:238" x14ac:dyDescent="0.25">
      <c r="A595" s="7">
        <v>0.85349037119011173</v>
      </c>
      <c r="B595"/>
      <c r="C595"/>
      <c r="D595"/>
      <c r="E595"/>
      <c r="F595" s="27" t="s">
        <v>7</v>
      </c>
      <c r="BG595" s="27" t="s">
        <v>8</v>
      </c>
      <c r="DX595" s="27" t="s">
        <v>7</v>
      </c>
      <c r="DY595" s="27" t="s">
        <v>8</v>
      </c>
      <c r="DZ595" s="27" t="s">
        <v>7</v>
      </c>
      <c r="EA595" s="27" t="s">
        <v>8</v>
      </c>
      <c r="EB595" s="27" t="s">
        <v>7</v>
      </c>
      <c r="EC595" s="27" t="s">
        <v>8</v>
      </c>
      <c r="ED595" s="27" t="s">
        <v>7</v>
      </c>
      <c r="EE595" s="27" t="s">
        <v>8</v>
      </c>
      <c r="EF595" s="27" t="s">
        <v>7</v>
      </c>
      <c r="ES595" s="27" t="s">
        <v>8</v>
      </c>
      <c r="ET595" s="27" t="s">
        <v>7</v>
      </c>
      <c r="EU595" s="27" t="s">
        <v>8</v>
      </c>
      <c r="FC595" s="27" t="s">
        <v>8</v>
      </c>
      <c r="FD595" s="27" t="s">
        <v>7</v>
      </c>
      <c r="FE595" s="27" t="s">
        <v>8</v>
      </c>
      <c r="FF595" s="27" t="s">
        <v>7</v>
      </c>
      <c r="FG595" s="27" t="s">
        <v>8</v>
      </c>
      <c r="FJ595" s="27" t="s">
        <v>7</v>
      </c>
      <c r="GB595" s="27" t="s">
        <v>7</v>
      </c>
      <c r="GC595" s="27" t="s">
        <v>8</v>
      </c>
      <c r="GD595" s="27" t="s">
        <v>7</v>
      </c>
      <c r="GE595" s="27" t="s">
        <v>8</v>
      </c>
      <c r="GF595" s="27" t="s">
        <v>7</v>
      </c>
      <c r="GG595" s="27" t="s">
        <v>8</v>
      </c>
      <c r="GH595" s="27" t="s">
        <v>7</v>
      </c>
      <c r="GI595" s="27" t="s">
        <v>8</v>
      </c>
      <c r="GJ595" s="27" t="s">
        <v>7</v>
      </c>
      <c r="GK595" s="27" t="s">
        <v>8</v>
      </c>
      <c r="HH595" s="27" t="s">
        <v>7</v>
      </c>
      <c r="HJ595" s="27" t="s">
        <v>7</v>
      </c>
      <c r="HK595" s="27" t="s">
        <v>8</v>
      </c>
      <c r="HP595" s="27" t="s">
        <v>7</v>
      </c>
      <c r="HS595" s="27" t="s">
        <v>8</v>
      </c>
      <c r="HT595" s="27" t="s">
        <v>7</v>
      </c>
    </row>
    <row r="596" spans="1:238" x14ac:dyDescent="0.25">
      <c r="A596" s="7">
        <v>0.83675526587265858</v>
      </c>
      <c r="B596"/>
      <c r="C596"/>
      <c r="D596"/>
      <c r="E596"/>
      <c r="F596" s="27" t="s">
        <v>7</v>
      </c>
      <c r="BG596" s="27" t="s">
        <v>8</v>
      </c>
      <c r="DX596" s="27" t="s">
        <v>7</v>
      </c>
      <c r="DY596" s="27" t="s">
        <v>8</v>
      </c>
      <c r="DZ596" s="27" t="s">
        <v>7</v>
      </c>
      <c r="EB596" s="27" t="s">
        <v>7</v>
      </c>
      <c r="EC596" s="27" t="s">
        <v>8</v>
      </c>
      <c r="ED596" s="27" t="s">
        <v>7</v>
      </c>
      <c r="EE596" s="27" t="s">
        <v>8</v>
      </c>
      <c r="EF596" s="27" t="s">
        <v>7</v>
      </c>
      <c r="ES596" s="27" t="s">
        <v>8</v>
      </c>
      <c r="ET596" s="27" t="s">
        <v>7</v>
      </c>
      <c r="EU596" s="27" t="s">
        <v>8</v>
      </c>
      <c r="EV596" s="27" t="s">
        <v>7</v>
      </c>
      <c r="FC596" s="27" t="s">
        <v>8</v>
      </c>
      <c r="FD596" s="27" t="s">
        <v>7</v>
      </c>
      <c r="FE596" s="27" t="s">
        <v>8</v>
      </c>
      <c r="FF596" s="27" t="s">
        <v>7</v>
      </c>
      <c r="GB596" s="27" t="s">
        <v>7</v>
      </c>
      <c r="GC596" s="27" t="s">
        <v>8</v>
      </c>
      <c r="GD596" s="27" t="s">
        <v>7</v>
      </c>
      <c r="GE596" s="27" t="s">
        <v>8</v>
      </c>
      <c r="GF596" s="27" t="s">
        <v>7</v>
      </c>
      <c r="GG596" s="27" t="s">
        <v>8</v>
      </c>
      <c r="GH596" s="27" t="s">
        <v>7</v>
      </c>
      <c r="GI596" s="27" t="s">
        <v>8</v>
      </c>
      <c r="GJ596" s="27" t="s">
        <v>7</v>
      </c>
      <c r="HJ596" s="27" t="s">
        <v>7</v>
      </c>
      <c r="HK596" s="27" t="s">
        <v>8</v>
      </c>
      <c r="HP596" s="27" t="s">
        <v>7</v>
      </c>
      <c r="HQ596" s="27" t="s">
        <v>8</v>
      </c>
      <c r="HS596" s="27" t="s">
        <v>8</v>
      </c>
      <c r="HT596" s="27" t="s">
        <v>7</v>
      </c>
      <c r="IA596" s="27" t="s">
        <v>8</v>
      </c>
    </row>
    <row r="597" spans="1:238" x14ac:dyDescent="0.25">
      <c r="A597" s="7">
        <v>0.82034829987515545</v>
      </c>
      <c r="B597"/>
      <c r="C597"/>
      <c r="D597"/>
      <c r="E597"/>
      <c r="F597" s="27" t="s">
        <v>7</v>
      </c>
      <c r="BG597" s="27" t="s">
        <v>8</v>
      </c>
      <c r="DX597" s="27" t="s">
        <v>7</v>
      </c>
      <c r="DY597" s="27" t="s">
        <v>8</v>
      </c>
      <c r="EB597" s="27" t="s">
        <v>7</v>
      </c>
      <c r="EC597" s="27" t="s">
        <v>8</v>
      </c>
      <c r="ED597" s="27" t="s">
        <v>7</v>
      </c>
      <c r="EE597" s="27" t="s">
        <v>8</v>
      </c>
      <c r="EF597" s="27" t="s">
        <v>7</v>
      </c>
      <c r="ES597" s="27" t="s">
        <v>8</v>
      </c>
      <c r="ET597" s="27" t="s">
        <v>7</v>
      </c>
      <c r="EU597" s="27" t="s">
        <v>8</v>
      </c>
      <c r="EV597" s="27" t="s">
        <v>7</v>
      </c>
      <c r="FC597" s="27" t="s">
        <v>8</v>
      </c>
      <c r="FD597" s="27" t="s">
        <v>7</v>
      </c>
      <c r="FE597" s="27" t="s">
        <v>8</v>
      </c>
      <c r="GB597" s="27" t="s">
        <v>7</v>
      </c>
      <c r="GC597" s="27" t="s">
        <v>8</v>
      </c>
      <c r="GD597" s="27" t="s">
        <v>7</v>
      </c>
      <c r="GF597" s="27" t="s">
        <v>7</v>
      </c>
      <c r="GG597" s="27" t="s">
        <v>8</v>
      </c>
      <c r="GH597" s="27" t="s">
        <v>7</v>
      </c>
      <c r="GI597" s="27" t="s">
        <v>8</v>
      </c>
      <c r="HJ597" s="27" t="s">
        <v>7</v>
      </c>
      <c r="HP597" s="27" t="s">
        <v>7</v>
      </c>
      <c r="HQ597" s="27" t="s">
        <v>8</v>
      </c>
      <c r="HR597" s="27" t="s">
        <v>7</v>
      </c>
      <c r="HS597" s="27" t="s">
        <v>8</v>
      </c>
      <c r="HT597" s="27" t="s">
        <v>7</v>
      </c>
      <c r="IA597" s="27" t="s">
        <v>8</v>
      </c>
      <c r="IB597" s="27" t="s">
        <v>7</v>
      </c>
    </row>
    <row r="598" spans="1:238" x14ac:dyDescent="0.25">
      <c r="A598" s="7">
        <v>0.80426303909328967</v>
      </c>
      <c r="B598"/>
      <c r="C598"/>
      <c r="D598"/>
      <c r="E598"/>
      <c r="F598" s="27" t="s">
        <v>7</v>
      </c>
      <c r="BG598" s="27" t="s">
        <v>8</v>
      </c>
      <c r="DX598" s="27" t="s">
        <v>7</v>
      </c>
      <c r="DY598" s="27" t="s">
        <v>8</v>
      </c>
      <c r="EB598" s="27" t="s">
        <v>7</v>
      </c>
      <c r="EC598" s="27" t="s">
        <v>8</v>
      </c>
      <c r="ED598" s="27" t="s">
        <v>7</v>
      </c>
      <c r="EF598" s="27" t="s">
        <v>7</v>
      </c>
      <c r="EG598" s="27" t="s">
        <v>8</v>
      </c>
      <c r="ES598" s="27" t="s">
        <v>8</v>
      </c>
      <c r="ET598" s="27" t="s">
        <v>7</v>
      </c>
      <c r="EU598" s="27" t="s">
        <v>8</v>
      </c>
      <c r="EV598" s="27" t="s">
        <v>7</v>
      </c>
      <c r="FC598" s="27" t="s">
        <v>8</v>
      </c>
      <c r="FD598" s="27" t="s">
        <v>7</v>
      </c>
      <c r="FE598" s="27" t="s">
        <v>8</v>
      </c>
      <c r="GB598" s="27" t="s">
        <v>7</v>
      </c>
      <c r="GF598" s="27" t="s">
        <v>7</v>
      </c>
      <c r="GG598" s="27" t="s">
        <v>8</v>
      </c>
      <c r="GH598" s="27" t="s">
        <v>7</v>
      </c>
      <c r="GI598" s="27" t="s">
        <v>8</v>
      </c>
      <c r="HP598" s="27" t="s">
        <v>7</v>
      </c>
      <c r="HQ598" s="27" t="s">
        <v>8</v>
      </c>
      <c r="HR598" s="27" t="s">
        <v>7</v>
      </c>
      <c r="HS598" s="27" t="s">
        <v>8</v>
      </c>
      <c r="HT598" s="27" t="s">
        <v>7</v>
      </c>
      <c r="IA598" s="27" t="s">
        <v>8</v>
      </c>
      <c r="IB598" s="27" t="s">
        <v>7</v>
      </c>
    </row>
    <row r="599" spans="1:238" x14ac:dyDescent="0.25">
      <c r="A599" s="7">
        <v>0.78849317558165644</v>
      </c>
      <c r="B599"/>
      <c r="C599"/>
      <c r="D599"/>
      <c r="E599"/>
      <c r="F599" s="27" t="s">
        <v>7</v>
      </c>
      <c r="BG599" s="27" t="s">
        <v>8</v>
      </c>
      <c r="DX599" s="27" t="s">
        <v>7</v>
      </c>
      <c r="DY599" s="27" t="s">
        <v>8</v>
      </c>
      <c r="EB599" s="27" t="s">
        <v>7</v>
      </c>
      <c r="EC599" s="27" t="s">
        <v>8</v>
      </c>
      <c r="EF599" s="27" t="s">
        <v>7</v>
      </c>
      <c r="EG599" s="27" t="s">
        <v>8</v>
      </c>
      <c r="EH599" s="27" t="s">
        <v>7</v>
      </c>
      <c r="ES599" s="27" t="s">
        <v>8</v>
      </c>
      <c r="ET599" s="27" t="s">
        <v>7</v>
      </c>
      <c r="EU599" s="27" t="s">
        <v>8</v>
      </c>
      <c r="EV599" s="27" t="s">
        <v>7</v>
      </c>
      <c r="FC599" s="27" t="s">
        <v>8</v>
      </c>
      <c r="FD599" s="27" t="s">
        <v>7</v>
      </c>
      <c r="GF599" s="27" t="s">
        <v>7</v>
      </c>
      <c r="GH599" s="27" t="s">
        <v>7</v>
      </c>
      <c r="HP599" s="27" t="s">
        <v>7</v>
      </c>
      <c r="HQ599" s="27" t="s">
        <v>8</v>
      </c>
      <c r="HR599" s="27" t="s">
        <v>7</v>
      </c>
      <c r="HS599" s="27" t="s">
        <v>8</v>
      </c>
      <c r="HT599" s="27" t="s">
        <v>7</v>
      </c>
      <c r="HY599" s="27" t="s">
        <v>8</v>
      </c>
      <c r="IA599" s="27" t="s">
        <v>8</v>
      </c>
      <c r="IB599" s="27" t="s">
        <v>7</v>
      </c>
    </row>
    <row r="600" spans="1:238" x14ac:dyDescent="0.25">
      <c r="A600" s="7">
        <v>0.77303252508005538</v>
      </c>
      <c r="B600"/>
      <c r="C600"/>
      <c r="D600"/>
      <c r="E600"/>
      <c r="F600" s="27" t="s">
        <v>7</v>
      </c>
      <c r="BG600" s="27" t="s">
        <v>8</v>
      </c>
      <c r="DX600" s="27" t="s">
        <v>7</v>
      </c>
      <c r="DY600" s="27" t="s">
        <v>8</v>
      </c>
      <c r="EB600" s="27" t="s">
        <v>7</v>
      </c>
      <c r="EC600" s="27" t="s">
        <v>8</v>
      </c>
      <c r="EF600" s="27" t="s">
        <v>7</v>
      </c>
      <c r="EG600" s="27" t="s">
        <v>8</v>
      </c>
      <c r="EH600" s="27" t="s">
        <v>7</v>
      </c>
      <c r="ES600" s="27" t="s">
        <v>8</v>
      </c>
      <c r="ET600" s="27" t="s">
        <v>7</v>
      </c>
      <c r="EU600" s="27" t="s">
        <v>8</v>
      </c>
      <c r="EV600" s="27" t="s">
        <v>7</v>
      </c>
      <c r="FC600" s="27" t="s">
        <v>8</v>
      </c>
      <c r="HP600" s="27" t="s">
        <v>7</v>
      </c>
      <c r="HQ600" s="27" t="s">
        <v>8</v>
      </c>
      <c r="HR600" s="27" t="s">
        <v>7</v>
      </c>
      <c r="HS600" s="27" t="s">
        <v>8</v>
      </c>
      <c r="HT600" s="27" t="s">
        <v>7</v>
      </c>
      <c r="HY600" s="27" t="s">
        <v>8</v>
      </c>
      <c r="HZ600" s="27" t="s">
        <v>7</v>
      </c>
      <c r="IA600" s="27" t="s">
        <v>8</v>
      </c>
      <c r="IB600" s="27" t="s">
        <v>7</v>
      </c>
    </row>
    <row r="601" spans="1:238" x14ac:dyDescent="0.25">
      <c r="A601" s="7">
        <v>0.75787502458828959</v>
      </c>
      <c r="B601"/>
      <c r="C601"/>
      <c r="D601"/>
      <c r="E601"/>
      <c r="F601" s="27" t="s">
        <v>7</v>
      </c>
      <c r="BG601" s="27" t="s">
        <v>8</v>
      </c>
      <c r="DX601" s="27" t="s">
        <v>7</v>
      </c>
      <c r="DY601" s="27" t="s">
        <v>8</v>
      </c>
      <c r="EB601" s="27" t="s">
        <v>7</v>
      </c>
      <c r="EC601" s="27" t="s">
        <v>8</v>
      </c>
      <c r="EF601" s="27" t="s">
        <v>7</v>
      </c>
      <c r="EH601" s="27" t="s">
        <v>7</v>
      </c>
      <c r="ES601" s="27" t="s">
        <v>8</v>
      </c>
      <c r="ET601" s="27" t="s">
        <v>7</v>
      </c>
      <c r="EU601" s="27" t="s">
        <v>8</v>
      </c>
      <c r="EV601" s="27" t="s">
        <v>7</v>
      </c>
      <c r="FC601" s="27" t="s">
        <v>8</v>
      </c>
      <c r="HP601" s="27" t="s">
        <v>7</v>
      </c>
      <c r="HQ601" s="27" t="s">
        <v>8</v>
      </c>
      <c r="HR601" s="27" t="s">
        <v>7</v>
      </c>
      <c r="HS601" s="27" t="s">
        <v>8</v>
      </c>
      <c r="HT601" s="27" t="s">
        <v>7</v>
      </c>
      <c r="HY601" s="27" t="s">
        <v>8</v>
      </c>
      <c r="HZ601" s="27" t="s">
        <v>7</v>
      </c>
      <c r="IA601" s="27" t="s">
        <v>8</v>
      </c>
      <c r="IB601" s="27" t="s">
        <v>7</v>
      </c>
    </row>
    <row r="602" spans="1:238" x14ac:dyDescent="0.25">
      <c r="A602" s="7">
        <v>0.74301472998851925</v>
      </c>
      <c r="B602"/>
      <c r="C602"/>
      <c r="D602"/>
      <c r="E602"/>
      <c r="F602" s="27" t="s">
        <v>7</v>
      </c>
      <c r="BG602" s="27" t="s">
        <v>8</v>
      </c>
      <c r="DX602" s="27" t="s">
        <v>7</v>
      </c>
      <c r="DY602" s="27" t="s">
        <v>8</v>
      </c>
      <c r="EB602" s="27" t="s">
        <v>7</v>
      </c>
      <c r="EC602" s="27" t="s">
        <v>8</v>
      </c>
      <c r="EH602" s="27" t="s">
        <v>7</v>
      </c>
      <c r="EI602" s="27" t="s">
        <v>8</v>
      </c>
      <c r="ES602" s="27" t="s">
        <v>8</v>
      </c>
      <c r="ET602" s="27" t="s">
        <v>7</v>
      </c>
      <c r="EU602" s="27" t="s">
        <v>8</v>
      </c>
      <c r="EV602" s="27" t="s">
        <v>7</v>
      </c>
      <c r="FC602" s="27" t="s">
        <v>8</v>
      </c>
      <c r="HP602" s="27" t="s">
        <v>7</v>
      </c>
      <c r="HQ602" s="27" t="s">
        <v>8</v>
      </c>
      <c r="HR602" s="27" t="s">
        <v>7</v>
      </c>
      <c r="HS602" s="27" t="s">
        <v>8</v>
      </c>
      <c r="HT602" s="27" t="s">
        <v>7</v>
      </c>
      <c r="HY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</row>
    <row r="603" spans="1:238" x14ac:dyDescent="0.25">
      <c r="A603" s="7">
        <v>0.72844581371423456</v>
      </c>
      <c r="B603"/>
      <c r="C603"/>
      <c r="D603"/>
      <c r="E603"/>
      <c r="F603" s="27" t="s">
        <v>7</v>
      </c>
      <c r="BA603" s="27" t="s">
        <v>8</v>
      </c>
      <c r="BG603" s="27" t="s">
        <v>8</v>
      </c>
      <c r="DX603" s="27" t="s">
        <v>7</v>
      </c>
      <c r="DY603" s="27" t="s">
        <v>8</v>
      </c>
      <c r="EB603" s="27" t="s">
        <v>7</v>
      </c>
      <c r="EC603" s="27" t="s">
        <v>8</v>
      </c>
      <c r="EH603" s="27" t="s">
        <v>7</v>
      </c>
      <c r="EI603" s="27" t="s">
        <v>8</v>
      </c>
      <c r="EJ603" s="27" t="s">
        <v>7</v>
      </c>
      <c r="ES603" s="27" t="s">
        <v>8</v>
      </c>
      <c r="ET603" s="27" t="s">
        <v>7</v>
      </c>
      <c r="EU603" s="27" t="s">
        <v>8</v>
      </c>
      <c r="EV603" s="27" t="s">
        <v>7</v>
      </c>
      <c r="FC603" s="27" t="s">
        <v>8</v>
      </c>
      <c r="HP603" s="27" t="s">
        <v>7</v>
      </c>
      <c r="HQ603" s="27" t="s">
        <v>8</v>
      </c>
      <c r="HR603" s="27" t="s">
        <v>7</v>
      </c>
      <c r="HS603" s="27" t="s">
        <v>8</v>
      </c>
      <c r="HT603" s="27" t="s">
        <v>7</v>
      </c>
      <c r="HU603" s="27" t="s">
        <v>8</v>
      </c>
      <c r="HW603" s="27" t="s">
        <v>8</v>
      </c>
      <c r="HY603" s="27" t="s">
        <v>8</v>
      </c>
      <c r="HZ603" s="27" t="s">
        <v>7</v>
      </c>
      <c r="IB603" s="27" t="s">
        <v>7</v>
      </c>
      <c r="IC603" s="27" t="s">
        <v>8</v>
      </c>
      <c r="ID603" s="27" t="s">
        <v>7</v>
      </c>
    </row>
    <row r="604" spans="1:238" x14ac:dyDescent="0.25">
      <c r="A604" s="7">
        <v>0.71416256246493581</v>
      </c>
      <c r="B604"/>
      <c r="C604"/>
      <c r="D604"/>
      <c r="E604"/>
      <c r="F604" s="27" t="s">
        <v>7</v>
      </c>
      <c r="BA604" s="27" t="s">
        <v>8</v>
      </c>
      <c r="BB604" s="27" t="s">
        <v>7</v>
      </c>
      <c r="BG604" s="27" t="s">
        <v>8</v>
      </c>
      <c r="DX604" s="27" t="s">
        <v>7</v>
      </c>
      <c r="DY604" s="27" t="s">
        <v>8</v>
      </c>
      <c r="EB604" s="27" t="s">
        <v>7</v>
      </c>
      <c r="EC604" s="27" t="s">
        <v>8</v>
      </c>
      <c r="EH604" s="27" t="s">
        <v>7</v>
      </c>
      <c r="EI604" s="27" t="s">
        <v>8</v>
      </c>
      <c r="EJ604" s="27" t="s">
        <v>7</v>
      </c>
      <c r="ES604" s="27" t="s">
        <v>8</v>
      </c>
      <c r="ET604" s="27" t="s">
        <v>7</v>
      </c>
      <c r="EU604" s="27" t="s">
        <v>8</v>
      </c>
      <c r="EV604" s="27" t="s">
        <v>7</v>
      </c>
      <c r="FA604" s="27" t="s">
        <v>8</v>
      </c>
      <c r="FC604" s="27" t="s">
        <v>8</v>
      </c>
      <c r="HP604" s="27" t="s">
        <v>7</v>
      </c>
      <c r="HR604" s="27" t="s">
        <v>7</v>
      </c>
      <c r="HS604" s="27" t="s">
        <v>8</v>
      </c>
      <c r="HT604" s="27" t="s">
        <v>7</v>
      </c>
      <c r="HU604" s="27" t="s">
        <v>8</v>
      </c>
      <c r="HV604" s="27" t="s">
        <v>7</v>
      </c>
      <c r="HW604" s="27" t="s">
        <v>8</v>
      </c>
      <c r="HX604" s="27" t="s">
        <v>7</v>
      </c>
      <c r="HY604" s="27" t="s">
        <v>8</v>
      </c>
      <c r="IB604" s="27" t="s">
        <v>7</v>
      </c>
      <c r="IC604" s="27" t="s">
        <v>8</v>
      </c>
      <c r="ID604" s="27" t="s">
        <v>7</v>
      </c>
    </row>
    <row r="605" spans="1:238" x14ac:dyDescent="0.25">
      <c r="A605" s="7">
        <v>0.7001593749656233</v>
      </c>
      <c r="B605"/>
      <c r="C605"/>
      <c r="D605"/>
      <c r="E605"/>
      <c r="F605" s="27" t="s">
        <v>7</v>
      </c>
      <c r="BA605" s="27" t="s">
        <v>8</v>
      </c>
      <c r="BB605" s="27" t="s">
        <v>7</v>
      </c>
      <c r="BG605" s="27" t="s">
        <v>8</v>
      </c>
      <c r="DX605" s="27" t="s">
        <v>7</v>
      </c>
      <c r="DY605" s="27" t="s">
        <v>8</v>
      </c>
      <c r="EB605" s="27" t="s">
        <v>7</v>
      </c>
      <c r="EC605" s="27" t="s">
        <v>8</v>
      </c>
      <c r="EH605" s="27" t="s">
        <v>7</v>
      </c>
      <c r="EI605" s="27" t="s">
        <v>8</v>
      </c>
      <c r="EJ605" s="27" t="s">
        <v>7</v>
      </c>
      <c r="ES605" s="27" t="s">
        <v>8</v>
      </c>
      <c r="ET605" s="27" t="s">
        <v>7</v>
      </c>
      <c r="EV605" s="27" t="s">
        <v>7</v>
      </c>
      <c r="FA605" s="27" t="s">
        <v>8</v>
      </c>
      <c r="FB605" s="27" t="s">
        <v>7</v>
      </c>
      <c r="FC605" s="27" t="s">
        <v>8</v>
      </c>
      <c r="HR605" s="27" t="s">
        <v>7</v>
      </c>
      <c r="HS605" s="27" t="s">
        <v>8</v>
      </c>
      <c r="HT605" s="27" t="s">
        <v>7</v>
      </c>
      <c r="HU605" s="27" t="s">
        <v>8</v>
      </c>
      <c r="HV605" s="27" t="s">
        <v>7</v>
      </c>
      <c r="HW605" s="27" t="s">
        <v>8</v>
      </c>
      <c r="HX605" s="27" t="s">
        <v>7</v>
      </c>
      <c r="HY605" s="27" t="s">
        <v>8</v>
      </c>
      <c r="IB605" s="27" t="s">
        <v>7</v>
      </c>
      <c r="IC605" s="27" t="s">
        <v>8</v>
      </c>
      <c r="ID605" s="27" t="s">
        <v>7</v>
      </c>
    </row>
    <row r="606" spans="1:238" x14ac:dyDescent="0.25">
      <c r="A606" s="7">
        <v>0.68643075977021883</v>
      </c>
      <c r="B606"/>
      <c r="C606"/>
      <c r="D606"/>
      <c r="E606"/>
      <c r="F606" s="27" t="s">
        <v>7</v>
      </c>
      <c r="BA606" s="27" t="s">
        <v>8</v>
      </c>
      <c r="BB606" s="27" t="s">
        <v>7</v>
      </c>
      <c r="BG606" s="27" t="s">
        <v>8</v>
      </c>
      <c r="DX606" s="27" t="s">
        <v>7</v>
      </c>
      <c r="DY606" s="27" t="s">
        <v>8</v>
      </c>
      <c r="EB606" s="27" t="s">
        <v>7</v>
      </c>
      <c r="EC606" s="27" t="s">
        <v>8</v>
      </c>
      <c r="EH606" s="27" t="s">
        <v>7</v>
      </c>
      <c r="EI606" s="27" t="s">
        <v>8</v>
      </c>
      <c r="EJ606" s="27" t="s">
        <v>7</v>
      </c>
      <c r="ES606" s="27" t="s">
        <v>8</v>
      </c>
      <c r="EV606" s="27" t="s">
        <v>7</v>
      </c>
      <c r="FA606" s="27" t="s">
        <v>8</v>
      </c>
      <c r="FB606" s="27" t="s">
        <v>7</v>
      </c>
      <c r="FC606" s="27" t="s">
        <v>8</v>
      </c>
      <c r="HR606" s="27" t="s">
        <v>7</v>
      </c>
      <c r="HT606" s="27" t="s">
        <v>7</v>
      </c>
      <c r="HU606" s="27" t="s">
        <v>8</v>
      </c>
      <c r="HV606" s="27" t="s">
        <v>7</v>
      </c>
      <c r="HW606" s="27" t="s">
        <v>8</v>
      </c>
      <c r="HX606" s="27" t="s">
        <v>7</v>
      </c>
      <c r="HY606" s="27" t="s">
        <v>8</v>
      </c>
      <c r="IB606" s="27" t="s">
        <v>7</v>
      </c>
      <c r="IC606" s="27" t="s">
        <v>8</v>
      </c>
      <c r="ID606" s="27" t="s">
        <v>7</v>
      </c>
    </row>
    <row r="607" spans="1:238" x14ac:dyDescent="0.25">
      <c r="A607" s="7">
        <v>0.67297133310805768</v>
      </c>
      <c r="B607"/>
      <c r="C607"/>
      <c r="D607"/>
      <c r="E607"/>
      <c r="F607" s="27" t="s">
        <v>7</v>
      </c>
      <c r="BA607" s="27" t="s">
        <v>8</v>
      </c>
      <c r="BB607" s="27" t="s">
        <v>7</v>
      </c>
      <c r="BG607" s="27" t="s">
        <v>8</v>
      </c>
      <c r="DX607" s="27" t="s">
        <v>7</v>
      </c>
      <c r="DY607" s="27" t="s">
        <v>8</v>
      </c>
      <c r="EB607" s="27" t="s">
        <v>7</v>
      </c>
      <c r="EC607" s="27" t="s">
        <v>8</v>
      </c>
      <c r="EH607" s="27" t="s">
        <v>7</v>
      </c>
      <c r="EI607" s="27" t="s">
        <v>8</v>
      </c>
      <c r="EJ607" s="27" t="s">
        <v>7</v>
      </c>
      <c r="ES607" s="27" t="s">
        <v>8</v>
      </c>
      <c r="EV607" s="27" t="s">
        <v>7</v>
      </c>
      <c r="EY607" s="27" t="s">
        <v>8</v>
      </c>
      <c r="FA607" s="27" t="s">
        <v>8</v>
      </c>
      <c r="FB607" s="27" t="s">
        <v>7</v>
      </c>
      <c r="FC607" s="27" t="s">
        <v>8</v>
      </c>
      <c r="HT607" s="27" t="s">
        <v>7</v>
      </c>
      <c r="HU607" s="27" t="s">
        <v>8</v>
      </c>
      <c r="HV607" s="27" t="s">
        <v>7</v>
      </c>
      <c r="HW607" s="27" t="s">
        <v>8</v>
      </c>
      <c r="HX607" s="27" t="s">
        <v>7</v>
      </c>
      <c r="HY607" s="27" t="s">
        <v>8</v>
      </c>
      <c r="IB607" s="27" t="s">
        <v>7</v>
      </c>
      <c r="IC607" s="27" t="s">
        <v>8</v>
      </c>
      <c r="ID607" s="27" t="s">
        <v>7</v>
      </c>
    </row>
    <row r="608" spans="1:238" x14ac:dyDescent="0.25">
      <c r="A608" s="7">
        <v>0.65977581677260566</v>
      </c>
      <c r="B608"/>
      <c r="C608"/>
      <c r="D608"/>
      <c r="E608"/>
      <c r="F608" s="27" t="s">
        <v>7</v>
      </c>
      <c r="BA608" s="27" t="s">
        <v>8</v>
      </c>
      <c r="BB608" s="27" t="s">
        <v>7</v>
      </c>
      <c r="BG608" s="27" t="s">
        <v>8</v>
      </c>
      <c r="DX608" s="27" t="s">
        <v>7</v>
      </c>
      <c r="DY608" s="27" t="s">
        <v>8</v>
      </c>
      <c r="EB608" s="27" t="s">
        <v>7</v>
      </c>
      <c r="EH608" s="27" t="s">
        <v>7</v>
      </c>
      <c r="EI608" s="27" t="s">
        <v>8</v>
      </c>
      <c r="EJ608" s="27" t="s">
        <v>7</v>
      </c>
      <c r="EK608" s="27" t="s">
        <v>8</v>
      </c>
      <c r="ES608" s="27" t="s">
        <v>8</v>
      </c>
      <c r="EV608" s="27" t="s">
        <v>7</v>
      </c>
      <c r="EY608" s="27" t="s">
        <v>8</v>
      </c>
      <c r="EZ608" s="27" t="s">
        <v>7</v>
      </c>
      <c r="FA608" s="27" t="s">
        <v>8</v>
      </c>
      <c r="FB608" s="27" t="s">
        <v>7</v>
      </c>
      <c r="FC608" s="27" t="s">
        <v>8</v>
      </c>
      <c r="HT608" s="27" t="s">
        <v>7</v>
      </c>
      <c r="HU608" s="27" t="s">
        <v>8</v>
      </c>
      <c r="HV608" s="27" t="s">
        <v>7</v>
      </c>
      <c r="HW608" s="27" t="s">
        <v>8</v>
      </c>
      <c r="HX608" s="27" t="s">
        <v>7</v>
      </c>
      <c r="HY608" s="27" t="s">
        <v>8</v>
      </c>
      <c r="IB608" s="27" t="s">
        <v>7</v>
      </c>
      <c r="ID608" s="27" t="s">
        <v>7</v>
      </c>
    </row>
    <row r="609" spans="1:244" x14ac:dyDescent="0.25">
      <c r="A609" s="7">
        <v>0.64683903605157422</v>
      </c>
      <c r="B609"/>
      <c r="C609"/>
      <c r="D609"/>
      <c r="E609"/>
      <c r="F609" s="27" t="s">
        <v>7</v>
      </c>
      <c r="BA609" s="27" t="s">
        <v>8</v>
      </c>
      <c r="BB609" s="27" t="s">
        <v>7</v>
      </c>
      <c r="BG609" s="27" t="s">
        <v>8</v>
      </c>
      <c r="DX609" s="27" t="s">
        <v>7</v>
      </c>
      <c r="DY609" s="27" t="s">
        <v>8</v>
      </c>
      <c r="EH609" s="27" t="s">
        <v>7</v>
      </c>
      <c r="EI609" s="27" t="s">
        <v>8</v>
      </c>
      <c r="EJ609" s="27" t="s">
        <v>7</v>
      </c>
      <c r="EK609" s="27" t="s">
        <v>8</v>
      </c>
      <c r="EL609" s="27" t="s">
        <v>7</v>
      </c>
      <c r="ES609" s="27" t="s">
        <v>8</v>
      </c>
      <c r="EV609" s="27" t="s">
        <v>7</v>
      </c>
      <c r="EY609" s="27" t="s">
        <v>8</v>
      </c>
      <c r="EZ609" s="27" t="s">
        <v>7</v>
      </c>
      <c r="FA609" s="27" t="s">
        <v>8</v>
      </c>
      <c r="FB609" s="27" t="s">
        <v>7</v>
      </c>
      <c r="FC609" s="27" t="s">
        <v>8</v>
      </c>
      <c r="HT609" s="27" t="s">
        <v>7</v>
      </c>
      <c r="HU609" s="27" t="s">
        <v>8</v>
      </c>
      <c r="HV609" s="27" t="s">
        <v>7</v>
      </c>
      <c r="HX609" s="27" t="s">
        <v>7</v>
      </c>
      <c r="ID609" s="27" t="s">
        <v>7</v>
      </c>
    </row>
    <row r="610" spans="1:244" x14ac:dyDescent="0.25">
      <c r="A610" s="7">
        <v>0.63415591769762181</v>
      </c>
      <c r="B610"/>
      <c r="C610"/>
      <c r="D610"/>
      <c r="E610"/>
      <c r="F610" s="27" t="s">
        <v>7</v>
      </c>
      <c r="BA610" s="27" t="s">
        <v>8</v>
      </c>
      <c r="BB610" s="27" t="s">
        <v>7</v>
      </c>
      <c r="BG610" s="27" t="s">
        <v>8</v>
      </c>
      <c r="DX610" s="27" t="s">
        <v>7</v>
      </c>
      <c r="DY610" s="27" t="s">
        <v>8</v>
      </c>
      <c r="EH610" s="27" t="s">
        <v>7</v>
      </c>
      <c r="EI610" s="27" t="s">
        <v>8</v>
      </c>
      <c r="EJ610" s="27" t="s">
        <v>7</v>
      </c>
      <c r="EK610" s="27" t="s">
        <v>8</v>
      </c>
      <c r="EL610" s="27" t="s">
        <v>7</v>
      </c>
      <c r="ES610" s="27" t="s">
        <v>8</v>
      </c>
      <c r="EV610" s="27" t="s">
        <v>7</v>
      </c>
      <c r="EY610" s="27" t="s">
        <v>8</v>
      </c>
      <c r="EZ610" s="27" t="s">
        <v>7</v>
      </c>
      <c r="FA610" s="27" t="s">
        <v>8</v>
      </c>
      <c r="FB610" s="27" t="s">
        <v>7</v>
      </c>
      <c r="HT610" s="27" t="s">
        <v>7</v>
      </c>
      <c r="ID610" s="27" t="s">
        <v>7</v>
      </c>
    </row>
    <row r="611" spans="1:244" x14ac:dyDescent="0.25">
      <c r="A611" s="7">
        <v>0.62172148793884496</v>
      </c>
      <c r="B611"/>
      <c r="C611"/>
      <c r="D611"/>
      <c r="E611"/>
      <c r="F611" s="27" t="s">
        <v>7</v>
      </c>
      <c r="BA611" s="27" t="s">
        <v>8</v>
      </c>
      <c r="BB611" s="27" t="s">
        <v>7</v>
      </c>
      <c r="BG611" s="27" t="s">
        <v>8</v>
      </c>
      <c r="DX611" s="27" t="s">
        <v>7</v>
      </c>
      <c r="DY611" s="27" t="s">
        <v>8</v>
      </c>
      <c r="EH611" s="27" t="s">
        <v>7</v>
      </c>
      <c r="EJ611" s="27" t="s">
        <v>7</v>
      </c>
      <c r="EK611" s="27" t="s">
        <v>8</v>
      </c>
      <c r="EL611" s="27" t="s">
        <v>7</v>
      </c>
      <c r="ES611" s="27" t="s">
        <v>8</v>
      </c>
      <c r="EV611" s="27" t="s">
        <v>7</v>
      </c>
      <c r="EY611" s="27" t="s">
        <v>8</v>
      </c>
      <c r="EZ611" s="27" t="s">
        <v>7</v>
      </c>
      <c r="FA611" s="27" t="s">
        <v>8</v>
      </c>
      <c r="ID611" s="27" t="s">
        <v>7</v>
      </c>
    </row>
    <row r="612" spans="1:244" x14ac:dyDescent="0.25">
      <c r="A612" s="7">
        <v>0.60953087052827937</v>
      </c>
      <c r="B612"/>
      <c r="C612"/>
      <c r="D612"/>
      <c r="E612"/>
      <c r="F612" s="27" t="s">
        <v>7</v>
      </c>
      <c r="BA612" s="27" t="s">
        <v>8</v>
      </c>
      <c r="BB612" s="27" t="s">
        <v>7</v>
      </c>
      <c r="BG612" s="27" t="s">
        <v>8</v>
      </c>
      <c r="DX612" s="27" t="s">
        <v>7</v>
      </c>
      <c r="DY612" s="27" t="s">
        <v>8</v>
      </c>
      <c r="EJ612" s="27" t="s">
        <v>7</v>
      </c>
      <c r="EK612" s="27" t="s">
        <v>8</v>
      </c>
      <c r="EL612" s="27" t="s">
        <v>7</v>
      </c>
      <c r="ES612" s="27" t="s">
        <v>8</v>
      </c>
      <c r="EV612" s="27" t="s">
        <v>7</v>
      </c>
      <c r="EY612" s="27" t="s">
        <v>8</v>
      </c>
      <c r="EZ612" s="27" t="s">
        <v>7</v>
      </c>
      <c r="FA612" s="27" t="s">
        <v>8</v>
      </c>
      <c r="ID612" s="27" t="s">
        <v>7</v>
      </c>
    </row>
    <row r="613" spans="1:244" x14ac:dyDescent="0.25">
      <c r="A613" s="7">
        <v>0.59757928483164646</v>
      </c>
      <c r="B613"/>
      <c r="C613"/>
      <c r="D613"/>
      <c r="E613"/>
      <c r="F613" s="27" t="s">
        <v>7</v>
      </c>
      <c r="BA613" s="27" t="s">
        <v>8</v>
      </c>
      <c r="BB613" s="27" t="s">
        <v>7</v>
      </c>
      <c r="BG613" s="27" t="s">
        <v>8</v>
      </c>
      <c r="DX613" s="27" t="s">
        <v>7</v>
      </c>
      <c r="DY613" s="27" t="s">
        <v>8</v>
      </c>
      <c r="EJ613" s="27" t="s">
        <v>7</v>
      </c>
      <c r="EK613" s="27" t="s">
        <v>8</v>
      </c>
      <c r="EL613" s="27" t="s">
        <v>7</v>
      </c>
      <c r="ES613" s="27" t="s">
        <v>8</v>
      </c>
      <c r="EV613" s="27" t="s">
        <v>7</v>
      </c>
      <c r="EY613" s="27" t="s">
        <v>8</v>
      </c>
      <c r="EZ613" s="27" t="s">
        <v>7</v>
      </c>
      <c r="FA613" s="27" t="s">
        <v>8</v>
      </c>
      <c r="ID613" s="27" t="s">
        <v>7</v>
      </c>
      <c r="IG613" s="27" t="s">
        <v>8</v>
      </c>
      <c r="II613" s="27" t="s">
        <v>8</v>
      </c>
    </row>
    <row r="614" spans="1:244" x14ac:dyDescent="0.25">
      <c r="A614" s="7">
        <v>0.58586204395259456</v>
      </c>
      <c r="B614"/>
      <c r="C614"/>
      <c r="D614"/>
      <c r="E614"/>
      <c r="F614" s="27" t="s">
        <v>7</v>
      </c>
      <c r="BA614" s="27" t="s">
        <v>8</v>
      </c>
      <c r="BB614" s="27" t="s">
        <v>7</v>
      </c>
      <c r="BG614" s="27" t="s">
        <v>8</v>
      </c>
      <c r="DX614" s="27" t="s">
        <v>7</v>
      </c>
      <c r="DY614" s="27" t="s">
        <v>8</v>
      </c>
      <c r="EJ614" s="27" t="s">
        <v>7</v>
      </c>
      <c r="EK614" s="27" t="s">
        <v>8</v>
      </c>
      <c r="EL614" s="27" t="s">
        <v>7</v>
      </c>
      <c r="ES614" s="27" t="s">
        <v>8</v>
      </c>
      <c r="EV614" s="27" t="s">
        <v>7</v>
      </c>
      <c r="EY614" s="27" t="s">
        <v>8</v>
      </c>
      <c r="EZ614" s="27" t="s">
        <v>7</v>
      </c>
      <c r="FA614" s="27" t="s">
        <v>8</v>
      </c>
      <c r="ID614" s="27" t="s">
        <v>7</v>
      </c>
      <c r="IG614" s="27" t="s">
        <v>8</v>
      </c>
      <c r="IH614" s="27" t="s">
        <v>7</v>
      </c>
      <c r="II614" s="27" t="s">
        <v>8</v>
      </c>
      <c r="IJ614" s="27" t="s">
        <v>7</v>
      </c>
    </row>
    <row r="615" spans="1:244" x14ac:dyDescent="0.25">
      <c r="A615" s="7">
        <v>0.57437455289470052</v>
      </c>
      <c r="B615"/>
      <c r="C615"/>
      <c r="D615"/>
      <c r="E615"/>
      <c r="F615" s="27" t="s">
        <v>7</v>
      </c>
      <c r="BA615" s="27" t="s">
        <v>8</v>
      </c>
      <c r="BB615" s="27" t="s">
        <v>7</v>
      </c>
      <c r="BG615" s="27" t="s">
        <v>8</v>
      </c>
      <c r="DX615" s="27" t="s">
        <v>7</v>
      </c>
      <c r="DY615" s="27" t="s">
        <v>8</v>
      </c>
      <c r="EJ615" s="27" t="s">
        <v>7</v>
      </c>
      <c r="EK615" s="27" t="s">
        <v>8</v>
      </c>
      <c r="EL615" s="27" t="s">
        <v>7</v>
      </c>
      <c r="ES615" s="27" t="s">
        <v>8</v>
      </c>
      <c r="EV615" s="27" t="s">
        <v>7</v>
      </c>
      <c r="EW615" s="27" t="s">
        <v>8</v>
      </c>
      <c r="EY615" s="27" t="s">
        <v>8</v>
      </c>
      <c r="EZ615" s="27" t="s">
        <v>7</v>
      </c>
      <c r="ID615" s="27" t="s">
        <v>7</v>
      </c>
      <c r="IG615" s="27" t="s">
        <v>8</v>
      </c>
      <c r="IH615" s="27" t="s">
        <v>7</v>
      </c>
      <c r="II615" s="27" t="s">
        <v>8</v>
      </c>
      <c r="IJ615" s="27" t="s">
        <v>7</v>
      </c>
    </row>
    <row r="616" spans="1:244" x14ac:dyDescent="0.25">
      <c r="A616" s="7">
        <v>0.56311230675951029</v>
      </c>
      <c r="B616"/>
      <c r="C616"/>
      <c r="D616"/>
      <c r="E616"/>
      <c r="F616" s="27" t="s">
        <v>7</v>
      </c>
      <c r="BA616" s="27" t="s">
        <v>8</v>
      </c>
      <c r="BB616" s="27" t="s">
        <v>7</v>
      </c>
      <c r="BG616" s="27" t="s">
        <v>8</v>
      </c>
      <c r="DX616" s="27" t="s">
        <v>7</v>
      </c>
      <c r="DY616" s="27" t="s">
        <v>8</v>
      </c>
      <c r="EJ616" s="27" t="s">
        <v>7</v>
      </c>
      <c r="EK616" s="27" t="s">
        <v>8</v>
      </c>
      <c r="EL616" s="27" t="s">
        <v>7</v>
      </c>
      <c r="ES616" s="27" t="s">
        <v>8</v>
      </c>
      <c r="EV616" s="27" t="s">
        <v>7</v>
      </c>
      <c r="EW616" s="27" t="s">
        <v>8</v>
      </c>
      <c r="EX616" s="27" t="s">
        <v>7</v>
      </c>
      <c r="EY616" s="27" t="s">
        <v>8</v>
      </c>
      <c r="ID616" s="27" t="s">
        <v>7</v>
      </c>
      <c r="IG616" s="27" t="s">
        <v>8</v>
      </c>
      <c r="IH616" s="27" t="s">
        <v>7</v>
      </c>
      <c r="II616" s="27" t="s">
        <v>8</v>
      </c>
      <c r="IJ616" s="27" t="s">
        <v>7</v>
      </c>
    </row>
    <row r="617" spans="1:244" x14ac:dyDescent="0.25">
      <c r="A617" s="7">
        <v>0.55207088897991208</v>
      </c>
      <c r="B617"/>
      <c r="C617"/>
      <c r="D617"/>
      <c r="E617"/>
      <c r="F617" s="27" t="s">
        <v>7</v>
      </c>
      <c r="BA617" s="27" t="s">
        <v>8</v>
      </c>
      <c r="BB617" s="27" t="s">
        <v>7</v>
      </c>
      <c r="BG617" s="27" t="s">
        <v>8</v>
      </c>
      <c r="DX617" s="27" t="s">
        <v>7</v>
      </c>
      <c r="DY617" s="27" t="s">
        <v>8</v>
      </c>
      <c r="EJ617" s="27" t="s">
        <v>7</v>
      </c>
      <c r="EL617" s="27" t="s">
        <v>7</v>
      </c>
      <c r="ES617" s="27" t="s">
        <v>8</v>
      </c>
      <c r="EV617" s="27" t="s">
        <v>7</v>
      </c>
      <c r="EW617" s="27" t="s">
        <v>8</v>
      </c>
      <c r="EX617" s="27" t="s">
        <v>7</v>
      </c>
      <c r="EY617" s="27" t="s">
        <v>8</v>
      </c>
      <c r="ID617" s="27" t="s">
        <v>7</v>
      </c>
      <c r="IE617" s="27" t="s">
        <v>8</v>
      </c>
      <c r="IG617" s="27" t="s">
        <v>8</v>
      </c>
      <c r="IH617" s="27" t="s">
        <v>7</v>
      </c>
      <c r="IJ617" s="27" t="s">
        <v>7</v>
      </c>
    </row>
    <row r="618" spans="1:244" x14ac:dyDescent="0.25">
      <c r="A618" s="7">
        <v>0.54124596958814908</v>
      </c>
      <c r="B618"/>
      <c r="C618"/>
      <c r="D618"/>
      <c r="E618"/>
      <c r="F618" s="27" t="s">
        <v>7</v>
      </c>
      <c r="BA618" s="27" t="s">
        <v>8</v>
      </c>
      <c r="BB618" s="27" t="s">
        <v>7</v>
      </c>
      <c r="BE618" s="27" t="s">
        <v>8</v>
      </c>
      <c r="BG618" s="27" t="s">
        <v>8</v>
      </c>
      <c r="DX618" s="27" t="s">
        <v>7</v>
      </c>
      <c r="DY618" s="27" t="s">
        <v>8</v>
      </c>
      <c r="EL618" s="27" t="s">
        <v>7</v>
      </c>
      <c r="ES618" s="27" t="s">
        <v>8</v>
      </c>
      <c r="EV618" s="27" t="s">
        <v>7</v>
      </c>
      <c r="EW618" s="27" t="s">
        <v>8</v>
      </c>
      <c r="EX618" s="27" t="s">
        <v>7</v>
      </c>
      <c r="EY618" s="27" t="s">
        <v>8</v>
      </c>
      <c r="ID618" s="27" t="s">
        <v>7</v>
      </c>
      <c r="IE618" s="27" t="s">
        <v>8</v>
      </c>
      <c r="IF618" s="27" t="s">
        <v>7</v>
      </c>
      <c r="IG618" s="27" t="s">
        <v>8</v>
      </c>
      <c r="IJ618" s="27" t="s">
        <v>7</v>
      </c>
    </row>
    <row r="619" spans="1:244" x14ac:dyDescent="0.25">
      <c r="A619" s="7">
        <v>0.53063330351779314</v>
      </c>
      <c r="B619"/>
      <c r="C619"/>
      <c r="D619"/>
      <c r="E619"/>
      <c r="F619" s="27" t="s">
        <v>7</v>
      </c>
      <c r="BA619" s="27" t="s">
        <v>8</v>
      </c>
      <c r="BB619" s="27" t="s">
        <v>7</v>
      </c>
      <c r="BE619" s="27" t="s">
        <v>8</v>
      </c>
      <c r="BF619" s="27" t="s">
        <v>7</v>
      </c>
      <c r="BG619" s="27" t="s">
        <v>8</v>
      </c>
      <c r="DX619" s="27" t="s">
        <v>7</v>
      </c>
      <c r="DY619" s="27" t="s">
        <v>8</v>
      </c>
      <c r="EL619" s="27" t="s">
        <v>7</v>
      </c>
      <c r="ES619" s="27" t="s">
        <v>8</v>
      </c>
      <c r="EV619" s="27" t="s">
        <v>7</v>
      </c>
      <c r="EW619" s="27" t="s">
        <v>8</v>
      </c>
      <c r="EX619" s="27" t="s">
        <v>7</v>
      </c>
      <c r="EY619" s="27" t="s">
        <v>8</v>
      </c>
      <c r="ID619" s="27" t="s">
        <v>7</v>
      </c>
      <c r="IE619" s="27" t="s">
        <v>8</v>
      </c>
      <c r="IF619" s="27" t="s">
        <v>7</v>
      </c>
      <c r="IG619" s="27" t="s">
        <v>8</v>
      </c>
      <c r="IJ619" s="27" t="s">
        <v>7</v>
      </c>
    </row>
    <row r="620" spans="1:244" x14ac:dyDescent="0.25">
      <c r="A620" s="7">
        <v>0.52022872893901284</v>
      </c>
      <c r="B620"/>
      <c r="C620"/>
      <c r="D620"/>
      <c r="E620"/>
      <c r="F620" s="27" t="s">
        <v>7</v>
      </c>
      <c r="BA620" s="27" t="s">
        <v>8</v>
      </c>
      <c r="BB620" s="27" t="s">
        <v>7</v>
      </c>
      <c r="BE620" s="27" t="s">
        <v>8</v>
      </c>
      <c r="BF620" s="27" t="s">
        <v>7</v>
      </c>
      <c r="BG620" s="27" t="s">
        <v>8</v>
      </c>
      <c r="DX620" s="27" t="s">
        <v>7</v>
      </c>
      <c r="DY620" s="27" t="s">
        <v>8</v>
      </c>
      <c r="EL620" s="27" t="s">
        <v>7</v>
      </c>
      <c r="ES620" s="27" t="s">
        <v>8</v>
      </c>
      <c r="EV620" s="27" t="s">
        <v>7</v>
      </c>
      <c r="EW620" s="27" t="s">
        <v>8</v>
      </c>
      <c r="EX620" s="27" t="s">
        <v>7</v>
      </c>
      <c r="ID620" s="27" t="s">
        <v>7</v>
      </c>
      <c r="IE620" s="27" t="s">
        <v>8</v>
      </c>
      <c r="IF620" s="27" t="s">
        <v>7</v>
      </c>
      <c r="IG620" s="27" t="s">
        <v>8</v>
      </c>
      <c r="IJ620" s="27" t="s">
        <v>7</v>
      </c>
    </row>
    <row r="621" spans="1:244" x14ac:dyDescent="0.25">
      <c r="A621" s="7">
        <v>0.51002816562648323</v>
      </c>
      <c r="B621"/>
      <c r="C621"/>
      <c r="D621"/>
      <c r="E621"/>
      <c r="F621" s="27" t="s">
        <v>7</v>
      </c>
      <c r="BA621" s="27" t="s">
        <v>8</v>
      </c>
      <c r="BB621" s="27" t="s">
        <v>7</v>
      </c>
      <c r="BE621" s="27" t="s">
        <v>8</v>
      </c>
      <c r="BF621" s="27" t="s">
        <v>7</v>
      </c>
      <c r="BG621" s="27" t="s">
        <v>8</v>
      </c>
      <c r="DX621" s="27" t="s">
        <v>7</v>
      </c>
      <c r="EL621" s="27" t="s">
        <v>7</v>
      </c>
      <c r="EO621" s="27" t="s">
        <v>8</v>
      </c>
      <c r="ES621" s="27" t="s">
        <v>8</v>
      </c>
      <c r="EV621" s="27" t="s">
        <v>7</v>
      </c>
      <c r="EW621" s="27" t="s">
        <v>8</v>
      </c>
      <c r="ID621" s="27" t="s">
        <v>7</v>
      </c>
      <c r="IF621" s="27" t="s">
        <v>7</v>
      </c>
      <c r="IG621" s="27" t="s">
        <v>8</v>
      </c>
      <c r="IJ621" s="27" t="s">
        <v>7</v>
      </c>
    </row>
    <row r="622" spans="1:244" x14ac:dyDescent="0.25">
      <c r="A622" s="7">
        <v>0.50002761335929735</v>
      </c>
      <c r="B622"/>
      <c r="C622"/>
      <c r="D622"/>
      <c r="E622"/>
      <c r="F622" s="27" t="s">
        <v>7</v>
      </c>
      <c r="BA622" s="27" t="s">
        <v>8</v>
      </c>
      <c r="BB622" s="27" t="s">
        <v>7</v>
      </c>
      <c r="BE622" s="27" t="s">
        <v>8</v>
      </c>
      <c r="BF622" s="27" t="s">
        <v>7</v>
      </c>
      <c r="BG622" s="27" t="s">
        <v>8</v>
      </c>
      <c r="EL622" s="27" t="s">
        <v>7</v>
      </c>
      <c r="EO622" s="27" t="s">
        <v>8</v>
      </c>
      <c r="EP622" s="27" t="s">
        <v>7</v>
      </c>
      <c r="ES622" s="27" t="s">
        <v>8</v>
      </c>
      <c r="EV622" s="27" t="s">
        <v>7</v>
      </c>
      <c r="EW622" s="27" t="s">
        <v>8</v>
      </c>
      <c r="IF622" s="27" t="s">
        <v>7</v>
      </c>
      <c r="IJ622" s="27" t="s">
        <v>7</v>
      </c>
    </row>
    <row r="623" spans="1:244" x14ac:dyDescent="0.25">
      <c r="A623" s="7">
        <v>0.49022315035225228</v>
      </c>
      <c r="B623"/>
      <c r="C623"/>
      <c r="D623"/>
      <c r="E623"/>
      <c r="F623" s="27" t="s">
        <v>7</v>
      </c>
      <c r="BA623" s="27" t="s">
        <v>8</v>
      </c>
      <c r="BB623" s="27" t="s">
        <v>7</v>
      </c>
      <c r="BE623" s="27" t="s">
        <v>8</v>
      </c>
      <c r="BF623" s="27" t="s">
        <v>7</v>
      </c>
      <c r="BG623" s="27" t="s">
        <v>8</v>
      </c>
      <c r="EL623" s="27" t="s">
        <v>7</v>
      </c>
      <c r="EO623" s="27" t="s">
        <v>8</v>
      </c>
      <c r="EP623" s="27" t="s">
        <v>7</v>
      </c>
      <c r="ES623" s="27" t="s">
        <v>8</v>
      </c>
      <c r="EV623" s="27" t="s">
        <v>7</v>
      </c>
      <c r="EW623" s="27" t="s">
        <v>8</v>
      </c>
      <c r="IJ623" s="27" t="s">
        <v>7</v>
      </c>
    </row>
    <row r="624" spans="1:244" x14ac:dyDescent="0.25">
      <c r="A624" s="7">
        <v>0.48061093171789437</v>
      </c>
      <c r="B624"/>
      <c r="C624"/>
      <c r="D624"/>
      <c r="E624"/>
      <c r="F624" s="27" t="s">
        <v>7</v>
      </c>
      <c r="BA624" s="27" t="s">
        <v>8</v>
      </c>
      <c r="BB624" s="27" t="s">
        <v>7</v>
      </c>
      <c r="BC624" s="27" t="s">
        <v>8</v>
      </c>
      <c r="BE624" s="27" t="s">
        <v>8</v>
      </c>
      <c r="BF624" s="27" t="s">
        <v>7</v>
      </c>
      <c r="BG624" s="27" t="s">
        <v>8</v>
      </c>
      <c r="EL624" s="27" t="s">
        <v>7</v>
      </c>
      <c r="EO624" s="27" t="s">
        <v>8</v>
      </c>
      <c r="EP624" s="27" t="s">
        <v>7</v>
      </c>
      <c r="EQ624" s="27" t="s">
        <v>8</v>
      </c>
      <c r="ES624" s="27" t="s">
        <v>8</v>
      </c>
      <c r="EV624" s="27" t="s">
        <v>7</v>
      </c>
      <c r="EW624" s="27" t="s">
        <v>8</v>
      </c>
      <c r="IJ624" s="27" t="s">
        <v>7</v>
      </c>
    </row>
    <row r="625" spans="1:248" x14ac:dyDescent="0.25">
      <c r="A625" s="7">
        <v>0.47118718795871994</v>
      </c>
      <c r="B625"/>
      <c r="C625"/>
      <c r="D625"/>
      <c r="E625"/>
      <c r="F625" s="27" t="s">
        <v>7</v>
      </c>
      <c r="BA625" s="27" t="s">
        <v>8</v>
      </c>
      <c r="BB625" s="27" t="s">
        <v>7</v>
      </c>
      <c r="BC625" s="27" t="s">
        <v>8</v>
      </c>
      <c r="BD625" s="27" t="s">
        <v>7</v>
      </c>
      <c r="BE625" s="27" t="s">
        <v>8</v>
      </c>
      <c r="BF625" s="27" t="s">
        <v>7</v>
      </c>
      <c r="BG625" s="27" t="s">
        <v>8</v>
      </c>
      <c r="EL625" s="27" t="s">
        <v>7</v>
      </c>
      <c r="EO625" s="27" t="s">
        <v>8</v>
      </c>
      <c r="EP625" s="27" t="s">
        <v>7</v>
      </c>
      <c r="EQ625" s="27" t="s">
        <v>8</v>
      </c>
      <c r="ER625" s="27" t="s">
        <v>7</v>
      </c>
      <c r="ES625" s="27" t="s">
        <v>8</v>
      </c>
      <c r="EV625" s="27" t="s">
        <v>7</v>
      </c>
      <c r="EW625" s="27" t="s">
        <v>8</v>
      </c>
      <c r="IJ625" s="27" t="s">
        <v>7</v>
      </c>
    </row>
    <row r="626" spans="1:248" x14ac:dyDescent="0.25">
      <c r="A626" s="7">
        <v>0.46194822348894116</v>
      </c>
      <c r="B626"/>
      <c r="C626"/>
      <c r="D626"/>
      <c r="E626"/>
      <c r="F626" s="27" t="s">
        <v>7</v>
      </c>
      <c r="BA626" s="27" t="s">
        <v>8</v>
      </c>
      <c r="BB626" s="27" t="s">
        <v>7</v>
      </c>
      <c r="BC626" s="27" t="s">
        <v>8</v>
      </c>
      <c r="BD626" s="27" t="s">
        <v>7</v>
      </c>
      <c r="BE626" s="27" t="s">
        <v>8</v>
      </c>
      <c r="BF626" s="27" t="s">
        <v>7</v>
      </c>
      <c r="BG626" s="27" t="s">
        <v>8</v>
      </c>
      <c r="EL626" s="27" t="s">
        <v>7</v>
      </c>
      <c r="EO626" s="27" t="s">
        <v>8</v>
      </c>
      <c r="EP626" s="27" t="s">
        <v>7</v>
      </c>
      <c r="EQ626" s="27" t="s">
        <v>8</v>
      </c>
      <c r="ER626" s="27" t="s">
        <v>7</v>
      </c>
      <c r="ES626" s="27" t="s">
        <v>8</v>
      </c>
      <c r="EV626" s="18" t="s">
        <v>7</v>
      </c>
      <c r="EW626" s="27" t="s">
        <v>8</v>
      </c>
      <c r="IJ626" s="27" t="s">
        <v>7</v>
      </c>
    </row>
    <row r="627" spans="1:248" x14ac:dyDescent="0.25">
      <c r="A627" s="7">
        <v>0.45289041518523643</v>
      </c>
      <c r="B627"/>
      <c r="C627"/>
      <c r="D627"/>
      <c r="E627"/>
      <c r="F627" s="27" t="s">
        <v>7</v>
      </c>
      <c r="BA627" s="27" t="s">
        <v>8</v>
      </c>
      <c r="BB627" s="27" t="s">
        <v>7</v>
      </c>
      <c r="BC627" s="27" t="s">
        <v>8</v>
      </c>
      <c r="BD627" s="27" t="s">
        <v>7</v>
      </c>
      <c r="BE627" s="27" t="s">
        <v>8</v>
      </c>
      <c r="BF627" s="27" t="s">
        <v>7</v>
      </c>
      <c r="BG627" s="27" t="s">
        <v>8</v>
      </c>
      <c r="EL627" s="27" t="s">
        <v>7</v>
      </c>
      <c r="EO627" s="27" t="s">
        <v>8</v>
      </c>
      <c r="EP627" s="27" t="s">
        <v>7</v>
      </c>
      <c r="EQ627" s="27" t="s">
        <v>8</v>
      </c>
      <c r="ER627" s="27" t="s">
        <v>7</v>
      </c>
      <c r="ES627" s="27" t="s">
        <v>8</v>
      </c>
      <c r="EV627" s="27" t="s">
        <v>7</v>
      </c>
      <c r="EW627" s="27" t="s">
        <v>8</v>
      </c>
      <c r="IJ627" s="27" t="s">
        <v>7</v>
      </c>
    </row>
    <row r="628" spans="1:248" x14ac:dyDescent="0.25">
      <c r="A628" s="7">
        <v>0.44401021096591808</v>
      </c>
      <c r="B628"/>
      <c r="C628"/>
      <c r="D628"/>
      <c r="E628"/>
      <c r="F628" s="27" t="s">
        <v>7</v>
      </c>
      <c r="BA628" s="27" t="s">
        <v>8</v>
      </c>
      <c r="BB628" s="27" t="s">
        <v>7</v>
      </c>
      <c r="BC628" s="27" t="s">
        <v>8</v>
      </c>
      <c r="BD628" s="27" t="s">
        <v>7</v>
      </c>
      <c r="BE628" s="27" t="s">
        <v>8</v>
      </c>
      <c r="BF628" s="27" t="s">
        <v>7</v>
      </c>
      <c r="EL628" s="27" t="s">
        <v>7</v>
      </c>
      <c r="EO628" s="27" t="s">
        <v>8</v>
      </c>
      <c r="EP628" s="27" t="s">
        <v>7</v>
      </c>
      <c r="EQ628" s="27" t="s">
        <v>8</v>
      </c>
      <c r="ER628" s="27" t="s">
        <v>7</v>
      </c>
      <c r="ES628" s="27" t="s">
        <v>8</v>
      </c>
      <c r="EV628" s="27" t="s">
        <v>7</v>
      </c>
      <c r="EW628" s="27" t="s">
        <v>8</v>
      </c>
      <c r="IJ628" s="27" t="s">
        <v>7</v>
      </c>
    </row>
    <row r="629" spans="1:248" x14ac:dyDescent="0.25">
      <c r="A629" s="7">
        <v>0.4353041283979589</v>
      </c>
      <c r="B629"/>
      <c r="C629"/>
      <c r="D629"/>
      <c r="E629"/>
      <c r="F629" s="27" t="s">
        <v>7</v>
      </c>
      <c r="BA629" s="27" t="s">
        <v>8</v>
      </c>
      <c r="BB629" s="27" t="s">
        <v>7</v>
      </c>
      <c r="BC629" s="27" t="s">
        <v>8</v>
      </c>
      <c r="BD629" s="27" t="s">
        <v>7</v>
      </c>
      <c r="BE629" s="27" t="s">
        <v>8</v>
      </c>
      <c r="EL629" s="27" t="s">
        <v>7</v>
      </c>
      <c r="EO629" s="27" t="s">
        <v>8</v>
      </c>
      <c r="EP629" s="27" t="s">
        <v>7</v>
      </c>
      <c r="ER629" s="27" t="s">
        <v>7</v>
      </c>
      <c r="ES629" s="27" t="s">
        <v>8</v>
      </c>
      <c r="EV629" s="27" t="s">
        <v>7</v>
      </c>
      <c r="EW629" s="27" t="s">
        <v>8</v>
      </c>
      <c r="IJ629" s="27" t="s">
        <v>7</v>
      </c>
    </row>
    <row r="630" spans="1:248" x14ac:dyDescent="0.25">
      <c r="A630" s="7">
        <v>0.4267687533313323</v>
      </c>
      <c r="B630"/>
      <c r="C630"/>
      <c r="D630"/>
      <c r="E630"/>
      <c r="F630" s="27" t="s">
        <v>7</v>
      </c>
      <c r="BA630" s="27" t="s">
        <v>8</v>
      </c>
      <c r="BB630" s="27" t="s">
        <v>7</v>
      </c>
      <c r="BC630" s="27" t="s">
        <v>8</v>
      </c>
      <c r="BD630" s="27" t="s">
        <v>7</v>
      </c>
      <c r="BE630" s="27" t="s">
        <v>8</v>
      </c>
      <c r="EL630" s="27" t="s">
        <v>7</v>
      </c>
      <c r="EO630" s="27" t="s">
        <v>8</v>
      </c>
      <c r="ER630" s="27" t="s">
        <v>7</v>
      </c>
      <c r="EV630" s="27" t="s">
        <v>7</v>
      </c>
      <c r="EW630" s="27" t="s">
        <v>8</v>
      </c>
      <c r="IJ630" s="27" t="s">
        <v>7</v>
      </c>
    </row>
    <row r="631" spans="1:248" x14ac:dyDescent="0.25">
      <c r="A631" s="7">
        <v>0.41840073856012971</v>
      </c>
      <c r="B631"/>
      <c r="C631"/>
      <c r="D631"/>
      <c r="E631"/>
      <c r="F631" s="27" t="s">
        <v>7</v>
      </c>
      <c r="BA631" s="27" t="s">
        <v>8</v>
      </c>
      <c r="BB631" s="27" t="s">
        <v>7</v>
      </c>
      <c r="BC631" s="27" t="s">
        <v>8</v>
      </c>
      <c r="BD631" s="27" t="s">
        <v>7</v>
      </c>
      <c r="BE631" s="27" t="s">
        <v>8</v>
      </c>
      <c r="EL631" s="27" t="s">
        <v>7</v>
      </c>
      <c r="EO631" s="27" t="s">
        <v>8</v>
      </c>
      <c r="EV631" s="27" t="s">
        <v>7</v>
      </c>
      <c r="IJ631" s="27" t="s">
        <v>7</v>
      </c>
      <c r="IK631" s="27" t="s">
        <v>8</v>
      </c>
      <c r="IM631" s="27" t="s">
        <v>8</v>
      </c>
    </row>
    <row r="632" spans="1:248" x14ac:dyDescent="0.25">
      <c r="A632" s="7">
        <v>0.41019680250993112</v>
      </c>
      <c r="B632"/>
      <c r="C632"/>
      <c r="D632"/>
      <c r="E632"/>
      <c r="F632" s="27" t="s">
        <v>7</v>
      </c>
      <c r="BA632" s="27" t="s">
        <v>8</v>
      </c>
      <c r="BB632" s="27" t="s">
        <v>7</v>
      </c>
      <c r="BC632" s="27" t="s">
        <v>8</v>
      </c>
      <c r="BD632" s="27" t="s">
        <v>7</v>
      </c>
      <c r="BE632" s="27" t="s">
        <v>8</v>
      </c>
      <c r="EL632" s="27" t="s">
        <v>7</v>
      </c>
      <c r="EM632" s="27" t="s">
        <v>8</v>
      </c>
      <c r="EO632" s="27" t="s">
        <v>8</v>
      </c>
      <c r="IJ632" s="27" t="s">
        <v>7</v>
      </c>
      <c r="IK632" s="27" t="s">
        <v>8</v>
      </c>
      <c r="IL632" s="27" t="s">
        <v>7</v>
      </c>
      <c r="IM632" s="27" t="s">
        <v>8</v>
      </c>
      <c r="IN632" s="27" t="s">
        <v>7</v>
      </c>
    </row>
    <row r="633" spans="1:248" x14ac:dyDescent="0.25">
      <c r="A633" s="7">
        <v>0.40215372795091286</v>
      </c>
      <c r="B633"/>
      <c r="C633"/>
      <c r="D633"/>
      <c r="E633"/>
      <c r="F633" s="27" t="s">
        <v>7</v>
      </c>
      <c r="BA633" s="27" t="s">
        <v>8</v>
      </c>
      <c r="BB633" s="27" t="s">
        <v>7</v>
      </c>
      <c r="BC633" s="27" t="s">
        <v>8</v>
      </c>
      <c r="BD633" s="27" t="s">
        <v>7</v>
      </c>
      <c r="BE633" s="27" t="s">
        <v>8</v>
      </c>
      <c r="EL633" s="27" t="s">
        <v>7</v>
      </c>
      <c r="EM633" s="27" t="s">
        <v>8</v>
      </c>
      <c r="EN633" s="27" t="s">
        <v>7</v>
      </c>
      <c r="EO633" s="27" t="s">
        <v>8</v>
      </c>
      <c r="IJ633" s="27" t="s">
        <v>7</v>
      </c>
      <c r="IK633" s="27" t="s">
        <v>8</v>
      </c>
      <c r="IL633" s="27" t="s">
        <v>7</v>
      </c>
      <c r="IM633" s="27" t="s">
        <v>8</v>
      </c>
      <c r="IN633" s="27" t="s">
        <v>7</v>
      </c>
    </row>
    <row r="634" spans="1:248" x14ac:dyDescent="0.25">
      <c r="A634" s="7">
        <v>0.39426836073618904</v>
      </c>
      <c r="B634"/>
      <c r="C634"/>
      <c r="D634"/>
      <c r="E634"/>
      <c r="F634" s="27" t="s">
        <v>7</v>
      </c>
      <c r="BA634" s="27" t="s">
        <v>8</v>
      </c>
      <c r="BB634" s="27" t="s">
        <v>7</v>
      </c>
      <c r="BC634" s="27" t="s">
        <v>8</v>
      </c>
      <c r="BD634" s="27" t="s">
        <v>7</v>
      </c>
      <c r="BE634" s="27" t="s">
        <v>8</v>
      </c>
      <c r="EL634" s="27" t="s">
        <v>7</v>
      </c>
      <c r="EM634" s="27" t="s">
        <v>8</v>
      </c>
      <c r="EN634" s="27" t="s">
        <v>7</v>
      </c>
      <c r="EO634" s="27" t="s">
        <v>8</v>
      </c>
      <c r="IJ634" s="27" t="s">
        <v>7</v>
      </c>
      <c r="IK634" s="27" t="s">
        <v>8</v>
      </c>
      <c r="IL634" s="27" t="s">
        <v>7</v>
      </c>
      <c r="IM634" s="27" t="s">
        <v>8</v>
      </c>
      <c r="IN634" s="27" t="s">
        <v>7</v>
      </c>
    </row>
    <row r="635" spans="1:248" x14ac:dyDescent="0.25">
      <c r="A635" s="7">
        <v>0.38653760856489122</v>
      </c>
      <c r="B635"/>
      <c r="C635"/>
      <c r="D635"/>
      <c r="E635"/>
      <c r="F635" s="27" t="s">
        <v>7</v>
      </c>
      <c r="BA635" s="27" t="s">
        <v>8</v>
      </c>
      <c r="BB635" s="27" t="s">
        <v>7</v>
      </c>
      <c r="BC635" s="27" t="s">
        <v>8</v>
      </c>
      <c r="BD635" s="27" t="s">
        <v>7</v>
      </c>
      <c r="BE635" s="27" t="s">
        <v>8</v>
      </c>
      <c r="EL635" s="27" t="s">
        <v>7</v>
      </c>
      <c r="EM635" s="27" t="s">
        <v>8</v>
      </c>
      <c r="EN635" s="27" t="s">
        <v>7</v>
      </c>
      <c r="EO635" s="27" t="s">
        <v>8</v>
      </c>
      <c r="IJ635" s="27" t="s">
        <v>7</v>
      </c>
      <c r="IK635" s="27" t="s">
        <v>8</v>
      </c>
      <c r="IL635" s="27" t="s">
        <v>7</v>
      </c>
      <c r="IM635" s="27" t="s">
        <v>8</v>
      </c>
      <c r="IN635" s="27" t="s">
        <v>7</v>
      </c>
    </row>
    <row r="636" spans="1:248" x14ac:dyDescent="0.25">
      <c r="A636" s="7">
        <v>0.37895843976950117</v>
      </c>
      <c r="B636"/>
      <c r="C636"/>
      <c r="D636"/>
      <c r="E636"/>
      <c r="F636" s="27" t="s">
        <v>7</v>
      </c>
      <c r="BA636" s="27" t="s">
        <v>8</v>
      </c>
      <c r="BB636" s="27" t="s">
        <v>7</v>
      </c>
      <c r="BC636" s="27" t="s">
        <v>8</v>
      </c>
      <c r="BD636" s="27" t="s">
        <v>7</v>
      </c>
      <c r="BE636" s="27" t="s">
        <v>8</v>
      </c>
      <c r="EL636" s="27" t="s">
        <v>7</v>
      </c>
      <c r="EM636" s="27" t="s">
        <v>8</v>
      </c>
      <c r="EN636" s="27" t="s">
        <v>7</v>
      </c>
      <c r="EO636" s="27" t="s">
        <v>8</v>
      </c>
      <c r="IJ636" s="27" t="s">
        <v>7</v>
      </c>
      <c r="IK636" s="27" t="s">
        <v>8</v>
      </c>
      <c r="IL636" s="27" t="s">
        <v>7</v>
      </c>
      <c r="IM636" s="27" t="s">
        <v>8</v>
      </c>
    </row>
    <row r="637" spans="1:248" x14ac:dyDescent="0.25">
      <c r="A637" s="7">
        <v>0.37152788212696197</v>
      </c>
      <c r="B637"/>
      <c r="C637"/>
      <c r="D637"/>
      <c r="E637"/>
      <c r="F637" s="27" t="s">
        <v>7</v>
      </c>
      <c r="BA637" s="27" t="s">
        <v>8</v>
      </c>
      <c r="BB637" s="27" t="s">
        <v>7</v>
      </c>
      <c r="BC637" s="27" t="s">
        <v>8</v>
      </c>
      <c r="BD637" s="27" t="s">
        <v>7</v>
      </c>
      <c r="BE637" s="27" t="s">
        <v>8</v>
      </c>
      <c r="EL637" s="27" t="s">
        <v>7</v>
      </c>
      <c r="EM637" s="27" t="s">
        <v>8</v>
      </c>
      <c r="EN637" s="27" t="s">
        <v>7</v>
      </c>
      <c r="EO637" s="27" t="s">
        <v>8</v>
      </c>
      <c r="IJ637" s="27" t="s">
        <v>7</v>
      </c>
      <c r="IK637" s="27" t="s">
        <v>8</v>
      </c>
      <c r="IL637" s="27" t="s">
        <v>7</v>
      </c>
      <c r="IM637" s="27" t="s">
        <v>8</v>
      </c>
    </row>
    <row r="638" spans="1:248" x14ac:dyDescent="0.25">
      <c r="A638" s="7">
        <v>0.36424302169310002</v>
      </c>
      <c r="B638"/>
      <c r="C638"/>
      <c r="D638"/>
      <c r="E638"/>
      <c r="F638" s="27" t="s">
        <v>7</v>
      </c>
      <c r="BA638" s="27" t="s">
        <v>8</v>
      </c>
      <c r="BB638" s="27" t="s">
        <v>7</v>
      </c>
      <c r="BC638" s="27" t="s">
        <v>8</v>
      </c>
      <c r="BD638" s="27" t="s">
        <v>7</v>
      </c>
      <c r="BE638" s="27" t="s">
        <v>8</v>
      </c>
      <c r="EL638" s="27" t="s">
        <v>7</v>
      </c>
      <c r="EM638" s="27" t="s">
        <v>8</v>
      </c>
      <c r="EN638" s="27" t="s">
        <v>7</v>
      </c>
      <c r="EO638" s="27" t="s">
        <v>8</v>
      </c>
      <c r="IJ638" s="27" t="s">
        <v>7</v>
      </c>
      <c r="IK638" s="27" t="s">
        <v>8</v>
      </c>
      <c r="IL638" s="27" t="s">
        <v>7</v>
      </c>
      <c r="IM638" s="27" t="s">
        <v>8</v>
      </c>
    </row>
    <row r="639" spans="1:248" x14ac:dyDescent="0.25">
      <c r="A639" s="7">
        <v>0.35710100165990194</v>
      </c>
      <c r="B639"/>
      <c r="C639"/>
      <c r="D639"/>
      <c r="E639"/>
      <c r="F639" s="27" t="s">
        <v>7</v>
      </c>
      <c r="BA639" s="27" t="s">
        <v>8</v>
      </c>
      <c r="BB639" s="27" t="s">
        <v>7</v>
      </c>
      <c r="BD639" s="27" t="s">
        <v>7</v>
      </c>
      <c r="BE639" s="27" t="s">
        <v>8</v>
      </c>
      <c r="EL639" s="27" t="s">
        <v>7</v>
      </c>
      <c r="EM639" s="27" t="s">
        <v>8</v>
      </c>
      <c r="EN639" s="27" t="s">
        <v>7</v>
      </c>
      <c r="EO639" s="27" t="s">
        <v>8</v>
      </c>
      <c r="IJ639" s="27" t="s">
        <v>7</v>
      </c>
      <c r="IL639" s="27" t="s">
        <v>7</v>
      </c>
      <c r="IM639" s="27" t="s">
        <v>8</v>
      </c>
    </row>
    <row r="640" spans="1:248" x14ac:dyDescent="0.25">
      <c r="A640" s="7">
        <v>0.35009902123519804</v>
      </c>
      <c r="B640"/>
      <c r="C640"/>
      <c r="D640"/>
      <c r="E640"/>
      <c r="F640" s="27" t="s">
        <v>7</v>
      </c>
      <c r="BA640" s="27" t="s">
        <v>8</v>
      </c>
      <c r="BD640" s="27" t="s">
        <v>7</v>
      </c>
      <c r="BE640" s="27" t="s">
        <v>8</v>
      </c>
      <c r="EL640" s="27" t="s">
        <v>7</v>
      </c>
      <c r="EM640" s="27" t="s">
        <v>8</v>
      </c>
      <c r="EN640" s="27" t="s">
        <v>7</v>
      </c>
      <c r="EO640" s="27" t="s">
        <v>8</v>
      </c>
      <c r="IL640" s="27" t="s">
        <v>7</v>
      </c>
    </row>
    <row r="641" spans="1:145" x14ac:dyDescent="0.25">
      <c r="A641" s="7">
        <v>0.34323433454431179</v>
      </c>
      <c r="B641"/>
      <c r="C641"/>
      <c r="D641"/>
      <c r="E641"/>
      <c r="F641" s="27" t="s">
        <v>7</v>
      </c>
      <c r="BA641" s="27" t="s">
        <v>8</v>
      </c>
      <c r="BD641" s="27" t="s">
        <v>7</v>
      </c>
      <c r="BE641" s="27" t="s">
        <v>8</v>
      </c>
      <c r="EL641" s="27" t="s">
        <v>7</v>
      </c>
      <c r="EM641" s="27" t="s">
        <v>8</v>
      </c>
      <c r="EN641" s="27" t="s">
        <v>7</v>
      </c>
      <c r="EO641" s="27" t="s">
        <v>8</v>
      </c>
    </row>
    <row r="642" spans="1:145" x14ac:dyDescent="0.25">
      <c r="A642" s="7">
        <v>0.33650424955324681</v>
      </c>
      <c r="B642"/>
      <c r="C642"/>
      <c r="D642"/>
      <c r="E642"/>
      <c r="F642" s="27" t="s">
        <v>7</v>
      </c>
      <c r="BA642" s="27" t="s">
        <v>8</v>
      </c>
      <c r="BD642" s="27" t="s">
        <v>7</v>
      </c>
      <c r="BE642" s="27" t="s">
        <v>8</v>
      </c>
      <c r="EL642" s="27" t="s">
        <v>7</v>
      </c>
      <c r="EM642" s="27" t="s">
        <v>8</v>
      </c>
      <c r="EN642" s="27" t="s">
        <v>7</v>
      </c>
    </row>
    <row r="643" spans="1:145" x14ac:dyDescent="0.25">
      <c r="A643" s="7">
        <v>0.3299061270129871</v>
      </c>
      <c r="B643"/>
      <c r="C643"/>
      <c r="D643"/>
      <c r="E643"/>
      <c r="F643" s="27" t="s">
        <v>7</v>
      </c>
      <c r="BA643" s="27" t="s">
        <v>8</v>
      </c>
      <c r="BD643" s="27" t="s">
        <v>7</v>
      </c>
      <c r="BE643" s="27" t="s">
        <v>8</v>
      </c>
      <c r="EL643" s="27" t="s">
        <v>7</v>
      </c>
      <c r="EM643" s="27" t="s">
        <v>8</v>
      </c>
    </row>
    <row r="644" spans="1:145" x14ac:dyDescent="0.25">
      <c r="A644" s="7">
        <v>0.32343737942449713</v>
      </c>
      <c r="B644"/>
      <c r="C644"/>
      <c r="D644"/>
      <c r="E644"/>
      <c r="F644" s="27" t="s">
        <v>7</v>
      </c>
      <c r="BA644" s="27" t="s">
        <v>8</v>
      </c>
      <c r="BD644" s="27" t="s">
        <v>7</v>
      </c>
      <c r="BE644" s="27" t="s">
        <v>8</v>
      </c>
      <c r="EL644" s="27" t="s">
        <v>7</v>
      </c>
      <c r="EM644" s="27" t="s">
        <v>8</v>
      </c>
    </row>
    <row r="645" spans="1:145" x14ac:dyDescent="0.25">
      <c r="A645" s="7">
        <v>0.31709547002401678</v>
      </c>
      <c r="B645"/>
      <c r="C645"/>
      <c r="D645"/>
      <c r="E645"/>
      <c r="F645" s="27" t="s">
        <v>7</v>
      </c>
      <c r="AY645" s="27" t="s">
        <v>8</v>
      </c>
      <c r="BA645" s="27" t="s">
        <v>8</v>
      </c>
      <c r="BD645" s="27" t="s">
        <v>7</v>
      </c>
      <c r="BE645" s="27" t="s">
        <v>8</v>
      </c>
      <c r="EL645" s="27" t="s">
        <v>7</v>
      </c>
      <c r="EM645" s="27" t="s">
        <v>8</v>
      </c>
    </row>
    <row r="646" spans="1:145" x14ac:dyDescent="0.25">
      <c r="A646" s="7">
        <v>0.31087791178825175</v>
      </c>
      <c r="B646"/>
      <c r="C646"/>
      <c r="D646"/>
      <c r="E646"/>
      <c r="F646" s="27" t="s">
        <v>7</v>
      </c>
      <c r="AY646" s="27" t="s">
        <v>8</v>
      </c>
      <c r="AZ646" s="27" t="s">
        <v>7</v>
      </c>
      <c r="BA646" s="27" t="s">
        <v>8</v>
      </c>
      <c r="BD646" s="27" t="s">
        <v>7</v>
      </c>
      <c r="BE646" s="27" t="s">
        <v>8</v>
      </c>
      <c r="EL646" s="27" t="s">
        <v>7</v>
      </c>
      <c r="EM646" s="27" t="s">
        <v>8</v>
      </c>
    </row>
    <row r="647" spans="1:145" x14ac:dyDescent="0.25">
      <c r="A647" s="7">
        <v>0.30478226645907036</v>
      </c>
      <c r="B647"/>
      <c r="C647"/>
      <c r="D647"/>
      <c r="E647"/>
      <c r="F647" s="27" t="s">
        <v>7</v>
      </c>
      <c r="AG647" s="27" t="s">
        <v>8</v>
      </c>
      <c r="AY647" s="27" t="s">
        <v>8</v>
      </c>
      <c r="AZ647" s="27" t="s">
        <v>7</v>
      </c>
      <c r="BA647" s="27" t="s">
        <v>8</v>
      </c>
      <c r="BD647" s="27" t="s">
        <v>7</v>
      </c>
      <c r="EL647" s="27" t="s">
        <v>7</v>
      </c>
    </row>
    <row r="648" spans="1:145" x14ac:dyDescent="0.25">
      <c r="A648" s="7">
        <v>0.29880614358732388</v>
      </c>
      <c r="B648"/>
      <c r="C648"/>
      <c r="D648"/>
      <c r="E648"/>
      <c r="F648" s="27" t="s">
        <v>7</v>
      </c>
      <c r="AG648" s="27" t="s">
        <v>8</v>
      </c>
      <c r="AH648" s="27" t="s">
        <v>7</v>
      </c>
      <c r="AY648" s="27" t="s">
        <v>8</v>
      </c>
      <c r="AZ648" s="27" t="s">
        <v>7</v>
      </c>
      <c r="BA648" s="27" t="s">
        <v>8</v>
      </c>
    </row>
    <row r="649" spans="1:145" x14ac:dyDescent="0.25">
      <c r="A649" s="7">
        <v>0.2929471995954156</v>
      </c>
      <c r="B649"/>
      <c r="C649"/>
      <c r="D649"/>
      <c r="E649"/>
      <c r="F649" s="27" t="s">
        <v>7</v>
      </c>
      <c r="AG649" s="27" t="s">
        <v>8</v>
      </c>
      <c r="AH649" s="27" t="s">
        <v>7</v>
      </c>
      <c r="AY649" s="27" t="s">
        <v>8</v>
      </c>
      <c r="AZ649" s="27" t="s">
        <v>7</v>
      </c>
      <c r="BA649" s="27" t="s">
        <v>8</v>
      </c>
    </row>
    <row r="650" spans="1:145" x14ac:dyDescent="0.25">
      <c r="A650" s="7">
        <v>0.28720313685825055</v>
      </c>
      <c r="B650"/>
      <c r="C650"/>
      <c r="D650"/>
      <c r="E650"/>
      <c r="F650" s="27" t="s">
        <v>7</v>
      </c>
      <c r="AA650" s="27" t="s">
        <v>8</v>
      </c>
      <c r="AG650" s="27" t="s">
        <v>8</v>
      </c>
      <c r="AH650" s="27" t="s">
        <v>7</v>
      </c>
      <c r="AY650" s="27" t="s">
        <v>8</v>
      </c>
      <c r="AZ650" s="27" t="s">
        <v>7</v>
      </c>
      <c r="BA650" s="27" t="s">
        <v>8</v>
      </c>
    </row>
    <row r="651" spans="1:145" x14ac:dyDescent="0.25">
      <c r="A651" s="7">
        <v>0.28157170280220645</v>
      </c>
      <c r="B651"/>
      <c r="C651"/>
      <c r="D651"/>
      <c r="E651"/>
      <c r="F651" s="27" t="s">
        <v>7</v>
      </c>
      <c r="AA651" s="27" t="s">
        <v>8</v>
      </c>
      <c r="AB651" s="27" t="s">
        <v>7</v>
      </c>
      <c r="AG651" s="27" t="s">
        <v>8</v>
      </c>
      <c r="AH651" s="27" t="s">
        <v>7</v>
      </c>
      <c r="AY651" s="27" t="s">
        <v>8</v>
      </c>
      <c r="AZ651" s="27" t="s">
        <v>7</v>
      </c>
      <c r="BA651" s="27" t="s">
        <v>8</v>
      </c>
    </row>
    <row r="652" spans="1:145" x14ac:dyDescent="0.25">
      <c r="A652" s="7">
        <v>0.27605068902177105</v>
      </c>
      <c r="B652"/>
      <c r="C652"/>
      <c r="D652"/>
      <c r="E652"/>
      <c r="F652" s="27" t="s">
        <v>7</v>
      </c>
      <c r="AA652" s="27" t="s">
        <v>8</v>
      </c>
      <c r="AB652" s="27" t="s">
        <v>7</v>
      </c>
      <c r="AG652" s="27" t="s">
        <v>8</v>
      </c>
      <c r="AH652" s="27" t="s">
        <v>7</v>
      </c>
      <c r="AY652" s="27" t="s">
        <v>8</v>
      </c>
      <c r="AZ652" s="27" t="s">
        <v>7</v>
      </c>
      <c r="BA652" s="27" t="s">
        <v>8</v>
      </c>
    </row>
    <row r="653" spans="1:145" x14ac:dyDescent="0.25">
      <c r="A653" s="7">
        <v>0.27063793041350104</v>
      </c>
      <c r="B653"/>
      <c r="C653"/>
      <c r="D653"/>
      <c r="E653"/>
      <c r="F653" s="27" t="s">
        <v>7</v>
      </c>
      <c r="AA653" s="27" t="s">
        <v>8</v>
      </c>
      <c r="AB653" s="27" t="s">
        <v>7</v>
      </c>
      <c r="AG653" s="27" t="s">
        <v>8</v>
      </c>
      <c r="AH653" s="27" t="s">
        <v>7</v>
      </c>
      <c r="AY653" s="27" t="s">
        <v>8</v>
      </c>
      <c r="AZ653" s="27" t="s">
        <v>7</v>
      </c>
      <c r="BA653" s="27" t="s">
        <v>8</v>
      </c>
    </row>
    <row r="654" spans="1:145" x14ac:dyDescent="0.25">
      <c r="A654" s="7">
        <v>0.26533130432696184</v>
      </c>
      <c r="B654"/>
      <c r="C654"/>
      <c r="D654"/>
      <c r="E654"/>
      <c r="F654" s="27" t="s">
        <v>7</v>
      </c>
      <c r="AA654" s="27" t="s">
        <v>8</v>
      </c>
      <c r="AB654" s="27" t="s">
        <v>7</v>
      </c>
      <c r="AG654" s="27" t="s">
        <v>8</v>
      </c>
      <c r="AH654" s="27" t="s">
        <v>7</v>
      </c>
      <c r="AI654" s="27" t="s">
        <v>8</v>
      </c>
      <c r="AY654" s="27" t="s">
        <v>8</v>
      </c>
      <c r="AZ654" s="27" t="s">
        <v>7</v>
      </c>
      <c r="BA654" s="27" t="s">
        <v>8</v>
      </c>
    </row>
    <row r="655" spans="1:145" x14ac:dyDescent="0.25">
      <c r="A655" s="7">
        <v>0.26012872973231554</v>
      </c>
      <c r="B655"/>
      <c r="C655"/>
      <c r="D655"/>
      <c r="E655"/>
      <c r="F655" s="27" t="s">
        <v>7</v>
      </c>
      <c r="AA655" s="27" t="s">
        <v>8</v>
      </c>
      <c r="AB655" s="27" t="s">
        <v>7</v>
      </c>
      <c r="AG655" s="27" t="s">
        <v>8</v>
      </c>
      <c r="AH655" s="27" t="s">
        <v>7</v>
      </c>
      <c r="AI655" s="27" t="s">
        <v>8</v>
      </c>
      <c r="AJ655" s="27" t="s">
        <v>7</v>
      </c>
      <c r="AY655" s="27" t="s">
        <v>8</v>
      </c>
      <c r="AZ655" s="27" t="s">
        <v>7</v>
      </c>
      <c r="BA655" s="27" t="s">
        <v>8</v>
      </c>
    </row>
    <row r="656" spans="1:145" x14ac:dyDescent="0.25">
      <c r="A656" s="7">
        <v>0.25502816640423093</v>
      </c>
      <c r="B656"/>
      <c r="C656"/>
      <c r="D656"/>
      <c r="E656"/>
      <c r="F656" s="27" t="s">
        <v>7</v>
      </c>
      <c r="AA656" s="27" t="s">
        <v>8</v>
      </c>
      <c r="AB656" s="27" t="s">
        <v>7</v>
      </c>
      <c r="AE656" s="27" t="s">
        <v>8</v>
      </c>
      <c r="AG656" s="27" t="s">
        <v>8</v>
      </c>
      <c r="AH656" s="27" t="s">
        <v>7</v>
      </c>
      <c r="AI656" s="27" t="s">
        <v>8</v>
      </c>
      <c r="AJ656" s="27" t="s">
        <v>7</v>
      </c>
      <c r="AO656" s="27" t="s">
        <v>8</v>
      </c>
      <c r="AY656" s="27" t="s">
        <v>8</v>
      </c>
      <c r="AZ656" s="27" t="s">
        <v>7</v>
      </c>
      <c r="BA656" s="27" t="s">
        <v>8</v>
      </c>
    </row>
    <row r="657" spans="1:53" x14ac:dyDescent="0.25">
      <c r="A657" s="7">
        <v>0.25002761412179503</v>
      </c>
      <c r="B657"/>
      <c r="C657"/>
      <c r="D657"/>
      <c r="E657"/>
      <c r="F657" s="27" t="s">
        <v>7</v>
      </c>
      <c r="AA657" s="27" t="s">
        <v>8</v>
      </c>
      <c r="AB657" s="27" t="s">
        <v>7</v>
      </c>
      <c r="AE657" s="27" t="s">
        <v>8</v>
      </c>
      <c r="AF657" s="27" t="s">
        <v>7</v>
      </c>
      <c r="AG657" s="27" t="s">
        <v>8</v>
      </c>
      <c r="AH657" s="27" t="s">
        <v>7</v>
      </c>
      <c r="AI657" s="27" t="s">
        <v>8</v>
      </c>
      <c r="AJ657" s="27" t="s">
        <v>7</v>
      </c>
      <c r="AO657" s="27" t="s">
        <v>8</v>
      </c>
      <c r="AP657" s="27" t="s">
        <v>7</v>
      </c>
      <c r="AQ657" s="27" t="s">
        <v>8</v>
      </c>
      <c r="AY657" s="27" t="s">
        <v>8</v>
      </c>
      <c r="AZ657" s="27" t="s">
        <v>7</v>
      </c>
      <c r="BA657" s="27" t="s">
        <v>8</v>
      </c>
    </row>
    <row r="658" spans="1:53" x14ac:dyDescent="0.25">
      <c r="A658" s="7">
        <v>0.24512511188411276</v>
      </c>
      <c r="B658"/>
      <c r="C658"/>
      <c r="D658"/>
      <c r="E658"/>
      <c r="F658" s="27" t="s">
        <v>7</v>
      </c>
      <c r="AA658" s="27" t="s">
        <v>8</v>
      </c>
      <c r="AB658" s="27" t="s">
        <v>7</v>
      </c>
      <c r="AC658" s="27" t="s">
        <v>8</v>
      </c>
      <c r="AE658" s="27" t="s">
        <v>8</v>
      </c>
      <c r="AF658" s="27" t="s">
        <v>7</v>
      </c>
      <c r="AG658" s="27" t="s">
        <v>8</v>
      </c>
      <c r="AH658" s="27" t="s">
        <v>7</v>
      </c>
      <c r="AI658" s="27" t="s">
        <v>8</v>
      </c>
      <c r="AJ658" s="27" t="s">
        <v>7</v>
      </c>
      <c r="AO658" s="27" t="s">
        <v>8</v>
      </c>
      <c r="AP658" s="27" t="s">
        <v>7</v>
      </c>
      <c r="AQ658" s="27" t="s">
        <v>8</v>
      </c>
      <c r="AR658" s="27" t="s">
        <v>7</v>
      </c>
      <c r="AY658" s="27" t="s">
        <v>8</v>
      </c>
      <c r="AZ658" s="27" t="s">
        <v>7</v>
      </c>
      <c r="BA658" s="27" t="s">
        <v>8</v>
      </c>
    </row>
    <row r="659" spans="1:53" x14ac:dyDescent="0.25">
      <c r="A659" s="7">
        <v>0.24031873714128701</v>
      </c>
      <c r="B659"/>
      <c r="C659"/>
      <c r="D659"/>
      <c r="E659"/>
      <c r="F659" s="27" t="s">
        <v>7</v>
      </c>
      <c r="AA659" s="27" t="s">
        <v>8</v>
      </c>
      <c r="AB659" s="27" t="s">
        <v>7</v>
      </c>
      <c r="AC659" s="27" t="s">
        <v>8</v>
      </c>
      <c r="AD659" s="27" t="s">
        <v>7</v>
      </c>
      <c r="AE659" s="27" t="s">
        <v>8</v>
      </c>
      <c r="AF659" s="27" t="s">
        <v>7</v>
      </c>
      <c r="AG659" s="27" t="s">
        <v>8</v>
      </c>
      <c r="AH659" s="27" t="s">
        <v>7</v>
      </c>
      <c r="AI659" s="27" t="s">
        <v>8</v>
      </c>
      <c r="AJ659" s="27" t="s">
        <v>7</v>
      </c>
      <c r="AO659" s="27" t="s">
        <v>8</v>
      </c>
      <c r="AP659" s="27" t="s">
        <v>7</v>
      </c>
      <c r="AQ659" s="27" t="s">
        <v>8</v>
      </c>
      <c r="AR659" s="27" t="s">
        <v>7</v>
      </c>
      <c r="AY659" s="27" t="s">
        <v>8</v>
      </c>
      <c r="AZ659" s="27" t="s">
        <v>7</v>
      </c>
      <c r="BA659" s="27" t="s">
        <v>8</v>
      </c>
    </row>
    <row r="660" spans="1:53" x14ac:dyDescent="0.25">
      <c r="A660" s="7">
        <v>0.23560660504047748</v>
      </c>
      <c r="B660"/>
      <c r="C660"/>
      <c r="D660"/>
      <c r="E660"/>
      <c r="F660" s="27" t="s">
        <v>7</v>
      </c>
      <c r="AA660" s="27" t="s">
        <v>8</v>
      </c>
      <c r="AB660" s="27" t="s">
        <v>7</v>
      </c>
      <c r="AC660" s="27" t="s">
        <v>8</v>
      </c>
      <c r="AD660" s="27" t="s">
        <v>7</v>
      </c>
      <c r="AE660" s="27" t="s">
        <v>8</v>
      </c>
      <c r="AF660" s="27" t="s">
        <v>7</v>
      </c>
      <c r="AG660" s="27" t="s">
        <v>8</v>
      </c>
      <c r="AH660" s="27" t="s">
        <v>7</v>
      </c>
      <c r="AI660" s="27" t="s">
        <v>8</v>
      </c>
      <c r="AJ660" s="27" t="s">
        <v>7</v>
      </c>
      <c r="AO660" s="27" t="s">
        <v>8</v>
      </c>
      <c r="AP660" s="27" t="s">
        <v>7</v>
      </c>
      <c r="AQ660" s="27" t="s">
        <v>8</v>
      </c>
      <c r="AR660" s="27" t="s">
        <v>7</v>
      </c>
      <c r="AY660" s="27" t="s">
        <v>8</v>
      </c>
      <c r="AZ660" s="27" t="s">
        <v>7</v>
      </c>
      <c r="BA660" s="27" t="s">
        <v>8</v>
      </c>
    </row>
    <row r="661" spans="1:53" x14ac:dyDescent="0.25">
      <c r="A661" s="7">
        <v>0.23098686768674265</v>
      </c>
      <c r="B661"/>
      <c r="C661"/>
      <c r="D661"/>
      <c r="E661"/>
      <c r="F661" s="27" t="s">
        <v>7</v>
      </c>
      <c r="AA661" s="27" t="s">
        <v>8</v>
      </c>
      <c r="AB661" s="27" t="s">
        <v>7</v>
      </c>
      <c r="AC661" s="27" t="s">
        <v>8</v>
      </c>
      <c r="AD661" s="27" t="s">
        <v>7</v>
      </c>
      <c r="AE661" s="27" t="s">
        <v>8</v>
      </c>
      <c r="AF661" s="27" t="s">
        <v>7</v>
      </c>
      <c r="AG661" s="27" t="s">
        <v>8</v>
      </c>
      <c r="AH661" s="27" t="s">
        <v>7</v>
      </c>
      <c r="AJ661" s="27" t="s">
        <v>7</v>
      </c>
      <c r="AO661" s="27" t="s">
        <v>8</v>
      </c>
      <c r="AP661" s="27" t="s">
        <v>7</v>
      </c>
      <c r="AQ661" s="27" t="s">
        <v>8</v>
      </c>
      <c r="AR661" s="27" t="s">
        <v>7</v>
      </c>
      <c r="AY661" s="27" t="s">
        <v>8</v>
      </c>
      <c r="AZ661" s="27" t="s">
        <v>7</v>
      </c>
    </row>
    <row r="662" spans="1:53" x14ac:dyDescent="0.25">
      <c r="A662" s="7">
        <v>0.22645771341837515</v>
      </c>
      <c r="B662"/>
      <c r="C662"/>
      <c r="D662"/>
      <c r="E662"/>
      <c r="F662" s="27" t="s">
        <v>7</v>
      </c>
      <c r="AA662" s="27" t="s">
        <v>8</v>
      </c>
      <c r="AB662" s="27" t="s">
        <v>7</v>
      </c>
      <c r="AC662" s="27" t="s">
        <v>8</v>
      </c>
      <c r="AD662" s="27" t="s">
        <v>7</v>
      </c>
      <c r="AE662" s="27" t="s">
        <v>8</v>
      </c>
      <c r="AF662" s="27" t="s">
        <v>7</v>
      </c>
      <c r="AG662" s="27" t="s">
        <v>8</v>
      </c>
      <c r="AJ662" s="27" t="s">
        <v>7</v>
      </c>
      <c r="AO662" s="27" t="s">
        <v>8</v>
      </c>
      <c r="AP662" s="27" t="s">
        <v>7</v>
      </c>
      <c r="AQ662" s="27" t="s">
        <v>8</v>
      </c>
      <c r="AR662" s="27" t="s">
        <v>7</v>
      </c>
      <c r="AY662" s="27" t="s">
        <v>8</v>
      </c>
    </row>
    <row r="663" spans="1:53" x14ac:dyDescent="0.25">
      <c r="A663" s="7">
        <v>0.22201736609644623</v>
      </c>
      <c r="B663"/>
      <c r="C663"/>
      <c r="D663"/>
      <c r="E663"/>
      <c r="F663" s="27" t="s">
        <v>7</v>
      </c>
      <c r="AA663" s="27" t="s">
        <v>8</v>
      </c>
      <c r="AB663" s="27" t="s">
        <v>7</v>
      </c>
      <c r="AC663" s="27" t="s">
        <v>8</v>
      </c>
      <c r="AD663" s="27" t="s">
        <v>7</v>
      </c>
      <c r="AE663" s="27" t="s">
        <v>8</v>
      </c>
      <c r="AF663" s="27" t="s">
        <v>7</v>
      </c>
      <c r="AG663" s="27" t="s">
        <v>8</v>
      </c>
      <c r="AJ663" s="27" t="s">
        <v>7</v>
      </c>
      <c r="AK663" s="27" t="s">
        <v>8</v>
      </c>
      <c r="AO663" s="27" t="s">
        <v>8</v>
      </c>
      <c r="AP663" s="27" t="s">
        <v>7</v>
      </c>
      <c r="AR663" s="27" t="s">
        <v>7</v>
      </c>
      <c r="AY663" s="27" t="s">
        <v>8</v>
      </c>
    </row>
    <row r="664" spans="1:53" x14ac:dyDescent="0.25">
      <c r="A664" s="7">
        <v>0.21766408440828061</v>
      </c>
      <c r="B664"/>
      <c r="C664"/>
      <c r="D664"/>
      <c r="E664"/>
      <c r="F664" s="27" t="s">
        <v>7</v>
      </c>
      <c r="AA664" s="27" t="s">
        <v>8</v>
      </c>
      <c r="AB664" s="27" t="s">
        <v>7</v>
      </c>
      <c r="AC664" s="27" t="s">
        <v>8</v>
      </c>
      <c r="AD664" s="27" t="s">
        <v>7</v>
      </c>
      <c r="AE664" s="27" t="s">
        <v>8</v>
      </c>
      <c r="AF664" s="27" t="s">
        <v>7</v>
      </c>
      <c r="AG664" s="27" t="s">
        <v>8</v>
      </c>
      <c r="AJ664" s="27" t="s">
        <v>7</v>
      </c>
      <c r="AK664" s="27" t="s">
        <v>8</v>
      </c>
      <c r="AL664" s="27" t="s">
        <v>7</v>
      </c>
      <c r="AM664" s="27" t="s">
        <v>8</v>
      </c>
      <c r="AO664" s="27" t="s">
        <v>8</v>
      </c>
      <c r="AR664" s="27" t="s">
        <v>7</v>
      </c>
      <c r="AY664" s="27" t="s">
        <v>8</v>
      </c>
    </row>
    <row r="665" spans="1:53" x14ac:dyDescent="0.25">
      <c r="A665" s="7">
        <v>0.21339616118458882</v>
      </c>
      <c r="B665"/>
      <c r="C665"/>
      <c r="D665"/>
      <c r="E665"/>
      <c r="F665" s="27" t="s">
        <v>7</v>
      </c>
      <c r="AA665" s="27" t="s">
        <v>8</v>
      </c>
      <c r="AB665" s="27" t="s">
        <v>7</v>
      </c>
      <c r="AC665" s="27" t="s">
        <v>8</v>
      </c>
      <c r="AD665" s="27" t="s">
        <v>7</v>
      </c>
      <c r="AE665" s="27" t="s">
        <v>8</v>
      </c>
      <c r="AF665" s="27" t="s">
        <v>7</v>
      </c>
      <c r="AG665" s="27" t="s">
        <v>8</v>
      </c>
      <c r="AJ665" s="27" t="s">
        <v>7</v>
      </c>
      <c r="AK665" s="27" t="s">
        <v>8</v>
      </c>
      <c r="AL665" s="27" t="s">
        <v>7</v>
      </c>
      <c r="AM665" s="27" t="s">
        <v>8</v>
      </c>
      <c r="AN665" s="27" t="s">
        <v>7</v>
      </c>
      <c r="AO665" s="27" t="s">
        <v>8</v>
      </c>
      <c r="AR665" s="27" t="s">
        <v>7</v>
      </c>
      <c r="AY665" s="27" t="s">
        <v>8</v>
      </c>
    </row>
    <row r="666" spans="1:53" x14ac:dyDescent="0.25">
      <c r="A666" s="7">
        <v>0.20921192272998904</v>
      </c>
      <c r="B666"/>
      <c r="C666"/>
      <c r="D666"/>
      <c r="E666"/>
      <c r="F666" s="27" t="s">
        <v>7</v>
      </c>
      <c r="AA666" s="27" t="s">
        <v>8</v>
      </c>
      <c r="AB666" s="27" t="s">
        <v>7</v>
      </c>
      <c r="AC666" s="27" t="s">
        <v>8</v>
      </c>
      <c r="AD666" s="27" t="s">
        <v>7</v>
      </c>
      <c r="AE666" s="27" t="s">
        <v>8</v>
      </c>
      <c r="AF666" s="27" t="s">
        <v>7</v>
      </c>
      <c r="AJ666" s="27" t="s">
        <v>7</v>
      </c>
      <c r="AK666" s="27" t="s">
        <v>8</v>
      </c>
      <c r="AL666" s="27" t="s">
        <v>7</v>
      </c>
      <c r="AM666" s="27" t="s">
        <v>8</v>
      </c>
      <c r="AN666" s="27" t="s">
        <v>7</v>
      </c>
      <c r="AO666" s="27" t="s">
        <v>8</v>
      </c>
      <c r="AR666" s="27" t="s">
        <v>7</v>
      </c>
      <c r="AY666" s="27" t="s">
        <v>8</v>
      </c>
    </row>
    <row r="667" spans="1:53" x14ac:dyDescent="0.25">
      <c r="A667" s="7">
        <v>0.20510972816665593</v>
      </c>
      <c r="B667"/>
      <c r="C667"/>
      <c r="D667"/>
      <c r="E667"/>
      <c r="F667" s="27" t="s">
        <v>7</v>
      </c>
      <c r="AA667" s="27" t="s">
        <v>8</v>
      </c>
      <c r="AB667" s="27" t="s">
        <v>7</v>
      </c>
      <c r="AC667" s="27" t="s">
        <v>8</v>
      </c>
      <c r="AD667" s="27" t="s">
        <v>7</v>
      </c>
      <c r="AE667" s="27" t="s">
        <v>8</v>
      </c>
      <c r="AJ667" s="27" t="s">
        <v>7</v>
      </c>
      <c r="AK667" s="27" t="s">
        <v>8</v>
      </c>
      <c r="AL667" s="27" t="s">
        <v>7</v>
      </c>
      <c r="AM667" s="27" t="s">
        <v>8</v>
      </c>
      <c r="AN667" s="27" t="s">
        <v>7</v>
      </c>
      <c r="AO667" s="27" t="s">
        <v>8</v>
      </c>
      <c r="AR667" s="27" t="s">
        <v>7</v>
      </c>
      <c r="AY667" s="27" t="s">
        <v>8</v>
      </c>
    </row>
    <row r="668" spans="1:53" x14ac:dyDescent="0.25">
      <c r="A668" s="7">
        <v>0.20108796879083912</v>
      </c>
      <c r="B668"/>
      <c r="C668"/>
      <c r="D668"/>
      <c r="E668"/>
      <c r="F668" s="27" t="s">
        <v>7</v>
      </c>
      <c r="AA668" s="27" t="s">
        <v>8</v>
      </c>
      <c r="AB668" s="27" t="s">
        <v>7</v>
      </c>
      <c r="AC668" s="27" t="s">
        <v>8</v>
      </c>
      <c r="AD668" s="27" t="s">
        <v>7</v>
      </c>
      <c r="AE668" s="27" t="s">
        <v>8</v>
      </c>
      <c r="AJ668" s="27" t="s">
        <v>7</v>
      </c>
      <c r="AK668" s="27" t="s">
        <v>8</v>
      </c>
      <c r="AL668" s="27" t="s">
        <v>7</v>
      </c>
      <c r="AM668" s="27" t="s">
        <v>8</v>
      </c>
      <c r="AN668" s="27" t="s">
        <v>7</v>
      </c>
      <c r="AO668" s="27" t="s">
        <v>8</v>
      </c>
      <c r="AR668" s="27" t="s">
        <v>7</v>
      </c>
      <c r="AY668" s="27" t="s">
        <v>8</v>
      </c>
    </row>
    <row r="669" spans="1:53" x14ac:dyDescent="0.25">
      <c r="A669" s="7">
        <v>0.19714506744199917</v>
      </c>
      <c r="B669"/>
      <c r="C669"/>
      <c r="D669"/>
      <c r="E669"/>
      <c r="F669" s="27" t="s">
        <v>7</v>
      </c>
      <c r="AA669" s="27" t="s">
        <v>8</v>
      </c>
      <c r="AB669" s="27" t="s">
        <v>7</v>
      </c>
      <c r="AC669" s="27" t="s">
        <v>8</v>
      </c>
      <c r="AD669" s="27" t="s">
        <v>7</v>
      </c>
      <c r="AE669" s="27" t="s">
        <v>8</v>
      </c>
      <c r="AJ669" s="27" t="s">
        <v>7</v>
      </c>
      <c r="AK669" s="27" t="s">
        <v>8</v>
      </c>
      <c r="AL669" s="27" t="s">
        <v>7</v>
      </c>
      <c r="AM669" s="27" t="s">
        <v>8</v>
      </c>
      <c r="AN669" s="27" t="s">
        <v>7</v>
      </c>
      <c r="AO669" s="27" t="s">
        <v>8</v>
      </c>
      <c r="AR669" s="27" t="s">
        <v>7</v>
      </c>
      <c r="AU669" s="27" t="s">
        <v>8</v>
      </c>
      <c r="AY669" s="27" t="s">
        <v>8</v>
      </c>
    </row>
    <row r="670" spans="1:53" x14ac:dyDescent="0.25">
      <c r="A670" s="7">
        <v>0.19327947788431293</v>
      </c>
      <c r="B670"/>
      <c r="C670"/>
      <c r="D670"/>
      <c r="E670"/>
      <c r="F670" s="27" t="s">
        <v>7</v>
      </c>
      <c r="AA670" s="27" t="s">
        <v>8</v>
      </c>
      <c r="AB670" s="27" t="s">
        <v>7</v>
      </c>
      <c r="AC670" s="27" t="s">
        <v>8</v>
      </c>
      <c r="AD670" s="27" t="s">
        <v>7</v>
      </c>
      <c r="AJ670" s="27" t="s">
        <v>7</v>
      </c>
      <c r="AK670" s="27" t="s">
        <v>8</v>
      </c>
      <c r="AL670" s="27" t="s">
        <v>7</v>
      </c>
      <c r="AM670" s="27" t="s">
        <v>8</v>
      </c>
      <c r="AN670" s="27" t="s">
        <v>7</v>
      </c>
      <c r="AR670" s="27" t="s">
        <v>7</v>
      </c>
      <c r="AU670" s="27" t="s">
        <v>8</v>
      </c>
      <c r="AV670" s="27" t="s">
        <v>7</v>
      </c>
      <c r="AW670" s="27" t="s">
        <v>8</v>
      </c>
      <c r="AY670" s="27" t="s">
        <v>8</v>
      </c>
    </row>
    <row r="671" spans="1:53" x14ac:dyDescent="0.25">
      <c r="A671" s="7">
        <v>0.18948968420030682</v>
      </c>
      <c r="B671"/>
      <c r="C671"/>
      <c r="D671"/>
      <c r="E671"/>
      <c r="F671" s="27" t="s">
        <v>7</v>
      </c>
      <c r="W671" s="27" t="s">
        <v>8</v>
      </c>
      <c r="AA671" s="27" t="s">
        <v>8</v>
      </c>
      <c r="AB671" s="27" t="s">
        <v>7</v>
      </c>
      <c r="AC671" s="27" t="s">
        <v>8</v>
      </c>
      <c r="AJ671" s="27" t="s">
        <v>7</v>
      </c>
      <c r="AL671" s="27" t="s">
        <v>7</v>
      </c>
      <c r="AM671" s="27" t="s">
        <v>8</v>
      </c>
      <c r="AR671" s="27" t="s">
        <v>7</v>
      </c>
      <c r="AU671" s="27" t="s">
        <v>8</v>
      </c>
      <c r="AV671" s="27" t="s">
        <v>7</v>
      </c>
      <c r="AW671" s="27" t="s">
        <v>8</v>
      </c>
      <c r="AX671" s="27" t="s">
        <v>7</v>
      </c>
      <c r="AY671" s="27" t="s">
        <v>8</v>
      </c>
    </row>
    <row r="672" spans="1:53" x14ac:dyDescent="0.25">
      <c r="A672" s="7">
        <v>0.18577420019637925</v>
      </c>
      <c r="B672"/>
      <c r="C672"/>
      <c r="D672"/>
      <c r="E672"/>
      <c r="F672" s="27" t="s">
        <v>7</v>
      </c>
      <c r="W672" s="27" t="s">
        <v>8</v>
      </c>
      <c r="X672" s="27" t="s">
        <v>7</v>
      </c>
      <c r="AA672" s="27" t="s">
        <v>8</v>
      </c>
      <c r="AB672" s="27" t="s">
        <v>7</v>
      </c>
      <c r="AL672" s="27" t="s">
        <v>7</v>
      </c>
      <c r="AM672" s="27" t="s">
        <v>8</v>
      </c>
      <c r="AR672" s="27" t="s">
        <v>7</v>
      </c>
      <c r="AU672" s="27" t="s">
        <v>8</v>
      </c>
      <c r="AV672" s="27" t="s">
        <v>7</v>
      </c>
      <c r="AW672" s="27" t="s">
        <v>8</v>
      </c>
      <c r="AX672" s="27" t="s">
        <v>7</v>
      </c>
      <c r="AY672" s="27" t="s">
        <v>8</v>
      </c>
    </row>
    <row r="673" spans="1:51" x14ac:dyDescent="0.25">
      <c r="A673" s="7">
        <v>0.18213156881997963</v>
      </c>
      <c r="B673"/>
      <c r="C673"/>
      <c r="D673"/>
      <c r="E673"/>
      <c r="F673" s="27" t="s">
        <v>7</v>
      </c>
      <c r="W673" s="27" t="s">
        <v>8</v>
      </c>
      <c r="X673" s="27" t="s">
        <v>7</v>
      </c>
      <c r="AA673" s="27" t="s">
        <v>8</v>
      </c>
      <c r="AL673" s="27" t="s">
        <v>7</v>
      </c>
      <c r="AM673" s="27" t="s">
        <v>8</v>
      </c>
      <c r="AR673" s="27" t="s">
        <v>7</v>
      </c>
      <c r="AS673" s="27" t="s">
        <v>8</v>
      </c>
      <c r="AU673" s="27" t="s">
        <v>8</v>
      </c>
      <c r="AV673" s="27" t="s">
        <v>7</v>
      </c>
      <c r="AW673" s="27" t="s">
        <v>8</v>
      </c>
      <c r="AX673" s="27" t="s">
        <v>7</v>
      </c>
      <c r="AY673" s="27" t="s">
        <v>8</v>
      </c>
    </row>
    <row r="674" spans="1:51" x14ac:dyDescent="0.25">
      <c r="A674" s="7">
        <v>0.17856036158821534</v>
      </c>
      <c r="B674"/>
      <c r="C674"/>
      <c r="D674"/>
      <c r="E674"/>
      <c r="F674" s="27" t="s">
        <v>7</v>
      </c>
      <c r="W674" s="27" t="s">
        <v>8</v>
      </c>
      <c r="X674" s="27" t="s">
        <v>7</v>
      </c>
      <c r="AA674" s="27" t="s">
        <v>8</v>
      </c>
      <c r="AL674" s="27" t="s">
        <v>7</v>
      </c>
      <c r="AM674" s="27" t="s">
        <v>8</v>
      </c>
      <c r="AR674" s="27" t="s">
        <v>7</v>
      </c>
      <c r="AS674" s="27" t="s">
        <v>8</v>
      </c>
      <c r="AT674" s="27" t="s">
        <v>7</v>
      </c>
      <c r="AU674" s="27" t="s">
        <v>8</v>
      </c>
      <c r="AV674" s="27" t="s">
        <v>7</v>
      </c>
      <c r="AW674" s="27" t="s">
        <v>8</v>
      </c>
      <c r="AX674" s="27" t="s">
        <v>7</v>
      </c>
      <c r="AY674" s="27" t="s">
        <v>8</v>
      </c>
    </row>
    <row r="675" spans="1:51" x14ac:dyDescent="0.25">
      <c r="A675" s="7">
        <v>0.17505917802766208</v>
      </c>
      <c r="B675"/>
      <c r="C675"/>
      <c r="D675"/>
      <c r="E675"/>
      <c r="F675" s="27" t="s">
        <v>7</v>
      </c>
      <c r="W675" s="27" t="s">
        <v>8</v>
      </c>
      <c r="X675" s="27" t="s">
        <v>7</v>
      </c>
      <c r="AA675" s="27" t="s">
        <v>8</v>
      </c>
      <c r="AL675" s="27" t="s">
        <v>7</v>
      </c>
      <c r="AR675" s="27" t="s">
        <v>7</v>
      </c>
      <c r="AS675" s="27" t="s">
        <v>8</v>
      </c>
      <c r="AT675" s="27" t="s">
        <v>7</v>
      </c>
      <c r="AU675" s="27" t="s">
        <v>8</v>
      </c>
      <c r="AV675" s="27" t="s">
        <v>7</v>
      </c>
      <c r="AW675" s="27" t="s">
        <v>8</v>
      </c>
      <c r="AX675" s="27" t="s">
        <v>7</v>
      </c>
    </row>
    <row r="676" spans="1:51" x14ac:dyDescent="0.25">
      <c r="A676" s="7">
        <v>0.17162664512515888</v>
      </c>
      <c r="B676"/>
      <c r="C676"/>
      <c r="D676"/>
      <c r="E676"/>
      <c r="F676" s="27" t="s">
        <v>7</v>
      </c>
      <c r="W676" s="27" t="s">
        <v>8</v>
      </c>
      <c r="X676" s="27" t="s">
        <v>7</v>
      </c>
      <c r="Y676" s="27" t="s">
        <v>8</v>
      </c>
      <c r="AA676" s="27" t="s">
        <v>8</v>
      </c>
      <c r="AR676" s="27" t="s">
        <v>7</v>
      </c>
      <c r="AS676" s="27" t="s">
        <v>8</v>
      </c>
      <c r="AT676" s="27" t="s">
        <v>7</v>
      </c>
      <c r="AU676" s="27" t="s">
        <v>8</v>
      </c>
      <c r="AV676" s="27" t="s">
        <v>7</v>
      </c>
    </row>
    <row r="677" spans="1:51" x14ac:dyDescent="0.25">
      <c r="A677" s="7">
        <v>0.16826141678937145</v>
      </c>
      <c r="B677"/>
      <c r="C677"/>
      <c r="D677"/>
      <c r="E677"/>
      <c r="F677" s="27" t="s">
        <v>7</v>
      </c>
      <c r="W677" s="27" t="s">
        <v>8</v>
      </c>
      <c r="X677" s="27" t="s">
        <v>7</v>
      </c>
      <c r="Y677" s="27" t="s">
        <v>8</v>
      </c>
      <c r="Z677" s="27" t="s">
        <v>7</v>
      </c>
      <c r="AA677" s="27" t="s">
        <v>8</v>
      </c>
      <c r="AR677" s="27" t="s">
        <v>7</v>
      </c>
      <c r="AS677" s="27" t="s">
        <v>8</v>
      </c>
      <c r="AT677" s="27" t="s">
        <v>7</v>
      </c>
      <c r="AU677" s="27" t="s">
        <v>8</v>
      </c>
    </row>
    <row r="678" spans="1:51" x14ac:dyDescent="0.25">
      <c r="A678" s="7">
        <v>0.16496217332291319</v>
      </c>
      <c r="B678"/>
      <c r="C678"/>
      <c r="D678"/>
      <c r="E678"/>
      <c r="F678" s="27" t="s">
        <v>7</v>
      </c>
      <c r="W678" s="27" t="s">
        <v>8</v>
      </c>
      <c r="X678" s="27" t="s">
        <v>7</v>
      </c>
      <c r="Y678" s="27" t="s">
        <v>8</v>
      </c>
      <c r="Z678" s="27" t="s">
        <v>7</v>
      </c>
      <c r="AA678" s="27" t="s">
        <v>8</v>
      </c>
      <c r="AR678" s="27" t="s">
        <v>7</v>
      </c>
      <c r="AS678" s="27" t="s">
        <v>8</v>
      </c>
      <c r="AT678" s="27" t="s">
        <v>7</v>
      </c>
      <c r="AU678" s="27" t="s">
        <v>8</v>
      </c>
    </row>
    <row r="679" spans="1:51" x14ac:dyDescent="0.25">
      <c r="A679" s="7">
        <v>0.16172762090481685</v>
      </c>
      <c r="B679"/>
      <c r="C679"/>
      <c r="D679"/>
      <c r="E679"/>
      <c r="F679" s="27" t="s">
        <v>7</v>
      </c>
      <c r="W679" s="27" t="s">
        <v>8</v>
      </c>
      <c r="X679" s="27" t="s">
        <v>7</v>
      </c>
      <c r="Y679" s="27" t="s">
        <v>8</v>
      </c>
      <c r="Z679" s="27" t="s">
        <v>7</v>
      </c>
      <c r="AA679" s="27" t="s">
        <v>8</v>
      </c>
      <c r="AR679" s="27" t="s">
        <v>7</v>
      </c>
      <c r="AS679" s="27" t="s">
        <v>8</v>
      </c>
      <c r="AT679" s="27" t="s">
        <v>7</v>
      </c>
      <c r="AU679" s="27" t="s">
        <v>8</v>
      </c>
    </row>
    <row r="680" spans="1:51" x14ac:dyDescent="0.25">
      <c r="A680" s="7">
        <v>0.15855649108315376</v>
      </c>
      <c r="B680"/>
      <c r="C680"/>
      <c r="D680"/>
      <c r="E680"/>
      <c r="F680" s="27" t="s">
        <v>7</v>
      </c>
      <c r="W680" s="27" t="s">
        <v>8</v>
      </c>
      <c r="X680" s="27" t="s">
        <v>7</v>
      </c>
      <c r="Y680" s="27" t="s">
        <v>8</v>
      </c>
      <c r="Z680" s="27" t="s">
        <v>7</v>
      </c>
      <c r="AA680" s="27" t="s">
        <v>8</v>
      </c>
      <c r="AR680" s="27" t="s">
        <v>7</v>
      </c>
      <c r="AS680" s="27" t="s">
        <v>8</v>
      </c>
      <c r="AT680" s="27" t="s">
        <v>7</v>
      </c>
      <c r="AU680" s="27" t="s">
        <v>8</v>
      </c>
    </row>
    <row r="681" spans="1:51" x14ac:dyDescent="0.25">
      <c r="A681" s="7">
        <v>0.15544754027760171</v>
      </c>
      <c r="B681"/>
      <c r="C681"/>
      <c r="D681"/>
      <c r="E681"/>
      <c r="F681" s="27" t="s">
        <v>7</v>
      </c>
      <c r="W681" s="27" t="s">
        <v>8</v>
      </c>
      <c r="X681" s="27" t="s">
        <v>7</v>
      </c>
      <c r="Y681" s="27" t="s">
        <v>8</v>
      </c>
      <c r="Z681" s="27" t="s">
        <v>7</v>
      </c>
      <c r="AA681" s="27" t="s">
        <v>8</v>
      </c>
      <c r="AR681" s="27" t="s">
        <v>7</v>
      </c>
      <c r="AS681" s="27" t="s">
        <v>8</v>
      </c>
      <c r="AT681" s="27" t="s">
        <v>7</v>
      </c>
    </row>
    <row r="682" spans="1:51" x14ac:dyDescent="0.25">
      <c r="A682" s="7">
        <v>0.15239954929176638</v>
      </c>
      <c r="B682"/>
      <c r="C682"/>
      <c r="D682"/>
      <c r="E682"/>
      <c r="F682" s="27" t="s">
        <v>7</v>
      </c>
      <c r="W682" s="27" t="s">
        <v>8</v>
      </c>
      <c r="X682" s="27" t="s">
        <v>7</v>
      </c>
      <c r="Y682" s="27" t="s">
        <v>8</v>
      </c>
      <c r="Z682" s="27" t="s">
        <v>7</v>
      </c>
      <c r="AA682" s="27" t="s">
        <v>8</v>
      </c>
      <c r="AR682" s="27" t="s">
        <v>7</v>
      </c>
      <c r="AS682" s="27" t="s">
        <v>8</v>
      </c>
    </row>
    <row r="683" spans="1:51" x14ac:dyDescent="0.25">
      <c r="A683" s="7">
        <v>0.14941132283506509</v>
      </c>
      <c r="B683"/>
      <c r="C683"/>
      <c r="D683"/>
      <c r="E683"/>
      <c r="F683" s="27" t="s">
        <v>7</v>
      </c>
      <c r="W683" s="27" t="s">
        <v>8</v>
      </c>
      <c r="X683" s="27" t="s">
        <v>7</v>
      </c>
      <c r="Y683" s="27" t="s">
        <v>8</v>
      </c>
      <c r="Z683" s="27" t="s">
        <v>7</v>
      </c>
      <c r="AA683" s="27" t="s">
        <v>8</v>
      </c>
      <c r="AR683" s="27" t="s">
        <v>7</v>
      </c>
    </row>
    <row r="684" spans="1:51" x14ac:dyDescent="0.25">
      <c r="A684" s="7">
        <v>0.14648168905398537</v>
      </c>
      <c r="B684"/>
      <c r="C684"/>
      <c r="D684"/>
      <c r="E684"/>
      <c r="F684" s="27" t="s">
        <v>7</v>
      </c>
      <c r="W684" s="27" t="s">
        <v>8</v>
      </c>
      <c r="X684" s="27" t="s">
        <v>7</v>
      </c>
      <c r="Y684" s="27" t="s">
        <v>8</v>
      </c>
      <c r="Z684" s="27" t="s">
        <v>7</v>
      </c>
      <c r="AA684" s="27" t="s">
        <v>8</v>
      </c>
    </row>
    <row r="685" spans="1:51" x14ac:dyDescent="0.25">
      <c r="A685" s="7">
        <v>0.14360949907253467</v>
      </c>
      <c r="B685"/>
      <c r="C685"/>
      <c r="D685"/>
      <c r="E685"/>
      <c r="F685" s="27" t="s">
        <v>7</v>
      </c>
      <c r="W685" s="27" t="s">
        <v>8</v>
      </c>
      <c r="X685" s="27" t="s">
        <v>7</v>
      </c>
      <c r="Y685" s="27" t="s">
        <v>8</v>
      </c>
      <c r="Z685" s="27" t="s">
        <v>7</v>
      </c>
      <c r="AA685" s="27" t="s">
        <v>8</v>
      </c>
    </row>
    <row r="686" spans="1:51" x14ac:dyDescent="0.25">
      <c r="A686" s="7">
        <v>0.14079362654170066</v>
      </c>
      <c r="B686"/>
      <c r="C686"/>
      <c r="D686"/>
      <c r="E686"/>
      <c r="F686" s="27" t="s">
        <v>7</v>
      </c>
      <c r="W686" s="27" t="s">
        <v>8</v>
      </c>
      <c r="X686" s="27" t="s">
        <v>7</v>
      </c>
      <c r="Y686" s="27" t="s">
        <v>8</v>
      </c>
      <c r="Z686" s="27" t="s">
        <v>7</v>
      </c>
      <c r="AA686" s="27" t="s">
        <v>8</v>
      </c>
    </row>
    <row r="687" spans="1:51" x14ac:dyDescent="0.25">
      <c r="A687" s="7">
        <v>0.13803296719774574</v>
      </c>
      <c r="B687"/>
      <c r="C687"/>
      <c r="D687"/>
      <c r="E687"/>
      <c r="F687" s="27" t="s">
        <v>7</v>
      </c>
      <c r="W687" s="27" t="s">
        <v>8</v>
      </c>
      <c r="X687" s="27" t="s">
        <v>7</v>
      </c>
      <c r="Y687" s="27" t="s">
        <v>8</v>
      </c>
      <c r="Z687" s="27" t="s">
        <v>7</v>
      </c>
    </row>
    <row r="688" spans="1:51" x14ac:dyDescent="0.25">
      <c r="A688" s="7">
        <v>0.1353264384291625</v>
      </c>
      <c r="B688"/>
      <c r="C688"/>
      <c r="D688"/>
      <c r="E688"/>
      <c r="F688" s="27" t="s">
        <v>7</v>
      </c>
      <c r="W688" s="27" t="s">
        <v>8</v>
      </c>
      <c r="X688" s="27" t="s">
        <v>7</v>
      </c>
      <c r="Y688" s="27" t="s">
        <v>8</v>
      </c>
    </row>
    <row r="689" spans="1:25" x14ac:dyDescent="0.25">
      <c r="A689" s="7">
        <v>0.13267297885212009</v>
      </c>
      <c r="B689"/>
      <c r="C689"/>
      <c r="D689"/>
      <c r="E689"/>
      <c r="F689" s="27" t="s">
        <v>7</v>
      </c>
      <c r="W689" s="27" t="s">
        <v>8</v>
      </c>
      <c r="X689" s="27" t="s">
        <v>7</v>
      </c>
      <c r="Y689" s="27" t="s">
        <v>8</v>
      </c>
    </row>
    <row r="690" spans="1:25" x14ac:dyDescent="0.25">
      <c r="A690" s="7">
        <v>0.13007154789423539</v>
      </c>
      <c r="B690"/>
      <c r="C690"/>
      <c r="D690"/>
      <c r="E690"/>
      <c r="F690" s="27" t="s">
        <v>7</v>
      </c>
      <c r="W690" s="27" t="s">
        <v>8</v>
      </c>
      <c r="X690" s="27" t="s">
        <v>7</v>
      </c>
      <c r="Y690" s="27" t="s">
        <v>8</v>
      </c>
    </row>
    <row r="691" spans="1:25" x14ac:dyDescent="0.25">
      <c r="A691" s="7">
        <v>0.12752112538650529</v>
      </c>
      <c r="B691"/>
      <c r="C691"/>
      <c r="D691"/>
      <c r="E691"/>
      <c r="F691" s="27" t="s">
        <v>7</v>
      </c>
      <c r="W691" s="27" t="s">
        <v>8</v>
      </c>
      <c r="X691" s="27" t="s">
        <v>7</v>
      </c>
      <c r="Y691" s="27" t="s">
        <v>8</v>
      </c>
    </row>
    <row r="692" spans="1:25" x14ac:dyDescent="0.25">
      <c r="A692" s="7">
        <v>0.12502071116324048</v>
      </c>
      <c r="B692"/>
      <c r="C692"/>
      <c r="D692"/>
      <c r="E692"/>
      <c r="F692" s="27" t="s">
        <v>7</v>
      </c>
      <c r="W692" s="27" t="s">
        <v>8</v>
      </c>
      <c r="X692" s="27" t="s">
        <v>7</v>
      </c>
      <c r="Y692" s="27" t="s">
        <v>8</v>
      </c>
    </row>
    <row r="693" spans="1:25" x14ac:dyDescent="0.25">
      <c r="A693" s="7">
        <v>0.1225693246698436</v>
      </c>
      <c r="B693"/>
      <c r="C693"/>
      <c r="D693"/>
      <c r="E693"/>
      <c r="F693" s="27" t="s">
        <v>7</v>
      </c>
      <c r="W693" s="27" t="s">
        <v>8</v>
      </c>
      <c r="X693" s="27" t="s">
        <v>7</v>
      </c>
      <c r="Y693" s="27" t="s">
        <v>8</v>
      </c>
    </row>
    <row r="694" spans="1:25" x14ac:dyDescent="0.25">
      <c r="A694" s="7">
        <v>0.12016600457827803</v>
      </c>
      <c r="B694"/>
      <c r="C694"/>
      <c r="D694"/>
      <c r="E694"/>
      <c r="F694" s="27" t="s">
        <v>7</v>
      </c>
      <c r="W694" s="27" t="s">
        <v>8</v>
      </c>
      <c r="X694" s="27" t="s">
        <v>7</v>
      </c>
      <c r="Y694" s="27" t="s">
        <v>8</v>
      </c>
    </row>
    <row r="695" spans="1:25" x14ac:dyDescent="0.25">
      <c r="A695" s="7">
        <v>0.1178098084100765</v>
      </c>
      <c r="B695"/>
      <c r="C695"/>
      <c r="D695"/>
      <c r="E695"/>
      <c r="F695" s="27" t="s">
        <v>7</v>
      </c>
      <c r="W695" s="27" t="s">
        <v>8</v>
      </c>
      <c r="X695" s="27" t="s">
        <v>7</v>
      </c>
      <c r="Y695" s="27" t="s">
        <v>8</v>
      </c>
    </row>
    <row r="696" spans="1:25" x14ac:dyDescent="0.25">
      <c r="A696" s="7">
        <v>0.11549981216674166</v>
      </c>
      <c r="B696"/>
      <c r="C696"/>
      <c r="D696"/>
      <c r="E696"/>
      <c r="F696" s="27" t="s">
        <v>7</v>
      </c>
      <c r="W696" s="27" t="s">
        <v>8</v>
      </c>
      <c r="X696" s="27" t="s">
        <v>7</v>
      </c>
      <c r="Y696" s="27" t="s">
        <v>8</v>
      </c>
    </row>
    <row r="697" spans="1:25" x14ac:dyDescent="0.25">
      <c r="A697" s="7">
        <v>0.11323510996739378</v>
      </c>
      <c r="B697"/>
      <c r="C697"/>
      <c r="D697"/>
      <c r="E697"/>
      <c r="F697" s="27" t="s">
        <v>7</v>
      </c>
      <c r="W697" s="27" t="s">
        <v>8</v>
      </c>
      <c r="X697" s="27" t="s">
        <v>7</v>
      </c>
      <c r="Y697" s="27" t="s">
        <v>8</v>
      </c>
    </row>
    <row r="698" spans="1:25" x14ac:dyDescent="0.25">
      <c r="A698" s="7">
        <v>0.11101481369352331</v>
      </c>
      <c r="B698"/>
      <c r="C698"/>
      <c r="D698"/>
      <c r="E698"/>
      <c r="F698" s="27" t="s">
        <v>7</v>
      </c>
      <c r="W698" s="27" t="s">
        <v>8</v>
      </c>
      <c r="X698" s="27" t="s">
        <v>7</v>
      </c>
      <c r="Y698" s="27" t="s">
        <v>8</v>
      </c>
    </row>
    <row r="699" spans="1:25" x14ac:dyDescent="0.25">
      <c r="A699" s="7">
        <v>0.10883805264070913</v>
      </c>
      <c r="B699"/>
      <c r="C699"/>
      <c r="D699"/>
      <c r="E699"/>
      <c r="F699" s="27" t="s">
        <v>7</v>
      </c>
      <c r="W699" s="27" t="s">
        <v>8</v>
      </c>
      <c r="X699" s="27" t="s">
        <v>7</v>
      </c>
      <c r="Y699" s="27" t="s">
        <v>8</v>
      </c>
    </row>
    <row r="700" spans="1:25" x14ac:dyDescent="0.25">
      <c r="A700" s="7">
        <v>0.10670397317716582</v>
      </c>
      <c r="B700"/>
      <c r="C700"/>
      <c r="D700"/>
      <c r="E700"/>
      <c r="F700" s="27" t="s">
        <v>7</v>
      </c>
      <c r="W700" s="27" t="s">
        <v>8</v>
      </c>
      <c r="X700" s="27" t="s">
        <v>7</v>
      </c>
      <c r="Y700" s="27" t="s">
        <v>8</v>
      </c>
    </row>
    <row r="701" spans="1:25" x14ac:dyDescent="0.25">
      <c r="A701" s="7">
        <v>0.1046117384089861</v>
      </c>
      <c r="B701"/>
      <c r="C701"/>
      <c r="D701"/>
      <c r="E701"/>
      <c r="F701" s="27" t="s">
        <v>7</v>
      </c>
      <c r="W701" s="27" t="s">
        <v>8</v>
      </c>
      <c r="X701" s="27" t="s">
        <v>7</v>
      </c>
      <c r="Y701" s="27" t="s">
        <v>8</v>
      </c>
    </row>
    <row r="702" spans="1:25" x14ac:dyDescent="0.25">
      <c r="A702" s="7">
        <v>0.10256052785194716</v>
      </c>
      <c r="B702"/>
      <c r="C702"/>
      <c r="D702"/>
      <c r="E702"/>
      <c r="F702" s="27" t="s">
        <v>7</v>
      </c>
      <c r="W702" s="27" t="s">
        <v>8</v>
      </c>
      <c r="X702" s="27" t="s">
        <v>7</v>
      </c>
      <c r="Y702" s="27" t="s">
        <v>8</v>
      </c>
    </row>
    <row r="703" spans="1:25" x14ac:dyDescent="0.25">
      <c r="A703" s="7">
        <v>0.10054953710975212</v>
      </c>
      <c r="B703"/>
      <c r="C703"/>
      <c r="D703"/>
      <c r="E703"/>
      <c r="F703" s="27" t="s">
        <v>7</v>
      </c>
      <c r="W703" s="27" t="s">
        <v>8</v>
      </c>
      <c r="X703" s="27" t="s">
        <v>7</v>
      </c>
      <c r="Y703" s="27" t="s">
        <v>8</v>
      </c>
    </row>
    <row r="704" spans="1:25" x14ac:dyDescent="0.25">
      <c r="A704" s="7">
        <v>9.8577977558580512E-2</v>
      </c>
      <c r="B704"/>
      <c r="C704"/>
      <c r="D704"/>
      <c r="E704"/>
      <c r="F704" s="27" t="s">
        <v>7</v>
      </c>
      <c r="W704" s="27" t="s">
        <v>8</v>
      </c>
      <c r="X704" s="27" t="s">
        <v>7</v>
      </c>
      <c r="Y704" s="27" t="s">
        <v>8</v>
      </c>
    </row>
    <row r="705" spans="1:24" x14ac:dyDescent="0.25">
      <c r="A705" s="7">
        <v>9.6645076037824032E-2</v>
      </c>
      <c r="B705"/>
      <c r="C705"/>
      <c r="D705"/>
      <c r="E705"/>
      <c r="F705" s="27" t="s">
        <v>7</v>
      </c>
      <c r="W705" s="27" t="s">
        <v>8</v>
      </c>
      <c r="X705" s="27" t="s">
        <v>7</v>
      </c>
    </row>
    <row r="706" spans="1:24" x14ac:dyDescent="0.25">
      <c r="A706" s="7">
        <v>9.4750074546886304E-2</v>
      </c>
      <c r="B706"/>
      <c r="C706"/>
      <c r="D706"/>
      <c r="E706"/>
      <c r="F706" s="27" t="s">
        <v>7</v>
      </c>
      <c r="W706" s="27" t="s">
        <v>8</v>
      </c>
    </row>
    <row r="707" spans="1:24" x14ac:dyDescent="0.25">
      <c r="A707" s="7">
        <v>9.2892229947927743E-2</v>
      </c>
      <c r="B707"/>
      <c r="C707"/>
      <c r="D707"/>
      <c r="E707"/>
      <c r="F707" s="27" t="s">
        <v>7</v>
      </c>
      <c r="W707" s="27" t="s">
        <v>8</v>
      </c>
    </row>
    <row r="708" spans="1:24" x14ac:dyDescent="0.25">
      <c r="A708" s="7">
        <v>9.1070813674438963E-2</v>
      </c>
      <c r="B708"/>
      <c r="C708"/>
      <c r="D708"/>
      <c r="E708"/>
      <c r="F708" s="27" t="s">
        <v>7</v>
      </c>
      <c r="W708" s="27" t="s">
        <v>8</v>
      </c>
    </row>
    <row r="709" spans="1:24" x14ac:dyDescent="0.25">
      <c r="A709" s="7">
        <v>8.9285111445528392E-2</v>
      </c>
      <c r="B709"/>
      <c r="C709"/>
      <c r="D709"/>
      <c r="E709"/>
      <c r="F709" s="27" t="s">
        <v>7</v>
      </c>
      <c r="W709" s="27" t="s">
        <v>8</v>
      </c>
    </row>
    <row r="710" spans="1:24" x14ac:dyDescent="0.25">
      <c r="A710" s="7">
        <v>8.7534422985812155E-2</v>
      </c>
      <c r="B710"/>
      <c r="C710"/>
      <c r="D710"/>
      <c r="E710"/>
      <c r="F710" s="27" t="s">
        <v>7</v>
      </c>
      <c r="W710" s="27" t="s">
        <v>8</v>
      </c>
    </row>
    <row r="711" spans="1:24" x14ac:dyDescent="0.25">
      <c r="A711" s="7">
        <v>8.5818061750796232E-2</v>
      </c>
      <c r="B711"/>
      <c r="C711"/>
      <c r="D711"/>
      <c r="E711"/>
      <c r="F711" s="27" t="s">
        <v>7</v>
      </c>
      <c r="W711" s="27" t="s">
        <v>8</v>
      </c>
    </row>
    <row r="712" spans="1:24" x14ac:dyDescent="0.25">
      <c r="A712" s="7">
        <v>8.4135354657643366E-2</v>
      </c>
      <c r="B712"/>
      <c r="C712"/>
      <c r="D712"/>
      <c r="E712"/>
      <c r="F712" s="27" t="s">
        <v>7</v>
      </c>
      <c r="W712" s="27" t="s">
        <v>8</v>
      </c>
    </row>
    <row r="713" spans="1:24" x14ac:dyDescent="0.25">
      <c r="A713" s="7">
        <v>8.248564182121898E-2</v>
      </c>
      <c r="B713"/>
      <c r="C713"/>
      <c r="D713"/>
      <c r="E713"/>
      <c r="F713" s="27" t="s">
        <v>7</v>
      </c>
      <c r="W713" s="27" t="s">
        <v>8</v>
      </c>
    </row>
    <row r="714" spans="1:24" x14ac:dyDescent="0.25">
      <c r="A714" s="7">
        <v>8.0868276295312735E-2</v>
      </c>
      <c r="B714"/>
      <c r="C714"/>
      <c r="D714"/>
      <c r="E714"/>
      <c r="F714" s="27" t="s">
        <v>7</v>
      </c>
      <c r="W714" s="27" t="s">
        <v>8</v>
      </c>
    </row>
    <row r="715" spans="1:24" x14ac:dyDescent="0.25">
      <c r="A715" s="7">
        <v>7.9282623818934056E-2</v>
      </c>
      <c r="B715"/>
      <c r="C715"/>
      <c r="D715"/>
      <c r="E715"/>
      <c r="F715" s="27" t="s">
        <v>7</v>
      </c>
      <c r="W715" s="27" t="s">
        <v>8</v>
      </c>
    </row>
    <row r="716" spans="1:24" x14ac:dyDescent="0.25">
      <c r="A716" s="7">
        <v>7.7728062567582412E-2</v>
      </c>
      <c r="B716"/>
      <c r="C716"/>
      <c r="D716"/>
      <c r="E716"/>
      <c r="F716" s="27" t="s">
        <v>7</v>
      </c>
      <c r="W716" s="27" t="s">
        <v>8</v>
      </c>
    </row>
    <row r="717" spans="1:24" x14ac:dyDescent="0.25">
      <c r="A717" s="7">
        <v>7.6203982909394521E-2</v>
      </c>
      <c r="B717"/>
      <c r="C717"/>
      <c r="D717"/>
      <c r="E717"/>
      <c r="F717" s="27" t="s">
        <v>7</v>
      </c>
      <c r="W717" s="27" t="s">
        <v>8</v>
      </c>
    </row>
    <row r="718" spans="1:24" x14ac:dyDescent="0.25">
      <c r="A718" s="7">
        <v>7.4709787166073058E-2</v>
      </c>
      <c r="B718"/>
      <c r="C718"/>
      <c r="D718"/>
      <c r="E718"/>
      <c r="F718" s="27" t="s">
        <v>7</v>
      </c>
      <c r="W718" s="27" t="s">
        <v>8</v>
      </c>
    </row>
    <row r="719" spans="1:24" x14ac:dyDescent="0.25">
      <c r="A719" s="7">
        <v>7.3244889378503E-2</v>
      </c>
      <c r="B719"/>
      <c r="C719"/>
      <c r="D719"/>
      <c r="E719"/>
      <c r="F719" s="27" t="s">
        <v>7</v>
      </c>
      <c r="W719" s="27" t="s">
        <v>8</v>
      </c>
    </row>
    <row r="720" spans="1:24" x14ac:dyDescent="0.25">
      <c r="A720" s="7">
        <v>7.1808715076963722E-2</v>
      </c>
      <c r="B720"/>
      <c r="C720"/>
      <c r="D720"/>
      <c r="E720"/>
      <c r="F720" s="27" t="s">
        <v>7</v>
      </c>
      <c r="W720" s="27" t="s">
        <v>8</v>
      </c>
    </row>
    <row r="721" spans="1:23" x14ac:dyDescent="0.25">
      <c r="A721" s="7">
        <v>7.0400701055846782E-2</v>
      </c>
      <c r="B721"/>
      <c r="C721"/>
      <c r="D721"/>
      <c r="E721"/>
      <c r="F721" s="27" t="s">
        <v>7</v>
      </c>
      <c r="W721" s="27" t="s">
        <v>8</v>
      </c>
    </row>
    <row r="722" spans="1:23" x14ac:dyDescent="0.25">
      <c r="A722" s="7">
        <v>6.9020295152790956E-2</v>
      </c>
      <c r="B722"/>
      <c r="C722"/>
      <c r="D722"/>
      <c r="E722"/>
      <c r="F722" s="27" t="s">
        <v>7</v>
      </c>
      <c r="W722" s="27" t="s">
        <v>8</v>
      </c>
    </row>
    <row r="723" spans="1:23" x14ac:dyDescent="0.25">
      <c r="A723" s="7">
        <v>6.7666956032147993E-2</v>
      </c>
      <c r="B723"/>
      <c r="C723"/>
      <c r="D723"/>
      <c r="E723"/>
      <c r="F723" s="27" t="s">
        <v>7</v>
      </c>
      <c r="W723" s="27" t="s">
        <v>8</v>
      </c>
    </row>
    <row r="724" spans="1:23" x14ac:dyDescent="0.25">
      <c r="A724" s="7">
        <v>6.6340152972694105E-2</v>
      </c>
      <c r="B724"/>
      <c r="C724"/>
      <c r="D724"/>
      <c r="E724"/>
      <c r="F724" s="27" t="s">
        <v>7</v>
      </c>
      <c r="W724" s="27" t="s">
        <v>8</v>
      </c>
    </row>
    <row r="725" spans="1:23" x14ac:dyDescent="0.25">
      <c r="A725" s="7">
        <v>6.5039365659504023E-2</v>
      </c>
      <c r="B725"/>
      <c r="C725"/>
      <c r="D725"/>
      <c r="E725"/>
      <c r="F725" s="27" t="s">
        <v>7</v>
      </c>
      <c r="W725" s="27" t="s">
        <v>8</v>
      </c>
    </row>
    <row r="726" spans="1:23" x14ac:dyDescent="0.25">
      <c r="A726" s="7">
        <v>6.3764083979905906E-2</v>
      </c>
      <c r="B726"/>
      <c r="C726"/>
      <c r="D726"/>
      <c r="E726"/>
      <c r="F726" s="27" t="s">
        <v>7</v>
      </c>
      <c r="W726" s="27" t="s">
        <v>8</v>
      </c>
    </row>
    <row r="727" spans="1:23" x14ac:dyDescent="0.25">
      <c r="A727" s="7">
        <v>6.251380782343717E-2</v>
      </c>
      <c r="B727"/>
      <c r="C727"/>
      <c r="D727"/>
      <c r="E727"/>
      <c r="F727" s="27" t="s">
        <v>7</v>
      </c>
      <c r="W727" s="27" t="s">
        <v>8</v>
      </c>
    </row>
    <row r="728" spans="1:23" x14ac:dyDescent="0.25">
      <c r="A728" s="7">
        <v>6.1288046885722716E-2</v>
      </c>
      <c r="B728"/>
      <c r="C728"/>
      <c r="D728"/>
      <c r="E728"/>
      <c r="F728" s="27" t="s">
        <v>7</v>
      </c>
      <c r="W728" s="27" t="s">
        <v>8</v>
      </c>
    </row>
    <row r="729" spans="1:23" x14ac:dyDescent="0.25">
      <c r="A729" s="7">
        <v>6.0086320476198739E-2</v>
      </c>
      <c r="B729"/>
      <c r="C729"/>
      <c r="D729"/>
      <c r="E729"/>
      <c r="F729" s="27" t="s">
        <v>7</v>
      </c>
      <c r="W729" s="27" t="s">
        <v>8</v>
      </c>
    </row>
    <row r="730" spans="1:23" x14ac:dyDescent="0.25">
      <c r="A730" s="7">
        <v>5.8908157329606609E-2</v>
      </c>
      <c r="B730"/>
      <c r="C730"/>
      <c r="D730"/>
      <c r="E730"/>
      <c r="F730" s="27" t="s">
        <v>7</v>
      </c>
      <c r="W730" s="27" t="s">
        <v>8</v>
      </c>
    </row>
    <row r="731" spans="1:23" x14ac:dyDescent="0.25">
      <c r="A731" s="7">
        <v>5.7753095421182947E-2</v>
      </c>
      <c r="B731"/>
      <c r="C731"/>
      <c r="D731"/>
      <c r="E731"/>
      <c r="F731" s="27" t="s">
        <v>7</v>
      </c>
      <c r="U731" s="27" t="s">
        <v>8</v>
      </c>
      <c r="W731" s="27" t="s">
        <v>8</v>
      </c>
    </row>
    <row r="732" spans="1:23" x14ac:dyDescent="0.25">
      <c r="A732" s="7">
        <v>5.6620681785473484E-2</v>
      </c>
      <c r="B732"/>
      <c r="C732"/>
      <c r="D732"/>
      <c r="E732"/>
      <c r="F732" s="27" t="s">
        <v>7</v>
      </c>
      <c r="U732" s="27" t="s">
        <v>8</v>
      </c>
      <c r="V732" s="27" t="s">
        <v>7</v>
      </c>
      <c r="W732" s="27" t="s">
        <v>8</v>
      </c>
    </row>
    <row r="733" spans="1:23" x14ac:dyDescent="0.25">
      <c r="A733" s="7">
        <v>5.5510472338699497E-2</v>
      </c>
      <c r="B733"/>
      <c r="C733"/>
      <c r="D733"/>
      <c r="E733"/>
      <c r="F733" s="27" t="s">
        <v>7</v>
      </c>
      <c r="U733" s="27" t="s">
        <v>8</v>
      </c>
      <c r="V733" s="27" t="s">
        <v>7</v>
      </c>
      <c r="W733" s="27" t="s">
        <v>8</v>
      </c>
    </row>
    <row r="734" spans="1:23" x14ac:dyDescent="0.25">
      <c r="A734" s="7">
        <v>5.4422031704607354E-2</v>
      </c>
      <c r="B734"/>
      <c r="C734"/>
      <c r="D734"/>
      <c r="E734"/>
      <c r="F734" s="27" t="s">
        <v>7</v>
      </c>
      <c r="U734" s="27" t="s">
        <v>8</v>
      </c>
      <c r="V734" s="27" t="s">
        <v>7</v>
      </c>
      <c r="W734" s="27" t="s">
        <v>8</v>
      </c>
    </row>
    <row r="735" spans="1:23" x14ac:dyDescent="0.25">
      <c r="A735" s="7">
        <v>5.3354933043732705E-2</v>
      </c>
      <c r="B735"/>
      <c r="C735"/>
      <c r="D735"/>
      <c r="E735"/>
      <c r="F735" s="27" t="s">
        <v>7</v>
      </c>
      <c r="U735" s="27" t="s">
        <v>8</v>
      </c>
      <c r="V735" s="27" t="s">
        <v>7</v>
      </c>
      <c r="W735" s="27" t="s">
        <v>8</v>
      </c>
    </row>
    <row r="736" spans="1:23" x14ac:dyDescent="0.25">
      <c r="A736" s="7">
        <v>5.2308757886012455E-2</v>
      </c>
      <c r="B736"/>
      <c r="C736"/>
      <c r="D736"/>
      <c r="E736"/>
      <c r="F736" s="27" t="s">
        <v>7</v>
      </c>
      <c r="U736" s="27" t="s">
        <v>8</v>
      </c>
      <c r="V736" s="27" t="s">
        <v>7</v>
      </c>
      <c r="W736" s="27" t="s">
        <v>8</v>
      </c>
    </row>
    <row r="737" spans="1:23" x14ac:dyDescent="0.25">
      <c r="A737" s="7">
        <v>5.1283095966678877E-2</v>
      </c>
      <c r="B737"/>
      <c r="C737"/>
      <c r="D737"/>
      <c r="E737"/>
      <c r="F737" s="27" t="s">
        <v>7</v>
      </c>
      <c r="U737" s="27" t="s">
        <v>8</v>
      </c>
      <c r="V737" s="27" t="s">
        <v>7</v>
      </c>
      <c r="W737" s="27" t="s">
        <v>8</v>
      </c>
    </row>
    <row r="738" spans="1:23" x14ac:dyDescent="0.25">
      <c r="A738" s="7">
        <v>5.0277545065371444E-2</v>
      </c>
      <c r="B738"/>
      <c r="C738"/>
      <c r="D738"/>
      <c r="E738"/>
      <c r="F738" s="27" t="s">
        <v>7</v>
      </c>
      <c r="U738" s="27" t="s">
        <v>8</v>
      </c>
      <c r="V738" s="27" t="s">
        <v>7</v>
      </c>
      <c r="W738" s="27" t="s">
        <v>8</v>
      </c>
    </row>
    <row r="739" spans="1:23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U739" s="27" t="s">
        <v>8</v>
      </c>
      <c r="V739" s="27" t="s">
        <v>7</v>
      </c>
      <c r="W739" s="27" t="s">
        <v>8</v>
      </c>
    </row>
    <row r="740" spans="1:23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U740" s="27" t="s">
        <v>8</v>
      </c>
      <c r="V740" s="27" t="s">
        <v>7</v>
      </c>
      <c r="W740" s="27" t="s">
        <v>8</v>
      </c>
    </row>
    <row r="741" spans="1:23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H741" s="27" t="s">
        <v>7</v>
      </c>
      <c r="U741" s="27" t="s">
        <v>8</v>
      </c>
      <c r="V741" s="27" t="s">
        <v>7</v>
      </c>
    </row>
    <row r="742" spans="1:23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K742" s="27" t="s">
        <v>8</v>
      </c>
      <c r="U742" s="27" t="s">
        <v>8</v>
      </c>
    </row>
    <row r="743" spans="1:23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I743" s="27" t="s">
        <v>8</v>
      </c>
      <c r="K743" s="27" t="s">
        <v>8</v>
      </c>
      <c r="L743" s="27" t="s">
        <v>7</v>
      </c>
      <c r="U743" s="27" t="s">
        <v>8</v>
      </c>
    </row>
    <row r="744" spans="1:23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H744" s="27" t="s">
        <v>7</v>
      </c>
      <c r="I744" s="27" t="s">
        <v>8</v>
      </c>
      <c r="J744" s="27" t="s">
        <v>7</v>
      </c>
      <c r="K744" s="27" t="s">
        <v>8</v>
      </c>
      <c r="L744" s="27" t="s">
        <v>7</v>
      </c>
      <c r="U744" s="27" t="s">
        <v>8</v>
      </c>
    </row>
    <row r="745" spans="1:23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I745" s="27" t="s">
        <v>8</v>
      </c>
      <c r="J745" s="27" t="s">
        <v>7</v>
      </c>
      <c r="K745" s="27" t="s">
        <v>8</v>
      </c>
      <c r="L745" s="27" t="s">
        <v>7</v>
      </c>
      <c r="U745" s="27" t="s">
        <v>8</v>
      </c>
    </row>
    <row r="746" spans="1:23" x14ac:dyDescent="0.25">
      <c r="A746" s="7">
        <v>4.2911400600371442E-2</v>
      </c>
      <c r="B746"/>
      <c r="C746"/>
      <c r="D746"/>
      <c r="E746"/>
      <c r="F746" s="27" t="s">
        <v>7</v>
      </c>
      <c r="H746" s="27" t="s">
        <v>7</v>
      </c>
      <c r="I746" s="27" t="s">
        <v>8</v>
      </c>
      <c r="J746" s="27" t="s">
        <v>7</v>
      </c>
      <c r="K746" s="27" t="s">
        <v>8</v>
      </c>
      <c r="L746" s="27" t="s">
        <v>7</v>
      </c>
      <c r="U746" s="27" t="s">
        <v>8</v>
      </c>
    </row>
    <row r="747" spans="1:23" x14ac:dyDescent="0.25">
      <c r="A747" s="7">
        <v>4.2070000588599457E-2</v>
      </c>
      <c r="B747"/>
      <c r="C747"/>
      <c r="D747"/>
      <c r="E747"/>
      <c r="H747" s="27" t="s">
        <v>7</v>
      </c>
      <c r="J747" s="27" t="s">
        <v>7</v>
      </c>
      <c r="K747" s="27" t="s">
        <v>8</v>
      </c>
      <c r="L747" s="27" t="s">
        <v>7</v>
      </c>
      <c r="U747" s="27" t="s">
        <v>8</v>
      </c>
    </row>
    <row r="748" spans="1:23" x14ac:dyDescent="0.25">
      <c r="A748" s="7">
        <v>4.1245098616273977E-2</v>
      </c>
      <c r="B748"/>
      <c r="C748"/>
      <c r="D748"/>
      <c r="E748"/>
      <c r="J748" s="27" t="s">
        <v>7</v>
      </c>
      <c r="K748" s="27" t="s">
        <v>8</v>
      </c>
      <c r="L748" s="27" t="s">
        <v>7</v>
      </c>
      <c r="U748" s="27" t="s">
        <v>8</v>
      </c>
    </row>
    <row r="749" spans="1:23" x14ac:dyDescent="0.25">
      <c r="A749" s="7">
        <v>4.043637119242547E-2</v>
      </c>
      <c r="B749"/>
      <c r="C749"/>
      <c r="D749"/>
      <c r="E749"/>
      <c r="J749" s="27" t="s">
        <v>7</v>
      </c>
      <c r="K749" s="27" t="s">
        <v>8</v>
      </c>
      <c r="L749" s="27" t="s">
        <v>7</v>
      </c>
      <c r="U749" s="27" t="s">
        <v>8</v>
      </c>
    </row>
    <row r="750" spans="1:23" x14ac:dyDescent="0.25">
      <c r="A750" s="7">
        <v>3.9643501169044582E-2</v>
      </c>
      <c r="B750"/>
      <c r="C750"/>
      <c r="D750"/>
      <c r="E750"/>
      <c r="J750" s="27" t="s">
        <v>7</v>
      </c>
      <c r="K750" s="27" t="s">
        <v>8</v>
      </c>
      <c r="L750" s="27" t="s">
        <v>7</v>
      </c>
      <c r="U750" s="27" t="s">
        <v>8</v>
      </c>
    </row>
    <row r="751" spans="1:23" x14ac:dyDescent="0.25">
      <c r="A751" s="7">
        <v>3.8866177616710372E-2</v>
      </c>
      <c r="B751"/>
      <c r="C751"/>
      <c r="D751"/>
      <c r="E751"/>
      <c r="J751" s="27" t="s">
        <v>7</v>
      </c>
      <c r="K751" s="27" t="s">
        <v>8</v>
      </c>
      <c r="L751" s="27" t="s">
        <v>7</v>
      </c>
      <c r="Q751" s="27" t="s">
        <v>8</v>
      </c>
      <c r="U751" s="27" t="s">
        <v>8</v>
      </c>
    </row>
    <row r="752" spans="1:23" x14ac:dyDescent="0.25">
      <c r="A752" s="7">
        <v>3.8104095702657229E-2</v>
      </c>
      <c r="B752"/>
      <c r="C752"/>
      <c r="D752"/>
      <c r="E752"/>
      <c r="J752" s="27" t="s">
        <v>7</v>
      </c>
      <c r="K752" s="27" t="s">
        <v>8</v>
      </c>
      <c r="L752" s="27" t="s">
        <v>7</v>
      </c>
      <c r="Q752" s="27" t="s">
        <v>8</v>
      </c>
      <c r="R752" s="27" t="s">
        <v>7</v>
      </c>
      <c r="U752" s="27" t="s">
        <v>8</v>
      </c>
    </row>
    <row r="753" spans="1:21" x14ac:dyDescent="0.25">
      <c r="A753" s="7">
        <v>3.7356956571232579E-2</v>
      </c>
      <c r="B753"/>
      <c r="C753"/>
      <c r="D753"/>
      <c r="E753"/>
      <c r="J753" s="27" t="s">
        <v>7</v>
      </c>
      <c r="K753" s="27" t="s">
        <v>8</v>
      </c>
      <c r="L753" s="27" t="s">
        <v>7</v>
      </c>
      <c r="Q753" s="27" t="s">
        <v>8</v>
      </c>
      <c r="R753" s="27" t="s">
        <v>7</v>
      </c>
      <c r="U753" s="27" t="s">
        <v>8</v>
      </c>
    </row>
    <row r="754" spans="1:21" x14ac:dyDescent="0.25">
      <c r="A754" s="7">
        <v>3.6624467226698605E-2</v>
      </c>
      <c r="B754"/>
      <c r="C754"/>
      <c r="D754"/>
      <c r="E754"/>
      <c r="J754" s="27" t="s">
        <v>7</v>
      </c>
      <c r="K754" s="27" t="s">
        <v>8</v>
      </c>
      <c r="L754" s="27" t="s">
        <v>7</v>
      </c>
      <c r="Q754" s="27" t="s">
        <v>8</v>
      </c>
      <c r="R754" s="27" t="s">
        <v>7</v>
      </c>
      <c r="U754" s="27" t="s">
        <v>8</v>
      </c>
    </row>
    <row r="755" spans="1:21" x14ac:dyDescent="0.25">
      <c r="A755" s="7">
        <v>3.5906340418331961E-2</v>
      </c>
      <c r="B755"/>
      <c r="C755"/>
      <c r="D755"/>
      <c r="E755"/>
      <c r="J755" s="27" t="s">
        <v>7</v>
      </c>
      <c r="K755" s="27" t="s">
        <v>8</v>
      </c>
      <c r="L755" s="27" t="s">
        <v>7</v>
      </c>
      <c r="Q755" s="27" t="s">
        <v>8</v>
      </c>
      <c r="R755" s="27" t="s">
        <v>7</v>
      </c>
      <c r="U755" s="27" t="s">
        <v>8</v>
      </c>
    </row>
    <row r="756" spans="1:21" x14ac:dyDescent="0.25">
      <c r="A756" s="7">
        <v>3.5202294527776436E-2</v>
      </c>
      <c r="B756"/>
      <c r="C756"/>
      <c r="D756"/>
      <c r="E756"/>
      <c r="J756" s="27" t="s">
        <v>7</v>
      </c>
      <c r="K756" s="27" t="s">
        <v>8</v>
      </c>
      <c r="L756" s="27" t="s">
        <v>7</v>
      </c>
      <c r="M756" s="27" t="s">
        <v>8</v>
      </c>
      <c r="O756" s="27" t="s">
        <v>8</v>
      </c>
      <c r="Q756" s="27" t="s">
        <v>8</v>
      </c>
      <c r="R756" s="27" t="s">
        <v>7</v>
      </c>
      <c r="U756" s="27" t="s">
        <v>8</v>
      </c>
    </row>
    <row r="757" spans="1:21" x14ac:dyDescent="0.25">
      <c r="A757" s="7">
        <v>3.451205345860435E-2</v>
      </c>
      <c r="B757"/>
      <c r="C757"/>
      <c r="D757"/>
      <c r="E757"/>
      <c r="J757" s="27" t="s">
        <v>7</v>
      </c>
      <c r="K757" s="27" t="s">
        <v>8</v>
      </c>
      <c r="L757" s="27" t="s">
        <v>7</v>
      </c>
      <c r="M757" s="27" t="s">
        <v>8</v>
      </c>
      <c r="N757" s="27" t="s">
        <v>7</v>
      </c>
      <c r="O757" s="27" t="s">
        <v>8</v>
      </c>
      <c r="P757" s="27" t="s">
        <v>7</v>
      </c>
      <c r="Q757" s="27" t="s">
        <v>8</v>
      </c>
      <c r="R757" s="27" t="s">
        <v>7</v>
      </c>
      <c r="U757" s="27" t="s">
        <v>8</v>
      </c>
    </row>
    <row r="758" spans="1:21" x14ac:dyDescent="0.25">
      <c r="A758" s="7">
        <v>3.3835346528043479E-2</v>
      </c>
      <c r="B758"/>
      <c r="C758"/>
      <c r="D758"/>
      <c r="E758"/>
      <c r="J758" s="27" t="s">
        <v>7</v>
      </c>
      <c r="L758" s="27" t="s">
        <v>7</v>
      </c>
      <c r="M758" s="27" t="s">
        <v>8</v>
      </c>
      <c r="N758" s="27" t="s">
        <v>7</v>
      </c>
      <c r="O758" s="27" t="s">
        <v>8</v>
      </c>
      <c r="P758" s="27" t="s">
        <v>7</v>
      </c>
      <c r="Q758" s="27" t="s">
        <v>8</v>
      </c>
      <c r="R758" s="27" t="s">
        <v>7</v>
      </c>
      <c r="U758" s="27" t="s">
        <v>8</v>
      </c>
    </row>
    <row r="759" spans="1:21" x14ac:dyDescent="0.25">
      <c r="A759" s="7">
        <v>3.3171908360826938E-2</v>
      </c>
      <c r="B759"/>
      <c r="C759"/>
      <c r="D759"/>
      <c r="E759"/>
      <c r="L759" s="27" t="s">
        <v>7</v>
      </c>
      <c r="M759" s="27" t="s">
        <v>8</v>
      </c>
      <c r="N759" s="27" t="s">
        <v>7</v>
      </c>
      <c r="O759" s="27" t="s">
        <v>8</v>
      </c>
      <c r="P759" s="27" t="s">
        <v>7</v>
      </c>
      <c r="Q759" s="27" t="s">
        <v>8</v>
      </c>
      <c r="R759" s="27" t="s">
        <v>7</v>
      </c>
      <c r="U759" s="27" t="s">
        <v>8</v>
      </c>
    </row>
    <row r="760" spans="1:21" x14ac:dyDescent="0.25">
      <c r="A760" s="7">
        <v>3.2521478785124451E-2</v>
      </c>
      <c r="B760"/>
      <c r="C760"/>
      <c r="D760"/>
      <c r="E760"/>
      <c r="L760" s="27" t="s">
        <v>7</v>
      </c>
      <c r="M760" s="27" t="s">
        <v>8</v>
      </c>
      <c r="N760" s="27" t="s">
        <v>7</v>
      </c>
      <c r="O760" s="27" t="s">
        <v>8</v>
      </c>
      <c r="P760" s="27" t="s">
        <v>7</v>
      </c>
      <c r="Q760" s="27" t="s">
        <v>8</v>
      </c>
      <c r="R760" s="27" t="s">
        <v>7</v>
      </c>
      <c r="U760" s="27" t="s">
        <v>8</v>
      </c>
    </row>
    <row r="761" spans="1:21" x14ac:dyDescent="0.25">
      <c r="A761" s="7">
        <v>3.1883802730514173E-2</v>
      </c>
      <c r="B761"/>
      <c r="C761"/>
      <c r="D761"/>
      <c r="E761"/>
      <c r="L761" s="27" t="s">
        <v>7</v>
      </c>
      <c r="M761" s="27" t="s">
        <v>8</v>
      </c>
      <c r="N761" s="27" t="s">
        <v>7</v>
      </c>
      <c r="O761" s="27" t="s">
        <v>8</v>
      </c>
      <c r="P761" s="27" t="s">
        <v>7</v>
      </c>
      <c r="R761" s="27" t="s">
        <v>7</v>
      </c>
      <c r="U761" s="27" t="s">
        <v>8</v>
      </c>
    </row>
    <row r="762" spans="1:21" x14ac:dyDescent="0.25">
      <c r="A762" s="7">
        <v>3.1258630127955073E-2</v>
      </c>
      <c r="B762"/>
      <c r="C762"/>
      <c r="D762"/>
      <c r="E762"/>
      <c r="L762" s="27" t="s">
        <v>7</v>
      </c>
      <c r="M762" s="27" t="s">
        <v>8</v>
      </c>
      <c r="N762" s="27" t="s">
        <v>7</v>
      </c>
      <c r="O762" s="27" t="s">
        <v>8</v>
      </c>
      <c r="R762" s="27" t="s">
        <v>7</v>
      </c>
      <c r="U762" s="27" t="s">
        <v>8</v>
      </c>
    </row>
    <row r="763" spans="1:21" x14ac:dyDescent="0.25">
      <c r="A763" s="7">
        <v>3.064571581172066E-2</v>
      </c>
      <c r="B763"/>
      <c r="C763"/>
      <c r="D763"/>
      <c r="E763"/>
      <c r="L763" s="27" t="s">
        <v>7</v>
      </c>
      <c r="M763" s="27" t="s">
        <v>8</v>
      </c>
      <c r="N763" s="27" t="s">
        <v>7</v>
      </c>
      <c r="R763" s="27" t="s">
        <v>7</v>
      </c>
      <c r="U763" s="27" t="s">
        <v>8</v>
      </c>
    </row>
    <row r="764" spans="1:21" x14ac:dyDescent="0.25">
      <c r="A764" s="7">
        <v>3.0044819423255549E-2</v>
      </c>
      <c r="B764"/>
      <c r="C764"/>
      <c r="D764"/>
      <c r="E764"/>
      <c r="L764" s="27" t="s">
        <v>7</v>
      </c>
      <c r="M764" s="27" t="s">
        <v>8</v>
      </c>
      <c r="R764" s="27" t="s">
        <v>7</v>
      </c>
      <c r="S764" s="27" t="s">
        <v>8</v>
      </c>
      <c r="U764" s="27" t="s">
        <v>8</v>
      </c>
    </row>
    <row r="765" spans="1:21" x14ac:dyDescent="0.25">
      <c r="A765" s="7">
        <v>2.9455705316917203E-2</v>
      </c>
      <c r="B765"/>
      <c r="C765"/>
      <c r="D765"/>
      <c r="E765"/>
      <c r="L765" s="27" t="s">
        <v>7</v>
      </c>
      <c r="R765" s="27" t="s">
        <v>7</v>
      </c>
      <c r="S765" s="27" t="s">
        <v>8</v>
      </c>
      <c r="T765" s="27" t="s">
        <v>7</v>
      </c>
      <c r="U765" s="27" t="s">
        <v>8</v>
      </c>
    </row>
    <row r="766" spans="1:21" x14ac:dyDescent="0.25">
      <c r="A766" s="7">
        <v>2.8878142467565884E-2</v>
      </c>
      <c r="B766"/>
      <c r="C766"/>
      <c r="D766"/>
      <c r="E766"/>
      <c r="R766" s="27" t="s">
        <v>7</v>
      </c>
      <c r="S766" s="27" t="s">
        <v>8</v>
      </c>
      <c r="T766" s="27" t="s">
        <v>7</v>
      </c>
      <c r="U766" s="27" t="s">
        <v>8</v>
      </c>
    </row>
    <row r="767" spans="1:21" x14ac:dyDescent="0.25">
      <c r="A767" s="7">
        <v>2.8311904379966554E-2</v>
      </c>
      <c r="B767"/>
      <c r="C767"/>
      <c r="D767"/>
      <c r="E767"/>
      <c r="R767" s="27" t="s">
        <v>7</v>
      </c>
      <c r="S767" s="27" t="s">
        <v>8</v>
      </c>
      <c r="T767" s="27" t="s">
        <v>7</v>
      </c>
      <c r="U767" s="27" t="s">
        <v>8</v>
      </c>
    </row>
    <row r="768" spans="1:21" x14ac:dyDescent="0.25">
      <c r="A768" s="7">
        <v>2.7756768999967207E-2</v>
      </c>
      <c r="B768"/>
      <c r="C768"/>
      <c r="D768"/>
      <c r="E768"/>
      <c r="R768" s="27" t="s">
        <v>7</v>
      </c>
      <c r="S768" s="27" t="s">
        <v>8</v>
      </c>
      <c r="T768" s="27" t="s">
        <v>7</v>
      </c>
      <c r="U768" s="27" t="s">
        <v>8</v>
      </c>
    </row>
    <row r="769" spans="1:21" x14ac:dyDescent="0.25">
      <c r="A769" s="7">
        <v>2.7212518627418834E-2</v>
      </c>
      <c r="B769"/>
      <c r="C769"/>
      <c r="D769"/>
      <c r="E769"/>
      <c r="R769" s="27" t="s">
        <v>7</v>
      </c>
      <c r="S769" s="27" t="s">
        <v>8</v>
      </c>
      <c r="T769" s="27" t="s">
        <v>7</v>
      </c>
      <c r="U769" s="27" t="s">
        <v>8</v>
      </c>
    </row>
    <row r="770" spans="1:21" x14ac:dyDescent="0.25">
      <c r="A770" s="7">
        <v>2.6678939830802779E-2</v>
      </c>
      <c r="B770"/>
      <c r="C770"/>
      <c r="D770"/>
      <c r="E770"/>
      <c r="R770" s="27" t="s">
        <v>7</v>
      </c>
      <c r="S770" s="27" t="s">
        <v>8</v>
      </c>
      <c r="T770" s="27" t="s">
        <v>7</v>
      </c>
      <c r="U770" s="27" t="s">
        <v>8</v>
      </c>
    </row>
    <row r="771" spans="1:21" x14ac:dyDescent="0.25">
      <c r="A771" s="7">
        <v>2.615582336353214E-2</v>
      </c>
      <c r="B771"/>
      <c r="C771"/>
      <c r="D771"/>
      <c r="E771"/>
      <c r="R771" s="27" t="s">
        <v>7</v>
      </c>
      <c r="S771" s="27" t="s">
        <v>8</v>
      </c>
      <c r="T771" s="27" t="s">
        <v>7</v>
      </c>
    </row>
    <row r="772" spans="1:21" x14ac:dyDescent="0.25">
      <c r="A772" s="7">
        <v>2.5642964081894253E-2</v>
      </c>
      <c r="B772"/>
      <c r="C772"/>
      <c r="D772"/>
      <c r="E772"/>
      <c r="R772" s="27" t="s">
        <v>7</v>
      </c>
      <c r="S772" s="27" t="s">
        <v>8</v>
      </c>
    </row>
    <row r="773" spans="1:21" x14ac:dyDescent="0.25">
      <c r="A773" s="7">
        <v>2.5140160864602207E-2</v>
      </c>
      <c r="B773"/>
      <c r="C773"/>
      <c r="D773"/>
      <c r="E773"/>
      <c r="R773" s="27" t="s">
        <v>7</v>
      </c>
      <c r="S773" s="27" t="s">
        <v>8</v>
      </c>
    </row>
    <row r="774" spans="1:21" x14ac:dyDescent="0.25">
      <c r="A774" s="7">
        <v>2.4647216533923735E-2</v>
      </c>
      <c r="B774"/>
      <c r="C774"/>
      <c r="D774"/>
      <c r="E774"/>
      <c r="R774" s="27" t="s">
        <v>7</v>
      </c>
      <c r="S774" s="27" t="s">
        <v>8</v>
      </c>
    </row>
    <row r="775" spans="1:21" x14ac:dyDescent="0.25">
      <c r="A775" s="7">
        <v>2.4163937778356601E-2</v>
      </c>
      <c r="B775"/>
      <c r="C775"/>
      <c r="D775"/>
      <c r="E775"/>
      <c r="R775" s="27" t="s">
        <v>7</v>
      </c>
    </row>
    <row r="776" spans="1:21" x14ac:dyDescent="0.25">
      <c r="A776" s="7">
        <v>2.3690135076820197E-2</v>
      </c>
      <c r="B776"/>
      <c r="C776"/>
      <c r="D776"/>
      <c r="E776"/>
    </row>
    <row r="777" spans="1:21" x14ac:dyDescent="0.25">
      <c r="A777" s="7">
        <v>2.3225622624333527E-2</v>
      </c>
      <c r="B777"/>
      <c r="C777"/>
      <c r="D777"/>
      <c r="E777"/>
    </row>
    <row r="778" spans="1:21" x14ac:dyDescent="0.25">
      <c r="A778" s="7">
        <v>2.2770218259150519E-2</v>
      </c>
      <c r="B778"/>
      <c r="C778"/>
      <c r="D778"/>
      <c r="E778"/>
    </row>
    <row r="779" spans="1:21" x14ac:dyDescent="0.25">
      <c r="A779" s="7">
        <v>2.2323743391324039E-2</v>
      </c>
      <c r="B779"/>
      <c r="C779"/>
      <c r="D779"/>
      <c r="E779"/>
    </row>
    <row r="780" spans="1:21" x14ac:dyDescent="0.25">
      <c r="A780" s="7">
        <v>2.188602293267063E-2</v>
      </c>
      <c r="B780"/>
      <c r="C780"/>
      <c r="D780"/>
      <c r="E780"/>
    </row>
    <row r="781" spans="1:21" x14ac:dyDescent="0.25">
      <c r="A781" s="7">
        <v>2.1456885228108461E-2</v>
      </c>
      <c r="B781"/>
      <c r="C781"/>
      <c r="D781"/>
      <c r="E781"/>
    </row>
    <row r="782" spans="1:21" x14ac:dyDescent="0.25">
      <c r="A782" s="7">
        <v>2.1036161988341632E-2</v>
      </c>
      <c r="B782"/>
      <c r="C782"/>
      <c r="D782"/>
      <c r="E782"/>
    </row>
    <row r="783" spans="1:21" x14ac:dyDescent="0.25">
      <c r="A783" s="7">
        <v>2.0623688223864345E-2</v>
      </c>
      <c r="B783"/>
      <c r="C783"/>
      <c r="D783"/>
      <c r="E783"/>
    </row>
    <row r="784" spans="1:21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80" operator="equal">
      <formula>$U$1</formula>
    </cfRule>
    <cfRule type="cellIs" dxfId="89" priority="881" operator="equal">
      <formula>$S$1</formula>
    </cfRule>
  </conditionalFormatting>
  <conditionalFormatting sqref="D27">
    <cfRule type="cellIs" dxfId="88" priority="878" operator="equal">
      <formula>$S$1</formula>
    </cfRule>
    <cfRule type="cellIs" dxfId="87" priority="879" operator="equal">
      <formula>$U$1</formula>
    </cfRule>
  </conditionalFormatting>
  <conditionalFormatting sqref="C164">
    <cfRule type="cellIs" dxfId="86" priority="876" operator="equal">
      <formula>$U$1</formula>
    </cfRule>
    <cfRule type="cellIs" dxfId="85" priority="877" operator="equal">
      <formula>$S$1</formula>
    </cfRule>
  </conditionalFormatting>
  <conditionalFormatting sqref="D164">
    <cfRule type="cellIs" dxfId="84" priority="874" operator="equal">
      <formula>$S$1</formula>
    </cfRule>
    <cfRule type="cellIs" dxfId="83" priority="875" operator="equal">
      <formula>$U$1</formula>
    </cfRule>
  </conditionalFormatting>
  <conditionalFormatting sqref="C55">
    <cfRule type="cellIs" dxfId="82" priority="872" operator="equal">
      <formula>$U$1</formula>
    </cfRule>
    <cfRule type="cellIs" dxfId="81" priority="873" operator="equal">
      <formula>$S$1</formula>
    </cfRule>
  </conditionalFormatting>
  <conditionalFormatting sqref="D55">
    <cfRule type="cellIs" dxfId="80" priority="870" operator="equal">
      <formula>$S$1</formula>
    </cfRule>
    <cfRule type="cellIs" dxfId="79" priority="871" operator="equal">
      <formula>$U$1</formula>
    </cfRule>
  </conditionalFormatting>
  <conditionalFormatting sqref="C89">
    <cfRule type="cellIs" dxfId="78" priority="868" operator="equal">
      <formula>$U$1</formula>
    </cfRule>
    <cfRule type="cellIs" dxfId="77" priority="869" operator="equal">
      <formula>$S$1</formula>
    </cfRule>
  </conditionalFormatting>
  <conditionalFormatting sqref="D89">
    <cfRule type="cellIs" dxfId="76" priority="866" operator="equal">
      <formula>$S$1</formula>
    </cfRule>
    <cfRule type="cellIs" dxfId="75" priority="867" operator="equal">
      <formula>$U$1</formula>
    </cfRule>
  </conditionalFormatting>
  <conditionalFormatting sqref="C136">
    <cfRule type="cellIs" dxfId="74" priority="864" operator="equal">
      <formula>$U$1</formula>
    </cfRule>
    <cfRule type="cellIs" dxfId="73" priority="865" operator="equal">
      <formula>$S$1</formula>
    </cfRule>
  </conditionalFormatting>
  <conditionalFormatting sqref="D136">
    <cfRule type="cellIs" dxfId="72" priority="862" operator="equal">
      <formula>$S$1</formula>
    </cfRule>
    <cfRule type="cellIs" dxfId="71" priority="863" operator="equal">
      <formula>$U$1</formula>
    </cfRule>
  </conditionalFormatting>
  <conditionalFormatting sqref="C1">
    <cfRule type="cellIs" dxfId="70" priority="86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1" zoomScale="85" zoomScaleNormal="85" workbookViewId="0">
      <pane xSplit="4" topLeftCell="BY1" activePane="topRight" state="frozen"/>
      <selection activeCell="A109" sqref="A109"/>
      <selection pane="topRight" activeCell="EM258" sqref="EM25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$A$257</v>
      </c>
      <c r="D111" s="1" t="str">
        <f>ADDRESS(C121-1,D121,1,1)</f>
        <v>$EM$257</v>
      </c>
      <c r="E111"/>
    </row>
    <row r="112" spans="1:5" x14ac:dyDescent="0.25">
      <c r="A112" s="30">
        <v>515.50191262726139</v>
      </c>
      <c r="C112" s="1" t="str">
        <f>ADDRESS(C121,1,1,1)</f>
        <v>$A$258</v>
      </c>
      <c r="D112" s="1" t="str">
        <f>ADDRESS(C121,D121-1,1,1)</f>
        <v>$EL$258</v>
      </c>
      <c r="E112"/>
    </row>
    <row r="113" spans="1:5" x14ac:dyDescent="0.25">
      <c r="A113" s="30">
        <v>490.95420250215363</v>
      </c>
      <c r="C113" s="1" t="str">
        <f>ADDRESS(C121+1,1,1,1)</f>
        <v>$A$259</v>
      </c>
      <c r="D113" s="1" t="str">
        <f>ADDRESS(C121-1,D121+1,1,1)</f>
        <v>$EN$257</v>
      </c>
    </row>
    <row r="114" spans="1:5" x14ac:dyDescent="0.25">
      <c r="A114" s="30">
        <v>467.57543095443202</v>
      </c>
      <c r="C114" s="1" t="str">
        <f>ADDRESS(C121,D121,1,1)</f>
        <v>$EM$258</v>
      </c>
      <c r="D114" s="1" t="str">
        <f>ADDRESS(C121+1,D121+1,1,1)</f>
        <v>$EN$259</v>
      </c>
    </row>
    <row r="115" spans="1:5" x14ac:dyDescent="0.25">
      <c r="A115" s="30">
        <v>445.30993424231622</v>
      </c>
      <c r="C115" s="1" t="str">
        <f>ADDRESS(C121+1,D121,1,1)</f>
        <v>$EM$259</v>
      </c>
    </row>
    <row r="116" spans="1:5" x14ac:dyDescent="0.25">
      <c r="A116" s="30">
        <v>424.10469927839637</v>
      </c>
      <c r="C116" s="1">
        <f>C117-1</f>
        <v>257</v>
      </c>
    </row>
    <row r="117" spans="1:5" x14ac:dyDescent="0.25">
      <c r="A117" s="30">
        <v>403.9092374079965</v>
      </c>
      <c r="C117" s="1">
        <f>C121</f>
        <v>258</v>
      </c>
      <c r="D117" s="1">
        <f>D121</f>
        <v>143</v>
      </c>
    </row>
    <row r="118" spans="1:5" x14ac:dyDescent="0.25">
      <c r="A118" s="30">
        <v>384.6754641980919</v>
      </c>
      <c r="C118" s="1">
        <f>C117+1</f>
        <v>259</v>
      </c>
      <c r="D118" s="1">
        <f>D117+1</f>
        <v>144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258</v>
      </c>
      <c r="D121" s="19">
        <v>143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R258</v>
      </c>
      <c r="D123" s="1" t="str">
        <f>"C"&amp;D121</f>
        <v>C143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0.41552065486748019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79" x14ac:dyDescent="0.25">
      <c r="A209" s="30">
        <v>4.5380394939082018</v>
      </c>
      <c r="E209"/>
    </row>
    <row r="210" spans="1:79" x14ac:dyDescent="0.25">
      <c r="A210" s="30">
        <v>4.3219423751506678</v>
      </c>
      <c r="C210"/>
      <c r="E210"/>
    </row>
    <row r="211" spans="1:79" x14ac:dyDescent="0.25">
      <c r="A211" s="30">
        <v>4.1161355953815884</v>
      </c>
      <c r="E211"/>
    </row>
    <row r="212" spans="1:79" x14ac:dyDescent="0.25">
      <c r="A212" s="30">
        <v>3.9201291384586554</v>
      </c>
      <c r="E212"/>
    </row>
    <row r="213" spans="1:79" x14ac:dyDescent="0.25">
      <c r="A213" s="30">
        <v>3.7334563223415764</v>
      </c>
      <c r="E213"/>
    </row>
    <row r="214" spans="1:79" x14ac:dyDescent="0.25">
      <c r="A214" s="30">
        <v>3.5556726879443583</v>
      </c>
      <c r="E214"/>
    </row>
    <row r="215" spans="1:79" x14ac:dyDescent="0.25">
      <c r="A215" s="30">
        <v>3.3863549408993889</v>
      </c>
      <c r="E215"/>
    </row>
    <row r="216" spans="1:79" x14ac:dyDescent="0.25">
      <c r="A216" s="30">
        <v>3.2250999437137038</v>
      </c>
      <c r="E216"/>
    </row>
    <row r="217" spans="1:79" x14ac:dyDescent="0.25">
      <c r="A217" s="30">
        <v>3.0715237559178128</v>
      </c>
      <c r="E217"/>
    </row>
    <row r="218" spans="1:79" x14ac:dyDescent="0.25">
      <c r="A218" s="30">
        <v>2.9252607199217264</v>
      </c>
      <c r="E218"/>
      <c r="AU218" s="27" t="s">
        <v>8</v>
      </c>
    </row>
    <row r="219" spans="1:79" x14ac:dyDescent="0.25">
      <c r="A219" s="30">
        <v>2.7859625904016441</v>
      </c>
      <c r="E219"/>
      <c r="AU219" s="27" t="s">
        <v>8</v>
      </c>
      <c r="AV219" s="27" t="s">
        <v>7</v>
      </c>
    </row>
    <row r="220" spans="1:79" x14ac:dyDescent="0.25">
      <c r="A220" s="30">
        <v>2.6532977051444226</v>
      </c>
      <c r="E220"/>
      <c r="AU220" s="27" t="s">
        <v>8</v>
      </c>
      <c r="AV220" s="27" t="s">
        <v>7</v>
      </c>
    </row>
    <row r="221" spans="1:79" x14ac:dyDescent="0.25">
      <c r="A221" s="30">
        <v>2.5269501953756404</v>
      </c>
      <c r="E221"/>
      <c r="AU221" s="27" t="s">
        <v>8</v>
      </c>
      <c r="AV221" s="27" t="s">
        <v>7</v>
      </c>
      <c r="AW221" s="27" t="s">
        <v>8</v>
      </c>
    </row>
    <row r="222" spans="1:79" x14ac:dyDescent="0.25">
      <c r="A222" s="30">
        <v>2.4066192336910861</v>
      </c>
      <c r="E222"/>
      <c r="AU222" s="27" t="s">
        <v>8</v>
      </c>
      <c r="AV222" s="27" t="s">
        <v>7</v>
      </c>
      <c r="AW222" s="27" t="s">
        <v>8</v>
      </c>
      <c r="AX222" s="27" t="s">
        <v>7</v>
      </c>
      <c r="AY222" s="27" t="s">
        <v>8</v>
      </c>
      <c r="BY222" s="31" t="s">
        <v>8</v>
      </c>
    </row>
    <row r="223" spans="1:79" x14ac:dyDescent="0.25">
      <c r="A223" s="30">
        <v>2.2920183178010345</v>
      </c>
      <c r="E223"/>
      <c r="AS223" s="27" t="s">
        <v>8</v>
      </c>
      <c r="AU223" s="27" t="s">
        <v>8</v>
      </c>
      <c r="AV223" s="27" t="s">
        <v>7</v>
      </c>
      <c r="AW223" s="27" t="s">
        <v>8</v>
      </c>
      <c r="AX223" s="27" t="s">
        <v>7</v>
      </c>
      <c r="AY223" s="27" t="s">
        <v>8</v>
      </c>
      <c r="AZ223" s="27" t="s">
        <v>7</v>
      </c>
      <c r="BM223" s="27" t="s">
        <v>8</v>
      </c>
      <c r="BY223" s="27" t="s">
        <v>8</v>
      </c>
      <c r="BZ223" s="31" t="s">
        <v>7</v>
      </c>
    </row>
    <row r="224" spans="1:79" x14ac:dyDescent="0.25">
      <c r="A224" s="30">
        <v>2.1828745883819374</v>
      </c>
      <c r="E224"/>
      <c r="AS224" s="27" t="s">
        <v>8</v>
      </c>
      <c r="AT224" s="27" t="s">
        <v>7</v>
      </c>
      <c r="AU224" s="27" t="s">
        <v>8</v>
      </c>
      <c r="AV224" s="27" t="s">
        <v>7</v>
      </c>
      <c r="AW224" s="27" t="s">
        <v>8</v>
      </c>
      <c r="AX224" s="27" t="s">
        <v>7</v>
      </c>
      <c r="AY224" s="27" t="s">
        <v>8</v>
      </c>
      <c r="AZ224" s="27" t="s">
        <v>7</v>
      </c>
      <c r="BM224" s="27" t="s">
        <v>8</v>
      </c>
      <c r="BN224" s="27" t="s">
        <v>7</v>
      </c>
      <c r="BW224" s="27" t="s">
        <v>8</v>
      </c>
      <c r="BY224" s="27" t="s">
        <v>8</v>
      </c>
      <c r="BZ224" s="27" t="s">
        <v>7</v>
      </c>
      <c r="CA224" s="31"/>
    </row>
    <row r="225" spans="1:132" x14ac:dyDescent="0.25">
      <c r="A225" s="30">
        <v>2.0789281794113688</v>
      </c>
      <c r="E225"/>
      <c r="AS225" s="27" t="s">
        <v>8</v>
      </c>
      <c r="AT225" s="27" t="s">
        <v>7</v>
      </c>
      <c r="AU225" s="27" t="s">
        <v>8</v>
      </c>
      <c r="AV225" s="27" t="s">
        <v>7</v>
      </c>
      <c r="AW225" s="27" t="s">
        <v>8</v>
      </c>
      <c r="AX225" s="27" t="s">
        <v>7</v>
      </c>
      <c r="AY225" s="27" t="s">
        <v>8</v>
      </c>
      <c r="AZ225" s="27" t="s">
        <v>7</v>
      </c>
      <c r="BG225" s="27" t="s">
        <v>8</v>
      </c>
      <c r="BM225" s="27" t="s">
        <v>8</v>
      </c>
      <c r="BN225" s="27" t="s">
        <v>7</v>
      </c>
      <c r="BO225" s="27" t="s">
        <v>8</v>
      </c>
      <c r="BW225" s="27" t="s">
        <v>8</v>
      </c>
      <c r="BX225" s="27" t="s">
        <v>7</v>
      </c>
      <c r="BY225" s="27" t="s">
        <v>8</v>
      </c>
      <c r="BZ225" s="27" t="s">
        <v>7</v>
      </c>
      <c r="CB225" s="31"/>
    </row>
    <row r="226" spans="1:132" x14ac:dyDescent="0.25">
      <c r="A226" s="30">
        <v>1.9799315994393987</v>
      </c>
      <c r="E226"/>
      <c r="AS226" s="27" t="s">
        <v>8</v>
      </c>
      <c r="AT226" s="27" t="s">
        <v>7</v>
      </c>
      <c r="AU226" s="27" t="s">
        <v>8</v>
      </c>
      <c r="AV226" s="27" t="s">
        <v>7</v>
      </c>
      <c r="AW226" s="27" t="s">
        <v>8</v>
      </c>
      <c r="AX226" s="27" t="s">
        <v>7</v>
      </c>
      <c r="AZ226" s="27" t="s">
        <v>7</v>
      </c>
      <c r="BG226" s="27" t="s">
        <v>8</v>
      </c>
      <c r="BH226" s="27" t="s">
        <v>7</v>
      </c>
      <c r="BM226" s="27" t="s">
        <v>8</v>
      </c>
      <c r="BN226" s="27" t="s">
        <v>7</v>
      </c>
      <c r="BO226" s="27" t="s">
        <v>8</v>
      </c>
      <c r="BP226" s="27" t="s">
        <v>7</v>
      </c>
      <c r="BW226" s="27" t="s">
        <v>8</v>
      </c>
      <c r="BX226" s="27" t="s">
        <v>7</v>
      </c>
      <c r="BY226" s="27" t="s">
        <v>8</v>
      </c>
      <c r="BZ226" s="27" t="s">
        <v>7</v>
      </c>
      <c r="CA226" s="27" t="s">
        <v>8</v>
      </c>
      <c r="CC226" s="31"/>
    </row>
    <row r="227" spans="1:132" x14ac:dyDescent="0.25">
      <c r="A227" s="30">
        <v>1.8856491423232367</v>
      </c>
      <c r="E227"/>
      <c r="AS227" s="27" t="s">
        <v>8</v>
      </c>
      <c r="AT227" s="27" t="s">
        <v>7</v>
      </c>
      <c r="AU227" s="27" t="s">
        <v>8</v>
      </c>
      <c r="AV227" s="27" t="s">
        <v>7</v>
      </c>
      <c r="AZ227" s="27" t="s">
        <v>7</v>
      </c>
      <c r="BG227" s="27" t="s">
        <v>8</v>
      </c>
      <c r="BH227" s="27" t="s">
        <v>7</v>
      </c>
      <c r="BI227" s="27" t="s">
        <v>8</v>
      </c>
      <c r="BM227" s="33" t="s">
        <v>8</v>
      </c>
      <c r="BN227" s="27" t="s">
        <v>7</v>
      </c>
      <c r="BO227" s="27" t="s">
        <v>8</v>
      </c>
      <c r="BP227" s="27" t="s">
        <v>7</v>
      </c>
      <c r="BW227" s="27" t="s">
        <v>8</v>
      </c>
      <c r="BX227" s="27" t="s">
        <v>7</v>
      </c>
      <c r="BY227" s="27" t="s">
        <v>8</v>
      </c>
      <c r="BZ227" s="27" t="s">
        <v>7</v>
      </c>
      <c r="CA227" s="27" t="s">
        <v>8</v>
      </c>
      <c r="CB227" s="27" t="s">
        <v>7</v>
      </c>
      <c r="CD227" s="31"/>
    </row>
    <row r="228" spans="1:132" x14ac:dyDescent="0.25">
      <c r="A228" s="30">
        <v>1.7958563260221301</v>
      </c>
      <c r="C228" s="7"/>
      <c r="D228"/>
      <c r="E228"/>
      <c r="AQ228" s="27" t="s">
        <v>8</v>
      </c>
      <c r="AS228" s="27" t="s">
        <v>8</v>
      </c>
      <c r="AT228" s="27" t="s">
        <v>7</v>
      </c>
      <c r="AZ228" s="27" t="s">
        <v>7</v>
      </c>
      <c r="BC228" s="27" t="s">
        <v>8</v>
      </c>
      <c r="BG228" s="27" t="s">
        <v>8</v>
      </c>
      <c r="BH228" s="27" t="s">
        <v>7</v>
      </c>
      <c r="BI228" s="27" t="s">
        <v>8</v>
      </c>
      <c r="BJ228" s="27" t="s">
        <v>7</v>
      </c>
      <c r="BK228" s="27" t="s">
        <v>8</v>
      </c>
      <c r="BM228" s="27" t="s">
        <v>8</v>
      </c>
      <c r="BN228" s="27" t="s">
        <v>7</v>
      </c>
      <c r="BO228" s="27" t="s">
        <v>8</v>
      </c>
      <c r="BP228" s="27" t="s">
        <v>7</v>
      </c>
      <c r="BW228" s="27" t="s">
        <v>8</v>
      </c>
      <c r="BX228" s="27" t="s">
        <v>7</v>
      </c>
      <c r="BY228" s="27" t="s">
        <v>8</v>
      </c>
      <c r="BZ228" s="27" t="s">
        <v>7</v>
      </c>
      <c r="CA228" s="27" t="s">
        <v>8</v>
      </c>
      <c r="CB228" s="27" t="s">
        <v>7</v>
      </c>
      <c r="CE228" s="31"/>
    </row>
    <row r="229" spans="1:132" x14ac:dyDescent="0.25">
      <c r="A229" s="30">
        <v>1.7103393581163142</v>
      </c>
      <c r="E229"/>
      <c r="AQ229" s="27" t="s">
        <v>8</v>
      </c>
      <c r="AR229" s="27" t="s">
        <v>7</v>
      </c>
      <c r="AS229" s="27" t="s">
        <v>8</v>
      </c>
      <c r="AZ229" s="27" t="s">
        <v>7</v>
      </c>
      <c r="BA229" s="27" t="s">
        <v>8</v>
      </c>
      <c r="BC229" s="27" t="s">
        <v>8</v>
      </c>
      <c r="BD229" s="27" t="s">
        <v>7</v>
      </c>
      <c r="BE229" s="27" t="s">
        <v>8</v>
      </c>
      <c r="BG229" s="27" t="s">
        <v>8</v>
      </c>
      <c r="BH229" s="27" t="s">
        <v>7</v>
      </c>
      <c r="BI229" s="27" t="s">
        <v>8</v>
      </c>
      <c r="BJ229" s="27" t="s">
        <v>7</v>
      </c>
      <c r="BK229" s="27" t="s">
        <v>8</v>
      </c>
      <c r="BL229" s="27" t="s">
        <v>7</v>
      </c>
      <c r="BM229" s="27" t="s">
        <v>8</v>
      </c>
      <c r="BN229" s="27" t="s">
        <v>7</v>
      </c>
      <c r="BO229" s="27" t="s">
        <v>8</v>
      </c>
      <c r="BP229" s="27" t="s">
        <v>7</v>
      </c>
      <c r="BQ229" s="27" t="s">
        <v>8</v>
      </c>
      <c r="BW229" s="27" t="s">
        <v>8</v>
      </c>
      <c r="BX229" s="27" t="s">
        <v>7</v>
      </c>
      <c r="BY229" s="27" t="s">
        <v>8</v>
      </c>
      <c r="BZ229" s="27" t="s">
        <v>7</v>
      </c>
      <c r="CB229" s="27" t="s">
        <v>7</v>
      </c>
      <c r="CF229" s="31"/>
    </row>
    <row r="230" spans="1:132" x14ac:dyDescent="0.25">
      <c r="A230" s="30">
        <v>1.628894626777442</v>
      </c>
      <c r="E230"/>
      <c r="AQ230" s="27" t="s">
        <v>8</v>
      </c>
      <c r="AR230" s="27" t="s">
        <v>7</v>
      </c>
      <c r="AS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D230" s="27" t="s">
        <v>7</v>
      </c>
      <c r="BE230" s="27" t="s">
        <v>8</v>
      </c>
      <c r="BF230" s="27" t="s">
        <v>7</v>
      </c>
      <c r="BG230" s="27" t="s">
        <v>8</v>
      </c>
      <c r="BH230" s="27" t="s">
        <v>7</v>
      </c>
      <c r="BI230" s="27" t="s">
        <v>8</v>
      </c>
      <c r="BJ230" s="27" t="s">
        <v>7</v>
      </c>
      <c r="BK230" s="27" t="s">
        <v>8</v>
      </c>
      <c r="BL230" s="27" t="s">
        <v>7</v>
      </c>
      <c r="BM230" s="27" t="s">
        <v>8</v>
      </c>
      <c r="BN230" s="27" t="s">
        <v>7</v>
      </c>
      <c r="BP230" s="27" t="s">
        <v>7</v>
      </c>
      <c r="BQ230" s="27" t="s">
        <v>8</v>
      </c>
      <c r="BR230" s="27" t="s">
        <v>7</v>
      </c>
      <c r="BU230" s="33" t="s">
        <v>8</v>
      </c>
      <c r="BW230" s="27" t="s">
        <v>8</v>
      </c>
      <c r="BX230" s="27" t="s">
        <v>7</v>
      </c>
      <c r="BY230" s="27" t="s">
        <v>8</v>
      </c>
      <c r="CB230" s="34" t="s">
        <v>7</v>
      </c>
      <c r="CG230" s="31"/>
    </row>
    <row r="231" spans="1:132" x14ac:dyDescent="0.25">
      <c r="A231" s="30">
        <v>1.5513282159785162</v>
      </c>
      <c r="C231"/>
      <c r="D231"/>
      <c r="E231"/>
      <c r="AQ231" s="27" t="s">
        <v>8</v>
      </c>
      <c r="AR231" s="27" t="s">
        <v>7</v>
      </c>
      <c r="AS231" s="27" t="s">
        <v>8</v>
      </c>
      <c r="AZ231" s="27" t="s">
        <v>7</v>
      </c>
      <c r="BA231" s="27" t="s">
        <v>8</v>
      </c>
      <c r="BB231" s="27" t="s">
        <v>7</v>
      </c>
      <c r="BC231" s="27" t="s">
        <v>8</v>
      </c>
      <c r="BD231" s="27" t="s">
        <v>7</v>
      </c>
      <c r="BE231" s="27" t="s">
        <v>8</v>
      </c>
      <c r="BF231" s="27" t="s">
        <v>7</v>
      </c>
      <c r="BG231" s="27" t="s">
        <v>8</v>
      </c>
      <c r="BH231" s="32" t="s">
        <v>7</v>
      </c>
      <c r="BJ231" s="32" t="s">
        <v>7</v>
      </c>
      <c r="BL231" s="27" t="s">
        <v>7</v>
      </c>
      <c r="BM231" s="27" t="s">
        <v>8</v>
      </c>
      <c r="BP231" s="34" t="s">
        <v>7</v>
      </c>
      <c r="BQ231" s="27" t="s">
        <v>8</v>
      </c>
      <c r="BR231" s="27" t="s">
        <v>7</v>
      </c>
      <c r="BS231" s="27" t="s">
        <v>8</v>
      </c>
      <c r="BU231" s="27" t="s">
        <v>8</v>
      </c>
      <c r="BV231" s="27" t="s">
        <v>7</v>
      </c>
      <c r="BW231" s="27" t="s">
        <v>8</v>
      </c>
      <c r="BX231" s="27" t="s">
        <v>7</v>
      </c>
      <c r="CB231" s="27" t="s">
        <v>7</v>
      </c>
      <c r="CH231" s="31"/>
    </row>
    <row r="232" spans="1:132" x14ac:dyDescent="0.25">
      <c r="A232" s="30">
        <v>1.477455443789063</v>
      </c>
      <c r="E232"/>
      <c r="AQ232" s="27" t="s">
        <v>8</v>
      </c>
      <c r="AR232" s="27" t="s">
        <v>7</v>
      </c>
      <c r="AS232" s="27" t="s">
        <v>8</v>
      </c>
      <c r="AZ232" s="27" t="s">
        <v>7</v>
      </c>
      <c r="BA232" s="27" t="s">
        <v>8</v>
      </c>
      <c r="BB232" s="27" t="s">
        <v>7</v>
      </c>
      <c r="BC232" s="27" t="s">
        <v>8</v>
      </c>
      <c r="BD232" s="27" t="s">
        <v>7</v>
      </c>
      <c r="BE232" s="27" t="s">
        <v>8</v>
      </c>
      <c r="BF232" s="27" t="s">
        <v>7</v>
      </c>
      <c r="BG232" s="27" t="s">
        <v>8</v>
      </c>
      <c r="BL232" s="27" t="s">
        <v>7</v>
      </c>
      <c r="BM232" s="27" t="s">
        <v>8</v>
      </c>
      <c r="BP232" s="27" t="s">
        <v>7</v>
      </c>
      <c r="BQ232" s="27" t="s">
        <v>8</v>
      </c>
      <c r="BR232" s="27" t="s">
        <v>7</v>
      </c>
      <c r="BS232" s="27" t="s">
        <v>8</v>
      </c>
      <c r="BT232" s="27" t="s">
        <v>7</v>
      </c>
      <c r="BU232" s="27" t="s">
        <v>8</v>
      </c>
      <c r="BV232" s="27" t="s">
        <v>7</v>
      </c>
      <c r="BW232" s="27" t="s">
        <v>8</v>
      </c>
      <c r="CB232" s="27" t="s">
        <v>7</v>
      </c>
      <c r="CI232" s="31"/>
      <c r="DI232" s="27" t="s">
        <v>8</v>
      </c>
    </row>
    <row r="233" spans="1:132" x14ac:dyDescent="0.25">
      <c r="A233" s="30">
        <v>1.4071004226562505</v>
      </c>
      <c r="E233"/>
      <c r="AQ233" s="27" t="s">
        <v>8</v>
      </c>
      <c r="AR233" s="27" t="s">
        <v>7</v>
      </c>
      <c r="AZ233" s="27" t="s">
        <v>7</v>
      </c>
      <c r="BA233" s="27" t="s">
        <v>8</v>
      </c>
      <c r="BB233" s="27" t="s">
        <v>7</v>
      </c>
      <c r="BD233" s="27" t="s">
        <v>7</v>
      </c>
      <c r="BE233" s="27" t="s">
        <v>8</v>
      </c>
      <c r="BF233" s="27" t="s">
        <v>7</v>
      </c>
      <c r="BG233" s="27" t="s">
        <v>8</v>
      </c>
      <c r="BL233" s="27" t="s">
        <v>7</v>
      </c>
      <c r="BP233" s="27" t="s">
        <v>7</v>
      </c>
      <c r="BR233" s="27" t="s">
        <v>7</v>
      </c>
      <c r="BS233" s="27" t="s">
        <v>8</v>
      </c>
      <c r="BT233" s="27" t="s">
        <v>7</v>
      </c>
      <c r="BU233" s="27" t="s">
        <v>8</v>
      </c>
      <c r="BV233" s="27" t="s">
        <v>7</v>
      </c>
      <c r="BW233" s="27" t="s">
        <v>8</v>
      </c>
      <c r="CB233" s="27" t="s">
        <v>7</v>
      </c>
      <c r="CC233" s="27" t="s">
        <v>8</v>
      </c>
      <c r="CJ233" s="31"/>
      <c r="DI233" s="27" t="s">
        <v>8</v>
      </c>
      <c r="DJ233" s="27" t="s">
        <v>7</v>
      </c>
    </row>
    <row r="234" spans="1:132" x14ac:dyDescent="0.25">
      <c r="A234" s="30">
        <v>1.3400956406250004</v>
      </c>
      <c r="E234"/>
      <c r="AQ234" s="27" t="s">
        <v>8</v>
      </c>
      <c r="AZ234" s="27" t="s">
        <v>7</v>
      </c>
      <c r="BD234" s="27" t="s">
        <v>7</v>
      </c>
      <c r="BE234" s="27" t="s">
        <v>8</v>
      </c>
      <c r="BF234" s="27" t="s">
        <v>7</v>
      </c>
      <c r="BG234" s="27" t="s">
        <v>8</v>
      </c>
      <c r="BR234" s="27" t="s">
        <v>7</v>
      </c>
      <c r="BS234" s="27" t="s">
        <v>8</v>
      </c>
      <c r="BT234" s="27" t="s">
        <v>7</v>
      </c>
      <c r="BU234" s="27" t="s">
        <v>8</v>
      </c>
      <c r="BV234" s="27" t="s">
        <v>7</v>
      </c>
      <c r="BW234" s="27" t="s">
        <v>8</v>
      </c>
      <c r="CB234" s="27" t="s">
        <v>7</v>
      </c>
      <c r="CC234" s="27" t="s">
        <v>8</v>
      </c>
      <c r="CD234" s="27" t="s">
        <v>7</v>
      </c>
      <c r="CK234" s="31"/>
      <c r="DI234" s="27" t="s">
        <v>8</v>
      </c>
      <c r="DJ234" s="27" t="s">
        <v>7</v>
      </c>
    </row>
    <row r="235" spans="1:132" x14ac:dyDescent="0.25">
      <c r="A235" s="30">
        <v>1.2762815625000004</v>
      </c>
      <c r="C235"/>
      <c r="E235"/>
      <c r="AQ235" s="27" t="s">
        <v>8</v>
      </c>
      <c r="BD235" s="27" t="s">
        <v>7</v>
      </c>
      <c r="BE235" s="27" t="s">
        <v>8</v>
      </c>
      <c r="BF235" s="27" t="s">
        <v>7</v>
      </c>
      <c r="BG235" s="27" t="s">
        <v>8</v>
      </c>
      <c r="BR235" s="27" t="s">
        <v>7</v>
      </c>
      <c r="BS235" s="27" t="s">
        <v>8</v>
      </c>
      <c r="BT235" s="27" t="s">
        <v>7</v>
      </c>
      <c r="BU235" s="27" t="s">
        <v>8</v>
      </c>
      <c r="BV235" s="27" t="s">
        <v>7</v>
      </c>
      <c r="BW235" s="27" t="s">
        <v>8</v>
      </c>
      <c r="CB235" s="27" t="s">
        <v>7</v>
      </c>
      <c r="CC235" s="27" t="s">
        <v>8</v>
      </c>
      <c r="CD235" s="27" t="s">
        <v>7</v>
      </c>
      <c r="CL235" s="31"/>
      <c r="DI235" s="27" t="s">
        <v>8</v>
      </c>
      <c r="DJ235" s="27" t="s">
        <v>7</v>
      </c>
      <c r="DM235" s="33" t="s">
        <v>8</v>
      </c>
      <c r="DU235" s="27" t="s">
        <v>8</v>
      </c>
    </row>
    <row r="236" spans="1:132" x14ac:dyDescent="0.25">
      <c r="A236" s="30">
        <v>1.2155062500000002</v>
      </c>
      <c r="E236"/>
      <c r="AQ236" s="27" t="s">
        <v>8</v>
      </c>
      <c r="BD236" s="27" t="s">
        <v>7</v>
      </c>
      <c r="BE236" s="27" t="s">
        <v>8</v>
      </c>
      <c r="BF236" s="27" t="s">
        <v>7</v>
      </c>
      <c r="BG236" s="27" t="s">
        <v>8</v>
      </c>
      <c r="BR236" s="27" t="s">
        <v>7</v>
      </c>
      <c r="BS236" s="27" t="s">
        <v>8</v>
      </c>
      <c r="BT236" s="27" t="s">
        <v>7</v>
      </c>
      <c r="BU236" s="27" t="s">
        <v>8</v>
      </c>
      <c r="BV236" s="27" t="s">
        <v>7</v>
      </c>
      <c r="BW236" s="27" t="s">
        <v>8</v>
      </c>
      <c r="CB236" s="27" t="s">
        <v>7</v>
      </c>
      <c r="CC236" s="27" t="s">
        <v>8</v>
      </c>
      <c r="CD236" s="27" t="s">
        <v>7</v>
      </c>
      <c r="CM236" s="31"/>
      <c r="DG236" s="27" t="s">
        <v>8</v>
      </c>
      <c r="DI236" s="27" t="s">
        <v>8</v>
      </c>
      <c r="DJ236" s="27" t="s">
        <v>7</v>
      </c>
      <c r="DK236" s="27" t="s">
        <v>8</v>
      </c>
      <c r="DM236" s="27" t="s">
        <v>8</v>
      </c>
      <c r="DN236" s="27" t="s">
        <v>7</v>
      </c>
      <c r="DU236" s="27" t="s">
        <v>8</v>
      </c>
      <c r="DV236" s="27" t="s">
        <v>7</v>
      </c>
      <c r="DW236" s="27" t="s">
        <v>8</v>
      </c>
    </row>
    <row r="237" spans="1:13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Q237" s="27" t="s">
        <v>8</v>
      </c>
      <c r="BD237" s="27" t="s">
        <v>7</v>
      </c>
      <c r="BE237" s="27" t="s">
        <v>8</v>
      </c>
      <c r="BF237" s="27" t="s">
        <v>7</v>
      </c>
      <c r="BG237" s="27" t="s">
        <v>8</v>
      </c>
      <c r="BR237" s="27" t="s">
        <v>7</v>
      </c>
      <c r="BS237" s="27" t="s">
        <v>8</v>
      </c>
      <c r="BT237" s="32" t="s">
        <v>7</v>
      </c>
      <c r="BV237" s="32" t="s">
        <v>7</v>
      </c>
      <c r="CB237" s="27" t="s">
        <v>7</v>
      </c>
      <c r="CC237" s="27" t="s">
        <v>8</v>
      </c>
      <c r="CD237" s="27" t="s">
        <v>7</v>
      </c>
      <c r="CN237" s="31"/>
      <c r="DE237" s="27" t="s">
        <v>8</v>
      </c>
      <c r="DG237" s="27" t="s">
        <v>8</v>
      </c>
      <c r="DH237" s="27" t="s">
        <v>7</v>
      </c>
      <c r="DI237" s="27" t="s">
        <v>8</v>
      </c>
      <c r="DJ237" s="27" t="s">
        <v>7</v>
      </c>
      <c r="DK237" s="27" t="s">
        <v>8</v>
      </c>
      <c r="DL237" s="27" t="s">
        <v>7</v>
      </c>
      <c r="DM237" s="27" t="s">
        <v>8</v>
      </c>
      <c r="DN237" s="27" t="s">
        <v>7</v>
      </c>
      <c r="DS237" s="27" t="s">
        <v>8</v>
      </c>
      <c r="DU237" s="27" t="s">
        <v>8</v>
      </c>
      <c r="DV237" s="27" t="s">
        <v>7</v>
      </c>
      <c r="DW237" s="27" t="s">
        <v>8</v>
      </c>
      <c r="DX237" s="27" t="s">
        <v>7</v>
      </c>
    </row>
    <row r="238" spans="1:132" x14ac:dyDescent="0.25">
      <c r="A238" s="30">
        <v>1.1025</v>
      </c>
      <c r="E238"/>
      <c r="AQ238" s="27" t="s">
        <v>8</v>
      </c>
      <c r="BD238" s="27" t="s">
        <v>7</v>
      </c>
      <c r="BE238" s="27" t="s">
        <v>8</v>
      </c>
      <c r="BF238" s="27" t="s">
        <v>7</v>
      </c>
      <c r="BR238" s="27" t="s">
        <v>7</v>
      </c>
      <c r="CB238" s="27" t="s">
        <v>7</v>
      </c>
      <c r="CC238" s="27" t="s">
        <v>8</v>
      </c>
      <c r="CD238" s="27" t="s">
        <v>7</v>
      </c>
      <c r="CO238" s="31"/>
      <c r="DE238" s="33" t="s">
        <v>8</v>
      </c>
      <c r="DF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L238" s="27" t="s">
        <v>7</v>
      </c>
      <c r="DM238" s="27" t="s">
        <v>8</v>
      </c>
      <c r="DN238" s="27" t="s">
        <v>7</v>
      </c>
      <c r="DS238" s="27" t="s">
        <v>8</v>
      </c>
      <c r="DT238" s="27" t="s">
        <v>7</v>
      </c>
      <c r="DU238" s="27" t="s">
        <v>8</v>
      </c>
      <c r="DV238" s="27" t="s">
        <v>7</v>
      </c>
      <c r="DW238" s="27" t="s">
        <v>8</v>
      </c>
      <c r="DX238" s="27" t="s">
        <v>7</v>
      </c>
    </row>
    <row r="239" spans="1:132" x14ac:dyDescent="0.25">
      <c r="A239" s="30">
        <v>1.05</v>
      </c>
      <c r="E239"/>
      <c r="AO239" s="27" t="s">
        <v>8</v>
      </c>
      <c r="AQ239" s="27" t="s">
        <v>8</v>
      </c>
      <c r="BD239" s="27" t="s">
        <v>7</v>
      </c>
      <c r="BE239" s="27" t="s">
        <v>8</v>
      </c>
      <c r="CB239" s="27" t="s">
        <v>7</v>
      </c>
      <c r="CD239" s="27" t="s">
        <v>7</v>
      </c>
      <c r="CE239" s="27" t="s">
        <v>8</v>
      </c>
      <c r="CP239" s="31"/>
      <c r="DA239" s="27" t="s">
        <v>8</v>
      </c>
      <c r="DC239" s="27" t="s">
        <v>8</v>
      </c>
      <c r="DE239" s="27" t="s">
        <v>8</v>
      </c>
      <c r="DF239" s="27" t="s">
        <v>7</v>
      </c>
      <c r="DG239" s="27" t="s">
        <v>8</v>
      </c>
      <c r="DH239" s="27" t="s">
        <v>7</v>
      </c>
      <c r="DJ239" s="27" t="s">
        <v>7</v>
      </c>
      <c r="DK239" s="27" t="s">
        <v>8</v>
      </c>
      <c r="DL239" s="27" t="s">
        <v>7</v>
      </c>
      <c r="DM239" s="27" t="s">
        <v>8</v>
      </c>
      <c r="DN239" s="27" t="s">
        <v>7</v>
      </c>
      <c r="DQ239" s="27" t="s">
        <v>8</v>
      </c>
      <c r="DS239" s="27" t="s">
        <v>8</v>
      </c>
      <c r="DT239" s="27" t="s">
        <v>7</v>
      </c>
      <c r="DU239" s="27" t="s">
        <v>8</v>
      </c>
      <c r="DV239" s="27" t="s">
        <v>7</v>
      </c>
      <c r="DX239" s="27" t="s">
        <v>7</v>
      </c>
      <c r="EA239" s="27" t="s">
        <v>8</v>
      </c>
    </row>
    <row r="240" spans="1:132" x14ac:dyDescent="0.25">
      <c r="A240" s="30">
        <v>1</v>
      </c>
      <c r="E240" s="29" t="s">
        <v>8</v>
      </c>
      <c r="AO240" s="27" t="s">
        <v>8</v>
      </c>
      <c r="AP240" s="27" t="s">
        <v>7</v>
      </c>
      <c r="AQ240" s="27" t="s">
        <v>8</v>
      </c>
      <c r="BD240" s="27" t="s">
        <v>7</v>
      </c>
      <c r="CD240" s="27" t="s">
        <v>7</v>
      </c>
      <c r="CE240" s="27" t="s">
        <v>8</v>
      </c>
      <c r="CF240" s="27" t="s">
        <v>7</v>
      </c>
      <c r="CQ240" s="31"/>
      <c r="CY240" s="27" t="s">
        <v>8</v>
      </c>
      <c r="DA240" s="27" t="s">
        <v>8</v>
      </c>
      <c r="DB240" s="27" t="s">
        <v>7</v>
      </c>
      <c r="DC240" s="27" t="s">
        <v>8</v>
      </c>
      <c r="DD240" s="27" t="s">
        <v>7</v>
      </c>
      <c r="DE240" s="27" t="s">
        <v>8</v>
      </c>
      <c r="DF240" s="27" t="s">
        <v>7</v>
      </c>
      <c r="DJ240" s="34" t="s">
        <v>7</v>
      </c>
      <c r="DK240" s="27" t="s">
        <v>8</v>
      </c>
      <c r="DL240" s="27" t="s">
        <v>7</v>
      </c>
      <c r="DN240" s="27" t="s">
        <v>7</v>
      </c>
      <c r="DP240" s="31"/>
      <c r="DQ240" s="27" t="s">
        <v>8</v>
      </c>
      <c r="DR240" s="27" t="s">
        <v>7</v>
      </c>
      <c r="DS240" s="27" t="s">
        <v>8</v>
      </c>
      <c r="DT240" s="27" t="s">
        <v>7</v>
      </c>
      <c r="DX240" s="27" t="s">
        <v>7</v>
      </c>
      <c r="DY240" s="27" t="s">
        <v>8</v>
      </c>
      <c r="EA240" s="27" t="s">
        <v>8</v>
      </c>
      <c r="EB240" s="27" t="s">
        <v>7</v>
      </c>
    </row>
    <row r="241" spans="1:140" x14ac:dyDescent="0.25">
      <c r="A241" s="30">
        <v>0.952380952380952</v>
      </c>
      <c r="B241"/>
      <c r="C241"/>
      <c r="D241"/>
      <c r="E241"/>
      <c r="F241" s="27" t="s">
        <v>7</v>
      </c>
      <c r="AO241" s="27" t="s">
        <v>8</v>
      </c>
      <c r="AP241" s="27" t="s">
        <v>7</v>
      </c>
      <c r="AQ241" s="27" t="s">
        <v>8</v>
      </c>
      <c r="CD241" s="27" t="s">
        <v>7</v>
      </c>
      <c r="CE241" s="27" t="s">
        <v>8</v>
      </c>
      <c r="CF241" s="27" t="s">
        <v>7</v>
      </c>
      <c r="CG241" s="32" t="s">
        <v>8</v>
      </c>
      <c r="CI241" s="32" t="s">
        <v>8</v>
      </c>
      <c r="CR241" s="31"/>
      <c r="CY241" s="27" t="s">
        <v>8</v>
      </c>
      <c r="CZ241" s="27" t="s">
        <v>7</v>
      </c>
      <c r="DA241" s="27" t="s">
        <v>8</v>
      </c>
      <c r="DB241" s="27" t="s">
        <v>7</v>
      </c>
      <c r="DC241" s="27" t="s">
        <v>8</v>
      </c>
      <c r="DD241" s="27" t="s">
        <v>7</v>
      </c>
      <c r="DE241" s="27" t="s">
        <v>8</v>
      </c>
      <c r="DJ241" s="27" t="s">
        <v>7</v>
      </c>
      <c r="DK241" s="27" t="s">
        <v>8</v>
      </c>
      <c r="DN241" s="34" t="s">
        <v>7</v>
      </c>
      <c r="DO241" s="31" t="s">
        <v>8</v>
      </c>
      <c r="DQ241" s="27" t="s">
        <v>8</v>
      </c>
      <c r="DR241" s="27" t="s">
        <v>7</v>
      </c>
      <c r="DS241" s="27" t="s">
        <v>8</v>
      </c>
      <c r="DX241" s="27" t="s">
        <v>7</v>
      </c>
      <c r="DY241" s="27" t="s">
        <v>8</v>
      </c>
      <c r="DZ241" s="27" t="s">
        <v>7</v>
      </c>
      <c r="EA241" s="27" t="s">
        <v>8</v>
      </c>
      <c r="EB241" s="27" t="s">
        <v>7</v>
      </c>
    </row>
    <row r="242" spans="1:140" x14ac:dyDescent="0.25">
      <c r="A242" s="30">
        <v>0.90702947845804915</v>
      </c>
      <c r="B242"/>
      <c r="C242"/>
      <c r="D242"/>
      <c r="E242"/>
      <c r="F242" s="27" t="s">
        <v>7</v>
      </c>
      <c r="AO242" s="27" t="s">
        <v>8</v>
      </c>
      <c r="AP242" s="27" t="s">
        <v>7</v>
      </c>
      <c r="CD242" s="27" t="s">
        <v>7</v>
      </c>
      <c r="CF242" s="27" t="s">
        <v>7</v>
      </c>
      <c r="CG242" s="27" t="s">
        <v>8</v>
      </c>
      <c r="CH242" s="27" t="s">
        <v>7</v>
      </c>
      <c r="CI242" s="27" t="s">
        <v>8</v>
      </c>
      <c r="CJ242" s="27" t="s">
        <v>7</v>
      </c>
      <c r="CK242" s="27" t="s">
        <v>8</v>
      </c>
      <c r="CS242" s="31"/>
      <c r="CU242" s="27" t="s">
        <v>8</v>
      </c>
      <c r="CY242" s="27" t="s">
        <v>8</v>
      </c>
      <c r="CZ242" s="27" t="s">
        <v>7</v>
      </c>
      <c r="DA242" s="27" t="s">
        <v>8</v>
      </c>
      <c r="DB242" s="27" t="s">
        <v>7</v>
      </c>
      <c r="DD242" s="27" t="s">
        <v>7</v>
      </c>
      <c r="DE242" s="27" t="s">
        <v>8</v>
      </c>
      <c r="DJ242" s="27" t="s">
        <v>7</v>
      </c>
      <c r="DN242" s="31" t="s">
        <v>7</v>
      </c>
      <c r="DO242" s="27" t="s">
        <v>8</v>
      </c>
      <c r="DP242" s="27" t="s">
        <v>7</v>
      </c>
      <c r="DQ242" s="27" t="s">
        <v>8</v>
      </c>
      <c r="DR242" s="27" t="s">
        <v>7</v>
      </c>
      <c r="DX242" s="27" t="s">
        <v>7</v>
      </c>
      <c r="DY242" s="27" t="s">
        <v>8</v>
      </c>
      <c r="DZ242" s="27" t="s">
        <v>7</v>
      </c>
      <c r="EA242" s="27" t="s">
        <v>8</v>
      </c>
      <c r="EB242" s="27" t="s">
        <v>7</v>
      </c>
    </row>
    <row r="243" spans="1:140" x14ac:dyDescent="0.25">
      <c r="A243" s="30">
        <v>0.86383759853147501</v>
      </c>
      <c r="B243"/>
      <c r="C243"/>
      <c r="D243"/>
      <c r="E243"/>
      <c r="F243" s="27" t="s">
        <v>7</v>
      </c>
      <c r="AO243" s="27" t="s">
        <v>8</v>
      </c>
      <c r="CF243" s="27" t="s">
        <v>7</v>
      </c>
      <c r="CG243" s="27" t="s">
        <v>8</v>
      </c>
      <c r="CH243" s="27" t="s">
        <v>7</v>
      </c>
      <c r="CI243" s="27" t="s">
        <v>8</v>
      </c>
      <c r="CJ243" s="27" t="s">
        <v>7</v>
      </c>
      <c r="CK243" s="27" t="s">
        <v>8</v>
      </c>
      <c r="CL243" s="27" t="s">
        <v>7</v>
      </c>
      <c r="CT243" s="31"/>
      <c r="CU243" s="27" t="s">
        <v>8</v>
      </c>
      <c r="CV243" s="31" t="s">
        <v>7</v>
      </c>
      <c r="CY243" s="33" t="s">
        <v>8</v>
      </c>
      <c r="CZ243" s="27" t="s">
        <v>7</v>
      </c>
      <c r="DD243" s="34" t="s">
        <v>7</v>
      </c>
      <c r="DM243" s="31"/>
      <c r="DN243" s="27" t="s">
        <v>7</v>
      </c>
      <c r="DO243" s="27" t="s">
        <v>8</v>
      </c>
      <c r="DP243" s="27" t="s">
        <v>7</v>
      </c>
      <c r="DQ243" s="27" t="s">
        <v>8</v>
      </c>
      <c r="DX243" s="27" t="s">
        <v>7</v>
      </c>
      <c r="DZ243" s="27" t="s">
        <v>7</v>
      </c>
      <c r="EA243" s="27" t="s">
        <v>8</v>
      </c>
      <c r="EB243" s="27" t="s">
        <v>7</v>
      </c>
      <c r="EE243" s="27" t="s">
        <v>8</v>
      </c>
    </row>
    <row r="244" spans="1:140" x14ac:dyDescent="0.25">
      <c r="A244" s="30">
        <v>0.82270247479188063</v>
      </c>
      <c r="B244"/>
      <c r="C244"/>
      <c r="D244"/>
      <c r="E244"/>
      <c r="F244" s="27" t="s">
        <v>7</v>
      </c>
      <c r="AO244" s="27" t="s">
        <v>8</v>
      </c>
      <c r="CF244" s="27" t="s">
        <v>7</v>
      </c>
      <c r="CG244" s="27" t="s">
        <v>8</v>
      </c>
      <c r="CH244" s="27" t="s">
        <v>7</v>
      </c>
      <c r="CI244" s="27" t="s">
        <v>8</v>
      </c>
      <c r="CJ244" s="27" t="s">
        <v>7</v>
      </c>
      <c r="CK244" s="27" t="s">
        <v>8</v>
      </c>
      <c r="CL244" s="27" t="s">
        <v>7</v>
      </c>
      <c r="CU244" s="31" t="s">
        <v>8</v>
      </c>
      <c r="CV244" s="27" t="s">
        <v>7</v>
      </c>
      <c r="CW244" s="31" t="s">
        <v>8</v>
      </c>
      <c r="CY244" s="27" t="s">
        <v>8</v>
      </c>
      <c r="DL244" s="31"/>
      <c r="DN244" s="32" t="s">
        <v>7</v>
      </c>
      <c r="DP244" s="32" t="s">
        <v>7</v>
      </c>
      <c r="DZ244" s="27" t="s">
        <v>7</v>
      </c>
      <c r="EB244" s="27" t="s">
        <v>7</v>
      </c>
      <c r="EC244" s="27" t="s">
        <v>8</v>
      </c>
      <c r="EE244" s="27" t="s">
        <v>8</v>
      </c>
      <c r="EF244" s="27" t="s">
        <v>7</v>
      </c>
      <c r="EG244" s="27" t="s">
        <v>8</v>
      </c>
    </row>
    <row r="245" spans="1:140" x14ac:dyDescent="0.25">
      <c r="A245" s="30">
        <v>0.78352616646845741</v>
      </c>
      <c r="B245"/>
      <c r="C245"/>
      <c r="D245"/>
      <c r="E245"/>
      <c r="F245" s="27" t="s">
        <v>7</v>
      </c>
      <c r="AO245" s="27" t="s">
        <v>8</v>
      </c>
      <c r="CF245" s="27" t="s">
        <v>7</v>
      </c>
      <c r="CG245" s="27" t="s">
        <v>8</v>
      </c>
      <c r="CH245" s="27" t="s">
        <v>7</v>
      </c>
      <c r="CJ245" s="27" t="s">
        <v>7</v>
      </c>
      <c r="CK245" s="27" t="s">
        <v>8</v>
      </c>
      <c r="CL245" s="27" t="s">
        <v>7</v>
      </c>
      <c r="CU245" s="27" t="s">
        <v>8</v>
      </c>
      <c r="CV245" s="27" t="s">
        <v>7</v>
      </c>
      <c r="CW245" s="27" t="s">
        <v>8</v>
      </c>
      <c r="CX245" s="31" t="s">
        <v>7</v>
      </c>
      <c r="CY245" s="27" t="s">
        <v>8</v>
      </c>
      <c r="DK245" s="31"/>
      <c r="EB245" s="27" t="s">
        <v>7</v>
      </c>
      <c r="EC245" s="27" t="s">
        <v>8</v>
      </c>
      <c r="ED245" s="27" t="s">
        <v>7</v>
      </c>
      <c r="EE245" s="27" t="s">
        <v>8</v>
      </c>
      <c r="EF245" s="27" t="s">
        <v>7</v>
      </c>
      <c r="EG245" s="27" t="s">
        <v>8</v>
      </c>
      <c r="EH245" s="27" t="s">
        <v>7</v>
      </c>
    </row>
    <row r="246" spans="1:140" x14ac:dyDescent="0.25">
      <c r="A246" s="30">
        <v>0.74621539663662584</v>
      </c>
      <c r="B246"/>
      <c r="C246"/>
      <c r="D246"/>
      <c r="E246"/>
      <c r="F246" s="27" t="s">
        <v>7</v>
      </c>
      <c r="AO246" s="27" t="s">
        <v>8</v>
      </c>
      <c r="CF246" s="27" t="s">
        <v>7</v>
      </c>
      <c r="CG246" s="27" t="s">
        <v>8</v>
      </c>
      <c r="CJ246" s="27" t="s">
        <v>7</v>
      </c>
      <c r="CK246" s="27" t="s">
        <v>8</v>
      </c>
      <c r="CL246" s="27" t="s">
        <v>7</v>
      </c>
      <c r="CM246" s="27" t="s">
        <v>8</v>
      </c>
      <c r="CU246" s="27" t="s">
        <v>8</v>
      </c>
      <c r="CV246" s="27" t="s">
        <v>7</v>
      </c>
      <c r="CW246" s="27" t="s">
        <v>8</v>
      </c>
      <c r="CX246" s="27" t="s">
        <v>7</v>
      </c>
      <c r="CY246" s="31" t="s">
        <v>8</v>
      </c>
      <c r="DJ246" s="31"/>
      <c r="EB246" s="27" t="s">
        <v>7</v>
      </c>
      <c r="EC246" s="27" t="s">
        <v>8</v>
      </c>
      <c r="ED246" s="27" t="s">
        <v>7</v>
      </c>
      <c r="EE246" s="27" t="s">
        <v>8</v>
      </c>
      <c r="EF246" s="27" t="s">
        <v>7</v>
      </c>
      <c r="EG246" s="27" t="s">
        <v>8</v>
      </c>
      <c r="EH246" s="27" t="s">
        <v>7</v>
      </c>
    </row>
    <row r="247" spans="1:140" x14ac:dyDescent="0.25">
      <c r="A247" s="30">
        <v>0.71068133013011958</v>
      </c>
      <c r="B247"/>
      <c r="C247"/>
      <c r="D247"/>
      <c r="E247"/>
      <c r="F247" s="27" t="s">
        <v>7</v>
      </c>
      <c r="AI247" s="27" t="s">
        <v>8</v>
      </c>
      <c r="AO247" s="27" t="s">
        <v>8</v>
      </c>
      <c r="CF247" s="27" t="s">
        <v>7</v>
      </c>
      <c r="CG247" s="27" t="s">
        <v>8</v>
      </c>
      <c r="CJ247" s="27" t="s">
        <v>7</v>
      </c>
      <c r="CK247" s="27" t="s">
        <v>8</v>
      </c>
      <c r="CL247" s="27" t="s">
        <v>7</v>
      </c>
      <c r="CM247" s="27" t="s">
        <v>8</v>
      </c>
      <c r="CN247" s="27" t="s">
        <v>7</v>
      </c>
      <c r="CU247" s="27" t="s">
        <v>8</v>
      </c>
      <c r="CV247" s="27" t="s">
        <v>7</v>
      </c>
      <c r="CX247" s="27" t="s">
        <v>7</v>
      </c>
      <c r="CY247" s="27" t="s">
        <v>8</v>
      </c>
      <c r="DI247" s="31"/>
      <c r="EB247" s="27" t="s">
        <v>7</v>
      </c>
      <c r="ED247" s="27" t="s">
        <v>7</v>
      </c>
      <c r="EF247" s="27" t="s">
        <v>7</v>
      </c>
      <c r="EG247" s="27" t="s">
        <v>8</v>
      </c>
      <c r="EH247" s="27" t="s">
        <v>7</v>
      </c>
    </row>
    <row r="248" spans="1:140" x14ac:dyDescent="0.25">
      <c r="A248" s="30">
        <v>0.676839362028685</v>
      </c>
      <c r="B248"/>
      <c r="C248"/>
      <c r="D248"/>
      <c r="E248"/>
      <c r="F248" s="27" t="s">
        <v>7</v>
      </c>
      <c r="AI248" s="27" t="s">
        <v>8</v>
      </c>
      <c r="AJ248" s="27" t="s">
        <v>7</v>
      </c>
      <c r="AO248" s="27" t="s">
        <v>8</v>
      </c>
      <c r="CF248" s="27" t="s">
        <v>7</v>
      </c>
      <c r="CG248" s="27" t="s">
        <v>8</v>
      </c>
      <c r="CJ248" s="27" t="s">
        <v>7</v>
      </c>
      <c r="CL248" s="27" t="s">
        <v>7</v>
      </c>
      <c r="CM248" s="27" t="s">
        <v>8</v>
      </c>
      <c r="CN248" s="27" t="s">
        <v>7</v>
      </c>
      <c r="CU248" s="27" t="s">
        <v>8</v>
      </c>
      <c r="CX248" s="34" t="s">
        <v>7</v>
      </c>
      <c r="CY248" s="27" t="s">
        <v>8</v>
      </c>
      <c r="DH248" s="31"/>
      <c r="EF248" s="27" t="s">
        <v>7</v>
      </c>
      <c r="EG248" s="27" t="s">
        <v>8</v>
      </c>
      <c r="EH248" s="27" t="s">
        <v>7</v>
      </c>
    </row>
    <row r="249" spans="1:140" x14ac:dyDescent="0.25">
      <c r="A249" s="30">
        <v>0.64460891621779492</v>
      </c>
      <c r="B249"/>
      <c r="C249"/>
      <c r="D249"/>
      <c r="E249"/>
      <c r="F249" s="27" t="s">
        <v>7</v>
      </c>
      <c r="AI249" s="27" t="s">
        <v>8</v>
      </c>
      <c r="AJ249" s="27" t="s">
        <v>7</v>
      </c>
      <c r="AO249" s="27" t="s">
        <v>8</v>
      </c>
      <c r="CF249" s="27" t="s">
        <v>7</v>
      </c>
      <c r="CG249" s="27" t="s">
        <v>8</v>
      </c>
      <c r="CL249" s="27" t="s">
        <v>7</v>
      </c>
      <c r="CN249" s="27" t="s">
        <v>7</v>
      </c>
      <c r="CO249" s="27" t="s">
        <v>8</v>
      </c>
      <c r="CU249" s="27" t="s">
        <v>8</v>
      </c>
      <c r="CX249" s="27" t="s">
        <v>7</v>
      </c>
      <c r="CY249" s="27" t="s">
        <v>8</v>
      </c>
      <c r="DG249" s="31"/>
      <c r="EF249" s="27" t="s">
        <v>7</v>
      </c>
      <c r="EH249" s="27" t="s">
        <v>7</v>
      </c>
    </row>
    <row r="250" spans="1:140" x14ac:dyDescent="0.25">
      <c r="A250" s="30">
        <v>0.61391325354075688</v>
      </c>
      <c r="B250"/>
      <c r="C250"/>
      <c r="D250"/>
      <c r="E250"/>
      <c r="F250" s="27" t="s">
        <v>7</v>
      </c>
      <c r="AI250" s="27" t="s">
        <v>8</v>
      </c>
      <c r="AJ250" s="27" t="s">
        <v>7</v>
      </c>
      <c r="AO250" s="27" t="s">
        <v>8</v>
      </c>
      <c r="CF250" s="27" t="s">
        <v>7</v>
      </c>
      <c r="CG250" s="27" t="s">
        <v>8</v>
      </c>
      <c r="CN250" s="27" t="s">
        <v>7</v>
      </c>
      <c r="CO250" s="27" t="s">
        <v>8</v>
      </c>
      <c r="CP250" s="27" t="s">
        <v>7</v>
      </c>
      <c r="CU250" s="27" t="s">
        <v>8</v>
      </c>
      <c r="CX250" s="27" t="s">
        <v>7</v>
      </c>
      <c r="CY250" s="27" t="s">
        <v>8</v>
      </c>
      <c r="DF250" s="31"/>
      <c r="EH250" s="27" t="s">
        <v>7</v>
      </c>
    </row>
    <row r="251" spans="1:140" x14ac:dyDescent="0.25">
      <c r="A251" s="30">
        <v>0.58467928908643485</v>
      </c>
      <c r="B251"/>
      <c r="C251"/>
      <c r="D251"/>
      <c r="E251"/>
      <c r="F251" s="27" t="s">
        <v>7</v>
      </c>
      <c r="AI251" s="27" t="s">
        <v>8</v>
      </c>
      <c r="AJ251" s="27" t="s">
        <v>7</v>
      </c>
      <c r="AO251" s="27" t="s">
        <v>8</v>
      </c>
      <c r="CF251" s="27" t="s">
        <v>7</v>
      </c>
      <c r="CG251" s="27" t="s">
        <v>8</v>
      </c>
      <c r="CN251" s="27" t="s">
        <v>7</v>
      </c>
      <c r="CO251" s="27" t="s">
        <v>8</v>
      </c>
      <c r="CP251" s="27" t="s">
        <v>7</v>
      </c>
      <c r="CU251" s="27" t="s">
        <v>8</v>
      </c>
      <c r="CX251" s="27" t="s">
        <v>7</v>
      </c>
      <c r="CY251" s="27" t="s">
        <v>8</v>
      </c>
      <c r="DE251" s="31"/>
      <c r="EH251" s="27" t="s">
        <v>7</v>
      </c>
      <c r="EI251" s="27" t="s">
        <v>8</v>
      </c>
    </row>
    <row r="252" spans="1:140" x14ac:dyDescent="0.25">
      <c r="A252" s="30">
        <v>0.55683741817755672</v>
      </c>
      <c r="B252"/>
      <c r="C252"/>
      <c r="D252"/>
      <c r="E252"/>
      <c r="F252" s="27" t="s">
        <v>7</v>
      </c>
      <c r="AI252" s="27" t="s">
        <v>8</v>
      </c>
      <c r="AJ252" s="27" t="s">
        <v>7</v>
      </c>
      <c r="AO252" s="27" t="s">
        <v>8</v>
      </c>
      <c r="CF252" s="27" t="s">
        <v>7</v>
      </c>
      <c r="CG252" s="27" t="s">
        <v>8</v>
      </c>
      <c r="CN252" s="27" t="s">
        <v>7</v>
      </c>
      <c r="CP252" s="27" t="s">
        <v>7</v>
      </c>
      <c r="CU252" s="27" t="s">
        <v>8</v>
      </c>
      <c r="CX252" s="27" t="s">
        <v>7</v>
      </c>
      <c r="CY252" s="27" t="s">
        <v>8</v>
      </c>
      <c r="DD252" s="31"/>
      <c r="EH252" s="27" t="s">
        <v>7</v>
      </c>
      <c r="EI252" s="27" t="s">
        <v>8</v>
      </c>
      <c r="EJ252" s="27" t="s">
        <v>7</v>
      </c>
    </row>
    <row r="253" spans="1:140" x14ac:dyDescent="0.25">
      <c r="A253" s="30">
        <v>0.53032135064529184</v>
      </c>
      <c r="B253"/>
      <c r="C253"/>
      <c r="D253"/>
      <c r="E253"/>
      <c r="F253" s="27" t="s">
        <v>7</v>
      </c>
      <c r="AI253" s="27" t="s">
        <v>8</v>
      </c>
      <c r="AJ253" s="27" t="s">
        <v>7</v>
      </c>
      <c r="AM253" s="27" t="s">
        <v>8</v>
      </c>
      <c r="AO253" s="27" t="s">
        <v>8</v>
      </c>
      <c r="CF253" s="27" t="s">
        <v>7</v>
      </c>
      <c r="CP253" s="27" t="s">
        <v>7</v>
      </c>
      <c r="CU253" s="27" t="s">
        <v>8</v>
      </c>
      <c r="CX253" s="27" t="s">
        <v>7</v>
      </c>
      <c r="CY253" s="27" t="s">
        <v>8</v>
      </c>
      <c r="DC253" s="31"/>
      <c r="EH253" s="27" t="s">
        <v>7</v>
      </c>
      <c r="EI253" s="27" t="s">
        <v>8</v>
      </c>
      <c r="EJ253" s="27" t="s">
        <v>7</v>
      </c>
    </row>
    <row r="254" spans="1:140" x14ac:dyDescent="0.25">
      <c r="A254" s="30">
        <v>0.50506795299551588</v>
      </c>
      <c r="B254"/>
      <c r="C254"/>
      <c r="D254"/>
      <c r="E254"/>
      <c r="F254" s="27" t="s">
        <v>7</v>
      </c>
      <c r="AI254" s="27" t="s">
        <v>8</v>
      </c>
      <c r="AJ254" s="27" t="s">
        <v>7</v>
      </c>
      <c r="AM254" s="27" t="s">
        <v>8</v>
      </c>
      <c r="AN254" s="27" t="s">
        <v>7</v>
      </c>
      <c r="AO254" s="27" t="s">
        <v>8</v>
      </c>
      <c r="CP254" s="27" t="s">
        <v>7</v>
      </c>
      <c r="CS254" s="27" t="s">
        <v>8</v>
      </c>
      <c r="CU254" s="27" t="s">
        <v>8</v>
      </c>
      <c r="CX254" s="27" t="s">
        <v>7</v>
      </c>
      <c r="CY254" s="27" t="s">
        <v>8</v>
      </c>
      <c r="DB254" s="31"/>
      <c r="EH254" s="27" t="s">
        <v>7</v>
      </c>
      <c r="EJ254" s="27" t="s">
        <v>7</v>
      </c>
    </row>
    <row r="255" spans="1:140" x14ac:dyDescent="0.25">
      <c r="A255" s="30">
        <v>0.48101709809096732</v>
      </c>
      <c r="E255"/>
      <c r="F255" s="27" t="s">
        <v>7</v>
      </c>
      <c r="AI255" s="27" t="s">
        <v>8</v>
      </c>
      <c r="AJ255" s="27" t="s">
        <v>7</v>
      </c>
      <c r="AK255" s="27" t="s">
        <v>8</v>
      </c>
      <c r="AM255" s="27" t="s">
        <v>8</v>
      </c>
      <c r="AN255" s="27" t="s">
        <v>7</v>
      </c>
      <c r="AO255" s="27" t="s">
        <v>8</v>
      </c>
      <c r="CP255" s="27" t="s">
        <v>7</v>
      </c>
      <c r="CS255" s="27" t="s">
        <v>8</v>
      </c>
      <c r="CT255" s="27" t="s">
        <v>7</v>
      </c>
      <c r="CU255" s="27" t="s">
        <v>8</v>
      </c>
      <c r="CX255" s="27" t="s">
        <v>7</v>
      </c>
      <c r="CY255" s="27" t="s">
        <v>8</v>
      </c>
      <c r="DA255" s="31"/>
      <c r="EJ255" s="27" t="s">
        <v>7</v>
      </c>
    </row>
    <row r="256" spans="1:140" x14ac:dyDescent="0.25">
      <c r="A256" s="30">
        <v>0.45811152199139726</v>
      </c>
      <c r="E256"/>
      <c r="F256" s="27" t="s">
        <v>7</v>
      </c>
      <c r="AI256" s="27" t="s">
        <v>8</v>
      </c>
      <c r="AJ256" s="27" t="s">
        <v>7</v>
      </c>
      <c r="AK256" s="27" t="s">
        <v>8</v>
      </c>
      <c r="AL256" s="27" t="s">
        <v>7</v>
      </c>
      <c r="AM256" s="27" t="s">
        <v>8</v>
      </c>
      <c r="AN256" s="27" t="s">
        <v>7</v>
      </c>
      <c r="CP256" s="27" t="s">
        <v>7</v>
      </c>
      <c r="CS256" s="27" t="s">
        <v>8</v>
      </c>
      <c r="CT256" s="27" t="s">
        <v>7</v>
      </c>
      <c r="CU256" s="27" t="s">
        <v>8</v>
      </c>
      <c r="CX256" s="31" t="s">
        <v>7</v>
      </c>
      <c r="CY256" s="27" t="s">
        <v>8</v>
      </c>
      <c r="CZ256" s="31"/>
      <c r="EJ256" s="27" t="s">
        <v>7</v>
      </c>
    </row>
    <row r="257" spans="1:143" x14ac:dyDescent="0.25">
      <c r="A257" s="30">
        <v>0.43629668761085438</v>
      </c>
      <c r="B257"/>
      <c r="C257"/>
      <c r="D257"/>
      <c r="E257"/>
      <c r="F257" s="27" t="s">
        <v>7</v>
      </c>
      <c r="AI257" s="27" t="s">
        <v>8</v>
      </c>
      <c r="AJ257" s="27" t="s">
        <v>7</v>
      </c>
      <c r="AK257" s="27" t="s">
        <v>8</v>
      </c>
      <c r="AL257" s="27" t="s">
        <v>7</v>
      </c>
      <c r="AM257" s="27" t="s">
        <v>8</v>
      </c>
      <c r="CP257" s="27" t="s">
        <v>7</v>
      </c>
      <c r="CS257" s="27" t="s">
        <v>8</v>
      </c>
      <c r="CT257" s="27" t="s">
        <v>7</v>
      </c>
      <c r="CW257" s="31"/>
      <c r="CX257" s="27" t="s">
        <v>7</v>
      </c>
      <c r="CY257" s="31" t="s">
        <v>8</v>
      </c>
      <c r="EJ257" s="27" t="s">
        <v>7</v>
      </c>
    </row>
    <row r="258" spans="1:143" x14ac:dyDescent="0.25">
      <c r="A258" s="30">
        <v>0.41552065486748019</v>
      </c>
      <c r="B258"/>
      <c r="C258"/>
      <c r="D258"/>
      <c r="E258"/>
      <c r="F258" s="27" t="s">
        <v>7</v>
      </c>
      <c r="AI258" s="27" t="s">
        <v>8</v>
      </c>
      <c r="AJ258" s="27" t="s">
        <v>7</v>
      </c>
      <c r="AK258" s="27" t="s">
        <v>8</v>
      </c>
      <c r="AL258" s="27" t="s">
        <v>7</v>
      </c>
      <c r="AM258" s="27" t="s">
        <v>8</v>
      </c>
      <c r="CP258" s="27" t="s">
        <v>7</v>
      </c>
      <c r="CS258" s="33" t="s">
        <v>8</v>
      </c>
      <c r="CV258" s="31"/>
      <c r="CX258" s="31" t="s">
        <v>7</v>
      </c>
      <c r="EJ258" s="27" t="s">
        <v>7</v>
      </c>
      <c r="EK258" s="27" t="s">
        <v>8</v>
      </c>
      <c r="EM258" s="27" t="s">
        <v>8</v>
      </c>
    </row>
    <row r="259" spans="1:143" x14ac:dyDescent="0.25">
      <c r="A259" s="30">
        <v>0.39573395701664765</v>
      </c>
      <c r="B259"/>
      <c r="C259"/>
      <c r="D259"/>
      <c r="E259"/>
      <c r="F259" s="27" t="s">
        <v>7</v>
      </c>
      <c r="AI259" s="27" t="s">
        <v>8</v>
      </c>
      <c r="AJ259" s="27" t="s">
        <v>7</v>
      </c>
      <c r="AK259" s="27" t="s">
        <v>8</v>
      </c>
      <c r="AL259" s="27" t="s">
        <v>7</v>
      </c>
      <c r="AM259" s="27" t="s">
        <v>8</v>
      </c>
      <c r="CP259" s="27" t="s">
        <v>7</v>
      </c>
      <c r="CQ259" s="27" t="s">
        <v>8</v>
      </c>
      <c r="CS259" s="27" t="s">
        <v>8</v>
      </c>
      <c r="CU259" s="31"/>
      <c r="EJ259" s="27" t="s">
        <v>7</v>
      </c>
      <c r="EK259" s="27" t="s">
        <v>8</v>
      </c>
      <c r="EL259" s="27" t="s">
        <v>7</v>
      </c>
      <c r="EM259" s="27" t="s">
        <v>8</v>
      </c>
    </row>
    <row r="260" spans="1:143" x14ac:dyDescent="0.25">
      <c r="A260" s="30">
        <v>0.37688948287299762</v>
      </c>
      <c r="B260"/>
      <c r="C260"/>
      <c r="D260"/>
      <c r="E260"/>
      <c r="F260" s="27" t="s">
        <v>7</v>
      </c>
      <c r="AI260" s="27" t="s">
        <v>8</v>
      </c>
      <c r="AJ260" s="27" t="s">
        <v>7</v>
      </c>
      <c r="AK260" s="27" t="s">
        <v>8</v>
      </c>
      <c r="AL260" s="27" t="s">
        <v>7</v>
      </c>
      <c r="AM260" s="27" t="s">
        <v>8</v>
      </c>
      <c r="CP260" s="27" t="s">
        <v>7</v>
      </c>
      <c r="CQ260" s="27" t="s">
        <v>8</v>
      </c>
      <c r="CR260" s="27" t="s">
        <v>7</v>
      </c>
      <c r="CS260" s="27" t="s">
        <v>8</v>
      </c>
      <c r="CT260" s="31"/>
      <c r="EJ260" s="27" t="s">
        <v>7</v>
      </c>
      <c r="EK260" s="27" t="s">
        <v>8</v>
      </c>
      <c r="EL260" s="27" t="s">
        <v>7</v>
      </c>
      <c r="EM260" s="27" t="s">
        <v>8</v>
      </c>
    </row>
    <row r="261" spans="1:143" x14ac:dyDescent="0.25">
      <c r="A261" s="30">
        <v>0.35894236464094997</v>
      </c>
      <c r="B261"/>
      <c r="C261"/>
      <c r="D261"/>
      <c r="E261"/>
      <c r="F261" s="27" t="s">
        <v>7</v>
      </c>
      <c r="AI261" s="27" t="s">
        <v>8</v>
      </c>
      <c r="AJ261" s="27" t="s">
        <v>7</v>
      </c>
      <c r="AL261" s="27" t="s">
        <v>7</v>
      </c>
      <c r="AM261" s="27" t="s">
        <v>8</v>
      </c>
      <c r="CP261" s="27" t="s">
        <v>7</v>
      </c>
      <c r="CQ261" s="27" t="s">
        <v>8</v>
      </c>
      <c r="CR261" s="27" t="s">
        <v>7</v>
      </c>
      <c r="CS261" s="31" t="s">
        <v>8</v>
      </c>
      <c r="EJ261" s="27" t="s">
        <v>7</v>
      </c>
      <c r="EL261" s="27" t="s">
        <v>7</v>
      </c>
    </row>
    <row r="262" spans="1:143" x14ac:dyDescent="0.25">
      <c r="A262" s="30">
        <v>0.34184987108661891</v>
      </c>
      <c r="B262"/>
      <c r="C262"/>
      <c r="D262"/>
      <c r="E262"/>
      <c r="F262" s="27" t="s">
        <v>7</v>
      </c>
      <c r="AI262" s="27" t="s">
        <v>8</v>
      </c>
      <c r="AL262" s="27" t="s">
        <v>7</v>
      </c>
      <c r="AM262" s="27" t="s">
        <v>8</v>
      </c>
      <c r="CP262" s="27" t="s">
        <v>7</v>
      </c>
      <c r="CQ262" s="27" t="s">
        <v>8</v>
      </c>
      <c r="CR262" s="31" t="s">
        <v>7</v>
      </c>
    </row>
    <row r="263" spans="1:143" x14ac:dyDescent="0.25">
      <c r="A263" s="30">
        <v>0.32557130579677979</v>
      </c>
      <c r="B263"/>
      <c r="C263"/>
      <c r="D263"/>
      <c r="E263"/>
      <c r="F263" s="27" t="s">
        <v>7</v>
      </c>
      <c r="AI263" s="27" t="s">
        <v>8</v>
      </c>
      <c r="AL263" s="27" t="s">
        <v>7</v>
      </c>
      <c r="AM263" s="27" t="s">
        <v>8</v>
      </c>
      <c r="CP263" s="27" t="s">
        <v>7</v>
      </c>
      <c r="CQ263" s="31" t="s">
        <v>8</v>
      </c>
    </row>
    <row r="264" spans="1:143" x14ac:dyDescent="0.25">
      <c r="A264" s="30">
        <v>0.3100679102826473</v>
      </c>
      <c r="B264"/>
      <c r="C264"/>
      <c r="D264"/>
      <c r="E264"/>
      <c r="F264" s="27" t="s">
        <v>7</v>
      </c>
      <c r="AG264" s="27" t="s">
        <v>8</v>
      </c>
      <c r="AI264" s="27" t="s">
        <v>8</v>
      </c>
      <c r="AL264" s="27" t="s">
        <v>7</v>
      </c>
      <c r="CP264" s="31" t="s">
        <v>7</v>
      </c>
    </row>
    <row r="265" spans="1:143" x14ac:dyDescent="0.25">
      <c r="A265" s="30">
        <v>0.2953027716977592</v>
      </c>
      <c r="B265"/>
      <c r="C265"/>
      <c r="D265"/>
      <c r="E265"/>
      <c r="F265" s="27" t="s">
        <v>7</v>
      </c>
      <c r="Y265" s="27" t="s">
        <v>8</v>
      </c>
      <c r="AG265" s="27" t="s">
        <v>8</v>
      </c>
      <c r="AH265" s="27" t="s">
        <v>7</v>
      </c>
      <c r="AI265" s="27" t="s">
        <v>8</v>
      </c>
    </row>
    <row r="266" spans="1:143" x14ac:dyDescent="0.25">
      <c r="A266" s="30">
        <v>0.28124073495024676</v>
      </c>
      <c r="B266"/>
      <c r="C266"/>
      <c r="D266"/>
      <c r="E266"/>
      <c r="F266" s="27" t="s">
        <v>7</v>
      </c>
      <c r="S266" s="27" t="s">
        <v>8</v>
      </c>
      <c r="Y266" s="27" t="s">
        <v>8</v>
      </c>
      <c r="Z266" s="27" t="s">
        <v>7</v>
      </c>
      <c r="AG266" s="27" t="s">
        <v>8</v>
      </c>
      <c r="AH266" s="27" t="s">
        <v>7</v>
      </c>
      <c r="AI266" s="27" t="s">
        <v>8</v>
      </c>
    </row>
    <row r="267" spans="1:143" x14ac:dyDescent="0.25">
      <c r="A267" s="30">
        <v>0.26784831900023492</v>
      </c>
      <c r="B267"/>
      <c r="C267"/>
      <c r="D267"/>
      <c r="E267"/>
      <c r="F267" s="27" t="s">
        <v>7</v>
      </c>
      <c r="S267" s="27" t="s">
        <v>8</v>
      </c>
      <c r="T267" s="27" t="s">
        <v>7</v>
      </c>
      <c r="Y267" s="27" t="s">
        <v>8</v>
      </c>
      <c r="Z267" s="27" t="s">
        <v>7</v>
      </c>
      <c r="AG267" s="27" t="s">
        <v>8</v>
      </c>
      <c r="AH267" s="27" t="s">
        <v>7</v>
      </c>
      <c r="AI267" s="27" t="s">
        <v>8</v>
      </c>
    </row>
    <row r="268" spans="1:143" x14ac:dyDescent="0.25">
      <c r="A268" s="30">
        <v>0.25509363714308075</v>
      </c>
      <c r="B268"/>
      <c r="C268"/>
      <c r="D268"/>
      <c r="E268"/>
      <c r="F268" s="27" t="s">
        <v>7</v>
      </c>
      <c r="S268" s="27" t="s">
        <v>8</v>
      </c>
      <c r="T268" s="27" t="s">
        <v>7</v>
      </c>
      <c r="W268" s="27" t="s">
        <v>8</v>
      </c>
      <c r="Y268" s="27" t="s">
        <v>8</v>
      </c>
      <c r="Z268" s="27" t="s">
        <v>7</v>
      </c>
      <c r="AC268" s="27" t="s">
        <v>8</v>
      </c>
      <c r="AG268" s="27" t="s">
        <v>8</v>
      </c>
      <c r="AH268" s="27" t="s">
        <v>7</v>
      </c>
      <c r="AI268" s="27" t="s">
        <v>8</v>
      </c>
    </row>
    <row r="269" spans="1:143" x14ac:dyDescent="0.25">
      <c r="A269" s="30">
        <v>0.24294632108864825</v>
      </c>
      <c r="B269"/>
      <c r="C269"/>
      <c r="D269"/>
      <c r="E269"/>
      <c r="F269" s="27" t="s">
        <v>7</v>
      </c>
      <c r="S269" s="27" t="s">
        <v>8</v>
      </c>
      <c r="T269" s="27" t="s">
        <v>7</v>
      </c>
      <c r="U269" s="27" t="s">
        <v>8</v>
      </c>
      <c r="W269" s="27" t="s">
        <v>8</v>
      </c>
      <c r="X269" s="27" t="s">
        <v>7</v>
      </c>
      <c r="Y269" s="27" t="s">
        <v>8</v>
      </c>
      <c r="Z269" s="27" t="s">
        <v>7</v>
      </c>
      <c r="AC269" s="27" t="s">
        <v>8</v>
      </c>
      <c r="AD269" s="27" t="s">
        <v>7</v>
      </c>
      <c r="AG269" s="27" t="s">
        <v>8</v>
      </c>
      <c r="AH269" s="27" t="s">
        <v>7</v>
      </c>
      <c r="AI269" s="27" t="s">
        <v>8</v>
      </c>
    </row>
    <row r="270" spans="1:143" x14ac:dyDescent="0.25">
      <c r="A270" s="30">
        <v>0.23137744865585538</v>
      </c>
      <c r="B270"/>
      <c r="C270"/>
      <c r="D270"/>
      <c r="E270"/>
      <c r="F270" s="27" t="s">
        <v>7</v>
      </c>
      <c r="S270" s="27" t="s">
        <v>8</v>
      </c>
      <c r="T270" s="27" t="s">
        <v>7</v>
      </c>
      <c r="U270" s="27" t="s">
        <v>8</v>
      </c>
      <c r="V270" s="27" t="s">
        <v>7</v>
      </c>
      <c r="W270" s="27" t="s">
        <v>8</v>
      </c>
      <c r="X270" s="27" t="s">
        <v>7</v>
      </c>
      <c r="Y270" s="27" t="s">
        <v>8</v>
      </c>
      <c r="Z270" s="27" t="s">
        <v>7</v>
      </c>
      <c r="AC270" s="27" t="s">
        <v>8</v>
      </c>
      <c r="AD270" s="27" t="s">
        <v>7</v>
      </c>
      <c r="AG270" s="27" t="s">
        <v>8</v>
      </c>
      <c r="AH270" s="27" t="s">
        <v>7</v>
      </c>
    </row>
    <row r="271" spans="1:143" x14ac:dyDescent="0.25">
      <c r="A271" s="30">
        <v>0.22035947491033836</v>
      </c>
      <c r="B271"/>
      <c r="C271"/>
      <c r="D271"/>
      <c r="E271"/>
      <c r="F271" s="27" t="s">
        <v>7</v>
      </c>
      <c r="S271" s="27" t="s">
        <v>8</v>
      </c>
      <c r="T271" s="27" t="s">
        <v>7</v>
      </c>
      <c r="U271" s="27" t="s">
        <v>8</v>
      </c>
      <c r="V271" s="27" t="s">
        <v>7</v>
      </c>
      <c r="W271" s="27" t="s">
        <v>8</v>
      </c>
      <c r="X271" s="27" t="s">
        <v>7</v>
      </c>
      <c r="Y271" s="27" t="s">
        <v>8</v>
      </c>
      <c r="Z271" s="27" t="s">
        <v>7</v>
      </c>
      <c r="AA271" s="27" t="s">
        <v>8</v>
      </c>
      <c r="AC271" s="27" t="s">
        <v>8</v>
      </c>
      <c r="AD271" s="27" t="s">
        <v>7</v>
      </c>
      <c r="AG271" s="27" t="s">
        <v>8</v>
      </c>
    </row>
    <row r="272" spans="1:143" x14ac:dyDescent="0.25">
      <c r="A272" s="30">
        <v>0.20986616658127455</v>
      </c>
      <c r="B272"/>
      <c r="C272"/>
      <c r="D272"/>
      <c r="E272"/>
      <c r="F272" s="27" t="s">
        <v>7</v>
      </c>
      <c r="S272" s="27" t="s">
        <v>8</v>
      </c>
      <c r="T272" s="27" t="s">
        <v>7</v>
      </c>
      <c r="U272" s="27" t="s">
        <v>8</v>
      </c>
      <c r="V272" s="27" t="s">
        <v>7</v>
      </c>
      <c r="W272" s="27" t="s">
        <v>8</v>
      </c>
      <c r="X272" s="27" t="s">
        <v>7</v>
      </c>
      <c r="Z272" s="27" t="s">
        <v>7</v>
      </c>
      <c r="AA272" s="27" t="s">
        <v>8</v>
      </c>
      <c r="AB272" s="27" t="s">
        <v>7</v>
      </c>
      <c r="AC272" s="27" t="s">
        <v>8</v>
      </c>
      <c r="AD272" s="27" t="s">
        <v>7</v>
      </c>
      <c r="AG272" s="27" t="s">
        <v>8</v>
      </c>
    </row>
    <row r="273" spans="1:33" x14ac:dyDescent="0.25">
      <c r="A273" s="30">
        <v>0.19987253960121379</v>
      </c>
      <c r="B273"/>
      <c r="C273"/>
      <c r="D273"/>
      <c r="E273"/>
      <c r="F273" s="27" t="s">
        <v>7</v>
      </c>
      <c r="S273" s="27" t="s">
        <v>8</v>
      </c>
      <c r="T273" s="27" t="s">
        <v>7</v>
      </c>
      <c r="U273" s="27" t="s">
        <v>8</v>
      </c>
      <c r="V273" s="27" t="s">
        <v>7</v>
      </c>
      <c r="Z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AG273" s="27" t="s">
        <v>8</v>
      </c>
    </row>
    <row r="274" spans="1:33" x14ac:dyDescent="0.25">
      <c r="A274" s="30">
        <v>0.19035479962020352</v>
      </c>
      <c r="B274"/>
      <c r="C274"/>
      <c r="D274"/>
      <c r="E274"/>
      <c r="F274" s="27" t="s">
        <v>7</v>
      </c>
      <c r="O274" s="27" t="s">
        <v>8</v>
      </c>
      <c r="S274" s="27" t="s">
        <v>8</v>
      </c>
      <c r="T274" s="27" t="s">
        <v>7</v>
      </c>
      <c r="Z274" s="27" t="s">
        <v>7</v>
      </c>
      <c r="AB274" s="27" t="s">
        <v>7</v>
      </c>
      <c r="AC274" s="27" t="s">
        <v>8</v>
      </c>
      <c r="AD274" s="27" t="s">
        <v>7</v>
      </c>
      <c r="AG274" s="27" t="s">
        <v>8</v>
      </c>
    </row>
    <row r="275" spans="1:33" x14ac:dyDescent="0.25">
      <c r="A275" s="30">
        <v>0.18129028535257471</v>
      </c>
      <c r="B275"/>
      <c r="C275"/>
      <c r="D275"/>
      <c r="E275"/>
      <c r="F275" s="27" t="s">
        <v>7</v>
      </c>
      <c r="O275" s="27" t="s">
        <v>8</v>
      </c>
      <c r="P275" s="27" t="s">
        <v>7</v>
      </c>
      <c r="S275" s="27" t="s">
        <v>8</v>
      </c>
      <c r="AB275" s="27" t="s">
        <v>7</v>
      </c>
      <c r="AD275" s="27" t="s">
        <v>7</v>
      </c>
      <c r="AE275" s="27" t="s">
        <v>8</v>
      </c>
      <c r="AG275" s="27" t="s">
        <v>8</v>
      </c>
    </row>
    <row r="276" spans="1:33" x14ac:dyDescent="0.25">
      <c r="A276" s="30">
        <v>0.17265741462149967</v>
      </c>
      <c r="B276"/>
      <c r="C276"/>
      <c r="D276"/>
      <c r="E276"/>
      <c r="F276" s="27" t="s">
        <v>7</v>
      </c>
      <c r="O276" s="27" t="s">
        <v>8</v>
      </c>
      <c r="P276" s="27" t="s">
        <v>7</v>
      </c>
      <c r="Q276" s="27" t="s">
        <v>8</v>
      </c>
      <c r="S276" s="27" t="s">
        <v>8</v>
      </c>
      <c r="AD276" s="27" t="s">
        <v>7</v>
      </c>
      <c r="AE276" s="27" t="s">
        <v>8</v>
      </c>
      <c r="AF276" s="27" t="s">
        <v>7</v>
      </c>
      <c r="AG276" s="27" t="s">
        <v>8</v>
      </c>
    </row>
    <row r="277" spans="1:33" x14ac:dyDescent="0.25">
      <c r="A277" s="30">
        <v>0.16443563297285677</v>
      </c>
      <c r="B277"/>
      <c r="C277"/>
      <c r="D277"/>
      <c r="E277"/>
      <c r="F277" s="27" t="s">
        <v>7</v>
      </c>
      <c r="O277" s="27" t="s">
        <v>8</v>
      </c>
      <c r="P277" s="27" t="s">
        <v>7</v>
      </c>
      <c r="Q277" s="27" t="s">
        <v>8</v>
      </c>
      <c r="R277" s="27" t="s">
        <v>7</v>
      </c>
      <c r="S277" s="27" t="s">
        <v>8</v>
      </c>
      <c r="AD277" s="27" t="s">
        <v>7</v>
      </c>
      <c r="AE277" s="27" t="s">
        <v>8</v>
      </c>
      <c r="AF277" s="27" t="s">
        <v>7</v>
      </c>
      <c r="AG277" s="27" t="s">
        <v>8</v>
      </c>
    </row>
    <row r="278" spans="1:33" x14ac:dyDescent="0.25">
      <c r="A278" s="30">
        <v>0.15660536473605399</v>
      </c>
      <c r="B278"/>
      <c r="C278"/>
      <c r="D278"/>
      <c r="E278"/>
      <c r="F278" s="27" t="s">
        <v>7</v>
      </c>
      <c r="O278" s="27" t="s">
        <v>8</v>
      </c>
      <c r="P278" s="27" t="s">
        <v>7</v>
      </c>
      <c r="Q278" s="27" t="s">
        <v>8</v>
      </c>
      <c r="R278" s="27" t="s">
        <v>7</v>
      </c>
      <c r="S278" s="27" t="s">
        <v>8</v>
      </c>
      <c r="AD278" s="27" t="s">
        <v>7</v>
      </c>
      <c r="AE278" s="27" t="s">
        <v>8</v>
      </c>
      <c r="AF278" s="27" t="s">
        <v>7</v>
      </c>
    </row>
    <row r="279" spans="1:33" x14ac:dyDescent="0.25">
      <c r="A279" s="30">
        <v>0.14914796641528946</v>
      </c>
      <c r="B279"/>
      <c r="C279"/>
      <c r="D279"/>
      <c r="E279"/>
      <c r="F279" s="27" t="s">
        <v>7</v>
      </c>
      <c r="O279" s="27" t="s">
        <v>8</v>
      </c>
      <c r="P279" s="27" t="s">
        <v>7</v>
      </c>
      <c r="Q279" s="27" t="s">
        <v>8</v>
      </c>
      <c r="R279" s="27" t="s">
        <v>7</v>
      </c>
      <c r="S279" s="27" t="s">
        <v>8</v>
      </c>
      <c r="AD279" s="27" t="s">
        <v>7</v>
      </c>
    </row>
    <row r="280" spans="1:33" x14ac:dyDescent="0.25">
      <c r="A280" s="30">
        <v>0.14204568230027562</v>
      </c>
      <c r="B280"/>
      <c r="C280"/>
      <c r="D280"/>
      <c r="E280"/>
      <c r="F280" s="27" t="s">
        <v>7</v>
      </c>
      <c r="O280" s="27" t="s">
        <v>8</v>
      </c>
      <c r="P280" s="27" t="s">
        <v>7</v>
      </c>
      <c r="Q280" s="27" t="s">
        <v>8</v>
      </c>
      <c r="R280" s="27" t="s">
        <v>7</v>
      </c>
    </row>
    <row r="281" spans="1:33" x14ac:dyDescent="0.25">
      <c r="A281" s="30">
        <v>0.13528160219073862</v>
      </c>
      <c r="B281"/>
      <c r="C281"/>
      <c r="D281"/>
      <c r="E281"/>
      <c r="F281" s="27" t="s">
        <v>7</v>
      </c>
      <c r="O281" s="27" t="s">
        <v>8</v>
      </c>
      <c r="P281" s="27" t="s">
        <v>7</v>
      </c>
      <c r="Q281" s="27" t="s">
        <v>8</v>
      </c>
    </row>
    <row r="282" spans="1:33" x14ac:dyDescent="0.25">
      <c r="A282" s="30">
        <v>0.12883962113403674</v>
      </c>
      <c r="B282"/>
      <c r="C282"/>
      <c r="D282"/>
      <c r="E282"/>
      <c r="F282" s="27" t="s">
        <v>7</v>
      </c>
      <c r="O282" s="27" t="s">
        <v>8</v>
      </c>
      <c r="P282" s="27" t="s">
        <v>7</v>
      </c>
      <c r="Q282" s="27" t="s">
        <v>8</v>
      </c>
    </row>
    <row r="283" spans="1:33" x14ac:dyDescent="0.25">
      <c r="A283" s="30">
        <v>0.12270440108003494</v>
      </c>
      <c r="B283"/>
      <c r="C283"/>
      <c r="D283"/>
      <c r="E283"/>
      <c r="F283" s="27" t="s">
        <v>7</v>
      </c>
      <c r="O283" s="27" t="s">
        <v>8</v>
      </c>
      <c r="P283" s="27" t="s">
        <v>7</v>
      </c>
      <c r="Q283" s="27" t="s">
        <v>8</v>
      </c>
    </row>
    <row r="284" spans="1:33" x14ac:dyDescent="0.25">
      <c r="A284" s="30">
        <v>0.11686133436193799</v>
      </c>
      <c r="B284"/>
      <c r="C284"/>
      <c r="D284"/>
      <c r="E284"/>
      <c r="F284" s="27" t="s">
        <v>7</v>
      </c>
      <c r="O284" s="27" t="s">
        <v>8</v>
      </c>
      <c r="P284" s="27" t="s">
        <v>7</v>
      </c>
      <c r="Q284" s="27" t="s">
        <v>8</v>
      </c>
    </row>
    <row r="285" spans="1:33" x14ac:dyDescent="0.25">
      <c r="A285" s="30">
        <v>0.11129650891613138</v>
      </c>
      <c r="B285"/>
      <c r="C285"/>
      <c r="D285"/>
      <c r="E285"/>
      <c r="F285" s="27" t="s">
        <v>7</v>
      </c>
      <c r="O285" s="27" t="s">
        <v>8</v>
      </c>
      <c r="P285" s="27" t="s">
        <v>7</v>
      </c>
      <c r="Q285" s="27" t="s">
        <v>8</v>
      </c>
    </row>
    <row r="286" spans="1:33" x14ac:dyDescent="0.25">
      <c r="A286" s="30">
        <v>0.10599667515822032</v>
      </c>
      <c r="B286"/>
      <c r="C286"/>
      <c r="D286"/>
      <c r="E286"/>
      <c r="F286" s="27" t="s">
        <v>7</v>
      </c>
      <c r="O286" s="27" t="s">
        <v>8</v>
      </c>
      <c r="P286" s="27" t="s">
        <v>7</v>
      </c>
      <c r="Q286" s="27" t="s">
        <v>8</v>
      </c>
    </row>
    <row r="287" spans="1:33" x14ac:dyDescent="0.25">
      <c r="A287" s="30">
        <v>0.10094921443640027</v>
      </c>
      <c r="B287"/>
      <c r="C287"/>
      <c r="D287"/>
      <c r="E287"/>
      <c r="F287" s="27" t="s">
        <v>7</v>
      </c>
      <c r="O287" s="27" t="s">
        <v>8</v>
      </c>
      <c r="P287" s="27" t="s">
        <v>7</v>
      </c>
      <c r="Q287" s="27" t="s">
        <v>8</v>
      </c>
    </row>
    <row r="288" spans="1:33" x14ac:dyDescent="0.25">
      <c r="A288" s="30">
        <v>9.6142108987047836E-2</v>
      </c>
      <c r="B288"/>
      <c r="C288"/>
      <c r="D288"/>
      <c r="E288"/>
      <c r="F288" s="27" t="s">
        <v>7</v>
      </c>
      <c r="O288" s="27" t="s">
        <v>8</v>
      </c>
      <c r="P288" s="27" t="s">
        <v>7</v>
      </c>
    </row>
    <row r="289" spans="1:15" x14ac:dyDescent="0.25">
      <c r="A289" s="30">
        <v>9.1563913320997906E-2</v>
      </c>
      <c r="B289"/>
      <c r="C289"/>
      <c r="D289"/>
      <c r="E289"/>
      <c r="F289" s="27" t="s">
        <v>7</v>
      </c>
      <c r="O289" s="27" t="s">
        <v>8</v>
      </c>
    </row>
    <row r="290" spans="1:15" x14ac:dyDescent="0.25">
      <c r="A290" s="30">
        <v>8.7203726972378923E-2</v>
      </c>
      <c r="B290"/>
      <c r="C290"/>
      <c r="D290"/>
      <c r="E290"/>
      <c r="F290" s="27" t="s">
        <v>7</v>
      </c>
      <c r="O290" s="27" t="s">
        <v>8</v>
      </c>
    </row>
    <row r="291" spans="1:15" x14ac:dyDescent="0.25">
      <c r="A291" s="30">
        <v>8.3051168545122747E-2</v>
      </c>
      <c r="B291"/>
      <c r="C291"/>
      <c r="D291"/>
      <c r="E291"/>
      <c r="F291" s="27" t="s">
        <v>7</v>
      </c>
      <c r="O291" s="27" t="s">
        <v>8</v>
      </c>
    </row>
    <row r="292" spans="1:15" x14ac:dyDescent="0.25">
      <c r="A292" s="30">
        <v>7.9096350995354961E-2</v>
      </c>
      <c r="B292"/>
      <c r="C292"/>
      <c r="D292"/>
      <c r="E292"/>
      <c r="F292" s="27" t="s">
        <v>7</v>
      </c>
      <c r="O292" s="27" t="s">
        <v>8</v>
      </c>
    </row>
    <row r="293" spans="1:15" x14ac:dyDescent="0.25">
      <c r="A293" s="30">
        <v>7.5329858090814217E-2</v>
      </c>
      <c r="B293"/>
      <c r="C293"/>
      <c r="D293"/>
      <c r="E293"/>
      <c r="F293" s="27" t="s">
        <v>7</v>
      </c>
      <c r="O293" s="27" t="s">
        <v>8</v>
      </c>
    </row>
    <row r="294" spans="1:15" x14ac:dyDescent="0.25">
      <c r="A294" s="30">
        <v>7.1742721991251604E-2</v>
      </c>
      <c r="B294"/>
      <c r="C294"/>
      <c r="D294"/>
      <c r="E294"/>
      <c r="F294" s="27" t="s">
        <v>7</v>
      </c>
      <c r="O294" s="27" t="s">
        <v>8</v>
      </c>
    </row>
    <row r="295" spans="1:15" x14ac:dyDescent="0.25">
      <c r="A295" s="30">
        <v>6.8326401896430078E-2</v>
      </c>
      <c r="B295"/>
      <c r="C295"/>
      <c r="D295"/>
      <c r="E295"/>
      <c r="F295" s="27" t="s">
        <v>7</v>
      </c>
      <c r="O295" s="27" t="s">
        <v>8</v>
      </c>
    </row>
    <row r="296" spans="1:15" x14ac:dyDescent="0.25">
      <c r="A296" s="30">
        <v>6.5072763710885759E-2</v>
      </c>
      <c r="B296"/>
      <c r="C296"/>
      <c r="D296"/>
      <c r="E296"/>
      <c r="F296" s="27" t="s">
        <v>7</v>
      </c>
      <c r="O296" s="27" t="s">
        <v>8</v>
      </c>
    </row>
    <row r="297" spans="1:15" x14ac:dyDescent="0.25">
      <c r="A297" s="30">
        <v>6.197406067703403E-2</v>
      </c>
      <c r="B297"/>
      <c r="C297"/>
      <c r="D297"/>
      <c r="E297"/>
      <c r="F297" s="27" t="s">
        <v>7</v>
      </c>
      <c r="O297" s="27" t="s">
        <v>8</v>
      </c>
    </row>
    <row r="298" spans="1:15" x14ac:dyDescent="0.25">
      <c r="A298" s="30">
        <v>5.9022914930508576E-2</v>
      </c>
      <c r="B298"/>
      <c r="C298"/>
      <c r="D298"/>
      <c r="E298"/>
      <c r="F298" s="27" t="s">
        <v>7</v>
      </c>
      <c r="O298" s="27" t="s">
        <v>8</v>
      </c>
    </row>
    <row r="299" spans="1:15" x14ac:dyDescent="0.25">
      <c r="A299" s="30">
        <v>5.6212299933817669E-2</v>
      </c>
      <c r="B299"/>
      <c r="C299"/>
      <c r="D299"/>
      <c r="E299"/>
      <c r="F299" s="27" t="s">
        <v>7</v>
      </c>
      <c r="M299" s="27" t="s">
        <v>8</v>
      </c>
      <c r="O299" s="27" t="s">
        <v>8</v>
      </c>
    </row>
    <row r="300" spans="1:15" x14ac:dyDescent="0.25">
      <c r="A300" s="30">
        <v>5.3535523746492994E-2</v>
      </c>
      <c r="B300"/>
      <c r="C300"/>
      <c r="D300"/>
      <c r="E300"/>
      <c r="F300" s="27" t="s">
        <v>7</v>
      </c>
      <c r="M300" s="27" t="s">
        <v>8</v>
      </c>
      <c r="N300" s="27" t="s">
        <v>7</v>
      </c>
      <c r="O300" s="27" t="s">
        <v>8</v>
      </c>
    </row>
    <row r="301" spans="1:15" x14ac:dyDescent="0.25">
      <c r="A301" s="30">
        <v>5.0986213091898068E-2</v>
      </c>
      <c r="B301"/>
      <c r="C301"/>
      <c r="D301"/>
      <c r="E301"/>
      <c r="F301" s="27" t="s">
        <v>7</v>
      </c>
      <c r="M301" s="27" t="s">
        <v>8</v>
      </c>
      <c r="N301" s="27" t="s">
        <v>7</v>
      </c>
      <c r="O301" s="27" t="s">
        <v>8</v>
      </c>
    </row>
    <row r="302" spans="1:15" x14ac:dyDescent="0.25">
      <c r="A302" s="30">
        <v>4.8558298182760043E-2</v>
      </c>
      <c r="B302"/>
      <c r="C302"/>
      <c r="D302"/>
      <c r="E302"/>
      <c r="F302" s="27" t="s">
        <v>7</v>
      </c>
      <c r="M302" s="27" t="s">
        <v>8</v>
      </c>
      <c r="N302" s="27" t="s">
        <v>7</v>
      </c>
    </row>
    <row r="303" spans="1:15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M303" s="27" t="s">
        <v>8</v>
      </c>
    </row>
    <row r="304" spans="1:15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M304" s="27" t="s">
        <v>8</v>
      </c>
    </row>
    <row r="305" spans="1:13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M305" s="27" t="s">
        <v>8</v>
      </c>
    </row>
    <row r="306" spans="1:13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M306" s="27" t="s">
        <v>8</v>
      </c>
    </row>
    <row r="307" spans="1:13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I307" s="27" t="s">
        <v>8</v>
      </c>
      <c r="M307" s="27" t="s">
        <v>8</v>
      </c>
    </row>
    <row r="308" spans="1:13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I308" s="27" t="s">
        <v>8</v>
      </c>
      <c r="J308" s="27" t="s">
        <v>7</v>
      </c>
      <c r="M308" s="27" t="s">
        <v>8</v>
      </c>
    </row>
    <row r="309" spans="1:13" x14ac:dyDescent="0.25">
      <c r="A309" s="30">
        <v>3.4509475941378875E-2</v>
      </c>
      <c r="B309"/>
      <c r="C309"/>
      <c r="D309"/>
      <c r="E309"/>
      <c r="F309" s="27" t="s">
        <v>7</v>
      </c>
      <c r="H309" s="27" t="s">
        <v>7</v>
      </c>
      <c r="I309" s="27" t="s">
        <v>8</v>
      </c>
      <c r="J309" s="27" t="s">
        <v>7</v>
      </c>
      <c r="M309" s="27" t="s">
        <v>8</v>
      </c>
    </row>
    <row r="310" spans="1:13" x14ac:dyDescent="0.25">
      <c r="A310" s="30">
        <v>3.286616756321796E-2</v>
      </c>
      <c r="B310"/>
      <c r="C310"/>
      <c r="D310"/>
      <c r="E310"/>
      <c r="H310" s="27" t="s">
        <v>7</v>
      </c>
      <c r="I310" s="27" t="s">
        <v>8</v>
      </c>
      <c r="J310" s="27" t="s">
        <v>7</v>
      </c>
      <c r="M310" s="27" t="s">
        <v>8</v>
      </c>
    </row>
    <row r="311" spans="1:13" x14ac:dyDescent="0.25">
      <c r="A311" s="30">
        <v>3.1301111964969472E-2</v>
      </c>
      <c r="B311"/>
      <c r="C311"/>
      <c r="D311"/>
      <c r="E311"/>
      <c r="H311" s="27" t="s">
        <v>7</v>
      </c>
      <c r="I311" s="27" t="s">
        <v>8</v>
      </c>
      <c r="J311" s="27" t="s">
        <v>7</v>
      </c>
      <c r="M311" s="27" t="s">
        <v>8</v>
      </c>
    </row>
    <row r="312" spans="1:13" x14ac:dyDescent="0.25">
      <c r="A312" s="30">
        <v>2.9810582823780438E-2</v>
      </c>
      <c r="B312"/>
      <c r="C312"/>
      <c r="D312"/>
      <c r="E312"/>
      <c r="H312" s="27" t="s">
        <v>7</v>
      </c>
      <c r="J312" s="27" t="s">
        <v>7</v>
      </c>
      <c r="K312" s="27" t="s">
        <v>8</v>
      </c>
      <c r="M312" s="27" t="s">
        <v>8</v>
      </c>
    </row>
    <row r="313" spans="1:13" x14ac:dyDescent="0.25">
      <c r="A313" s="30">
        <v>2.8391031260743264E-2</v>
      </c>
      <c r="B313"/>
      <c r="C313"/>
      <c r="D313"/>
      <c r="E313"/>
      <c r="J313" s="27" t="s">
        <v>7</v>
      </c>
      <c r="K313" s="27" t="s">
        <v>8</v>
      </c>
      <c r="L313" s="27" t="s">
        <v>7</v>
      </c>
      <c r="M313" s="27" t="s">
        <v>8</v>
      </c>
    </row>
    <row r="314" spans="1:13" x14ac:dyDescent="0.25">
      <c r="A314" s="30">
        <v>2.7039077391184052E-2</v>
      </c>
      <c r="B314"/>
      <c r="C314"/>
      <c r="D314"/>
      <c r="E314"/>
      <c r="J314" s="27" t="s">
        <v>7</v>
      </c>
      <c r="K314" s="27" t="s">
        <v>8</v>
      </c>
      <c r="L314" s="27" t="s">
        <v>7</v>
      </c>
      <c r="M314" s="27" t="s">
        <v>8</v>
      </c>
    </row>
    <row r="315" spans="1:13" x14ac:dyDescent="0.25">
      <c r="A315" s="30">
        <v>2.5751502277318133E-2</v>
      </c>
      <c r="B315"/>
      <c r="C315"/>
      <c r="D315"/>
      <c r="E315"/>
      <c r="J315" s="27" t="s">
        <v>7</v>
      </c>
      <c r="K315" s="27" t="s">
        <v>8</v>
      </c>
      <c r="L315" s="27" t="s">
        <v>7</v>
      </c>
    </row>
    <row r="316" spans="1:13" x14ac:dyDescent="0.25">
      <c r="A316" s="30">
        <v>2.4525240264112496E-2</v>
      </c>
      <c r="B316"/>
      <c r="C316"/>
      <c r="D316"/>
      <c r="E316"/>
      <c r="J316" s="27" t="s">
        <v>7</v>
      </c>
    </row>
    <row r="317" spans="1:13" x14ac:dyDescent="0.25">
      <c r="A317" s="30">
        <v>2.3357371680107129E-2</v>
      </c>
      <c r="B317"/>
      <c r="C317"/>
      <c r="D317"/>
      <c r="E317"/>
    </row>
    <row r="318" spans="1:13" x14ac:dyDescent="0.25">
      <c r="A318" s="30">
        <v>2.2245115885816305E-2</v>
      </c>
      <c r="B318"/>
      <c r="C318"/>
      <c r="D318"/>
      <c r="E318"/>
    </row>
    <row r="319" spans="1:13" x14ac:dyDescent="0.25">
      <c r="A319" s="30">
        <v>2.1185824653158377E-2</v>
      </c>
      <c r="B319"/>
      <c r="C319"/>
      <c r="D319"/>
      <c r="E319"/>
    </row>
    <row r="320" spans="1:13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5" operator="equal">
      <formula>$U$1</formula>
    </cfRule>
    <cfRule type="cellIs" dxfId="67" priority="896" operator="equal">
      <formula>$S$1</formula>
    </cfRule>
  </conditionalFormatting>
  <conditionalFormatting sqref="D136">
    <cfRule type="cellIs" dxfId="66" priority="893" operator="equal">
      <formula>$S$1</formula>
    </cfRule>
    <cfRule type="cellIs" dxfId="65" priority="894" operator="equal">
      <formula>$U$1</formula>
    </cfRule>
  </conditionalFormatting>
  <conditionalFormatting sqref="C162">
    <cfRule type="cellIs" dxfId="64" priority="891" operator="equal">
      <formula>$U$1</formula>
    </cfRule>
    <cfRule type="cellIs" dxfId="63" priority="892" operator="equal">
      <formula>$S$1</formula>
    </cfRule>
  </conditionalFormatting>
  <conditionalFormatting sqref="D162">
    <cfRule type="cellIs" dxfId="62" priority="889" operator="equal">
      <formula>$S$1</formula>
    </cfRule>
    <cfRule type="cellIs" dxfId="61" priority="890" operator="equal">
      <formula>$U$1</formula>
    </cfRule>
  </conditionalFormatting>
  <conditionalFormatting sqref="C187">
    <cfRule type="cellIs" dxfId="60" priority="887" operator="equal">
      <formula>$U$1</formula>
    </cfRule>
    <cfRule type="cellIs" dxfId="59" priority="888" operator="equal">
      <formula>$S$1</formula>
    </cfRule>
  </conditionalFormatting>
  <conditionalFormatting sqref="D187">
    <cfRule type="cellIs" dxfId="58" priority="885" operator="equal">
      <formula>$S$1</formula>
    </cfRule>
    <cfRule type="cellIs" dxfId="57" priority="886" operator="equal">
      <formula>$U$1</formula>
    </cfRule>
  </conditionalFormatting>
  <conditionalFormatting sqref="C212">
    <cfRule type="cellIs" dxfId="56" priority="883" operator="equal">
      <formula>$U$1</formula>
    </cfRule>
    <cfRule type="cellIs" dxfId="55" priority="884" operator="equal">
      <formula>$S$1</formula>
    </cfRule>
  </conditionalFormatting>
  <conditionalFormatting sqref="D212">
    <cfRule type="cellIs" dxfId="54" priority="881" operator="equal">
      <formula>$S$1</formula>
    </cfRule>
    <cfRule type="cellIs" dxfId="53" priority="882" operator="equal">
      <formula>$U$1</formula>
    </cfRule>
  </conditionalFormatting>
  <conditionalFormatting sqref="C237">
    <cfRule type="cellIs" dxfId="52" priority="879" operator="equal">
      <formula>$U$1</formula>
    </cfRule>
    <cfRule type="cellIs" dxfId="51" priority="880" operator="equal">
      <formula>$S$1</formula>
    </cfRule>
  </conditionalFormatting>
  <conditionalFormatting sqref="D237">
    <cfRule type="cellIs" dxfId="50" priority="877" operator="equal">
      <formula>$S$1</formula>
    </cfRule>
    <cfRule type="cellIs" dxfId="49" priority="878" operator="equal">
      <formula>$U$1</formula>
    </cfRule>
  </conditionalFormatting>
  <conditionalFormatting sqref="C106">
    <cfRule type="cellIs" dxfId="48" priority="875" operator="equal">
      <formula>$U$1</formula>
    </cfRule>
    <cfRule type="cellIs" dxfId="47" priority="876" operator="equal">
      <formula>$S$1</formula>
    </cfRule>
  </conditionalFormatting>
  <conditionalFormatting sqref="D106">
    <cfRule type="cellIs" dxfId="46" priority="873" operator="equal">
      <formula>$S$1</formula>
    </cfRule>
    <cfRule type="cellIs" dxfId="45" priority="874" operator="equal">
      <formula>$U$1</formula>
    </cfRule>
  </conditionalFormatting>
  <conditionalFormatting sqref="C81">
    <cfRule type="cellIs" dxfId="44" priority="871" operator="equal">
      <formula>$U$1</formula>
    </cfRule>
    <cfRule type="cellIs" dxfId="43" priority="872" operator="equal">
      <formula>$S$1</formula>
    </cfRule>
  </conditionalFormatting>
  <conditionalFormatting sqref="D81">
    <cfRule type="cellIs" dxfId="42" priority="869" operator="equal">
      <formula>$S$1</formula>
    </cfRule>
    <cfRule type="cellIs" dxfId="41" priority="870" operator="equal">
      <formula>$U$1</formula>
    </cfRule>
  </conditionalFormatting>
  <conditionalFormatting sqref="C56">
    <cfRule type="cellIs" dxfId="40" priority="867" operator="equal">
      <formula>$U$1</formula>
    </cfRule>
    <cfRule type="cellIs" dxfId="39" priority="868" operator="equal">
      <formula>$S$1</formula>
    </cfRule>
  </conditionalFormatting>
  <conditionalFormatting sqref="D56">
    <cfRule type="cellIs" dxfId="38" priority="865" operator="equal">
      <formula>$S$1</formula>
    </cfRule>
    <cfRule type="cellIs" dxfId="37" priority="866" operator="equal">
      <formula>$U$1</formula>
    </cfRule>
  </conditionalFormatting>
  <conditionalFormatting sqref="C31">
    <cfRule type="cellIs" dxfId="36" priority="863" operator="equal">
      <formula>$U$1</formula>
    </cfRule>
    <cfRule type="cellIs" dxfId="35" priority="864" operator="equal">
      <formula>$S$1</formula>
    </cfRule>
  </conditionalFormatting>
  <conditionalFormatting sqref="D31">
    <cfRule type="cellIs" dxfId="34" priority="861" operator="equal">
      <formula>$S$1</formula>
    </cfRule>
    <cfRule type="cellIs" dxfId="33" priority="86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6" zoomScale="90" zoomScaleNormal="90" workbookViewId="0">
      <pane xSplit="4" topLeftCell="G1" activePane="topRight" state="frozen"/>
      <selection activeCell="A109" sqref="A109"/>
      <selection pane="topRight" activeCell="AZ132" sqref="AZ13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9" x14ac:dyDescent="0.25">
      <c r="A97" s="30">
        <v>9.849732675807628</v>
      </c>
      <c r="E97"/>
    </row>
    <row r="98" spans="1:39" x14ac:dyDescent="0.25">
      <c r="A98" s="30">
        <v>8.9543024325523888</v>
      </c>
      <c r="C98" s="1" t="s">
        <v>13</v>
      </c>
      <c r="E98"/>
    </row>
    <row r="99" spans="1:39" x14ac:dyDescent="0.25">
      <c r="A99" s="30">
        <v>8.140274938683989</v>
      </c>
      <c r="C99" s="1">
        <f>C88</f>
        <v>0</v>
      </c>
      <c r="E99"/>
    </row>
    <row r="100" spans="1:39" x14ac:dyDescent="0.25">
      <c r="A100" s="30">
        <v>7.4002499442581717</v>
      </c>
      <c r="C100"/>
      <c r="D100"/>
      <c r="E100"/>
    </row>
    <row r="101" spans="1:39" x14ac:dyDescent="0.25">
      <c r="A101" s="30">
        <v>6.72749994932561</v>
      </c>
      <c r="C101" s="1" t="s">
        <v>14</v>
      </c>
      <c r="E101"/>
    </row>
    <row r="102" spans="1:3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9" x14ac:dyDescent="0.25">
      <c r="A103" s="30">
        <v>5.5599173134922388</v>
      </c>
      <c r="E103"/>
    </row>
    <row r="104" spans="1:39" x14ac:dyDescent="0.25">
      <c r="A104" s="30">
        <v>5.0544702849929442</v>
      </c>
      <c r="E104"/>
    </row>
    <row r="105" spans="1:39" x14ac:dyDescent="0.25">
      <c r="A105" s="30">
        <v>4.594972986357222</v>
      </c>
      <c r="E105"/>
    </row>
    <row r="106" spans="1:39" x14ac:dyDescent="0.25">
      <c r="A106" s="30">
        <v>4.1772481694156562</v>
      </c>
      <c r="E106"/>
    </row>
    <row r="107" spans="1:39" x14ac:dyDescent="0.25">
      <c r="A107" s="30">
        <v>3.7974983358324148</v>
      </c>
      <c r="E107"/>
    </row>
    <row r="108" spans="1:39" x14ac:dyDescent="0.25">
      <c r="A108" s="30">
        <v>3.4522712143931042</v>
      </c>
      <c r="E108"/>
    </row>
    <row r="109" spans="1:39" x14ac:dyDescent="0.25">
      <c r="A109" s="30">
        <v>3.1384283767210035</v>
      </c>
      <c r="E109"/>
    </row>
    <row r="110" spans="1:39" x14ac:dyDescent="0.25">
      <c r="A110" s="30">
        <v>2.8531167061100029</v>
      </c>
      <c r="E110"/>
      <c r="U110" s="27" t="s">
        <v>8</v>
      </c>
    </row>
    <row r="111" spans="1:39" x14ac:dyDescent="0.25">
      <c r="A111" s="30">
        <v>2.5937424601000023</v>
      </c>
      <c r="C111" s="1" t="str">
        <f>ADDRESS(C121-1,1,1,1)</f>
        <v>$A$131</v>
      </c>
      <c r="D111" s="1" t="str">
        <f>ADDRESS(C121-1,D121,1,1)</f>
        <v>$AZ$131</v>
      </c>
      <c r="E111"/>
      <c r="U111" s="27" t="s">
        <v>8</v>
      </c>
      <c r="V111" s="27" t="s">
        <v>7</v>
      </c>
      <c r="W111" s="27" t="s">
        <v>8</v>
      </c>
    </row>
    <row r="112" spans="1:39" x14ac:dyDescent="0.25">
      <c r="A112" s="30">
        <v>2.3579476910000019</v>
      </c>
      <c r="C112" s="1" t="str">
        <f>ADDRESS(C121,1,1,1)</f>
        <v>$A$132</v>
      </c>
      <c r="D112" s="1" t="str">
        <f>ADDRESS(C121,D121-1,1,1)</f>
        <v>$AY$132</v>
      </c>
      <c r="E112"/>
      <c r="S112" s="27" t="s">
        <v>8</v>
      </c>
      <c r="U112" s="27" t="s">
        <v>8</v>
      </c>
      <c r="V112" s="27" t="s">
        <v>7</v>
      </c>
      <c r="W112" s="27" t="s">
        <v>8</v>
      </c>
      <c r="X112" s="27" t="s">
        <v>7</v>
      </c>
      <c r="AK112" s="32" t="s">
        <v>8</v>
      </c>
      <c r="AM112" s="32" t="s">
        <v>8</v>
      </c>
    </row>
    <row r="113" spans="1:52" x14ac:dyDescent="0.25">
      <c r="A113" s="30">
        <v>2.1435888100000016</v>
      </c>
      <c r="C113" s="1" t="str">
        <f>ADDRESS(C121+1,1,1,1)</f>
        <v>$A$133</v>
      </c>
      <c r="D113" s="1" t="str">
        <f>ADDRESS(C121-1,D121+1,1,1)</f>
        <v>$BA$131</v>
      </c>
      <c r="S113" s="27" t="s">
        <v>8</v>
      </c>
      <c r="T113" s="27" t="s">
        <v>7</v>
      </c>
      <c r="U113" s="27" t="s">
        <v>8</v>
      </c>
      <c r="V113" s="27" t="s">
        <v>7</v>
      </c>
      <c r="W113" s="27" t="s">
        <v>8</v>
      </c>
      <c r="X113" s="27" t="s">
        <v>7</v>
      </c>
      <c r="AE113" s="27" t="s">
        <v>8</v>
      </c>
      <c r="AI113" s="27" t="s">
        <v>8</v>
      </c>
      <c r="AK113" s="27" t="s">
        <v>8</v>
      </c>
      <c r="AL113" s="27" t="s">
        <v>7</v>
      </c>
      <c r="AM113" s="27" t="s">
        <v>8</v>
      </c>
      <c r="AN113" s="31" t="s">
        <v>7</v>
      </c>
    </row>
    <row r="114" spans="1:52" x14ac:dyDescent="0.25">
      <c r="A114" s="30">
        <v>1.9487171000000014</v>
      </c>
      <c r="C114" s="1" t="str">
        <f>ADDRESS(C121,D121,1,1)</f>
        <v>$AZ$132</v>
      </c>
      <c r="D114" s="1" t="str">
        <f>ADDRESS(C121+1,D121+1,1,1)</f>
        <v>$BA$133</v>
      </c>
      <c r="S114" s="27" t="s">
        <v>8</v>
      </c>
      <c r="T114" s="27" t="s">
        <v>7</v>
      </c>
      <c r="U114" s="27" t="s">
        <v>8</v>
      </c>
      <c r="V114" s="27" t="s">
        <v>7</v>
      </c>
      <c r="X114" s="27" t="s">
        <v>7</v>
      </c>
      <c r="AC114" s="33" t="s">
        <v>8</v>
      </c>
      <c r="AE114" s="27" t="s">
        <v>8</v>
      </c>
      <c r="AF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AO114" s="31"/>
    </row>
    <row r="115" spans="1:52" x14ac:dyDescent="0.25">
      <c r="A115" s="30">
        <v>1.7715610000000011</v>
      </c>
      <c r="C115" s="1" t="str">
        <f>ADDRESS(C121+1,D121,1,1)</f>
        <v>$AZ$133</v>
      </c>
      <c r="S115" s="27" t="s">
        <v>8</v>
      </c>
      <c r="T115" s="27" t="s">
        <v>7</v>
      </c>
      <c r="X115" s="34" t="s">
        <v>7</v>
      </c>
      <c r="Y115" s="27" t="s">
        <v>8</v>
      </c>
      <c r="AA115" s="27" t="s">
        <v>8</v>
      </c>
      <c r="AC115" s="27" t="s">
        <v>8</v>
      </c>
      <c r="AD115" s="27" t="s">
        <v>7</v>
      </c>
      <c r="AE115" s="27" t="s">
        <v>8</v>
      </c>
      <c r="AF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N115" s="31" t="s">
        <v>7</v>
      </c>
      <c r="AP115" s="31"/>
    </row>
    <row r="116" spans="1:52" x14ac:dyDescent="0.25">
      <c r="A116" s="30">
        <v>1.6105100000000008</v>
      </c>
      <c r="C116" s="1">
        <f>C117-1</f>
        <v>131</v>
      </c>
      <c r="S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B116" s="27" t="s">
        <v>7</v>
      </c>
      <c r="AC116" s="27" t="s">
        <v>8</v>
      </c>
      <c r="AD116" s="27" t="s">
        <v>7</v>
      </c>
      <c r="AE116" s="27" t="s">
        <v>8</v>
      </c>
      <c r="AF116" s="27" t="s">
        <v>7</v>
      </c>
      <c r="AG116" s="27" t="s">
        <v>8</v>
      </c>
      <c r="AI116" s="27" t="s">
        <v>8</v>
      </c>
      <c r="AJ116" s="27" t="s">
        <v>7</v>
      </c>
      <c r="AM116" s="31"/>
      <c r="AN116" s="34" t="s">
        <v>7</v>
      </c>
      <c r="AQ116" s="31"/>
    </row>
    <row r="117" spans="1:52" x14ac:dyDescent="0.25">
      <c r="A117" s="30">
        <v>1.4641000000000006</v>
      </c>
      <c r="C117" s="1">
        <f>C121</f>
        <v>132</v>
      </c>
      <c r="D117" s="1">
        <f>D121</f>
        <v>52</v>
      </c>
      <c r="S117" s="27" t="s">
        <v>8</v>
      </c>
      <c r="X117" s="27" t="s">
        <v>7</v>
      </c>
      <c r="Y117" s="27" t="s">
        <v>8</v>
      </c>
      <c r="Z117" s="27" t="s">
        <v>7</v>
      </c>
      <c r="AA117" s="27" t="s">
        <v>8</v>
      </c>
      <c r="AB117" s="27" t="s">
        <v>7</v>
      </c>
      <c r="AC117" s="27" t="s">
        <v>8</v>
      </c>
      <c r="AD117" s="27" t="s">
        <v>7</v>
      </c>
      <c r="AF117" s="27" t="s">
        <v>7</v>
      </c>
      <c r="AG117" s="27" t="s">
        <v>8</v>
      </c>
      <c r="AH117" s="27" t="s">
        <v>7</v>
      </c>
      <c r="AI117" s="27" t="s">
        <v>8</v>
      </c>
      <c r="AL117" s="31"/>
      <c r="AN117" s="27" t="s">
        <v>7</v>
      </c>
      <c r="AR117" s="31"/>
      <c r="AU117" s="27" t="s">
        <v>8</v>
      </c>
    </row>
    <row r="118" spans="1:52" x14ac:dyDescent="0.25">
      <c r="A118" s="30">
        <v>1.3310000000000004</v>
      </c>
      <c r="C118" s="1">
        <f>C117+1</f>
        <v>133</v>
      </c>
      <c r="D118" s="1">
        <f>D117+1</f>
        <v>53</v>
      </c>
      <c r="S118" s="27" t="s">
        <v>8</v>
      </c>
      <c r="X118" s="27" t="s">
        <v>7</v>
      </c>
      <c r="Z118" s="27" t="s">
        <v>7</v>
      </c>
      <c r="AA118" s="27" t="s">
        <v>8</v>
      </c>
      <c r="AB118" s="27" t="s">
        <v>7</v>
      </c>
      <c r="AC118" s="27" t="s">
        <v>8</v>
      </c>
      <c r="AF118" s="27" t="s">
        <v>7</v>
      </c>
      <c r="AG118" s="27" t="s">
        <v>8</v>
      </c>
      <c r="AH118" s="27" t="s">
        <v>7</v>
      </c>
      <c r="AI118" s="27" t="s">
        <v>8</v>
      </c>
      <c r="AK118" s="31"/>
      <c r="AN118" s="27" t="s">
        <v>7</v>
      </c>
      <c r="AS118" s="31"/>
      <c r="AU118" s="27" t="s">
        <v>8</v>
      </c>
      <c r="AV118" s="27" t="s">
        <v>7</v>
      </c>
    </row>
    <row r="119" spans="1:52" x14ac:dyDescent="0.25">
      <c r="A119" s="30">
        <v>1.2100000000000002</v>
      </c>
      <c r="S119" s="27" t="s">
        <v>8</v>
      </c>
      <c r="Z119" s="27" t="s">
        <v>7</v>
      </c>
      <c r="AA119" s="27" t="s">
        <v>8</v>
      </c>
      <c r="AB119" s="27" t="s">
        <v>7</v>
      </c>
      <c r="AC119" s="27" t="s">
        <v>8</v>
      </c>
      <c r="AF119" s="32" t="s">
        <v>7</v>
      </c>
      <c r="AH119" s="32" t="s">
        <v>7</v>
      </c>
      <c r="AJ119" s="31"/>
      <c r="AN119" s="27" t="s">
        <v>7</v>
      </c>
      <c r="AT119" s="31"/>
      <c r="AU119" s="27" t="s">
        <v>8</v>
      </c>
      <c r="AV119" s="27" t="s">
        <v>7</v>
      </c>
      <c r="AW119" s="32" t="s">
        <v>8</v>
      </c>
      <c r="AY119" s="32" t="s">
        <v>8</v>
      </c>
    </row>
    <row r="120" spans="1:52" x14ac:dyDescent="0.25">
      <c r="A120" s="30">
        <v>1.1000000000000001</v>
      </c>
      <c r="C120" s="1" t="s">
        <v>9</v>
      </c>
      <c r="S120" s="27" t="s">
        <v>8</v>
      </c>
      <c r="Z120" s="27" t="s">
        <v>7</v>
      </c>
      <c r="AA120" s="27" t="s">
        <v>8</v>
      </c>
      <c r="AB120" s="27" t="s">
        <v>7</v>
      </c>
      <c r="AI120" s="31"/>
      <c r="AN120" s="27" t="s">
        <v>7</v>
      </c>
      <c r="AU120" s="31" t="s">
        <v>8</v>
      </c>
      <c r="AV120" s="27" t="s">
        <v>7</v>
      </c>
      <c r="AW120" s="27" t="s">
        <v>8</v>
      </c>
      <c r="AX120" s="27" t="s">
        <v>7</v>
      </c>
      <c r="AY120" s="27" t="s">
        <v>8</v>
      </c>
      <c r="AZ120" s="27" t="s">
        <v>7</v>
      </c>
    </row>
    <row r="121" spans="1:52" x14ac:dyDescent="0.25">
      <c r="A121" s="30">
        <v>1</v>
      </c>
      <c r="C121" s="18">
        <v>132</v>
      </c>
      <c r="D121" s="19">
        <v>52</v>
      </c>
      <c r="E121" s="18" t="s">
        <v>8</v>
      </c>
      <c r="S121" s="27" t="s">
        <v>8</v>
      </c>
      <c r="Z121" s="27" t="s">
        <v>7</v>
      </c>
      <c r="AH121" s="31"/>
      <c r="AN121" s="27" t="s">
        <v>7</v>
      </c>
      <c r="AU121" s="33" t="s">
        <v>8</v>
      </c>
      <c r="AV121" s="31" t="s">
        <v>7</v>
      </c>
      <c r="AW121" s="27" t="s">
        <v>8</v>
      </c>
      <c r="AX121" s="27" t="s">
        <v>7</v>
      </c>
      <c r="AY121" s="27" t="s">
        <v>8</v>
      </c>
      <c r="AZ121" s="27" t="s">
        <v>7</v>
      </c>
    </row>
    <row r="122" spans="1:52" x14ac:dyDescent="0.25">
      <c r="A122" s="30">
        <v>0.90909090909090895</v>
      </c>
      <c r="C122" s="1" t="str">
        <f>INDEX(1:1048576,C117,D117)</f>
        <v>O</v>
      </c>
      <c r="F122" s="27" t="s">
        <v>7</v>
      </c>
      <c r="S122" s="27" t="s">
        <v>8</v>
      </c>
      <c r="AG122" s="31"/>
      <c r="AN122" s="27" t="s">
        <v>7</v>
      </c>
      <c r="AO122" s="32" t="s">
        <v>8</v>
      </c>
      <c r="AQ122" s="32" t="s">
        <v>8</v>
      </c>
      <c r="AS122" s="32" t="s">
        <v>8</v>
      </c>
      <c r="AU122" s="27" t="s">
        <v>8</v>
      </c>
      <c r="AV122" s="27" t="s">
        <v>7</v>
      </c>
      <c r="AX122" s="27" t="s">
        <v>7</v>
      </c>
      <c r="AY122" s="27" t="s">
        <v>8</v>
      </c>
      <c r="AZ122" s="27" t="s">
        <v>7</v>
      </c>
    </row>
    <row r="123" spans="1:52" x14ac:dyDescent="0.25">
      <c r="A123" s="30">
        <v>0.82644628099173523</v>
      </c>
      <c r="C123" s="1" t="str">
        <f>"R"&amp;C121</f>
        <v>R132</v>
      </c>
      <c r="D123" s="1" t="str">
        <f>"C"&amp;D121</f>
        <v>C52</v>
      </c>
      <c r="F123" s="27" t="s">
        <v>7</v>
      </c>
      <c r="S123" s="27" t="s">
        <v>8</v>
      </c>
      <c r="AF123" s="31"/>
      <c r="AN123" s="27" t="s">
        <v>7</v>
      </c>
      <c r="AO123" s="27" t="s">
        <v>8</v>
      </c>
      <c r="AP123" s="27" t="s">
        <v>7</v>
      </c>
      <c r="AQ123" s="27" t="s">
        <v>8</v>
      </c>
      <c r="AR123" s="27" t="s">
        <v>7</v>
      </c>
      <c r="AS123" s="27" t="s">
        <v>8</v>
      </c>
      <c r="AT123" s="27" t="s">
        <v>7</v>
      </c>
      <c r="AU123" s="27" t="s">
        <v>8</v>
      </c>
      <c r="AX123" s="34" t="s">
        <v>7</v>
      </c>
      <c r="AZ123" s="27" t="s">
        <v>7</v>
      </c>
    </row>
    <row r="124" spans="1:5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S124" s="27" t="s">
        <v>8</v>
      </c>
      <c r="AE124" s="31"/>
      <c r="AN124" s="27" t="s">
        <v>7</v>
      </c>
      <c r="AO124" s="27" t="s">
        <v>8</v>
      </c>
      <c r="AP124" s="27" t="s">
        <v>7</v>
      </c>
      <c r="AQ124" s="27" t="s">
        <v>8</v>
      </c>
      <c r="AR124" s="27" t="s">
        <v>7</v>
      </c>
      <c r="AS124" s="27" t="s">
        <v>8</v>
      </c>
      <c r="AT124" s="27" t="s">
        <v>7</v>
      </c>
      <c r="AU124" s="27" t="s">
        <v>8</v>
      </c>
      <c r="AZ124" s="27" t="s">
        <v>7</v>
      </c>
    </row>
    <row r="125" spans="1:52" x14ac:dyDescent="0.25">
      <c r="A125" s="30">
        <v>0.68301345536507019</v>
      </c>
      <c r="F125" s="27" t="s">
        <v>7</v>
      </c>
      <c r="Q125" s="27" t="s">
        <v>8</v>
      </c>
      <c r="S125" s="27" t="s">
        <v>8</v>
      </c>
      <c r="AD125" s="31"/>
      <c r="AN125" s="27" t="s">
        <v>7</v>
      </c>
      <c r="AO125" s="27" t="s">
        <v>8</v>
      </c>
      <c r="AP125" s="27" t="s">
        <v>7</v>
      </c>
      <c r="AR125" s="27" t="s">
        <v>7</v>
      </c>
      <c r="AS125" s="27" t="s">
        <v>8</v>
      </c>
      <c r="AT125" s="27" t="s">
        <v>7</v>
      </c>
      <c r="AU125" s="27" t="s">
        <v>8</v>
      </c>
      <c r="AZ125" s="31" t="s">
        <v>7</v>
      </c>
    </row>
    <row r="126" spans="1:52" x14ac:dyDescent="0.25">
      <c r="A126" s="30">
        <v>0.6209213230591546</v>
      </c>
      <c r="C126" s="1" t="s">
        <v>10</v>
      </c>
      <c r="F126" s="27" t="s">
        <v>7</v>
      </c>
      <c r="Q126" s="27" t="s">
        <v>8</v>
      </c>
      <c r="R126" s="27" t="s">
        <v>7</v>
      </c>
      <c r="S126" s="27" t="s">
        <v>8</v>
      </c>
      <c r="AC126" s="31"/>
      <c r="AN126" s="27" t="s">
        <v>7</v>
      </c>
      <c r="AO126" s="27" t="s">
        <v>8</v>
      </c>
      <c r="AR126" s="27" t="s">
        <v>7</v>
      </c>
      <c r="AS126" s="27" t="s">
        <v>8</v>
      </c>
      <c r="AT126" s="27" t="s">
        <v>7</v>
      </c>
      <c r="AU126" s="27" t="s">
        <v>8</v>
      </c>
      <c r="AY126" s="31"/>
      <c r="AZ126" s="27" t="s">
        <v>7</v>
      </c>
    </row>
    <row r="127" spans="1:52" x14ac:dyDescent="0.25">
      <c r="A127" s="30">
        <v>0.56447393005377677</v>
      </c>
      <c r="C127" s="30">
        <v>0.35049389948139187</v>
      </c>
      <c r="D127"/>
      <c r="F127" s="27" t="s">
        <v>7</v>
      </c>
      <c r="Q127" s="27" t="s">
        <v>8</v>
      </c>
      <c r="R127" s="27" t="s">
        <v>7</v>
      </c>
      <c r="S127" s="27" t="s">
        <v>8</v>
      </c>
      <c r="AB127" s="31"/>
      <c r="AN127" s="27" t="s">
        <v>7</v>
      </c>
      <c r="AO127" s="27" t="s">
        <v>8</v>
      </c>
      <c r="AR127" s="27" t="s">
        <v>7</v>
      </c>
      <c r="AS127" s="27" t="s">
        <v>8</v>
      </c>
      <c r="AT127" s="27" t="s">
        <v>7</v>
      </c>
      <c r="AU127" s="27" t="s">
        <v>8</v>
      </c>
      <c r="AX127" s="31"/>
      <c r="AZ127" s="27" t="s">
        <v>7</v>
      </c>
    </row>
    <row r="128" spans="1:52" x14ac:dyDescent="0.25">
      <c r="A128" s="30">
        <v>0.51315811823070612</v>
      </c>
      <c r="F128" s="27" t="s">
        <v>7</v>
      </c>
      <c r="Q128" s="27" t="s">
        <v>8</v>
      </c>
      <c r="R128" s="27" t="s">
        <v>7</v>
      </c>
      <c r="S128" s="27" t="s">
        <v>8</v>
      </c>
      <c r="AA128" s="31"/>
      <c r="AN128" s="27" t="s">
        <v>7</v>
      </c>
      <c r="AR128" s="27" t="s">
        <v>7</v>
      </c>
      <c r="AS128" s="27" t="s">
        <v>8</v>
      </c>
      <c r="AT128" s="27" t="s">
        <v>7</v>
      </c>
      <c r="AU128" s="27" t="s">
        <v>8</v>
      </c>
      <c r="AW128" s="31"/>
      <c r="AZ128" s="27" t="s">
        <v>7</v>
      </c>
    </row>
    <row r="129" spans="1:5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Q129" s="27" t="s">
        <v>8</v>
      </c>
      <c r="R129" s="27" t="s">
        <v>7</v>
      </c>
      <c r="S129" s="27" t="s">
        <v>8</v>
      </c>
      <c r="Z129" s="31"/>
      <c r="AR129" s="27" t="s">
        <v>7</v>
      </c>
      <c r="AS129" s="27" t="s">
        <v>8</v>
      </c>
      <c r="AT129" s="18" t="s">
        <v>7</v>
      </c>
      <c r="AU129" s="27" t="s">
        <v>8</v>
      </c>
      <c r="AV129" s="31"/>
      <c r="AZ129" s="27" t="s">
        <v>7</v>
      </c>
    </row>
    <row r="130" spans="1:52" x14ac:dyDescent="0.25">
      <c r="A130" s="30">
        <v>0.42409761837248428</v>
      </c>
      <c r="C130" s="6"/>
      <c r="D130" s="6"/>
      <c r="E130"/>
      <c r="F130" s="27" t="s">
        <v>7</v>
      </c>
      <c r="Q130" s="27" t="s">
        <v>8</v>
      </c>
      <c r="R130" s="27" t="s">
        <v>7</v>
      </c>
      <c r="S130" s="27" t="s">
        <v>8</v>
      </c>
      <c r="Y130" s="31"/>
      <c r="AR130" s="27" t="s">
        <v>7</v>
      </c>
      <c r="AS130" s="27" t="s">
        <v>8</v>
      </c>
      <c r="AT130" s="27" t="s">
        <v>7</v>
      </c>
      <c r="AU130" s="31"/>
      <c r="AZ130" s="27" t="s">
        <v>7</v>
      </c>
    </row>
    <row r="131" spans="1:52" x14ac:dyDescent="0.25">
      <c r="A131" s="30">
        <v>0.38554328942953109</v>
      </c>
      <c r="E131"/>
      <c r="F131" s="27" t="s">
        <v>7</v>
      </c>
      <c r="Q131" s="27" t="s">
        <v>8</v>
      </c>
      <c r="R131" s="27" t="s">
        <v>7</v>
      </c>
      <c r="S131" s="27" t="s">
        <v>8</v>
      </c>
      <c r="X131" s="31"/>
      <c r="AR131" s="27" t="s">
        <v>7</v>
      </c>
      <c r="AS131" s="27" t="s">
        <v>8</v>
      </c>
      <c r="AT131" s="31"/>
      <c r="AZ131" s="27" t="s">
        <v>7</v>
      </c>
    </row>
    <row r="132" spans="1:52" x14ac:dyDescent="0.25">
      <c r="A132" s="30">
        <v>0.35049389948139187</v>
      </c>
      <c r="C132" s="1" t="s">
        <v>13</v>
      </c>
      <c r="E132"/>
      <c r="F132" s="27" t="s">
        <v>7</v>
      </c>
      <c r="Q132" s="27" t="s">
        <v>8</v>
      </c>
      <c r="R132" s="27" t="s">
        <v>7</v>
      </c>
      <c r="S132" s="27" t="s">
        <v>8</v>
      </c>
      <c r="W132" s="31"/>
      <c r="AR132" s="27" t="s">
        <v>7</v>
      </c>
      <c r="AS132" s="31" t="s">
        <v>8</v>
      </c>
      <c r="AZ132" s="27" t="s">
        <v>7</v>
      </c>
    </row>
    <row r="133" spans="1:52" x14ac:dyDescent="0.25">
      <c r="A133" s="30">
        <v>0.31863081771035617</v>
      </c>
      <c r="C133" s="1" t="str">
        <f>C122</f>
        <v>O</v>
      </c>
      <c r="E133"/>
      <c r="F133" s="27" t="s">
        <v>7</v>
      </c>
      <c r="O133" s="27" t="s">
        <v>8</v>
      </c>
      <c r="Q133" s="27" t="s">
        <v>8</v>
      </c>
      <c r="R133" s="27" t="s">
        <v>7</v>
      </c>
      <c r="V133" s="31"/>
      <c r="AR133" s="31" t="s">
        <v>7</v>
      </c>
    </row>
    <row r="134" spans="1:52" x14ac:dyDescent="0.25">
      <c r="A134" s="30">
        <v>0.28966437973668741</v>
      </c>
      <c r="C134"/>
      <c r="D134"/>
      <c r="E134"/>
      <c r="F134" s="27" t="s">
        <v>7</v>
      </c>
      <c r="K134" s="27" t="s">
        <v>8</v>
      </c>
      <c r="O134" s="27" t="s">
        <v>8</v>
      </c>
      <c r="P134" s="27" t="s">
        <v>7</v>
      </c>
      <c r="Q134" s="27" t="s">
        <v>8</v>
      </c>
      <c r="U134" s="31"/>
    </row>
    <row r="135" spans="1:52" x14ac:dyDescent="0.25">
      <c r="A135" s="30">
        <v>0.2633312543060794</v>
      </c>
      <c r="C135" s="1" t="s">
        <v>14</v>
      </c>
      <c r="E135"/>
      <c r="F135" s="27" t="s">
        <v>7</v>
      </c>
      <c r="I135" s="27" t="s">
        <v>8</v>
      </c>
      <c r="K135" s="27" t="s">
        <v>8</v>
      </c>
      <c r="L135" s="27" t="s">
        <v>7</v>
      </c>
      <c r="O135" s="33" t="s">
        <v>8</v>
      </c>
      <c r="P135" s="27" t="s">
        <v>7</v>
      </c>
      <c r="Q135" s="27" t="s">
        <v>8</v>
      </c>
      <c r="T135" s="31"/>
    </row>
    <row r="136" spans="1:5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I136" s="27" t="s">
        <v>8</v>
      </c>
      <c r="J136" s="27" t="s">
        <v>7</v>
      </c>
      <c r="K136" s="27" t="s">
        <v>8</v>
      </c>
      <c r="L136" s="27" t="s">
        <v>7</v>
      </c>
      <c r="M136" s="27" t="s">
        <v>8</v>
      </c>
      <c r="O136" s="27" t="s">
        <v>8</v>
      </c>
      <c r="P136" s="27" t="s">
        <v>7</v>
      </c>
      <c r="S136" s="31"/>
    </row>
    <row r="137" spans="1:52" x14ac:dyDescent="0.25">
      <c r="A137" s="30">
        <v>0.2176291357901482</v>
      </c>
      <c r="E137"/>
      <c r="F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O137" s="27" t="s">
        <v>8</v>
      </c>
      <c r="R137" s="31"/>
    </row>
    <row r="138" spans="1:5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I138" s="27" t="s">
        <v>8</v>
      </c>
      <c r="J138" s="27" t="s">
        <v>7</v>
      </c>
      <c r="L138" s="27" t="s">
        <v>7</v>
      </c>
      <c r="M138" s="27" t="s">
        <v>8</v>
      </c>
      <c r="N138" s="27" t="s">
        <v>7</v>
      </c>
      <c r="O138" s="27" t="s">
        <v>8</v>
      </c>
      <c r="Q138" s="31"/>
    </row>
    <row r="139" spans="1:52" x14ac:dyDescent="0.25">
      <c r="A139" s="30">
        <v>0.17985878990921333</v>
      </c>
      <c r="E139"/>
      <c r="F139" s="27" t="s">
        <v>7</v>
      </c>
      <c r="G139" s="27" t="s">
        <v>8</v>
      </c>
      <c r="I139" s="27" t="s">
        <v>8</v>
      </c>
      <c r="L139" s="34" t="s">
        <v>7</v>
      </c>
      <c r="N139" s="27" t="s">
        <v>7</v>
      </c>
      <c r="O139" s="27" t="s">
        <v>8</v>
      </c>
      <c r="P139" s="31"/>
    </row>
    <row r="140" spans="1:52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H140" s="27" t="s">
        <v>7</v>
      </c>
      <c r="I140" s="27" t="s">
        <v>8</v>
      </c>
      <c r="N140" s="27" t="s">
        <v>7</v>
      </c>
      <c r="O140" s="31" t="s">
        <v>8</v>
      </c>
    </row>
    <row r="141" spans="1:52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I141" s="27" t="s">
        <v>8</v>
      </c>
      <c r="N141" s="31" t="s">
        <v>7</v>
      </c>
    </row>
    <row r="142" spans="1:52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</row>
    <row r="143" spans="1:52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</row>
    <row r="144" spans="1:52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</row>
    <row r="145" spans="1:8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</row>
    <row r="146" spans="1:8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</row>
    <row r="147" spans="1:8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</row>
    <row r="148" spans="1:8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</row>
    <row r="149" spans="1:8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</row>
    <row r="150" spans="1:8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</row>
    <row r="151" spans="1:8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</row>
    <row r="152" spans="1:8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</row>
    <row r="153" spans="1:8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</row>
    <row r="154" spans="1:8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</row>
    <row r="155" spans="1:8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</row>
    <row r="156" spans="1:8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</row>
    <row r="157" spans="1:8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</row>
    <row r="158" spans="1:8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</row>
    <row r="159" spans="1:8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</row>
    <row r="160" spans="1:8" x14ac:dyDescent="0.25">
      <c r="A160" s="30">
        <v>2.4304420967397839E-2</v>
      </c>
      <c r="B160"/>
      <c r="C160"/>
      <c r="D160"/>
      <c r="E160"/>
      <c r="F160" s="27" t="s">
        <v>7</v>
      </c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79" operator="equal">
      <formula>$U$1</formula>
    </cfRule>
    <cfRule type="cellIs" dxfId="30" priority="880" operator="equal">
      <formula>$S$1</formula>
    </cfRule>
  </conditionalFormatting>
  <conditionalFormatting sqref="D136">
    <cfRule type="cellIs" dxfId="29" priority="877" operator="equal">
      <formula>$S$1</formula>
    </cfRule>
    <cfRule type="cellIs" dxfId="28" priority="878" operator="equal">
      <formula>$U$1</formula>
    </cfRule>
  </conditionalFormatting>
  <conditionalFormatting sqref="C102">
    <cfRule type="cellIs" dxfId="27" priority="875" operator="equal">
      <formula>$U$1</formula>
    </cfRule>
    <cfRule type="cellIs" dxfId="26" priority="876" operator="equal">
      <formula>$S$1</formula>
    </cfRule>
  </conditionalFormatting>
  <conditionalFormatting sqref="D102">
    <cfRule type="cellIs" dxfId="25" priority="873" operator="equal">
      <formula>$S$1</formula>
    </cfRule>
    <cfRule type="cellIs" dxfId="24" priority="874" operator="equal">
      <formula>$U$1</formula>
    </cfRule>
  </conditionalFormatting>
  <conditionalFormatting sqref="C77">
    <cfRule type="cellIs" dxfId="23" priority="871" operator="equal">
      <formula>$U$1</formula>
    </cfRule>
    <cfRule type="cellIs" dxfId="22" priority="872" operator="equal">
      <formula>$S$1</formula>
    </cfRule>
  </conditionalFormatting>
  <conditionalFormatting sqref="D77">
    <cfRule type="cellIs" dxfId="21" priority="869" operator="equal">
      <formula>$S$1</formula>
    </cfRule>
    <cfRule type="cellIs" dxfId="20" priority="870" operator="equal">
      <formula>$U$1</formula>
    </cfRule>
  </conditionalFormatting>
  <conditionalFormatting sqref="C52">
    <cfRule type="cellIs" dxfId="19" priority="867" operator="equal">
      <formula>$U$1</formula>
    </cfRule>
    <cfRule type="cellIs" dxfId="18" priority="868" operator="equal">
      <formula>$S$1</formula>
    </cfRule>
  </conditionalFormatting>
  <conditionalFormatting sqref="D52">
    <cfRule type="cellIs" dxfId="17" priority="865" operator="equal">
      <formula>$S$1</formula>
    </cfRule>
    <cfRule type="cellIs" dxfId="16" priority="866" operator="equal">
      <formula>$U$1</formula>
    </cfRule>
  </conditionalFormatting>
  <conditionalFormatting sqref="C26">
    <cfRule type="cellIs" dxfId="15" priority="863" operator="equal">
      <formula>$U$1</formula>
    </cfRule>
    <cfRule type="cellIs" dxfId="14" priority="864" operator="equal">
      <formula>$S$1</formula>
    </cfRule>
  </conditionalFormatting>
  <conditionalFormatting sqref="D26">
    <cfRule type="cellIs" dxfId="13" priority="861" operator="equal">
      <formula>$S$1</formula>
    </cfRule>
    <cfRule type="cellIs" dxfId="12" priority="86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4" sqref="H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0.3100679102826473</v>
      </c>
      <c r="F3" s="30">
        <v>0.35894236464094997</v>
      </c>
      <c r="G3" s="30">
        <v>0.50506795299551588</v>
      </c>
      <c r="H3" s="25">
        <f>IF(G3="","",(3*(G3-F3))+E3)</f>
        <v>0.74844467534634496</v>
      </c>
      <c r="I3" s="7"/>
      <c r="J3" s="7">
        <f>(E3+G3)/2</f>
        <v>0.40756793163908156</v>
      </c>
      <c r="K3" s="7">
        <f>H3/2</f>
        <v>0.37422233767317248</v>
      </c>
      <c r="M3" s="26">
        <f>IF(OR(J3="",H3=""),"",H3/J3)</f>
        <v>1.8363679211374364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0.41552065486748019</v>
      </c>
      <c r="F4" s="30">
        <v>0.43629668761085438</v>
      </c>
      <c r="G4" s="30">
        <v>1</v>
      </c>
      <c r="H4" s="25">
        <f t="shared" ref="H4:H25" si="0">IF(G4="","",(3*(G4-F4))+E4)</f>
        <v>2.1066305920349171</v>
      </c>
      <c r="I4" s="7"/>
      <c r="J4" s="7">
        <f>(E4+G4)/2</f>
        <v>0.70776032743374007</v>
      </c>
      <c r="K4" s="7">
        <f t="shared" ref="K4:K23" si="1">H4/2</f>
        <v>1.0533152960174585</v>
      </c>
      <c r="M4" s="26">
        <f t="shared" ref="M4:M25" si="2">IF(OR(J4="",H4=""),"",H4/J4)</f>
        <v>2.9764745357702154</v>
      </c>
      <c r="N4" s="26" t="str">
        <f t="shared" ref="N4:N25" si="3">IF(L4="","",L4/J4)</f>
        <v/>
      </c>
      <c r="O4" s="23" t="str">
        <f t="shared" ref="O4:O25" si="4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>
        <f t="shared" ref="J5:J23" si="5">(E5+G5)/2</f>
        <v>0</v>
      </c>
      <c r="K5" s="7" t="e">
        <f t="shared" si="1"/>
        <v>#VALUE!</v>
      </c>
      <c r="M5" s="26" t="str">
        <f t="shared" si="2"/>
        <v/>
      </c>
      <c r="N5" s="26" t="str">
        <f t="shared" si="3"/>
        <v/>
      </c>
      <c r="O5" s="23" t="str">
        <f t="shared" si="4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>
        <f t="shared" si="5"/>
        <v>0</v>
      </c>
      <c r="K6" s="7" t="e">
        <f t="shared" si="1"/>
        <v>#VALUE!</v>
      </c>
      <c r="L6" s="7"/>
      <c r="M6" s="26" t="str">
        <f t="shared" si="2"/>
        <v/>
      </c>
      <c r="N6" s="26" t="str">
        <f t="shared" si="3"/>
        <v/>
      </c>
      <c r="O6" s="23" t="str">
        <f t="shared" si="4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>
        <f t="shared" si="5"/>
        <v>0</v>
      </c>
      <c r="K7" s="7" t="e">
        <f t="shared" si="1"/>
        <v>#VALUE!</v>
      </c>
      <c r="L7" s="7"/>
      <c r="M7" s="26" t="str">
        <f t="shared" si="2"/>
        <v/>
      </c>
      <c r="N7" s="26" t="str">
        <f t="shared" si="3"/>
        <v/>
      </c>
      <c r="O7" s="23" t="str">
        <f t="shared" si="4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>
        <f t="shared" si="5"/>
        <v>0</v>
      </c>
      <c r="K8" s="7" t="e">
        <f t="shared" si="1"/>
        <v>#VALUE!</v>
      </c>
      <c r="L8" s="7"/>
      <c r="M8" s="26" t="str">
        <f t="shared" si="2"/>
        <v/>
      </c>
      <c r="N8" s="26" t="str">
        <f t="shared" si="3"/>
        <v/>
      </c>
      <c r="O8" s="23" t="str">
        <f t="shared" si="4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>
        <f t="shared" si="5"/>
        <v>0</v>
      </c>
      <c r="K9" s="7" t="e">
        <f t="shared" si="1"/>
        <v>#VALUE!</v>
      </c>
      <c r="L9" s="7"/>
      <c r="M9" s="26" t="str">
        <f t="shared" si="2"/>
        <v/>
      </c>
      <c r="N9" s="26" t="str">
        <f t="shared" si="3"/>
        <v/>
      </c>
      <c r="O9" s="23" t="str">
        <f t="shared" si="4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>
        <f t="shared" si="5"/>
        <v>0</v>
      </c>
      <c r="K10" s="7" t="e">
        <f t="shared" si="1"/>
        <v>#VALUE!</v>
      </c>
      <c r="M10" s="26" t="str">
        <f t="shared" si="2"/>
        <v/>
      </c>
      <c r="N10" s="26" t="str">
        <f t="shared" si="3"/>
        <v/>
      </c>
      <c r="O10" s="23" t="str">
        <f t="shared" si="4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>
        <f t="shared" si="5"/>
        <v>0</v>
      </c>
      <c r="K11" s="7" t="e">
        <f t="shared" si="1"/>
        <v>#VALUE!</v>
      </c>
      <c r="M11" s="26" t="str">
        <f t="shared" si="2"/>
        <v/>
      </c>
      <c r="N11" s="26" t="str">
        <f t="shared" si="3"/>
        <v/>
      </c>
      <c r="O11" s="23" t="str">
        <f t="shared" si="4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>
        <f t="shared" si="5"/>
        <v>0</v>
      </c>
      <c r="K12" s="7" t="e">
        <f t="shared" si="1"/>
        <v>#VALUE!</v>
      </c>
      <c r="M12" s="26" t="str">
        <f t="shared" si="2"/>
        <v/>
      </c>
      <c r="N12" s="26" t="str">
        <f t="shared" si="3"/>
        <v/>
      </c>
      <c r="O12" s="23" t="str">
        <f t="shared" si="4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>
        <f t="shared" si="5"/>
        <v>0</v>
      </c>
      <c r="K13" s="7" t="e">
        <f t="shared" si="1"/>
        <v>#VALUE!</v>
      </c>
      <c r="M13" s="26" t="str">
        <f t="shared" si="2"/>
        <v/>
      </c>
      <c r="N13" s="26" t="str">
        <f t="shared" si="3"/>
        <v/>
      </c>
      <c r="O13" s="23" t="str">
        <f t="shared" si="4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>
        <f t="shared" si="5"/>
        <v>0</v>
      </c>
      <c r="K14" s="7" t="e">
        <f t="shared" si="1"/>
        <v>#VALUE!</v>
      </c>
      <c r="M14" s="26" t="str">
        <f t="shared" si="2"/>
        <v/>
      </c>
      <c r="N14" s="26" t="str">
        <f t="shared" si="3"/>
        <v/>
      </c>
      <c r="O14" s="23" t="str">
        <f t="shared" si="4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>
        <f t="shared" si="5"/>
        <v>0</v>
      </c>
      <c r="K15" s="7" t="e">
        <f t="shared" si="1"/>
        <v>#VALUE!</v>
      </c>
      <c r="M15" s="26" t="str">
        <f t="shared" si="2"/>
        <v/>
      </c>
      <c r="N15" s="26" t="str">
        <f t="shared" si="3"/>
        <v/>
      </c>
      <c r="O15" s="23" t="str">
        <f t="shared" si="4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>
        <f t="shared" si="5"/>
        <v>0</v>
      </c>
      <c r="K16" s="7" t="e">
        <f t="shared" si="1"/>
        <v>#VALUE!</v>
      </c>
      <c r="M16" s="26" t="str">
        <f t="shared" si="2"/>
        <v/>
      </c>
      <c r="N16" s="26" t="str">
        <f t="shared" si="3"/>
        <v/>
      </c>
      <c r="O16" s="23" t="str">
        <f t="shared" si="4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>
        <f t="shared" si="5"/>
        <v>0</v>
      </c>
      <c r="K17" s="7" t="e">
        <f t="shared" si="1"/>
        <v>#VALUE!</v>
      </c>
      <c r="M17" s="26" t="str">
        <f t="shared" si="2"/>
        <v/>
      </c>
      <c r="N17" s="26" t="str">
        <f t="shared" si="3"/>
        <v/>
      </c>
      <c r="O17" s="23" t="str">
        <f t="shared" si="4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>
        <f t="shared" si="5"/>
        <v>0</v>
      </c>
      <c r="K18" s="7" t="e">
        <f t="shared" si="1"/>
        <v>#VALUE!</v>
      </c>
      <c r="M18" s="26" t="str">
        <f t="shared" si="2"/>
        <v/>
      </c>
      <c r="N18" s="26" t="str">
        <f t="shared" si="3"/>
        <v/>
      </c>
      <c r="O18" s="23" t="str">
        <f t="shared" si="4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>
        <f t="shared" si="5"/>
        <v>0</v>
      </c>
      <c r="K19" s="7" t="e">
        <f t="shared" si="1"/>
        <v>#VALUE!</v>
      </c>
      <c r="M19" s="26" t="str">
        <f t="shared" si="2"/>
        <v/>
      </c>
      <c r="N19" s="26" t="str">
        <f t="shared" si="3"/>
        <v/>
      </c>
      <c r="O19" s="23" t="str">
        <f t="shared" si="4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>
        <f t="shared" si="5"/>
        <v>0</v>
      </c>
      <c r="K20" s="7" t="e">
        <f t="shared" si="1"/>
        <v>#VALUE!</v>
      </c>
      <c r="M20" s="26" t="str">
        <f t="shared" si="2"/>
        <v/>
      </c>
      <c r="N20" s="26" t="str">
        <f t="shared" si="3"/>
        <v/>
      </c>
      <c r="O20" s="23" t="str">
        <f t="shared" si="4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>
        <f t="shared" si="5"/>
        <v>0</v>
      </c>
      <c r="K21" s="7" t="e">
        <f t="shared" si="1"/>
        <v>#VALUE!</v>
      </c>
      <c r="M21" s="26" t="str">
        <f t="shared" si="2"/>
        <v/>
      </c>
      <c r="N21" s="26" t="str">
        <f t="shared" si="3"/>
        <v/>
      </c>
      <c r="O21" s="23" t="str">
        <f t="shared" si="4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>
        <f t="shared" si="5"/>
        <v>0</v>
      </c>
      <c r="K22" s="7" t="e">
        <f t="shared" si="1"/>
        <v>#VALUE!</v>
      </c>
      <c r="M22" s="26" t="str">
        <f t="shared" si="2"/>
        <v/>
      </c>
      <c r="N22" s="26" t="str">
        <f t="shared" si="3"/>
        <v/>
      </c>
      <c r="O22" s="23" t="str">
        <f t="shared" si="4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>
        <f t="shared" si="5"/>
        <v>0</v>
      </c>
      <c r="K23" s="7" t="e">
        <f t="shared" si="1"/>
        <v>#VALUE!</v>
      </c>
      <c r="M23" s="26" t="str">
        <f t="shared" si="2"/>
        <v/>
      </c>
      <c r="N23" s="26" t="str">
        <f t="shared" si="3"/>
        <v/>
      </c>
      <c r="O23" s="23" t="str">
        <f t="shared" si="4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>
        <f>(E24+G24)/2</f>
        <v>0</v>
      </c>
      <c r="K24" s="7" t="e">
        <f>H24/2</f>
        <v>#VALUE!</v>
      </c>
      <c r="M24" s="26" t="str">
        <f t="shared" si="2"/>
        <v/>
      </c>
      <c r="N24" s="26" t="str">
        <f t="shared" si="3"/>
        <v/>
      </c>
      <c r="O24" s="23" t="str">
        <f t="shared" si="4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>
        <f t="shared" ref="J25" si="6">(E25+G25)/2</f>
        <v>0</v>
      </c>
      <c r="K25" s="7" t="e">
        <f t="shared" ref="K25" si="7">H25/2</f>
        <v>#VALUE!</v>
      </c>
      <c r="M25" s="26" t="str">
        <f t="shared" si="2"/>
        <v/>
      </c>
      <c r="N25" s="26" t="str">
        <f t="shared" si="3"/>
        <v/>
      </c>
      <c r="O25" s="23" t="str">
        <f t="shared" si="4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2022-01-28T01:13:33Z</dcterms:modified>
</cp:coreProperties>
</file>