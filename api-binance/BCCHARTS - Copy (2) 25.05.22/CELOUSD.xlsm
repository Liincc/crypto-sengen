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386F584-AA64-4547-887E-FA4598725483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16" i="5"/>
  <c r="C122" i="5"/>
  <c r="C133" i="5" s="1"/>
  <c r="C136" i="5" s="1"/>
  <c r="C116" i="4"/>
  <c r="C122" i="4"/>
  <c r="C133" i="4" s="1"/>
  <c r="C136" i="4" s="1"/>
  <c r="R765" i="1"/>
  <c r="S765" i="1" s="1"/>
  <c r="T765" i="1" s="1"/>
  <c r="S766" i="1"/>
  <c r="T766" i="1" s="1"/>
  <c r="C116" i="3"/>
  <c r="C122" i="3"/>
  <c r="C133" i="3" s="1"/>
  <c r="C136" i="3" s="1"/>
  <c r="R764" i="1"/>
  <c r="D136" i="5" l="1"/>
  <c r="C138" i="5" s="1"/>
  <c r="D136" i="4"/>
  <c r="C138" i="4" s="1"/>
  <c r="D136" i="3"/>
  <c r="C138" i="3" s="1"/>
  <c r="R763" i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S149" i="1" l="1"/>
  <c r="T149" i="1" s="1"/>
  <c r="R148" i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S143" i="1" l="1"/>
  <c r="T143" i="1" s="1"/>
  <c r="R142" i="1"/>
  <c r="R141" i="1" l="1"/>
  <c r="S142" i="1"/>
  <c r="T142" i="1" s="1"/>
  <c r="S141" i="1" l="1"/>
  <c r="T141" i="1" s="1"/>
  <c r="R140" i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S134" i="1" l="1"/>
  <c r="T134" i="1" s="1"/>
  <c r="R133" i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S127" i="1" l="1"/>
  <c r="T127" i="1" s="1"/>
  <c r="R126" i="1"/>
  <c r="S126" i="1" l="1"/>
  <c r="T126" i="1" s="1"/>
  <c r="R125" i="1"/>
  <c r="S125" i="1" l="1"/>
  <c r="T125" i="1" s="1"/>
  <c r="R124" i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S117" i="1" l="1"/>
  <c r="T117" i="1" s="1"/>
  <c r="R116" i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S101" i="1" l="1"/>
  <c r="T101" i="1" s="1"/>
  <c r="R100" i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S93" i="1" l="1"/>
  <c r="T93" i="1" s="1"/>
  <c r="R92" i="1"/>
  <c r="S92" i="1" l="1"/>
  <c r="T92" i="1" s="1"/>
  <c r="R91" i="1"/>
  <c r="S91" i="1" l="1"/>
  <c r="T91" i="1" s="1"/>
  <c r="R90" i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S81" i="1" l="1"/>
  <c r="T81" i="1" s="1"/>
  <c r="R80" i="1"/>
  <c r="S80" i="1" l="1"/>
  <c r="T80" i="1" s="1"/>
  <c r="R79" i="1"/>
  <c r="S79" i="1" l="1"/>
  <c r="T79" i="1" s="1"/>
  <c r="R78" i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R69" i="1" l="1"/>
  <c r="S70" i="1"/>
  <c r="T70" i="1" s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S57" i="1" l="1"/>
  <c r="T57" i="1" s="1"/>
  <c r="R56" i="1"/>
  <c r="S56" i="1" l="1"/>
  <c r="T56" i="1" s="1"/>
  <c r="R55" i="1"/>
  <c r="S55" i="1" l="1"/>
  <c r="T55" i="1" s="1"/>
  <c r="R54" i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R45" i="1" l="1"/>
  <c r="S46" i="1"/>
  <c r="T46" i="1" s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S41" i="1" l="1"/>
  <c r="T41" i="1" s="1"/>
  <c r="R40" i="1"/>
  <c r="S40" i="1" l="1"/>
  <c r="T40" i="1" s="1"/>
  <c r="R39" i="1"/>
  <c r="S39" i="1" l="1"/>
  <c r="T39" i="1" s="1"/>
  <c r="R38" i="1"/>
  <c r="S38" i="1" l="1"/>
  <c r="T38" i="1" s="1"/>
  <c r="R37" i="1"/>
  <c r="R36" i="1" l="1"/>
  <c r="S37" i="1"/>
  <c r="T37" i="1" s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<sst xmlns="http://schemas.openxmlformats.org/spreadsheetml/2006/main" count="4213" uniqueCount="34">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</sst>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3.024</c:v>
                </c:pt>
                <c:pt idx="1">
                  <c:v>3.0590000000000002</c:v>
                </c:pt>
                <c:pt idx="2">
                  <c:v>3.085</c:v>
                </c:pt>
                <c:pt idx="3">
                  <c:v>3.0790000000000002</c:v>
                </c:pt>
                <c:pt idx="4">
                  <c:v>3.3359999999999999</c:v>
                </c:pt>
                <c:pt idx="5">
                  <c:v>3.2069999999999999</c:v>
                </c:pt>
                <c:pt idx="6">
                  <c:v>3.6040000000000001</c:v>
                </c:pt>
                <c:pt idx="7">
                  <c:v>4.0350000000000001</c:v>
                </c:pt>
                <c:pt idx="8">
                  <c:v>4.1440000000000001</c:v>
                </c:pt>
                <c:pt idx="9">
                  <c:v>4.4279999999999999</c:v>
                </c:pt>
                <c:pt idx="10">
                  <c:v>4.5609999999999999</c:v>
                </c:pt>
                <c:pt idx="11">
                  <c:v>4.9880000000000004</c:v>
                </c:pt>
                <c:pt idx="12">
                  <c:v>5.0140000000000002</c:v>
                </c:pt>
                <c:pt idx="13">
                  <c:v>5.05</c:v>
                </c:pt>
                <c:pt idx="14">
                  <c:v>4.9720000000000004</c:v>
                </c:pt>
                <c:pt idx="15">
                  <c:v>4.9630000000000001</c:v>
                </c:pt>
                <c:pt idx="16">
                  <c:v>4.5309999999999997</c:v>
                </c:pt>
                <c:pt idx="17">
                  <c:v>4.4119999999999999</c:v>
                </c:pt>
                <c:pt idx="18">
                  <c:v>4.6689999999999996</c:v>
                </c:pt>
                <c:pt idx="19">
                  <c:v>4.532</c:v>
                </c:pt>
                <c:pt idx="20">
                  <c:v>4.6429999999999998</c:v>
                </c:pt>
                <c:pt idx="21">
                  <c:v>4.92</c:v>
                </c:pt>
                <c:pt idx="22">
                  <c:v>5.0960000000000001</c:v>
                </c:pt>
                <c:pt idx="23">
                  <c:v>5.2789999999999999</c:v>
                </c:pt>
                <c:pt idx="24">
                  <c:v>5.0039999999999996</c:v>
                </c:pt>
                <c:pt idx="25">
                  <c:v>5.0880000000000001</c:v>
                </c:pt>
                <c:pt idx="26">
                  <c:v>5.1319999999999997</c:v>
                </c:pt>
                <c:pt idx="27">
                  <c:v>4.8680000000000003</c:v>
                </c:pt>
                <c:pt idx="28">
                  <c:v>4.7789999999999999</c:v>
                </c:pt>
                <c:pt idx="29">
                  <c:v>4.4880000000000004</c:v>
                </c:pt>
                <c:pt idx="30">
                  <c:v>4.59</c:v>
                </c:pt>
                <c:pt idx="31">
                  <c:v>5.0510000000000002</c:v>
                </c:pt>
                <c:pt idx="32">
                  <c:v>5.1139999999999999</c:v>
                </c:pt>
                <c:pt idx="33">
                  <c:v>4.8920000000000003</c:v>
                </c:pt>
                <c:pt idx="34">
                  <c:v>4.9779999999999998</c:v>
                </c:pt>
                <c:pt idx="35">
                  <c:v>4.8470000000000004</c:v>
                </c:pt>
                <c:pt idx="36">
                  <c:v>4.7439999999999998</c:v>
                </c:pt>
                <c:pt idx="37">
                  <c:v>4.2480000000000002</c:v>
                </c:pt>
                <c:pt idx="38">
                  <c:v>4.0599999999999996</c:v>
                </c:pt>
                <c:pt idx="39">
                  <c:v>4.0880000000000001</c:v>
                </c:pt>
                <c:pt idx="40">
                  <c:v>4.0170000000000003</c:v>
                </c:pt>
                <c:pt idx="41">
                  <c:v>3.8109999999999999</c:v>
                </c:pt>
                <c:pt idx="42">
                  <c:v>3.855</c:v>
                </c:pt>
                <c:pt idx="43">
                  <c:v>3.4710000000000001</c:v>
                </c:pt>
                <c:pt idx="44">
                  <c:v>3.4329999999999998</c:v>
                </c:pt>
                <c:pt idx="45">
                  <c:v>3.4620000000000002</c:v>
                </c:pt>
                <c:pt idx="46">
                  <c:v>3.8420000000000001</c:v>
                </c:pt>
                <c:pt idx="47">
                  <c:v>3.629</c:v>
                </c:pt>
                <c:pt idx="48">
                  <c:v>3.5880000000000001</c:v>
                </c:pt>
                <c:pt idx="49">
                  <c:v>3.7330000000000001</c:v>
                </c:pt>
                <c:pt idx="50">
                  <c:v>4.258</c:v>
                </c:pt>
                <c:pt idx="51">
                  <c:v>3.6480000000000001</c:v>
                </c:pt>
                <c:pt idx="52">
                  <c:v>3.742</c:v>
                </c:pt>
                <c:pt idx="53">
                  <c:v>3.7389999999999999</c:v>
                </c:pt>
                <c:pt idx="54">
                  <c:v>4.0549999999999997</c:v>
                </c:pt>
                <c:pt idx="55">
                  <c:v>4.7300000000000004</c:v>
                </c:pt>
                <c:pt idx="56">
                  <c:v>4.9180000000000001</c:v>
                </c:pt>
                <c:pt idx="57">
                  <c:v>4.9130000000000003</c:v>
                </c:pt>
                <c:pt idx="58">
                  <c:v>5.1539999999999999</c:v>
                </c:pt>
                <c:pt idx="59">
                  <c:v>5.03</c:v>
                </c:pt>
                <c:pt idx="60">
                  <c:v>4.8840000000000003</c:v>
                </c:pt>
                <c:pt idx="61">
                  <c:v>4.8419999999999996</c:v>
                </c:pt>
                <c:pt idx="62">
                  <c:v>4.7160000000000002</c:v>
                </c:pt>
                <c:pt idx="63">
                  <c:v>5.2809999999999997</c:v>
                </c:pt>
                <c:pt idx="64">
                  <c:v>5.29</c:v>
                </c:pt>
                <c:pt idx="65">
                  <c:v>5.4</c:v>
                </c:pt>
                <c:pt idx="66">
                  <c:v>5.4450000000000003</c:v>
                </c:pt>
                <c:pt idx="67">
                  <c:v>5.7880000000000003</c:v>
                </c:pt>
                <c:pt idx="68">
                  <c:v>5.4050000000000002</c:v>
                </c:pt>
                <c:pt idx="69">
                  <c:v>5.2839999999999998</c:v>
                </c:pt>
                <c:pt idx="70">
                  <c:v>5.0039999999999996</c:v>
                </c:pt>
                <c:pt idx="71">
                  <c:v>5.1440000000000001</c:v>
                </c:pt>
                <c:pt idx="72">
                  <c:v>5.1710000000000003</c:v>
                </c:pt>
                <c:pt idx="73">
                  <c:v>5.6289999999999996</c:v>
                </c:pt>
                <c:pt idx="74">
                  <c:v>5.827</c:v>
                </c:pt>
                <c:pt idx="75">
                  <c:v>5.8440000000000003</c:v>
                </c:pt>
                <c:pt idx="76">
                  <c:v>5.8810000000000002</c:v>
                </c:pt>
                <c:pt idx="77">
                  <c:v>6.08</c:v>
                </c:pt>
                <c:pt idx="78">
                  <c:v>6.1159999999999997</c:v>
                </c:pt>
                <c:pt idx="79">
                  <c:v>6.6139999999999999</c:v>
                </c:pt>
                <c:pt idx="80">
                  <c:v>6.4340000000000002</c:v>
                </c:pt>
                <c:pt idx="81">
                  <c:v>6.3380000000000001</c:v>
                </c:pt>
                <c:pt idx="82">
                  <c:v>6.3419999999999996</c:v>
                </c:pt>
                <c:pt idx="83">
                  <c:v>6.2869999999999999</c:v>
                </c:pt>
                <c:pt idx="84">
                  <c:v>6.3440000000000003</c:v>
                </c:pt>
                <c:pt idx="85">
                  <c:v>6.4630000000000001</c:v>
                </c:pt>
                <c:pt idx="86">
                  <c:v>6.29</c:v>
                </c:pt>
                <c:pt idx="87">
                  <c:v>6.2930000000000001</c:v>
                </c:pt>
                <c:pt idx="88">
                  <c:v>6.2359999999999998</c:v>
                </c:pt>
                <c:pt idx="89">
                  <c:v>6.2869999999999999</c:v>
                </c:pt>
                <c:pt idx="90">
                  <c:v>6.7709999999999999</c:v>
                </c:pt>
                <c:pt idx="91">
                  <c:v>6.44</c:v>
                </c:pt>
                <c:pt idx="92">
                  <c:v>6.2220000000000004</c:v>
                </c:pt>
                <c:pt idx="93">
                  <c:v>7.2549999999999999</c:v>
                </c:pt>
                <c:pt idx="94">
                  <c:v>7.2350000000000003</c:v>
                </c:pt>
                <c:pt idx="95">
                  <c:v>6.6989999999999998</c:v>
                </c:pt>
                <c:pt idx="96">
                  <c:v>6.5110000000000001</c:v>
                </c:pt>
                <c:pt idx="97">
                  <c:v>6.6390000000000002</c:v>
                </c:pt>
                <c:pt idx="98">
                  <c:v>6.976</c:v>
                </c:pt>
                <c:pt idx="99">
                  <c:v>6.5570000000000004</c:v>
                </c:pt>
                <c:pt idx="100">
                  <c:v>6.0919999999999996</c:v>
                </c:pt>
                <c:pt idx="101">
                  <c:v>6.1449999999999996</c:v>
                </c:pt>
                <c:pt idx="102">
                  <c:v>6.149</c:v>
                </c:pt>
                <c:pt idx="103">
                  <c:v>5.8780000000000001</c:v>
                </c:pt>
                <c:pt idx="104">
                  <c:v>5.8769999999999998</c:v>
                </c:pt>
                <c:pt idx="105">
                  <c:v>5.91</c:v>
                </c:pt>
                <c:pt idx="106">
                  <c:v>5.6790000000000003</c:v>
                </c:pt>
                <c:pt idx="107">
                  <c:v>5.577</c:v>
                </c:pt>
                <c:pt idx="108">
                  <c:v>5.5730000000000004</c:v>
                </c:pt>
                <c:pt idx="109">
                  <c:v>5.6459999999999999</c:v>
                </c:pt>
                <c:pt idx="110">
                  <c:v>5.9349999999999996</c:v>
                </c:pt>
                <c:pt idx="111">
                  <c:v>5.87</c:v>
                </c:pt>
                <c:pt idx="112">
                  <c:v>5.9009999999999998</c:v>
                </c:pt>
                <c:pt idx="113">
                  <c:v>5.74</c:v>
                </c:pt>
                <c:pt idx="114">
                  <c:v>5.923</c:v>
                </c:pt>
                <c:pt idx="115">
                  <c:v>6.0060000000000002</c:v>
                </c:pt>
                <c:pt idx="116">
                  <c:v>6.2859999999999996</c:v>
                </c:pt>
                <c:pt idx="117">
                  <c:v>6.2869999999999999</c:v>
                </c:pt>
                <c:pt idx="118">
                  <c:v>6.157</c:v>
                </c:pt>
                <c:pt idx="119">
                  <c:v>5.6449999999999996</c:v>
                </c:pt>
                <c:pt idx="120">
                  <c:v>5.6950000000000003</c:v>
                </c:pt>
                <c:pt idx="121">
                  <c:v>5.82</c:v>
                </c:pt>
                <c:pt idx="122">
                  <c:v>6.1319999999999997</c:v>
                </c:pt>
                <c:pt idx="123">
                  <c:v>6.2590000000000003</c:v>
                </c:pt>
                <c:pt idx="124">
                  <c:v>6.819</c:v>
                </c:pt>
                <c:pt idx="125">
                  <c:v>7.6029999999999998</c:v>
                </c:pt>
                <c:pt idx="126">
                  <c:v>7.1360000000000001</c:v>
                </c:pt>
                <c:pt idx="127">
                  <c:v>6.5490000000000004</c:v>
                </c:pt>
                <c:pt idx="128">
                  <c:v>6.2270000000000003</c:v>
                </c:pt>
                <c:pt idx="129">
                  <c:v>5.6959999999999997</c:v>
                </c:pt>
                <c:pt idx="130">
                  <c:v>5.9359999999999999</c:v>
                </c:pt>
                <c:pt idx="131">
                  <c:v>5.2350000000000003</c:v>
                </c:pt>
                <c:pt idx="132">
                  <c:v>5.1070000000000002</c:v>
                </c:pt>
                <c:pt idx="133">
                  <c:v>5.36</c:v>
                </c:pt>
                <c:pt idx="134">
                  <c:v>5.0439999999999996</c:v>
                </c:pt>
                <c:pt idx="135">
                  <c:v>5.03</c:v>
                </c:pt>
                <c:pt idx="136">
                  <c:v>5.1879999999999997</c:v>
                </c:pt>
                <c:pt idx="137">
                  <c:v>4.9560000000000004</c:v>
                </c:pt>
                <c:pt idx="138">
                  <c:v>5.0410000000000004</c:v>
                </c:pt>
                <c:pt idx="139">
                  <c:v>5.0419999999999998</c:v>
                </c:pt>
                <c:pt idx="140">
                  <c:v>5.2560000000000002</c:v>
                </c:pt>
                <c:pt idx="141">
                  <c:v>4.2409999999999997</c:v>
                </c:pt>
                <c:pt idx="142">
                  <c:v>4.1219999999999999</c:v>
                </c:pt>
                <c:pt idx="143">
                  <c:v>5.16</c:v>
                </c:pt>
                <c:pt idx="144">
                  <c:v>5.4720000000000004</c:v>
                </c:pt>
                <c:pt idx="145">
                  <c:v>5.12</c:v>
                </c:pt>
                <c:pt idx="146">
                  <c:v>5.3019999999999996</c:v>
                </c:pt>
                <c:pt idx="147">
                  <c:v>5.6150000000000002</c:v>
                </c:pt>
                <c:pt idx="148">
                  <c:v>5.7969999999999997</c:v>
                </c:pt>
                <c:pt idx="149">
                  <c:v>5.5149999999999997</c:v>
                </c:pt>
                <c:pt idx="150">
                  <c:v>7.1280000000000001</c:v>
                </c:pt>
                <c:pt idx="151">
                  <c:v>4.2649999999999997</c:v>
                </c:pt>
                <c:pt idx="152">
                  <c:v>4.601</c:v>
                </c:pt>
                <c:pt idx="153">
                  <c:v>4.1680000000000001</c:v>
                </c:pt>
                <c:pt idx="154">
                  <c:v>3.5390000000000001</c:v>
                </c:pt>
                <c:pt idx="155">
                  <c:v>3.0924999999999998</c:v>
                </c:pt>
                <c:pt idx="156">
                  <c:v>3.0181</c:v>
                </c:pt>
                <c:pt idx="157">
                  <c:v>3.1379000000000001</c:v>
                </c:pt>
                <c:pt idx="158">
                  <c:v>3.1953999999999998</c:v>
                </c:pt>
                <c:pt idx="159">
                  <c:v>3.0729000000000002</c:v>
                </c:pt>
                <c:pt idx="160">
                  <c:v>3.1574</c:v>
                </c:pt>
                <c:pt idx="161">
                  <c:v>3.1211000000000002</c:v>
                </c:pt>
                <c:pt idx="162">
                  <c:v>2.9171</c:v>
                </c:pt>
                <c:pt idx="163">
                  <c:v>2.95</c:v>
                </c:pt>
                <c:pt idx="164">
                  <c:v>3.1015999999999999</c:v>
                </c:pt>
                <c:pt idx="165">
                  <c:v>3.129</c:v>
                </c:pt>
                <c:pt idx="166">
                  <c:v>3.0992000000000002</c:v>
                </c:pt>
                <c:pt idx="167">
                  <c:v>3.1836000000000002</c:v>
                </c:pt>
                <c:pt idx="168">
                  <c:v>3.0655000000000001</c:v>
                </c:pt>
                <c:pt idx="169">
                  <c:v>2.9887000000000001</c:v>
                </c:pt>
                <c:pt idx="170">
                  <c:v>2.9887999999999999</c:v>
                </c:pt>
                <c:pt idx="171">
                  <c:v>3.1101000000000001</c:v>
                </c:pt>
                <c:pt idx="172">
                  <c:v>2.8186</c:v>
                </c:pt>
                <c:pt idx="173">
                  <c:v>2.9297</c:v>
                </c:pt>
                <c:pt idx="174">
                  <c:v>2.9533999999999998</c:v>
                </c:pt>
                <c:pt idx="175">
                  <c:v>2.8317000000000001</c:v>
                </c:pt>
                <c:pt idx="176">
                  <c:v>2.7949999999999999</c:v>
                </c:pt>
                <c:pt idx="177">
                  <c:v>2.8328000000000002</c:v>
                </c:pt>
                <c:pt idx="178">
                  <c:v>2.6438000000000001</c:v>
                </c:pt>
                <c:pt idx="179">
                  <c:v>2.6132</c:v>
                </c:pt>
                <c:pt idx="180">
                  <c:v>2.7698</c:v>
                </c:pt>
                <c:pt idx="181">
                  <c:v>2.7141999999999999</c:v>
                </c:pt>
                <c:pt idx="182">
                  <c:v>2.7273999999999998</c:v>
                </c:pt>
                <c:pt idx="183">
                  <c:v>2.6253000000000002</c:v>
                </c:pt>
                <c:pt idx="184">
                  <c:v>2.6644999999999999</c:v>
                </c:pt>
                <c:pt idx="185">
                  <c:v>2.5367999999999999</c:v>
                </c:pt>
                <c:pt idx="186">
                  <c:v>2.5341999999999998</c:v>
                </c:pt>
                <c:pt idx="187">
                  <c:v>2.4359999999999999</c:v>
                </c:pt>
                <c:pt idx="188">
                  <c:v>2.4049999999999998</c:v>
                </c:pt>
                <c:pt idx="189">
                  <c:v>2.4184000000000001</c:v>
                </c:pt>
                <c:pt idx="190">
                  <c:v>2.3452000000000002</c:v>
                </c:pt>
                <c:pt idx="191">
                  <c:v>2.3771</c:v>
                </c:pt>
                <c:pt idx="192">
                  <c:v>2.2002000000000002</c:v>
                </c:pt>
                <c:pt idx="193">
                  <c:v>2.3187000000000002</c:v>
                </c:pt>
                <c:pt idx="194">
                  <c:v>2.2949000000000002</c:v>
                </c:pt>
                <c:pt idx="195">
                  <c:v>2.3519000000000001</c:v>
                </c:pt>
                <c:pt idx="196">
                  <c:v>2.5310999999999999</c:v>
                </c:pt>
                <c:pt idx="197">
                  <c:v>2.7090999999999998</c:v>
                </c:pt>
                <c:pt idx="198">
                  <c:v>2.7515999999999998</c:v>
                </c:pt>
                <c:pt idx="199">
                  <c:v>2.9155000000000002</c:v>
                </c:pt>
                <c:pt idx="200">
                  <c:v>2.8881999999999999</c:v>
                </c:pt>
                <c:pt idx="201">
                  <c:v>2.9058999999999999</c:v>
                </c:pt>
                <c:pt idx="202">
                  <c:v>2.988</c:v>
                </c:pt>
                <c:pt idx="203">
                  <c:v>2.9196</c:v>
                </c:pt>
                <c:pt idx="204">
                  <c:v>3.0855999999999999</c:v>
                </c:pt>
                <c:pt idx="205">
                  <c:v>3.0876000000000001</c:v>
                </c:pt>
                <c:pt idx="206">
                  <c:v>3.0941999999999998</c:v>
                </c:pt>
                <c:pt idx="207">
                  <c:v>3.4171999999999998</c:v>
                </c:pt>
                <c:pt idx="208">
                  <c:v>3.4060999999999999</c:v>
                </c:pt>
                <c:pt idx="209">
                  <c:v>3.4346999999999999</c:v>
                </c:pt>
                <c:pt idx="210">
                  <c:v>3.3988999999999998</c:v>
                </c:pt>
                <c:pt idx="211">
                  <c:v>3.0815000000000001</c:v>
                </c:pt>
                <c:pt idx="212">
                  <c:v>3.2725</c:v>
                </c:pt>
                <c:pt idx="213">
                  <c:v>3.407</c:v>
                </c:pt>
                <c:pt idx="214">
                  <c:v>3.47</c:v>
                </c:pt>
                <c:pt idx="215">
                  <c:v>4.3875000000000002</c:v>
                </c:pt>
                <c:pt idx="216">
                  <c:v>2.9923999999999999</c:v>
                </c:pt>
                <c:pt idx="217">
                  <c:v>2.5956999999999999</c:v>
                </c:pt>
                <c:pt idx="218">
                  <c:v>2.2629000000000001</c:v>
                </c:pt>
                <c:pt idx="219">
                  <c:v>2.2663000000000002</c:v>
                </c:pt>
                <c:pt idx="220">
                  <c:v>1.9265000000000001</c:v>
                </c:pt>
                <c:pt idx="221">
                  <c:v>2.3266</c:v>
                </c:pt>
                <c:pt idx="222">
                  <c:v>2.3748999999999998</c:v>
                </c:pt>
                <c:pt idx="223">
                  <c:v>2.4315000000000002</c:v>
                </c:pt>
                <c:pt idx="224">
                  <c:v>2.5945</c:v>
                </c:pt>
                <c:pt idx="225">
                  <c:v>2.3439999999999999</c:v>
                </c:pt>
                <c:pt idx="226">
                  <c:v>2.5522999999999998</c:v>
                </c:pt>
                <c:pt idx="227">
                  <c:v>2.528</c:v>
                </c:pt>
                <c:pt idx="228">
                  <c:v>2.5886</c:v>
                </c:pt>
                <c:pt idx="229">
                  <c:v>2.4889999999999999</c:v>
                </c:pt>
                <c:pt idx="230">
                  <c:v>2.6093000000000002</c:v>
                </c:pt>
                <c:pt idx="231">
                  <c:v>2.8039999999999998</c:v>
                </c:pt>
                <c:pt idx="232">
                  <c:v>3.0251000000000001</c:v>
                </c:pt>
                <c:pt idx="233">
                  <c:v>2.9239999999999999</c:v>
                </c:pt>
                <c:pt idx="234">
                  <c:v>2.8601999999999999</c:v>
                </c:pt>
                <c:pt idx="235">
                  <c:v>3.2370000000000001</c:v>
                </c:pt>
                <c:pt idx="236">
                  <c:v>3.2151999999999998</c:v>
                </c:pt>
                <c:pt idx="237">
                  <c:v>3.3014000000000001</c:v>
                </c:pt>
                <c:pt idx="238">
                  <c:v>3.4921000000000002</c:v>
                </c:pt>
                <c:pt idx="239">
                  <c:v>3.4842</c:v>
                </c:pt>
                <c:pt idx="240">
                  <c:v>3.4076</c:v>
                </c:pt>
                <c:pt idx="241">
                  <c:v>3.4971000000000001</c:v>
                </c:pt>
                <c:pt idx="242">
                  <c:v>3.3969999999999998</c:v>
                </c:pt>
                <c:pt idx="243">
                  <c:v>3.4083000000000001</c:v>
                </c:pt>
                <c:pt idx="244">
                  <c:v>3.4119999999999999</c:v>
                </c:pt>
                <c:pt idx="245">
                  <c:v>3.6067999999999998</c:v>
                </c:pt>
                <c:pt idx="246">
                  <c:v>3.8119000000000001</c:v>
                </c:pt>
                <c:pt idx="247">
                  <c:v>3.5461999999999998</c:v>
                </c:pt>
                <c:pt idx="248">
                  <c:v>3.0825</c:v>
                </c:pt>
                <c:pt idx="249">
                  <c:v>2.6379000000000001</c:v>
                </c:pt>
                <c:pt idx="250">
                  <c:v>3.0146999999999999</c:v>
                </c:pt>
                <c:pt idx="251">
                  <c:v>3.1583000000000001</c:v>
                </c:pt>
                <c:pt idx="252">
                  <c:v>4.1424000000000003</c:v>
                </c:pt>
                <c:pt idx="253">
                  <c:v>3.9849999999999999</c:v>
                </c:pt>
                <c:pt idx="254">
                  <c:v>5.4185999999999996</c:v>
                </c:pt>
                <c:pt idx="255">
                  <c:v>5.9539999999999997</c:v>
                </c:pt>
                <c:pt idx="256">
                  <c:v>4.6018999999999997</c:v>
                </c:pt>
                <c:pt idx="257">
                  <c:v>4.5</c:v>
                </c:pt>
                <c:pt idx="258">
                  <c:v>5.0922999999999998</c:v>
                </c:pt>
                <c:pt idx="259">
                  <c:v>4.3254000000000001</c:v>
                </c:pt>
                <c:pt idx="260">
                  <c:v>4.4706000000000001</c:v>
                </c:pt>
                <c:pt idx="261">
                  <c:v>5.2024999999999997</c:v>
                </c:pt>
                <c:pt idx="262">
                  <c:v>4.8753000000000002</c:v>
                </c:pt>
                <c:pt idx="263">
                  <c:v>5.2641999999999998</c:v>
                </c:pt>
                <c:pt idx="264">
                  <c:v>5.3667999999999996</c:v>
                </c:pt>
                <c:pt idx="265">
                  <c:v>5.4109999999999996</c:v>
                </c:pt>
                <c:pt idx="266">
                  <c:v>5.4208999999999996</c:v>
                </c:pt>
                <c:pt idx="267">
                  <c:v>5.1996000000000002</c:v>
                </c:pt>
                <c:pt idx="268">
                  <c:v>5.0368000000000004</c:v>
                </c:pt>
                <c:pt idx="269">
                  <c:v>5.4797000000000002</c:v>
                </c:pt>
                <c:pt idx="270">
                  <c:v>5.6154999999999999</c:v>
                </c:pt>
                <c:pt idx="271">
                  <c:v>5.3273000000000001</c:v>
                </c:pt>
                <c:pt idx="272">
                  <c:v>5.4081999999999999</c:v>
                </c:pt>
                <c:pt idx="273">
                  <c:v>5.1520999999999999</c:v>
                </c:pt>
                <c:pt idx="274">
                  <c:v>5.2554999999999996</c:v>
                </c:pt>
                <c:pt idx="275">
                  <c:v>5.5472999999999999</c:v>
                </c:pt>
                <c:pt idx="276">
                  <c:v>5.7332000000000001</c:v>
                </c:pt>
                <c:pt idx="277">
                  <c:v>5.6067</c:v>
                </c:pt>
                <c:pt idx="278">
                  <c:v>6.1407999999999996</c:v>
                </c:pt>
                <c:pt idx="279">
                  <c:v>4.8155999999999999</c:v>
                </c:pt>
                <c:pt idx="280">
                  <c:v>5.0904999999999996</c:v>
                </c:pt>
                <c:pt idx="281">
                  <c:v>5.8421000000000003</c:v>
                </c:pt>
                <c:pt idx="282">
                  <c:v>5.7986000000000004</c:v>
                </c:pt>
                <c:pt idx="283">
                  <c:v>4.1155999999999997</c:v>
                </c:pt>
                <c:pt idx="284">
                  <c:v>4.0301</c:v>
                </c:pt>
                <c:pt idx="285">
                  <c:v>4.4965999999999999</c:v>
                </c:pt>
                <c:pt idx="286">
                  <c:v>4.3536000000000001</c:v>
                </c:pt>
                <c:pt idx="287">
                  <c:v>4.4908000000000001</c:v>
                </c:pt>
                <c:pt idx="288">
                  <c:v>4.3531000000000004</c:v>
                </c:pt>
                <c:pt idx="289">
                  <c:v>4.5910000000000002</c:v>
                </c:pt>
                <c:pt idx="290">
                  <c:v>4.8335999999999997</c:v>
                </c:pt>
                <c:pt idx="291">
                  <c:v>4.6966000000000001</c:v>
                </c:pt>
                <c:pt idx="292">
                  <c:v>4.3617999999999997</c:v>
                </c:pt>
                <c:pt idx="293">
                  <c:v>4.3681999999999999</c:v>
                </c:pt>
                <c:pt idx="294">
                  <c:v>4.4489999999999998</c:v>
                </c:pt>
                <c:pt idx="295">
                  <c:v>4.2370000000000001</c:v>
                </c:pt>
                <c:pt idx="296">
                  <c:v>4.5610999999999997</c:v>
                </c:pt>
                <c:pt idx="297">
                  <c:v>4.6551</c:v>
                </c:pt>
                <c:pt idx="298">
                  <c:v>4.4160000000000004</c:v>
                </c:pt>
                <c:pt idx="299">
                  <c:v>4.3</c:v>
                </c:pt>
                <c:pt idx="300">
                  <c:v>4.4550000000000001</c:v>
                </c:pt>
                <c:pt idx="301">
                  <c:v>4.5763999999999996</c:v>
                </c:pt>
                <c:pt idx="302">
                  <c:v>4.6393000000000004</c:v>
                </c:pt>
                <c:pt idx="303">
                  <c:v>4.3326000000000002</c:v>
                </c:pt>
                <c:pt idx="304">
                  <c:v>4.4326999999999996</c:v>
                </c:pt>
                <c:pt idx="305">
                  <c:v>3.5691999999999999</c:v>
                </c:pt>
                <c:pt idx="306">
                  <c:v>3.552</c:v>
                </c:pt>
                <c:pt idx="307">
                  <c:v>3.6251000000000002</c:v>
                </c:pt>
                <c:pt idx="308">
                  <c:v>3.3332999999999999</c:v>
                </c:pt>
                <c:pt idx="309">
                  <c:v>3.5487000000000002</c:v>
                </c:pt>
                <c:pt idx="310">
                  <c:v>3.8378999999999999</c:v>
                </c:pt>
                <c:pt idx="311">
                  <c:v>3.9443000000000001</c:v>
                </c:pt>
                <c:pt idx="312">
                  <c:v>3.8940999999999999</c:v>
                </c:pt>
                <c:pt idx="313">
                  <c:v>3.9685000000000001</c:v>
                </c:pt>
                <c:pt idx="314">
                  <c:v>4.0613000000000001</c:v>
                </c:pt>
                <c:pt idx="315">
                  <c:v>4.1074999999999999</c:v>
                </c:pt>
                <c:pt idx="316">
                  <c:v>3.9670000000000001</c:v>
                </c:pt>
                <c:pt idx="317">
                  <c:v>3.7682000000000002</c:v>
                </c:pt>
                <c:pt idx="318">
                  <c:v>3.6768000000000001</c:v>
                </c:pt>
                <c:pt idx="319">
                  <c:v>3.8559999999999999</c:v>
                </c:pt>
                <c:pt idx="320">
                  <c:v>3.98</c:v>
                </c:pt>
                <c:pt idx="321">
                  <c:v>3.7679999999999998</c:v>
                </c:pt>
                <c:pt idx="322">
                  <c:v>3.9967000000000001</c:v>
                </c:pt>
                <c:pt idx="323">
                  <c:v>4.1502999999999997</c:v>
                </c:pt>
                <c:pt idx="324">
                  <c:v>3.98</c:v>
                </c:pt>
                <c:pt idx="325">
                  <c:v>3.9146999999999998</c:v>
                </c:pt>
                <c:pt idx="326">
                  <c:v>3.8942999999999999</c:v>
                </c:pt>
                <c:pt idx="327">
                  <c:v>3.806</c:v>
                </c:pt>
                <c:pt idx="328">
                  <c:v>3.7663000000000002</c:v>
                </c:pt>
                <c:pt idx="329">
                  <c:v>3.8679000000000001</c:v>
                </c:pt>
                <c:pt idx="330">
                  <c:v>4.0944000000000003</c:v>
                </c:pt>
                <c:pt idx="331">
                  <c:v>3.8700999999999999</c:v>
                </c:pt>
                <c:pt idx="332">
                  <c:v>3.99</c:v>
                </c:pt>
                <c:pt idx="333">
                  <c:v>3.8180000000000001</c:v>
                </c:pt>
                <c:pt idx="334">
                  <c:v>3.9224000000000001</c:v>
                </c:pt>
                <c:pt idx="335">
                  <c:v>3.859</c:v>
                </c:pt>
                <c:pt idx="336">
                  <c:v>4.0548000000000002</c:v>
                </c:pt>
                <c:pt idx="337">
                  <c:v>4.5045999999999999</c:v>
                </c:pt>
                <c:pt idx="338">
                  <c:v>4.0326000000000004</c:v>
                </c:pt>
                <c:pt idx="339">
                  <c:v>4.5621999999999998</c:v>
                </c:pt>
                <c:pt idx="340">
                  <c:v>5.1249000000000002</c:v>
                </c:pt>
                <c:pt idx="341">
                  <c:v>5.0808</c:v>
                </c:pt>
                <c:pt idx="342">
                  <c:v>5.2750000000000004</c:v>
                </c:pt>
                <c:pt idx="343">
                  <c:v>5.2015000000000002</c:v>
                </c:pt>
                <c:pt idx="344">
                  <c:v>4.7948000000000004</c:v>
                </c:pt>
                <c:pt idx="345">
                  <c:v>4.593</c:v>
                </c:pt>
                <c:pt idx="346">
                  <c:v>4.0774999999999997</c:v>
                </c:pt>
                <c:pt idx="347">
                  <c:v>4.3421000000000003</c:v>
                </c:pt>
                <c:pt idx="348">
                  <c:v>4.6054000000000004</c:v>
                </c:pt>
                <c:pt idx="349">
                  <c:v>4.8281999999999998</c:v>
                </c:pt>
                <c:pt idx="350">
                  <c:v>4.7889999999999997</c:v>
                </c:pt>
                <c:pt idx="351">
                  <c:v>4.8090999999999999</c:v>
                </c:pt>
                <c:pt idx="352">
                  <c:v>3.7065000000000001</c:v>
                </c:pt>
                <c:pt idx="353">
                  <c:v>3.5348000000000002</c:v>
                </c:pt>
                <c:pt idx="354">
                  <c:v>3.6017000000000001</c:v>
                </c:pt>
                <c:pt idx="355">
                  <c:v>3.0871</c:v>
                </c:pt>
                <c:pt idx="356">
                  <c:v>3.2</c:v>
                </c:pt>
                <c:pt idx="357">
                  <c:v>2.9573999999999998</c:v>
                </c:pt>
                <c:pt idx="358">
                  <c:v>2.956</c:v>
                </c:pt>
                <c:pt idx="359">
                  <c:v>2.87</c:v>
                </c:pt>
                <c:pt idx="360">
                  <c:v>2.8527999999999998</c:v>
                </c:pt>
                <c:pt idx="361">
                  <c:v>2.8041</c:v>
                </c:pt>
                <c:pt idx="362">
                  <c:v>2.8784999999999998</c:v>
                </c:pt>
                <c:pt idx="363">
                  <c:v>2.8914</c:v>
                </c:pt>
                <c:pt idx="364">
                  <c:v>2.9657</c:v>
                </c:pt>
                <c:pt idx="365">
                  <c:v>2.9489999999999998</c:v>
                </c:pt>
                <c:pt idx="366">
                  <c:v>3.1029</c:v>
                </c:pt>
                <c:pt idx="367">
                  <c:v>3.1347</c:v>
                </c:pt>
                <c:pt idx="368">
                  <c:v>2.7848000000000002</c:v>
                </c:pt>
                <c:pt idx="369">
                  <c:v>2.82</c:v>
                </c:pt>
                <c:pt idx="370">
                  <c:v>3.14</c:v>
                </c:pt>
                <c:pt idx="371">
                  <c:v>3.0922999999999998</c:v>
                </c:pt>
                <c:pt idx="372">
                  <c:v>2.2784</c:v>
                </c:pt>
                <c:pt idx="373">
                  <c:v>2.1608000000000001</c:v>
                </c:pt>
                <c:pt idx="374">
                  <c:v>2.2370999999999999</c:v>
                </c:pt>
                <c:pt idx="375">
                  <c:v>2.125</c:v>
                </c:pt>
                <c:pt idx="376">
                  <c:v>2.0678000000000001</c:v>
                </c:pt>
                <c:pt idx="377">
                  <c:v>2</c:v>
                </c:pt>
                <c:pt idx="378">
                  <c:v>2.0973999999999999</c:v>
                </c:pt>
                <c:pt idx="379">
                  <c:v>2.0710999999999999</c:v>
                </c:pt>
                <c:pt idx="380">
                  <c:v>1.9570000000000001</c:v>
                </c:pt>
                <c:pt idx="381">
                  <c:v>1.9481999999999999</c:v>
                </c:pt>
                <c:pt idx="382">
                  <c:v>2.14</c:v>
                </c:pt>
                <c:pt idx="383">
                  <c:v>2.2936999999999999</c:v>
                </c:pt>
                <c:pt idx="384">
                  <c:v>2.2961</c:v>
                </c:pt>
                <c:pt idx="385">
                  <c:v>2.2090999999999998</c:v>
                </c:pt>
                <c:pt idx="386">
                  <c:v>2.302</c:v>
                </c:pt>
                <c:pt idx="387">
                  <c:v>2.5764999999999998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C4-47BA-8629-F6D10419B22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-2.5251721458656862</c:v>
                </c:pt>
                <c:pt idx="1">
                  <c:v>-2.521536601556595</c:v>
                </c:pt>
                <c:pt idx="2">
                  <c:v>-2.4836686055777037</c:v>
                </c:pt>
                <c:pt idx="3">
                  <c:v>-2.4887621019514059</c:v>
                </c:pt>
                <c:pt idx="4">
                  <c:v>-2.4786165989020783</c:v>
                </c:pt>
                <c:pt idx="5">
                  <c:v>-2.4770059507631896</c:v>
                </c:pt>
                <c:pt idx="6">
                  <c:v>-2.4282776165776223</c:v>
                </c:pt>
                <c:pt idx="7">
                  <c:v>-2.3768506424469407</c:v>
                </c:pt>
                <c:pt idx="8">
                  <c:v>-2.3439684976886466</c:v>
                </c:pt>
                <c:pt idx="9">
                  <c:v>-2.3059008150599203</c:v>
                </c:pt>
                <c:pt idx="10">
                  <c:v>-2.2997241680704743</c:v>
                </c:pt>
                <c:pt idx="11">
                  <c:v>-2.270089676224039</c:v>
                </c:pt>
                <c:pt idx="12">
                  <c:v>-2.2818245966951136</c:v>
                </c:pt>
                <c:pt idx="13">
                  <c:v>-2.2731030492419886</c:v>
                </c:pt>
                <c:pt idx="14">
                  <c:v>-2.2847369875112196</c:v>
                </c:pt>
                <c:pt idx="15">
                  <c:v>-2.2302584406399921</c:v>
                </c:pt>
                <c:pt idx="16">
                  <c:v>-2.2606642591965138</c:v>
                </c:pt>
                <c:pt idx="17">
                  <c:v>-2.295081892816079</c:v>
                </c:pt>
                <c:pt idx="18">
                  <c:v>-2.287433061912751</c:v>
                </c:pt>
                <c:pt idx="19">
                  <c:v>-2.2947402980769298</c:v>
                </c:pt>
                <c:pt idx="20">
                  <c:v>-2.2700280988769297</c:v>
                </c:pt>
                <c:pt idx="21">
                  <c:v>-2.2641828808285704</c:v>
                </c:pt>
                <c:pt idx="22">
                  <c:v>-2.2291515917633022</c:v>
                </c:pt>
                <c:pt idx="23">
                  <c:v>-2.1750371383976943</c:v>
                </c:pt>
                <c:pt idx="24">
                  <c:v>-2.1536887449578495</c:v>
                </c:pt>
                <c:pt idx="25">
                  <c:v>-2.1589067827796313</c:v>
                </c:pt>
                <c:pt idx="26">
                  <c:v>-2.132016052459297</c:v>
                </c:pt>
                <c:pt idx="27">
                  <c:v>-2.1452779421500185</c:v>
                </c:pt>
                <c:pt idx="28">
                  <c:v>-2.134152806141413</c:v>
                </c:pt>
                <c:pt idx="29">
                  <c:v>-2.1452207446071663</c:v>
                </c:pt>
                <c:pt idx="30">
                  <c:v>-2.1348301433974481</c:v>
                </c:pt>
                <c:pt idx="31">
                  <c:v>-2.1057838366177206</c:v>
                </c:pt>
                <c:pt idx="32">
                  <c:v>-2.0775673305652864</c:v>
                </c:pt>
                <c:pt idx="33">
                  <c:v>-2.1042536252020207</c:v>
                </c:pt>
                <c:pt idx="34">
                  <c:v>-2.0959599553098278</c:v>
                </c:pt>
                <c:pt idx="35">
                  <c:v>-2.1118023974081885</c:v>
                </c:pt>
                <c:pt idx="36">
                  <c:v>-2.0977122740731278</c:v>
                </c:pt>
                <c:pt idx="37">
                  <c:v>-2.1359187072691466</c:v>
                </c:pt>
                <c:pt idx="38">
                  <c:v>-2.1392179014353592</c:v>
                </c:pt>
                <c:pt idx="39">
                  <c:v>-2.1241131761997569</c:v>
                </c:pt>
                <c:pt idx="40">
                  <c:v>-2.1182471790140425</c:v>
                </c:pt>
                <c:pt idx="41">
                  <c:v>-2.1206653086772009</c:v>
                </c:pt>
                <c:pt idx="42">
                  <c:v>-2.1064934218367517</c:v>
                </c:pt>
                <c:pt idx="43">
                  <c:v>-2.1433434510295024</c:v>
                </c:pt>
                <c:pt idx="44">
                  <c:v>-2.1643863573041293</c:v>
                </c:pt>
                <c:pt idx="45">
                  <c:v>-2.1745097184942122</c:v>
                </c:pt>
                <c:pt idx="46">
                  <c:v>-2.1482878670420065</c:v>
                </c:pt>
                <c:pt idx="47">
                  <c:v>-2.1439774398699947</c:v>
                </c:pt>
                <c:pt idx="48">
                  <c:v>-2.1450228909269047</c:v>
                </c:pt>
                <c:pt idx="49">
                  <c:v>-2.1078942853292721</c:v>
                </c:pt>
                <c:pt idx="50">
                  <c:v>-2.0528171368019992</c:v>
                </c:pt>
                <c:pt idx="51">
                  <c:v>-2.0758268164065412</c:v>
                </c:pt>
                <c:pt idx="52">
                  <c:v>-2.0535283408765057</c:v>
                </c:pt>
                <c:pt idx="53">
                  <c:v>-2.0834306939670233</c:v>
                </c:pt>
                <c:pt idx="54">
                  <c:v>-2.055901209630469</c:v>
                </c:pt>
                <c:pt idx="55">
                  <c:v>-2.0728502990150846</c:v>
                </c:pt>
                <c:pt idx="56">
                  <c:v>-2.0569480035666863</c:v>
                </c:pt>
                <c:pt idx="57">
                  <c:v>-2.0556169814777374</c:v>
                </c:pt>
                <c:pt idx="58">
                  <c:v>-2.0374652409404237</c:v>
                </c:pt>
                <c:pt idx="59">
                  <c:v>-2.0550449008947385</c:v>
                </c:pt>
                <c:pt idx="60">
                  <c:v>-2.0679812127079256</c:v>
                </c:pt>
                <c:pt idx="61">
                  <c:v>-2.1031204221167923</c:v>
                </c:pt>
                <c:pt idx="62">
                  <c:v>-2.0979777047492707</c:v>
                </c:pt>
                <c:pt idx="63">
                  <c:v>-2.011516958909576</c:v>
                </c:pt>
                <c:pt idx="64">
                  <c:v>-2.007998924589101</c:v>
                </c:pt>
                <c:pt idx="65">
                  <c:v>-2.0009720090041951</c:v>
                </c:pt>
                <c:pt idx="66">
                  <c:v>-2.0077605866170987</c:v>
                </c:pt>
                <c:pt idx="67">
                  <c:v>-1.9488792068421303</c:v>
                </c:pt>
                <c:pt idx="68">
                  <c:v>-1.9479424185205758</c:v>
                </c:pt>
                <c:pt idx="69">
                  <c:v>-1.9579640760482631</c:v>
                </c:pt>
                <c:pt idx="70">
                  <c:v>-1.9656868268396741</c:v>
                </c:pt>
                <c:pt idx="71">
                  <c:v>-1.9433163672575846</c:v>
                </c:pt>
                <c:pt idx="72">
                  <c:v>-1.9492385162612209</c:v>
                </c:pt>
                <c:pt idx="73">
                  <c:v>-1.9368978343585181</c:v>
                </c:pt>
                <c:pt idx="74">
                  <c:v>-1.924789464843548</c:v>
                </c:pt>
                <c:pt idx="75">
                  <c:v>-1.9250228470350372</c:v>
                </c:pt>
                <c:pt idx="76">
                  <c:v>-1.9280290403087803</c:v>
                </c:pt>
                <c:pt idx="77">
                  <c:v>-1.9207893284626265</c:v>
                </c:pt>
                <c:pt idx="78">
                  <c:v>-1.9135575839292931</c:v>
                </c:pt>
                <c:pt idx="79">
                  <c:v>-1.9175789726329968</c:v>
                </c:pt>
                <c:pt idx="80">
                  <c:v>-1.9260926078671432</c:v>
                </c:pt>
                <c:pt idx="81">
                  <c:v>-1.9425258003499017</c:v>
                </c:pt>
                <c:pt idx="82">
                  <c:v>-1.9445592941499019</c:v>
                </c:pt>
                <c:pt idx="83">
                  <c:v>-1.950927143547704</c:v>
                </c:pt>
                <c:pt idx="84">
                  <c:v>-1.9358974775237805</c:v>
                </c:pt>
                <c:pt idx="85">
                  <c:v>-1.9143716143985356</c:v>
                </c:pt>
                <c:pt idx="86">
                  <c:v>-1.9215728347187329</c:v>
                </c:pt>
                <c:pt idx="87">
                  <c:v>-1.9139600399486179</c:v>
                </c:pt>
                <c:pt idx="88">
                  <c:v>-1.9088992216318759</c:v>
                </c:pt>
                <c:pt idx="89">
                  <c:v>-1.9142761668164912</c:v>
                </c:pt>
                <c:pt idx="90">
                  <c:v>-1.8832762807899701</c:v>
                </c:pt>
                <c:pt idx="91">
                  <c:v>-1.9119256821000137</c:v>
                </c:pt>
                <c:pt idx="92">
                  <c:v>-1.9164248120796812</c:v>
                </c:pt>
                <c:pt idx="93">
                  <c:v>-1.848907511290677</c:v>
                </c:pt>
                <c:pt idx="94">
                  <c:v>-1.79149707443371</c:v>
                </c:pt>
                <c:pt idx="95">
                  <c:v>-1.833917576820465</c:v>
                </c:pt>
                <c:pt idx="96">
                  <c:v>-1.8393024921740948</c:v>
                </c:pt>
                <c:pt idx="97">
                  <c:v>-1.8310780955584962</c:v>
                </c:pt>
                <c:pt idx="98">
                  <c:v>-1.8238915343093494</c:v>
                </c:pt>
                <c:pt idx="99">
                  <c:v>-1.8755655107015061</c:v>
                </c:pt>
                <c:pt idx="100">
                  <c:v>-1.8939200615840033</c:v>
                </c:pt>
                <c:pt idx="101">
                  <c:v>-1.8847408151903022</c:v>
                </c:pt>
                <c:pt idx="102">
                  <c:v>-1.8739492879929778</c:v>
                </c:pt>
                <c:pt idx="103">
                  <c:v>-1.8595593938486612</c:v>
                </c:pt>
                <c:pt idx="104">
                  <c:v>-1.8468899102480225</c:v>
                </c:pt>
                <c:pt idx="105">
                  <c:v>-1.8745697338081246</c:v>
                </c:pt>
                <c:pt idx="106">
                  <c:v>-1.8682981501139884</c:v>
                </c:pt>
                <c:pt idx="107">
                  <c:v>-1.8894272771658669</c:v>
                </c:pt>
                <c:pt idx="108">
                  <c:v>-1.9304068167027089</c:v>
                </c:pt>
                <c:pt idx="109">
                  <c:v>-1.9200470862858576</c:v>
                </c:pt>
                <c:pt idx="110">
                  <c:v>-1.8853517322614672</c:v>
                </c:pt>
                <c:pt idx="111">
                  <c:v>-1.8454908628233717</c:v>
                </c:pt>
                <c:pt idx="112">
                  <c:v>-1.8288792206347595</c:v>
                </c:pt>
                <c:pt idx="113">
                  <c:v>-1.8505437352094722</c:v>
                </c:pt>
                <c:pt idx="114">
                  <c:v>-1.8474401194894723</c:v>
                </c:pt>
                <c:pt idx="115">
                  <c:v>-1.8362013892821287</c:v>
                </c:pt>
                <c:pt idx="116">
                  <c:v>-1.7884594486782643</c:v>
                </c:pt>
                <c:pt idx="117">
                  <c:v>-1.7703676221010831</c:v>
                </c:pt>
                <c:pt idx="118">
                  <c:v>-1.7612470597154832</c:v>
                </c:pt>
                <c:pt idx="119">
                  <c:v>-1.8178617730728237</c:v>
                </c:pt>
                <c:pt idx="120">
                  <c:v>-1.7841988817149961</c:v>
                </c:pt>
                <c:pt idx="121">
                  <c:v>-1.7416835918642501</c:v>
                </c:pt>
                <c:pt idx="122">
                  <c:v>-1.6697509510065007</c:v>
                </c:pt>
                <c:pt idx="123">
                  <c:v>-1.5507515919182335</c:v>
                </c:pt>
                <c:pt idx="124">
                  <c:v>-1.546052019377399</c:v>
                </c:pt>
                <c:pt idx="125">
                  <c:v>-1.3754476022412929</c:v>
                </c:pt>
                <c:pt idx="126">
                  <c:v>-1.5257067323650928</c:v>
                </c:pt>
                <c:pt idx="127">
                  <c:v>-1.5456862684411665</c:v>
                </c:pt>
                <c:pt idx="128">
                  <c:v>-1.6367200509935966</c:v>
                </c:pt>
                <c:pt idx="129">
                  <c:v>-1.5424105868245004</c:v>
                </c:pt>
                <c:pt idx="130">
                  <c:v>-1.4192546405919417</c:v>
                </c:pt>
                <c:pt idx="131">
                  <c:v>-1.4924597472139258</c:v>
                </c:pt>
                <c:pt idx="132">
                  <c:v>-1.4815756060139256</c:v>
                </c:pt>
                <c:pt idx="133">
                  <c:v>-1.46440366300601</c:v>
                </c:pt>
                <c:pt idx="134">
                  <c:v>-1.5020612199127459</c:v>
                </c:pt>
                <c:pt idx="135">
                  <c:v>-1.478866097300368</c:v>
                </c:pt>
                <c:pt idx="136">
                  <c:v>-1.3938720088500083</c:v>
                </c:pt>
                <c:pt idx="137">
                  <c:v>-1.4692205600618575</c:v>
                </c:pt>
                <c:pt idx="138">
                  <c:v>-1.4340623152610761</c:v>
                </c:pt>
                <c:pt idx="139">
                  <c:v>-1.3986872693048262</c:v>
                </c:pt>
                <c:pt idx="140">
                  <c:v>-1.2468602007078111</c:v>
                </c:pt>
                <c:pt idx="141">
                  <c:v>-1.3113952403054372</c:v>
                </c:pt>
                <c:pt idx="142">
                  <c:v>-1.2966298539273053</c:v>
                </c:pt>
                <c:pt idx="143">
                  <c:v>-1.2459548576362922</c:v>
                </c:pt>
                <c:pt idx="144">
                  <c:v>-1.1898337736802482</c:v>
                </c:pt>
                <c:pt idx="145">
                  <c:v>-1.136277670633157</c:v>
                </c:pt>
                <c:pt idx="146">
                  <c:v>-1.091436065241</c:v>
                </c:pt>
                <c:pt idx="147">
                  <c:v>-1.045145511769302</c:v>
                </c:pt>
                <c:pt idx="148">
                  <c:v>-0.99017643766616303</c:v>
                </c:pt>
                <c:pt idx="149">
                  <c:v>-0.9408329508707961</c:v>
                </c:pt>
                <c:pt idx="150">
                  <c:v>-0.651534127157259</c:v>
                </c:pt>
                <c:pt idx="151">
                  <c:v>-0.59417783866978258</c:v>
                </c:pt>
                <c:pt idx="152">
                  <c:v>-0.5626677054697824</c:v>
                </c:pt>
                <c:pt idx="153">
                  <c:v>-0.55640317608153533</c:v>
                </c:pt>
                <c:pt idx="154">
                  <c:v>-0.65602998015349345</c:v>
                </c:pt>
                <c:pt idx="155">
                  <c:v>-0.70355731580050729</c:v>
                </c:pt>
                <c:pt idx="156">
                  <c:v>-0.71514738372392561</c:v>
                </c:pt>
                <c:pt idx="157">
                  <c:v>-0.7088217688946038</c:v>
                </c:pt>
                <c:pt idx="158">
                  <c:v>-0.69207174358908985</c:v>
                </c:pt>
                <c:pt idx="159">
                  <c:v>-0.69453706329609455</c:v>
                </c:pt>
                <c:pt idx="160">
                  <c:v>-0.67757862499223065</c:v>
                </c:pt>
                <c:pt idx="161">
                  <c:v>-0.67348194463614053</c:v>
                </c:pt>
                <c:pt idx="162">
                  <c:v>-0.68956578675042612</c:v>
                </c:pt>
                <c:pt idx="163">
                  <c:v>-0.68738205394424812</c:v>
                </c:pt>
                <c:pt idx="164">
                  <c:v>-0.67242374441484687</c:v>
                </c:pt>
                <c:pt idx="165">
                  <c:v>-0.66023394202934138</c:v>
                </c:pt>
                <c:pt idx="166">
                  <c:v>-0.67138901815964447</c:v>
                </c:pt>
                <c:pt idx="167">
                  <c:v>-0.66937409439099727</c:v>
                </c:pt>
                <c:pt idx="168">
                  <c:v>-0.68489996983148171</c:v>
                </c:pt>
                <c:pt idx="169">
                  <c:v>-0.69299727767934816</c:v>
                </c:pt>
                <c:pt idx="170">
                  <c:v>-0.67482245868822166</c:v>
                </c:pt>
                <c:pt idx="171">
                  <c:v>-0.67142829001998972</c:v>
                </c:pt>
                <c:pt idx="172">
                  <c:v>-0.67449250883080047</c:v>
                </c:pt>
                <c:pt idx="173">
                  <c:v>-0.65254397816442267</c:v>
                </c:pt>
                <c:pt idx="174">
                  <c:v>-0.6491444357550088</c:v>
                </c:pt>
                <c:pt idx="175">
                  <c:v>-0.73798222517257839</c:v>
                </c:pt>
                <c:pt idx="176">
                  <c:v>-0.74826491214641255</c:v>
                </c:pt>
                <c:pt idx="177">
                  <c:v>-0.72082646545376805</c:v>
                </c:pt>
                <c:pt idx="178">
                  <c:v>-0.7408558671369303</c:v>
                </c:pt>
                <c:pt idx="179">
                  <c:v>-0.74163310318693043</c:v>
                </c:pt>
                <c:pt idx="180">
                  <c:v>-0.73470867870921941</c:v>
                </c:pt>
                <c:pt idx="181">
                  <c:v>-0.73929549137082395</c:v>
                </c:pt>
                <c:pt idx="182">
                  <c:v>-0.74079784754093592</c:v>
                </c:pt>
                <c:pt idx="183">
                  <c:v>-0.74646329786759524</c:v>
                </c:pt>
                <c:pt idx="184">
                  <c:v>-0.75122840892573484</c:v>
                </c:pt>
                <c:pt idx="185">
                  <c:v>-0.76261844359931885</c:v>
                </c:pt>
                <c:pt idx="186">
                  <c:v>-0.75321901938594904</c:v>
                </c:pt>
                <c:pt idx="187">
                  <c:v>-0.75006932384192115</c:v>
                </c:pt>
                <c:pt idx="188">
                  <c:v>-0.74607576559331545</c:v>
                </c:pt>
                <c:pt idx="189">
                  <c:v>-0.74728990184013366</c:v>
                </c:pt>
                <c:pt idx="190">
                  <c:v>-0.74238870735370099</c:v>
                </c:pt>
                <c:pt idx="191">
                  <c:v>-0.73775795901314101</c:v>
                </c:pt>
                <c:pt idx="192">
                  <c:v>-0.73182621562331451</c:v>
                </c:pt>
                <c:pt idx="193">
                  <c:v>-0.72304054179294819</c:v>
                </c:pt>
                <c:pt idx="194">
                  <c:v>-0.71754426889300971</c:v>
                </c:pt>
                <c:pt idx="195">
                  <c:v>-0.71086525934415501</c:v>
                </c:pt>
                <c:pt idx="196">
                  <c:v>-0.70438771487677088</c:v>
                </c:pt>
                <c:pt idx="197">
                  <c:v>-0.69839402758948221</c:v>
                </c:pt>
                <c:pt idx="198">
                  <c:v>-0.69977464980864545</c:v>
                </c:pt>
                <c:pt idx="199">
                  <c:v>-0.68994402638972174</c:v>
                </c:pt>
                <c:pt idx="200">
                  <c:v>-0.67046154920131207</c:v>
                </c:pt>
                <c:pt idx="201">
                  <c:v>-0.66453624691467772</c:v>
                </c:pt>
                <c:pt idx="202">
                  <c:v>-0.64352384552705677</c:v>
                </c:pt>
                <c:pt idx="203">
                  <c:v>-0.64849620593996005</c:v>
                </c:pt>
                <c:pt idx="204">
                  <c:v>-0.63298879382600659</c:v>
                </c:pt>
                <c:pt idx="205">
                  <c:v>-0.61565276482037279</c:v>
                </c:pt>
                <c:pt idx="206">
                  <c:v>-0.59930104709493881</c:v>
                </c:pt>
                <c:pt idx="207">
                  <c:v>-0.58960219496083743</c:v>
                </c:pt>
                <c:pt idx="208">
                  <c:v>-0.57844796403518528</c:v>
                </c:pt>
                <c:pt idx="209">
                  <c:v>-0.55888200571267643</c:v>
                </c:pt>
                <c:pt idx="210">
                  <c:v>-0.57710214645073932</c:v>
                </c:pt>
                <c:pt idx="211">
                  <c:v>-0.60552264926367128</c:v>
                </c:pt>
                <c:pt idx="212">
                  <c:v>-0.59776720691695162</c:v>
                </c:pt>
                <c:pt idx="213">
                  <c:v>-0.5613561016698928</c:v>
                </c:pt>
                <c:pt idx="214">
                  <c:v>-0.49314466564408133</c:v>
                </c:pt>
                <c:pt idx="215">
                  <c:v>-0.41988775809510392</c:v>
                </c:pt>
                <c:pt idx="216">
                  <c:v>-0.60902006747330073</c:v>
                </c:pt>
                <c:pt idx="217">
                  <c:v>-0.57743508672903843</c:v>
                </c:pt>
                <c:pt idx="218">
                  <c:v>-0.5823781868530693</c:v>
                </c:pt>
                <c:pt idx="219">
                  <c:v>-0.5763753658023465</c:v>
                </c:pt>
                <c:pt idx="220">
                  <c:v>-0.59818946443137888</c:v>
                </c:pt>
                <c:pt idx="221">
                  <c:v>-0.58478387107768082</c:v>
                </c:pt>
                <c:pt idx="222">
                  <c:v>-0.59016844972453764</c:v>
                </c:pt>
                <c:pt idx="223">
                  <c:v>-0.58662053136764736</c:v>
                </c:pt>
                <c:pt idx="224">
                  <c:v>-0.56248378328868975</c:v>
                </c:pt>
                <c:pt idx="225">
                  <c:v>-0.5724834004951358</c:v>
                </c:pt>
                <c:pt idx="226">
                  <c:v>-0.56404948771942265</c:v>
                </c:pt>
                <c:pt idx="227">
                  <c:v>-0.56296205722758585</c:v>
                </c:pt>
                <c:pt idx="228">
                  <c:v>-0.55255281944435997</c:v>
                </c:pt>
                <c:pt idx="229">
                  <c:v>-0.55472116016454542</c:v>
                </c:pt>
                <c:pt idx="230">
                  <c:v>-0.54332228460944409</c:v>
                </c:pt>
                <c:pt idx="231">
                  <c:v>-0.51444574444597324</c:v>
                </c:pt>
                <c:pt idx="232">
                  <c:v>-0.50387917155945805</c:v>
                </c:pt>
                <c:pt idx="233">
                  <c:v>-0.49822316959219304</c:v>
                </c:pt>
                <c:pt idx="234">
                  <c:v>-0.49138679555599935</c:v>
                </c:pt>
                <c:pt idx="235">
                  <c:v>-0.48467591537096477</c:v>
                </c:pt>
                <c:pt idx="236">
                  <c:v>-0.48711545295266412</c:v>
                </c:pt>
                <c:pt idx="237">
                  <c:v>-0.48224064176647291</c:v>
                </c:pt>
                <c:pt idx="238">
                  <c:v>-0.47857163111678269</c:v>
                </c:pt>
                <c:pt idx="239">
                  <c:v>-0.47949584837439263</c:v>
                </c:pt>
                <c:pt idx="240">
                  <c:v>-0.47585214230656769</c:v>
                </c:pt>
                <c:pt idx="241">
                  <c:v>-0.47584550909521328</c:v>
                </c:pt>
                <c:pt idx="242">
                  <c:v>-0.48074817509814383</c:v>
                </c:pt>
                <c:pt idx="243">
                  <c:v>-0.47997299031112428</c:v>
                </c:pt>
                <c:pt idx="244">
                  <c:v>-0.47798685430986348</c:v>
                </c:pt>
                <c:pt idx="245">
                  <c:v>-0.47806483648848414</c:v>
                </c:pt>
                <c:pt idx="246">
                  <c:v>-0.47354715442539469</c:v>
                </c:pt>
                <c:pt idx="247">
                  <c:v>-0.48063631116571937</c:v>
                </c:pt>
                <c:pt idx="248">
                  <c:v>-0.49826477253093771</c:v>
                </c:pt>
                <c:pt idx="249">
                  <c:v>-0.51098274998408255</c:v>
                </c:pt>
                <c:pt idx="250">
                  <c:v>-0.51258162037029875</c:v>
                </c:pt>
                <c:pt idx="251">
                  <c:v>-0.50980215947565444</c:v>
                </c:pt>
                <c:pt idx="252">
                  <c:v>-0.49190114022801151</c:v>
                </c:pt>
                <c:pt idx="253">
                  <c:v>-0.49799772942945092</c:v>
                </c:pt>
                <c:pt idx="254">
                  <c:v>-0.47011311339541578</c:v>
                </c:pt>
                <c:pt idx="255">
                  <c:v>-0.42268456075794092</c:v>
                </c:pt>
                <c:pt idx="256">
                  <c:v>-0.49760202462709591</c:v>
                </c:pt>
                <c:pt idx="257">
                  <c:v>-0.48980191788132021</c:v>
                </c:pt>
                <c:pt idx="258">
                  <c:v>-0.47937803670357565</c:v>
                </c:pt>
                <c:pt idx="259">
                  <c:v>-0.48929643552474189</c:v>
                </c:pt>
                <c:pt idx="260">
                  <c:v>-0.48142597331734999</c:v>
                </c:pt>
                <c:pt idx="261">
                  <c:v>-0.45946503318284226</c:v>
                </c:pt>
                <c:pt idx="262">
                  <c:v>-0.46055518911124033</c:v>
                </c:pt>
                <c:pt idx="263">
                  <c:v>-0.45279038745403699</c:v>
                </c:pt>
                <c:pt idx="264">
                  <c:v>-0.44972007256925367</c:v>
                </c:pt>
                <c:pt idx="265">
                  <c:v>-0.43369969733287173</c:v>
                </c:pt>
                <c:pt idx="266">
                  <c:v>-0.42545323528700324</c:v>
                </c:pt>
                <c:pt idx="267">
                  <c:v>-0.42172601894447714</c:v>
                </c:pt>
                <c:pt idx="268">
                  <c:v>-0.42478516653908754</c:v>
                </c:pt>
                <c:pt idx="269">
                  <c:v>-0.40852846769167805</c:v>
                </c:pt>
                <c:pt idx="270">
                  <c:v>-0.39299529503896447</c:v>
                </c:pt>
                <c:pt idx="271">
                  <c:v>-0.39065161622311501</c:v>
                </c:pt>
                <c:pt idx="272">
                  <c:v>-0.38419200725943747</c:v>
                </c:pt>
                <c:pt idx="273">
                  <c:v>-0.39222611568869042</c:v>
                </c:pt>
                <c:pt idx="274">
                  <c:v>-0.38480800673193788</c:v>
                </c:pt>
                <c:pt idx="275">
                  <c:v>-0.36888327999997711</c:v>
                </c:pt>
                <c:pt idx="276">
                  <c:v>-0.35098104618787185</c:v>
                </c:pt>
                <c:pt idx="277">
                  <c:v>-0.33447061577663439</c:v>
                </c:pt>
                <c:pt idx="278">
                  <c:v>-0.31708417892013702</c:v>
                </c:pt>
                <c:pt idx="279">
                  <c:v>-0.35628553955647491</c:v>
                </c:pt>
                <c:pt idx="280">
                  <c:v>-0.36059308542853941</c:v>
                </c:pt>
                <c:pt idx="281">
                  <c:v>-0.32030459144270074</c:v>
                </c:pt>
                <c:pt idx="282">
                  <c:v>-0.16592439487112032</c:v>
                </c:pt>
                <c:pt idx="283">
                  <c:v>-0.30715978807429495</c:v>
                </c:pt>
                <c:pt idx="284">
                  <c:v>-0.30657192144778567</c:v>
                </c:pt>
                <c:pt idx="285">
                  <c:v>-0.30380000396686985</c:v>
                </c:pt>
                <c:pt idx="286">
                  <c:v>-0.29414437757806977</c:v>
                </c:pt>
                <c:pt idx="287">
                  <c:v>-0.29102100427535421</c:v>
                </c:pt>
                <c:pt idx="288">
                  <c:v>-0.29880774412476846</c:v>
                </c:pt>
                <c:pt idx="289">
                  <c:v>-0.29222442415173949</c:v>
                </c:pt>
                <c:pt idx="290">
                  <c:v>-0.28140024198424229</c:v>
                </c:pt>
                <c:pt idx="291">
                  <c:v>-0.29408346884454195</c:v>
                </c:pt>
                <c:pt idx="292">
                  <c:v>-0.30093194200578671</c:v>
                </c:pt>
                <c:pt idx="293">
                  <c:v>-0.30022638470067659</c:v>
                </c:pt>
                <c:pt idx="294">
                  <c:v>-0.29469188596402501</c:v>
                </c:pt>
                <c:pt idx="295">
                  <c:v>-0.29640912457197383</c:v>
                </c:pt>
                <c:pt idx="296">
                  <c:v>-0.28866100795438832</c:v>
                </c:pt>
                <c:pt idx="297">
                  <c:v>-0.28599142989019766</c:v>
                </c:pt>
                <c:pt idx="298">
                  <c:v>-0.29188887427027516</c:v>
                </c:pt>
                <c:pt idx="299">
                  <c:v>-0.29423211152769818</c:v>
                </c:pt>
                <c:pt idx="300">
                  <c:v>-0.28723978678217671</c:v>
                </c:pt>
                <c:pt idx="301">
                  <c:v>-0.28198020856112205</c:v>
                </c:pt>
                <c:pt idx="302">
                  <c:v>-0.2768797784929965</c:v>
                </c:pt>
                <c:pt idx="303">
                  <c:v>-0.27926012294478447</c:v>
                </c:pt>
                <c:pt idx="304">
                  <c:v>-0.25338435116725394</c:v>
                </c:pt>
                <c:pt idx="305">
                  <c:v>-0.27346379559815881</c:v>
                </c:pt>
                <c:pt idx="306">
                  <c:v>-0.26901307653307815</c:v>
                </c:pt>
                <c:pt idx="307">
                  <c:v>-0.26686755918067873</c:v>
                </c:pt>
                <c:pt idx="308">
                  <c:v>-0.27195948837329198</c:v>
                </c:pt>
                <c:pt idx="309">
                  <c:v>-0.26134407303713708</c:v>
                </c:pt>
                <c:pt idx="310">
                  <c:v>-0.24999639603356427</c:v>
                </c:pt>
                <c:pt idx="311">
                  <c:v>-0.24556961167610705</c:v>
                </c:pt>
                <c:pt idx="312">
                  <c:v>-0.24208762222945301</c:v>
                </c:pt>
                <c:pt idx="313">
                  <c:v>-0.23767073206523018</c:v>
                </c:pt>
                <c:pt idx="314">
                  <c:v>-0.23082637709914403</c:v>
                </c:pt>
                <c:pt idx="315">
                  <c:v>-0.22511973506291277</c:v>
                </c:pt>
                <c:pt idx="316">
                  <c:v>-0.21054954945196452</c:v>
                </c:pt>
                <c:pt idx="317">
                  <c:v>-0.21719078084691146</c:v>
                </c:pt>
                <c:pt idx="318">
                  <c:v>-0.2196639029835985</c:v>
                </c:pt>
                <c:pt idx="319">
                  <c:v>-0.21265625487702161</c:v>
                </c:pt>
                <c:pt idx="320">
                  <c:v>-0.20691934076112053</c:v>
                </c:pt>
                <c:pt idx="321">
                  <c:v>-0.20992653295828476</c:v>
                </c:pt>
                <c:pt idx="322">
                  <c:v>-0.20273337283206472</c:v>
                </c:pt>
                <c:pt idx="323">
                  <c:v>-0.19586277858602158</c:v>
                </c:pt>
                <c:pt idx="324">
                  <c:v>-0.18907292542242157</c:v>
                </c:pt>
                <c:pt idx="325">
                  <c:v>-0.19064194217430375</c:v>
                </c:pt>
                <c:pt idx="326">
                  <c:v>-0.19275354989950011</c:v>
                </c:pt>
                <c:pt idx="327">
                  <c:v>-0.19283276084686254</c:v>
                </c:pt>
                <c:pt idx="328">
                  <c:v>-0.19139283216978137</c:v>
                </c:pt>
                <c:pt idx="329">
                  <c:v>-0.18980928000294697</c:v>
                </c:pt>
                <c:pt idx="330">
                  <c:v>-0.18747676652233283</c:v>
                </c:pt>
                <c:pt idx="331">
                  <c:v>-0.18980294545325882</c:v>
                </c:pt>
                <c:pt idx="332">
                  <c:v>-0.18717441312464561</c:v>
                </c:pt>
                <c:pt idx="333">
                  <c:v>-0.19051204893347407</c:v>
                </c:pt>
                <c:pt idx="334">
                  <c:v>-0.19117455822866772</c:v>
                </c:pt>
                <c:pt idx="335">
                  <c:v>-0.18988266413958899</c:v>
                </c:pt>
                <c:pt idx="336">
                  <c:v>-0.18744171145550412</c:v>
                </c:pt>
                <c:pt idx="337">
                  <c:v>-0.18286817109461823</c:v>
                </c:pt>
                <c:pt idx="338">
                  <c:v>-0.18407716787949965</c:v>
                </c:pt>
                <c:pt idx="339">
                  <c:v>-0.18472863479434101</c:v>
                </c:pt>
                <c:pt idx="340">
                  <c:v>-0.18486248165468569</c:v>
                </c:pt>
                <c:pt idx="341">
                  <c:v>-0.18371675737581519</c:v>
                </c:pt>
                <c:pt idx="342">
                  <c:v>-0.17723844530631919</c:v>
                </c:pt>
                <c:pt idx="343">
                  <c:v>-0.16965994897058678</c:v>
                </c:pt>
                <c:pt idx="344">
                  <c:v>-0.14561895368360503</c:v>
                </c:pt>
                <c:pt idx="345">
                  <c:v>-0.15162479939001619</c:v>
                </c:pt>
                <c:pt idx="346">
                  <c:v>-0.1609782303820875</c:v>
                </c:pt>
                <c:pt idx="347">
                  <c:v>-0.16085209708145515</c:v>
                </c:pt>
                <c:pt idx="348">
                  <c:v>-0.15707361849095516</c:v>
                </c:pt>
                <c:pt idx="349">
                  <c:v>-0.1425027420006032</c:v>
                </c:pt>
                <c:pt idx="350">
                  <c:v>-0.14382571759522975</c:v>
                </c:pt>
                <c:pt idx="351">
                  <c:v>-0.15709526628201537</c:v>
                </c:pt>
                <c:pt idx="352">
                  <c:v>-0.15816692668950263</c:v>
                </c:pt>
                <c:pt idx="353">
                  <c:v>-0.16530697623277188</c:v>
                </c:pt>
                <c:pt idx="354">
                  <c:v>-0.16761702085624472</c:v>
                </c:pt>
                <c:pt idx="355">
                  <c:v>-0.18214512821077716</c:v>
                </c:pt>
                <c:pt idx="356">
                  <c:v>-0.18057180298602468</c:v>
                </c:pt>
                <c:pt idx="357">
                  <c:v>-0.18594460387008269</c:v>
                </c:pt>
                <c:pt idx="358">
                  <c:v>-0.18363592608217055</c:v>
                </c:pt>
                <c:pt idx="359">
                  <c:v>-0.17555479450698808</c:v>
                </c:pt>
                <c:pt idx="360">
                  <c:v>-0.17706233210844133</c:v>
                </c:pt>
                <c:pt idx="361">
                  <c:v>-0.17609128445476688</c:v>
                </c:pt>
                <c:pt idx="362">
                  <c:v>-0.17284177447856613</c:v>
                </c:pt>
                <c:pt idx="363">
                  <c:v>-0.17242354509717736</c:v>
                </c:pt>
                <c:pt idx="364">
                  <c:v>-0.17126522777170367</c:v>
                </c:pt>
                <c:pt idx="365">
                  <c:v>-0.17383358462609952</c:v>
                </c:pt>
                <c:pt idx="366">
                  <c:v>-0.16892784518198184</c:v>
                </c:pt>
                <c:pt idx="367">
                  <c:v>-0.13486840452908602</c:v>
                </c:pt>
                <c:pt idx="368">
                  <c:v>-0.14349761832750743</c:v>
                </c:pt>
                <c:pt idx="369">
                  <c:v>-0.13113936189672779</c:v>
                </c:pt>
                <c:pt idx="370">
                  <c:v>-0.11484958805179726</c:v>
                </c:pt>
                <c:pt idx="371">
                  <c:v>-6.2761007009892553E-2</c:v>
                </c:pt>
                <c:pt idx="372">
                  <c:v>-8.10094993450199E-2</c:v>
                </c:pt>
                <c:pt idx="373">
                  <c:v>-7.1187690145964863E-2</c:v>
                </c:pt>
                <c:pt idx="374">
                  <c:v>-6.6602638680478124E-2</c:v>
                </c:pt>
                <c:pt idx="375">
                  <c:v>-6.4774650111942625E-2</c:v>
                </c:pt>
                <c:pt idx="376">
                  <c:v>-6.543234541543505E-2</c:v>
                </c:pt>
                <c:pt idx="377">
                  <c:v>-6.3645645408199905E-2</c:v>
                </c:pt>
                <c:pt idx="378">
                  <c:v>-6.288451432909542E-2</c:v>
                </c:pt>
                <c:pt idx="379">
                  <c:v>-6.1028309301376871E-2</c:v>
                </c:pt>
                <c:pt idx="380">
                  <c:v>-6.2392681703376876E-2</c:v>
                </c:pt>
                <c:pt idx="381">
                  <c:v>-6.1481078877304272E-2</c:v>
                </c:pt>
                <c:pt idx="382">
                  <c:v>-6.1055837250185624E-2</c:v>
                </c:pt>
                <c:pt idx="383">
                  <c:v>-5.9456306085848634E-2</c:v>
                </c:pt>
                <c:pt idx="384">
                  <c:v>-6.0619539811468455E-2</c:v>
                </c:pt>
                <c:pt idx="385">
                  <c:v>-6.3469825833468455E-2</c:v>
                </c:pt>
                <c:pt idx="386">
                  <c:v>-5.492533180609202E-2</c:v>
                </c:pt>
                <c:pt idx="387">
                  <c:v>-3.7686738719194354E-2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7C4-47BA-8629-F6D10419B2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2527935"/>
        <c:axId val="1892528767"/>
      </c:lineChart>
      <c:dateAx>
        <c:axId val="189252793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528767"/>
        <c:crosses val="autoZero"/>
        <c:auto val="1"/>
        <c:lblOffset val="100"/>
        <c:baseTimeUnit val="days"/>
      </c:dateAx>
      <c:valAx>
        <c:axId val="1892528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527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2C03128-ECEA-4B1C-B8B2-52F35694040A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FCCBB8A-D4BD-4127-AE7C-7100F3653BE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10.957000000000001</v>
      </c>
      <c r="D2" s="4">
        <f>MIN(D3:D1912)</f>
        <v>1.5880000000000001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3.0579999999999998</v>
      </c>
      <c r="C5">
        <v>3.1280000000000001</v>
      </c>
      <c r="D5">
        <v>3.0179999999999998</v>
      </c>
      <c r="E5">
        <v>3.024</v>
      </c>
      <c r="F5">
        <v>408071.3</v>
      </c>
      <c r="G5">
        <v>3.024</v>
      </c>
      <c r="L5" t="s">
        <v>7</v>
      </c>
      <c r="M5" t="s">
        <v>7</v>
      </c>
      <c r="N5" t="s">
        <v>7</v>
      </c>
      <c r="P5">
        <f t="shared" ref="P5" si="0">IF(C5=D5,0,((E5-D5)-(C5-E5))/(C5-D5))</f>
        <v>-0.8909090909090871</v>
      </c>
      <c r="Q5">
        <f t="shared" ref="Q5" si="1">F5*P5</f>
        <v>-363554.43090908934</v>
      </c>
      <c r="R5">
        <f t="shared" ref="R5" si="2">R6+Q5</f>
        <v>-252517214.58656862</v>
      </c>
      <c r="S5">
        <f t="shared" ref="S5" si="3">R5/100000</f>
        <v>-2525.1721458656862</v>
      </c>
      <c r="T5">
        <f t="shared" ref="T5" si="4">S5/1000</f>
        <v>-2.5251721458656862</v>
      </c>
    </row>
    <row r="6" spans="1:20" x14ac:dyDescent="0.25">
      <c r="A6" s="5">
        <v>44587</v>
      </c>
      <c r="B6">
        <v>3.0840000000000001</v>
      </c>
      <c r="C6">
        <v>3.36</v>
      </c>
      <c r="D6">
        <v>2.9809999999999999</v>
      </c>
      <c r="E6">
        <v>3.0590000000000002</v>
      </c>
      <c r="F6">
        <v>6435861.2000000002</v>
      </c>
      <c r="G6">
        <v>3.0590000000000002</v>
      </c>
      <c r="L6" t="s">
        <v>8</v>
      </c>
      <c r="M6" t="s">
        <v>7</v>
      </c>
      <c r="N6" t="s">
        <v>7</v>
      </c>
      <c r="P6">
        <f t="shared" ref="P6" si="5">IF(C6=D6,0,((E6-D6)-(C6-E6))/(C6-D6))</f>
        <v>-0.58839050131925963</v>
      </c>
      <c r="Q6">
        <f t="shared" ref="Q6" si="6">F6*P6</f>
        <v>-3786799.5978891719</v>
      </c>
      <c r="R6">
        <f t="shared" ref="R6" si="7">R7+Q6</f>
        <v>-252153660.15565953</v>
      </c>
      <c r="S6">
        <f t="shared" ref="S6" si="8">R6/100000</f>
        <v>-2521.5366015565951</v>
      </c>
      <c r="T6">
        <f t="shared" ref="T6" si="9">S6/1000</f>
        <v>-2.521536601556595</v>
      </c>
    </row>
    <row r="7" spans="1:20" x14ac:dyDescent="0.25">
      <c r="A7" s="5">
        <v>44586</v>
      </c>
      <c r="B7">
        <v>3.077</v>
      </c>
      <c r="C7">
        <v>3.2160000000000002</v>
      </c>
      <c r="D7">
        <v>2.927</v>
      </c>
      <c r="E7">
        <v>3.085</v>
      </c>
      <c r="F7">
        <v>5451927.5999999996</v>
      </c>
      <c r="G7">
        <v>3.085</v>
      </c>
      <c r="L7" t="s">
        <v>8</v>
      </c>
      <c r="M7" t="s">
        <v>7</v>
      </c>
      <c r="N7" t="s">
        <v>7</v>
      </c>
      <c r="P7">
        <f t="shared" ref="P7" si="10">IF(C7=D7,0,((E7-D7)-(C7-E7))/(C7-D7))</f>
        <v>9.3425605536331058E-2</v>
      </c>
      <c r="Q7">
        <f t="shared" ref="Q7" si="11">F7*P7</f>
        <v>509349.63737023604</v>
      </c>
      <c r="R7">
        <f t="shared" ref="R7" si="12">R8+Q7</f>
        <v>-248366860.55777034</v>
      </c>
      <c r="S7">
        <f t="shared" ref="S7" si="13">R7/100000</f>
        <v>-2483.6686055777036</v>
      </c>
      <c r="T7">
        <f t="shared" ref="T7" si="14">S7/1000</f>
        <v>-2.4836686055777037</v>
      </c>
    </row>
    <row r="8" spans="1:20" x14ac:dyDescent="0.25">
      <c r="A8" s="5">
        <v>44585</v>
      </c>
      <c r="B8">
        <v>3.3370000000000002</v>
      </c>
      <c r="C8">
        <v>3.3370000000000002</v>
      </c>
      <c r="D8">
        <v>2.891</v>
      </c>
      <c r="E8">
        <v>3.0790000000000002</v>
      </c>
      <c r="F8">
        <v>6464134.7999999998</v>
      </c>
      <c r="G8">
        <v>3.0790000000000002</v>
      </c>
      <c r="L8" t="s">
        <v>7</v>
      </c>
      <c r="M8" t="s">
        <v>7</v>
      </c>
      <c r="N8" t="s">
        <v>7</v>
      </c>
      <c r="P8">
        <f t="shared" ref="P8" si="15">IF(C8=D8,0,((E8-D8)-(C8-E8))/(C8-D8))</f>
        <v>-0.1569506726457395</v>
      </c>
      <c r="Q8">
        <f t="shared" ref="Q8" si="16">F8*P8</f>
        <v>-1014550.3049327327</v>
      </c>
      <c r="R8">
        <f t="shared" ref="R8" si="17">R9+Q8</f>
        <v>-248876210.19514057</v>
      </c>
      <c r="S8">
        <f t="shared" ref="S8" si="18">R8/100000</f>
        <v>-2488.7621019514058</v>
      </c>
      <c r="T8">
        <f t="shared" ref="T8" si="19">S8/1000</f>
        <v>-2.4887621019514059</v>
      </c>
    </row>
    <row r="9" spans="1:20" x14ac:dyDescent="0.25">
      <c r="A9" s="5">
        <v>44584</v>
      </c>
      <c r="B9">
        <v>3.2090000000000001</v>
      </c>
      <c r="C9">
        <v>3.5579999999999998</v>
      </c>
      <c r="D9">
        <v>3.1259999999999999</v>
      </c>
      <c r="E9">
        <v>3.3359999999999999</v>
      </c>
      <c r="F9">
        <v>5798333.2999999998</v>
      </c>
      <c r="G9">
        <v>3.3359999999999999</v>
      </c>
      <c r="L9" t="s">
        <v>8</v>
      </c>
      <c r="M9" t="s">
        <v>8</v>
      </c>
      <c r="N9" t="s">
        <v>7</v>
      </c>
      <c r="P9">
        <f t="shared" ref="P9" si="20">IF(C9=D9,0,((E9-D9)-(C9-E9))/(C9-D9))</f>
        <v>-2.7777777777777807E-2</v>
      </c>
      <c r="Q9">
        <f t="shared" ref="Q9" si="21">F9*P9</f>
        <v>-161064.81388888907</v>
      </c>
      <c r="R9">
        <f t="shared" ref="R9" si="22">R10+Q9</f>
        <v>-247861659.89020783</v>
      </c>
      <c r="S9">
        <f t="shared" ref="S9" si="23">R9/100000</f>
        <v>-2478.6165989020783</v>
      </c>
      <c r="T9">
        <f t="shared" ref="T9" si="24">S9/1000</f>
        <v>-2.4786165989020783</v>
      </c>
    </row>
    <row r="10" spans="1:20" x14ac:dyDescent="0.25">
      <c r="A10" s="5">
        <v>44583</v>
      </c>
      <c r="B10">
        <v>3.6040000000000001</v>
      </c>
      <c r="C10">
        <v>3.7869999999999999</v>
      </c>
      <c r="D10">
        <v>3.0110000000000001</v>
      </c>
      <c r="E10">
        <v>3.2069999999999999</v>
      </c>
      <c r="F10">
        <v>9847184.1999999993</v>
      </c>
      <c r="G10">
        <v>3.2069999999999999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-0.49484536082474284</v>
      </c>
      <c r="Q10">
        <f t="shared" ref="Q10" si="26">F10*P10</f>
        <v>-4872833.418556706</v>
      </c>
      <c r="R10">
        <f t="shared" ref="R10" si="27">R11+Q10</f>
        <v>-247700595.07631895</v>
      </c>
      <c r="S10">
        <f t="shared" ref="S10" si="28">R10/100000</f>
        <v>-2477.0059507631895</v>
      </c>
      <c r="T10">
        <f t="shared" ref="T10" si="29">S10/1000</f>
        <v>-2.4770059507631896</v>
      </c>
    </row>
    <row r="11" spans="1:20" x14ac:dyDescent="0.25">
      <c r="A11" s="5">
        <v>44582</v>
      </c>
      <c r="B11">
        <v>4.0339999999999998</v>
      </c>
      <c r="C11">
        <v>4.1550000000000002</v>
      </c>
      <c r="D11">
        <v>3.4510000000000001</v>
      </c>
      <c r="E11">
        <v>3.6040000000000001</v>
      </c>
      <c r="F11">
        <v>9096630.5999999996</v>
      </c>
      <c r="G11">
        <v>3.6040000000000001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-0.56534090909090917</v>
      </c>
      <c r="Q11">
        <f t="shared" ref="Q11" si="31">F11*P11</f>
        <v>-5142697.4130681828</v>
      </c>
      <c r="R11">
        <f t="shared" ref="R11" si="32">R12+Q11</f>
        <v>-242827761.65776223</v>
      </c>
      <c r="S11">
        <f t="shared" ref="S11" si="33">R11/100000</f>
        <v>-2428.2776165776222</v>
      </c>
      <c r="T11">
        <f t="shared" ref="T11" si="34">S11/1000</f>
        <v>-2.4282776165776223</v>
      </c>
    </row>
    <row r="12" spans="1:20" x14ac:dyDescent="0.25">
      <c r="A12" s="5">
        <v>44581</v>
      </c>
      <c r="B12">
        <v>4.1379999999999999</v>
      </c>
      <c r="C12">
        <v>4.4379999999999997</v>
      </c>
      <c r="D12">
        <v>4.016</v>
      </c>
      <c r="E12">
        <v>4.0350000000000001</v>
      </c>
      <c r="F12">
        <v>3613610.7</v>
      </c>
      <c r="G12">
        <v>4.0350000000000001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-0.90995260663507038</v>
      </c>
      <c r="Q12">
        <f t="shared" ref="Q12" si="36">F12*P12</f>
        <v>-3288214.4758293815</v>
      </c>
      <c r="R12">
        <f t="shared" ref="R12" si="37">R13+Q12</f>
        <v>-237685064.24469405</v>
      </c>
      <c r="S12">
        <f t="shared" ref="S12" si="38">R12/100000</f>
        <v>-2376.8506424469406</v>
      </c>
      <c r="T12">
        <f t="shared" ref="T12" si="39">S12/1000</f>
        <v>-2.3768506424469407</v>
      </c>
    </row>
    <row r="13" spans="1:20" x14ac:dyDescent="0.25">
      <c r="A13" s="5">
        <v>44580</v>
      </c>
      <c r="B13">
        <v>4.4249999999999998</v>
      </c>
      <c r="C13">
        <v>4.5049999999999999</v>
      </c>
      <c r="D13">
        <v>4.1360000000000001</v>
      </c>
      <c r="E13">
        <v>4.1440000000000001</v>
      </c>
      <c r="F13">
        <v>3979313</v>
      </c>
      <c r="G13">
        <v>4.1440000000000001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-0.95663956639566394</v>
      </c>
      <c r="Q13">
        <f t="shared" ref="Q13" si="41">F13*P13</f>
        <v>-3806768.2628726289</v>
      </c>
      <c r="R13">
        <f t="shared" ref="R13" si="42">R14+Q13</f>
        <v>-234396849.76886466</v>
      </c>
      <c r="S13">
        <f t="shared" ref="S13" si="43">R13/100000</f>
        <v>-2343.9684976886465</v>
      </c>
      <c r="T13">
        <f t="shared" ref="T13" si="44">S13/1000</f>
        <v>-2.3439684976886466</v>
      </c>
    </row>
    <row r="14" spans="1:20" x14ac:dyDescent="0.25">
      <c r="A14" s="5">
        <v>44579</v>
      </c>
      <c r="B14">
        <v>4.5599999999999996</v>
      </c>
      <c r="C14">
        <v>4.6440000000000001</v>
      </c>
      <c r="D14">
        <v>4.2649999999999997</v>
      </c>
      <c r="E14">
        <v>4.4279999999999999</v>
      </c>
      <c r="F14">
        <v>4416885.3</v>
      </c>
      <c r="G14">
        <v>4.4279999999999999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-0.13984168865435323</v>
      </c>
      <c r="Q14">
        <f t="shared" ref="Q14" si="46">F14*P14</f>
        <v>-617664.69894458959</v>
      </c>
      <c r="R14">
        <f t="shared" ref="R14" si="47">R15+Q14</f>
        <v>-230590081.50599203</v>
      </c>
      <c r="S14">
        <f t="shared" ref="S14" si="48">R14/100000</f>
        <v>-2305.9008150599202</v>
      </c>
      <c r="T14">
        <f t="shared" ref="T14" si="49">S14/1000</f>
        <v>-2.3059008150599203</v>
      </c>
    </row>
    <row r="15" spans="1:20" x14ac:dyDescent="0.25">
      <c r="A15" s="5">
        <v>44578</v>
      </c>
      <c r="B15">
        <v>4.9939999999999998</v>
      </c>
      <c r="C15">
        <v>5.0179999999999998</v>
      </c>
      <c r="D15">
        <v>4.4710000000000001</v>
      </c>
      <c r="E15">
        <v>4.5609999999999999</v>
      </c>
      <c r="F15">
        <v>4416912</v>
      </c>
      <c r="G15">
        <v>4.5609999999999999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-0.67093235831809905</v>
      </c>
      <c r="Q15">
        <f t="shared" ref="Q15" si="51">F15*P15</f>
        <v>-2963449.1846435117</v>
      </c>
      <c r="R15">
        <f t="shared" ref="R15" si="52">R16+Q15</f>
        <v>-229972416.80704743</v>
      </c>
      <c r="S15">
        <f t="shared" ref="S15" si="53">R15/100000</f>
        <v>-2299.7241680704742</v>
      </c>
      <c r="T15">
        <f t="shared" ref="T15" si="54">S15/1000</f>
        <v>-2.2997241680704743</v>
      </c>
    </row>
    <row r="16" spans="1:20" x14ac:dyDescent="0.25">
      <c r="A16" s="5">
        <v>44577</v>
      </c>
      <c r="B16">
        <v>5.0140000000000002</v>
      </c>
      <c r="C16">
        <v>5.07</v>
      </c>
      <c r="D16">
        <v>4.8280000000000003</v>
      </c>
      <c r="E16">
        <v>4.9880000000000004</v>
      </c>
      <c r="F16">
        <v>3640834.3</v>
      </c>
      <c r="G16">
        <v>4.9880000000000004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0.32231404958677806</v>
      </c>
      <c r="Q16">
        <f t="shared" ref="Q16" si="56">F16*P16</f>
        <v>1173492.0471074423</v>
      </c>
      <c r="R16">
        <f t="shared" ref="R16" si="57">R17+Q16</f>
        <v>-227008967.62240392</v>
      </c>
      <c r="S16">
        <f t="shared" ref="S16" si="58">R16/100000</f>
        <v>-2270.0896762240391</v>
      </c>
      <c r="T16">
        <f t="shared" ref="T16" si="59">S16/1000</f>
        <v>-2.270089676224039</v>
      </c>
    </row>
    <row r="17" spans="1:20" x14ac:dyDescent="0.25">
      <c r="A17" s="5">
        <v>44576</v>
      </c>
      <c r="B17">
        <v>5.0469999999999997</v>
      </c>
      <c r="C17">
        <v>5.1760000000000002</v>
      </c>
      <c r="D17">
        <v>4.92</v>
      </c>
      <c r="E17">
        <v>5.0140000000000002</v>
      </c>
      <c r="F17">
        <v>3283406.1</v>
      </c>
      <c r="G17">
        <v>5.0140000000000002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-0.26562499999999828</v>
      </c>
      <c r="Q17">
        <f t="shared" ref="Q17" si="61">F17*P17</f>
        <v>-872154.74531249434</v>
      </c>
      <c r="R17">
        <f t="shared" ref="R17" si="62">R18+Q17</f>
        <v>-228182459.66951135</v>
      </c>
      <c r="S17">
        <f t="shared" ref="S17" si="63">R17/100000</f>
        <v>-2281.8245966951135</v>
      </c>
      <c r="T17">
        <f t="shared" ref="T17" si="64">S17/1000</f>
        <v>-2.2818245966951136</v>
      </c>
    </row>
    <row r="18" spans="1:20" x14ac:dyDescent="0.25">
      <c r="A18" s="5">
        <v>44575</v>
      </c>
      <c r="B18">
        <v>4.9720000000000004</v>
      </c>
      <c r="C18">
        <v>5.218</v>
      </c>
      <c r="D18">
        <v>4.8019999999999996</v>
      </c>
      <c r="E18">
        <v>5.05</v>
      </c>
      <c r="F18">
        <v>6049647.9000000004</v>
      </c>
      <c r="G18">
        <v>5.05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0.19230769230769232</v>
      </c>
      <c r="Q18">
        <f t="shared" ref="Q18" si="66">F18*P18</f>
        <v>1163393.826923077</v>
      </c>
      <c r="R18">
        <f t="shared" ref="R18" si="67">R19+Q18</f>
        <v>-227310304.92419887</v>
      </c>
      <c r="S18">
        <f t="shared" ref="S18" si="68">R18/100000</f>
        <v>-2273.1030492419886</v>
      </c>
      <c r="T18">
        <f t="shared" ref="T18" si="69">S18/1000</f>
        <v>-2.2731030492419886</v>
      </c>
    </row>
    <row r="19" spans="1:20" x14ac:dyDescent="0.25">
      <c r="A19" s="5">
        <v>44574</v>
      </c>
      <c r="B19">
        <v>4.9690000000000003</v>
      </c>
      <c r="C19">
        <v>5.3680000000000003</v>
      </c>
      <c r="D19">
        <v>4.8710000000000004</v>
      </c>
      <c r="E19">
        <v>4.9720000000000004</v>
      </c>
      <c r="F19">
        <v>9178250.0999999996</v>
      </c>
      <c r="G19">
        <v>4.9720000000000004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-0.59356136820925554</v>
      </c>
      <c r="Q19">
        <f t="shared" ref="Q19" si="71">F19*P19</f>
        <v>-5447854.6871227361</v>
      </c>
      <c r="R19">
        <f t="shared" ref="R19" si="72">R20+Q19</f>
        <v>-228473698.75112194</v>
      </c>
      <c r="S19">
        <f t="shared" ref="S19" si="73">R19/100000</f>
        <v>-2284.7369875112195</v>
      </c>
      <c r="T19">
        <f t="shared" ref="T19" si="74">S19/1000</f>
        <v>-2.2847369875112196</v>
      </c>
    </row>
    <row r="20" spans="1:20" x14ac:dyDescent="0.25">
      <c r="A20" s="5">
        <v>44573</v>
      </c>
      <c r="B20">
        <v>4.5309999999999997</v>
      </c>
      <c r="C20">
        <v>5.1269999999999998</v>
      </c>
      <c r="D20">
        <v>4.4370000000000003</v>
      </c>
      <c r="E20">
        <v>4.9630000000000001</v>
      </c>
      <c r="F20">
        <v>5795584.2000000002</v>
      </c>
      <c r="G20">
        <v>4.9630000000000001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0.52463768115942078</v>
      </c>
      <c r="Q20">
        <f t="shared" ref="Q20" si="76">F20*P20</f>
        <v>3040581.8556521768</v>
      </c>
      <c r="R20">
        <f t="shared" ref="R20" si="77">R21+Q20</f>
        <v>-223025844.06399921</v>
      </c>
      <c r="S20">
        <f t="shared" ref="S20" si="78">R20/100000</f>
        <v>-2230.2584406399919</v>
      </c>
      <c r="T20">
        <f t="shared" ref="T20" si="79">S20/1000</f>
        <v>-2.2302584406399921</v>
      </c>
    </row>
    <row r="21" spans="1:20" x14ac:dyDescent="0.25">
      <c r="A21" s="5">
        <v>44572</v>
      </c>
      <c r="B21">
        <v>4.4119999999999999</v>
      </c>
      <c r="C21">
        <v>4.5880000000000001</v>
      </c>
      <c r="D21">
        <v>4.22</v>
      </c>
      <c r="E21">
        <v>4.5309999999999997</v>
      </c>
      <c r="F21">
        <v>4986491.8</v>
      </c>
      <c r="G21">
        <v>4.5309999999999997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0.69021739130434601</v>
      </c>
      <c r="Q21">
        <f t="shared" ref="Q21" si="81">F21*P21</f>
        <v>3441763.3619565126</v>
      </c>
      <c r="R21">
        <f t="shared" ref="R21" si="82">R22+Q21</f>
        <v>-226066425.91965139</v>
      </c>
      <c r="S21">
        <f t="shared" ref="S21" si="83">R21/100000</f>
        <v>-2260.6642591965137</v>
      </c>
      <c r="T21">
        <f t="shared" ref="T21" si="84">S21/1000</f>
        <v>-2.2606642591965138</v>
      </c>
    </row>
    <row r="22" spans="1:20" x14ac:dyDescent="0.25">
      <c r="A22" s="5">
        <v>44571</v>
      </c>
      <c r="B22">
        <v>4.6619999999999999</v>
      </c>
      <c r="C22">
        <v>4.7750000000000004</v>
      </c>
      <c r="D22">
        <v>4.1440000000000001</v>
      </c>
      <c r="E22">
        <v>4.4119999999999999</v>
      </c>
      <c r="F22">
        <v>5080434</v>
      </c>
      <c r="G22">
        <v>4.4119999999999999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-0.15055467511885992</v>
      </c>
      <c r="Q22">
        <f t="shared" ref="Q22" si="86">F22*P22</f>
        <v>-764883.09033280995</v>
      </c>
      <c r="R22">
        <f t="shared" ref="R22" si="87">R23+Q22</f>
        <v>-229508189.2816079</v>
      </c>
      <c r="S22">
        <f t="shared" ref="S22" si="88">R22/100000</f>
        <v>-2295.0818928160788</v>
      </c>
      <c r="T22">
        <f t="shared" ref="T22" si="89">S22/1000</f>
        <v>-2.295081892816079</v>
      </c>
    </row>
    <row r="23" spans="1:20" x14ac:dyDescent="0.25">
      <c r="A23" s="5">
        <v>44570</v>
      </c>
      <c r="B23">
        <v>4.5309999999999997</v>
      </c>
      <c r="C23">
        <v>4.7910000000000004</v>
      </c>
      <c r="D23">
        <v>4.4560000000000004</v>
      </c>
      <c r="E23">
        <v>4.6689999999999996</v>
      </c>
      <c r="F23">
        <v>2690026.5</v>
      </c>
      <c r="G23">
        <v>4.6689999999999996</v>
      </c>
      <c r="L23" t="s">
        <v>7</v>
      </c>
      <c r="M23" t="s">
        <v>7</v>
      </c>
      <c r="N23" t="s">
        <v>8</v>
      </c>
      <c r="P23">
        <f t="shared" ref="P23" si="90">IF(C23=D23,0,((E23-D23)-(C23-E23))/(C23-D23))</f>
        <v>0.27164179104477143</v>
      </c>
      <c r="Q23">
        <f t="shared" ref="Q23" si="91">F23*P23</f>
        <v>730723.61641789787</v>
      </c>
      <c r="R23">
        <f t="shared" ref="R23" si="92">R24+Q23</f>
        <v>-228743306.19127509</v>
      </c>
      <c r="S23">
        <f t="shared" ref="S23" si="93">R23/100000</f>
        <v>-2287.4330619127509</v>
      </c>
      <c r="T23">
        <f t="shared" ref="T23" si="94">S23/1000</f>
        <v>-2.287433061912751</v>
      </c>
    </row>
    <row r="24" spans="1:20" x14ac:dyDescent="0.25">
      <c r="A24" s="5">
        <v>44569</v>
      </c>
      <c r="B24">
        <v>4.6399999999999997</v>
      </c>
      <c r="C24">
        <v>4.95</v>
      </c>
      <c r="D24">
        <v>4.4000000000000004</v>
      </c>
      <c r="E24">
        <v>4.532</v>
      </c>
      <c r="F24">
        <v>4752346</v>
      </c>
      <c r="G24">
        <v>4.532</v>
      </c>
      <c r="L24" t="s">
        <v>8</v>
      </c>
      <c r="M24" t="s">
        <v>7</v>
      </c>
      <c r="N24" t="s">
        <v>8</v>
      </c>
      <c r="P24">
        <f t="shared" ref="P24" si="95">IF(C24=D24,0,((E24-D24)-(C24-E24))/(C24-D24))</f>
        <v>-0.52000000000000102</v>
      </c>
      <c r="Q24">
        <f t="shared" ref="Q24" si="96">F24*P24</f>
        <v>-2471219.920000005</v>
      </c>
      <c r="R24">
        <f t="shared" ref="R24" si="97">R25+Q24</f>
        <v>-229474029.80769297</v>
      </c>
      <c r="S24">
        <f t="shared" ref="S24" si="98">R24/100000</f>
        <v>-2294.7402980769298</v>
      </c>
      <c r="T24">
        <f t="shared" ref="T24" si="99">S24/1000</f>
        <v>-2.2947402980769298</v>
      </c>
    </row>
    <row r="25" spans="1:20" x14ac:dyDescent="0.25">
      <c r="A25" s="5">
        <v>44568</v>
      </c>
      <c r="B25">
        <v>4.9269999999999996</v>
      </c>
      <c r="C25">
        <v>4.9589999999999996</v>
      </c>
      <c r="D25">
        <v>4.38</v>
      </c>
      <c r="E25">
        <v>4.6429999999999998</v>
      </c>
      <c r="F25">
        <v>6385625</v>
      </c>
      <c r="G25">
        <v>4.6429999999999998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-9.1537132987910122E-2</v>
      </c>
      <c r="Q25">
        <f t="shared" ref="Q25" si="101">F25*P25</f>
        <v>-584521.8048359236</v>
      </c>
      <c r="R25">
        <f t="shared" ref="R25" si="102">R26+Q25</f>
        <v>-227002809.88769296</v>
      </c>
      <c r="S25">
        <f t="shared" ref="S25" si="103">R25/100000</f>
        <v>-2270.0280988769296</v>
      </c>
      <c r="T25">
        <f t="shared" ref="T25" si="104">S25/1000</f>
        <v>-2.2700280988769297</v>
      </c>
    </row>
    <row r="26" spans="1:20" x14ac:dyDescent="0.25">
      <c r="A26" s="5">
        <v>44567</v>
      </c>
      <c r="B26">
        <v>5.0990000000000002</v>
      </c>
      <c r="C26">
        <v>5.2539999999999996</v>
      </c>
      <c r="D26">
        <v>4.8250000000000002</v>
      </c>
      <c r="E26">
        <v>4.92</v>
      </c>
      <c r="F26">
        <v>6288043.0999999996</v>
      </c>
      <c r="G26">
        <v>4.92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-0.55710955710955767</v>
      </c>
      <c r="Q26">
        <f t="shared" ref="Q26" si="106">F26*P26</f>
        <v>-3503128.90652681</v>
      </c>
      <c r="R26">
        <f t="shared" ref="R26" si="107">R27+Q26</f>
        <v>-226418288.08285704</v>
      </c>
      <c r="S26">
        <f t="shared" ref="S26" si="108">R26/100000</f>
        <v>-2264.1828808285704</v>
      </c>
      <c r="T26">
        <f t="shared" ref="T26" si="109">S26/1000</f>
        <v>-2.2641828808285704</v>
      </c>
    </row>
    <row r="27" spans="1:20" x14ac:dyDescent="0.25">
      <c r="A27" s="5">
        <v>44566</v>
      </c>
      <c r="B27">
        <v>5.2779999999999996</v>
      </c>
      <c r="C27">
        <v>6.05</v>
      </c>
      <c r="D27">
        <v>4.7590000000000003</v>
      </c>
      <c r="E27">
        <v>5.0960000000000001</v>
      </c>
      <c r="F27">
        <v>11322813.5</v>
      </c>
      <c r="G27">
        <v>5.0960000000000001</v>
      </c>
      <c r="L27" t="s">
        <v>8</v>
      </c>
      <c r="M27" t="s">
        <v>8</v>
      </c>
      <c r="N27" t="s">
        <v>8</v>
      </c>
      <c r="P27">
        <f t="shared" ref="P27" si="110">IF(C27=D27,0,((E27-D27)-(C27-E27))/(C27-D27))</f>
        <v>-0.47792408985282747</v>
      </c>
      <c r="Q27">
        <f t="shared" ref="Q27" si="111">F27*P27</f>
        <v>-5411445.3365608081</v>
      </c>
      <c r="R27">
        <f t="shared" ref="R27" si="112">R28+Q27</f>
        <v>-222915159.17633024</v>
      </c>
      <c r="S27">
        <f t="shared" ref="S27" si="113">R27/100000</f>
        <v>-2229.1515917633023</v>
      </c>
      <c r="T27">
        <f t="shared" ref="T27" si="114">S27/1000</f>
        <v>-2.2291515917633022</v>
      </c>
    </row>
    <row r="28" spans="1:20" x14ac:dyDescent="0.25">
      <c r="A28" s="5">
        <v>44565</v>
      </c>
      <c r="B28">
        <v>5.0030000000000001</v>
      </c>
      <c r="C28">
        <v>5.7610000000000001</v>
      </c>
      <c r="D28">
        <v>4.9880000000000004</v>
      </c>
      <c r="E28">
        <v>5.2789999999999999</v>
      </c>
      <c r="F28">
        <v>8639951.9000000004</v>
      </c>
      <c r="G28">
        <v>5.2789999999999999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-0.24708926261319639</v>
      </c>
      <c r="Q28">
        <f t="shared" ref="Q28" si="116">F28*P28</f>
        <v>-2134839.3439844851</v>
      </c>
      <c r="R28">
        <f t="shared" ref="R28" si="117">R29+Q28</f>
        <v>-217503713.83976942</v>
      </c>
      <c r="S28">
        <f t="shared" ref="S28" si="118">R28/100000</f>
        <v>-2175.0371383976944</v>
      </c>
      <c r="T28">
        <f t="shared" ref="T28" si="119">S28/1000</f>
        <v>-2.1750371383976943</v>
      </c>
    </row>
    <row r="29" spans="1:20" x14ac:dyDescent="0.25">
      <c r="A29" s="5">
        <v>44564</v>
      </c>
      <c r="B29">
        <v>5.08</v>
      </c>
      <c r="C29">
        <v>5.1230000000000002</v>
      </c>
      <c r="D29">
        <v>4.82</v>
      </c>
      <c r="E29">
        <v>5.0039999999999996</v>
      </c>
      <c r="F29">
        <v>2432408.4</v>
      </c>
      <c r="G29">
        <v>5.0039999999999996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0.21452145214520998</v>
      </c>
      <c r="Q29">
        <f t="shared" ref="Q29" si="121">F29*P29</f>
        <v>521803.78217820678</v>
      </c>
      <c r="R29">
        <f t="shared" ref="R29" si="122">R30+Q29</f>
        <v>-215368874.49578494</v>
      </c>
      <c r="S29">
        <f t="shared" ref="S29" si="123">R29/100000</f>
        <v>-2153.6887449578494</v>
      </c>
      <c r="T29">
        <f t="shared" ref="T29" si="124">S29/1000</f>
        <v>-2.1536887449578495</v>
      </c>
    </row>
    <row r="30" spans="1:20" x14ac:dyDescent="0.25">
      <c r="A30" s="5">
        <v>44563</v>
      </c>
      <c r="B30">
        <v>5.1289999999999996</v>
      </c>
      <c r="C30">
        <v>5.4</v>
      </c>
      <c r="D30">
        <v>5.0410000000000004</v>
      </c>
      <c r="E30">
        <v>5.0880000000000001</v>
      </c>
      <c r="F30">
        <v>3642932.9</v>
      </c>
      <c r="G30">
        <v>5.0880000000000001</v>
      </c>
      <c r="L30" t="s">
        <v>8</v>
      </c>
      <c r="M30" t="s">
        <v>8</v>
      </c>
      <c r="N30" t="s">
        <v>8</v>
      </c>
      <c r="P30">
        <f t="shared" ref="P30" si="125">IF(C30=D30,0,((E30-D30)-(C30-E30))/(C30-D30))</f>
        <v>-0.73816155988858101</v>
      </c>
      <c r="Q30">
        <f t="shared" ref="Q30" si="126">F30*P30</f>
        <v>-2689073.0320334318</v>
      </c>
      <c r="R30">
        <f t="shared" ref="R30" si="127">R31+Q30</f>
        <v>-215890678.27796313</v>
      </c>
      <c r="S30">
        <f t="shared" ref="S30" si="128">R30/100000</f>
        <v>-2158.9067827796312</v>
      </c>
      <c r="T30">
        <f t="shared" ref="T30" si="129">S30/1000</f>
        <v>-2.1589067827796313</v>
      </c>
    </row>
    <row r="31" spans="1:20" x14ac:dyDescent="0.25">
      <c r="A31" s="5">
        <v>44562</v>
      </c>
      <c r="B31">
        <v>4.867</v>
      </c>
      <c r="C31">
        <v>5.2480000000000002</v>
      </c>
      <c r="D31">
        <v>4.8600000000000003</v>
      </c>
      <c r="E31">
        <v>5.1319999999999997</v>
      </c>
      <c r="F31">
        <v>3298470</v>
      </c>
      <c r="G31">
        <v>5.1319999999999997</v>
      </c>
      <c r="L31" t="s">
        <v>7</v>
      </c>
      <c r="M31" t="s">
        <v>7</v>
      </c>
      <c r="N31" t="s">
        <v>8</v>
      </c>
      <c r="P31">
        <f t="shared" ref="P31" si="130">IF(C31=D31,0,((E31-D31)-(C31-E31))/(C31-D31))</f>
        <v>0.40206185567010011</v>
      </c>
      <c r="Q31">
        <f t="shared" ref="Q31" si="131">F31*P31</f>
        <v>1326188.9690721552</v>
      </c>
      <c r="R31">
        <f t="shared" ref="R31" si="132">R32+Q31</f>
        <v>-213201605.24592969</v>
      </c>
      <c r="S31">
        <f t="shared" ref="S31" si="133">R31/100000</f>
        <v>-2132.016052459297</v>
      </c>
      <c r="T31">
        <f t="shared" ref="T31" si="134">S31/1000</f>
        <v>-2.132016052459297</v>
      </c>
    </row>
    <row r="32" spans="1:20" x14ac:dyDescent="0.25">
      <c r="A32" s="5">
        <v>44561</v>
      </c>
      <c r="B32">
        <v>4.7789999999999999</v>
      </c>
      <c r="C32">
        <v>5.25</v>
      </c>
      <c r="D32">
        <v>4.6689999999999996</v>
      </c>
      <c r="E32">
        <v>4.8680000000000003</v>
      </c>
      <c r="F32">
        <v>3532078.7</v>
      </c>
      <c r="G32">
        <v>4.8680000000000003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-0.31497418244405995</v>
      </c>
      <c r="Q32">
        <f t="shared" ref="Q32" si="136">F32*P32</f>
        <v>-1112513.6008605782</v>
      </c>
      <c r="R32">
        <f t="shared" ref="R32" si="137">R33+Q32</f>
        <v>-214527794.21500185</v>
      </c>
      <c r="S32">
        <f t="shared" ref="S32" si="138">R32/100000</f>
        <v>-2145.2779421500186</v>
      </c>
      <c r="T32">
        <f t="shared" ref="T32" si="139">S32/1000</f>
        <v>-2.1452779421500185</v>
      </c>
    </row>
    <row r="33" spans="1:20" x14ac:dyDescent="0.25">
      <c r="A33" s="5">
        <v>44560</v>
      </c>
      <c r="B33">
        <v>4.4870000000000001</v>
      </c>
      <c r="C33">
        <v>4.9420000000000002</v>
      </c>
      <c r="D33">
        <v>4.3579999999999997</v>
      </c>
      <c r="E33">
        <v>4.7789999999999999</v>
      </c>
      <c r="F33">
        <v>2505300.7999999998</v>
      </c>
      <c r="G33">
        <v>4.7789999999999999</v>
      </c>
      <c r="L33" t="s">
        <v>8</v>
      </c>
      <c r="M33" t="s">
        <v>7</v>
      </c>
      <c r="N33" t="s">
        <v>8</v>
      </c>
      <c r="P33">
        <f t="shared" ref="P33" si="140">IF(C33=D33,0,((E33-D33)-(C33-E33))/(C33-D33))</f>
        <v>0.44178082191780782</v>
      </c>
      <c r="Q33">
        <f t="shared" ref="Q33" si="141">F33*P33</f>
        <v>1106793.8465753414</v>
      </c>
      <c r="R33">
        <f t="shared" ref="R33" si="142">R34+Q33</f>
        <v>-213415280.61414129</v>
      </c>
      <c r="S33">
        <f t="shared" ref="S33" si="143">R33/100000</f>
        <v>-2134.1528061414128</v>
      </c>
      <c r="T33">
        <f t="shared" ref="T33" si="144">S33/1000</f>
        <v>-2.134152806141413</v>
      </c>
    </row>
    <row r="34" spans="1:20" x14ac:dyDescent="0.25">
      <c r="A34" s="5">
        <v>44559</v>
      </c>
      <c r="B34">
        <v>4.5890000000000004</v>
      </c>
      <c r="C34">
        <v>4.7720000000000002</v>
      </c>
      <c r="D34">
        <v>4.3810000000000002</v>
      </c>
      <c r="E34">
        <v>4.4880000000000004</v>
      </c>
      <c r="F34">
        <v>2295324.9</v>
      </c>
      <c r="G34">
        <v>4.4880000000000004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-0.45268542199488387</v>
      </c>
      <c r="Q34">
        <f t="shared" ref="Q34" si="146">F34*P34</f>
        <v>-1039060.1209718646</v>
      </c>
      <c r="R34">
        <f t="shared" ref="R34" si="147">R35+Q34</f>
        <v>-214522074.46071663</v>
      </c>
      <c r="S34">
        <f t="shared" ref="S34" si="148">R34/100000</f>
        <v>-2145.2207446071661</v>
      </c>
      <c r="T34">
        <f t="shared" ref="T34" si="149">S34/1000</f>
        <v>-2.1452207446071663</v>
      </c>
    </row>
    <row r="35" spans="1:20" x14ac:dyDescent="0.25">
      <c r="A35" s="5">
        <v>44558</v>
      </c>
      <c r="B35">
        <v>5.0529999999999999</v>
      </c>
      <c r="C35">
        <v>5.056</v>
      </c>
      <c r="D35">
        <v>4.5430000000000001</v>
      </c>
      <c r="E35">
        <v>4.59</v>
      </c>
      <c r="F35">
        <v>3556266.2</v>
      </c>
      <c r="G35">
        <v>4.59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-0.81676413255360736</v>
      </c>
      <c r="Q35">
        <f t="shared" ref="Q35" si="151">F35*P35</f>
        <v>-2904630.6779727135</v>
      </c>
      <c r="R35">
        <f t="shared" ref="R35" si="152">R36+Q35</f>
        <v>-213483014.33974478</v>
      </c>
      <c r="S35">
        <f t="shared" ref="S35" si="153">R35/100000</f>
        <v>-2134.830143397448</v>
      </c>
      <c r="T35">
        <f t="shared" ref="T35" si="154">S35/1000</f>
        <v>-2.1348301433974481</v>
      </c>
    </row>
    <row r="36" spans="1:20" x14ac:dyDescent="0.25">
      <c r="A36" s="5">
        <v>44557</v>
      </c>
      <c r="B36">
        <v>5.1180000000000003</v>
      </c>
      <c r="C36">
        <v>5.2889999999999997</v>
      </c>
      <c r="D36">
        <v>5.0220000000000002</v>
      </c>
      <c r="E36">
        <v>5.0510000000000002</v>
      </c>
      <c r="F36">
        <v>3604692.4</v>
      </c>
      <c r="G36">
        <v>5.0510000000000002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-0.78277153558052459</v>
      </c>
      <c r="Q36">
        <f t="shared" ref="Q36" si="156">F36*P36</f>
        <v>-2821650.6052434463</v>
      </c>
      <c r="R36">
        <f t="shared" ref="R36" si="157">R37+Q36</f>
        <v>-210578383.66177207</v>
      </c>
      <c r="S36">
        <f t="shared" ref="S36" si="158">R36/100000</f>
        <v>-2105.7838366177207</v>
      </c>
      <c r="T36">
        <f t="shared" ref="T36" si="159">S36/1000</f>
        <v>-2.1057838366177206</v>
      </c>
    </row>
    <row r="37" spans="1:20" x14ac:dyDescent="0.25">
      <c r="A37" s="5">
        <v>44556</v>
      </c>
      <c r="B37">
        <v>4.8899999999999997</v>
      </c>
      <c r="C37">
        <v>5.18</v>
      </c>
      <c r="D37">
        <v>4.6900000000000004</v>
      </c>
      <c r="E37">
        <v>5.1139999999999999</v>
      </c>
      <c r="F37">
        <v>3652593.4</v>
      </c>
      <c r="G37">
        <v>5.1139999999999999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0.73061224489795951</v>
      </c>
      <c r="Q37">
        <f t="shared" ref="Q37" si="161">F37*P37</f>
        <v>2668629.4636734705</v>
      </c>
      <c r="R37">
        <f t="shared" ref="R37" si="162">R38+Q37</f>
        <v>-207756733.05652863</v>
      </c>
      <c r="S37">
        <f t="shared" ref="S37" si="163">R37/100000</f>
        <v>-2077.5673305652863</v>
      </c>
      <c r="T37">
        <f t="shared" ref="T37" si="164">S37/1000</f>
        <v>-2.0775673305652864</v>
      </c>
    </row>
    <row r="38" spans="1:20" x14ac:dyDescent="0.25">
      <c r="A38" s="5">
        <v>44555</v>
      </c>
      <c r="B38">
        <v>4.9800000000000004</v>
      </c>
      <c r="C38">
        <v>5.0780000000000003</v>
      </c>
      <c r="D38">
        <v>4.8090000000000002</v>
      </c>
      <c r="E38">
        <v>4.8920000000000003</v>
      </c>
      <c r="F38">
        <v>2166016.7000000002</v>
      </c>
      <c r="G38">
        <v>4.8920000000000003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-0.38289962825278701</v>
      </c>
      <c r="Q38">
        <f t="shared" ref="Q38" si="166">F38*P38</f>
        <v>-829366.9892193285</v>
      </c>
      <c r="R38">
        <f t="shared" ref="R38" si="167">R39+Q38</f>
        <v>-210425362.5202021</v>
      </c>
      <c r="S38">
        <f t="shared" ref="S38" si="168">R38/100000</f>
        <v>-2104.2536252020209</v>
      </c>
      <c r="T38">
        <f t="shared" ref="T38" si="169">S38/1000</f>
        <v>-2.1042536252020207</v>
      </c>
    </row>
    <row r="39" spans="1:20" x14ac:dyDescent="0.25">
      <c r="A39" s="5">
        <v>44554</v>
      </c>
      <c r="B39">
        <v>4.8470000000000004</v>
      </c>
      <c r="C39">
        <v>5.117</v>
      </c>
      <c r="D39">
        <v>4.6900000000000004</v>
      </c>
      <c r="E39">
        <v>4.9779999999999998</v>
      </c>
      <c r="F39">
        <v>4540082.4000000004</v>
      </c>
      <c r="G39">
        <v>4.9779999999999998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0.34894613583138001</v>
      </c>
      <c r="Q39">
        <f t="shared" ref="Q39" si="171">F39*P39</f>
        <v>1584244.2098360579</v>
      </c>
      <c r="R39">
        <f t="shared" ref="R39" si="172">R40+Q39</f>
        <v>-209595995.53098276</v>
      </c>
      <c r="S39">
        <f t="shared" ref="S39" si="173">R39/100000</f>
        <v>-2095.9599553098278</v>
      </c>
      <c r="T39">
        <f t="shared" ref="T39" si="174">S39/1000</f>
        <v>-2.0959599553098278</v>
      </c>
    </row>
    <row r="40" spans="1:20" x14ac:dyDescent="0.25">
      <c r="A40" s="5">
        <v>44553</v>
      </c>
      <c r="B40">
        <v>4.7439999999999998</v>
      </c>
      <c r="C40">
        <v>5.1849999999999996</v>
      </c>
      <c r="D40">
        <v>4.6059999999999999</v>
      </c>
      <c r="E40">
        <v>4.8470000000000004</v>
      </c>
      <c r="F40">
        <v>8410496.3000000007</v>
      </c>
      <c r="G40">
        <v>4.8470000000000004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-0.16753022452504091</v>
      </c>
      <c r="Q40">
        <f t="shared" ref="Q40" si="176">F40*P40</f>
        <v>-1409012.3335060258</v>
      </c>
      <c r="R40">
        <f t="shared" ref="R40" si="177">R41+Q40</f>
        <v>-211180239.74081883</v>
      </c>
      <c r="S40">
        <f t="shared" ref="S40" si="178">R40/100000</f>
        <v>-2111.8023974081884</v>
      </c>
      <c r="T40">
        <f t="shared" ref="T40" si="179">S40/1000</f>
        <v>-2.1118023974081885</v>
      </c>
    </row>
    <row r="41" spans="1:20" x14ac:dyDescent="0.25">
      <c r="A41" s="5">
        <v>44552</v>
      </c>
      <c r="B41">
        <v>4.2439999999999998</v>
      </c>
      <c r="C41">
        <v>4.88</v>
      </c>
      <c r="D41">
        <v>4.2270000000000003</v>
      </c>
      <c r="E41">
        <v>4.7439999999999998</v>
      </c>
      <c r="F41">
        <v>6548241.7000000002</v>
      </c>
      <c r="G41">
        <v>4.7439999999999998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0.58346094946401161</v>
      </c>
      <c r="Q41">
        <f t="shared" ref="Q41" si="181">F41*P41</f>
        <v>3820643.3196018338</v>
      </c>
      <c r="R41">
        <f t="shared" ref="R41" si="182">R42+Q41</f>
        <v>-209771227.40731281</v>
      </c>
      <c r="S41">
        <f t="shared" ref="S41" si="183">R41/100000</f>
        <v>-2097.7122740731279</v>
      </c>
      <c r="T41">
        <f t="shared" ref="T41" si="184">S41/1000</f>
        <v>-2.0977122740731278</v>
      </c>
    </row>
    <row r="42" spans="1:20" x14ac:dyDescent="0.25">
      <c r="A42" s="5">
        <v>44551</v>
      </c>
      <c r="B42">
        <v>4.0629999999999997</v>
      </c>
      <c r="C42">
        <v>4.4169999999999998</v>
      </c>
      <c r="D42">
        <v>4.05</v>
      </c>
      <c r="E42">
        <v>4.2480000000000002</v>
      </c>
      <c r="F42">
        <v>4175187.1</v>
      </c>
      <c r="G42">
        <v>4.2480000000000002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7.9019073569484483E-2</v>
      </c>
      <c r="Q42">
        <f t="shared" ref="Q42" si="186">F42*P42</f>
        <v>329919.41662126256</v>
      </c>
      <c r="R42">
        <f t="shared" ref="R42" si="187">R43+Q42</f>
        <v>-213591870.72691464</v>
      </c>
      <c r="S42">
        <f t="shared" ref="S42" si="188">R42/100000</f>
        <v>-2135.9187072691466</v>
      </c>
      <c r="T42">
        <f t="shared" ref="T42" si="189">S42/1000</f>
        <v>-2.1359187072691466</v>
      </c>
    </row>
    <row r="43" spans="1:20" x14ac:dyDescent="0.25">
      <c r="A43" s="5">
        <v>44550</v>
      </c>
      <c r="B43">
        <v>4.08</v>
      </c>
      <c r="C43">
        <v>4.4119999999999999</v>
      </c>
      <c r="D43">
        <v>3.839</v>
      </c>
      <c r="E43">
        <v>4.0599999999999996</v>
      </c>
      <c r="F43">
        <v>6606876</v>
      </c>
      <c r="G43">
        <v>4.0599999999999996</v>
      </c>
      <c r="L43" t="s">
        <v>8</v>
      </c>
      <c r="M43" t="s">
        <v>8</v>
      </c>
      <c r="N43" t="s">
        <v>7</v>
      </c>
      <c r="P43">
        <f t="shared" ref="P43" si="190">IF(C43=D43,0,((E43-D43)-(C43-E43))/(C43-D43))</f>
        <v>-0.22862129144851778</v>
      </c>
      <c r="Q43">
        <f t="shared" ref="Q43" si="191">F43*P43</f>
        <v>-1510472.5235602173</v>
      </c>
      <c r="R43">
        <f t="shared" ref="R43" si="192">R44+Q43</f>
        <v>-213921790.14353591</v>
      </c>
      <c r="S43">
        <f t="shared" ref="S43" si="193">R43/100000</f>
        <v>-2139.2179014353592</v>
      </c>
      <c r="T43">
        <f t="shared" ref="T43" si="194">S43/1000</f>
        <v>-2.1392179014353592</v>
      </c>
    </row>
    <row r="44" spans="1:20" x14ac:dyDescent="0.25">
      <c r="A44" s="5">
        <v>44549</v>
      </c>
      <c r="B44">
        <v>4.016</v>
      </c>
      <c r="C44">
        <v>4.25</v>
      </c>
      <c r="D44">
        <v>3.97</v>
      </c>
      <c r="E44">
        <v>4.0880000000000001</v>
      </c>
      <c r="F44">
        <v>3732907.3</v>
      </c>
      <c r="G44">
        <v>4.0880000000000001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-0.15714285714285739</v>
      </c>
      <c r="Q44">
        <f t="shared" ref="Q44" si="196">F44*P44</f>
        <v>-586599.71857142949</v>
      </c>
      <c r="R44">
        <f t="shared" ref="R44" si="197">R45+Q44</f>
        <v>-212411317.61997569</v>
      </c>
      <c r="S44">
        <f t="shared" ref="S44" si="198">R44/100000</f>
        <v>-2124.1131761997567</v>
      </c>
      <c r="T44">
        <f t="shared" ref="T44" si="199">S44/1000</f>
        <v>-2.1241131761997569</v>
      </c>
    </row>
    <row r="45" spans="1:20" x14ac:dyDescent="0.25">
      <c r="A45" s="5">
        <v>44548</v>
      </c>
      <c r="B45">
        <v>3.8119999999999998</v>
      </c>
      <c r="C45">
        <v>4.2439999999999998</v>
      </c>
      <c r="D45">
        <v>3.7690000000000001</v>
      </c>
      <c r="E45">
        <v>4.0170000000000003</v>
      </c>
      <c r="F45">
        <v>5469579</v>
      </c>
      <c r="G45">
        <v>4.0170000000000003</v>
      </c>
      <c r="L45" t="s">
        <v>8</v>
      </c>
      <c r="M45" t="s">
        <v>8</v>
      </c>
      <c r="N45" t="s">
        <v>7</v>
      </c>
      <c r="P45">
        <f t="shared" ref="P45" si="200">IF(C45=D45,0,((E45-D45)-(C45-E45))/(C45-D45))</f>
        <v>4.4210526315791185E-2</v>
      </c>
      <c r="Q45">
        <f t="shared" ref="Q45" si="201">F45*P45</f>
        <v>241812.96631579884</v>
      </c>
      <c r="R45">
        <f t="shared" ref="R45" si="202">R46+Q45</f>
        <v>-211824717.90140426</v>
      </c>
      <c r="S45">
        <f t="shared" ref="S45" si="203">R45/100000</f>
        <v>-2118.2471790140426</v>
      </c>
      <c r="T45">
        <f t="shared" ref="T45" si="204">S45/1000</f>
        <v>-2.1182471790140425</v>
      </c>
    </row>
    <row r="46" spans="1:20" x14ac:dyDescent="0.25">
      <c r="A46" s="5">
        <v>44547</v>
      </c>
      <c r="B46">
        <v>3.8540000000000001</v>
      </c>
      <c r="C46">
        <v>4.0789999999999997</v>
      </c>
      <c r="D46">
        <v>3.6339999999999999</v>
      </c>
      <c r="E46">
        <v>3.8109999999999999</v>
      </c>
      <c r="F46">
        <v>6930208.4000000004</v>
      </c>
      <c r="G46">
        <v>3.8109999999999999</v>
      </c>
      <c r="L46" t="s">
        <v>7</v>
      </c>
      <c r="M46" t="s">
        <v>8</v>
      </c>
      <c r="N46" t="s">
        <v>7</v>
      </c>
      <c r="P46">
        <f t="shared" ref="P46" si="205">IF(C46=D46,0,((E46-D46)-(C46-E46))/(C46-D46))</f>
        <v>-0.20449438202247142</v>
      </c>
      <c r="Q46">
        <f t="shared" ref="Q46" si="206">F46*P46</f>
        <v>-1417188.6840449404</v>
      </c>
      <c r="R46">
        <f t="shared" ref="R46" si="207">R47+Q46</f>
        <v>-212066530.86772007</v>
      </c>
      <c r="S46">
        <f t="shared" ref="S46" si="208">R46/100000</f>
        <v>-2120.6653086772008</v>
      </c>
      <c r="T46">
        <f t="shared" ref="T46" si="209">S46/1000</f>
        <v>-2.1206653086772009</v>
      </c>
    </row>
    <row r="47" spans="1:20" x14ac:dyDescent="0.25">
      <c r="A47" s="5">
        <v>44546</v>
      </c>
      <c r="B47">
        <v>3.4710000000000001</v>
      </c>
      <c r="C47">
        <v>4.0250000000000004</v>
      </c>
      <c r="D47">
        <v>3.4180000000000001</v>
      </c>
      <c r="E47">
        <v>3.855</v>
      </c>
      <c r="F47">
        <v>8377516</v>
      </c>
      <c r="G47">
        <v>3.855</v>
      </c>
      <c r="L47" t="s">
        <v>8</v>
      </c>
      <c r="M47" t="s">
        <v>8</v>
      </c>
      <c r="N47" t="s">
        <v>7</v>
      </c>
      <c r="P47">
        <f t="shared" ref="P47" si="210">IF(C47=D47,0,((E47-D47)-(C47-E47))/(C47-D47))</f>
        <v>0.43986820428335976</v>
      </c>
      <c r="Q47">
        <f t="shared" ref="Q47" si="211">F47*P47</f>
        <v>3685002.9192751148</v>
      </c>
      <c r="R47">
        <f t="shared" ref="R47" si="212">R48+Q47</f>
        <v>-210649342.18367514</v>
      </c>
      <c r="S47">
        <f t="shared" ref="S47" si="213">R47/100000</f>
        <v>-2106.4934218367516</v>
      </c>
      <c r="T47">
        <f t="shared" ref="T47" si="214">S47/1000</f>
        <v>-2.1064934218367517</v>
      </c>
    </row>
    <row r="48" spans="1:20" x14ac:dyDescent="0.25">
      <c r="A48" s="5">
        <v>44545</v>
      </c>
      <c r="B48">
        <v>3.4329999999999998</v>
      </c>
      <c r="C48">
        <v>3.569</v>
      </c>
      <c r="D48">
        <v>3.234</v>
      </c>
      <c r="E48">
        <v>3.4710000000000001</v>
      </c>
      <c r="F48">
        <v>5071491.8</v>
      </c>
      <c r="G48">
        <v>3.4710000000000001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0.41492537313432909</v>
      </c>
      <c r="Q48">
        <f t="shared" ref="Q48" si="216">F48*P48</f>
        <v>2104290.6274626902</v>
      </c>
      <c r="R48">
        <f t="shared" ref="R48" si="217">R49+Q48</f>
        <v>-214334345.10295025</v>
      </c>
      <c r="S48">
        <f t="shared" ref="S48" si="218">R48/100000</f>
        <v>-2143.3434510295024</v>
      </c>
      <c r="T48">
        <f t="shared" ref="T48" si="219">S48/1000</f>
        <v>-2.1433434510295024</v>
      </c>
    </row>
    <row r="49" spans="1:20" x14ac:dyDescent="0.25">
      <c r="A49" s="5">
        <v>44544</v>
      </c>
      <c r="B49">
        <v>3.46</v>
      </c>
      <c r="C49">
        <v>3.52</v>
      </c>
      <c r="D49">
        <v>3.278</v>
      </c>
      <c r="E49">
        <v>3.4329999999999998</v>
      </c>
      <c r="F49">
        <v>3602725.6</v>
      </c>
      <c r="G49">
        <v>3.4329999999999998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0.28099173553718848</v>
      </c>
      <c r="Q49">
        <f t="shared" ref="Q49" si="221">F49*P49</f>
        <v>1012336.1190082587</v>
      </c>
      <c r="R49">
        <f t="shared" ref="R49" si="222">R50+Q49</f>
        <v>-216438635.73041293</v>
      </c>
      <c r="S49">
        <f t="shared" ref="S49" si="223">R49/100000</f>
        <v>-2164.3863573041294</v>
      </c>
      <c r="T49">
        <f t="shared" ref="T49" si="224">S49/1000</f>
        <v>-2.1643863573041293</v>
      </c>
    </row>
    <row r="50" spans="1:20" x14ac:dyDescent="0.25">
      <c r="A50" s="5">
        <v>44543</v>
      </c>
      <c r="B50">
        <v>3.8420000000000001</v>
      </c>
      <c r="C50">
        <v>3.9289999999999998</v>
      </c>
      <c r="D50">
        <v>3.3849999999999998</v>
      </c>
      <c r="E50">
        <v>3.4620000000000002</v>
      </c>
      <c r="F50">
        <v>3657612.1</v>
      </c>
      <c r="G50">
        <v>3.4620000000000002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-0.71691176470588092</v>
      </c>
      <c r="Q50">
        <f t="shared" ref="Q50" si="226">F50*P50</f>
        <v>-2622185.1452205828</v>
      </c>
      <c r="R50">
        <f t="shared" ref="R50" si="227">R51+Q50</f>
        <v>-217450971.8494212</v>
      </c>
      <c r="S50">
        <f t="shared" ref="S50" si="228">R50/100000</f>
        <v>-2174.5097184942119</v>
      </c>
      <c r="T50">
        <f t="shared" ref="T50" si="229">S50/1000</f>
        <v>-2.1745097184942122</v>
      </c>
    </row>
    <row r="51" spans="1:20" x14ac:dyDescent="0.25">
      <c r="A51" s="5">
        <v>44542</v>
      </c>
      <c r="B51">
        <v>3.7450000000000001</v>
      </c>
      <c r="C51">
        <v>4.0439999999999996</v>
      </c>
      <c r="D51">
        <v>3.7010000000000001</v>
      </c>
      <c r="E51">
        <v>3.8420000000000001</v>
      </c>
      <c r="F51">
        <v>2423732</v>
      </c>
      <c r="G51">
        <v>3.8420000000000001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-0.17784256559766642</v>
      </c>
      <c r="Q51">
        <f t="shared" ref="Q51" si="231">F51*P51</f>
        <v>-431042.71720116324</v>
      </c>
      <c r="R51">
        <f t="shared" ref="R51" si="232">R52+Q51</f>
        <v>-214828786.70420063</v>
      </c>
      <c r="S51">
        <f t="shared" ref="S51" si="233">R51/100000</f>
        <v>-2148.2878670420064</v>
      </c>
      <c r="T51">
        <f t="shared" ref="T51" si="234">S51/1000</f>
        <v>-2.1482878670420065</v>
      </c>
    </row>
    <row r="52" spans="1:20" x14ac:dyDescent="0.25">
      <c r="A52" s="5">
        <v>44541</v>
      </c>
      <c r="B52">
        <v>3.5859999999999999</v>
      </c>
      <c r="C52">
        <v>3.6429999999999998</v>
      </c>
      <c r="D52">
        <v>3.52</v>
      </c>
      <c r="E52">
        <v>3.629</v>
      </c>
      <c r="F52">
        <v>135358.39999999999</v>
      </c>
      <c r="G52">
        <v>3.629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0.77235772357723875</v>
      </c>
      <c r="Q52">
        <f t="shared" ref="Q52" si="236">F52*P52</f>
        <v>104545.10569105731</v>
      </c>
      <c r="R52">
        <f t="shared" ref="R52" si="237">R53+Q52</f>
        <v>-214397743.98699945</v>
      </c>
      <c r="S52">
        <f t="shared" ref="S52" si="238">R52/100000</f>
        <v>-2143.9774398699947</v>
      </c>
      <c r="T52">
        <f t="shared" ref="T52" si="239">S52/1000</f>
        <v>-2.1439774398699947</v>
      </c>
    </row>
    <row r="53" spans="1:20" x14ac:dyDescent="0.25">
      <c r="A53" s="5">
        <v>44540</v>
      </c>
      <c r="B53">
        <v>3.7309999999999999</v>
      </c>
      <c r="C53">
        <v>4.0730000000000004</v>
      </c>
      <c r="D53">
        <v>3.5659999999999998</v>
      </c>
      <c r="E53">
        <v>3.5880000000000001</v>
      </c>
      <c r="F53">
        <v>4065702.6</v>
      </c>
      <c r="G53">
        <v>3.5880000000000001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-0.91321499013806617</v>
      </c>
      <c r="Q53">
        <f t="shared" ref="Q53" si="241">F53*P53</f>
        <v>-3712860.55976331</v>
      </c>
      <c r="R53">
        <f t="shared" ref="R53" si="242">R54+Q53</f>
        <v>-214502289.0926905</v>
      </c>
      <c r="S53">
        <f t="shared" ref="S53" si="243">R53/100000</f>
        <v>-2145.0228909269049</v>
      </c>
      <c r="T53">
        <f t="shared" ref="T53" si="244">S53/1000</f>
        <v>-2.1450228909269047</v>
      </c>
    </row>
    <row r="54" spans="1:20" x14ac:dyDescent="0.25">
      <c r="A54" s="5">
        <v>44539</v>
      </c>
      <c r="B54">
        <v>4.2569999999999997</v>
      </c>
      <c r="C54">
        <v>4.4420000000000002</v>
      </c>
      <c r="D54">
        <v>3.7269999999999999</v>
      </c>
      <c r="E54">
        <v>3.7330000000000001</v>
      </c>
      <c r="F54">
        <v>5601729.9000000004</v>
      </c>
      <c r="G54">
        <v>3.7330000000000001</v>
      </c>
      <c r="L54" t="s">
        <v>7</v>
      </c>
      <c r="M54" t="s">
        <v>7</v>
      </c>
      <c r="N54" t="s">
        <v>8</v>
      </c>
      <c r="P54">
        <f t="shared" ref="P54" si="245">IF(C54=D54,0,((E54-D54)-(C54-E54))/(C54-D54))</f>
        <v>-0.98321678321678263</v>
      </c>
      <c r="Q54">
        <f t="shared" ref="Q54" si="246">F54*P54</f>
        <v>-5507714.8527272698</v>
      </c>
      <c r="R54">
        <f t="shared" ref="R54" si="247">R55+Q54</f>
        <v>-210789428.53292719</v>
      </c>
      <c r="S54">
        <f t="shared" ref="S54" si="248">R54/100000</f>
        <v>-2107.894285329272</v>
      </c>
      <c r="T54">
        <f t="shared" ref="T54" si="249">S54/1000</f>
        <v>-2.1078942853292721</v>
      </c>
    </row>
    <row r="55" spans="1:20" x14ac:dyDescent="0.25">
      <c r="A55" s="5">
        <v>44538</v>
      </c>
      <c r="B55">
        <v>3.6459999999999999</v>
      </c>
      <c r="C55">
        <v>4.758</v>
      </c>
      <c r="D55">
        <v>3.4809999999999999</v>
      </c>
      <c r="E55">
        <v>4.258</v>
      </c>
      <c r="F55">
        <v>10607711.5</v>
      </c>
      <c r="G55">
        <v>4.258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0.21691464369616295</v>
      </c>
      <c r="Q55">
        <f t="shared" ref="Q55" si="251">F55*P55</f>
        <v>2300967.9604541901</v>
      </c>
      <c r="R55">
        <f t="shared" ref="R55" si="252">R56+Q55</f>
        <v>-205281713.68019992</v>
      </c>
      <c r="S55">
        <f t="shared" ref="S55" si="253">R55/100000</f>
        <v>-2052.8171368019994</v>
      </c>
      <c r="T55">
        <f t="shared" ref="T55" si="254">S55/1000</f>
        <v>-2.0528171368019992</v>
      </c>
    </row>
    <row r="56" spans="1:20" x14ac:dyDescent="0.25">
      <c r="A56" s="5">
        <v>44537</v>
      </c>
      <c r="B56">
        <v>3.738</v>
      </c>
      <c r="C56">
        <v>3.875</v>
      </c>
      <c r="D56">
        <v>3.5920000000000001</v>
      </c>
      <c r="E56">
        <v>3.6480000000000001</v>
      </c>
      <c r="F56">
        <v>3690332.5</v>
      </c>
      <c r="G56">
        <v>3.6480000000000001</v>
      </c>
      <c r="L56" t="s">
        <v>8</v>
      </c>
      <c r="M56" t="s">
        <v>7</v>
      </c>
      <c r="N56" t="s">
        <v>8</v>
      </c>
      <c r="P56">
        <f t="shared" ref="P56" si="255">IF(C56=D56,0,((E56-D56)-(C56-E56))/(C56-D56))</f>
        <v>-0.60424028268551189</v>
      </c>
      <c r="Q56">
        <f t="shared" ref="Q56" si="256">F56*P56</f>
        <v>-2229847.5530035319</v>
      </c>
      <c r="R56">
        <f t="shared" ref="R56" si="257">R57+Q56</f>
        <v>-207582681.64065412</v>
      </c>
      <c r="S56">
        <f t="shared" ref="S56" si="258">R56/100000</f>
        <v>-2075.8268164065412</v>
      </c>
      <c r="T56">
        <f t="shared" ref="T56" si="259">S56/1000</f>
        <v>-2.0758268164065412</v>
      </c>
    </row>
    <row r="57" spans="1:20" x14ac:dyDescent="0.25">
      <c r="A57" s="5">
        <v>44536</v>
      </c>
      <c r="B57">
        <v>3.7389999999999999</v>
      </c>
      <c r="C57">
        <v>3.847</v>
      </c>
      <c r="D57">
        <v>3.383</v>
      </c>
      <c r="E57">
        <v>3.742</v>
      </c>
      <c r="F57">
        <v>5462477.0999999996</v>
      </c>
      <c r="G57">
        <v>3.742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0.54741379310344829</v>
      </c>
      <c r="Q57">
        <f t="shared" ref="Q57" si="261">F57*P57</f>
        <v>2990235.3090517242</v>
      </c>
      <c r="R57">
        <f t="shared" ref="R57" si="262">R58+Q57</f>
        <v>-205352834.0876506</v>
      </c>
      <c r="S57">
        <f t="shared" ref="S57" si="263">R57/100000</f>
        <v>-2053.5283408765058</v>
      </c>
      <c r="T57">
        <f t="shared" ref="T57" si="264">S57/1000</f>
        <v>-2.0535283408765057</v>
      </c>
    </row>
    <row r="58" spans="1:20" x14ac:dyDescent="0.25">
      <c r="A58" s="5">
        <v>44535</v>
      </c>
      <c r="B58">
        <v>4.0519999999999996</v>
      </c>
      <c r="C58">
        <v>4.2210000000000001</v>
      </c>
      <c r="D58">
        <v>3.6</v>
      </c>
      <c r="E58">
        <v>3.7389999999999999</v>
      </c>
      <c r="F58">
        <v>4984201.0999999996</v>
      </c>
      <c r="G58">
        <v>3.7389999999999999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-0.55233494363929214</v>
      </c>
      <c r="Q58">
        <f t="shared" ref="Q58" si="266">F58*P58</f>
        <v>-2752948.4336553975</v>
      </c>
      <c r="R58">
        <f t="shared" ref="R58" si="267">R59+Q58</f>
        <v>-208343069.39670232</v>
      </c>
      <c r="S58">
        <f t="shared" ref="S58" si="268">R58/100000</f>
        <v>-2083.4306939670232</v>
      </c>
      <c r="T58">
        <f t="shared" ref="T58" si="269">S58/1000</f>
        <v>-2.0834306939670233</v>
      </c>
    </row>
    <row r="59" spans="1:20" x14ac:dyDescent="0.25">
      <c r="A59" s="5">
        <v>44534</v>
      </c>
      <c r="B59">
        <v>4.7220000000000004</v>
      </c>
      <c r="C59">
        <v>4.7430000000000003</v>
      </c>
      <c r="D59">
        <v>3.0790000000000002</v>
      </c>
      <c r="E59">
        <v>4.0549999999999997</v>
      </c>
      <c r="F59">
        <v>9792807.1999999993</v>
      </c>
      <c r="G59">
        <v>4.0549999999999997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0.17307692307692241</v>
      </c>
      <c r="Q59">
        <f t="shared" ref="Q59" si="271">F59*P59</f>
        <v>1694908.9384615317</v>
      </c>
      <c r="R59">
        <f t="shared" ref="R59" si="272">R60+Q59</f>
        <v>-205590120.96304691</v>
      </c>
      <c r="S59">
        <f t="shared" ref="S59" si="273">R59/100000</f>
        <v>-2055.9012096304691</v>
      </c>
      <c r="T59">
        <f t="shared" ref="T59" si="274">S59/1000</f>
        <v>-2.055901209630469</v>
      </c>
    </row>
    <row r="60" spans="1:20" x14ac:dyDescent="0.25">
      <c r="A60" s="5">
        <v>44533</v>
      </c>
      <c r="B60">
        <v>4.9139999999999997</v>
      </c>
      <c r="C60">
        <v>5.1180000000000003</v>
      </c>
      <c r="D60">
        <v>4.556</v>
      </c>
      <c r="E60">
        <v>4.7300000000000004</v>
      </c>
      <c r="F60">
        <v>4176210.3</v>
      </c>
      <c r="G60">
        <v>4.7300000000000004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-0.38078291814946513</v>
      </c>
      <c r="Q60">
        <f t="shared" ref="Q60" si="276">F60*P60</f>
        <v>-1590229.5448398532</v>
      </c>
      <c r="R60">
        <f t="shared" ref="R60" si="277">R61+Q60</f>
        <v>-207285029.90150845</v>
      </c>
      <c r="S60">
        <f t="shared" ref="S60" si="278">R60/100000</f>
        <v>-2072.8502990150846</v>
      </c>
      <c r="T60">
        <f t="shared" ref="T60" si="279">S60/1000</f>
        <v>-2.0728502990150846</v>
      </c>
    </row>
    <row r="61" spans="1:20" x14ac:dyDescent="0.25">
      <c r="A61" s="5">
        <v>44532</v>
      </c>
      <c r="B61">
        <v>4.9160000000000004</v>
      </c>
      <c r="C61">
        <v>5.1109999999999998</v>
      </c>
      <c r="D61">
        <v>4.74</v>
      </c>
      <c r="E61">
        <v>4.9180000000000001</v>
      </c>
      <c r="F61">
        <v>3292061.3</v>
      </c>
      <c r="G61">
        <v>4.9180000000000001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-4.0431266846360371E-2</v>
      </c>
      <c r="Q61">
        <f t="shared" ref="Q61" si="281">F61*P61</f>
        <v>-133102.20889487601</v>
      </c>
      <c r="R61">
        <f t="shared" ref="R61" si="282">R62+Q61</f>
        <v>-205694800.35666859</v>
      </c>
      <c r="S61">
        <f t="shared" ref="S61" si="283">R61/100000</f>
        <v>-2056.9480035666861</v>
      </c>
      <c r="T61">
        <f t="shared" ref="T61" si="284">S61/1000</f>
        <v>-2.0569480035666863</v>
      </c>
    </row>
    <row r="62" spans="1:20" x14ac:dyDescent="0.25">
      <c r="A62" s="5">
        <v>44531</v>
      </c>
      <c r="B62">
        <v>5.16</v>
      </c>
      <c r="C62">
        <v>5.2619999999999996</v>
      </c>
      <c r="D62">
        <v>4.8600000000000003</v>
      </c>
      <c r="E62">
        <v>4.9130000000000003</v>
      </c>
      <c r="F62">
        <v>2465202.6</v>
      </c>
      <c r="G62">
        <v>4.9130000000000003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-0.73631840796019887</v>
      </c>
      <c r="Q62">
        <f t="shared" ref="Q62" si="286">F62*P62</f>
        <v>-1815174.053731343</v>
      </c>
      <c r="R62">
        <f t="shared" ref="R62" si="287">R63+Q62</f>
        <v>-205561698.14777371</v>
      </c>
      <c r="S62">
        <f t="shared" ref="S62" si="288">R62/100000</f>
        <v>-2055.6169814777372</v>
      </c>
      <c r="T62">
        <f t="shared" ref="T62" si="289">S62/1000</f>
        <v>-2.0556169814777374</v>
      </c>
    </row>
    <row r="63" spans="1:20" x14ac:dyDescent="0.25">
      <c r="A63" s="5">
        <v>44530</v>
      </c>
      <c r="B63">
        <v>5.0289999999999999</v>
      </c>
      <c r="C63">
        <v>5.2679999999999998</v>
      </c>
      <c r="D63">
        <v>4.8739999999999997</v>
      </c>
      <c r="E63">
        <v>5.1539999999999999</v>
      </c>
      <c r="F63">
        <v>4172521.7</v>
      </c>
      <c r="G63">
        <v>5.1539999999999999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0.42131979695431554</v>
      </c>
      <c r="Q63">
        <f t="shared" ref="Q63" si="291">F63*P63</f>
        <v>1757965.9954314756</v>
      </c>
      <c r="R63">
        <f t="shared" ref="R63" si="292">R64+Q63</f>
        <v>-203746524.09404236</v>
      </c>
      <c r="S63">
        <f t="shared" ref="S63" si="293">R63/100000</f>
        <v>-2037.4652409404237</v>
      </c>
      <c r="T63">
        <f t="shared" ref="T63" si="294">S63/1000</f>
        <v>-2.0374652409404237</v>
      </c>
    </row>
    <row r="64" spans="1:20" x14ac:dyDescent="0.25">
      <c r="A64" s="5">
        <v>44529</v>
      </c>
      <c r="B64">
        <v>4.8819999999999997</v>
      </c>
      <c r="C64">
        <v>5.1040000000000001</v>
      </c>
      <c r="D64">
        <v>4.8310000000000004</v>
      </c>
      <c r="E64">
        <v>5.03</v>
      </c>
      <c r="F64">
        <v>2825290.5</v>
      </c>
      <c r="G64">
        <v>5.03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0.45787545787545841</v>
      </c>
      <c r="Q64">
        <f t="shared" ref="Q64" si="296">F64*P64</f>
        <v>1293631.1813186829</v>
      </c>
      <c r="R64">
        <f t="shared" ref="R64" si="297">R65+Q64</f>
        <v>-205504490.08947384</v>
      </c>
      <c r="S64">
        <f t="shared" ref="S64" si="298">R64/100000</f>
        <v>-2055.0449008947385</v>
      </c>
      <c r="T64">
        <f t="shared" ref="T64" si="299">S64/1000</f>
        <v>-2.0550449008947385</v>
      </c>
    </row>
    <row r="65" spans="1:20" x14ac:dyDescent="0.25">
      <c r="A65" s="5">
        <v>44528</v>
      </c>
      <c r="B65">
        <v>4.8380000000000001</v>
      </c>
      <c r="C65">
        <v>4.8920000000000003</v>
      </c>
      <c r="D65">
        <v>4.4859999999999998</v>
      </c>
      <c r="E65">
        <v>4.8840000000000003</v>
      </c>
      <c r="F65">
        <v>3658081.8</v>
      </c>
      <c r="G65">
        <v>4.8840000000000003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0.96059113300492616</v>
      </c>
      <c r="Q65">
        <f t="shared" ref="Q65" si="301">F65*P65</f>
        <v>3513920.9408866996</v>
      </c>
      <c r="R65">
        <f t="shared" ref="R65" si="302">R66+Q65</f>
        <v>-206798121.27079251</v>
      </c>
      <c r="S65">
        <f t="shared" ref="S65" si="303">R65/100000</f>
        <v>-2067.9812127079254</v>
      </c>
      <c r="T65">
        <f t="shared" ref="T65" si="304">S65/1000</f>
        <v>-2.0679812127079256</v>
      </c>
    </row>
    <row r="66" spans="1:20" x14ac:dyDescent="0.25">
      <c r="A66" s="5">
        <v>44527</v>
      </c>
      <c r="B66">
        <v>4.7160000000000002</v>
      </c>
      <c r="C66">
        <v>5.0430000000000001</v>
      </c>
      <c r="D66">
        <v>4.6920000000000002</v>
      </c>
      <c r="E66">
        <v>4.8419999999999996</v>
      </c>
      <c r="F66">
        <v>3539399.6</v>
      </c>
      <c r="G66">
        <v>4.8419999999999996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-0.14529914529914828</v>
      </c>
      <c r="Q66">
        <f t="shared" ref="Q66" si="306">F66*P66</f>
        <v>-514271.73675214732</v>
      </c>
      <c r="R66">
        <f t="shared" ref="R66" si="307">R67+Q66</f>
        <v>-210312042.21167922</v>
      </c>
      <c r="S66">
        <f t="shared" ref="S66" si="308">R66/100000</f>
        <v>-2103.1204221167923</v>
      </c>
      <c r="T66">
        <f t="shared" ref="T66" si="309">S66/1000</f>
        <v>-2.1031204221167923</v>
      </c>
    </row>
    <row r="67" spans="1:20" x14ac:dyDescent="0.25">
      <c r="A67" s="5">
        <v>44526</v>
      </c>
      <c r="B67">
        <v>5.282</v>
      </c>
      <c r="C67">
        <v>5.7</v>
      </c>
      <c r="D67">
        <v>4.6520000000000001</v>
      </c>
      <c r="E67">
        <v>4.7160000000000002</v>
      </c>
      <c r="F67">
        <v>9849006.6999999993</v>
      </c>
      <c r="G67">
        <v>4.7160000000000002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-0.87786259541984724</v>
      </c>
      <c r="Q67">
        <f t="shared" ref="Q67" si="311">F67*P67</f>
        <v>-8646074.5839694645</v>
      </c>
      <c r="R67">
        <f t="shared" ref="R67" si="312">R68+Q67</f>
        <v>-209797770.47492707</v>
      </c>
      <c r="S67">
        <f t="shared" ref="S67" si="313">R67/100000</f>
        <v>-2097.9777047492707</v>
      </c>
      <c r="T67">
        <f t="shared" ref="T67" si="314">S67/1000</f>
        <v>-2.0979777047492707</v>
      </c>
    </row>
    <row r="68" spans="1:20" x14ac:dyDescent="0.25">
      <c r="A68" s="5">
        <v>44525</v>
      </c>
      <c r="B68">
        <v>5.2309999999999999</v>
      </c>
      <c r="C68">
        <v>5.47</v>
      </c>
      <c r="D68">
        <v>5.133</v>
      </c>
      <c r="E68">
        <v>5.2809999999999997</v>
      </c>
      <c r="F68">
        <v>2891652.6</v>
      </c>
      <c r="G68">
        <v>5.2809999999999997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-0.12166172106825045</v>
      </c>
      <c r="Q68">
        <f t="shared" ref="Q68" si="316">F68*P68</f>
        <v>-351803.43204748118</v>
      </c>
      <c r="R68">
        <f t="shared" ref="R68" si="317">R69+Q68</f>
        <v>-201151695.89095759</v>
      </c>
      <c r="S68">
        <f t="shared" ref="S68" si="318">R68/100000</f>
        <v>-2011.516958909576</v>
      </c>
      <c r="T68">
        <f t="shared" ref="T68" si="319">S68/1000</f>
        <v>-2.011516958909576</v>
      </c>
    </row>
    <row r="69" spans="1:20" x14ac:dyDescent="0.25">
      <c r="A69" s="5">
        <v>44524</v>
      </c>
      <c r="B69">
        <v>5.4009999999999998</v>
      </c>
      <c r="C69">
        <v>5.4539999999999997</v>
      </c>
      <c r="D69">
        <v>5.242</v>
      </c>
      <c r="E69">
        <v>5.29</v>
      </c>
      <c r="F69">
        <v>1284229.3999999999</v>
      </c>
      <c r="G69">
        <v>5.29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-0.54716981132075382</v>
      </c>
      <c r="Q69">
        <f t="shared" ref="Q69" si="321">F69*P69</f>
        <v>-702691.55849056481</v>
      </c>
      <c r="R69">
        <f t="shared" ref="R69" si="322">R70+Q69</f>
        <v>-200799892.45891011</v>
      </c>
      <c r="S69">
        <f t="shared" ref="S69" si="323">R69/100000</f>
        <v>-2007.9989245891011</v>
      </c>
      <c r="T69">
        <f t="shared" ref="T69" si="324">S69/1000</f>
        <v>-2.007998924589101</v>
      </c>
    </row>
    <row r="70" spans="1:20" x14ac:dyDescent="0.25">
      <c r="A70" s="5">
        <v>44523</v>
      </c>
      <c r="B70">
        <v>5.452</v>
      </c>
      <c r="C70">
        <v>5.5640000000000001</v>
      </c>
      <c r="D70">
        <v>5.1920000000000002</v>
      </c>
      <c r="E70">
        <v>5.4</v>
      </c>
      <c r="F70">
        <v>5739433.7999999998</v>
      </c>
      <c r="G70">
        <v>5.4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0.11827956989247446</v>
      </c>
      <c r="Q70">
        <f t="shared" ref="Q70" si="326">F70*P70</f>
        <v>678857.76129033021</v>
      </c>
      <c r="R70">
        <f t="shared" ref="R70" si="327">R71+Q70</f>
        <v>-200097200.90041953</v>
      </c>
      <c r="S70">
        <f t="shared" ref="S70" si="328">R70/100000</f>
        <v>-2000.9720090041953</v>
      </c>
      <c r="T70">
        <f t="shared" ref="T70" si="329">S70/1000</f>
        <v>-2.0009720090041951</v>
      </c>
    </row>
    <row r="71" spans="1:20" x14ac:dyDescent="0.25">
      <c r="A71" s="5">
        <v>44522</v>
      </c>
      <c r="B71">
        <v>5.798</v>
      </c>
      <c r="C71">
        <v>6.2190000000000003</v>
      </c>
      <c r="D71">
        <v>5.4279999999999999</v>
      </c>
      <c r="E71">
        <v>5.4450000000000003</v>
      </c>
      <c r="F71">
        <v>6152598.5999999996</v>
      </c>
      <c r="G71">
        <v>5.4450000000000003</v>
      </c>
      <c r="L71" t="s">
        <v>7</v>
      </c>
      <c r="M71" t="s">
        <v>8</v>
      </c>
      <c r="N71" t="s">
        <v>7</v>
      </c>
      <c r="P71">
        <f t="shared" ref="P71" si="330">IF(C71=D71,0,((E71-D71)-(C71-E71))/(C71-D71))</f>
        <v>-0.95701643489254018</v>
      </c>
      <c r="Q71">
        <f t="shared" ref="Q71" si="331">F71*P71</f>
        <v>-5888137.9774968335</v>
      </c>
      <c r="R71">
        <f t="shared" ref="R71" si="332">R72+Q71</f>
        <v>-200776058.66170987</v>
      </c>
      <c r="S71">
        <f t="shared" ref="S71" si="333">R71/100000</f>
        <v>-2007.7605866170989</v>
      </c>
      <c r="T71">
        <f t="shared" ref="T71" si="334">S71/1000</f>
        <v>-2.0077605866170987</v>
      </c>
    </row>
    <row r="72" spans="1:20" x14ac:dyDescent="0.25">
      <c r="A72" s="5">
        <v>44521</v>
      </c>
      <c r="B72">
        <v>5.4029999999999996</v>
      </c>
      <c r="C72">
        <v>6.22</v>
      </c>
      <c r="D72">
        <v>5.3710000000000004</v>
      </c>
      <c r="E72">
        <v>5.7880000000000003</v>
      </c>
      <c r="F72">
        <v>5302221.9000000004</v>
      </c>
      <c r="G72">
        <v>5.7880000000000003</v>
      </c>
      <c r="L72" t="s">
        <v>8</v>
      </c>
      <c r="M72" t="s">
        <v>8</v>
      </c>
      <c r="N72" t="s">
        <v>7</v>
      </c>
      <c r="P72">
        <f t="shared" ref="P72" si="335">IF(C72=D72,0,((E72-D72)-(C72-E72))/(C72-D72))</f>
        <v>-1.7667844522967834E-2</v>
      </c>
      <c r="Q72">
        <f t="shared" ref="Q72" si="336">F72*P72</f>
        <v>-93678.832155475116</v>
      </c>
      <c r="R72">
        <f t="shared" ref="R72" si="337">R73+Q72</f>
        <v>-194887920.68421304</v>
      </c>
      <c r="S72">
        <f t="shared" ref="S72" si="338">R72/100000</f>
        <v>-1948.8792068421303</v>
      </c>
      <c r="T72">
        <f t="shared" ref="T72" si="339">S72/1000</f>
        <v>-1.9488792068421303</v>
      </c>
    </row>
    <row r="73" spans="1:20" x14ac:dyDescent="0.25">
      <c r="A73" s="5">
        <v>44520</v>
      </c>
      <c r="B73">
        <v>5.2839999999999998</v>
      </c>
      <c r="C73">
        <v>5.4870000000000001</v>
      </c>
      <c r="D73">
        <v>5.18</v>
      </c>
      <c r="E73">
        <v>5.4050000000000002</v>
      </c>
      <c r="F73">
        <v>2151502.7000000002</v>
      </c>
      <c r="G73">
        <v>5.4050000000000002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0.46579804560260751</v>
      </c>
      <c r="Q73">
        <f t="shared" ref="Q73" si="341">F73*P73</f>
        <v>1002165.7527687333</v>
      </c>
      <c r="R73">
        <f t="shared" ref="R73" si="342">R74+Q73</f>
        <v>-194794241.85205758</v>
      </c>
      <c r="S73">
        <f t="shared" ref="S73" si="343">R73/100000</f>
        <v>-1947.9424185205758</v>
      </c>
      <c r="T73">
        <f t="shared" ref="T73" si="344">S73/1000</f>
        <v>-1.9479424185205758</v>
      </c>
    </row>
    <row r="74" spans="1:20" x14ac:dyDescent="0.25">
      <c r="A74" s="5">
        <v>44519</v>
      </c>
      <c r="B74">
        <v>5.0039999999999996</v>
      </c>
      <c r="C74">
        <v>5.4580000000000002</v>
      </c>
      <c r="D74">
        <v>4.9690000000000003</v>
      </c>
      <c r="E74">
        <v>5.2839999999999998</v>
      </c>
      <c r="F74">
        <v>2678315.7000000002</v>
      </c>
      <c r="G74">
        <v>5.2839999999999998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0.28834355828220687</v>
      </c>
      <c r="Q74">
        <f t="shared" ref="Q74" si="346">F74*P74</f>
        <v>772275.0791410997</v>
      </c>
      <c r="R74">
        <f t="shared" ref="R74" si="347">R75+Q74</f>
        <v>-195796407.6048263</v>
      </c>
      <c r="S74">
        <f t="shared" ref="S74" si="348">R74/100000</f>
        <v>-1957.964076048263</v>
      </c>
      <c r="T74">
        <f t="shared" ref="T74" si="349">S74/1000</f>
        <v>-1.9579640760482631</v>
      </c>
    </row>
    <row r="75" spans="1:20" x14ac:dyDescent="0.25">
      <c r="A75" s="5">
        <v>44518</v>
      </c>
      <c r="B75">
        <v>5.1459999999999999</v>
      </c>
      <c r="C75">
        <v>5.4809999999999999</v>
      </c>
      <c r="D75">
        <v>4.8109999999999999</v>
      </c>
      <c r="E75">
        <v>5.0039999999999996</v>
      </c>
      <c r="F75">
        <v>5277538</v>
      </c>
      <c r="G75">
        <v>5.0039999999999996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-0.42388059701492647</v>
      </c>
      <c r="Q75">
        <f t="shared" ref="Q75" si="351">F75*P75</f>
        <v>-2237045.9582089609</v>
      </c>
      <c r="R75">
        <f t="shared" ref="R75" si="352">R76+Q75</f>
        <v>-196568682.68396741</v>
      </c>
      <c r="S75">
        <f t="shared" ref="S75" si="353">R75/100000</f>
        <v>-1965.686826839674</v>
      </c>
      <c r="T75">
        <f t="shared" ref="T75" si="354">S75/1000</f>
        <v>-1.9656868268396741</v>
      </c>
    </row>
    <row r="76" spans="1:20" x14ac:dyDescent="0.25">
      <c r="A76" s="5">
        <v>44517</v>
      </c>
      <c r="B76">
        <v>5.1660000000000004</v>
      </c>
      <c r="C76">
        <v>5.2480000000000002</v>
      </c>
      <c r="D76">
        <v>4.9729999999999999</v>
      </c>
      <c r="E76">
        <v>5.1440000000000001</v>
      </c>
      <c r="F76">
        <v>2430732.7999999998</v>
      </c>
      <c r="G76">
        <v>5.1440000000000001</v>
      </c>
      <c r="L76" t="s">
        <v>7</v>
      </c>
      <c r="M76" t="s">
        <v>7</v>
      </c>
      <c r="N76" t="s">
        <v>7</v>
      </c>
      <c r="P76">
        <f t="shared" ref="P76" si="355">IF(C76=D76,0,((E76-D76)-(C76-E76))/(C76-D76))</f>
        <v>0.24363636363636393</v>
      </c>
      <c r="Q76">
        <f t="shared" ref="Q76" si="356">F76*P76</f>
        <v>592214.90036363702</v>
      </c>
      <c r="R76">
        <f t="shared" ref="R76" si="357">R77+Q76</f>
        <v>-194331636.72575846</v>
      </c>
      <c r="S76">
        <f t="shared" ref="S76" si="358">R76/100000</f>
        <v>-1943.3163672575847</v>
      </c>
      <c r="T76">
        <f t="shared" ref="T76" si="359">S76/1000</f>
        <v>-1.9433163672575846</v>
      </c>
    </row>
    <row r="77" spans="1:20" x14ac:dyDescent="0.25">
      <c r="A77" s="5">
        <v>44516</v>
      </c>
      <c r="B77">
        <v>5.6289999999999996</v>
      </c>
      <c r="C77">
        <v>5.6289999999999996</v>
      </c>
      <c r="D77">
        <v>4.8890000000000002</v>
      </c>
      <c r="E77">
        <v>5.1710000000000003</v>
      </c>
      <c r="F77">
        <v>5188695.8</v>
      </c>
      <c r="G77">
        <v>5.1710000000000003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-0.23783783783783707</v>
      </c>
      <c r="Q77">
        <f t="shared" ref="Q77" si="361">F77*P77</f>
        <v>-1234068.1902702663</v>
      </c>
      <c r="R77">
        <f t="shared" ref="R77" si="362">R78+Q77</f>
        <v>-194923851.62612209</v>
      </c>
      <c r="S77">
        <f t="shared" ref="S77" si="363">R77/100000</f>
        <v>-1949.2385162612209</v>
      </c>
      <c r="T77">
        <f t="shared" ref="T77" si="364">S77/1000</f>
        <v>-1.9492385162612209</v>
      </c>
    </row>
    <row r="78" spans="1:20" x14ac:dyDescent="0.25">
      <c r="A78" s="5">
        <v>44515</v>
      </c>
      <c r="B78">
        <v>5.8230000000000004</v>
      </c>
      <c r="C78">
        <v>5.8789999999999996</v>
      </c>
      <c r="D78">
        <v>5.5449999999999999</v>
      </c>
      <c r="E78">
        <v>5.6289999999999996</v>
      </c>
      <c r="F78">
        <v>2436262.2999999998</v>
      </c>
      <c r="G78">
        <v>5.6289999999999996</v>
      </c>
      <c r="L78" t="s">
        <v>7</v>
      </c>
      <c r="M78" t="s">
        <v>7</v>
      </c>
      <c r="N78" t="s">
        <v>7</v>
      </c>
      <c r="P78">
        <f t="shared" ref="P78" si="365">IF(C78=D78,0,((E78-D78)-(C78-E78))/(C78-D78))</f>
        <v>-0.49700598802395374</v>
      </c>
      <c r="Q78">
        <f t="shared" ref="Q78" si="366">F78*P78</f>
        <v>-1210836.95149701</v>
      </c>
      <c r="R78">
        <f t="shared" ref="R78" si="367">R79+Q78</f>
        <v>-193689783.43585181</v>
      </c>
      <c r="S78">
        <f t="shared" ref="S78" si="368">R78/100000</f>
        <v>-1936.8978343585181</v>
      </c>
      <c r="T78">
        <f t="shared" ref="T78" si="369">S78/1000</f>
        <v>-1.9368978343585181</v>
      </c>
    </row>
    <row r="79" spans="1:20" x14ac:dyDescent="0.25">
      <c r="A79" s="5">
        <v>44514</v>
      </c>
      <c r="B79">
        <v>5.8380000000000001</v>
      </c>
      <c r="C79">
        <v>5.9429999999999996</v>
      </c>
      <c r="D79">
        <v>5.7080000000000002</v>
      </c>
      <c r="E79">
        <v>5.827</v>
      </c>
      <c r="F79">
        <v>1828160.5</v>
      </c>
      <c r="G79">
        <v>5.827</v>
      </c>
      <c r="L79" t="s">
        <v>7</v>
      </c>
      <c r="M79" t="s">
        <v>7</v>
      </c>
      <c r="N79" t="s">
        <v>7</v>
      </c>
      <c r="P79">
        <f t="shared" ref="P79" si="370">IF(C79=D79,0,((E79-D79)-(C79-E79))/(C79-D79))</f>
        <v>1.2765957446809025E-2</v>
      </c>
      <c r="Q79">
        <f t="shared" ref="Q79" si="371">F79*P79</f>
        <v>23338.219148937111</v>
      </c>
      <c r="R79">
        <f t="shared" ref="R79" si="372">R80+Q79</f>
        <v>-192478946.48435479</v>
      </c>
      <c r="S79">
        <f t="shared" ref="S79" si="373">R79/100000</f>
        <v>-1924.7894648435479</v>
      </c>
      <c r="T79">
        <f t="shared" ref="T79" si="374">S79/1000</f>
        <v>-1.924789464843548</v>
      </c>
    </row>
    <row r="80" spans="1:20" x14ac:dyDescent="0.25">
      <c r="A80" s="5">
        <v>44513</v>
      </c>
      <c r="B80">
        <v>5.8769999999999998</v>
      </c>
      <c r="C80">
        <v>5.92</v>
      </c>
      <c r="D80">
        <v>5.7409999999999997</v>
      </c>
      <c r="E80">
        <v>5.8440000000000003</v>
      </c>
      <c r="F80">
        <v>1992994.8</v>
      </c>
      <c r="G80">
        <v>5.8440000000000003</v>
      </c>
      <c r="L80" t="s">
        <v>7</v>
      </c>
      <c r="M80" t="s">
        <v>7</v>
      </c>
      <c r="N80" t="s">
        <v>7</v>
      </c>
      <c r="P80">
        <f t="shared" ref="P80" si="375">IF(C80=D80,0,((E80-D80)-(C80-E80))/(C80-D80))</f>
        <v>0.15083798882682112</v>
      </c>
      <c r="Q80">
        <f t="shared" ref="Q80" si="376">F80*P80</f>
        <v>300619.32737431262</v>
      </c>
      <c r="R80">
        <f t="shared" ref="R80" si="377">R81+Q80</f>
        <v>-192502284.70350373</v>
      </c>
      <c r="S80">
        <f t="shared" ref="S80" si="378">R80/100000</f>
        <v>-1925.0228470350373</v>
      </c>
      <c r="T80">
        <f t="shared" ref="T80" si="379">S80/1000</f>
        <v>-1.9250228470350372</v>
      </c>
    </row>
    <row r="81" spans="1:20" x14ac:dyDescent="0.25">
      <c r="A81" s="5">
        <v>44512</v>
      </c>
      <c r="B81">
        <v>6.0720000000000001</v>
      </c>
      <c r="C81">
        <v>6.14</v>
      </c>
      <c r="D81">
        <v>5.7110000000000003</v>
      </c>
      <c r="E81">
        <v>5.8810000000000002</v>
      </c>
      <c r="F81">
        <v>3489703.8</v>
      </c>
      <c r="G81">
        <v>5.8810000000000002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-0.20745920745920665</v>
      </c>
      <c r="Q81">
        <f t="shared" ref="Q81" si="381">F81*P81</f>
        <v>-723971.18461538176</v>
      </c>
      <c r="R81">
        <f t="shared" ref="R81" si="382">R82+Q81</f>
        <v>-192802904.03087804</v>
      </c>
      <c r="S81">
        <f t="shared" ref="S81" si="383">R81/100000</f>
        <v>-1928.0290403087804</v>
      </c>
      <c r="T81">
        <f t="shared" ref="T81" si="384">S81/1000</f>
        <v>-1.9280290403087803</v>
      </c>
    </row>
    <row r="82" spans="1:20" x14ac:dyDescent="0.25">
      <c r="A82" s="5">
        <v>44511</v>
      </c>
      <c r="B82">
        <v>6.1109999999999998</v>
      </c>
      <c r="C82">
        <v>6.2320000000000002</v>
      </c>
      <c r="D82">
        <v>5.992</v>
      </c>
      <c r="E82">
        <v>6.08</v>
      </c>
      <c r="F82">
        <v>2711904.2</v>
      </c>
      <c r="G82">
        <v>6.08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-0.26666666666666666</v>
      </c>
      <c r="Q82">
        <f t="shared" ref="Q82" si="386">F82*P82</f>
        <v>-723174.45333333337</v>
      </c>
      <c r="R82">
        <f t="shared" ref="R82" si="387">R83+Q82</f>
        <v>-192078932.84626266</v>
      </c>
      <c r="S82">
        <f t="shared" ref="S82" si="388">R82/100000</f>
        <v>-1920.7893284626266</v>
      </c>
      <c r="T82">
        <f t="shared" ref="T82" si="389">S82/1000</f>
        <v>-1.9207893284626265</v>
      </c>
    </row>
    <row r="83" spans="1:20" x14ac:dyDescent="0.25">
      <c r="A83" s="5">
        <v>44510</v>
      </c>
      <c r="B83">
        <v>6.6230000000000002</v>
      </c>
      <c r="C83">
        <v>6.7320000000000002</v>
      </c>
      <c r="D83">
        <v>5.4089999999999998</v>
      </c>
      <c r="E83">
        <v>6.1159999999999997</v>
      </c>
      <c r="F83">
        <v>5846480.5</v>
      </c>
      <c r="G83">
        <v>6.1159999999999997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6.8783068783068238E-2</v>
      </c>
      <c r="Q83">
        <f t="shared" ref="Q83" si="391">F83*P83</f>
        <v>402138.87037036719</v>
      </c>
      <c r="R83">
        <f t="shared" ref="R83" si="392">R84+Q83</f>
        <v>-191355758.39292932</v>
      </c>
      <c r="S83">
        <f t="shared" ref="S83" si="393">R83/100000</f>
        <v>-1913.5575839292931</v>
      </c>
      <c r="T83">
        <f t="shared" ref="T83" si="394">S83/1000</f>
        <v>-1.9135575839292931</v>
      </c>
    </row>
    <row r="84" spans="1:20" x14ac:dyDescent="0.25">
      <c r="A84" s="5">
        <v>44509</v>
      </c>
      <c r="B84">
        <v>6.4340000000000002</v>
      </c>
      <c r="C84">
        <v>6.7759999999999998</v>
      </c>
      <c r="D84">
        <v>6.3659999999999997</v>
      </c>
      <c r="E84">
        <v>6.6139999999999999</v>
      </c>
      <c r="F84">
        <v>4058826.1</v>
      </c>
      <c r="G84">
        <v>6.6139999999999999</v>
      </c>
      <c r="L84" t="s">
        <v>8</v>
      </c>
      <c r="M84" t="s">
        <v>7</v>
      </c>
      <c r="N84" t="s">
        <v>8</v>
      </c>
      <c r="P84">
        <f t="shared" ref="P84" si="395">IF(C84=D84,0,((E84-D84)-(C84-E84))/(C84-D84))</f>
        <v>0.20975609756097627</v>
      </c>
      <c r="Q84">
        <f t="shared" ref="Q84" si="396">F84*P84</f>
        <v>851363.52341463685</v>
      </c>
      <c r="R84">
        <f t="shared" ref="R84" si="397">R85+Q84</f>
        <v>-191757897.26329967</v>
      </c>
      <c r="S84">
        <f t="shared" ref="S84" si="398">R84/100000</f>
        <v>-1917.5789726329967</v>
      </c>
      <c r="T84">
        <f t="shared" ref="T84" si="399">S84/1000</f>
        <v>-1.9175789726329968</v>
      </c>
    </row>
    <row r="85" spans="1:20" x14ac:dyDescent="0.25">
      <c r="A85" s="5">
        <v>44508</v>
      </c>
      <c r="B85">
        <v>6.3380000000000001</v>
      </c>
      <c r="C85">
        <v>6.4889999999999999</v>
      </c>
      <c r="D85">
        <v>6.1989999999999998</v>
      </c>
      <c r="E85">
        <v>6.4340000000000002</v>
      </c>
      <c r="F85">
        <v>2647569.9</v>
      </c>
      <c r="G85">
        <v>6.4340000000000002</v>
      </c>
      <c r="L85" t="s">
        <v>8</v>
      </c>
      <c r="M85" t="s">
        <v>7</v>
      </c>
      <c r="N85" t="s">
        <v>8</v>
      </c>
      <c r="P85">
        <f t="shared" ref="P85" si="400">IF(C85=D85,0,((E85-D85)-(C85-E85))/(C85-D85))</f>
        <v>0.62068965517241581</v>
      </c>
      <c r="Q85">
        <f t="shared" ref="Q85" si="401">F85*P85</f>
        <v>1643319.2482758674</v>
      </c>
      <c r="R85">
        <f t="shared" ref="R85" si="402">R86+Q85</f>
        <v>-192609260.78671432</v>
      </c>
      <c r="S85">
        <f t="shared" ref="S85" si="403">R85/100000</f>
        <v>-1926.0926078671432</v>
      </c>
      <c r="T85">
        <f t="shared" ref="T85" si="404">S85/1000</f>
        <v>-1.9260926078671432</v>
      </c>
    </row>
    <row r="86" spans="1:20" x14ac:dyDescent="0.25">
      <c r="A86" s="5">
        <v>44507</v>
      </c>
      <c r="B86">
        <v>6.3390000000000004</v>
      </c>
      <c r="C86">
        <v>6.45</v>
      </c>
      <c r="D86">
        <v>6.2</v>
      </c>
      <c r="E86">
        <v>6.3380000000000001</v>
      </c>
      <c r="F86">
        <v>1955282.5</v>
      </c>
      <c r="G86">
        <v>6.3380000000000001</v>
      </c>
      <c r="L86" t="s">
        <v>8</v>
      </c>
      <c r="M86" t="s">
        <v>7</v>
      </c>
      <c r="N86" t="s">
        <v>8</v>
      </c>
      <c r="P86">
        <f t="shared" ref="P86" si="405">IF(C86=D86,0,((E86-D86)-(C86-E86))/(C86-D86))</f>
        <v>0.1039999999999992</v>
      </c>
      <c r="Q86">
        <f t="shared" ref="Q86" si="406">F86*P86</f>
        <v>203349.37999999843</v>
      </c>
      <c r="R86">
        <f t="shared" ref="R86" si="407">R87+Q86</f>
        <v>-194252580.03499019</v>
      </c>
      <c r="S86">
        <f t="shared" ref="S86" si="408">R86/100000</f>
        <v>-1942.5258003499018</v>
      </c>
      <c r="T86">
        <f t="shared" ref="T86" si="409">S86/1000</f>
        <v>-1.9425258003499017</v>
      </c>
    </row>
    <row r="87" spans="1:20" x14ac:dyDescent="0.25">
      <c r="A87" s="5">
        <v>44506</v>
      </c>
      <c r="B87">
        <v>6.2839999999999998</v>
      </c>
      <c r="C87">
        <v>6.5049999999999999</v>
      </c>
      <c r="D87">
        <v>6.05</v>
      </c>
      <c r="E87">
        <v>6.3419999999999996</v>
      </c>
      <c r="F87">
        <v>2246024.4</v>
      </c>
      <c r="G87">
        <v>6.3419999999999996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0.28351648351648251</v>
      </c>
      <c r="Q87">
        <f t="shared" ref="Q87" si="411">F87*P87</f>
        <v>636784.93978021748</v>
      </c>
      <c r="R87">
        <f t="shared" ref="R87" si="412">R88+Q87</f>
        <v>-194455929.41499019</v>
      </c>
      <c r="S87">
        <f t="shared" ref="S87" si="413">R87/100000</f>
        <v>-1944.5592941499019</v>
      </c>
      <c r="T87">
        <f t="shared" ref="T87" si="414">S87/1000</f>
        <v>-1.9445592941499019</v>
      </c>
    </row>
    <row r="88" spans="1:20" x14ac:dyDescent="0.25">
      <c r="A88" s="5">
        <v>44505</v>
      </c>
      <c r="B88">
        <v>6.3460000000000001</v>
      </c>
      <c r="C88">
        <v>6.4530000000000003</v>
      </c>
      <c r="D88">
        <v>6.2439999999999998</v>
      </c>
      <c r="E88">
        <v>6.2869999999999999</v>
      </c>
      <c r="F88">
        <v>2553821.2999999998</v>
      </c>
      <c r="G88">
        <v>6.2869999999999999</v>
      </c>
      <c r="L88" t="s">
        <v>7</v>
      </c>
      <c r="M88" t="s">
        <v>7</v>
      </c>
      <c r="N88" t="s">
        <v>8</v>
      </c>
      <c r="P88">
        <f t="shared" ref="P88" si="415">IF(C88=D88,0,((E88-D88)-(C88-E88))/(C88-D88))</f>
        <v>-0.58851674641148288</v>
      </c>
      <c r="Q88">
        <f t="shared" ref="Q88" si="416">F88*P88</f>
        <v>-1502966.6023923433</v>
      </c>
      <c r="R88">
        <f t="shared" ref="R88" si="417">R89+Q88</f>
        <v>-195092714.35477039</v>
      </c>
      <c r="S88">
        <f t="shared" ref="S88" si="418">R88/100000</f>
        <v>-1950.927143547704</v>
      </c>
      <c r="T88">
        <f t="shared" ref="T88" si="419">S88/1000</f>
        <v>-1.950927143547704</v>
      </c>
    </row>
    <row r="89" spans="1:20" x14ac:dyDescent="0.25">
      <c r="A89" s="5">
        <v>44504</v>
      </c>
      <c r="B89">
        <v>6.4619999999999997</v>
      </c>
      <c r="C89">
        <v>6.7480000000000002</v>
      </c>
      <c r="D89">
        <v>6.2370000000000001</v>
      </c>
      <c r="E89">
        <v>6.3440000000000003</v>
      </c>
      <c r="F89">
        <v>3703608.1</v>
      </c>
      <c r="G89">
        <v>6.3440000000000003</v>
      </c>
      <c r="L89" t="s">
        <v>8</v>
      </c>
      <c r="M89" t="s">
        <v>7</v>
      </c>
      <c r="N89" t="s">
        <v>8</v>
      </c>
      <c r="P89">
        <f t="shared" ref="P89" si="420">IF(C89=D89,0,((E89-D89)-(C89-E89))/(C89-D89))</f>
        <v>-0.58121330724070375</v>
      </c>
      <c r="Q89">
        <f t="shared" ref="Q89" si="421">F89*P89</f>
        <v>-2152586.3125244593</v>
      </c>
      <c r="R89">
        <f t="shared" ref="R89" si="422">R90+Q89</f>
        <v>-193589747.75237805</v>
      </c>
      <c r="S89">
        <f t="shared" ref="S89" si="423">R89/100000</f>
        <v>-1935.8974775237805</v>
      </c>
      <c r="T89">
        <f t="shared" ref="T89" si="424">S89/1000</f>
        <v>-1.9358974775237805</v>
      </c>
    </row>
    <row r="90" spans="1:20" x14ac:dyDescent="0.25">
      <c r="A90" s="5">
        <v>44503</v>
      </c>
      <c r="B90">
        <v>6.29</v>
      </c>
      <c r="C90">
        <v>6.6269999999999998</v>
      </c>
      <c r="D90">
        <v>6.2210000000000001</v>
      </c>
      <c r="E90">
        <v>6.4630000000000001</v>
      </c>
      <c r="F90">
        <v>3748327.5</v>
      </c>
      <c r="G90">
        <v>6.4630000000000001</v>
      </c>
      <c r="L90" t="s">
        <v>8</v>
      </c>
      <c r="M90" t="s">
        <v>7</v>
      </c>
      <c r="N90" t="s">
        <v>8</v>
      </c>
      <c r="P90">
        <f t="shared" ref="P90" si="425">IF(C90=D90,0,((E90-D90)-(C90-E90))/(C90-D90))</f>
        <v>0.1921182266009861</v>
      </c>
      <c r="Q90">
        <f t="shared" ref="Q90" si="426">F90*P90</f>
        <v>720122.03201970772</v>
      </c>
      <c r="R90">
        <f t="shared" ref="R90" si="427">R91+Q90</f>
        <v>-191437161.43985358</v>
      </c>
      <c r="S90">
        <f t="shared" ref="S90" si="428">R90/100000</f>
        <v>-1914.3716143985357</v>
      </c>
      <c r="T90">
        <f t="shared" ref="T90" si="429">S90/1000</f>
        <v>-1.9143716143985356</v>
      </c>
    </row>
    <row r="91" spans="1:20" x14ac:dyDescent="0.25">
      <c r="A91" s="5">
        <v>44502</v>
      </c>
      <c r="B91">
        <v>6.2889999999999997</v>
      </c>
      <c r="C91">
        <v>6.4530000000000003</v>
      </c>
      <c r="D91">
        <v>6.1920000000000002</v>
      </c>
      <c r="E91">
        <v>6.29</v>
      </c>
      <c r="F91">
        <v>3056829.9</v>
      </c>
      <c r="G91">
        <v>6.29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-0.24904214559387111</v>
      </c>
      <c r="Q91">
        <f t="shared" ref="Q91" si="431">F91*P91</f>
        <v>-761279.47701149841</v>
      </c>
      <c r="R91">
        <f t="shared" ref="R91" si="432">R92+Q91</f>
        <v>-192157283.47187328</v>
      </c>
      <c r="S91">
        <f t="shared" ref="S91" si="433">R91/100000</f>
        <v>-1921.5728347187328</v>
      </c>
      <c r="T91">
        <f t="shared" ref="T91" si="434">S91/1000</f>
        <v>-1.9215728347187329</v>
      </c>
    </row>
    <row r="92" spans="1:20" x14ac:dyDescent="0.25">
      <c r="A92" s="5">
        <v>44501</v>
      </c>
      <c r="B92">
        <v>6.2329999999999997</v>
      </c>
      <c r="C92">
        <v>6.5419999999999998</v>
      </c>
      <c r="D92">
        <v>6.1</v>
      </c>
      <c r="E92">
        <v>6.2930000000000001</v>
      </c>
      <c r="F92">
        <v>3994431.6</v>
      </c>
      <c r="G92">
        <v>6.2930000000000001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-0.12669683257918357</v>
      </c>
      <c r="Q92">
        <f t="shared" ref="Q92" si="436">F92*P92</f>
        <v>-506081.83167420037</v>
      </c>
      <c r="R92">
        <f t="shared" ref="R92" si="437">R93+Q92</f>
        <v>-191396003.99486178</v>
      </c>
      <c r="S92">
        <f t="shared" ref="S92" si="438">R92/100000</f>
        <v>-1913.9600399486178</v>
      </c>
      <c r="T92">
        <f t="shared" ref="T92" si="439">S92/1000</f>
        <v>-1.9139600399486179</v>
      </c>
    </row>
    <row r="93" spans="1:20" x14ac:dyDescent="0.25">
      <c r="A93" s="5">
        <v>44500</v>
      </c>
      <c r="B93">
        <v>6.282</v>
      </c>
      <c r="C93">
        <v>6.4039999999999999</v>
      </c>
      <c r="D93">
        <v>6.0140000000000002</v>
      </c>
      <c r="E93">
        <v>6.2359999999999998</v>
      </c>
      <c r="F93">
        <v>3883349.3</v>
      </c>
      <c r="G93">
        <v>6.2359999999999998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0.138461538461537</v>
      </c>
      <c r="Q93">
        <f t="shared" ref="Q93" si="441">F93*P93</f>
        <v>537694.51846153277</v>
      </c>
      <c r="R93">
        <f t="shared" ref="R93" si="442">R94+Q93</f>
        <v>-190889922.16318759</v>
      </c>
      <c r="S93">
        <f t="shared" ref="S93" si="443">R93/100000</f>
        <v>-1908.8992216318759</v>
      </c>
      <c r="T93">
        <f t="shared" ref="T93" si="444">S93/1000</f>
        <v>-1.9088992216318759</v>
      </c>
    </row>
    <row r="94" spans="1:20" x14ac:dyDescent="0.25">
      <c r="A94" s="5">
        <v>44499</v>
      </c>
      <c r="B94">
        <v>6.7759999999999998</v>
      </c>
      <c r="C94">
        <v>6.8380000000000001</v>
      </c>
      <c r="D94">
        <v>6.1970000000000001</v>
      </c>
      <c r="E94">
        <v>6.2869999999999999</v>
      </c>
      <c r="F94">
        <v>4310396.3</v>
      </c>
      <c r="G94">
        <v>6.2869999999999999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-0.71918876755070249</v>
      </c>
      <c r="Q94">
        <f t="shared" ref="Q94" si="446">F94*P94</f>
        <v>-3099988.6026521078</v>
      </c>
      <c r="R94">
        <f t="shared" ref="R94" si="447">R95+Q94</f>
        <v>-191427616.68164912</v>
      </c>
      <c r="S94">
        <f t="shared" ref="S94" si="448">R94/100000</f>
        <v>-1914.2761668164912</v>
      </c>
      <c r="T94">
        <f t="shared" ref="T94" si="449">S94/1000</f>
        <v>-1.9142761668164912</v>
      </c>
    </row>
    <row r="95" spans="1:20" x14ac:dyDescent="0.25">
      <c r="A95" s="5">
        <v>44498</v>
      </c>
      <c r="B95">
        <v>6.44</v>
      </c>
      <c r="C95">
        <v>6.85</v>
      </c>
      <c r="D95">
        <v>6.3920000000000003</v>
      </c>
      <c r="E95">
        <v>6.7709999999999999</v>
      </c>
      <c r="F95">
        <v>4373808.5999999996</v>
      </c>
      <c r="G95">
        <v>6.7709999999999999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0.65502183406113601</v>
      </c>
      <c r="Q95">
        <f t="shared" ref="Q95" si="451">F95*P95</f>
        <v>2864940.1310043694</v>
      </c>
      <c r="R95">
        <f t="shared" ref="R95" si="452">R96+Q95</f>
        <v>-188327628.07899702</v>
      </c>
      <c r="S95">
        <f t="shared" ref="S95" si="453">R95/100000</f>
        <v>-1883.2762807899701</v>
      </c>
      <c r="T95">
        <f t="shared" ref="T95" si="454">S95/1000</f>
        <v>-1.8832762807899701</v>
      </c>
    </row>
    <row r="96" spans="1:20" x14ac:dyDescent="0.25">
      <c r="A96" s="5">
        <v>44497</v>
      </c>
      <c r="B96">
        <v>6.2229999999999999</v>
      </c>
      <c r="C96">
        <v>6.6890000000000001</v>
      </c>
      <c r="D96">
        <v>6.1479999999999997</v>
      </c>
      <c r="E96">
        <v>6.44</v>
      </c>
      <c r="F96">
        <v>5660533.2999999998</v>
      </c>
      <c r="G96">
        <v>6.44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7.9482439926064713E-2</v>
      </c>
      <c r="Q96">
        <f t="shared" ref="Q96" si="456">F96*P96</f>
        <v>449912.99796673883</v>
      </c>
      <c r="R96">
        <f t="shared" ref="R96" si="457">R97+Q96</f>
        <v>-191192568.21000138</v>
      </c>
      <c r="S96">
        <f t="shared" ref="S96" si="458">R96/100000</f>
        <v>-1911.9256821000138</v>
      </c>
      <c r="T96">
        <f t="shared" ref="T96" si="459">S96/1000</f>
        <v>-1.9119256821000137</v>
      </c>
    </row>
    <row r="97" spans="1:20" x14ac:dyDescent="0.25">
      <c r="A97" s="5">
        <v>44496</v>
      </c>
      <c r="B97">
        <v>7.2549999999999999</v>
      </c>
      <c r="C97">
        <v>7.3460000000000001</v>
      </c>
      <c r="D97">
        <v>6</v>
      </c>
      <c r="E97">
        <v>6.2220000000000004</v>
      </c>
      <c r="F97">
        <v>10075198.1</v>
      </c>
      <c r="G97">
        <v>6.2220000000000004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-0.67013372956909301</v>
      </c>
      <c r="Q97">
        <f t="shared" ref="Q97" si="461">F97*P97</f>
        <v>-6751730.0789004397</v>
      </c>
      <c r="R97">
        <f t="shared" ref="R97" si="462">R98+Q97</f>
        <v>-191642481.20796812</v>
      </c>
      <c r="S97">
        <f t="shared" ref="S97" si="463">R97/100000</f>
        <v>-1916.4248120796813</v>
      </c>
      <c r="T97">
        <f t="shared" ref="T97" si="464">S97/1000</f>
        <v>-1.9164248120796812</v>
      </c>
    </row>
    <row r="98" spans="1:20" x14ac:dyDescent="0.25">
      <c r="A98" s="5">
        <v>44495</v>
      </c>
      <c r="B98">
        <v>7.2350000000000003</v>
      </c>
      <c r="C98">
        <v>7.8650000000000002</v>
      </c>
      <c r="D98">
        <v>7.0540000000000003</v>
      </c>
      <c r="E98">
        <v>7.2549999999999999</v>
      </c>
      <c r="F98">
        <v>11383829.9</v>
      </c>
      <c r="G98">
        <v>7.2549999999999999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-0.50431565967940906</v>
      </c>
      <c r="Q98">
        <f t="shared" ref="Q98" si="466">F98*P98</f>
        <v>-5741043.685696681</v>
      </c>
      <c r="R98">
        <f t="shared" ref="R98" si="467">R99+Q98</f>
        <v>-184890751.12906769</v>
      </c>
      <c r="S98">
        <f t="shared" ref="S98" si="468">R98/100000</f>
        <v>-1848.9075112906769</v>
      </c>
      <c r="T98">
        <f t="shared" ref="T98" si="469">S98/1000</f>
        <v>-1.848907511290677</v>
      </c>
    </row>
    <row r="99" spans="1:20" x14ac:dyDescent="0.25">
      <c r="A99" s="5">
        <v>44494</v>
      </c>
      <c r="B99">
        <v>6.6929999999999996</v>
      </c>
      <c r="C99">
        <v>7.4240000000000004</v>
      </c>
      <c r="D99">
        <v>6.6689999999999996</v>
      </c>
      <c r="E99">
        <v>7.2350000000000003</v>
      </c>
      <c r="F99">
        <v>8495352.5999999996</v>
      </c>
      <c r="G99">
        <v>7.2350000000000003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0.49933774834437122</v>
      </c>
      <c r="Q99">
        <f t="shared" ref="Q99" si="471">F99*P99</f>
        <v>4242050.2386754993</v>
      </c>
      <c r="R99">
        <f t="shared" ref="R99" si="472">R100+Q99</f>
        <v>-179149707.443371</v>
      </c>
      <c r="S99">
        <f t="shared" ref="S99" si="473">R99/100000</f>
        <v>-1791.4970744337099</v>
      </c>
      <c r="T99">
        <f t="shared" ref="T99" si="474">S99/1000</f>
        <v>-1.79149707443371</v>
      </c>
    </row>
    <row r="100" spans="1:20" x14ac:dyDescent="0.25">
      <c r="A100" s="5">
        <v>44493</v>
      </c>
      <c r="B100">
        <v>6.5119999999999996</v>
      </c>
      <c r="C100">
        <v>6.883</v>
      </c>
      <c r="D100">
        <v>6.4560000000000004</v>
      </c>
      <c r="E100">
        <v>6.6989999999999998</v>
      </c>
      <c r="F100">
        <v>3897218.4</v>
      </c>
      <c r="G100">
        <v>6.6989999999999998</v>
      </c>
      <c r="L100" t="s">
        <v>8</v>
      </c>
      <c r="M100" t="s">
        <v>8</v>
      </c>
      <c r="N100" t="s">
        <v>7</v>
      </c>
      <c r="P100">
        <f t="shared" ref="P100" si="475">IF(C100=D100,0,((E100-D100)-(C100-E100))/(C100-D100))</f>
        <v>0.13817330210772677</v>
      </c>
      <c r="Q100">
        <f t="shared" ref="Q100" si="476">F100*P100</f>
        <v>538491.5353629915</v>
      </c>
      <c r="R100">
        <f t="shared" ref="R100" si="477">R101+Q100</f>
        <v>-183391757.6820465</v>
      </c>
      <c r="S100">
        <f t="shared" ref="S100" si="478">R100/100000</f>
        <v>-1833.917576820465</v>
      </c>
      <c r="T100">
        <f t="shared" ref="T100" si="479">S100/1000</f>
        <v>-1.833917576820465</v>
      </c>
    </row>
    <row r="101" spans="1:20" x14ac:dyDescent="0.25">
      <c r="A101" s="5">
        <v>44492</v>
      </c>
      <c r="B101">
        <v>6.6390000000000002</v>
      </c>
      <c r="C101">
        <v>6.75</v>
      </c>
      <c r="D101">
        <v>6.391</v>
      </c>
      <c r="E101">
        <v>6.5110000000000001</v>
      </c>
      <c r="F101">
        <v>2481141.5</v>
      </c>
      <c r="G101">
        <v>6.5110000000000001</v>
      </c>
      <c r="L101" t="s">
        <v>7</v>
      </c>
      <c r="M101" t="s">
        <v>8</v>
      </c>
      <c r="N101" t="s">
        <v>7</v>
      </c>
      <c r="P101">
        <f t="shared" ref="P101" si="480">IF(C101=D101,0,((E101-D101)-(C101-E101))/(C101-D101))</f>
        <v>-0.33147632311977654</v>
      </c>
      <c r="Q101">
        <f t="shared" ref="Q101" si="481">F101*P101</f>
        <v>-822439.661559887</v>
      </c>
      <c r="R101">
        <f t="shared" ref="R101" si="482">R102+Q101</f>
        <v>-183930249.21740949</v>
      </c>
      <c r="S101">
        <f t="shared" ref="S101" si="483">R101/100000</f>
        <v>-1839.3024921740948</v>
      </c>
      <c r="T101">
        <f t="shared" ref="T101" si="484">S101/1000</f>
        <v>-1.8393024921740948</v>
      </c>
    </row>
    <row r="102" spans="1:20" x14ac:dyDescent="0.25">
      <c r="A102" s="5">
        <v>44491</v>
      </c>
      <c r="B102">
        <v>6.9859999999999998</v>
      </c>
      <c r="C102">
        <v>6.9859999999999998</v>
      </c>
      <c r="D102">
        <v>6.4</v>
      </c>
      <c r="E102">
        <v>6.6390000000000002</v>
      </c>
      <c r="F102">
        <v>3899374.9</v>
      </c>
      <c r="G102">
        <v>6.6390000000000002</v>
      </c>
      <c r="L102" t="s">
        <v>7</v>
      </c>
      <c r="M102" t="s">
        <v>8</v>
      </c>
      <c r="N102" t="s">
        <v>7</v>
      </c>
      <c r="P102">
        <f t="shared" ref="P102" si="485">IF(C102=D102,0,((E102-D102)-(C102-E102))/(C102-D102))</f>
        <v>-0.18430034129692791</v>
      </c>
      <c r="Q102">
        <f t="shared" ref="Q102" si="486">F102*P102</f>
        <v>-718656.12491467409</v>
      </c>
      <c r="R102">
        <f t="shared" ref="R102" si="487">R103+Q102</f>
        <v>-183107809.55584961</v>
      </c>
      <c r="S102">
        <f t="shared" ref="S102" si="488">R102/100000</f>
        <v>-1831.0780955584962</v>
      </c>
      <c r="T102">
        <f t="shared" ref="T102" si="489">S102/1000</f>
        <v>-1.8310780955584962</v>
      </c>
    </row>
    <row r="103" spans="1:20" x14ac:dyDescent="0.25">
      <c r="A103" s="5">
        <v>44490</v>
      </c>
      <c r="B103">
        <v>6.5570000000000004</v>
      </c>
      <c r="C103">
        <v>7.05</v>
      </c>
      <c r="D103">
        <v>6.4379999999999997</v>
      </c>
      <c r="E103">
        <v>6.976</v>
      </c>
      <c r="F103">
        <v>6815619.2999999998</v>
      </c>
      <c r="G103">
        <v>6.976</v>
      </c>
      <c r="L103" t="s">
        <v>8</v>
      </c>
      <c r="M103" t="s">
        <v>8</v>
      </c>
      <c r="N103" t="s">
        <v>7</v>
      </c>
      <c r="P103">
        <f t="shared" ref="P103" si="490">IF(C103=D103,0,((E103-D103)-(C103-E103))/(C103-D103))</f>
        <v>0.7581699346405234</v>
      </c>
      <c r="Q103">
        <f t="shared" ref="Q103" si="491">F103*P103</f>
        <v>5167397.6392156901</v>
      </c>
      <c r="R103">
        <f t="shared" ref="R103" si="492">R104+Q103</f>
        <v>-182389153.43093494</v>
      </c>
      <c r="S103">
        <f t="shared" ref="S103" si="493">R103/100000</f>
        <v>-1823.8915343093493</v>
      </c>
      <c r="T103">
        <f t="shared" ref="T103" si="494">S103/1000</f>
        <v>-1.8238915343093494</v>
      </c>
    </row>
    <row r="104" spans="1:20" x14ac:dyDescent="0.25">
      <c r="A104" s="5">
        <v>44489</v>
      </c>
      <c r="B104">
        <v>6.0919999999999996</v>
      </c>
      <c r="C104">
        <v>6.8369999999999997</v>
      </c>
      <c r="D104">
        <v>6.02</v>
      </c>
      <c r="E104">
        <v>6.5570000000000004</v>
      </c>
      <c r="F104">
        <v>5834890.2999999998</v>
      </c>
      <c r="G104">
        <v>6.5570000000000004</v>
      </c>
      <c r="L104" t="s">
        <v>8</v>
      </c>
      <c r="M104" t="s">
        <v>8</v>
      </c>
      <c r="N104" t="s">
        <v>7</v>
      </c>
      <c r="P104">
        <f t="shared" ref="P104" si="495">IF(C104=D104,0,((E104-D104)-(C104-E104))/(C104-D104))</f>
        <v>0.31456548347613389</v>
      </c>
      <c r="Q104">
        <f t="shared" ref="Q104" si="496">F104*P104</f>
        <v>1835455.0882497039</v>
      </c>
      <c r="R104">
        <f t="shared" ref="R104" si="497">R105+Q104</f>
        <v>-187556551.07015061</v>
      </c>
      <c r="S104">
        <f t="shared" ref="S104" si="498">R104/100000</f>
        <v>-1875.5655107015061</v>
      </c>
      <c r="T104">
        <f t="shared" ref="T104" si="499">S104/1000</f>
        <v>-1.8755655107015061</v>
      </c>
    </row>
    <row r="105" spans="1:20" x14ac:dyDescent="0.25">
      <c r="A105" s="5">
        <v>44488</v>
      </c>
      <c r="B105">
        <v>6.1449999999999996</v>
      </c>
      <c r="C105">
        <v>6.2649999999999997</v>
      </c>
      <c r="D105">
        <v>6.0110000000000001</v>
      </c>
      <c r="E105">
        <v>6.0919999999999996</v>
      </c>
      <c r="F105">
        <v>2534270.2000000002</v>
      </c>
      <c r="G105">
        <v>6.0919999999999996</v>
      </c>
      <c r="L105" t="s">
        <v>7</v>
      </c>
      <c r="M105" t="s">
        <v>8</v>
      </c>
      <c r="N105" t="s">
        <v>7</v>
      </c>
      <c r="P105">
        <f t="shared" ref="P105" si="500">IF(C105=D105,0,((E105-D105)-(C105-E105))/(C105-D105))</f>
        <v>-0.36220472440945151</v>
      </c>
      <c r="Q105">
        <f t="shared" ref="Q105" si="501">F105*P105</f>
        <v>-917924.63937008567</v>
      </c>
      <c r="R105">
        <f t="shared" ref="R105" si="502">R106+Q105</f>
        <v>-189392006.15840033</v>
      </c>
      <c r="S105">
        <f t="shared" ref="S105" si="503">R105/100000</f>
        <v>-1893.9200615840032</v>
      </c>
      <c r="T105">
        <f t="shared" ref="T105" si="504">S105/1000</f>
        <v>-1.8939200615840033</v>
      </c>
    </row>
    <row r="106" spans="1:20" x14ac:dyDescent="0.25">
      <c r="A106" s="5">
        <v>44487</v>
      </c>
      <c r="B106">
        <v>6.149</v>
      </c>
      <c r="C106">
        <v>6.5</v>
      </c>
      <c r="D106">
        <v>5.9020000000000001</v>
      </c>
      <c r="E106">
        <v>6.1449999999999996</v>
      </c>
      <c r="F106">
        <v>5761904.7000000002</v>
      </c>
      <c r="G106">
        <v>6.1449999999999996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-0.18729096989966726</v>
      </c>
      <c r="Q106">
        <f t="shared" ref="Q106" si="506">F106*P106</f>
        <v>-1079152.7197324513</v>
      </c>
      <c r="R106">
        <f t="shared" ref="R106" si="507">R107+Q106</f>
        <v>-188474081.51903024</v>
      </c>
      <c r="S106">
        <f t="shared" ref="S106" si="508">R106/100000</f>
        <v>-1884.7408151903023</v>
      </c>
      <c r="T106">
        <f t="shared" ref="T106" si="509">S106/1000</f>
        <v>-1.8847408151903022</v>
      </c>
    </row>
    <row r="107" spans="1:20" x14ac:dyDescent="0.25">
      <c r="A107" s="5">
        <v>44486</v>
      </c>
      <c r="B107">
        <v>5.883</v>
      </c>
      <c r="C107">
        <v>6.6</v>
      </c>
      <c r="D107">
        <v>5.8170000000000002</v>
      </c>
      <c r="E107">
        <v>6.149</v>
      </c>
      <c r="F107">
        <v>9468308.5</v>
      </c>
      <c r="G107">
        <v>6.149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-0.15197956577266902</v>
      </c>
      <c r="Q107">
        <f t="shared" ref="Q107" si="511">F107*P107</f>
        <v>-1438989.4144316711</v>
      </c>
      <c r="R107">
        <f t="shared" ref="R107" si="512">R108+Q107</f>
        <v>-187394928.79929778</v>
      </c>
      <c r="S107">
        <f t="shared" ref="S107" si="513">R107/100000</f>
        <v>-1873.9492879929778</v>
      </c>
      <c r="T107">
        <f t="shared" ref="T107" si="514">S107/1000</f>
        <v>-1.8739492879929778</v>
      </c>
    </row>
    <row r="108" spans="1:20" x14ac:dyDescent="0.25">
      <c r="A108" s="5">
        <v>44485</v>
      </c>
      <c r="B108">
        <v>5.8769999999999998</v>
      </c>
      <c r="C108">
        <v>6.0949999999999998</v>
      </c>
      <c r="D108">
        <v>5.782</v>
      </c>
      <c r="E108">
        <v>5.8780000000000001</v>
      </c>
      <c r="F108">
        <v>3277312.7</v>
      </c>
      <c r="G108">
        <v>5.8780000000000001</v>
      </c>
      <c r="L108" t="s">
        <v>8</v>
      </c>
      <c r="M108" t="s">
        <v>8</v>
      </c>
      <c r="N108" t="s">
        <v>7</v>
      </c>
      <c r="P108">
        <f t="shared" ref="P108" si="515">IF(C108=D108,0,((E108-D108)-(C108-E108))/(C108-D108))</f>
        <v>-0.38658146964856122</v>
      </c>
      <c r="Q108">
        <f t="shared" ref="Q108" si="516">F108*P108</f>
        <v>-1266948.3600638942</v>
      </c>
      <c r="R108">
        <f t="shared" ref="R108" si="517">R109+Q108</f>
        <v>-185955939.38486612</v>
      </c>
      <c r="S108">
        <f t="shared" ref="S108" si="518">R108/100000</f>
        <v>-1859.5593938486611</v>
      </c>
      <c r="T108">
        <f t="shared" ref="T108" si="519">S108/1000</f>
        <v>-1.8595593938486612</v>
      </c>
    </row>
    <row r="109" spans="1:20" x14ac:dyDescent="0.25">
      <c r="A109" s="5">
        <v>44484</v>
      </c>
      <c r="B109">
        <v>5.91</v>
      </c>
      <c r="C109">
        <v>5.9770000000000003</v>
      </c>
      <c r="D109">
        <v>5.5860000000000003</v>
      </c>
      <c r="E109">
        <v>5.8769999999999998</v>
      </c>
      <c r="F109">
        <v>5666393.2000000002</v>
      </c>
      <c r="G109">
        <v>5.8769999999999998</v>
      </c>
      <c r="L109" t="s">
        <v>7</v>
      </c>
      <c r="M109" t="s">
        <v>8</v>
      </c>
      <c r="N109" t="s">
        <v>7</v>
      </c>
      <c r="P109">
        <f t="shared" ref="P109" si="520">IF(C109=D109,0,((E109-D109)-(C109-E109))/(C109-D109))</f>
        <v>0.48849104859334769</v>
      </c>
      <c r="Q109">
        <f t="shared" ref="Q109" si="521">F109*P109</f>
        <v>2767982.3560102149</v>
      </c>
      <c r="R109">
        <f t="shared" ref="R109" si="522">R110+Q109</f>
        <v>-184688991.02480224</v>
      </c>
      <c r="S109">
        <f t="shared" ref="S109" si="523">R109/100000</f>
        <v>-1846.8899102480225</v>
      </c>
      <c r="T109">
        <f t="shared" ref="T109" si="524">S109/1000</f>
        <v>-1.8468899102480225</v>
      </c>
    </row>
    <row r="110" spans="1:20" x14ac:dyDescent="0.25">
      <c r="A110" s="5">
        <v>44483</v>
      </c>
      <c r="B110">
        <v>5.6760000000000002</v>
      </c>
      <c r="C110">
        <v>6.25</v>
      </c>
      <c r="D110">
        <v>5.6189999999999998</v>
      </c>
      <c r="E110">
        <v>5.91</v>
      </c>
      <c r="F110">
        <v>8076263.9000000004</v>
      </c>
      <c r="G110">
        <v>5.91</v>
      </c>
      <c r="L110" t="s">
        <v>8</v>
      </c>
      <c r="M110" t="s">
        <v>8</v>
      </c>
      <c r="N110" t="s">
        <v>7</v>
      </c>
      <c r="P110">
        <f t="shared" ref="P110" si="525">IF(C110=D110,0,((E110-D110)-(C110-E110))/(C110-D110))</f>
        <v>-7.7654516640252733E-2</v>
      </c>
      <c r="Q110">
        <f t="shared" ref="Q110" si="526">F110*P110</f>
        <v>-627158.36941362242</v>
      </c>
      <c r="R110">
        <f t="shared" ref="R110" si="527">R111+Q110</f>
        <v>-187456973.38081247</v>
      </c>
      <c r="S110">
        <f t="shared" ref="S110" si="528">R110/100000</f>
        <v>-1874.5697338081247</v>
      </c>
      <c r="T110">
        <f t="shared" ref="T110" si="529">S110/1000</f>
        <v>-1.8745697338081246</v>
      </c>
    </row>
    <row r="111" spans="1:20" x14ac:dyDescent="0.25">
      <c r="A111" s="5">
        <v>44482</v>
      </c>
      <c r="B111">
        <v>5.5709999999999997</v>
      </c>
      <c r="C111">
        <v>5.8490000000000002</v>
      </c>
      <c r="D111">
        <v>5.29</v>
      </c>
      <c r="E111">
        <v>5.6790000000000003</v>
      </c>
      <c r="F111">
        <v>5393233.7999999998</v>
      </c>
      <c r="G111">
        <v>5.6790000000000003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0.39177101967799688</v>
      </c>
      <c r="Q111">
        <f t="shared" ref="Q111" si="531">F111*P111</f>
        <v>2112912.7051878376</v>
      </c>
      <c r="R111">
        <f t="shared" ref="R111" si="532">R112+Q111</f>
        <v>-186829815.01139885</v>
      </c>
      <c r="S111">
        <f t="shared" ref="S111" si="533">R111/100000</f>
        <v>-1868.2981501139884</v>
      </c>
      <c r="T111">
        <f t="shared" ref="T111" si="534">S111/1000</f>
        <v>-1.8682981501139884</v>
      </c>
    </row>
    <row r="112" spans="1:20" x14ac:dyDescent="0.25">
      <c r="A112" s="5">
        <v>44481</v>
      </c>
      <c r="B112">
        <v>5.5720000000000001</v>
      </c>
      <c r="C112">
        <v>5.67</v>
      </c>
      <c r="D112">
        <v>5.0999999999999996</v>
      </c>
      <c r="E112">
        <v>5.577</v>
      </c>
      <c r="F112">
        <v>6082900.4000000004</v>
      </c>
      <c r="G112">
        <v>5.577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0.67368421052631611</v>
      </c>
      <c r="Q112">
        <f t="shared" ref="Q112" si="536">F112*P112</f>
        <v>4097953.9536842126</v>
      </c>
      <c r="R112">
        <f t="shared" ref="R112" si="537">R113+Q112</f>
        <v>-188942727.71658668</v>
      </c>
      <c r="S112">
        <f t="shared" ref="S112" si="538">R112/100000</f>
        <v>-1889.4272771658668</v>
      </c>
      <c r="T112">
        <f t="shared" ref="T112" si="539">S112/1000</f>
        <v>-1.8894272771658669</v>
      </c>
    </row>
    <row r="113" spans="1:20" x14ac:dyDescent="0.25">
      <c r="A113" s="5">
        <v>44480</v>
      </c>
      <c r="B113">
        <v>5.6529999999999996</v>
      </c>
      <c r="C113">
        <v>5.8540000000000001</v>
      </c>
      <c r="D113">
        <v>5.4029999999999996</v>
      </c>
      <c r="E113">
        <v>5.5730000000000004</v>
      </c>
      <c r="F113">
        <v>4209223.8</v>
      </c>
      <c r="G113">
        <v>5.5730000000000004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-0.2461197339246092</v>
      </c>
      <c r="Q113">
        <f t="shared" ref="Q113" si="541">F113*P113</f>
        <v>-1035973.0416851324</v>
      </c>
      <c r="R113">
        <f t="shared" ref="R113" si="542">R114+Q113</f>
        <v>-193040681.67027089</v>
      </c>
      <c r="S113">
        <f t="shared" ref="S113" si="543">R113/100000</f>
        <v>-1930.406816702709</v>
      </c>
      <c r="T113">
        <f t="shared" ref="T113" si="544">S113/1000</f>
        <v>-1.9304068167027089</v>
      </c>
    </row>
    <row r="114" spans="1:20" x14ac:dyDescent="0.25">
      <c r="A114" s="5">
        <v>44479</v>
      </c>
      <c r="B114">
        <v>5.9359999999999999</v>
      </c>
      <c r="C114">
        <v>5.9880000000000004</v>
      </c>
      <c r="D114">
        <v>5.6189999999999998</v>
      </c>
      <c r="E114">
        <v>5.6459999999999999</v>
      </c>
      <c r="F114">
        <v>4064312.9</v>
      </c>
      <c r="G114">
        <v>5.6459999999999999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-0.85365853658536539</v>
      </c>
      <c r="Q114">
        <f t="shared" ref="Q114" si="546">F114*P114</f>
        <v>-3469535.4024390224</v>
      </c>
      <c r="R114">
        <f t="shared" ref="R114" si="547">R115+Q114</f>
        <v>-192004708.62858576</v>
      </c>
      <c r="S114">
        <f t="shared" ref="S114" si="548">R114/100000</f>
        <v>-1920.0470862858576</v>
      </c>
      <c r="T114">
        <f t="shared" ref="T114" si="549">S114/1000</f>
        <v>-1.9200470862858576</v>
      </c>
    </row>
    <row r="115" spans="1:20" x14ac:dyDescent="0.25">
      <c r="A115" s="5">
        <v>44478</v>
      </c>
      <c r="B115">
        <v>5.88</v>
      </c>
      <c r="C115">
        <v>6.33</v>
      </c>
      <c r="D115">
        <v>5.8049999999999997</v>
      </c>
      <c r="E115">
        <v>5.9349999999999996</v>
      </c>
      <c r="F115">
        <v>7896964.7000000002</v>
      </c>
      <c r="G115">
        <v>5.9349999999999996</v>
      </c>
      <c r="L115" t="s">
        <v>8</v>
      </c>
      <c r="M115" t="s">
        <v>7</v>
      </c>
      <c r="N115" t="s">
        <v>7</v>
      </c>
      <c r="P115">
        <f t="shared" ref="P115" si="550">IF(C115=D115,0,((E115-D115)-(C115-E115))/(C115-D115))</f>
        <v>-0.50476190476190552</v>
      </c>
      <c r="Q115">
        <f t="shared" ref="Q115" si="551">F115*P115</f>
        <v>-3986086.9438095298</v>
      </c>
      <c r="R115">
        <f t="shared" ref="R115" si="552">R116+Q115</f>
        <v>-188535173.22614673</v>
      </c>
      <c r="S115">
        <f t="shared" ref="S115" si="553">R115/100000</f>
        <v>-1885.3517322614673</v>
      </c>
      <c r="T115">
        <f t="shared" ref="T115" si="554">S115/1000</f>
        <v>-1.8853517322614672</v>
      </c>
    </row>
    <row r="116" spans="1:20" x14ac:dyDescent="0.25">
      <c r="A116" s="5">
        <v>44477</v>
      </c>
      <c r="B116">
        <v>5.9009999999999998</v>
      </c>
      <c r="C116">
        <v>6.0579999999999998</v>
      </c>
      <c r="D116">
        <v>5.7770000000000001</v>
      </c>
      <c r="E116">
        <v>5.87</v>
      </c>
      <c r="F116">
        <v>4913548.9000000004</v>
      </c>
      <c r="G116">
        <v>5.87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-0.33807829181494609</v>
      </c>
      <c r="Q116">
        <f t="shared" ref="Q116" si="556">F116*P116</f>
        <v>-1661164.2188612074</v>
      </c>
      <c r="R116">
        <f t="shared" ref="R116" si="557">R117+Q116</f>
        <v>-184549086.28233719</v>
      </c>
      <c r="S116">
        <f t="shared" ref="S116" si="558">R116/100000</f>
        <v>-1845.4908628233718</v>
      </c>
      <c r="T116">
        <f t="shared" ref="T116" si="559">S116/1000</f>
        <v>-1.8454908628233717</v>
      </c>
    </row>
    <row r="117" spans="1:20" x14ac:dyDescent="0.25">
      <c r="A117" s="5">
        <v>44476</v>
      </c>
      <c r="B117">
        <v>5.742</v>
      </c>
      <c r="C117">
        <v>6.0350000000000001</v>
      </c>
      <c r="D117">
        <v>5.6</v>
      </c>
      <c r="E117">
        <v>5.9009999999999998</v>
      </c>
      <c r="F117">
        <v>5643152</v>
      </c>
      <c r="G117">
        <v>5.9009999999999998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0.38390804597701061</v>
      </c>
      <c r="Q117">
        <f t="shared" ref="Q117" si="561">F117*P117</f>
        <v>2166451.4574712594</v>
      </c>
      <c r="R117">
        <f t="shared" ref="R117" si="562">R118+Q117</f>
        <v>-182887922.06347597</v>
      </c>
      <c r="S117">
        <f t="shared" ref="S117" si="563">R117/100000</f>
        <v>-1828.8792206347596</v>
      </c>
      <c r="T117">
        <f t="shared" ref="T117" si="564">S117/1000</f>
        <v>-1.8288792206347595</v>
      </c>
    </row>
    <row r="118" spans="1:20" x14ac:dyDescent="0.25">
      <c r="A118" s="5">
        <v>44475</v>
      </c>
      <c r="B118">
        <v>5.9219999999999997</v>
      </c>
      <c r="C118">
        <v>6</v>
      </c>
      <c r="D118">
        <v>5.5</v>
      </c>
      <c r="E118">
        <v>5.74</v>
      </c>
      <c r="F118">
        <v>7759039.2999999998</v>
      </c>
      <c r="G118">
        <v>5.74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-3.9999999999999147E-2</v>
      </c>
      <c r="Q118">
        <f t="shared" ref="Q118" si="566">F118*P118</f>
        <v>-310361.57199999335</v>
      </c>
      <c r="R118">
        <f t="shared" ref="R118" si="567">R119+Q118</f>
        <v>-185054373.52094722</v>
      </c>
      <c r="S118">
        <f t="shared" ref="S118" si="568">R118/100000</f>
        <v>-1850.5437352094723</v>
      </c>
      <c r="T118">
        <f t="shared" ref="T118" si="569">S118/1000</f>
        <v>-1.8505437352094722</v>
      </c>
    </row>
    <row r="119" spans="1:20" x14ac:dyDescent="0.25">
      <c r="A119" s="5">
        <v>44474</v>
      </c>
      <c r="B119">
        <v>6.01</v>
      </c>
      <c r="C119">
        <v>6.1879999999999997</v>
      </c>
      <c r="D119">
        <v>5.7249999999999996</v>
      </c>
      <c r="E119">
        <v>5.923</v>
      </c>
      <c r="F119">
        <v>7766465.7999999998</v>
      </c>
      <c r="G119">
        <v>5.923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-0.14470842332613235</v>
      </c>
      <c r="Q119">
        <f t="shared" ref="Q119" si="571">F119*P119</f>
        <v>-1123873.020734329</v>
      </c>
      <c r="R119">
        <f t="shared" ref="R119" si="572">R120+Q119</f>
        <v>-184744011.94894722</v>
      </c>
      <c r="S119">
        <f t="shared" ref="S119" si="573">R119/100000</f>
        <v>-1847.4401194894722</v>
      </c>
      <c r="T119">
        <f t="shared" ref="T119" si="574">S119/1000</f>
        <v>-1.8474401194894723</v>
      </c>
    </row>
    <row r="120" spans="1:20" x14ac:dyDescent="0.25">
      <c r="A120" s="5">
        <v>44473</v>
      </c>
      <c r="B120">
        <v>6.3049999999999997</v>
      </c>
      <c r="C120">
        <v>6.3440000000000003</v>
      </c>
      <c r="D120">
        <v>5.93</v>
      </c>
      <c r="E120">
        <v>6.0060000000000002</v>
      </c>
      <c r="F120">
        <v>7543955.5</v>
      </c>
      <c r="G120">
        <v>6.0060000000000002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-0.63285024154589176</v>
      </c>
      <c r="Q120">
        <f t="shared" ref="Q120" si="576">F120*P120</f>
        <v>-4774194.0603864584</v>
      </c>
      <c r="R120">
        <f t="shared" ref="R120" si="577">R121+Q120</f>
        <v>-183620138.92821288</v>
      </c>
      <c r="S120">
        <f t="shared" ref="S120" si="578">R120/100000</f>
        <v>-1836.2013892821287</v>
      </c>
      <c r="T120">
        <f t="shared" ref="T120" si="579">S120/1000</f>
        <v>-1.8362013892821287</v>
      </c>
    </row>
    <row r="121" spans="1:20" x14ac:dyDescent="0.25">
      <c r="A121" s="5">
        <v>44472</v>
      </c>
      <c r="B121">
        <v>6.2910000000000004</v>
      </c>
      <c r="C121">
        <v>6.6559999999999997</v>
      </c>
      <c r="D121">
        <v>6.06</v>
      </c>
      <c r="E121">
        <v>6.2859999999999996</v>
      </c>
      <c r="F121">
        <v>7488006</v>
      </c>
      <c r="G121">
        <v>6.2859999999999996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-0.24161073825503374</v>
      </c>
      <c r="Q121">
        <f t="shared" ref="Q121" si="581">F121*P121</f>
        <v>-1809182.6577181222</v>
      </c>
      <c r="R121">
        <f t="shared" ref="R121" si="582">R122+Q121</f>
        <v>-178845944.86782643</v>
      </c>
      <c r="S121">
        <f t="shared" ref="S121" si="583">R121/100000</f>
        <v>-1788.4594486782644</v>
      </c>
      <c r="T121">
        <f t="shared" ref="T121" si="584">S121/1000</f>
        <v>-1.7884594486782643</v>
      </c>
    </row>
    <row r="122" spans="1:20" x14ac:dyDescent="0.25">
      <c r="A122" s="5">
        <v>44471</v>
      </c>
      <c r="B122">
        <v>6.157</v>
      </c>
      <c r="C122">
        <v>6.633</v>
      </c>
      <c r="D122">
        <v>6.008</v>
      </c>
      <c r="E122">
        <v>6.2869999999999999</v>
      </c>
      <c r="F122">
        <v>8507987.3000000007</v>
      </c>
      <c r="G122">
        <v>6.2869999999999999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-0.10720000000000027</v>
      </c>
      <c r="Q122">
        <f t="shared" ref="Q122" si="586">F122*P122</f>
        <v>-912056.2385600023</v>
      </c>
      <c r="R122">
        <f t="shared" ref="R122" si="587">R123+Q122</f>
        <v>-177036762.21010831</v>
      </c>
      <c r="S122">
        <f t="shared" ref="S122" si="588">R122/100000</f>
        <v>-1770.367622101083</v>
      </c>
      <c r="T122">
        <f t="shared" ref="T122" si="589">S122/1000</f>
        <v>-1.7703676221010831</v>
      </c>
    </row>
    <row r="123" spans="1:20" x14ac:dyDescent="0.25">
      <c r="A123" s="5">
        <v>44470</v>
      </c>
      <c r="B123">
        <v>5.6449999999999996</v>
      </c>
      <c r="C123">
        <v>6.3289999999999997</v>
      </c>
      <c r="D123">
        <v>5.6070000000000002</v>
      </c>
      <c r="E123">
        <v>6.157</v>
      </c>
      <c r="F123">
        <v>10813709.800000001</v>
      </c>
      <c r="G123">
        <v>6.157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0.52354570637119169</v>
      </c>
      <c r="Q123">
        <f t="shared" ref="Q123" si="591">F123*P123</f>
        <v>5661471.3357340787</v>
      </c>
      <c r="R123">
        <f t="shared" ref="R123" si="592">R124+Q123</f>
        <v>-176124705.97154832</v>
      </c>
      <c r="S123">
        <f t="shared" ref="S123" si="593">R123/100000</f>
        <v>-1761.2470597154831</v>
      </c>
      <c r="T123">
        <f t="shared" ref="T123" si="594">S123/1000</f>
        <v>-1.7612470597154832</v>
      </c>
    </row>
    <row r="124" spans="1:20" x14ac:dyDescent="0.25">
      <c r="A124" s="5">
        <v>44469</v>
      </c>
      <c r="B124">
        <v>5.6950000000000003</v>
      </c>
      <c r="C124">
        <v>5.8780000000000001</v>
      </c>
      <c r="D124">
        <v>5.5650000000000004</v>
      </c>
      <c r="E124">
        <v>5.6449999999999996</v>
      </c>
      <c r="F124">
        <v>6886591.5</v>
      </c>
      <c r="G124">
        <v>5.6449999999999996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-0.48881789137380671</v>
      </c>
      <c r="Q124">
        <f t="shared" ref="Q124" si="596">F124*P124</f>
        <v>-3366289.1357827806</v>
      </c>
      <c r="R124">
        <f t="shared" ref="R124" si="597">R125+Q124</f>
        <v>-181786177.30728239</v>
      </c>
      <c r="S124">
        <f t="shared" ref="S124" si="598">R124/100000</f>
        <v>-1817.8617730728238</v>
      </c>
      <c r="T124">
        <f t="shared" ref="T124" si="599">S124/1000</f>
        <v>-1.8178617730728237</v>
      </c>
    </row>
    <row r="125" spans="1:20" x14ac:dyDescent="0.25">
      <c r="A125" s="5">
        <v>44468</v>
      </c>
      <c r="B125">
        <v>5.8220000000000001</v>
      </c>
      <c r="C125">
        <v>6.18</v>
      </c>
      <c r="D125">
        <v>5.51</v>
      </c>
      <c r="E125">
        <v>5.6950000000000003</v>
      </c>
      <c r="F125">
        <v>9495081.4000000004</v>
      </c>
      <c r="G125">
        <v>5.6950000000000003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-0.44776119402984921</v>
      </c>
      <c r="Q125">
        <f t="shared" ref="Q125" si="601">F125*P125</f>
        <v>-4251528.9850746123</v>
      </c>
      <c r="R125">
        <f t="shared" ref="R125" si="602">R126+Q125</f>
        <v>-178419888.17149961</v>
      </c>
      <c r="S125">
        <f t="shared" ref="S125" si="603">R125/100000</f>
        <v>-1784.1988817149961</v>
      </c>
      <c r="T125">
        <f t="shared" ref="T125" si="604">S125/1000</f>
        <v>-1.7841988817149961</v>
      </c>
    </row>
    <row r="126" spans="1:20" x14ac:dyDescent="0.25">
      <c r="A126" s="5">
        <v>44467</v>
      </c>
      <c r="B126">
        <v>6.1319999999999997</v>
      </c>
      <c r="C126">
        <v>6.2709999999999999</v>
      </c>
      <c r="D126">
        <v>5.8</v>
      </c>
      <c r="E126">
        <v>5.82</v>
      </c>
      <c r="F126">
        <v>7860852.4000000004</v>
      </c>
      <c r="G126">
        <v>5.82</v>
      </c>
      <c r="L126" t="s">
        <v>7</v>
      </c>
      <c r="M126" t="s">
        <v>8</v>
      </c>
      <c r="N126" t="s">
        <v>7</v>
      </c>
      <c r="P126">
        <f t="shared" ref="P126" si="605">IF(C126=D126,0,((E126-D126)-(C126-E126))/(C126-D126))</f>
        <v>-0.9150743099787666</v>
      </c>
      <c r="Q126">
        <f t="shared" ref="Q126" si="606">F126*P126</f>
        <v>-7193264.0857749321</v>
      </c>
      <c r="R126">
        <f t="shared" ref="R126" si="607">R127+Q126</f>
        <v>-174168359.186425</v>
      </c>
      <c r="S126">
        <f t="shared" ref="S126" si="608">R126/100000</f>
        <v>-1741.68359186425</v>
      </c>
      <c r="T126">
        <f t="shared" ref="T126" si="609">S126/1000</f>
        <v>-1.7416835918642501</v>
      </c>
    </row>
    <row r="127" spans="1:20" x14ac:dyDescent="0.25">
      <c r="A127" s="5">
        <v>44466</v>
      </c>
      <c r="B127">
        <v>6.2530000000000001</v>
      </c>
      <c r="C127">
        <v>7.016</v>
      </c>
      <c r="D127">
        <v>6.0869999999999997</v>
      </c>
      <c r="E127">
        <v>6.1319999999999997</v>
      </c>
      <c r="F127">
        <v>13176448.699999999</v>
      </c>
      <c r="G127">
        <v>6.1319999999999997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-0.90312163616792263</v>
      </c>
      <c r="Q127">
        <f t="shared" ref="Q127" si="611">F127*P127</f>
        <v>-11899935.908826696</v>
      </c>
      <c r="R127">
        <f t="shared" ref="R127" si="612">R128+Q127</f>
        <v>-166975095.10065007</v>
      </c>
      <c r="S127">
        <f t="shared" ref="S127" si="613">R127/100000</f>
        <v>-1669.7509510065008</v>
      </c>
      <c r="T127">
        <f t="shared" ref="T127" si="614">S127/1000</f>
        <v>-1.6697509510065007</v>
      </c>
    </row>
    <row r="128" spans="1:20" x14ac:dyDescent="0.25">
      <c r="A128" s="5">
        <v>44465</v>
      </c>
      <c r="B128">
        <v>6.8150000000000004</v>
      </c>
      <c r="C128">
        <v>6.82</v>
      </c>
      <c r="D128">
        <v>5.718</v>
      </c>
      <c r="E128">
        <v>6.2590000000000003</v>
      </c>
      <c r="F128">
        <v>25894644.699999999</v>
      </c>
      <c r="G128">
        <v>6.2590000000000003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-1.8148820326678375E-2</v>
      </c>
      <c r="Q128">
        <f t="shared" ref="Q128" si="616">F128*P128</f>
        <v>-469957.25408347446</v>
      </c>
      <c r="R128">
        <f t="shared" ref="R128" si="617">R129+Q128</f>
        <v>-155075159.19182336</v>
      </c>
      <c r="S128">
        <f t="shared" ref="S128" si="618">R128/100000</f>
        <v>-1550.7515919182335</v>
      </c>
      <c r="T128">
        <f t="shared" ref="T128" si="619">S128/1000</f>
        <v>-1.5507515919182335</v>
      </c>
    </row>
    <row r="129" spans="1:20" x14ac:dyDescent="0.25">
      <c r="A129" s="5">
        <v>44464</v>
      </c>
      <c r="B129">
        <v>7.601</v>
      </c>
      <c r="C129">
        <v>7.7930000000000001</v>
      </c>
      <c r="D129">
        <v>6.7350000000000003</v>
      </c>
      <c r="E129">
        <v>6.819</v>
      </c>
      <c r="F129">
        <v>20280839.699999999</v>
      </c>
      <c r="G129">
        <v>6.819</v>
      </c>
      <c r="L129" t="s">
        <v>7</v>
      </c>
      <c r="M129" t="s">
        <v>7</v>
      </c>
      <c r="N129" t="s">
        <v>8</v>
      </c>
      <c r="P129">
        <f t="shared" ref="P129" si="620">IF(C129=D129,0,((E129-D129)-(C129-E129))/(C129-D129))</f>
        <v>-0.84120982986767556</v>
      </c>
      <c r="Q129">
        <f t="shared" ref="Q129" si="621">F129*P129</f>
        <v>-17060441.713610601</v>
      </c>
      <c r="R129">
        <f t="shared" ref="R129" si="622">R130+Q129</f>
        <v>-154605201.93773988</v>
      </c>
      <c r="S129">
        <f t="shared" ref="S129" si="623">R129/100000</f>
        <v>-1546.0520193773989</v>
      </c>
      <c r="T129">
        <f t="shared" ref="T129" si="624">S129/1000</f>
        <v>-1.546052019377399</v>
      </c>
    </row>
    <row r="130" spans="1:20" x14ac:dyDescent="0.25">
      <c r="A130" s="5">
        <v>44463</v>
      </c>
      <c r="B130">
        <v>7.13</v>
      </c>
      <c r="C130">
        <v>8.2840000000000007</v>
      </c>
      <c r="D130">
        <v>6.2</v>
      </c>
      <c r="E130">
        <v>7.6029999999999998</v>
      </c>
      <c r="F130">
        <v>43371194.899999999</v>
      </c>
      <c r="G130">
        <v>7.6029999999999998</v>
      </c>
      <c r="L130" t="s">
        <v>8</v>
      </c>
      <c r="M130" t="s">
        <v>8</v>
      </c>
      <c r="N130" t="s">
        <v>8</v>
      </c>
      <c r="P130">
        <f t="shared" ref="P130" si="625">IF(C130=D130,0,((E130-D130)-(C130-E130))/(C130-D130))</f>
        <v>0.34644913627639079</v>
      </c>
      <c r="Q130">
        <f t="shared" ref="Q130" si="626">F130*P130</f>
        <v>15025913.012380004</v>
      </c>
      <c r="R130">
        <f t="shared" ref="R130" si="627">R131+Q130</f>
        <v>-137544760.22412929</v>
      </c>
      <c r="S130">
        <f t="shared" ref="S130" si="628">R130/100000</f>
        <v>-1375.447602241293</v>
      </c>
      <c r="T130">
        <f t="shared" ref="T130" si="629">S130/1000</f>
        <v>-1.3754476022412929</v>
      </c>
    </row>
    <row r="131" spans="1:20" x14ac:dyDescent="0.25">
      <c r="A131" s="5">
        <v>44462</v>
      </c>
      <c r="B131">
        <v>6.5460000000000003</v>
      </c>
      <c r="C131">
        <v>7.88</v>
      </c>
      <c r="D131">
        <v>6.25</v>
      </c>
      <c r="E131">
        <v>7.1360000000000001</v>
      </c>
      <c r="F131">
        <v>22934256.199999999</v>
      </c>
      <c r="G131">
        <v>7.1360000000000001</v>
      </c>
      <c r="L131" t="s">
        <v>8</v>
      </c>
      <c r="M131" t="s">
        <v>8</v>
      </c>
      <c r="N131" t="s">
        <v>8</v>
      </c>
      <c r="P131">
        <f t="shared" ref="P131" si="630">IF(C131=D131,0,((E131-D131)-(C131-E131))/(C131-D131))</f>
        <v>8.7116564417178133E-2</v>
      </c>
      <c r="Q131">
        <f t="shared" ref="Q131" si="631">F131*P131</f>
        <v>1997953.607607367</v>
      </c>
      <c r="R131">
        <f t="shared" ref="R131" si="632">R132+Q131</f>
        <v>-152570673.23650929</v>
      </c>
      <c r="S131">
        <f t="shared" ref="S131" si="633">R131/100000</f>
        <v>-1525.7067323650929</v>
      </c>
      <c r="T131">
        <f t="shared" ref="T131" si="634">S131/1000</f>
        <v>-1.5257067323650928</v>
      </c>
    </row>
    <row r="132" spans="1:20" x14ac:dyDescent="0.25">
      <c r="A132" s="5">
        <v>44461</v>
      </c>
      <c r="B132">
        <v>6.23</v>
      </c>
      <c r="C132">
        <v>6.8419999999999996</v>
      </c>
      <c r="D132">
        <v>5.6689999999999996</v>
      </c>
      <c r="E132">
        <v>6.5490000000000004</v>
      </c>
      <c r="F132">
        <v>18191248.199999999</v>
      </c>
      <c r="G132">
        <v>6.5490000000000004</v>
      </c>
      <c r="L132" t="s">
        <v>7</v>
      </c>
      <c r="M132" t="s">
        <v>7</v>
      </c>
      <c r="N132" t="s">
        <v>8</v>
      </c>
      <c r="P132">
        <f t="shared" ref="P132" si="635">IF(C132=D132,0,((E132-D132)-(C132-E132))/(C132-D132))</f>
        <v>0.50042625745950686</v>
      </c>
      <c r="Q132">
        <f t="shared" ref="Q132" si="636">F132*P132</f>
        <v>9103378.2552429903</v>
      </c>
      <c r="R132">
        <f t="shared" ref="R132" si="637">R133+Q132</f>
        <v>-154568626.84411666</v>
      </c>
      <c r="S132">
        <f t="shared" ref="S132" si="638">R132/100000</f>
        <v>-1545.6862684411665</v>
      </c>
      <c r="T132">
        <f t="shared" ref="T132" si="639">S132/1000</f>
        <v>-1.5456862684411665</v>
      </c>
    </row>
    <row r="133" spans="1:20" x14ac:dyDescent="0.25">
      <c r="A133" s="5">
        <v>44460</v>
      </c>
      <c r="B133">
        <v>5.8959999999999999</v>
      </c>
      <c r="C133">
        <v>7.5380000000000003</v>
      </c>
      <c r="D133">
        <v>5.48</v>
      </c>
      <c r="E133">
        <v>6.2270000000000003</v>
      </c>
      <c r="F133">
        <v>34412921.5</v>
      </c>
      <c r="G133">
        <v>6.2270000000000003</v>
      </c>
      <c r="L133" t="s">
        <v>8</v>
      </c>
      <c r="M133" t="s">
        <v>8</v>
      </c>
      <c r="N133" t="s">
        <v>8</v>
      </c>
      <c r="P133">
        <f t="shared" ref="P133" si="640">IF(C133=D133,0,((E133-D133)-(C133-E133))/(C133-D133))</f>
        <v>-0.27405247813411082</v>
      </c>
      <c r="Q133">
        <f t="shared" ref="Q133" si="641">F133*P133</f>
        <v>-9430946.416909622</v>
      </c>
      <c r="R133">
        <f t="shared" ref="R133" si="642">R134+Q133</f>
        <v>-163672005.09935966</v>
      </c>
      <c r="S133">
        <f t="shared" ref="S133" si="643">R133/100000</f>
        <v>-1636.7200509935967</v>
      </c>
      <c r="T133">
        <f t="shared" ref="T133" si="644">S133/1000</f>
        <v>-1.6367200509935966</v>
      </c>
    </row>
    <row r="134" spans="1:20" x14ac:dyDescent="0.25">
      <c r="A134" s="5">
        <v>44459</v>
      </c>
      <c r="B134">
        <v>5.9349999999999996</v>
      </c>
      <c r="C134">
        <v>6.53</v>
      </c>
      <c r="D134">
        <v>5.5410000000000004</v>
      </c>
      <c r="E134">
        <v>5.6959999999999997</v>
      </c>
      <c r="F134">
        <v>17938325.600000001</v>
      </c>
      <c r="G134">
        <v>5.6959999999999997</v>
      </c>
      <c r="L134" t="s">
        <v>8</v>
      </c>
      <c r="M134" t="s">
        <v>8</v>
      </c>
      <c r="N134" t="s">
        <v>8</v>
      </c>
      <c r="P134">
        <f t="shared" ref="P134" si="645">IF(C134=D134,0,((E134-D134)-(C134-E134))/(C134-D134))</f>
        <v>-0.6865520728008101</v>
      </c>
      <c r="Q134">
        <f t="shared" ref="Q134" si="646">F134*P134</f>
        <v>-12315594.623255836</v>
      </c>
      <c r="R134">
        <f t="shared" ref="R134" si="647">R135+Q134</f>
        <v>-154241058.68245003</v>
      </c>
      <c r="S134">
        <f t="shared" ref="S134" si="648">R134/100000</f>
        <v>-1542.4105868245003</v>
      </c>
      <c r="T134">
        <f t="shared" ref="T134" si="649">S134/1000</f>
        <v>-1.5424105868245004</v>
      </c>
    </row>
    <row r="135" spans="1:20" x14ac:dyDescent="0.25">
      <c r="A135" s="5">
        <v>44458</v>
      </c>
      <c r="B135">
        <v>5.2409999999999997</v>
      </c>
      <c r="C135">
        <v>6.22</v>
      </c>
      <c r="D135">
        <v>5.101</v>
      </c>
      <c r="E135">
        <v>5.9359999999999999</v>
      </c>
      <c r="F135">
        <v>14866881</v>
      </c>
      <c r="G135">
        <v>5.9359999999999999</v>
      </c>
      <c r="L135" t="s">
        <v>8</v>
      </c>
      <c r="M135" t="s">
        <v>8</v>
      </c>
      <c r="N135" t="s">
        <v>8</v>
      </c>
      <c r="P135">
        <f t="shared" ref="P135" si="650">IF(C135=D135,0,((E135-D135)-(C135-E135))/(C135-D135))</f>
        <v>0.4924039320822165</v>
      </c>
      <c r="Q135">
        <f t="shared" ref="Q135" si="651">F135*P135</f>
        <v>7320510.6621983945</v>
      </c>
      <c r="R135">
        <f t="shared" ref="R135" si="652">R136+Q135</f>
        <v>-141925464.05919418</v>
      </c>
      <c r="S135">
        <f t="shared" ref="S135" si="653">R135/100000</f>
        <v>-1419.2546405919418</v>
      </c>
      <c r="T135">
        <f t="shared" ref="T135" si="654">S135/1000</f>
        <v>-1.4192546405919417</v>
      </c>
    </row>
    <row r="136" spans="1:20" x14ac:dyDescent="0.25">
      <c r="A136" s="5">
        <v>44457</v>
      </c>
      <c r="B136">
        <v>5.1050000000000004</v>
      </c>
      <c r="C136">
        <v>5.55</v>
      </c>
      <c r="D136">
        <v>5.0250000000000004</v>
      </c>
      <c r="E136">
        <v>5.2350000000000003</v>
      </c>
      <c r="F136">
        <v>5442070.5999999996</v>
      </c>
      <c r="G136">
        <v>5.2350000000000003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-0.19999999999999932</v>
      </c>
      <c r="Q136">
        <f t="shared" ref="Q136" si="656">F136*P136</f>
        <v>-1088414.1199999962</v>
      </c>
      <c r="R136">
        <f t="shared" ref="R136" si="657">R137+Q136</f>
        <v>-149245974.72139257</v>
      </c>
      <c r="S136">
        <f t="shared" ref="S136" si="658">R136/100000</f>
        <v>-1492.4597472139258</v>
      </c>
      <c r="T136">
        <f t="shared" ref="T136" si="659">S136/1000</f>
        <v>-1.4924597472139258</v>
      </c>
    </row>
    <row r="137" spans="1:20" x14ac:dyDescent="0.25">
      <c r="A137" s="5">
        <v>44456</v>
      </c>
      <c r="B137">
        <v>5.3609999999999998</v>
      </c>
      <c r="C137">
        <v>5.3639999999999999</v>
      </c>
      <c r="D137">
        <v>4.9850000000000003</v>
      </c>
      <c r="E137">
        <v>5.1070000000000002</v>
      </c>
      <c r="F137">
        <v>4820864</v>
      </c>
      <c r="G137">
        <v>5.1070000000000002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-0.35620052770448535</v>
      </c>
      <c r="Q137">
        <f t="shared" ref="Q137" si="661">F137*P137</f>
        <v>-1717194.300791556</v>
      </c>
      <c r="R137">
        <f t="shared" ref="R137" si="662">R138+Q137</f>
        <v>-148157560.60139257</v>
      </c>
      <c r="S137">
        <f t="shared" ref="S137" si="663">R137/100000</f>
        <v>-1481.5756060139256</v>
      </c>
      <c r="T137">
        <f t="shared" ref="T137" si="664">S137/1000</f>
        <v>-1.4815756060139256</v>
      </c>
    </row>
    <row r="138" spans="1:20" x14ac:dyDescent="0.25">
      <c r="A138" s="5">
        <v>44455</v>
      </c>
      <c r="B138">
        <v>5.0469999999999997</v>
      </c>
      <c r="C138">
        <v>5.4960000000000004</v>
      </c>
      <c r="D138">
        <v>4.9169999999999998</v>
      </c>
      <c r="E138">
        <v>5.36</v>
      </c>
      <c r="F138">
        <v>7102190.7000000002</v>
      </c>
      <c r="G138">
        <v>5.36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0.53022452504317796</v>
      </c>
      <c r="Q138">
        <f t="shared" ref="Q138" si="666">F138*P138</f>
        <v>3765755.6906735757</v>
      </c>
      <c r="R138">
        <f t="shared" ref="R138" si="667">R139+Q138</f>
        <v>-146440366.30060101</v>
      </c>
      <c r="S138">
        <f t="shared" ref="S138" si="668">R138/100000</f>
        <v>-1464.40366300601</v>
      </c>
      <c r="T138">
        <f t="shared" ref="T138" si="669">S138/1000</f>
        <v>-1.46440366300601</v>
      </c>
    </row>
    <row r="139" spans="1:20" x14ac:dyDescent="0.25">
      <c r="A139" s="5">
        <v>44454</v>
      </c>
      <c r="B139">
        <v>5.0350000000000001</v>
      </c>
      <c r="C139">
        <v>5.4530000000000003</v>
      </c>
      <c r="D139">
        <v>4.8390000000000004</v>
      </c>
      <c r="E139">
        <v>5.0439999999999996</v>
      </c>
      <c r="F139">
        <v>6981277.0999999996</v>
      </c>
      <c r="G139">
        <v>5.0439999999999996</v>
      </c>
      <c r="L139" t="s">
        <v>7</v>
      </c>
      <c r="M139" t="s">
        <v>8</v>
      </c>
      <c r="N139" t="s">
        <v>7</v>
      </c>
      <c r="P139">
        <f t="shared" ref="P139" si="670">IF(C139=D139,0,((E139-D139)-(C139-E139))/(C139-D139))</f>
        <v>-0.33224755700325986</v>
      </c>
      <c r="Q139">
        <f t="shared" ref="Q139" si="671">F139*P139</f>
        <v>-2319512.2612378024</v>
      </c>
      <c r="R139">
        <f t="shared" ref="R139" si="672">R140+Q139</f>
        <v>-150206121.9912746</v>
      </c>
      <c r="S139">
        <f t="shared" ref="S139" si="673">R139/100000</f>
        <v>-1502.0612199127459</v>
      </c>
      <c r="T139">
        <f t="shared" ref="T139" si="674">S139/1000</f>
        <v>-1.5020612199127459</v>
      </c>
    </row>
    <row r="140" spans="1:20" x14ac:dyDescent="0.25">
      <c r="A140" s="5">
        <v>44453</v>
      </c>
      <c r="B140">
        <v>5.1929999999999996</v>
      </c>
      <c r="C140">
        <v>5.6779999999999999</v>
      </c>
      <c r="D140">
        <v>4.9829999999999997</v>
      </c>
      <c r="E140">
        <v>5.03</v>
      </c>
      <c r="F140">
        <v>9828767.3000000007</v>
      </c>
      <c r="G140">
        <v>5.03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-0.86474820143884723</v>
      </c>
      <c r="Q140">
        <f t="shared" ref="Q140" si="676">F140*P140</f>
        <v>-8499408.8450359553</v>
      </c>
      <c r="R140">
        <f t="shared" ref="R140" si="677">R141+Q140</f>
        <v>-147886609.7300368</v>
      </c>
      <c r="S140">
        <f t="shared" ref="S140" si="678">R140/100000</f>
        <v>-1478.866097300368</v>
      </c>
      <c r="T140">
        <f t="shared" ref="T140" si="679">S140/1000</f>
        <v>-1.478866097300368</v>
      </c>
    </row>
    <row r="141" spans="1:20" x14ac:dyDescent="0.25">
      <c r="A141" s="5">
        <v>44452</v>
      </c>
      <c r="B141">
        <v>4.9580000000000002</v>
      </c>
      <c r="C141">
        <v>5.35</v>
      </c>
      <c r="D141">
        <v>4.2359999999999998</v>
      </c>
      <c r="E141">
        <v>5.1879999999999997</v>
      </c>
      <c r="F141">
        <v>10625099.5</v>
      </c>
      <c r="G141">
        <v>5.1879999999999997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0.70915619389587081</v>
      </c>
      <c r="Q141">
        <f t="shared" ref="Q141" si="681">F141*P141</f>
        <v>7534855.12118492</v>
      </c>
      <c r="R141">
        <f t="shared" ref="R141" si="682">R142+Q141</f>
        <v>-139387200.88500082</v>
      </c>
      <c r="S141">
        <f t="shared" ref="S141" si="683">R141/100000</f>
        <v>-1393.8720088500083</v>
      </c>
      <c r="T141">
        <f t="shared" ref="T141" si="684">S141/1000</f>
        <v>-1.3938720088500083</v>
      </c>
    </row>
    <row r="142" spans="1:20" x14ac:dyDescent="0.25">
      <c r="A142" s="5">
        <v>44451</v>
      </c>
      <c r="B142">
        <v>5.0359999999999996</v>
      </c>
      <c r="C142">
        <v>5.3529999999999998</v>
      </c>
      <c r="D142">
        <v>4.8410000000000002</v>
      </c>
      <c r="E142">
        <v>4.9560000000000004</v>
      </c>
      <c r="F142">
        <v>6383340.9000000004</v>
      </c>
      <c r="G142">
        <v>4.9560000000000004</v>
      </c>
      <c r="L142" t="s">
        <v>8</v>
      </c>
      <c r="M142" t="s">
        <v>7</v>
      </c>
      <c r="N142" t="s">
        <v>8</v>
      </c>
      <c r="P142">
        <f t="shared" ref="P142" si="685">IF(C142=D142,0,((E142-D142)-(C142-E142))/(C142-D142))</f>
        <v>-0.55078124999999878</v>
      </c>
      <c r="Q142">
        <f t="shared" ref="Q142" si="686">F142*P142</f>
        <v>-3515824.4800781175</v>
      </c>
      <c r="R142">
        <f t="shared" ref="R142" si="687">R143+Q142</f>
        <v>-146922056.00618574</v>
      </c>
      <c r="S142">
        <f t="shared" ref="S142" si="688">R142/100000</f>
        <v>-1469.2205600618574</v>
      </c>
      <c r="T142">
        <f t="shared" ref="T142" si="689">S142/1000</f>
        <v>-1.4692205600618575</v>
      </c>
    </row>
    <row r="143" spans="1:20" x14ac:dyDescent="0.25">
      <c r="A143" s="5">
        <v>44450</v>
      </c>
      <c r="B143">
        <v>5.0419999999999998</v>
      </c>
      <c r="C143">
        <v>5.48</v>
      </c>
      <c r="D143">
        <v>4.84</v>
      </c>
      <c r="E143">
        <v>5.0410000000000004</v>
      </c>
      <c r="F143">
        <v>9512617.4000000004</v>
      </c>
      <c r="G143">
        <v>5.0410000000000004</v>
      </c>
      <c r="L143" t="s">
        <v>7</v>
      </c>
      <c r="M143" t="s">
        <v>7</v>
      </c>
      <c r="N143" t="s">
        <v>8</v>
      </c>
      <c r="P143">
        <f t="shared" ref="P143" si="690">IF(C143=D143,0,((E143-D143)-(C143-E143))/(C143-D143))</f>
        <v>-0.37187499999999896</v>
      </c>
      <c r="Q143">
        <f t="shared" ref="Q143" si="691">F143*P143</f>
        <v>-3537504.5956249903</v>
      </c>
      <c r="R143">
        <f t="shared" ref="R143" si="692">R144+Q143</f>
        <v>-143406231.52610761</v>
      </c>
      <c r="S143">
        <f t="shared" ref="S143" si="693">R143/100000</f>
        <v>-1434.062315261076</v>
      </c>
      <c r="T143">
        <f t="shared" ref="T143" si="694">S143/1000</f>
        <v>-1.4340623152610761</v>
      </c>
    </row>
    <row r="144" spans="1:20" x14ac:dyDescent="0.25">
      <c r="A144" s="5">
        <v>44449</v>
      </c>
      <c r="B144">
        <v>5.258</v>
      </c>
      <c r="C144">
        <v>6.3230000000000004</v>
      </c>
      <c r="D144">
        <v>4.7149999999999999</v>
      </c>
      <c r="E144">
        <v>5.0419999999999998</v>
      </c>
      <c r="F144">
        <v>25590977.600000001</v>
      </c>
      <c r="G144">
        <v>5.0419999999999998</v>
      </c>
      <c r="L144" t="s">
        <v>8</v>
      </c>
      <c r="M144" t="s">
        <v>8</v>
      </c>
      <c r="N144" t="s">
        <v>8</v>
      </c>
      <c r="P144">
        <f t="shared" ref="P144" si="695">IF(C144=D144,0,((E144-D144)-(C144-E144))/(C144-D144))</f>
        <v>-0.59328358208955245</v>
      </c>
      <c r="Q144">
        <f t="shared" ref="Q144" si="696">F144*P144</f>
        <v>-15182706.859701499</v>
      </c>
      <c r="R144">
        <f t="shared" ref="R144" si="697">R145+Q144</f>
        <v>-139868726.93048263</v>
      </c>
      <c r="S144">
        <f t="shared" ref="S144" si="698">R144/100000</f>
        <v>-1398.6872693048263</v>
      </c>
      <c r="T144">
        <f t="shared" ref="T144" si="699">S144/1000</f>
        <v>-1.3986872693048262</v>
      </c>
    </row>
    <row r="145" spans="1:20" x14ac:dyDescent="0.25">
      <c r="A145" s="5">
        <v>44448</v>
      </c>
      <c r="B145">
        <v>4.2409999999999997</v>
      </c>
      <c r="C145">
        <v>5.7850000000000001</v>
      </c>
      <c r="D145">
        <v>4.0999999999999996</v>
      </c>
      <c r="E145">
        <v>5.2560000000000002</v>
      </c>
      <c r="F145">
        <v>17343148.600000001</v>
      </c>
      <c r="G145">
        <v>5.2560000000000002</v>
      </c>
      <c r="L145" t="s">
        <v>8</v>
      </c>
      <c r="M145" t="s">
        <v>8</v>
      </c>
      <c r="N145" t="s">
        <v>8</v>
      </c>
      <c r="P145">
        <f t="shared" ref="P145" si="700">IF(C145=D145,0,((E145-D145)-(C145-E145))/(C145-D145))</f>
        <v>0.37210682492581632</v>
      </c>
      <c r="Q145">
        <f t="shared" ref="Q145" si="701">F145*P145</f>
        <v>6453503.959762617</v>
      </c>
      <c r="R145">
        <f t="shared" ref="R145" si="702">R146+Q145</f>
        <v>-124686020.07078111</v>
      </c>
      <c r="S145">
        <f t="shared" ref="S145" si="703">R145/100000</f>
        <v>-1246.8602007078111</v>
      </c>
      <c r="T145">
        <f t="shared" ref="T145" si="704">S145/1000</f>
        <v>-1.2468602007078111</v>
      </c>
    </row>
    <row r="146" spans="1:20" x14ac:dyDescent="0.25">
      <c r="A146" s="5">
        <v>44447</v>
      </c>
      <c r="B146">
        <v>4.13</v>
      </c>
      <c r="C146">
        <v>4.75</v>
      </c>
      <c r="D146">
        <v>3.8719999999999999</v>
      </c>
      <c r="E146">
        <v>4.2409999999999997</v>
      </c>
      <c r="F146">
        <v>9260006.5999999996</v>
      </c>
      <c r="G146">
        <v>4.2409999999999997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-0.15945330296127624</v>
      </c>
      <c r="Q146">
        <f t="shared" ref="Q146" si="706">F146*P146</f>
        <v>-1476538.6378132175</v>
      </c>
      <c r="R146">
        <f t="shared" ref="R146" si="707">R147+Q146</f>
        <v>-131139524.03054373</v>
      </c>
      <c r="S146">
        <f t="shared" ref="S146" si="708">R146/100000</f>
        <v>-1311.3952403054373</v>
      </c>
      <c r="T146">
        <f t="shared" ref="T146" si="709">S146/1000</f>
        <v>-1.3113952403054372</v>
      </c>
    </row>
    <row r="147" spans="1:20" x14ac:dyDescent="0.25">
      <c r="A147" s="5">
        <v>44446</v>
      </c>
      <c r="B147">
        <v>5.1550000000000002</v>
      </c>
      <c r="C147">
        <v>5.1879999999999997</v>
      </c>
      <c r="D147">
        <v>3.786</v>
      </c>
      <c r="E147">
        <v>4.1219999999999999</v>
      </c>
      <c r="F147">
        <v>9732376</v>
      </c>
      <c r="G147">
        <v>4.1219999999999999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-0.52068473609129828</v>
      </c>
      <c r="Q147">
        <f t="shared" ref="Q147" si="711">F147*P147</f>
        <v>-5067499.6291012848</v>
      </c>
      <c r="R147">
        <f t="shared" ref="R147" si="712">R148+Q147</f>
        <v>-129662985.39273052</v>
      </c>
      <c r="S147">
        <f t="shared" ref="S147" si="713">R147/100000</f>
        <v>-1296.6298539273052</v>
      </c>
      <c r="T147">
        <f t="shared" ref="T147" si="714">S147/1000</f>
        <v>-1.2966298539273053</v>
      </c>
    </row>
    <row r="148" spans="1:20" x14ac:dyDescent="0.25">
      <c r="A148" s="5">
        <v>44445</v>
      </c>
      <c r="B148">
        <v>5.4720000000000004</v>
      </c>
      <c r="C148">
        <v>5.5650000000000004</v>
      </c>
      <c r="D148">
        <v>5.1100000000000003</v>
      </c>
      <c r="E148">
        <v>5.16</v>
      </c>
      <c r="F148">
        <v>7192984</v>
      </c>
      <c r="G148">
        <v>5.16</v>
      </c>
      <c r="L148" t="s">
        <v>8</v>
      </c>
      <c r="M148" t="s">
        <v>7</v>
      </c>
      <c r="N148" t="s">
        <v>7</v>
      </c>
      <c r="P148">
        <f t="shared" ref="P148" si="715">IF(C148=D148,0,((E148-D148)-(C148-E148))/(C148-D148))</f>
        <v>-0.780219780219781</v>
      </c>
      <c r="Q148">
        <f t="shared" ref="Q148" si="716">F148*P148</f>
        <v>-5612108.3956044009</v>
      </c>
      <c r="R148">
        <f t="shared" ref="R148" si="717">R149+Q148</f>
        <v>-124595485.76362923</v>
      </c>
      <c r="S148">
        <f t="shared" ref="S148" si="718">R148/100000</f>
        <v>-1245.9548576362922</v>
      </c>
      <c r="T148">
        <f t="shared" ref="T148" si="719">S148/1000</f>
        <v>-1.2459548576362922</v>
      </c>
    </row>
    <row r="149" spans="1:20" x14ac:dyDescent="0.25">
      <c r="A149" s="5">
        <v>44444</v>
      </c>
      <c r="B149">
        <v>5.12</v>
      </c>
      <c r="C149">
        <v>6.5</v>
      </c>
      <c r="D149">
        <v>5.056</v>
      </c>
      <c r="E149">
        <v>5.4720000000000004</v>
      </c>
      <c r="F149">
        <v>12636440</v>
      </c>
      <c r="G149">
        <v>5.4720000000000004</v>
      </c>
      <c r="L149" t="s">
        <v>7</v>
      </c>
      <c r="M149" t="s">
        <v>8</v>
      </c>
      <c r="N149" t="s">
        <v>7</v>
      </c>
      <c r="P149">
        <f t="shared" ref="P149" si="720">IF(C149=D149,0,((E149-D149)-(C149-E149))/(C149-D149))</f>
        <v>-0.42382271468143989</v>
      </c>
      <c r="Q149">
        <f t="shared" ref="Q149" si="721">F149*P149</f>
        <v>-5355610.3047091346</v>
      </c>
      <c r="R149">
        <f t="shared" ref="R149" si="722">R150+Q149</f>
        <v>-118983377.36802483</v>
      </c>
      <c r="S149">
        <f t="shared" ref="S149" si="723">R149/100000</f>
        <v>-1189.8337736802482</v>
      </c>
      <c r="T149">
        <f t="shared" ref="T149" si="724">S149/1000</f>
        <v>-1.1898337736802482</v>
      </c>
    </row>
    <row r="150" spans="1:20" x14ac:dyDescent="0.25">
      <c r="A150" s="5">
        <v>44443</v>
      </c>
      <c r="B150">
        <v>5.3079999999999998</v>
      </c>
      <c r="C150">
        <v>5.62</v>
      </c>
      <c r="D150">
        <v>5.1100000000000003</v>
      </c>
      <c r="E150">
        <v>5.12</v>
      </c>
      <c r="F150">
        <v>4667187.5</v>
      </c>
      <c r="G150">
        <v>5.12</v>
      </c>
      <c r="L150" t="s">
        <v>7</v>
      </c>
      <c r="M150" t="s">
        <v>7</v>
      </c>
      <c r="N150" t="s">
        <v>7</v>
      </c>
      <c r="P150">
        <f t="shared" ref="P150" si="725">IF(C150=D150,0,((E150-D150)-(C150-E150))/(C150-D150))</f>
        <v>-0.960784313725491</v>
      </c>
      <c r="Q150">
        <f t="shared" ref="Q150" si="726">F150*P150</f>
        <v>-4484160.5392156905</v>
      </c>
      <c r="R150">
        <f t="shared" ref="R150" si="727">R151+Q150</f>
        <v>-113627767.06331569</v>
      </c>
      <c r="S150">
        <f t="shared" ref="S150" si="728">R150/100000</f>
        <v>-1136.277670633157</v>
      </c>
      <c r="T150">
        <f t="shared" ref="T150" si="729">S150/1000</f>
        <v>-1.136277670633157</v>
      </c>
    </row>
    <row r="151" spans="1:20" x14ac:dyDescent="0.25">
      <c r="A151" s="5">
        <v>44442</v>
      </c>
      <c r="B151">
        <v>5.6139999999999999</v>
      </c>
      <c r="C151">
        <v>5.7</v>
      </c>
      <c r="D151">
        <v>5.2759999999999998</v>
      </c>
      <c r="E151">
        <v>5.3019999999999996</v>
      </c>
      <c r="F151">
        <v>5276127.5999999996</v>
      </c>
      <c r="G151">
        <v>5.3019999999999996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-0.87735849056603876</v>
      </c>
      <c r="Q151">
        <f t="shared" ref="Q151" si="731">F151*P151</f>
        <v>-4629055.3471698165</v>
      </c>
      <c r="R151">
        <f t="shared" ref="R151" si="732">R152+Q151</f>
        <v>-109143606.52410001</v>
      </c>
      <c r="S151">
        <f t="shared" ref="S151" si="733">R151/100000</f>
        <v>-1091.4360652410001</v>
      </c>
      <c r="T151">
        <f t="shared" ref="T151" si="734">S151/1000</f>
        <v>-1.091436065241</v>
      </c>
    </row>
    <row r="152" spans="1:20" x14ac:dyDescent="0.25">
      <c r="A152" s="5">
        <v>44441</v>
      </c>
      <c r="B152">
        <v>5.798</v>
      </c>
      <c r="C152">
        <v>5.9829999999999997</v>
      </c>
      <c r="D152">
        <v>5.5369999999999999</v>
      </c>
      <c r="E152">
        <v>5.6150000000000002</v>
      </c>
      <c r="F152">
        <v>8453864.5</v>
      </c>
      <c r="G152">
        <v>5.6150000000000002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-0.65022421524663521</v>
      </c>
      <c r="Q152">
        <f t="shared" ref="Q152" si="736">F152*P152</f>
        <v>-5496907.4103138885</v>
      </c>
      <c r="R152">
        <f t="shared" ref="R152" si="737">R153+Q152</f>
        <v>-104514551.17693019</v>
      </c>
      <c r="S152">
        <f t="shared" ref="S152" si="738">R152/100000</f>
        <v>-1045.1455117693019</v>
      </c>
      <c r="T152">
        <f t="shared" ref="T152" si="739">S152/1000</f>
        <v>-1.045145511769302</v>
      </c>
    </row>
    <row r="153" spans="1:20" x14ac:dyDescent="0.25">
      <c r="A153" s="5">
        <v>44440</v>
      </c>
      <c r="B153">
        <v>5.5140000000000002</v>
      </c>
      <c r="C153">
        <v>6.6219999999999999</v>
      </c>
      <c r="D153">
        <v>5.327</v>
      </c>
      <c r="E153">
        <v>5.7969999999999997</v>
      </c>
      <c r="F153">
        <v>17999948</v>
      </c>
      <c r="G153">
        <v>5.7969999999999997</v>
      </c>
      <c r="L153" t="s">
        <v>7</v>
      </c>
      <c r="M153" t="s">
        <v>7</v>
      </c>
      <c r="N153" t="s">
        <v>7</v>
      </c>
      <c r="P153">
        <f t="shared" ref="P153" si="740">IF(C153=D153,0,((E153-D153)-(C153-E153))/(C153-D153))</f>
        <v>-0.27413127413127447</v>
      </c>
      <c r="Q153">
        <f t="shared" ref="Q153" si="741">F153*P153</f>
        <v>-4934348.6795366853</v>
      </c>
      <c r="R153">
        <f t="shared" ref="R153" si="742">R154+Q153</f>
        <v>-99017643.7666163</v>
      </c>
      <c r="S153">
        <f t="shared" ref="S153" si="743">R153/100000</f>
        <v>-990.176437666163</v>
      </c>
      <c r="T153">
        <f t="shared" ref="T153" si="744">S153/1000</f>
        <v>-0.99017643766616303</v>
      </c>
    </row>
    <row r="154" spans="1:20" x14ac:dyDescent="0.25">
      <c r="A154" s="5">
        <v>44439</v>
      </c>
      <c r="B154">
        <v>7.1280000000000001</v>
      </c>
      <c r="C154">
        <v>7.6840000000000002</v>
      </c>
      <c r="D154">
        <v>5.3940000000000001</v>
      </c>
      <c r="E154">
        <v>5.5149999999999997</v>
      </c>
      <c r="F154">
        <v>32348354.800000001</v>
      </c>
      <c r="G154">
        <v>5.5149999999999997</v>
      </c>
      <c r="L154" t="s">
        <v>8</v>
      </c>
      <c r="M154" t="s">
        <v>8</v>
      </c>
      <c r="N154" t="s">
        <v>7</v>
      </c>
      <c r="P154">
        <f t="shared" ref="P154" si="745">IF(C154=D154,0,((E154-D154)-(C154-E154))/(C154-D154))</f>
        <v>-0.89432314410480385</v>
      </c>
      <c r="Q154">
        <f t="shared" ref="Q154" si="746">F154*P154</f>
        <v>-28929882.371353723</v>
      </c>
      <c r="R154">
        <f t="shared" ref="R154" si="747">R155+Q154</f>
        <v>-94083295.087079614</v>
      </c>
      <c r="S154">
        <f t="shared" ref="S154" si="748">R154/100000</f>
        <v>-940.83295087079614</v>
      </c>
      <c r="T154">
        <f t="shared" ref="T154" si="749">S154/1000</f>
        <v>-0.9408329508707961</v>
      </c>
    </row>
    <row r="155" spans="1:20" x14ac:dyDescent="0.25">
      <c r="A155" s="5">
        <v>44438</v>
      </c>
      <c r="B155">
        <v>4.2640000000000002</v>
      </c>
      <c r="C155">
        <v>10.957000000000001</v>
      </c>
      <c r="D155">
        <v>4.05</v>
      </c>
      <c r="E155">
        <v>7.1280000000000001</v>
      </c>
      <c r="F155">
        <v>52750983.299999997</v>
      </c>
      <c r="G155">
        <v>7.1280000000000001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-0.10873027363544234</v>
      </c>
      <c r="Q155">
        <f t="shared" ref="Q155" si="751">F155*P155</f>
        <v>-5735628.8487476492</v>
      </c>
      <c r="R155">
        <f t="shared" ref="R155" si="752">R156+Q155</f>
        <v>-65153412.715725899</v>
      </c>
      <c r="S155">
        <f t="shared" ref="S155" si="753">R155/100000</f>
        <v>-651.53412715725904</v>
      </c>
      <c r="T155">
        <f t="shared" ref="T155" si="754">S155/1000</f>
        <v>-0.651534127157259</v>
      </c>
    </row>
    <row r="156" spans="1:20" x14ac:dyDescent="0.25">
      <c r="A156" s="5">
        <v>44437</v>
      </c>
      <c r="B156">
        <v>4.6050000000000004</v>
      </c>
      <c r="C156">
        <v>4.6150000000000002</v>
      </c>
      <c r="D156">
        <v>4.24</v>
      </c>
      <c r="E156">
        <v>4.2649999999999997</v>
      </c>
      <c r="F156">
        <v>3635784.6</v>
      </c>
      <c r="G156">
        <v>4.2649999999999997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-0.86666666666666947</v>
      </c>
      <c r="Q156">
        <f t="shared" ref="Q156" si="756">F156*P156</f>
        <v>-3151013.3200000101</v>
      </c>
      <c r="R156">
        <f t="shared" ref="R156" si="757">R157+Q156</f>
        <v>-59417783.86697825</v>
      </c>
      <c r="S156">
        <f t="shared" ref="S156" si="758">R156/100000</f>
        <v>-594.17783866978255</v>
      </c>
      <c r="T156">
        <f t="shared" ref="T156" si="759">S156/1000</f>
        <v>-0.59417783866978258</v>
      </c>
    </row>
    <row r="157" spans="1:20" x14ac:dyDescent="0.25">
      <c r="A157" s="5">
        <v>44436</v>
      </c>
      <c r="B157">
        <v>4.1609999999999996</v>
      </c>
      <c r="C157">
        <v>5.13</v>
      </c>
      <c r="D157">
        <v>4.1260000000000003</v>
      </c>
      <c r="E157">
        <v>4.601</v>
      </c>
      <c r="F157">
        <v>11647384.27</v>
      </c>
      <c r="G157">
        <v>4.601</v>
      </c>
      <c r="L157" t="s">
        <v>8</v>
      </c>
      <c r="M157" t="s">
        <v>8</v>
      </c>
      <c r="N157" t="s">
        <v>8</v>
      </c>
      <c r="P157">
        <f t="shared" ref="P157" si="760">IF(C157=D157,0,((E157-D157)-(C157-E157))/(C157-D157))</f>
        <v>-5.3784860557769217E-2</v>
      </c>
      <c r="Q157">
        <f t="shared" ref="Q157" si="761">F157*P157</f>
        <v>-626452.93882470462</v>
      </c>
      <c r="R157">
        <f t="shared" ref="R157" si="762">R158+Q157</f>
        <v>-56266770.546978243</v>
      </c>
      <c r="S157">
        <f t="shared" ref="S157" si="763">R157/100000</f>
        <v>-562.66770546978239</v>
      </c>
      <c r="T157">
        <f t="shared" ref="T157" si="764">S157/1000</f>
        <v>-0.5626677054697824</v>
      </c>
    </row>
    <row r="158" spans="1:20" x14ac:dyDescent="0.25">
      <c r="A158" s="5">
        <v>44435</v>
      </c>
      <c r="B158">
        <v>3.5289999999999999</v>
      </c>
      <c r="C158">
        <v>4.4000000000000004</v>
      </c>
      <c r="D158">
        <v>3.1589999999999998</v>
      </c>
      <c r="E158">
        <v>4.1680000000000001</v>
      </c>
      <c r="F158">
        <v>15912080.289999999</v>
      </c>
      <c r="G158">
        <v>4.1680000000000001</v>
      </c>
      <c r="L158" t="s">
        <v>8</v>
      </c>
      <c r="M158" t="s">
        <v>8</v>
      </c>
      <c r="N158" t="s">
        <v>8</v>
      </c>
      <c r="P158">
        <f t="shared" ref="P158" si="765">IF(C158=D158,0,((E158-D158)-(C158-E158))/(C158-D158))</f>
        <v>0.6261079774375502</v>
      </c>
      <c r="Q158">
        <f t="shared" ref="Q158" si="766">F158*P158</f>
        <v>9962680.4071958065</v>
      </c>
      <c r="R158">
        <f t="shared" ref="R158" si="767">R159+Q158</f>
        <v>-55640317.608153537</v>
      </c>
      <c r="S158">
        <f t="shared" ref="S158" si="768">R158/100000</f>
        <v>-556.40317608153532</v>
      </c>
      <c r="T158">
        <f t="shared" ref="T158" si="769">S158/1000</f>
        <v>-0.55640317608153533</v>
      </c>
    </row>
    <row r="159" spans="1:20" x14ac:dyDescent="0.25">
      <c r="A159" s="5">
        <v>44434</v>
      </c>
      <c r="B159">
        <v>3.0924999999999998</v>
      </c>
      <c r="C159">
        <v>3.62</v>
      </c>
      <c r="D159">
        <v>2.9670000000000001</v>
      </c>
      <c r="E159">
        <v>3.5390000000000001</v>
      </c>
      <c r="F159">
        <v>6320845.25</v>
      </c>
      <c r="G159">
        <v>3.5390000000000001</v>
      </c>
      <c r="L159" t="s">
        <v>8</v>
      </c>
      <c r="M159" t="s">
        <v>8</v>
      </c>
      <c r="N159" t="s">
        <v>8</v>
      </c>
      <c r="P159">
        <f t="shared" ref="P159" si="770">IF(C159=D159,0,((E159-D159)-(C159-E159))/(C159-D159))</f>
        <v>0.75191424196018386</v>
      </c>
      <c r="Q159">
        <f t="shared" ref="Q159" si="771">F159*P159</f>
        <v>4752733.5647013793</v>
      </c>
      <c r="R159">
        <f t="shared" ref="R159" si="772">R160+Q159</f>
        <v>-65602998.015349343</v>
      </c>
      <c r="S159">
        <f t="shared" ref="S159" si="773">R159/100000</f>
        <v>-656.0299801534934</v>
      </c>
      <c r="T159">
        <f t="shared" ref="T159" si="774">S159/1000</f>
        <v>-0.65602998015349345</v>
      </c>
    </row>
    <row r="160" spans="1:20" x14ac:dyDescent="0.25">
      <c r="A160" s="5">
        <v>44433</v>
      </c>
      <c r="B160">
        <v>3.0209999999999999</v>
      </c>
      <c r="C160">
        <v>3.0952000000000002</v>
      </c>
      <c r="D160">
        <v>2.915</v>
      </c>
      <c r="E160">
        <v>3.0924999999999998</v>
      </c>
      <c r="F160">
        <v>1194811.3500000001</v>
      </c>
      <c r="G160">
        <v>3.0924999999999998</v>
      </c>
      <c r="L160" t="s">
        <v>7</v>
      </c>
      <c r="M160" t="s">
        <v>8</v>
      </c>
      <c r="N160" t="s">
        <v>8</v>
      </c>
      <c r="P160">
        <f t="shared" ref="P160" si="775">IF(C160=D160,0,((E160-D160)-(C160-E160))/(C160-D160))</f>
        <v>0.97003329633739876</v>
      </c>
      <c r="Q160">
        <f t="shared" ref="Q160" si="776">F160*P160</f>
        <v>1159006.7923418377</v>
      </c>
      <c r="R160">
        <f t="shared" ref="R160" si="777">R161+Q160</f>
        <v>-70355731.580050722</v>
      </c>
      <c r="S160">
        <f t="shared" ref="S160" si="778">R160/100000</f>
        <v>-703.55731580050724</v>
      </c>
      <c r="T160">
        <f t="shared" ref="T160" si="779">S160/1000</f>
        <v>-0.70355731580050729</v>
      </c>
    </row>
    <row r="161" spans="1:20" x14ac:dyDescent="0.25">
      <c r="A161" s="5">
        <v>44432</v>
      </c>
      <c r="B161">
        <v>3.1379000000000001</v>
      </c>
      <c r="C161">
        <v>3.1511</v>
      </c>
      <c r="D161">
        <v>2.9550000000000001</v>
      </c>
      <c r="E161">
        <v>3.0181</v>
      </c>
      <c r="F161">
        <v>1774610.97</v>
      </c>
      <c r="G161">
        <v>3.0181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-0.35645079041305505</v>
      </c>
      <c r="Q161">
        <f t="shared" ref="Q161" si="781">F161*P161</f>
        <v>-632561.4829321783</v>
      </c>
      <c r="R161">
        <f t="shared" ref="R161" si="782">R162+Q161</f>
        <v>-71514738.372392565</v>
      </c>
      <c r="S161">
        <f t="shared" ref="S161" si="783">R161/100000</f>
        <v>-715.1473837239256</v>
      </c>
      <c r="T161">
        <f t="shared" ref="T161" si="784">S161/1000</f>
        <v>-0.71514738372392561</v>
      </c>
    </row>
    <row r="162" spans="1:20" x14ac:dyDescent="0.25">
      <c r="A162" s="5">
        <v>44431</v>
      </c>
      <c r="B162">
        <v>3.2233000000000001</v>
      </c>
      <c r="C162">
        <v>3.2519999999999998</v>
      </c>
      <c r="D162">
        <v>3.1177999999999999</v>
      </c>
      <c r="E162">
        <v>3.1379000000000001</v>
      </c>
      <c r="F162">
        <v>2391333.4</v>
      </c>
      <c r="G162">
        <v>3.1379000000000001</v>
      </c>
      <c r="L162" t="s">
        <v>7</v>
      </c>
      <c r="M162" t="s">
        <v>8</v>
      </c>
      <c r="N162" t="s">
        <v>8</v>
      </c>
      <c r="P162">
        <f t="shared" ref="P162" si="785">IF(C162=D162,0,((E162-D162)-(C162-E162))/(C162-D162))</f>
        <v>-0.70044709388971316</v>
      </c>
      <c r="Q162">
        <f t="shared" ref="Q162" si="786">F162*P162</f>
        <v>-1675002.530551407</v>
      </c>
      <c r="R162">
        <f t="shared" ref="R162" si="787">R163+Q162</f>
        <v>-70882176.889460385</v>
      </c>
      <c r="S162">
        <f t="shared" ref="S162" si="788">R162/100000</f>
        <v>-708.82176889460379</v>
      </c>
      <c r="T162">
        <f t="shared" ref="T162" si="789">S162/1000</f>
        <v>-0.7088217688946038</v>
      </c>
    </row>
    <row r="163" spans="1:20" x14ac:dyDescent="0.25">
      <c r="A163" s="5">
        <v>44430</v>
      </c>
      <c r="B163">
        <v>3.0727000000000002</v>
      </c>
      <c r="C163">
        <v>3.2637</v>
      </c>
      <c r="D163">
        <v>3.0724</v>
      </c>
      <c r="E163">
        <v>3.1953999999999998</v>
      </c>
      <c r="F163">
        <v>862185.85</v>
      </c>
      <c r="G163">
        <v>3.1953999999999998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0.28593831677992432</v>
      </c>
      <c r="Q163">
        <f t="shared" ref="Q163" si="791">F163*P163</f>
        <v>246531.97070046832</v>
      </c>
      <c r="R163">
        <f t="shared" ref="R163" si="792">R164+Q163</f>
        <v>-69207174.358908981</v>
      </c>
      <c r="S163">
        <f t="shared" ref="S163" si="793">R163/100000</f>
        <v>-692.07174358908981</v>
      </c>
      <c r="T163">
        <f t="shared" ref="T163" si="794">S163/1000</f>
        <v>-0.69207174358908985</v>
      </c>
    </row>
    <row r="164" spans="1:20" x14ac:dyDescent="0.25">
      <c r="A164" s="5">
        <v>44429</v>
      </c>
      <c r="B164">
        <v>3.1574</v>
      </c>
      <c r="C164">
        <v>3.2698999999999998</v>
      </c>
      <c r="D164">
        <v>3.0525000000000002</v>
      </c>
      <c r="E164">
        <v>3.0729000000000002</v>
      </c>
      <c r="F164">
        <v>2087635.61</v>
      </c>
      <c r="G164">
        <v>3.0729000000000002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-0.81232750689972388</v>
      </c>
      <c r="Q164">
        <f t="shared" ref="Q164" si="796">F164*P164</f>
        <v>-1695843.8303863844</v>
      </c>
      <c r="R164">
        <f t="shared" ref="R164" si="797">R165+Q164</f>
        <v>-69453706.329609454</v>
      </c>
      <c r="S164">
        <f t="shared" ref="S164" si="798">R164/100000</f>
        <v>-694.53706329609452</v>
      </c>
      <c r="T164">
        <f t="shared" ref="T164" si="799">S164/1000</f>
        <v>-0.69453706329609455</v>
      </c>
    </row>
    <row r="165" spans="1:20" x14ac:dyDescent="0.25">
      <c r="A165" s="5">
        <v>44428</v>
      </c>
      <c r="B165">
        <v>3.1211000000000002</v>
      </c>
      <c r="C165">
        <v>3.3</v>
      </c>
      <c r="D165">
        <v>3.0693000000000001</v>
      </c>
      <c r="E165">
        <v>3.1574</v>
      </c>
      <c r="F165">
        <v>1734136.07</v>
      </c>
      <c r="G165">
        <v>3.1574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-0.23623753792804536</v>
      </c>
      <c r="Q165">
        <f t="shared" ref="Q165" si="801">F165*P165</f>
        <v>-409668.03560901654</v>
      </c>
      <c r="R165">
        <f t="shared" ref="R165" si="802">R166+Q165</f>
        <v>-67757862.499223068</v>
      </c>
      <c r="S165">
        <f t="shared" ref="S165" si="803">R165/100000</f>
        <v>-677.57862499223063</v>
      </c>
      <c r="T165">
        <f t="shared" ref="T165" si="804">S165/1000</f>
        <v>-0.67757862499223065</v>
      </c>
    </row>
    <row r="166" spans="1:20" x14ac:dyDescent="0.25">
      <c r="A166" s="5">
        <v>44427</v>
      </c>
      <c r="B166">
        <v>2.9154</v>
      </c>
      <c r="C166">
        <v>3.1255000000000002</v>
      </c>
      <c r="D166">
        <v>2.8483000000000001</v>
      </c>
      <c r="E166">
        <v>3.1211000000000002</v>
      </c>
      <c r="F166">
        <v>1661118.12</v>
      </c>
      <c r="G166">
        <v>3.1211000000000002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0.96825396825396859</v>
      </c>
      <c r="Q166">
        <f t="shared" ref="Q166" si="806">F166*P166</f>
        <v>1608384.2114285722</v>
      </c>
      <c r="R166">
        <f t="shared" ref="R166" si="807">R167+Q166</f>
        <v>-67348194.463614047</v>
      </c>
      <c r="S166">
        <f t="shared" ref="S166" si="808">R166/100000</f>
        <v>-673.4819446361405</v>
      </c>
      <c r="T166">
        <f t="shared" ref="T166" si="809">S166/1000</f>
        <v>-0.67348194463614053</v>
      </c>
    </row>
    <row r="167" spans="1:20" x14ac:dyDescent="0.25">
      <c r="A167" s="5">
        <v>44426</v>
      </c>
      <c r="B167">
        <v>2.9504999999999999</v>
      </c>
      <c r="C167">
        <v>3.0265</v>
      </c>
      <c r="D167">
        <v>2.8355000000000001</v>
      </c>
      <c r="E167">
        <v>2.9171</v>
      </c>
      <c r="F167">
        <v>1500334.41</v>
      </c>
      <c r="G167">
        <v>2.9171</v>
      </c>
      <c r="L167" t="s">
        <v>7</v>
      </c>
      <c r="M167" t="s">
        <v>8</v>
      </c>
      <c r="N167" t="s">
        <v>8</v>
      </c>
      <c r="P167">
        <f t="shared" ref="P167" si="810">IF(C167=D167,0,((E167-D167)-(C167-E167))/(C167-D167))</f>
        <v>-0.14554973821989567</v>
      </c>
      <c r="Q167">
        <f t="shared" ref="Q167" si="811">F167*P167</f>
        <v>-218373.28061780162</v>
      </c>
      <c r="R167">
        <f t="shared" ref="R167" si="812">R168+Q167</f>
        <v>-68956578.675042614</v>
      </c>
      <c r="S167">
        <f t="shared" ref="S167" si="813">R167/100000</f>
        <v>-689.56578675042613</v>
      </c>
      <c r="T167">
        <f t="shared" ref="T167" si="814">S167/1000</f>
        <v>-0.68956578675042612</v>
      </c>
    </row>
    <row r="168" spans="1:20" x14ac:dyDescent="0.25">
      <c r="A168" s="5">
        <v>44425</v>
      </c>
      <c r="B168">
        <v>3.1015999999999999</v>
      </c>
      <c r="C168">
        <v>3.2279</v>
      </c>
      <c r="D168">
        <v>2.8921999999999999</v>
      </c>
      <c r="E168">
        <v>2.95</v>
      </c>
      <c r="F168">
        <v>2281465.02</v>
      </c>
      <c r="G168">
        <v>2.95</v>
      </c>
      <c r="L168" t="s">
        <v>7</v>
      </c>
      <c r="M168" t="s">
        <v>8</v>
      </c>
      <c r="N168" t="s">
        <v>8</v>
      </c>
      <c r="P168">
        <f t="shared" ref="P168" si="815">IF(C168=D168,0,((E168-D168)-(C168-E168))/(C168-D168))</f>
        <v>-0.65564492106046901</v>
      </c>
      <c r="Q168">
        <f t="shared" ref="Q168" si="816">F168*P168</f>
        <v>-1495830.9529401213</v>
      </c>
      <c r="R168">
        <f t="shared" ref="R168" si="817">R169+Q168</f>
        <v>-68738205.394424811</v>
      </c>
      <c r="S168">
        <f t="shared" ref="S168" si="818">R168/100000</f>
        <v>-687.38205394424813</v>
      </c>
      <c r="T168">
        <f t="shared" ref="T168" si="819">S168/1000</f>
        <v>-0.68738205394424812</v>
      </c>
    </row>
    <row r="169" spans="1:20" x14ac:dyDescent="0.25">
      <c r="A169" s="5">
        <v>44424</v>
      </c>
      <c r="B169">
        <v>3.1282999999999999</v>
      </c>
      <c r="C169">
        <v>3.2364000000000002</v>
      </c>
      <c r="D169">
        <v>3.0722</v>
      </c>
      <c r="E169">
        <v>3.1015999999999999</v>
      </c>
      <c r="F169">
        <v>1899018.55</v>
      </c>
      <c r="G169">
        <v>3.1015999999999999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-0.64190012180268152</v>
      </c>
      <c r="Q169">
        <f t="shared" ref="Q169" si="821">F169*P169</f>
        <v>-1218980.2385505517</v>
      </c>
      <c r="R169">
        <f t="shared" ref="R169" si="822">R170+Q169</f>
        <v>-67242374.44148469</v>
      </c>
      <c r="S169">
        <f t="shared" ref="S169" si="823">R169/100000</f>
        <v>-672.42374441484685</v>
      </c>
      <c r="T169">
        <f t="shared" ref="T169" si="824">S169/1000</f>
        <v>-0.67242374441484687</v>
      </c>
    </row>
    <row r="170" spans="1:20" x14ac:dyDescent="0.25">
      <c r="A170" s="5">
        <v>44423</v>
      </c>
      <c r="B170">
        <v>3.0992000000000002</v>
      </c>
      <c r="C170">
        <v>3.1549999999999998</v>
      </c>
      <c r="D170">
        <v>2.99</v>
      </c>
      <c r="E170">
        <v>3.129</v>
      </c>
      <c r="F170">
        <v>1628838.55</v>
      </c>
      <c r="G170">
        <v>3.129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0.68484848484848648</v>
      </c>
      <c r="Q170">
        <f t="shared" ref="Q170" si="826">F170*P170</f>
        <v>1115507.6130303058</v>
      </c>
      <c r="R170">
        <f t="shared" ref="R170" si="827">R171+Q170</f>
        <v>-66023394.202934138</v>
      </c>
      <c r="S170">
        <f t="shared" ref="S170" si="828">R170/100000</f>
        <v>-660.23394202934139</v>
      </c>
      <c r="T170">
        <f t="shared" ref="T170" si="829">S170/1000</f>
        <v>-0.66023394202934138</v>
      </c>
    </row>
    <row r="171" spans="1:20" x14ac:dyDescent="0.25">
      <c r="A171" s="5">
        <v>44422</v>
      </c>
      <c r="B171">
        <v>3.1861000000000002</v>
      </c>
      <c r="C171">
        <v>3.2326000000000001</v>
      </c>
      <c r="D171">
        <v>2.9952999999999999</v>
      </c>
      <c r="E171">
        <v>3.0992000000000002</v>
      </c>
      <c r="F171">
        <v>1620818.34</v>
      </c>
      <c r="G171">
        <v>3.0992000000000002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-0.12431521281078635</v>
      </c>
      <c r="Q171">
        <f t="shared" ref="Q171" si="831">F171*P171</f>
        <v>-201492.37686472546</v>
      </c>
      <c r="R171">
        <f t="shared" ref="R171" si="832">R172+Q171</f>
        <v>-67138901.815964445</v>
      </c>
      <c r="S171">
        <f t="shared" ref="S171" si="833">R171/100000</f>
        <v>-671.38901815964448</v>
      </c>
      <c r="T171">
        <f t="shared" ref="T171" si="834">S171/1000</f>
        <v>-0.67138901815964447</v>
      </c>
    </row>
    <row r="172" spans="1:20" x14ac:dyDescent="0.25">
      <c r="A172" s="5">
        <v>44421</v>
      </c>
      <c r="B172">
        <v>3.0655000000000001</v>
      </c>
      <c r="C172">
        <v>3.1873999999999998</v>
      </c>
      <c r="D172">
        <v>3.0139999999999998</v>
      </c>
      <c r="E172">
        <v>3.1836000000000002</v>
      </c>
      <c r="F172">
        <v>1623755.61</v>
      </c>
      <c r="G172">
        <v>3.1836000000000002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0.95617070357555267</v>
      </c>
      <c r="Q172">
        <f t="shared" ref="Q172" si="836">F172*P172</f>
        <v>1552587.5440484509</v>
      </c>
      <c r="R172">
        <f t="shared" ref="R172" si="837">R173+Q172</f>
        <v>-66937409.439099722</v>
      </c>
      <c r="S172">
        <f t="shared" ref="S172" si="838">R172/100000</f>
        <v>-669.37409439099724</v>
      </c>
      <c r="T172">
        <f t="shared" ref="T172" si="839">S172/1000</f>
        <v>-0.66937409439099727</v>
      </c>
    </row>
    <row r="173" spans="1:20" x14ac:dyDescent="0.25">
      <c r="A173" s="5">
        <v>44420</v>
      </c>
      <c r="B173">
        <v>2.9853999999999998</v>
      </c>
      <c r="C173">
        <v>3.1223000000000001</v>
      </c>
      <c r="D173">
        <v>2.9066999999999998</v>
      </c>
      <c r="E173">
        <v>3.0655000000000001</v>
      </c>
      <c r="F173">
        <v>1711548.6</v>
      </c>
      <c r="G173">
        <v>3.0655000000000001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0.4730983302411883</v>
      </c>
      <c r="Q173">
        <f t="shared" ref="Q173" si="841">F173*P173</f>
        <v>809730.78478664358</v>
      </c>
      <c r="R173">
        <f t="shared" ref="R173" si="842">R174+Q173</f>
        <v>-68489996.983148172</v>
      </c>
      <c r="S173">
        <f t="shared" ref="S173" si="843">R173/100000</f>
        <v>-684.89996983148171</v>
      </c>
      <c r="T173">
        <f t="shared" ref="T173" si="844">S173/1000</f>
        <v>-0.68489996983148171</v>
      </c>
    </row>
    <row r="174" spans="1:20" x14ac:dyDescent="0.25">
      <c r="A174" s="5">
        <v>44419</v>
      </c>
      <c r="B174">
        <v>2.9925000000000002</v>
      </c>
      <c r="C174">
        <v>3.1875</v>
      </c>
      <c r="D174">
        <v>2.97</v>
      </c>
      <c r="E174">
        <v>2.9887000000000001</v>
      </c>
      <c r="F174">
        <v>2194904.5699999998</v>
      </c>
      <c r="G174">
        <v>2.9887000000000001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-0.82804597701149463</v>
      </c>
      <c r="Q174">
        <f t="shared" ref="Q174" si="846">F174*P174</f>
        <v>-1817481.8991126444</v>
      </c>
      <c r="R174">
        <f t="shared" ref="R174" si="847">R175+Q174</f>
        <v>-69299727.767934814</v>
      </c>
      <c r="S174">
        <f t="shared" ref="S174" si="848">R174/100000</f>
        <v>-692.99727767934814</v>
      </c>
      <c r="T174">
        <f t="shared" ref="T174" si="849">S174/1000</f>
        <v>-0.69299727767934816</v>
      </c>
    </row>
    <row r="175" spans="1:20" x14ac:dyDescent="0.25">
      <c r="A175" s="5">
        <v>44418</v>
      </c>
      <c r="B175">
        <v>3.1074999999999999</v>
      </c>
      <c r="C175">
        <v>3.1295000000000002</v>
      </c>
      <c r="D175">
        <v>2.8845999999999998</v>
      </c>
      <c r="E175">
        <v>2.9887999999999999</v>
      </c>
      <c r="F175">
        <v>2277347.69</v>
      </c>
      <c r="G175">
        <v>2.9887999999999999</v>
      </c>
      <c r="L175" t="s">
        <v>7</v>
      </c>
      <c r="M175" t="s">
        <v>8</v>
      </c>
      <c r="N175" t="s">
        <v>8</v>
      </c>
      <c r="P175">
        <f t="shared" ref="P175" si="850">IF(C175=D175,0,((E175-D175)-(C175-E175))/(C175-D175))</f>
        <v>-0.14904042466312842</v>
      </c>
      <c r="Q175">
        <f t="shared" ref="Q175" si="851">F175*P175</f>
        <v>-339416.86682319455</v>
      </c>
      <c r="R175">
        <f t="shared" ref="R175" si="852">R176+Q175</f>
        <v>-67482245.868822172</v>
      </c>
      <c r="S175">
        <f t="shared" ref="S175" si="853">R175/100000</f>
        <v>-674.82245868822167</v>
      </c>
      <c r="T175">
        <f t="shared" ref="T175" si="854">S175/1000</f>
        <v>-0.67482245868822166</v>
      </c>
    </row>
    <row r="176" spans="1:20" x14ac:dyDescent="0.25">
      <c r="A176" s="5">
        <v>44417</v>
      </c>
      <c r="B176">
        <v>2.8197000000000001</v>
      </c>
      <c r="C176">
        <v>3.3852000000000002</v>
      </c>
      <c r="D176">
        <v>2.7709999999999999</v>
      </c>
      <c r="E176">
        <v>3.1101000000000001</v>
      </c>
      <c r="F176">
        <v>2940692.49</v>
      </c>
      <c r="G176">
        <v>3.1101000000000001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0.10420058612829701</v>
      </c>
      <c r="Q176">
        <f t="shared" ref="Q176" si="856">F176*P176</f>
        <v>306421.88108108123</v>
      </c>
      <c r="R176">
        <f t="shared" ref="R176" si="857">R177+Q176</f>
        <v>-67142829.001998976</v>
      </c>
      <c r="S176">
        <f t="shared" ref="S176" si="858">R176/100000</f>
        <v>-671.42829001998973</v>
      </c>
      <c r="T176">
        <f t="shared" ref="T176" si="859">S176/1000</f>
        <v>-0.67142829001998972</v>
      </c>
    </row>
    <row r="177" spans="1:20" x14ac:dyDescent="0.25">
      <c r="A177" s="5">
        <v>44416</v>
      </c>
      <c r="B177">
        <v>2.9281999999999999</v>
      </c>
      <c r="C177">
        <v>3.1783000000000001</v>
      </c>
      <c r="D177">
        <v>2.7744</v>
      </c>
      <c r="E177">
        <v>2.8186</v>
      </c>
      <c r="F177">
        <v>2809829.33</v>
      </c>
      <c r="G177">
        <v>2.8186</v>
      </c>
      <c r="L177" t="s">
        <v>8</v>
      </c>
      <c r="M177" t="s">
        <v>8</v>
      </c>
      <c r="N177" t="s">
        <v>8</v>
      </c>
      <c r="P177">
        <f t="shared" ref="P177" si="860">IF(C177=D177,0,((E177-D177)-(C177-E177))/(C177-D177))</f>
        <v>-0.78113394404555581</v>
      </c>
      <c r="Q177">
        <f t="shared" ref="Q177" si="861">F177*P177</f>
        <v>-2194853.0666377814</v>
      </c>
      <c r="R177">
        <f t="shared" ref="R177" si="862">R178+Q177</f>
        <v>-67449250.88308005</v>
      </c>
      <c r="S177">
        <f t="shared" ref="S177" si="863">R177/100000</f>
        <v>-674.49250883080049</v>
      </c>
      <c r="T177">
        <f t="shared" ref="T177" si="864">S177/1000</f>
        <v>-0.67449250883080047</v>
      </c>
    </row>
    <row r="178" spans="1:20" x14ac:dyDescent="0.25">
      <c r="A178" s="5">
        <v>44415</v>
      </c>
      <c r="B178">
        <v>2.9601999999999999</v>
      </c>
      <c r="C178">
        <v>3.0577000000000001</v>
      </c>
      <c r="D178">
        <v>2.8325</v>
      </c>
      <c r="E178">
        <v>2.9297</v>
      </c>
      <c r="F178">
        <v>2485639.4500000002</v>
      </c>
      <c r="G178">
        <v>2.9297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-0.13676731793960992</v>
      </c>
      <c r="Q178">
        <f t="shared" ref="Q178" si="866">F178*P178</f>
        <v>-339954.24094138714</v>
      </c>
      <c r="R178">
        <f t="shared" ref="R178" si="867">R179+Q178</f>
        <v>-65254397.816442266</v>
      </c>
      <c r="S178">
        <f t="shared" ref="S178" si="868">R178/100000</f>
        <v>-652.5439781644227</v>
      </c>
      <c r="T178">
        <f t="shared" ref="T178" si="869">S178/1000</f>
        <v>-0.65254397816442267</v>
      </c>
    </row>
    <row r="179" spans="1:20" x14ac:dyDescent="0.25">
      <c r="A179" s="5">
        <v>44414</v>
      </c>
      <c r="B179">
        <v>2.8317000000000001</v>
      </c>
      <c r="C179">
        <v>2.9649999999999999</v>
      </c>
      <c r="D179">
        <v>2.7749000000000001</v>
      </c>
      <c r="E179">
        <v>2.9533999999999998</v>
      </c>
      <c r="F179">
        <v>10118672.119999999</v>
      </c>
      <c r="G179">
        <v>2.9533999999999998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0.87795896896370251</v>
      </c>
      <c r="Q179">
        <f t="shared" ref="Q179" si="871">F179*P179</f>
        <v>8883778.9417569619</v>
      </c>
      <c r="R179">
        <f t="shared" ref="R179" si="872">R180+Q179</f>
        <v>-64914443.575500876</v>
      </c>
      <c r="S179">
        <f t="shared" ref="S179" si="873">R179/100000</f>
        <v>-649.14443575500877</v>
      </c>
      <c r="T179">
        <f t="shared" ref="T179" si="874">S179/1000</f>
        <v>-0.6491444357550088</v>
      </c>
    </row>
    <row r="180" spans="1:20" x14ac:dyDescent="0.25">
      <c r="A180" s="5">
        <v>44413</v>
      </c>
      <c r="B180">
        <v>2.7972000000000001</v>
      </c>
      <c r="C180">
        <v>2.863</v>
      </c>
      <c r="D180">
        <v>2.7086000000000001</v>
      </c>
      <c r="E180">
        <v>2.8317000000000001</v>
      </c>
      <c r="F180">
        <v>1729462.82</v>
      </c>
      <c r="G180">
        <v>2.8317000000000001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0.5945595854922292</v>
      </c>
      <c r="Q180">
        <f t="shared" ref="Q180" si="876">F180*P180</f>
        <v>1028268.6973834218</v>
      </c>
      <c r="R180">
        <f t="shared" ref="R180" si="877">R181+Q180</f>
        <v>-73798222.517257839</v>
      </c>
      <c r="S180">
        <f t="shared" ref="S180" si="878">R180/100000</f>
        <v>-737.98222517257841</v>
      </c>
      <c r="T180">
        <f t="shared" ref="T180" si="879">S180/1000</f>
        <v>-0.73798222517257839</v>
      </c>
    </row>
    <row r="181" spans="1:20" x14ac:dyDescent="0.25">
      <c r="A181" s="5">
        <v>44412</v>
      </c>
      <c r="B181">
        <v>2.83</v>
      </c>
      <c r="C181">
        <v>3.1</v>
      </c>
      <c r="D181">
        <v>2.7574000000000001</v>
      </c>
      <c r="E181">
        <v>2.7949999999999999</v>
      </c>
      <c r="F181">
        <v>3515486.85</v>
      </c>
      <c r="G181">
        <v>2.7949999999999999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-0.7805020431990668</v>
      </c>
      <c r="Q181">
        <f t="shared" ref="Q181" si="881">F181*P181</f>
        <v>-2743844.6692644511</v>
      </c>
      <c r="R181">
        <f t="shared" ref="R181" si="882">R182+Q181</f>
        <v>-74826491.214641258</v>
      </c>
      <c r="S181">
        <f t="shared" ref="S181" si="883">R181/100000</f>
        <v>-748.2649121464126</v>
      </c>
      <c r="T181">
        <f t="shared" ref="T181" si="884">S181/1000</f>
        <v>-0.74826491214641255</v>
      </c>
    </row>
    <row r="182" spans="1:20" x14ac:dyDescent="0.25">
      <c r="A182" s="5">
        <v>44411</v>
      </c>
      <c r="B182">
        <v>2.6457999999999999</v>
      </c>
      <c r="C182">
        <v>2.8601999999999999</v>
      </c>
      <c r="D182">
        <v>2.5680000000000001</v>
      </c>
      <c r="E182">
        <v>2.8328000000000002</v>
      </c>
      <c r="F182">
        <v>2465286.9300000002</v>
      </c>
      <c r="G182">
        <v>2.8328000000000002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0.81245722108145335</v>
      </c>
      <c r="Q182">
        <f t="shared" ref="Q182" si="886">F182*P182</f>
        <v>2002940.1683162276</v>
      </c>
      <c r="R182">
        <f t="shared" ref="R182" si="887">R183+Q182</f>
        <v>-72082646.545376807</v>
      </c>
      <c r="S182">
        <f t="shared" ref="S182" si="888">R182/100000</f>
        <v>-720.82646545376804</v>
      </c>
      <c r="T182">
        <f t="shared" ref="T182" si="889">S182/1000</f>
        <v>-0.72082646545376805</v>
      </c>
    </row>
    <row r="183" spans="1:20" x14ac:dyDescent="0.25">
      <c r="A183" s="5">
        <v>44410</v>
      </c>
      <c r="B183">
        <v>2.6101999999999999</v>
      </c>
      <c r="C183">
        <v>2.7101000000000002</v>
      </c>
      <c r="D183">
        <v>2.5672999999999999</v>
      </c>
      <c r="E183">
        <v>2.6438000000000001</v>
      </c>
      <c r="F183">
        <v>1088130.47</v>
      </c>
      <c r="G183">
        <v>2.6438000000000001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7.1428571428572757E-2</v>
      </c>
      <c r="Q183">
        <f t="shared" ref="Q183" si="891">F183*P183</f>
        <v>77723.605000001437</v>
      </c>
      <c r="R183">
        <f t="shared" ref="R183" si="892">R184+Q183</f>
        <v>-74085586.713693038</v>
      </c>
      <c r="S183">
        <f t="shared" ref="S183" si="893">R183/100000</f>
        <v>-740.85586713693033</v>
      </c>
      <c r="T183">
        <f t="shared" ref="T183" si="894">S183/1000</f>
        <v>-0.7408558671369303</v>
      </c>
    </row>
    <row r="184" spans="1:20" x14ac:dyDescent="0.25">
      <c r="A184" s="5">
        <v>44409</v>
      </c>
      <c r="B184">
        <v>2.7698999999999998</v>
      </c>
      <c r="C184">
        <v>2.8376000000000001</v>
      </c>
      <c r="D184">
        <v>2.6042999999999998</v>
      </c>
      <c r="E184">
        <v>2.6132</v>
      </c>
      <c r="F184">
        <v>749637.23</v>
      </c>
      <c r="G184">
        <v>2.6132</v>
      </c>
      <c r="L184" t="s">
        <v>8</v>
      </c>
      <c r="M184" t="s">
        <v>8</v>
      </c>
      <c r="N184" t="s">
        <v>7</v>
      </c>
      <c r="P184">
        <f t="shared" ref="P184" si="895">IF(C184=D184,0,((E184-D184)-(C184-E184))/(C184-D184))</f>
        <v>-0.92370338619802728</v>
      </c>
      <c r="Q184">
        <f t="shared" ref="Q184" si="896">F184*P184</f>
        <v>-692442.44777110941</v>
      </c>
      <c r="R184">
        <f t="shared" ref="R184" si="897">R185+Q184</f>
        <v>-74163310.318693042</v>
      </c>
      <c r="S184">
        <f t="shared" ref="S184" si="898">R184/100000</f>
        <v>-741.63310318693038</v>
      </c>
      <c r="T184">
        <f t="shared" ref="T184" si="899">S184/1000</f>
        <v>-0.74163310318693043</v>
      </c>
    </row>
    <row r="185" spans="1:20" x14ac:dyDescent="0.25">
      <c r="A185" s="5">
        <v>44408</v>
      </c>
      <c r="B185">
        <v>2.7164999999999999</v>
      </c>
      <c r="C185">
        <v>2.7848000000000002</v>
      </c>
      <c r="D185">
        <v>2.6800999999999999</v>
      </c>
      <c r="E185">
        <v>2.7698</v>
      </c>
      <c r="F185">
        <v>642890.61</v>
      </c>
      <c r="G185">
        <v>2.7698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0.71346704871059996</v>
      </c>
      <c r="Q185">
        <f t="shared" ref="Q185" si="901">F185*P185</f>
        <v>458681.26616045734</v>
      </c>
      <c r="R185">
        <f t="shared" ref="R185" si="902">R186+Q185</f>
        <v>-73470867.87092194</v>
      </c>
      <c r="S185">
        <f t="shared" ref="S185" si="903">R185/100000</f>
        <v>-734.70867870921938</v>
      </c>
      <c r="T185">
        <f t="shared" ref="T185" si="904">S185/1000</f>
        <v>-0.73470867870921941</v>
      </c>
    </row>
    <row r="186" spans="1:20" x14ac:dyDescent="0.25">
      <c r="A186" s="5">
        <v>44407</v>
      </c>
      <c r="B186">
        <v>2.7269000000000001</v>
      </c>
      <c r="C186">
        <v>2.7907000000000002</v>
      </c>
      <c r="D186">
        <v>2.6030000000000002</v>
      </c>
      <c r="E186">
        <v>2.7141999999999999</v>
      </c>
      <c r="F186">
        <v>812657.79</v>
      </c>
      <c r="G186">
        <v>2.7141999999999999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0.18486947256259731</v>
      </c>
      <c r="Q186">
        <f t="shared" ref="Q186" si="906">F186*P186</f>
        <v>150235.61701118597</v>
      </c>
      <c r="R186">
        <f t="shared" ref="R186" si="907">R187+Q186</f>
        <v>-73929549.137082398</v>
      </c>
      <c r="S186">
        <f t="shared" ref="S186" si="908">R186/100000</f>
        <v>-739.29549137082392</v>
      </c>
      <c r="T186">
        <f t="shared" ref="T186" si="909">S186/1000</f>
        <v>-0.73929549137082395</v>
      </c>
    </row>
    <row r="187" spans="1:20" x14ac:dyDescent="0.25">
      <c r="A187" s="5">
        <v>44406</v>
      </c>
      <c r="B187">
        <v>2.6265999999999998</v>
      </c>
      <c r="C187">
        <v>2.7806000000000002</v>
      </c>
      <c r="D187">
        <v>2.5968</v>
      </c>
      <c r="E187">
        <v>2.7273999999999998</v>
      </c>
      <c r="F187">
        <v>1345361.46</v>
      </c>
      <c r="G187">
        <v>2.7273999999999998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0.42110990206746135</v>
      </c>
      <c r="Q187">
        <f t="shared" ref="Q187" si="911">F187*P187</f>
        <v>566545.03266593686</v>
      </c>
      <c r="R187">
        <f t="shared" ref="R187" si="912">R188+Q187</f>
        <v>-74079784.754093587</v>
      </c>
      <c r="S187">
        <f t="shared" ref="S187" si="913">R187/100000</f>
        <v>-740.79784754093589</v>
      </c>
      <c r="T187">
        <f t="shared" ref="T187" si="914">S187/1000</f>
        <v>-0.74079784754093592</v>
      </c>
    </row>
    <row r="188" spans="1:20" x14ac:dyDescent="0.25">
      <c r="A188" s="5">
        <v>44405</v>
      </c>
      <c r="B188">
        <v>2.6562999999999999</v>
      </c>
      <c r="C188">
        <v>2.6899000000000002</v>
      </c>
      <c r="D188">
        <v>2.4706000000000001</v>
      </c>
      <c r="E188">
        <v>2.6253000000000002</v>
      </c>
      <c r="F188">
        <v>1159810.05</v>
      </c>
      <c r="G188">
        <v>2.6253000000000002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0.4108527131782948</v>
      </c>
      <c r="Q188">
        <f t="shared" ref="Q188" si="916">F188*P188</f>
        <v>476511.10581395379</v>
      </c>
      <c r="R188">
        <f t="shared" ref="R188" si="917">R189+Q188</f>
        <v>-74646329.786759526</v>
      </c>
      <c r="S188">
        <f t="shared" ref="S188" si="918">R188/100000</f>
        <v>-746.4632978675952</v>
      </c>
      <c r="T188">
        <f t="shared" ref="T188" si="919">S188/1000</f>
        <v>-0.74646329786759524</v>
      </c>
    </row>
    <row r="189" spans="1:20" x14ac:dyDescent="0.25">
      <c r="A189" s="5">
        <v>44404</v>
      </c>
      <c r="B189">
        <v>2.5367999999999999</v>
      </c>
      <c r="C189">
        <v>2.6863999999999999</v>
      </c>
      <c r="D189">
        <v>2.4339</v>
      </c>
      <c r="E189">
        <v>2.6644999999999999</v>
      </c>
      <c r="F189">
        <v>1378046.84</v>
      </c>
      <c r="G189">
        <v>2.6644999999999999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0.82653465346534627</v>
      </c>
      <c r="Q189">
        <f t="shared" ref="Q189" si="921">F189*P189</f>
        <v>1139003.4673584155</v>
      </c>
      <c r="R189">
        <f t="shared" ref="R189" si="922">R190+Q189</f>
        <v>-75122840.892573476</v>
      </c>
      <c r="S189">
        <f t="shared" ref="S189" si="923">R189/100000</f>
        <v>-751.22840892573481</v>
      </c>
      <c r="T189">
        <f t="shared" ref="T189" si="924">S189/1000</f>
        <v>-0.75122840892573484</v>
      </c>
    </row>
    <row r="190" spans="1:20" x14ac:dyDescent="0.25">
      <c r="A190" s="5">
        <v>44403</v>
      </c>
      <c r="B190">
        <v>2.5341999999999998</v>
      </c>
      <c r="C190">
        <v>2.6999</v>
      </c>
      <c r="D190">
        <v>2.48</v>
      </c>
      <c r="E190">
        <v>2.5367999999999999</v>
      </c>
      <c r="F190">
        <v>1944434.04</v>
      </c>
      <c r="G190">
        <v>2.5367999999999999</v>
      </c>
      <c r="L190" t="s">
        <v>7</v>
      </c>
      <c r="M190" t="s">
        <v>8</v>
      </c>
      <c r="N190" t="s">
        <v>7</v>
      </c>
      <c r="P190">
        <f t="shared" ref="P190" si="925">IF(C190=D190,0,((E190-D190)-(C190-E190))/(C190-D190))</f>
        <v>-0.48340154615734454</v>
      </c>
      <c r="Q190">
        <f t="shared" ref="Q190" si="926">F190*P190</f>
        <v>-939942.42133697192</v>
      </c>
      <c r="R190">
        <f t="shared" ref="R190" si="927">R191+Q190</f>
        <v>-76261844.359931886</v>
      </c>
      <c r="S190">
        <f t="shared" ref="S190" si="928">R190/100000</f>
        <v>-762.61844359931888</v>
      </c>
      <c r="T190">
        <f t="shared" ref="T190" si="929">S190/1000</f>
        <v>-0.76261844359931885</v>
      </c>
    </row>
    <row r="191" spans="1:20" x14ac:dyDescent="0.25">
      <c r="A191" s="5">
        <v>44402</v>
      </c>
      <c r="B191">
        <v>2.4359999999999999</v>
      </c>
      <c r="C191">
        <v>2.6981000000000002</v>
      </c>
      <c r="D191">
        <v>2.4125999999999999</v>
      </c>
      <c r="E191">
        <v>2.5341999999999998</v>
      </c>
      <c r="F191">
        <v>2125858.34</v>
      </c>
      <c r="G191">
        <v>2.5341999999999998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-0.14816112084063188</v>
      </c>
      <c r="Q191">
        <f t="shared" ref="Q191" si="931">F191*P191</f>
        <v>-314969.55440280505</v>
      </c>
      <c r="R191">
        <f t="shared" ref="R191" si="932">R192+Q191</f>
        <v>-75321901.938594908</v>
      </c>
      <c r="S191">
        <f t="shared" ref="S191" si="933">R191/100000</f>
        <v>-753.21901938594908</v>
      </c>
      <c r="T191">
        <f t="shared" ref="T191:T197" si="934">S191/1000</f>
        <v>-0.75321901938594904</v>
      </c>
    </row>
    <row r="192" spans="1:20" x14ac:dyDescent="0.25">
      <c r="A192" s="5">
        <v>44401</v>
      </c>
      <c r="B192">
        <v>2.4062999999999999</v>
      </c>
      <c r="C192">
        <v>2.548</v>
      </c>
      <c r="D192">
        <v>2.3723000000000001</v>
      </c>
      <c r="E192">
        <v>2.4359999999999999</v>
      </c>
      <c r="F192">
        <v>1452729.16</v>
      </c>
      <c r="G192">
        <v>2.4359999999999999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-0.27490039840637587</v>
      </c>
      <c r="Q192">
        <f t="shared" ref="Q192" si="936">F192*P192</f>
        <v>-399355.82486055972</v>
      </c>
      <c r="R192">
        <f t="shared" ref="R192" si="937">R193+Q192</f>
        <v>-75006932.384192109</v>
      </c>
      <c r="S192">
        <f t="shared" ref="S192" si="938">R192/100000</f>
        <v>-750.06932384192112</v>
      </c>
      <c r="T192">
        <f t="shared" si="934"/>
        <v>-0.75006932384192115</v>
      </c>
    </row>
    <row r="193" spans="1:20" x14ac:dyDescent="0.25">
      <c r="A193" s="5">
        <v>44400</v>
      </c>
      <c r="B193">
        <v>2.42</v>
      </c>
      <c r="C193">
        <v>2.5055000000000001</v>
      </c>
      <c r="D193">
        <v>2.2854999999999999</v>
      </c>
      <c r="E193">
        <v>2.4049999999999998</v>
      </c>
      <c r="F193">
        <v>1405841.97</v>
      </c>
      <c r="G193">
        <v>2.4049999999999998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8.6363636363634852E-2</v>
      </c>
      <c r="Q193">
        <f t="shared" ref="Q193" si="940">F193*P193</f>
        <v>121413.62468181606</v>
      </c>
      <c r="R193">
        <f t="shared" ref="R193" si="941">R194+Q193</f>
        <v>-74607576.559331551</v>
      </c>
      <c r="S193">
        <f t="shared" ref="S193" si="942">R193/100000</f>
        <v>-746.07576559331551</v>
      </c>
      <c r="T193">
        <f t="shared" si="934"/>
        <v>-0.74607576559331545</v>
      </c>
    </row>
    <row r="194" spans="1:20" x14ac:dyDescent="0.25">
      <c r="A194" s="5">
        <v>44399</v>
      </c>
      <c r="B194">
        <v>2.3473999999999999</v>
      </c>
      <c r="C194">
        <v>2.5964</v>
      </c>
      <c r="D194">
        <v>2.3001</v>
      </c>
      <c r="E194">
        <v>2.4184000000000001</v>
      </c>
      <c r="F194">
        <v>2432535.89</v>
      </c>
      <c r="G194">
        <v>2.4184000000000001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-0.20148498143773155</v>
      </c>
      <c r="Q194">
        <f t="shared" ref="Q194" si="944">F194*P194</f>
        <v>-490119.44864326582</v>
      </c>
      <c r="R194">
        <f t="shared" ref="R194" si="945">R195+Q194</f>
        <v>-74728990.184013367</v>
      </c>
      <c r="S194">
        <f t="shared" ref="S194" si="946">R194/100000</f>
        <v>-747.28990184013367</v>
      </c>
      <c r="T194">
        <f t="shared" si="934"/>
        <v>-0.74728990184013366</v>
      </c>
    </row>
    <row r="195" spans="1:20" x14ac:dyDescent="0.25">
      <c r="A195" s="5">
        <v>44398</v>
      </c>
      <c r="B195">
        <v>2.3771</v>
      </c>
      <c r="C195">
        <v>2.4674</v>
      </c>
      <c r="D195">
        <v>2.246</v>
      </c>
      <c r="E195">
        <v>2.3452000000000002</v>
      </c>
      <c r="F195">
        <v>4457598.62</v>
      </c>
      <c r="G195">
        <v>2.3452000000000002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-0.10388437217705367</v>
      </c>
      <c r="Q195">
        <f t="shared" ref="Q195" si="948">F195*P195</f>
        <v>-463074.83405600081</v>
      </c>
      <c r="R195">
        <f t="shared" ref="R195" si="949">R196+Q195</f>
        <v>-74238870.7353701</v>
      </c>
      <c r="S195">
        <f t="shared" ref="S195" si="950">R195/100000</f>
        <v>-742.38870735370097</v>
      </c>
      <c r="T195">
        <f t="shared" si="934"/>
        <v>-0.74238870735370099</v>
      </c>
    </row>
    <row r="196" spans="1:20" x14ac:dyDescent="0.25">
      <c r="A196" s="5">
        <v>44397</v>
      </c>
      <c r="B196">
        <v>2.2027000000000001</v>
      </c>
      <c r="C196">
        <v>2.7566000000000002</v>
      </c>
      <c r="D196">
        <v>2.1</v>
      </c>
      <c r="E196">
        <v>2.3771</v>
      </c>
      <c r="F196">
        <v>3803498.74</v>
      </c>
      <c r="G196">
        <v>2.3771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-0.15595491928114569</v>
      </c>
      <c r="Q196">
        <f t="shared" ref="Q196" si="952">F196*P196</f>
        <v>-593174.33898263937</v>
      </c>
      <c r="R196">
        <f t="shared" ref="R196" si="953">R197+Q196</f>
        <v>-73775795.901314095</v>
      </c>
      <c r="S196">
        <f t="shared" ref="S196" si="954">R196/100000</f>
        <v>-737.75795901314098</v>
      </c>
      <c r="T196">
        <f t="shared" si="934"/>
        <v>-0.73775795901314101</v>
      </c>
    </row>
    <row r="197" spans="1:20" x14ac:dyDescent="0.25">
      <c r="A197" s="5">
        <v>44396</v>
      </c>
      <c r="B197">
        <v>2.3187000000000002</v>
      </c>
      <c r="C197">
        <v>2.4291999999999998</v>
      </c>
      <c r="D197">
        <v>2.2000000000000002</v>
      </c>
      <c r="E197">
        <v>2.2002000000000002</v>
      </c>
      <c r="F197">
        <v>880103.34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-0.99825479930191996</v>
      </c>
      <c r="Q197">
        <f t="shared" ref="Q197" si="956">F197*P197</f>
        <v>-878567.38303664944</v>
      </c>
      <c r="R197">
        <f t="shared" ref="R197" si="957">R198+Q197</f>
        <v>-73182621.562331453</v>
      </c>
      <c r="S197">
        <f t="shared" ref="S197" si="958">R197/100000</f>
        <v>-731.82621562331451</v>
      </c>
      <c r="T197">
        <f t="shared" si="934"/>
        <v>-0.73182621562331451</v>
      </c>
    </row>
    <row r="198" spans="1:20" x14ac:dyDescent="0.25">
      <c r="A198" s="5">
        <v>44395</v>
      </c>
      <c r="B198">
        <v>2.2968999999999999</v>
      </c>
      <c r="C198">
        <v>2.4586000000000001</v>
      </c>
      <c r="D198">
        <v>2.2961</v>
      </c>
      <c r="E198">
        <v>2.3187000000000002</v>
      </c>
      <c r="F198">
        <v>761418.88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-0.72184615384615181</v>
      </c>
      <c r="Q198">
        <f t="shared" ref="Q198:Q261" si="960">F198*P198</f>
        <v>-549627.28999384458</v>
      </c>
      <c r="R198">
        <f t="shared" ref="R198:R261" si="961">R199+Q198</f>
        <v>-72304054.17929481</v>
      </c>
      <c r="S198">
        <f t="shared" ref="S198:S261" si="962">R198/100000</f>
        <v>-723.04054179294815</v>
      </c>
      <c r="T198">
        <f t="shared" ref="T198:T261" si="963">S198/1000</f>
        <v>-0.72304054179294819</v>
      </c>
    </row>
    <row r="199" spans="1:20" x14ac:dyDescent="0.25">
      <c r="A199" s="5">
        <v>44394</v>
      </c>
      <c r="B199">
        <v>2.3519000000000001</v>
      </c>
      <c r="C199">
        <v>2.4801000000000002</v>
      </c>
      <c r="D199">
        <v>2.2400000000000002</v>
      </c>
      <c r="E199">
        <v>2.2949000000000002</v>
      </c>
      <c r="F199">
        <v>1230721.56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-0.54269054560599794</v>
      </c>
      <c r="Q199">
        <f t="shared" si="960"/>
        <v>-667900.95488546498</v>
      </c>
      <c r="R199">
        <f t="shared" si="961"/>
        <v>-71754426.889300972</v>
      </c>
      <c r="S199">
        <f t="shared" si="962"/>
        <v>-717.54426889300976</v>
      </c>
      <c r="T199">
        <f t="shared" si="963"/>
        <v>-0.71754426889300971</v>
      </c>
    </row>
    <row r="200" spans="1:20" x14ac:dyDescent="0.25">
      <c r="A200" s="5">
        <v>44393</v>
      </c>
      <c r="B200">
        <v>2.5327000000000002</v>
      </c>
      <c r="C200">
        <v>2.5929000000000002</v>
      </c>
      <c r="D200">
        <v>2.3513000000000002</v>
      </c>
      <c r="E200">
        <v>2.3519000000000001</v>
      </c>
      <c r="F200">
        <v>650987.82999999996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-0.99503311258278204</v>
      </c>
      <c r="Q200">
        <f t="shared" si="960"/>
        <v>-647754.44673841097</v>
      </c>
      <c r="R200">
        <f t="shared" si="961"/>
        <v>-71086525.934415504</v>
      </c>
      <c r="S200">
        <f t="shared" si="962"/>
        <v>-710.86525934415499</v>
      </c>
      <c r="T200">
        <f t="shared" si="963"/>
        <v>-0.71086525934415501</v>
      </c>
    </row>
    <row r="201" spans="1:20" x14ac:dyDescent="0.25">
      <c r="A201" s="5">
        <v>44392</v>
      </c>
      <c r="B201">
        <v>2.7075</v>
      </c>
      <c r="C201">
        <v>2.7732000000000001</v>
      </c>
      <c r="D201">
        <v>2.5009999999999999</v>
      </c>
      <c r="E201">
        <v>2.5310999999999999</v>
      </c>
      <c r="F201">
        <v>769566.83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-0.7788390889052168</v>
      </c>
      <c r="Q201">
        <f t="shared" si="960"/>
        <v>-599368.72872887587</v>
      </c>
      <c r="R201">
        <f t="shared" si="961"/>
        <v>-70438771.487677097</v>
      </c>
      <c r="S201">
        <f t="shared" si="962"/>
        <v>-704.38771487677093</v>
      </c>
      <c r="T201">
        <f t="shared" si="963"/>
        <v>-0.70438771487677088</v>
      </c>
    </row>
    <row r="202" spans="1:20" x14ac:dyDescent="0.25">
      <c r="A202" s="5">
        <v>44391</v>
      </c>
      <c r="B202">
        <v>2.7526000000000002</v>
      </c>
      <c r="C202">
        <v>2.8302999999999998</v>
      </c>
      <c r="D202">
        <v>2.5626000000000002</v>
      </c>
      <c r="E202">
        <v>2.7090999999999998</v>
      </c>
      <c r="F202">
        <v>1460840.19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9.4508778483375772E-2</v>
      </c>
      <c r="Q202">
        <f t="shared" si="960"/>
        <v>138062.22191632257</v>
      </c>
      <c r="R202">
        <f t="shared" si="961"/>
        <v>-69839402.758948222</v>
      </c>
      <c r="S202">
        <f t="shared" si="962"/>
        <v>-698.39402758948222</v>
      </c>
      <c r="T202">
        <f t="shared" si="963"/>
        <v>-0.69839402758948221</v>
      </c>
    </row>
    <row r="203" spans="1:20" x14ac:dyDescent="0.25">
      <c r="A203" s="5">
        <v>44390</v>
      </c>
      <c r="B203">
        <v>2.9174000000000002</v>
      </c>
      <c r="C203">
        <v>2.9651999999999998</v>
      </c>
      <c r="D203">
        <v>2.7311000000000001</v>
      </c>
      <c r="E203">
        <v>2.7515999999999998</v>
      </c>
      <c r="F203">
        <v>1191791.27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-0.82486117043998497</v>
      </c>
      <c r="Q203">
        <f t="shared" si="960"/>
        <v>-983062.34189235617</v>
      </c>
      <c r="R203">
        <f t="shared" si="961"/>
        <v>-69977464.98086454</v>
      </c>
      <c r="S203">
        <f t="shared" si="962"/>
        <v>-699.77464980864545</v>
      </c>
      <c r="T203">
        <f t="shared" si="963"/>
        <v>-0.69977464980864545</v>
      </c>
    </row>
    <row r="204" spans="1:20" x14ac:dyDescent="0.25">
      <c r="A204" s="5">
        <v>44389</v>
      </c>
      <c r="B204">
        <v>2.8883000000000001</v>
      </c>
      <c r="C204">
        <v>3.1999</v>
      </c>
      <c r="D204">
        <v>2.8660000000000001</v>
      </c>
      <c r="E204">
        <v>2.9155000000000002</v>
      </c>
      <c r="F204">
        <v>2769348.29</v>
      </c>
      <c r="G204">
        <v>0</v>
      </c>
      <c r="L204" t="s">
        <v>8</v>
      </c>
      <c r="M204" t="s">
        <v>7</v>
      </c>
      <c r="N204" t="s">
        <v>7</v>
      </c>
      <c r="P204">
        <f t="shared" si="959"/>
        <v>-0.70350404312668391</v>
      </c>
      <c r="Q204">
        <f t="shared" si="960"/>
        <v>-1948247.7188409683</v>
      </c>
      <c r="R204">
        <f t="shared" si="961"/>
        <v>-68994402.638972178</v>
      </c>
      <c r="S204">
        <f t="shared" si="962"/>
        <v>-689.94402638972178</v>
      </c>
      <c r="T204">
        <f t="shared" si="963"/>
        <v>-0.68994402638972174</v>
      </c>
    </row>
    <row r="205" spans="1:20" x14ac:dyDescent="0.25">
      <c r="A205" s="5">
        <v>44388</v>
      </c>
      <c r="B205">
        <v>2.9049999999999998</v>
      </c>
      <c r="C205">
        <v>2.9746999999999999</v>
      </c>
      <c r="D205">
        <v>2.8504999999999998</v>
      </c>
      <c r="E205">
        <v>2.8881999999999999</v>
      </c>
      <c r="F205">
        <v>1508038</v>
      </c>
      <c r="G205">
        <v>0</v>
      </c>
      <c r="L205" t="s">
        <v>7</v>
      </c>
      <c r="M205" t="s">
        <v>7</v>
      </c>
      <c r="N205" t="s">
        <v>7</v>
      </c>
      <c r="P205">
        <f t="shared" si="959"/>
        <v>-0.39291465378421836</v>
      </c>
      <c r="Q205">
        <f t="shared" si="960"/>
        <v>-592530.2286634451</v>
      </c>
      <c r="R205">
        <f t="shared" si="961"/>
        <v>-67046154.920131214</v>
      </c>
      <c r="S205">
        <f t="shared" si="962"/>
        <v>-670.4615492013121</v>
      </c>
      <c r="T205">
        <f t="shared" si="963"/>
        <v>-0.67046154920131207</v>
      </c>
    </row>
    <row r="206" spans="1:20" x14ac:dyDescent="0.25">
      <c r="A206" s="5">
        <v>44387</v>
      </c>
      <c r="B206">
        <v>2.9874999999999998</v>
      </c>
      <c r="C206">
        <v>3.0230999999999999</v>
      </c>
      <c r="D206">
        <v>2.8679999999999999</v>
      </c>
      <c r="E206">
        <v>2.9058999999999999</v>
      </c>
      <c r="F206">
        <v>4109739.54</v>
      </c>
      <c r="G206">
        <v>0</v>
      </c>
      <c r="L206" t="s">
        <v>7</v>
      </c>
      <c r="M206" t="s">
        <v>7</v>
      </c>
      <c r="N206" t="s">
        <v>7</v>
      </c>
      <c r="P206">
        <f t="shared" si="959"/>
        <v>-0.51128304319793627</v>
      </c>
      <c r="Q206">
        <f t="shared" si="960"/>
        <v>-2101240.1387620866</v>
      </c>
      <c r="R206">
        <f t="shared" si="961"/>
        <v>-66453624.691467769</v>
      </c>
      <c r="S206">
        <f t="shared" si="962"/>
        <v>-664.53624691467769</v>
      </c>
      <c r="T206">
        <f t="shared" si="963"/>
        <v>-0.66453624691467772</v>
      </c>
    </row>
    <row r="207" spans="1:20" x14ac:dyDescent="0.25">
      <c r="A207" s="5">
        <v>44386</v>
      </c>
      <c r="B207">
        <v>2.9123999999999999</v>
      </c>
      <c r="C207">
        <v>3.0579999999999998</v>
      </c>
      <c r="D207">
        <v>2.81</v>
      </c>
      <c r="E207">
        <v>2.988</v>
      </c>
      <c r="F207">
        <v>1141801.28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0.43548387096774271</v>
      </c>
      <c r="Q207">
        <f t="shared" si="960"/>
        <v>497236.04129032348</v>
      </c>
      <c r="R207">
        <f t="shared" si="961"/>
        <v>-64352384.552705683</v>
      </c>
      <c r="S207">
        <f t="shared" si="962"/>
        <v>-643.52384552705678</v>
      </c>
      <c r="T207">
        <f t="shared" si="963"/>
        <v>-0.64352384552705677</v>
      </c>
    </row>
    <row r="208" spans="1:20" x14ac:dyDescent="0.25">
      <c r="A208" s="5">
        <v>44385</v>
      </c>
      <c r="B208">
        <v>3.0901000000000001</v>
      </c>
      <c r="C208">
        <v>3.24</v>
      </c>
      <c r="D208">
        <v>2.8744999999999998</v>
      </c>
      <c r="E208">
        <v>2.9196</v>
      </c>
      <c r="F208">
        <v>2058830.05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-0.75321477428180528</v>
      </c>
      <c r="Q208">
        <f t="shared" si="960"/>
        <v>-1550741.211395348</v>
      </c>
      <c r="R208">
        <f t="shared" si="961"/>
        <v>-64849620.593996003</v>
      </c>
      <c r="S208">
        <f t="shared" si="962"/>
        <v>-648.49620593996008</v>
      </c>
      <c r="T208">
        <f t="shared" si="963"/>
        <v>-0.64849620593996005</v>
      </c>
    </row>
    <row r="209" spans="1:20" x14ac:dyDescent="0.25">
      <c r="A209" s="5">
        <v>44384</v>
      </c>
      <c r="B209">
        <v>3.0876000000000001</v>
      </c>
      <c r="C209">
        <v>3.246</v>
      </c>
      <c r="D209">
        <v>3.0613999999999999</v>
      </c>
      <c r="E209">
        <v>3.0855999999999999</v>
      </c>
      <c r="F209">
        <v>2349655.62</v>
      </c>
      <c r="G209">
        <v>0</v>
      </c>
      <c r="L209" t="s">
        <v>8</v>
      </c>
      <c r="M209" t="s">
        <v>7</v>
      </c>
      <c r="N209" t="s">
        <v>7</v>
      </c>
      <c r="P209">
        <f t="shared" si="959"/>
        <v>-0.7378114842903577</v>
      </c>
      <c r="Q209">
        <f t="shared" si="960"/>
        <v>-1733602.9005633807</v>
      </c>
      <c r="R209">
        <f t="shared" si="961"/>
        <v>-63298879.382600658</v>
      </c>
      <c r="S209">
        <f t="shared" si="962"/>
        <v>-632.9887938260066</v>
      </c>
      <c r="T209">
        <f t="shared" si="963"/>
        <v>-0.63298879382600659</v>
      </c>
    </row>
    <row r="210" spans="1:20" x14ac:dyDescent="0.25">
      <c r="A210" s="5">
        <v>44383</v>
      </c>
      <c r="B210">
        <v>3.0939999999999999</v>
      </c>
      <c r="C210">
        <v>3.2778999999999998</v>
      </c>
      <c r="D210">
        <v>3.0474999999999999</v>
      </c>
      <c r="E210">
        <v>3.0876000000000001</v>
      </c>
      <c r="F210">
        <v>2508279.4700000002</v>
      </c>
      <c r="G210">
        <v>0</v>
      </c>
      <c r="L210" t="s">
        <v>8</v>
      </c>
      <c r="M210" t="s">
        <v>7</v>
      </c>
      <c r="N210" t="s">
        <v>7</v>
      </c>
      <c r="P210">
        <f t="shared" si="959"/>
        <v>-0.65190972222221999</v>
      </c>
      <c r="Q210">
        <f t="shared" si="960"/>
        <v>-1635171.7725433973</v>
      </c>
      <c r="R210">
        <f t="shared" si="961"/>
        <v>-61565276.482037276</v>
      </c>
      <c r="S210">
        <f t="shared" si="962"/>
        <v>-615.65276482037279</v>
      </c>
      <c r="T210">
        <f t="shared" si="963"/>
        <v>-0.61565276482037279</v>
      </c>
    </row>
    <row r="211" spans="1:20" x14ac:dyDescent="0.25">
      <c r="A211" s="5">
        <v>44382</v>
      </c>
      <c r="B211">
        <v>3.4201000000000001</v>
      </c>
      <c r="C211">
        <v>3.4201000000000001</v>
      </c>
      <c r="D211">
        <v>2.96</v>
      </c>
      <c r="E211">
        <v>3.0941999999999998</v>
      </c>
      <c r="F211">
        <v>2327825.7000000002</v>
      </c>
      <c r="G211">
        <v>0</v>
      </c>
      <c r="L211" t="s">
        <v>7</v>
      </c>
      <c r="M211" t="s">
        <v>7</v>
      </c>
      <c r="N211" t="s">
        <v>7</v>
      </c>
      <c r="P211">
        <f t="shared" si="959"/>
        <v>-0.41664855466203077</v>
      </c>
      <c r="Q211">
        <f t="shared" si="960"/>
        <v>-969885.21341013012</v>
      </c>
      <c r="R211">
        <f t="shared" si="961"/>
        <v>-59930104.709493876</v>
      </c>
      <c r="S211">
        <f t="shared" si="962"/>
        <v>-599.30104709493878</v>
      </c>
      <c r="T211">
        <f t="shared" si="963"/>
        <v>-0.59930104709493881</v>
      </c>
    </row>
    <row r="212" spans="1:20" x14ac:dyDescent="0.25">
      <c r="A212" s="5">
        <v>44381</v>
      </c>
      <c r="B212">
        <v>3.4060999999999999</v>
      </c>
      <c r="C212">
        <v>3.544</v>
      </c>
      <c r="D212">
        <v>3.36</v>
      </c>
      <c r="E212">
        <v>3.4171999999999998</v>
      </c>
      <c r="F212">
        <v>2948819.67</v>
      </c>
      <c r="G212">
        <v>0</v>
      </c>
      <c r="L212" t="s">
        <v>7</v>
      </c>
      <c r="M212" t="s">
        <v>8</v>
      </c>
      <c r="N212" t="s">
        <v>7</v>
      </c>
      <c r="P212">
        <f t="shared" si="959"/>
        <v>-0.37826086956521882</v>
      </c>
      <c r="Q212">
        <f t="shared" si="960"/>
        <v>-1115423.0925652215</v>
      </c>
      <c r="R212">
        <f t="shared" si="961"/>
        <v>-58960219.496083744</v>
      </c>
      <c r="S212">
        <f t="shared" si="962"/>
        <v>-589.60219496083744</v>
      </c>
      <c r="T212">
        <f t="shared" si="963"/>
        <v>-0.58960219496083743</v>
      </c>
    </row>
    <row r="213" spans="1:20" x14ac:dyDescent="0.25">
      <c r="A213" s="5">
        <v>44380</v>
      </c>
      <c r="B213">
        <v>3.4340999999999999</v>
      </c>
      <c r="C213">
        <v>3.6429999999999998</v>
      </c>
      <c r="D213">
        <v>3.3018000000000001</v>
      </c>
      <c r="E213">
        <v>3.4060999999999999</v>
      </c>
      <c r="F213">
        <v>5034619.1399999997</v>
      </c>
      <c r="G213">
        <v>0</v>
      </c>
      <c r="L213" t="s">
        <v>7</v>
      </c>
      <c r="M213" t="s">
        <v>8</v>
      </c>
      <c r="N213" t="s">
        <v>7</v>
      </c>
      <c r="P213">
        <f t="shared" si="959"/>
        <v>-0.38862837045721033</v>
      </c>
      <c r="Q213">
        <f t="shared" si="960"/>
        <v>-1956595.8322508815</v>
      </c>
      <c r="R213">
        <f t="shared" si="961"/>
        <v>-57844796.40351852</v>
      </c>
      <c r="S213">
        <f t="shared" si="962"/>
        <v>-578.44796403518524</v>
      </c>
      <c r="T213">
        <f t="shared" si="963"/>
        <v>-0.57844796403518528</v>
      </c>
    </row>
    <row r="214" spans="1:20" x14ac:dyDescent="0.25">
      <c r="A214" s="5">
        <v>44379</v>
      </c>
      <c r="B214">
        <v>3.3967999999999998</v>
      </c>
      <c r="C214">
        <v>3.738</v>
      </c>
      <c r="D214">
        <v>3.0028999999999999</v>
      </c>
      <c r="E214">
        <v>3.4346999999999999</v>
      </c>
      <c r="F214">
        <v>10423054.83</v>
      </c>
      <c r="G214">
        <v>0</v>
      </c>
      <c r="L214" t="s">
        <v>8</v>
      </c>
      <c r="M214" t="s">
        <v>8</v>
      </c>
      <c r="N214" t="s">
        <v>7</v>
      </c>
      <c r="P214">
        <f t="shared" si="959"/>
        <v>0.1748061488232891</v>
      </c>
      <c r="Q214">
        <f t="shared" si="960"/>
        <v>1822014.0738062824</v>
      </c>
      <c r="R214">
        <f t="shared" si="961"/>
        <v>-55888200.571267642</v>
      </c>
      <c r="S214">
        <f t="shared" si="962"/>
        <v>-558.88200571267646</v>
      </c>
      <c r="T214">
        <f t="shared" si="963"/>
        <v>-0.55888200571267643</v>
      </c>
    </row>
    <row r="215" spans="1:20" x14ac:dyDescent="0.25">
      <c r="A215" s="5">
        <v>44378</v>
      </c>
      <c r="B215">
        <v>3.0815999999999999</v>
      </c>
      <c r="C215">
        <v>3.58</v>
      </c>
      <c r="D215">
        <v>2.8075000000000001</v>
      </c>
      <c r="E215">
        <v>3.3988999999999998</v>
      </c>
      <c r="F215">
        <v>5350923.33</v>
      </c>
      <c r="G215">
        <v>0</v>
      </c>
      <c r="L215" t="s">
        <v>7</v>
      </c>
      <c r="M215" t="s">
        <v>7</v>
      </c>
      <c r="N215" t="s">
        <v>7</v>
      </c>
      <c r="P215">
        <f t="shared" si="959"/>
        <v>0.53113268608414166</v>
      </c>
      <c r="Q215">
        <f t="shared" si="960"/>
        <v>2842050.2812931999</v>
      </c>
      <c r="R215">
        <f t="shared" si="961"/>
        <v>-57710214.645073928</v>
      </c>
      <c r="S215">
        <f t="shared" si="962"/>
        <v>-577.10214645073927</v>
      </c>
      <c r="T215">
        <f t="shared" si="963"/>
        <v>-0.57710214645073932</v>
      </c>
    </row>
    <row r="216" spans="1:20" x14ac:dyDescent="0.25">
      <c r="A216" s="5">
        <v>44377</v>
      </c>
      <c r="B216">
        <v>3.2724000000000002</v>
      </c>
      <c r="C216">
        <v>3.2909999999999999</v>
      </c>
      <c r="D216">
        <v>2.9510999999999998</v>
      </c>
      <c r="E216">
        <v>3.0815000000000001</v>
      </c>
      <c r="F216">
        <v>3332585.15</v>
      </c>
      <c r="G216">
        <v>0</v>
      </c>
      <c r="L216" t="s">
        <v>7</v>
      </c>
      <c r="M216" t="s">
        <v>7</v>
      </c>
      <c r="N216" t="s">
        <v>7</v>
      </c>
      <c r="P216">
        <f t="shared" si="959"/>
        <v>-0.23271550456016324</v>
      </c>
      <c r="Q216">
        <f t="shared" si="960"/>
        <v>-775544.23467195733</v>
      </c>
      <c r="R216">
        <f t="shared" si="961"/>
        <v>-60552264.926367126</v>
      </c>
      <c r="S216">
        <f t="shared" si="962"/>
        <v>-605.52264926367127</v>
      </c>
      <c r="T216">
        <f t="shared" si="963"/>
        <v>-0.60552264926367128</v>
      </c>
    </row>
    <row r="217" spans="1:20" x14ac:dyDescent="0.25">
      <c r="A217" s="5">
        <v>44376</v>
      </c>
      <c r="B217">
        <v>3.3999000000000001</v>
      </c>
      <c r="C217">
        <v>3.5390000000000001</v>
      </c>
      <c r="D217">
        <v>3.25</v>
      </c>
      <c r="E217">
        <v>3.2725</v>
      </c>
      <c r="F217">
        <v>4312626.8099999996</v>
      </c>
      <c r="G217">
        <v>0</v>
      </c>
      <c r="L217" t="s">
        <v>7</v>
      </c>
      <c r="M217" t="s">
        <v>7</v>
      </c>
      <c r="N217" t="s">
        <v>7</v>
      </c>
      <c r="P217">
        <f t="shared" si="959"/>
        <v>-0.84429065743944665</v>
      </c>
      <c r="Q217">
        <f t="shared" si="960"/>
        <v>-3641110.5247058831</v>
      </c>
      <c r="R217">
        <f t="shared" si="961"/>
        <v>-59776720.691695169</v>
      </c>
      <c r="S217">
        <f t="shared" si="962"/>
        <v>-597.76720691695164</v>
      </c>
      <c r="T217">
        <f t="shared" si="963"/>
        <v>-0.59776720691695162</v>
      </c>
    </row>
    <row r="218" spans="1:20" x14ac:dyDescent="0.25">
      <c r="A218" s="5">
        <v>44375</v>
      </c>
      <c r="B218">
        <v>3.4676</v>
      </c>
      <c r="C218">
        <v>3.97</v>
      </c>
      <c r="D218">
        <v>3.3384999999999998</v>
      </c>
      <c r="E218">
        <v>3.407</v>
      </c>
      <c r="F218">
        <v>8710924.5399999991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-0.78305621536025283</v>
      </c>
      <c r="Q218">
        <f t="shared" si="960"/>
        <v>-6821143.6025811508</v>
      </c>
      <c r="R218">
        <f t="shared" si="961"/>
        <v>-56135610.166989282</v>
      </c>
      <c r="S218">
        <f t="shared" si="962"/>
        <v>-561.35610166989284</v>
      </c>
      <c r="T218">
        <f t="shared" si="963"/>
        <v>-0.5613561016698928</v>
      </c>
    </row>
    <row r="219" spans="1:20" x14ac:dyDescent="0.25">
      <c r="A219" s="5">
        <v>44374</v>
      </c>
      <c r="B219">
        <v>4.3875000000000002</v>
      </c>
      <c r="C219">
        <v>4.3876999999999997</v>
      </c>
      <c r="D219">
        <v>3.18</v>
      </c>
      <c r="E219">
        <v>3.47</v>
      </c>
      <c r="F219">
        <v>14094689.699999999</v>
      </c>
      <c r="G219">
        <v>0</v>
      </c>
      <c r="L219" t="s">
        <v>7</v>
      </c>
      <c r="M219" t="s">
        <v>7</v>
      </c>
      <c r="N219" t="s">
        <v>7</v>
      </c>
      <c r="P219">
        <f t="shared" si="959"/>
        <v>-0.51974828185807709</v>
      </c>
      <c r="Q219">
        <f t="shared" si="960"/>
        <v>-7325690.754897736</v>
      </c>
      <c r="R219">
        <f t="shared" si="961"/>
        <v>-49314466.564408131</v>
      </c>
      <c r="S219">
        <f t="shared" si="962"/>
        <v>-493.14466564408133</v>
      </c>
      <c r="T219">
        <f t="shared" si="963"/>
        <v>-0.49314466564408133</v>
      </c>
    </row>
    <row r="220" spans="1:20" x14ac:dyDescent="0.25">
      <c r="A220" s="5">
        <v>44373</v>
      </c>
      <c r="B220">
        <v>2.9942000000000002</v>
      </c>
      <c r="C220">
        <v>4.68</v>
      </c>
      <c r="D220">
        <v>2.9876</v>
      </c>
      <c r="E220">
        <v>4.3875000000000002</v>
      </c>
      <c r="F220">
        <v>28904417.59</v>
      </c>
      <c r="G220">
        <v>0</v>
      </c>
      <c r="L220" t="s">
        <v>8</v>
      </c>
      <c r="M220" t="s">
        <v>8</v>
      </c>
      <c r="N220" t="s">
        <v>8</v>
      </c>
      <c r="P220">
        <f t="shared" si="959"/>
        <v>0.65433703616166439</v>
      </c>
      <c r="Q220">
        <f t="shared" si="960"/>
        <v>18913230.937819678</v>
      </c>
      <c r="R220">
        <f t="shared" si="961"/>
        <v>-41988775.809510395</v>
      </c>
      <c r="S220">
        <f t="shared" si="962"/>
        <v>-419.88775809510395</v>
      </c>
      <c r="T220">
        <f t="shared" si="963"/>
        <v>-0.41988775809510392</v>
      </c>
    </row>
    <row r="221" spans="1:20" x14ac:dyDescent="0.25">
      <c r="A221" s="5">
        <v>44372</v>
      </c>
      <c r="B221">
        <v>2.6006</v>
      </c>
      <c r="C221">
        <v>3.6726000000000001</v>
      </c>
      <c r="D221">
        <v>2.5990000000000002</v>
      </c>
      <c r="E221">
        <v>2.9923999999999999</v>
      </c>
      <c r="F221">
        <v>11823443.279999999</v>
      </c>
      <c r="G221">
        <v>0</v>
      </c>
      <c r="L221" t="s">
        <v>8</v>
      </c>
      <c r="M221" t="s">
        <v>8</v>
      </c>
      <c r="N221" t="s">
        <v>8</v>
      </c>
      <c r="P221">
        <f t="shared" si="959"/>
        <v>-0.26713859910581261</v>
      </c>
      <c r="Q221">
        <f t="shared" si="960"/>
        <v>-3158498.0744262338</v>
      </c>
      <c r="R221">
        <f t="shared" si="961"/>
        <v>-60902006.74733007</v>
      </c>
      <c r="S221">
        <f t="shared" si="962"/>
        <v>-609.02006747330074</v>
      </c>
      <c r="T221">
        <f t="shared" si="963"/>
        <v>-0.60902006747330073</v>
      </c>
    </row>
    <row r="222" spans="1:20" x14ac:dyDescent="0.25">
      <c r="A222" s="5">
        <v>44371</v>
      </c>
      <c r="B222">
        <v>2.2656000000000001</v>
      </c>
      <c r="C222">
        <v>2.89</v>
      </c>
      <c r="D222">
        <v>2.1934</v>
      </c>
      <c r="E222">
        <v>2.5956999999999999</v>
      </c>
      <c r="F222">
        <v>3188299.58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0.15503875968992195</v>
      </c>
      <c r="Q222">
        <f t="shared" si="960"/>
        <v>494310.0124030991</v>
      </c>
      <c r="R222">
        <f t="shared" si="961"/>
        <v>-57743508.672903836</v>
      </c>
      <c r="S222">
        <f t="shared" si="962"/>
        <v>-577.4350867290384</v>
      </c>
      <c r="T222">
        <f t="shared" si="963"/>
        <v>-0.57743508672903843</v>
      </c>
    </row>
    <row r="223" spans="1:20" x14ac:dyDescent="0.25">
      <c r="A223" s="5">
        <v>44370</v>
      </c>
      <c r="B223">
        <v>2.2664</v>
      </c>
      <c r="C223">
        <v>2.4975999999999998</v>
      </c>
      <c r="D223">
        <v>2.0895000000000001</v>
      </c>
      <c r="E223">
        <v>2.2629000000000001</v>
      </c>
      <c r="F223">
        <v>3996331.6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-0.15020828228375332</v>
      </c>
      <c r="Q223">
        <f t="shared" si="960"/>
        <v>-600282.10507228354</v>
      </c>
      <c r="R223">
        <f t="shared" si="961"/>
        <v>-58237818.685306937</v>
      </c>
      <c r="S223">
        <f t="shared" si="962"/>
        <v>-582.37818685306934</v>
      </c>
      <c r="T223">
        <f t="shared" si="963"/>
        <v>-0.5823781868530693</v>
      </c>
    </row>
    <row r="224" spans="1:20" x14ac:dyDescent="0.25">
      <c r="A224" s="5">
        <v>44369</v>
      </c>
      <c r="B224">
        <v>1.9266000000000001</v>
      </c>
      <c r="C224">
        <v>2.577</v>
      </c>
      <c r="D224">
        <v>1.6500999999999999</v>
      </c>
      <c r="E224">
        <v>2.2663000000000002</v>
      </c>
      <c r="F224">
        <v>6618490.3499999996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0.32959326788218851</v>
      </c>
      <c r="Q224">
        <f t="shared" si="960"/>
        <v>2181409.8629032294</v>
      </c>
      <c r="R224">
        <f t="shared" si="961"/>
        <v>-57637536.580234654</v>
      </c>
      <c r="S224">
        <f t="shared" si="962"/>
        <v>-576.37536580234655</v>
      </c>
      <c r="T224">
        <f t="shared" si="963"/>
        <v>-0.5763753658023465</v>
      </c>
    </row>
    <row r="225" spans="1:20" x14ac:dyDescent="0.25">
      <c r="A225" s="5">
        <v>44368</v>
      </c>
      <c r="B225">
        <v>2.3243</v>
      </c>
      <c r="C225">
        <v>2.3258000000000001</v>
      </c>
      <c r="D225">
        <v>1.8688</v>
      </c>
      <c r="E225">
        <v>1.9265000000000001</v>
      </c>
      <c r="F225">
        <v>1793429.79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-0.74748358862144382</v>
      </c>
      <c r="Q225">
        <f t="shared" si="960"/>
        <v>-1340559.3353698023</v>
      </c>
      <c r="R225">
        <f t="shared" si="961"/>
        <v>-59818946.443137884</v>
      </c>
      <c r="S225">
        <f t="shared" si="962"/>
        <v>-598.18946443137884</v>
      </c>
      <c r="T225">
        <f t="shared" si="963"/>
        <v>-0.59818946443137888</v>
      </c>
    </row>
    <row r="226" spans="1:20" x14ac:dyDescent="0.25">
      <c r="A226" s="5">
        <v>44367</v>
      </c>
      <c r="B226">
        <v>2.3748999999999998</v>
      </c>
      <c r="C226">
        <v>2.4081999999999999</v>
      </c>
      <c r="D226">
        <v>2.0996000000000001</v>
      </c>
      <c r="E226">
        <v>2.3266</v>
      </c>
      <c r="F226">
        <v>1142834.23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0.47116007777057706</v>
      </c>
      <c r="Q226">
        <f t="shared" si="960"/>
        <v>538457.86468567757</v>
      </c>
      <c r="R226">
        <f t="shared" si="961"/>
        <v>-58478387.107768081</v>
      </c>
      <c r="S226">
        <f t="shared" si="962"/>
        <v>-584.78387107768083</v>
      </c>
      <c r="T226">
        <f t="shared" si="963"/>
        <v>-0.58478387107768082</v>
      </c>
    </row>
    <row r="227" spans="1:20" x14ac:dyDescent="0.25">
      <c r="A227" s="5">
        <v>44366</v>
      </c>
      <c r="B227">
        <v>2.4329999999999998</v>
      </c>
      <c r="C227">
        <v>2.4702999999999999</v>
      </c>
      <c r="D227">
        <v>2.3346</v>
      </c>
      <c r="E227">
        <v>2.3748999999999998</v>
      </c>
      <c r="F227">
        <v>873779.53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-0.40604274134119672</v>
      </c>
      <c r="Q227">
        <f t="shared" si="960"/>
        <v>-354791.83568902244</v>
      </c>
      <c r="R227">
        <f t="shared" si="961"/>
        <v>-59016844.972453758</v>
      </c>
      <c r="S227">
        <f t="shared" si="962"/>
        <v>-590.1684497245376</v>
      </c>
      <c r="T227">
        <f t="shared" si="963"/>
        <v>-0.59016844972453764</v>
      </c>
    </row>
    <row r="228" spans="1:20" x14ac:dyDescent="0.25">
      <c r="A228" s="5">
        <v>44365</v>
      </c>
      <c r="B228">
        <v>2.597</v>
      </c>
      <c r="C228">
        <v>2.8591000000000002</v>
      </c>
      <c r="D228">
        <v>2.3449</v>
      </c>
      <c r="E228">
        <v>2.4315000000000002</v>
      </c>
      <c r="F228">
        <v>3639623.42</v>
      </c>
      <c r="G228">
        <v>0</v>
      </c>
      <c r="L228" t="s">
        <v>8</v>
      </c>
      <c r="M228" t="s">
        <v>8</v>
      </c>
      <c r="N228" t="s">
        <v>7</v>
      </c>
      <c r="P228">
        <f t="shared" si="959"/>
        <v>-0.66316608323609416</v>
      </c>
      <c r="Q228">
        <f t="shared" si="960"/>
        <v>-2413674.8078957577</v>
      </c>
      <c r="R228">
        <f t="shared" si="961"/>
        <v>-58662053.136764735</v>
      </c>
      <c r="S228">
        <f t="shared" si="962"/>
        <v>-586.62053136764735</v>
      </c>
      <c r="T228">
        <f t="shared" si="963"/>
        <v>-0.58662053136764736</v>
      </c>
    </row>
    <row r="229" spans="1:20" x14ac:dyDescent="0.25">
      <c r="A229" s="5">
        <v>44364</v>
      </c>
      <c r="B229">
        <v>2.3435000000000001</v>
      </c>
      <c r="C229">
        <v>2.6768999999999998</v>
      </c>
      <c r="D229">
        <v>2.3262999999999998</v>
      </c>
      <c r="E229">
        <v>2.5945</v>
      </c>
      <c r="F229">
        <v>1886903.01</v>
      </c>
      <c r="G229">
        <v>0</v>
      </c>
      <c r="L229" t="s">
        <v>8</v>
      </c>
      <c r="M229" t="s">
        <v>7</v>
      </c>
      <c r="N229" t="s">
        <v>7</v>
      </c>
      <c r="P229">
        <f t="shared" si="959"/>
        <v>0.52994865944095948</v>
      </c>
      <c r="Q229">
        <f t="shared" si="960"/>
        <v>999961.7206446114</v>
      </c>
      <c r="R229">
        <f t="shared" si="961"/>
        <v>-56248378.328868978</v>
      </c>
      <c r="S229">
        <f t="shared" si="962"/>
        <v>-562.48378328868978</v>
      </c>
      <c r="T229">
        <f t="shared" si="963"/>
        <v>-0.56248378328868975</v>
      </c>
    </row>
    <row r="230" spans="1:20" x14ac:dyDescent="0.25">
      <c r="A230" s="5">
        <v>44363</v>
      </c>
      <c r="B230">
        <v>2.5488</v>
      </c>
      <c r="C230">
        <v>2.5670000000000002</v>
      </c>
      <c r="D230">
        <v>2.3216000000000001</v>
      </c>
      <c r="E230">
        <v>2.3439999999999999</v>
      </c>
      <c r="F230">
        <v>1031745.86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-0.81744091279543807</v>
      </c>
      <c r="Q230">
        <f t="shared" si="960"/>
        <v>-843391.27757131425</v>
      </c>
      <c r="R230">
        <f t="shared" si="961"/>
        <v>-57248340.049513586</v>
      </c>
      <c r="S230">
        <f t="shared" si="962"/>
        <v>-572.48340049513581</v>
      </c>
      <c r="T230">
        <f t="shared" si="963"/>
        <v>-0.5724834004951358</v>
      </c>
    </row>
    <row r="231" spans="1:20" x14ac:dyDescent="0.25">
      <c r="A231" s="5">
        <v>44362</v>
      </c>
      <c r="B231">
        <v>2.528</v>
      </c>
      <c r="C231">
        <v>2.6459000000000001</v>
      </c>
      <c r="D231">
        <v>2.4695</v>
      </c>
      <c r="E231">
        <v>2.5522999999999998</v>
      </c>
      <c r="F231">
        <v>1776136.47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-6.1224489795921655E-2</v>
      </c>
      <c r="Q231">
        <f t="shared" si="960"/>
        <v>-108743.04918367931</v>
      </c>
      <c r="R231">
        <f t="shared" si="961"/>
        <v>-56404948.771942273</v>
      </c>
      <c r="S231">
        <f t="shared" si="962"/>
        <v>-564.0494877194227</v>
      </c>
      <c r="T231">
        <f t="shared" si="963"/>
        <v>-0.56404948771942265</v>
      </c>
    </row>
    <row r="232" spans="1:20" x14ac:dyDescent="0.25">
      <c r="A232" s="5">
        <v>44361</v>
      </c>
      <c r="B232">
        <v>2.5861000000000001</v>
      </c>
      <c r="C232">
        <v>2.625</v>
      </c>
      <c r="D232">
        <v>2.4700000000000002</v>
      </c>
      <c r="E232">
        <v>2.528</v>
      </c>
      <c r="F232">
        <v>4137004.76</v>
      </c>
      <c r="G232">
        <v>0</v>
      </c>
      <c r="L232" t="s">
        <v>7</v>
      </c>
      <c r="M232" t="s">
        <v>7</v>
      </c>
      <c r="N232" t="s">
        <v>7</v>
      </c>
      <c r="P232">
        <f t="shared" si="959"/>
        <v>-0.2516129032258077</v>
      </c>
      <c r="Q232">
        <f t="shared" si="960"/>
        <v>-1040923.7783225857</v>
      </c>
      <c r="R232">
        <f t="shared" si="961"/>
        <v>-56296205.722758591</v>
      </c>
      <c r="S232">
        <f t="shared" si="962"/>
        <v>-562.96205722758589</v>
      </c>
      <c r="T232">
        <f t="shared" si="963"/>
        <v>-0.56296205722758585</v>
      </c>
    </row>
    <row r="233" spans="1:20" x14ac:dyDescent="0.25">
      <c r="A233" s="5">
        <v>44360</v>
      </c>
      <c r="B233">
        <v>2.4929999999999999</v>
      </c>
      <c r="C233">
        <v>2.7033999999999998</v>
      </c>
      <c r="D233">
        <v>2.4443000000000001</v>
      </c>
      <c r="E233">
        <v>2.5886</v>
      </c>
      <c r="F233">
        <v>1904464.68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0.11385565418757283</v>
      </c>
      <c r="Q233">
        <f t="shared" si="960"/>
        <v>216834.07201852655</v>
      </c>
      <c r="R233">
        <f t="shared" si="961"/>
        <v>-55255281.944436006</v>
      </c>
      <c r="S233">
        <f t="shared" si="962"/>
        <v>-552.55281944436001</v>
      </c>
      <c r="T233">
        <f t="shared" si="963"/>
        <v>-0.55255281944435997</v>
      </c>
    </row>
    <row r="234" spans="1:20" x14ac:dyDescent="0.25">
      <c r="A234" s="5">
        <v>44359</v>
      </c>
      <c r="B234">
        <v>2.6080999999999999</v>
      </c>
      <c r="C234">
        <v>2.7019000000000002</v>
      </c>
      <c r="D234">
        <v>2.4500000000000002</v>
      </c>
      <c r="E234">
        <v>2.4889999999999999</v>
      </c>
      <c r="F234">
        <v>1651165.47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-0.69035331480746565</v>
      </c>
      <c r="Q234">
        <f t="shared" si="960"/>
        <v>-1139887.555510127</v>
      </c>
      <c r="R234">
        <f t="shared" si="961"/>
        <v>-55472116.016454533</v>
      </c>
      <c r="S234">
        <f t="shared" si="962"/>
        <v>-554.72116016454538</v>
      </c>
      <c r="T234">
        <f t="shared" si="963"/>
        <v>-0.55472116016454542</v>
      </c>
    </row>
    <row r="235" spans="1:20" x14ac:dyDescent="0.25">
      <c r="A235" s="5">
        <v>44358</v>
      </c>
      <c r="B235">
        <v>2.8050999999999999</v>
      </c>
      <c r="C235">
        <v>3.2</v>
      </c>
      <c r="D235">
        <v>2.5846</v>
      </c>
      <c r="E235">
        <v>2.6093000000000002</v>
      </c>
      <c r="F235">
        <v>3139686.01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-0.91972700682482889</v>
      </c>
      <c r="Q235">
        <f t="shared" si="960"/>
        <v>-2887654.0163470898</v>
      </c>
      <c r="R235">
        <f t="shared" si="961"/>
        <v>-54332228.460944407</v>
      </c>
      <c r="S235">
        <f t="shared" si="962"/>
        <v>-543.32228460944407</v>
      </c>
      <c r="T235">
        <f t="shared" si="963"/>
        <v>-0.54332228460944409</v>
      </c>
    </row>
    <row r="236" spans="1:20" x14ac:dyDescent="0.25">
      <c r="A236" s="5">
        <v>44357</v>
      </c>
      <c r="B236">
        <v>3.0251000000000001</v>
      </c>
      <c r="C236">
        <v>3.0531999999999999</v>
      </c>
      <c r="D236">
        <v>2.7980999999999998</v>
      </c>
      <c r="E236">
        <v>2.8039999999999998</v>
      </c>
      <c r="F236">
        <v>1107904.95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-0.9537436299490395</v>
      </c>
      <c r="Q236">
        <f t="shared" si="960"/>
        <v>-1056657.288651509</v>
      </c>
      <c r="R236">
        <f t="shared" si="961"/>
        <v>-51444574.444597319</v>
      </c>
      <c r="S236">
        <f t="shared" si="962"/>
        <v>-514.44574444597322</v>
      </c>
      <c r="T236">
        <f t="shared" si="963"/>
        <v>-0.51444574444597324</v>
      </c>
    </row>
    <row r="237" spans="1:20" x14ac:dyDescent="0.25">
      <c r="A237" s="5">
        <v>44356</v>
      </c>
      <c r="B237">
        <v>2.9255</v>
      </c>
      <c r="C237">
        <v>3.266</v>
      </c>
      <c r="D237">
        <v>2.9095</v>
      </c>
      <c r="E237">
        <v>3.0251000000000001</v>
      </c>
      <c r="F237">
        <v>1609229.61</v>
      </c>
      <c r="G237">
        <v>0</v>
      </c>
      <c r="L237" t="s">
        <v>8</v>
      </c>
      <c r="M237" t="s">
        <v>8</v>
      </c>
      <c r="N237" t="s">
        <v>7</v>
      </c>
      <c r="P237">
        <f t="shared" si="959"/>
        <v>-0.35147265077138773</v>
      </c>
      <c r="Q237">
        <f t="shared" si="960"/>
        <v>-565600.19672650646</v>
      </c>
      <c r="R237">
        <f t="shared" si="961"/>
        <v>-50387917.155945808</v>
      </c>
      <c r="S237">
        <f t="shared" si="962"/>
        <v>-503.87917155945809</v>
      </c>
      <c r="T237">
        <f t="shared" si="963"/>
        <v>-0.50387917155945805</v>
      </c>
    </row>
    <row r="238" spans="1:20" x14ac:dyDescent="0.25">
      <c r="A238" s="5">
        <v>44355</v>
      </c>
      <c r="B238">
        <v>2.8553000000000002</v>
      </c>
      <c r="C238">
        <v>3.2719999999999998</v>
      </c>
      <c r="D238">
        <v>2.7265999999999999</v>
      </c>
      <c r="E238">
        <v>2.9239999999999999</v>
      </c>
      <c r="F238">
        <v>2475802.39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-0.2761276127612759</v>
      </c>
      <c r="Q238">
        <f t="shared" si="960"/>
        <v>-683637.40361936146</v>
      </c>
      <c r="R238">
        <f t="shared" si="961"/>
        <v>-49822316.959219299</v>
      </c>
      <c r="S238">
        <f t="shared" si="962"/>
        <v>-498.22316959219302</v>
      </c>
      <c r="T238">
        <f t="shared" si="963"/>
        <v>-0.49822316959219304</v>
      </c>
    </row>
    <row r="239" spans="1:20" x14ac:dyDescent="0.25">
      <c r="A239" s="5">
        <v>44354</v>
      </c>
      <c r="B239">
        <v>3.2347000000000001</v>
      </c>
      <c r="C239">
        <v>3.2867000000000002</v>
      </c>
      <c r="D239">
        <v>2.8243</v>
      </c>
      <c r="E239">
        <v>2.8601999999999999</v>
      </c>
      <c r="F239">
        <v>794447.26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-0.84472318339100427</v>
      </c>
      <c r="Q239">
        <f t="shared" si="960"/>
        <v>-671088.01850346092</v>
      </c>
      <c r="R239">
        <f t="shared" si="961"/>
        <v>-49138679.555599935</v>
      </c>
      <c r="S239">
        <f t="shared" si="962"/>
        <v>-491.38679555599936</v>
      </c>
      <c r="T239">
        <f t="shared" si="963"/>
        <v>-0.49138679555599935</v>
      </c>
    </row>
    <row r="240" spans="1:20" x14ac:dyDescent="0.25">
      <c r="A240" s="5">
        <v>44353</v>
      </c>
      <c r="B240">
        <v>3.2101000000000002</v>
      </c>
      <c r="C240">
        <v>3.2909000000000002</v>
      </c>
      <c r="D240">
        <v>3.1225999999999998</v>
      </c>
      <c r="E240">
        <v>3.2370000000000001</v>
      </c>
      <c r="F240">
        <v>678635</v>
      </c>
      <c r="G240">
        <v>0</v>
      </c>
      <c r="L240" t="s">
        <v>7</v>
      </c>
      <c r="M240" t="s">
        <v>7</v>
      </c>
      <c r="N240" t="s">
        <v>8</v>
      </c>
      <c r="P240">
        <f t="shared" si="959"/>
        <v>0.35947712418300715</v>
      </c>
      <c r="Q240">
        <f t="shared" si="960"/>
        <v>243953.75816993506</v>
      </c>
      <c r="R240">
        <f t="shared" si="961"/>
        <v>-48467591.537096478</v>
      </c>
      <c r="S240">
        <f t="shared" si="962"/>
        <v>-484.67591537096479</v>
      </c>
      <c r="T240">
        <f t="shared" si="963"/>
        <v>-0.48467591537096477</v>
      </c>
    </row>
    <row r="241" spans="1:20" x14ac:dyDescent="0.25">
      <c r="A241" s="5">
        <v>44352</v>
      </c>
      <c r="B241">
        <v>3.306</v>
      </c>
      <c r="C241">
        <v>3.4182999999999999</v>
      </c>
      <c r="D241">
        <v>3.1547000000000001</v>
      </c>
      <c r="E241">
        <v>3.2151999999999998</v>
      </c>
      <c r="F241">
        <v>901122.18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-0.54097116843702719</v>
      </c>
      <c r="Q241">
        <f t="shared" si="960"/>
        <v>-487481.11861912115</v>
      </c>
      <c r="R241">
        <f t="shared" si="961"/>
        <v>-48711545.295266412</v>
      </c>
      <c r="S241">
        <f t="shared" si="962"/>
        <v>-487.1154529526641</v>
      </c>
      <c r="T241">
        <f t="shared" si="963"/>
        <v>-0.48711545295266412</v>
      </c>
    </row>
    <row r="242" spans="1:20" x14ac:dyDescent="0.25">
      <c r="A242" s="5">
        <v>44351</v>
      </c>
      <c r="B242">
        <v>3.4881000000000002</v>
      </c>
      <c r="C242">
        <v>3.5097</v>
      </c>
      <c r="D242">
        <v>3.2191000000000001</v>
      </c>
      <c r="E242">
        <v>3.3014000000000001</v>
      </c>
      <c r="F242">
        <v>846201.98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-0.43358568479008913</v>
      </c>
      <c r="Q242">
        <f t="shared" si="960"/>
        <v>-366901.06496902928</v>
      </c>
      <c r="R242">
        <f t="shared" si="961"/>
        <v>-48224064.176647291</v>
      </c>
      <c r="S242">
        <f t="shared" si="962"/>
        <v>-482.24064176647289</v>
      </c>
      <c r="T242">
        <f t="shared" si="963"/>
        <v>-0.48224064176647291</v>
      </c>
    </row>
    <row r="243" spans="1:20" x14ac:dyDescent="0.25">
      <c r="A243" s="5">
        <v>44350</v>
      </c>
      <c r="B243">
        <v>3.4725999999999999</v>
      </c>
      <c r="C243">
        <v>3.5710999999999999</v>
      </c>
      <c r="D243">
        <v>3.3936999999999999</v>
      </c>
      <c r="E243">
        <v>3.4921000000000002</v>
      </c>
      <c r="F243">
        <v>845134.75</v>
      </c>
      <c r="G243">
        <v>0</v>
      </c>
      <c r="L243" t="s">
        <v>7</v>
      </c>
      <c r="M243" t="s">
        <v>8</v>
      </c>
      <c r="N243" t="s">
        <v>8</v>
      </c>
      <c r="P243">
        <f t="shared" si="959"/>
        <v>0.1093573844419421</v>
      </c>
      <c r="Q243">
        <f t="shared" si="960"/>
        <v>92421.725760994625</v>
      </c>
      <c r="R243">
        <f t="shared" si="961"/>
        <v>-47857163.111678265</v>
      </c>
      <c r="S243">
        <f t="shared" si="962"/>
        <v>-478.57163111678267</v>
      </c>
      <c r="T243">
        <f t="shared" si="963"/>
        <v>-0.47857163111678269</v>
      </c>
    </row>
    <row r="244" spans="1:20" x14ac:dyDescent="0.25">
      <c r="A244" s="5">
        <v>44349</v>
      </c>
      <c r="B244">
        <v>3.4003999999999999</v>
      </c>
      <c r="C244">
        <v>3.8</v>
      </c>
      <c r="D244">
        <v>3.3020999999999998</v>
      </c>
      <c r="E244">
        <v>3.4842</v>
      </c>
      <c r="F244">
        <v>1356919.41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-0.26852781683068833</v>
      </c>
      <c r="Q244">
        <f t="shared" si="960"/>
        <v>-364370.60678248567</v>
      </c>
      <c r="R244">
        <f t="shared" si="961"/>
        <v>-47949584.837439261</v>
      </c>
      <c r="S244">
        <f t="shared" si="962"/>
        <v>-479.49584837439261</v>
      </c>
      <c r="T244">
        <f t="shared" si="963"/>
        <v>-0.47949584837439263</v>
      </c>
    </row>
    <row r="245" spans="1:20" x14ac:dyDescent="0.25">
      <c r="A245" s="5">
        <v>44348</v>
      </c>
      <c r="B245">
        <v>3.4971000000000001</v>
      </c>
      <c r="C245">
        <v>3.5310000000000001</v>
      </c>
      <c r="D245">
        <v>3.2844000000000002</v>
      </c>
      <c r="E245">
        <v>3.4076</v>
      </c>
      <c r="F245">
        <v>817874.96</v>
      </c>
      <c r="G245">
        <v>0</v>
      </c>
      <c r="L245" t="s">
        <v>8</v>
      </c>
      <c r="M245" t="s">
        <v>8</v>
      </c>
      <c r="N245" t="s">
        <v>8</v>
      </c>
      <c r="P245">
        <f t="shared" si="959"/>
        <v>-8.1103000811201184E-4</v>
      </c>
      <c r="Q245">
        <f t="shared" si="960"/>
        <v>-663.32113544341132</v>
      </c>
      <c r="R245">
        <f t="shared" si="961"/>
        <v>-47585214.230656773</v>
      </c>
      <c r="S245">
        <f t="shared" si="962"/>
        <v>-475.85214230656771</v>
      </c>
      <c r="T245">
        <f t="shared" si="963"/>
        <v>-0.47585214230656769</v>
      </c>
    </row>
    <row r="246" spans="1:20" x14ac:dyDescent="0.25">
      <c r="A246" s="5">
        <v>44347</v>
      </c>
      <c r="B246">
        <v>3.3969999999999998</v>
      </c>
      <c r="C246">
        <v>3.5398000000000001</v>
      </c>
      <c r="D246">
        <v>3.2361</v>
      </c>
      <c r="E246">
        <v>3.4971000000000001</v>
      </c>
      <c r="F246">
        <v>682061.23</v>
      </c>
      <c r="G246">
        <v>0</v>
      </c>
      <c r="L246" t="s">
        <v>7</v>
      </c>
      <c r="M246" t="s">
        <v>8</v>
      </c>
      <c r="N246" t="s">
        <v>8</v>
      </c>
      <c r="P246">
        <f t="shared" si="959"/>
        <v>0.71880144879815644</v>
      </c>
      <c r="Q246">
        <f t="shared" si="960"/>
        <v>490266.60029305262</v>
      </c>
      <c r="R246">
        <f t="shared" si="961"/>
        <v>-47584550.909521326</v>
      </c>
      <c r="S246">
        <f t="shared" si="962"/>
        <v>-475.84550909521329</v>
      </c>
      <c r="T246">
        <f t="shared" si="963"/>
        <v>-0.47584550909521328</v>
      </c>
    </row>
    <row r="247" spans="1:20" x14ac:dyDescent="0.25">
      <c r="A247" s="5">
        <v>44346</v>
      </c>
      <c r="B247">
        <v>3.4104999999999999</v>
      </c>
      <c r="C247">
        <v>3.6128999999999998</v>
      </c>
      <c r="D247">
        <v>3.2122999999999999</v>
      </c>
      <c r="E247">
        <v>3.3969999999999998</v>
      </c>
      <c r="F247">
        <v>995317.39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-7.7883175237144608E-2</v>
      </c>
      <c r="Q247">
        <f t="shared" si="960"/>
        <v>-77518.478701947402</v>
      </c>
      <c r="R247">
        <f t="shared" si="961"/>
        <v>-48074817.509814382</v>
      </c>
      <c r="S247">
        <f t="shared" si="962"/>
        <v>-480.7481750981438</v>
      </c>
      <c r="T247">
        <f t="shared" si="963"/>
        <v>-0.48074817509814383</v>
      </c>
    </row>
    <row r="248" spans="1:20" x14ac:dyDescent="0.25">
      <c r="A248" s="5">
        <v>44345</v>
      </c>
      <c r="B248">
        <v>3.4119999999999999</v>
      </c>
      <c r="C248">
        <v>3.911</v>
      </c>
      <c r="D248">
        <v>3.0386000000000002</v>
      </c>
      <c r="E248">
        <v>3.4083000000000001</v>
      </c>
      <c r="F248">
        <v>1302785.75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-0.15245300320953695</v>
      </c>
      <c r="Q248">
        <f t="shared" si="960"/>
        <v>-198613.600126089</v>
      </c>
      <c r="R248">
        <f t="shared" si="961"/>
        <v>-47997299.031112432</v>
      </c>
      <c r="S248">
        <f t="shared" si="962"/>
        <v>-479.97299031112431</v>
      </c>
      <c r="T248">
        <f t="shared" si="963"/>
        <v>-0.47997299031112428</v>
      </c>
    </row>
    <row r="249" spans="1:20" x14ac:dyDescent="0.25">
      <c r="A249" s="5">
        <v>44344</v>
      </c>
      <c r="B249">
        <v>3.6067999999999998</v>
      </c>
      <c r="C249">
        <v>3.7</v>
      </c>
      <c r="D249">
        <v>3.12</v>
      </c>
      <c r="E249">
        <v>3.4119999999999999</v>
      </c>
      <c r="F249">
        <v>1130741.5900000001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6.8965517241371703E-3</v>
      </c>
      <c r="Q249">
        <f t="shared" si="960"/>
        <v>7798.2178620681061</v>
      </c>
      <c r="R249">
        <f t="shared" si="961"/>
        <v>-47798685.430986345</v>
      </c>
      <c r="S249">
        <f t="shared" si="962"/>
        <v>-477.98685430986347</v>
      </c>
      <c r="T249">
        <f t="shared" si="963"/>
        <v>-0.47798685430986348</v>
      </c>
    </row>
    <row r="250" spans="1:20" x14ac:dyDescent="0.25">
      <c r="A250" s="5">
        <v>44343</v>
      </c>
      <c r="B250">
        <v>3.8109000000000002</v>
      </c>
      <c r="C250">
        <v>3.89</v>
      </c>
      <c r="D250">
        <v>3.5209999999999999</v>
      </c>
      <c r="E250">
        <v>3.6067999999999998</v>
      </c>
      <c r="F250">
        <v>844490.72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-0.53495934959349689</v>
      </c>
      <c r="Q250">
        <f t="shared" si="960"/>
        <v>-451768.20630894386</v>
      </c>
      <c r="R250">
        <f t="shared" si="961"/>
        <v>-47806483.648848414</v>
      </c>
      <c r="S250">
        <f t="shared" si="962"/>
        <v>-478.06483648848416</v>
      </c>
      <c r="T250">
        <f t="shared" si="963"/>
        <v>-0.47806483648848414</v>
      </c>
    </row>
    <row r="251" spans="1:20" x14ac:dyDescent="0.25">
      <c r="A251" s="5">
        <v>44342</v>
      </c>
      <c r="B251">
        <v>3.5442</v>
      </c>
      <c r="C251">
        <v>3.9613</v>
      </c>
      <c r="D251">
        <v>3.4931000000000001</v>
      </c>
      <c r="E251">
        <v>3.8119000000000001</v>
      </c>
      <c r="F251">
        <v>1959352.53</v>
      </c>
      <c r="G251">
        <v>0</v>
      </c>
      <c r="L251" t="s">
        <v>7</v>
      </c>
      <c r="M251" t="s">
        <v>8</v>
      </c>
      <c r="N251" t="s">
        <v>8</v>
      </c>
      <c r="P251">
        <f t="shared" si="959"/>
        <v>0.36181119179837679</v>
      </c>
      <c r="Q251">
        <f t="shared" si="960"/>
        <v>708915.67403246486</v>
      </c>
      <c r="R251">
        <f t="shared" si="961"/>
        <v>-47354715.442539468</v>
      </c>
      <c r="S251">
        <f t="shared" si="962"/>
        <v>-473.54715442539469</v>
      </c>
      <c r="T251">
        <f t="shared" si="963"/>
        <v>-0.47354715442539469</v>
      </c>
    </row>
    <row r="252" spans="1:20" x14ac:dyDescent="0.25">
      <c r="A252" s="5">
        <v>44341</v>
      </c>
      <c r="B252">
        <v>3.089</v>
      </c>
      <c r="C252">
        <v>3.9769999999999999</v>
      </c>
      <c r="D252">
        <v>2.7065000000000001</v>
      </c>
      <c r="E252">
        <v>3.5461999999999998</v>
      </c>
      <c r="F252">
        <v>5477368.5899999999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0.32184179456906703</v>
      </c>
      <c r="Q252">
        <f t="shared" si="960"/>
        <v>1762846.1365218402</v>
      </c>
      <c r="R252">
        <f t="shared" si="961"/>
        <v>-48063631.116571933</v>
      </c>
      <c r="S252">
        <f t="shared" si="962"/>
        <v>-480.63631116571935</v>
      </c>
      <c r="T252">
        <f t="shared" si="963"/>
        <v>-0.48063631116571937</v>
      </c>
    </row>
    <row r="253" spans="1:20" x14ac:dyDescent="0.25">
      <c r="A253" s="5">
        <v>44340</v>
      </c>
      <c r="B253">
        <v>2.6396999999999999</v>
      </c>
      <c r="C253">
        <v>3.35</v>
      </c>
      <c r="D253">
        <v>2.4834999999999998</v>
      </c>
      <c r="E253">
        <v>3.0825</v>
      </c>
      <c r="F253">
        <v>3324322.01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0.38257357184073865</v>
      </c>
      <c r="Q253">
        <f t="shared" si="960"/>
        <v>1271797.7453144835</v>
      </c>
      <c r="R253">
        <f t="shared" si="961"/>
        <v>-49826477.253093772</v>
      </c>
      <c r="S253">
        <f t="shared" si="962"/>
        <v>-498.26477253093771</v>
      </c>
      <c r="T253">
        <f t="shared" si="963"/>
        <v>-0.49826477253093771</v>
      </c>
    </row>
    <row r="254" spans="1:20" x14ac:dyDescent="0.25">
      <c r="A254" s="5">
        <v>44339</v>
      </c>
      <c r="B254">
        <v>3.0105</v>
      </c>
      <c r="C254">
        <v>3.0169000000000001</v>
      </c>
      <c r="D254">
        <v>2.2000000000000002</v>
      </c>
      <c r="E254">
        <v>2.6379000000000001</v>
      </c>
      <c r="F254">
        <v>2217516.5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7.2101848451462794E-2</v>
      </c>
      <c r="Q254">
        <f t="shared" si="960"/>
        <v>159887.03862161821</v>
      </c>
      <c r="R254">
        <f t="shared" si="961"/>
        <v>-51098274.998408258</v>
      </c>
      <c r="S254">
        <f t="shared" si="962"/>
        <v>-510.9827499840826</v>
      </c>
      <c r="T254">
        <f t="shared" si="963"/>
        <v>-0.51098274998408255</v>
      </c>
    </row>
    <row r="255" spans="1:20" x14ac:dyDescent="0.25">
      <c r="A255" s="5">
        <v>44338</v>
      </c>
      <c r="B255">
        <v>3.1661000000000001</v>
      </c>
      <c r="C255">
        <v>3.3553999999999999</v>
      </c>
      <c r="D255">
        <v>2.7578999999999998</v>
      </c>
      <c r="E255">
        <v>3.0146999999999999</v>
      </c>
      <c r="F255">
        <v>1979413.45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-0.14041841004184075</v>
      </c>
      <c r="Q255">
        <f t="shared" si="960"/>
        <v>-277946.08946443466</v>
      </c>
      <c r="R255">
        <f t="shared" si="961"/>
        <v>-51258162.037029877</v>
      </c>
      <c r="S255">
        <f t="shared" si="962"/>
        <v>-512.58162037029877</v>
      </c>
      <c r="T255">
        <f t="shared" si="963"/>
        <v>-0.51258162037029875</v>
      </c>
    </row>
    <row r="256" spans="1:20" x14ac:dyDescent="0.25">
      <c r="A256" s="5">
        <v>44337</v>
      </c>
      <c r="B256">
        <v>4.1425999999999998</v>
      </c>
      <c r="C256">
        <v>4.2556000000000003</v>
      </c>
      <c r="D256">
        <v>2.8980000000000001</v>
      </c>
      <c r="E256">
        <v>3.1583000000000001</v>
      </c>
      <c r="F256">
        <v>2903515.38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-0.61652916912198008</v>
      </c>
      <c r="Q256">
        <f t="shared" si="960"/>
        <v>-1790101.9247642902</v>
      </c>
      <c r="R256">
        <f t="shared" si="961"/>
        <v>-50980215.947565444</v>
      </c>
      <c r="S256">
        <f t="shared" si="962"/>
        <v>-509.80215947565443</v>
      </c>
      <c r="T256">
        <f t="shared" si="963"/>
        <v>-0.50980215947565444</v>
      </c>
    </row>
    <row r="257" spans="1:20" x14ac:dyDescent="0.25">
      <c r="A257" s="5">
        <v>44336</v>
      </c>
      <c r="B257">
        <v>4.0049000000000001</v>
      </c>
      <c r="C257">
        <v>4.4372999999999996</v>
      </c>
      <c r="D257">
        <v>3.68</v>
      </c>
      <c r="E257">
        <v>4.1424000000000003</v>
      </c>
      <c r="F257">
        <v>2756386.27</v>
      </c>
      <c r="G257">
        <v>0</v>
      </c>
      <c r="L257" t="s">
        <v>8</v>
      </c>
      <c r="M257" t="s">
        <v>8</v>
      </c>
      <c r="N257" t="s">
        <v>7</v>
      </c>
      <c r="P257">
        <f t="shared" si="959"/>
        <v>0.22118050970553413</v>
      </c>
      <c r="Q257">
        <f t="shared" si="960"/>
        <v>609658.92014393606</v>
      </c>
      <c r="R257">
        <f t="shared" si="961"/>
        <v>-49190114.022801153</v>
      </c>
      <c r="S257">
        <f t="shared" si="962"/>
        <v>-491.90114022801151</v>
      </c>
      <c r="T257">
        <f t="shared" si="963"/>
        <v>-0.49190114022801151</v>
      </c>
    </row>
    <row r="258" spans="1:20" x14ac:dyDescent="0.25">
      <c r="A258" s="5">
        <v>44335</v>
      </c>
      <c r="B258">
        <v>5.4185999999999996</v>
      </c>
      <c r="C258">
        <v>5.5632999999999999</v>
      </c>
      <c r="D258">
        <v>3.6682000000000001</v>
      </c>
      <c r="E258">
        <v>3.9849999999999999</v>
      </c>
      <c r="F258">
        <v>4188992.14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-0.66566408105113206</v>
      </c>
      <c r="Q258">
        <f t="shared" si="960"/>
        <v>-2788461.6034035152</v>
      </c>
      <c r="R258">
        <f t="shared" si="961"/>
        <v>-49799772.942945093</v>
      </c>
      <c r="S258">
        <f t="shared" si="962"/>
        <v>-497.99772942945094</v>
      </c>
      <c r="T258">
        <f t="shared" si="963"/>
        <v>-0.49799772942945092</v>
      </c>
    </row>
    <row r="259" spans="1:20" x14ac:dyDescent="0.25">
      <c r="A259" s="5">
        <v>44334</v>
      </c>
      <c r="B259">
        <v>5.9775999999999998</v>
      </c>
      <c r="C259">
        <v>6.7</v>
      </c>
      <c r="D259">
        <v>5.3124000000000002</v>
      </c>
      <c r="E259">
        <v>5.4185999999999996</v>
      </c>
      <c r="F259">
        <v>5600056.1299999999</v>
      </c>
      <c r="G259">
        <v>0</v>
      </c>
      <c r="L259" t="s">
        <v>8</v>
      </c>
      <c r="M259" t="s">
        <v>7</v>
      </c>
      <c r="N259" t="s">
        <v>8</v>
      </c>
      <c r="P259">
        <f t="shared" si="959"/>
        <v>-0.84692995099452373</v>
      </c>
      <c r="Q259">
        <f t="shared" si="960"/>
        <v>-4742855.2637474826</v>
      </c>
      <c r="R259">
        <f t="shared" si="961"/>
        <v>-47011311.339541577</v>
      </c>
      <c r="S259">
        <f t="shared" si="962"/>
        <v>-470.11311339541578</v>
      </c>
      <c r="T259">
        <f t="shared" si="963"/>
        <v>-0.47011311339541578</v>
      </c>
    </row>
    <row r="260" spans="1:20" x14ac:dyDescent="0.25">
      <c r="A260" s="5">
        <v>44333</v>
      </c>
      <c r="B260">
        <v>4.6109</v>
      </c>
      <c r="C260">
        <v>6.4786999999999999</v>
      </c>
      <c r="D260">
        <v>4.4278000000000004</v>
      </c>
      <c r="E260">
        <v>5.9539999999999997</v>
      </c>
      <c r="F260">
        <v>15341809.949999999</v>
      </c>
      <c r="G260">
        <v>0</v>
      </c>
      <c r="L260" t="s">
        <v>8</v>
      </c>
      <c r="M260" t="s">
        <v>8</v>
      </c>
      <c r="N260" t="s">
        <v>8</v>
      </c>
      <c r="P260">
        <f t="shared" si="959"/>
        <v>0.48832220000975152</v>
      </c>
      <c r="Q260">
        <f t="shared" si="960"/>
        <v>7491746.3869154956</v>
      </c>
      <c r="R260">
        <f t="shared" si="961"/>
        <v>-42268456.075794093</v>
      </c>
      <c r="S260">
        <f t="shared" si="962"/>
        <v>-422.68456075794091</v>
      </c>
      <c r="T260">
        <f t="shared" si="963"/>
        <v>-0.42268456075794092</v>
      </c>
    </row>
    <row r="261" spans="1:20" x14ac:dyDescent="0.25">
      <c r="A261" s="5">
        <v>44332</v>
      </c>
      <c r="B261">
        <v>4.5</v>
      </c>
      <c r="C261">
        <v>5.37</v>
      </c>
      <c r="D261">
        <v>4.3</v>
      </c>
      <c r="E261">
        <v>4.6018999999999997</v>
      </c>
      <c r="F261">
        <v>1790243.29</v>
      </c>
      <c r="G261">
        <v>0</v>
      </c>
      <c r="L261" t="s">
        <v>7</v>
      </c>
      <c r="M261" t="s">
        <v>8</v>
      </c>
      <c r="N261" t="s">
        <v>7</v>
      </c>
      <c r="P261">
        <f t="shared" si="959"/>
        <v>-0.4357009345794397</v>
      </c>
      <c r="Q261">
        <f t="shared" si="960"/>
        <v>-780010.67457757087</v>
      </c>
      <c r="R261">
        <f t="shared" si="961"/>
        <v>-49760202.462709591</v>
      </c>
      <c r="S261">
        <f t="shared" si="962"/>
        <v>-497.60202462709589</v>
      </c>
      <c r="T261">
        <f t="shared" si="963"/>
        <v>-0.49760202462709591</v>
      </c>
    </row>
    <row r="262" spans="1:20" x14ac:dyDescent="0.25">
      <c r="A262" s="5">
        <v>44331</v>
      </c>
      <c r="B262">
        <v>5.0785</v>
      </c>
      <c r="C262">
        <v>5.21</v>
      </c>
      <c r="D262">
        <v>4.4757999999999996</v>
      </c>
      <c r="E262">
        <v>4.5</v>
      </c>
      <c r="F262">
        <v>1115954.1499999999</v>
      </c>
      <c r="G262">
        <v>0</v>
      </c>
      <c r="L262" t="s">
        <v>7</v>
      </c>
      <c r="M262" t="s">
        <v>8</v>
      </c>
      <c r="N262" t="s">
        <v>7</v>
      </c>
      <c r="P262">
        <f t="shared" ref="P262:P325" si="964">IF(C262=D262,0,((E262-D262)-(C262-E262))/(C262-D262))</f>
        <v>-0.93407790792699419</v>
      </c>
      <c r="Q262">
        <f t="shared" ref="Q262:Q325" si="965">F262*P262</f>
        <v>-1042388.117774447</v>
      </c>
      <c r="R262">
        <f t="shared" ref="R262:R325" si="966">R263+Q262</f>
        <v>-48980191.788132019</v>
      </c>
      <c r="S262">
        <f t="shared" ref="S262:S325" si="967">R262/100000</f>
        <v>-489.80191788132021</v>
      </c>
      <c r="T262">
        <f t="shared" ref="T262:T325" si="968">S262/1000</f>
        <v>-0.48980191788132021</v>
      </c>
    </row>
    <row r="263" spans="1:20" x14ac:dyDescent="0.25">
      <c r="A263" s="5">
        <v>44330</v>
      </c>
      <c r="B263">
        <v>4.3254000000000001</v>
      </c>
      <c r="C263">
        <v>5.1954000000000002</v>
      </c>
      <c r="D263">
        <v>4.3242000000000003</v>
      </c>
      <c r="E263">
        <v>5.0922999999999998</v>
      </c>
      <c r="F263">
        <v>1299384.82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0.76331496786042141</v>
      </c>
      <c r="Q263">
        <f t="shared" si="965"/>
        <v>991839.8821166195</v>
      </c>
      <c r="R263">
        <f t="shared" si="966"/>
        <v>-47937803.67035757</v>
      </c>
      <c r="S263">
        <f t="shared" si="967"/>
        <v>-479.37803670357567</v>
      </c>
      <c r="T263">
        <f t="shared" si="968"/>
        <v>-0.47937803670357565</v>
      </c>
    </row>
    <row r="264" spans="1:20" x14ac:dyDescent="0.25">
      <c r="A264" s="5">
        <v>44329</v>
      </c>
      <c r="B264">
        <v>4.4851000000000001</v>
      </c>
      <c r="C264">
        <v>4.7168000000000001</v>
      </c>
      <c r="D264">
        <v>4.1688999999999998</v>
      </c>
      <c r="E264">
        <v>4.3254000000000001</v>
      </c>
      <c r="F264">
        <v>1835771.07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-0.42872787004927826</v>
      </c>
      <c r="Q264">
        <f t="shared" si="965"/>
        <v>-787046.22073918453</v>
      </c>
      <c r="R264">
        <f t="shared" si="966"/>
        <v>-48929643.552474186</v>
      </c>
      <c r="S264">
        <f t="shared" si="967"/>
        <v>-489.29643552474187</v>
      </c>
      <c r="T264">
        <f t="shared" si="968"/>
        <v>-0.48929643552474189</v>
      </c>
    </row>
    <row r="265" spans="1:20" x14ac:dyDescent="0.25">
      <c r="A265" s="5">
        <v>44328</v>
      </c>
      <c r="B265">
        <v>5.1993999999999998</v>
      </c>
      <c r="C265">
        <v>5.3151000000000002</v>
      </c>
      <c r="D265">
        <v>4.4579000000000004</v>
      </c>
      <c r="E265">
        <v>4.4706000000000001</v>
      </c>
      <c r="F265">
        <v>2263154.35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-0.97036864209052798</v>
      </c>
      <c r="Q265">
        <f t="shared" si="965"/>
        <v>-2196094.0134507716</v>
      </c>
      <c r="R265">
        <f t="shared" si="966"/>
        <v>-48142597.331735</v>
      </c>
      <c r="S265">
        <f t="shared" si="967"/>
        <v>-481.42597331734999</v>
      </c>
      <c r="T265">
        <f t="shared" si="968"/>
        <v>-0.48142597331734999</v>
      </c>
    </row>
    <row r="266" spans="1:20" x14ac:dyDescent="0.25">
      <c r="A266" s="5">
        <v>44327</v>
      </c>
      <c r="B266">
        <v>4.8753000000000002</v>
      </c>
      <c r="C266">
        <v>5.6</v>
      </c>
      <c r="D266">
        <v>4.7759999999999998</v>
      </c>
      <c r="E266">
        <v>5.2024999999999997</v>
      </c>
      <c r="F266">
        <v>3097546.5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3.5194174757281455E-2</v>
      </c>
      <c r="Q266">
        <f t="shared" si="965"/>
        <v>109015.59283980553</v>
      </c>
      <c r="R266">
        <f t="shared" si="966"/>
        <v>-45946503.318284228</v>
      </c>
      <c r="S266">
        <f t="shared" si="967"/>
        <v>-459.46503318284226</v>
      </c>
      <c r="T266">
        <f t="shared" si="968"/>
        <v>-0.45946503318284226</v>
      </c>
    </row>
    <row r="267" spans="1:20" x14ac:dyDescent="0.25">
      <c r="A267" s="5">
        <v>44326</v>
      </c>
      <c r="B267">
        <v>5.2611999999999997</v>
      </c>
      <c r="C267">
        <v>5.4058999999999999</v>
      </c>
      <c r="D267">
        <v>4.7450999999999999</v>
      </c>
      <c r="E267">
        <v>4.8753000000000002</v>
      </c>
      <c r="F267">
        <v>1281463.77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-0.60593220338982956</v>
      </c>
      <c r="Q267">
        <f t="shared" si="965"/>
        <v>-776480.16572033777</v>
      </c>
      <c r="R267">
        <f t="shared" si="966"/>
        <v>-46055518.911124036</v>
      </c>
      <c r="S267">
        <f t="shared" si="967"/>
        <v>-460.55518911124034</v>
      </c>
      <c r="T267">
        <f t="shared" si="968"/>
        <v>-0.46055518911124033</v>
      </c>
    </row>
    <row r="268" spans="1:20" x14ac:dyDescent="0.25">
      <c r="A268" s="5">
        <v>44325</v>
      </c>
      <c r="B268">
        <v>5.3667999999999996</v>
      </c>
      <c r="C268">
        <v>5.46</v>
      </c>
      <c r="D268">
        <v>5.1623000000000001</v>
      </c>
      <c r="E268">
        <v>5.2641999999999998</v>
      </c>
      <c r="F268">
        <v>973410.8</v>
      </c>
      <c r="G268">
        <v>0</v>
      </c>
      <c r="L268" t="s">
        <v>7</v>
      </c>
      <c r="M268" t="s">
        <v>8</v>
      </c>
      <c r="N268" t="s">
        <v>7</v>
      </c>
      <c r="P268">
        <f t="shared" si="964"/>
        <v>-0.31541820624790251</v>
      </c>
      <c r="Q268">
        <f t="shared" si="965"/>
        <v>-307031.48847833578</v>
      </c>
      <c r="R268">
        <f t="shared" si="966"/>
        <v>-45279038.7454037</v>
      </c>
      <c r="S268">
        <f t="shared" si="967"/>
        <v>-452.79038745403699</v>
      </c>
      <c r="T268">
        <f t="shared" si="968"/>
        <v>-0.45279038745403699</v>
      </c>
    </row>
    <row r="269" spans="1:20" x14ac:dyDescent="0.25">
      <c r="A269" s="5">
        <v>44324</v>
      </c>
      <c r="B269">
        <v>5.4092000000000002</v>
      </c>
      <c r="C269">
        <v>5.8212999999999999</v>
      </c>
      <c r="D269">
        <v>5.3238000000000003</v>
      </c>
      <c r="E269">
        <v>5.3667999999999996</v>
      </c>
      <c r="F269">
        <v>1936849.74</v>
      </c>
      <c r="G269">
        <v>0</v>
      </c>
      <c r="L269" t="s">
        <v>8</v>
      </c>
      <c r="M269" t="s">
        <v>8</v>
      </c>
      <c r="N269" t="s">
        <v>7</v>
      </c>
      <c r="P269">
        <f t="shared" si="964"/>
        <v>-0.82713567839196267</v>
      </c>
      <c r="Q269">
        <f t="shared" si="965"/>
        <v>-1602037.5236381965</v>
      </c>
      <c r="R269">
        <f t="shared" si="966"/>
        <v>-44972007.256925367</v>
      </c>
      <c r="S269">
        <f t="shared" si="967"/>
        <v>-449.72007256925366</v>
      </c>
      <c r="T269">
        <f t="shared" si="968"/>
        <v>-0.44972007256925367</v>
      </c>
    </row>
    <row r="270" spans="1:20" x14ac:dyDescent="0.25">
      <c r="A270" s="5">
        <v>44323</v>
      </c>
      <c r="B270">
        <v>5.42</v>
      </c>
      <c r="C270">
        <v>5.6924999999999999</v>
      </c>
      <c r="D270">
        <v>5.2774000000000001</v>
      </c>
      <c r="E270">
        <v>5.4109999999999996</v>
      </c>
      <c r="F270">
        <v>2314473.56</v>
      </c>
      <c r="G270">
        <v>0</v>
      </c>
      <c r="L270" t="s">
        <v>7</v>
      </c>
      <c r="M270" t="s">
        <v>7</v>
      </c>
      <c r="N270" t="s">
        <v>7</v>
      </c>
      <c r="P270">
        <f t="shared" si="964"/>
        <v>-0.35629968682245455</v>
      </c>
      <c r="Q270">
        <f t="shared" si="965"/>
        <v>-824646.20458685153</v>
      </c>
      <c r="R270">
        <f t="shared" si="966"/>
        <v>-43369969.733287171</v>
      </c>
      <c r="S270">
        <f t="shared" si="967"/>
        <v>-433.69969733287172</v>
      </c>
      <c r="T270">
        <f t="shared" si="968"/>
        <v>-0.43369969733287173</v>
      </c>
    </row>
    <row r="271" spans="1:20" x14ac:dyDescent="0.25">
      <c r="A271" s="5">
        <v>44322</v>
      </c>
      <c r="B271">
        <v>5.2093999999999996</v>
      </c>
      <c r="C271">
        <v>5.7680999999999996</v>
      </c>
      <c r="D271">
        <v>5.1639999999999997</v>
      </c>
      <c r="E271">
        <v>5.4208999999999996</v>
      </c>
      <c r="F271">
        <v>2493478.84</v>
      </c>
      <c r="G271">
        <v>0</v>
      </c>
      <c r="L271" t="s">
        <v>8</v>
      </c>
      <c r="M271" t="s">
        <v>7</v>
      </c>
      <c r="N271" t="s">
        <v>7</v>
      </c>
      <c r="P271">
        <f t="shared" si="964"/>
        <v>-0.14947856315179617</v>
      </c>
      <c r="Q271">
        <f t="shared" si="965"/>
        <v>-372721.63425260741</v>
      </c>
      <c r="R271">
        <f t="shared" si="966"/>
        <v>-42545323.528700322</v>
      </c>
      <c r="S271">
        <f t="shared" si="967"/>
        <v>-425.45323528700322</v>
      </c>
      <c r="T271">
        <f t="shared" si="968"/>
        <v>-0.42545323528700324</v>
      </c>
    </row>
    <row r="272" spans="1:20" x14ac:dyDescent="0.25">
      <c r="A272" s="5">
        <v>44321</v>
      </c>
      <c r="B272">
        <v>5.0331999999999999</v>
      </c>
      <c r="C272">
        <v>5.3715000000000002</v>
      </c>
      <c r="D272">
        <v>4.9596</v>
      </c>
      <c r="E272">
        <v>5.1996000000000002</v>
      </c>
      <c r="F272">
        <v>1850312.62</v>
      </c>
      <c r="G272">
        <v>0</v>
      </c>
      <c r="L272" t="s">
        <v>7</v>
      </c>
      <c r="M272" t="s">
        <v>7</v>
      </c>
      <c r="N272" t="s">
        <v>7</v>
      </c>
      <c r="P272">
        <f t="shared" si="964"/>
        <v>0.16533139111434875</v>
      </c>
      <c r="Q272">
        <f t="shared" si="965"/>
        <v>305914.75946103537</v>
      </c>
      <c r="R272">
        <f t="shared" si="966"/>
        <v>-42172601.894447714</v>
      </c>
      <c r="S272">
        <f t="shared" si="967"/>
        <v>-421.72601894447712</v>
      </c>
      <c r="T272">
        <f t="shared" si="968"/>
        <v>-0.42172601894447714</v>
      </c>
    </row>
    <row r="273" spans="1:20" x14ac:dyDescent="0.25">
      <c r="A273" s="5">
        <v>44320</v>
      </c>
      <c r="B273">
        <v>5.4798999999999998</v>
      </c>
      <c r="C273">
        <v>5.4999000000000002</v>
      </c>
      <c r="D273">
        <v>5</v>
      </c>
      <c r="E273">
        <v>5.0368000000000004</v>
      </c>
      <c r="F273">
        <v>1906339.14</v>
      </c>
      <c r="G273">
        <v>0</v>
      </c>
      <c r="L273" t="s">
        <v>7</v>
      </c>
      <c r="M273" t="s">
        <v>7</v>
      </c>
      <c r="N273" t="s">
        <v>7</v>
      </c>
      <c r="P273">
        <f t="shared" si="964"/>
        <v>-0.8527705541108207</v>
      </c>
      <c r="Q273">
        <f t="shared" si="965"/>
        <v>-1625669.8847409454</v>
      </c>
      <c r="R273">
        <f t="shared" si="966"/>
        <v>-42478516.653908752</v>
      </c>
      <c r="S273">
        <f t="shared" si="967"/>
        <v>-424.78516653908753</v>
      </c>
      <c r="T273">
        <f t="shared" si="968"/>
        <v>-0.42478516653908754</v>
      </c>
    </row>
    <row r="274" spans="1:20" x14ac:dyDescent="0.25">
      <c r="A274" s="5">
        <v>44319</v>
      </c>
      <c r="B274">
        <v>5.6215000000000002</v>
      </c>
      <c r="C274">
        <v>5.74</v>
      </c>
      <c r="D274">
        <v>5.4322999999999997</v>
      </c>
      <c r="E274">
        <v>5.4797000000000002</v>
      </c>
      <c r="F274">
        <v>2244977.56</v>
      </c>
      <c r="G274">
        <v>0</v>
      </c>
      <c r="L274" t="s">
        <v>7</v>
      </c>
      <c r="M274" t="s">
        <v>8</v>
      </c>
      <c r="N274" t="s">
        <v>7</v>
      </c>
      <c r="P274">
        <f t="shared" si="964"/>
        <v>-0.69190770230743925</v>
      </c>
      <c r="Q274">
        <f t="shared" si="965"/>
        <v>-1553317.2652713615</v>
      </c>
      <c r="R274">
        <f t="shared" si="966"/>
        <v>-40852846.769167803</v>
      </c>
      <c r="S274">
        <f t="shared" si="967"/>
        <v>-408.52846769167803</v>
      </c>
      <c r="T274">
        <f t="shared" si="968"/>
        <v>-0.40852846769167805</v>
      </c>
    </row>
    <row r="275" spans="1:20" x14ac:dyDescent="0.25">
      <c r="A275" s="5">
        <v>44318</v>
      </c>
      <c r="B275">
        <v>5.3305999999999996</v>
      </c>
      <c r="C275">
        <v>5.9867999999999997</v>
      </c>
      <c r="D275">
        <v>5.2851999999999997</v>
      </c>
      <c r="E275">
        <v>5.6154999999999999</v>
      </c>
      <c r="F275">
        <v>4010548.92</v>
      </c>
      <c r="G275">
        <v>0</v>
      </c>
      <c r="L275" t="s">
        <v>8</v>
      </c>
      <c r="M275" t="s">
        <v>8</v>
      </c>
      <c r="N275" t="s">
        <v>7</v>
      </c>
      <c r="P275">
        <f t="shared" si="964"/>
        <v>-5.8437856328391505E-2</v>
      </c>
      <c r="Q275">
        <f t="shared" si="965"/>
        <v>-234367.88158494572</v>
      </c>
      <c r="R275">
        <f t="shared" si="966"/>
        <v>-39299529.503896445</v>
      </c>
      <c r="S275">
        <f t="shared" si="967"/>
        <v>-392.99529503896446</v>
      </c>
      <c r="T275">
        <f t="shared" si="968"/>
        <v>-0.39299529503896447</v>
      </c>
    </row>
    <row r="276" spans="1:20" x14ac:dyDescent="0.25">
      <c r="A276" s="5">
        <v>44317</v>
      </c>
      <c r="B276">
        <v>5.4074999999999998</v>
      </c>
      <c r="C276">
        <v>5.5488999999999997</v>
      </c>
      <c r="D276">
        <v>5.24</v>
      </c>
      <c r="E276">
        <v>5.3273000000000001</v>
      </c>
      <c r="F276">
        <v>1485758.16</v>
      </c>
      <c r="G276">
        <v>0</v>
      </c>
      <c r="L276" t="s">
        <v>8</v>
      </c>
      <c r="M276" t="s">
        <v>7</v>
      </c>
      <c r="N276" t="s">
        <v>7</v>
      </c>
      <c r="P276">
        <f t="shared" si="964"/>
        <v>-0.43476853350598854</v>
      </c>
      <c r="Q276">
        <f t="shared" si="965"/>
        <v>-645960.89636775583</v>
      </c>
      <c r="R276">
        <f t="shared" si="966"/>
        <v>-39065161.622311503</v>
      </c>
      <c r="S276">
        <f t="shared" si="967"/>
        <v>-390.65161622311501</v>
      </c>
      <c r="T276">
        <f t="shared" si="968"/>
        <v>-0.39065161622311501</v>
      </c>
    </row>
    <row r="277" spans="1:20" x14ac:dyDescent="0.25">
      <c r="A277" s="5">
        <v>44316</v>
      </c>
      <c r="B277">
        <v>5.15</v>
      </c>
      <c r="C277">
        <v>5.6</v>
      </c>
      <c r="D277">
        <v>4.9962999999999997</v>
      </c>
      <c r="E277">
        <v>5.4081999999999999</v>
      </c>
      <c r="F277">
        <v>2203630.7400000002</v>
      </c>
      <c r="G277">
        <v>0</v>
      </c>
      <c r="L277" t="s">
        <v>8</v>
      </c>
      <c r="M277" t="s">
        <v>7</v>
      </c>
      <c r="N277" t="s">
        <v>7</v>
      </c>
      <c r="P277">
        <f t="shared" si="964"/>
        <v>0.36458505880404246</v>
      </c>
      <c r="Q277">
        <f t="shared" si="965"/>
        <v>803410.8429252957</v>
      </c>
      <c r="R277">
        <f t="shared" si="966"/>
        <v>-38419200.725943744</v>
      </c>
      <c r="S277">
        <f t="shared" si="967"/>
        <v>-384.19200725943745</v>
      </c>
      <c r="T277">
        <f t="shared" si="968"/>
        <v>-0.38419200725943747</v>
      </c>
    </row>
    <row r="278" spans="1:20" x14ac:dyDescent="0.25">
      <c r="A278" s="5">
        <v>44315</v>
      </c>
      <c r="B278">
        <v>5.2553999999999998</v>
      </c>
      <c r="C278">
        <v>5.4960000000000004</v>
      </c>
      <c r="D278">
        <v>4.9909999999999997</v>
      </c>
      <c r="E278">
        <v>5.1520999999999999</v>
      </c>
      <c r="F278">
        <v>2049313.47</v>
      </c>
      <c r="G278">
        <v>0</v>
      </c>
      <c r="L278" t="s">
        <v>7</v>
      </c>
      <c r="M278" t="s">
        <v>7</v>
      </c>
      <c r="N278" t="s">
        <v>7</v>
      </c>
      <c r="P278">
        <f t="shared" si="964"/>
        <v>-0.36198019801980202</v>
      </c>
      <c r="Q278">
        <f t="shared" si="965"/>
        <v>-741810.89567524765</v>
      </c>
      <c r="R278">
        <f t="shared" si="966"/>
        <v>-39222611.568869039</v>
      </c>
      <c r="S278">
        <f t="shared" si="967"/>
        <v>-392.22611568869041</v>
      </c>
      <c r="T278">
        <f t="shared" si="968"/>
        <v>-0.39222611568869042</v>
      </c>
    </row>
    <row r="279" spans="1:20" x14ac:dyDescent="0.25">
      <c r="A279" s="5">
        <v>44314</v>
      </c>
      <c r="B279">
        <v>5.5468000000000002</v>
      </c>
      <c r="C279">
        <v>5.89</v>
      </c>
      <c r="D279">
        <v>5.0959000000000003</v>
      </c>
      <c r="E279">
        <v>5.2554999999999996</v>
      </c>
      <c r="F279">
        <v>2662839.65</v>
      </c>
      <c r="G279">
        <v>0</v>
      </c>
      <c r="L279" t="s">
        <v>7</v>
      </c>
      <c r="M279" t="s">
        <v>7</v>
      </c>
      <c r="N279" t="s">
        <v>8</v>
      </c>
      <c r="P279">
        <f t="shared" si="964"/>
        <v>-0.59803551190026594</v>
      </c>
      <c r="Q279">
        <f t="shared" si="965"/>
        <v>-1592472.673196075</v>
      </c>
      <c r="R279">
        <f t="shared" si="966"/>
        <v>-38480800.67319379</v>
      </c>
      <c r="S279">
        <f t="shared" si="967"/>
        <v>-384.80800673193789</v>
      </c>
      <c r="T279">
        <f t="shared" si="968"/>
        <v>-0.38480800673193788</v>
      </c>
    </row>
    <row r="280" spans="1:20" x14ac:dyDescent="0.25">
      <c r="A280" s="5">
        <v>44313</v>
      </c>
      <c r="B280">
        <v>5.7262000000000004</v>
      </c>
      <c r="C280">
        <v>5.82</v>
      </c>
      <c r="D280">
        <v>5.4779999999999998</v>
      </c>
      <c r="E280">
        <v>5.5472999999999999</v>
      </c>
      <c r="F280">
        <v>3010110.11</v>
      </c>
      <c r="G280">
        <v>0</v>
      </c>
      <c r="L280" t="s">
        <v>7</v>
      </c>
      <c r="M280" t="s">
        <v>8</v>
      </c>
      <c r="N280" t="s">
        <v>8</v>
      </c>
      <c r="P280">
        <f t="shared" si="964"/>
        <v>-0.59473684210526301</v>
      </c>
      <c r="Q280">
        <f t="shared" si="965"/>
        <v>-1790223.3812105258</v>
      </c>
      <c r="R280">
        <f t="shared" si="966"/>
        <v>-36888327.999997713</v>
      </c>
      <c r="S280">
        <f t="shared" si="967"/>
        <v>-368.88327999997711</v>
      </c>
      <c r="T280">
        <f t="shared" si="968"/>
        <v>-0.36888327999997711</v>
      </c>
    </row>
    <row r="281" spans="1:20" x14ac:dyDescent="0.25">
      <c r="A281" s="5">
        <v>44312</v>
      </c>
      <c r="B281">
        <v>5.6098999999999997</v>
      </c>
      <c r="C281">
        <v>6.15</v>
      </c>
      <c r="D281">
        <v>5.5430999999999999</v>
      </c>
      <c r="E281">
        <v>5.7332000000000001</v>
      </c>
      <c r="F281">
        <v>4420017.74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-0.37353765035425929</v>
      </c>
      <c r="Q281">
        <f t="shared" si="965"/>
        <v>-1651043.0411237434</v>
      </c>
      <c r="R281">
        <f t="shared" si="966"/>
        <v>-35098104.618787184</v>
      </c>
      <c r="S281">
        <f t="shared" si="967"/>
        <v>-350.98104618787187</v>
      </c>
      <c r="T281">
        <f t="shared" si="968"/>
        <v>-0.35098104618787185</v>
      </c>
    </row>
    <row r="282" spans="1:20" x14ac:dyDescent="0.25">
      <c r="A282" s="5">
        <v>44311</v>
      </c>
      <c r="B282">
        <v>6.1414</v>
      </c>
      <c r="C282">
        <v>6.45</v>
      </c>
      <c r="D282">
        <v>5.1287000000000003</v>
      </c>
      <c r="E282">
        <v>5.6067</v>
      </c>
      <c r="F282">
        <v>6288721.3300000001</v>
      </c>
      <c r="G282">
        <v>0</v>
      </c>
      <c r="L282" t="s">
        <v>7</v>
      </c>
      <c r="M282" t="s">
        <v>7</v>
      </c>
      <c r="N282" t="s">
        <v>8</v>
      </c>
      <c r="P282">
        <f t="shared" si="964"/>
        <v>-0.27647014304094486</v>
      </c>
      <c r="Q282">
        <f t="shared" si="965"/>
        <v>-1738643.685649741</v>
      </c>
      <c r="R282">
        <f t="shared" si="966"/>
        <v>-33447061.57766344</v>
      </c>
      <c r="S282">
        <f t="shared" si="967"/>
        <v>-334.47061577663442</v>
      </c>
      <c r="T282">
        <f t="shared" si="968"/>
        <v>-0.33447061577663439</v>
      </c>
    </row>
    <row r="283" spans="1:20" x14ac:dyDescent="0.25">
      <c r="A283" s="5">
        <v>44310</v>
      </c>
      <c r="B283">
        <v>4.7996999999999996</v>
      </c>
      <c r="C283">
        <v>6.8231999999999999</v>
      </c>
      <c r="D283">
        <v>4.5599999999999996</v>
      </c>
      <c r="E283">
        <v>6.1407999999999996</v>
      </c>
      <c r="F283">
        <v>9875391.7400000002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0.3969600565570871</v>
      </c>
      <c r="Q283">
        <f t="shared" si="965"/>
        <v>3920136.0636337907</v>
      </c>
      <c r="R283">
        <f t="shared" si="966"/>
        <v>-31708417.892013699</v>
      </c>
      <c r="S283">
        <f t="shared" si="967"/>
        <v>-317.08417892013699</v>
      </c>
      <c r="T283">
        <f t="shared" si="968"/>
        <v>-0.31708417892013702</v>
      </c>
    </row>
    <row r="284" spans="1:20" x14ac:dyDescent="0.25">
      <c r="A284" s="5">
        <v>44309</v>
      </c>
      <c r="B284">
        <v>5.0979999999999999</v>
      </c>
      <c r="C284">
        <v>5.2714999999999996</v>
      </c>
      <c r="D284">
        <v>4.2290999999999999</v>
      </c>
      <c r="E284">
        <v>4.8155999999999999</v>
      </c>
      <c r="F284">
        <v>3438120.84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0.12528779739063728</v>
      </c>
      <c r="Q284">
        <f t="shared" si="965"/>
        <v>430754.58720644761</v>
      </c>
      <c r="R284">
        <f t="shared" si="966"/>
        <v>-35628553.955647491</v>
      </c>
      <c r="S284">
        <f t="shared" si="967"/>
        <v>-356.28553955647493</v>
      </c>
      <c r="T284">
        <f t="shared" si="968"/>
        <v>-0.35628553955647491</v>
      </c>
    </row>
    <row r="285" spans="1:20" x14ac:dyDescent="0.25">
      <c r="A285" s="5">
        <v>44308</v>
      </c>
      <c r="B285">
        <v>5.8422000000000001</v>
      </c>
      <c r="C285">
        <v>5.99</v>
      </c>
      <c r="D285">
        <v>4.9554999999999998</v>
      </c>
      <c r="E285">
        <v>5.0904999999999996</v>
      </c>
      <c r="F285">
        <v>5451726.2300000004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-0.73900434992750175</v>
      </c>
      <c r="Q285">
        <f t="shared" si="965"/>
        <v>-4028849.3985838601</v>
      </c>
      <c r="R285">
        <f t="shared" si="966"/>
        <v>-36059308.542853937</v>
      </c>
      <c r="S285">
        <f t="shared" si="967"/>
        <v>-360.59308542853938</v>
      </c>
      <c r="T285">
        <f t="shared" si="968"/>
        <v>-0.36059308542853941</v>
      </c>
    </row>
    <row r="286" spans="1:20" x14ac:dyDescent="0.25">
      <c r="A286" s="5">
        <v>44307</v>
      </c>
      <c r="B286">
        <v>5.8051000000000004</v>
      </c>
      <c r="C286">
        <v>7.2537000000000003</v>
      </c>
      <c r="D286">
        <v>5.5605000000000002</v>
      </c>
      <c r="E286">
        <v>5.8421000000000003</v>
      </c>
      <c r="F286">
        <v>23132437.949999999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-0.66737538388849504</v>
      </c>
      <c r="Q286">
        <f t="shared" si="965"/>
        <v>-15438019.657158041</v>
      </c>
      <c r="R286">
        <f t="shared" si="966"/>
        <v>-32030459.144270074</v>
      </c>
      <c r="S286">
        <f t="shared" si="967"/>
        <v>-320.30459144270071</v>
      </c>
      <c r="T286">
        <f t="shared" si="968"/>
        <v>-0.32030459144270074</v>
      </c>
    </row>
    <row r="287" spans="1:20" x14ac:dyDescent="0.25">
      <c r="A287" s="5">
        <v>44306</v>
      </c>
      <c r="B287">
        <v>4.1150000000000002</v>
      </c>
      <c r="C287">
        <v>5.9721000000000002</v>
      </c>
      <c r="D287">
        <v>3.786</v>
      </c>
      <c r="E287">
        <v>5.7986000000000004</v>
      </c>
      <c r="F287">
        <v>16788358.059999999</v>
      </c>
      <c r="G287">
        <v>0</v>
      </c>
      <c r="L287" t="s">
        <v>8</v>
      </c>
      <c r="M287" t="s">
        <v>8</v>
      </c>
      <c r="N287" t="s">
        <v>8</v>
      </c>
      <c r="P287">
        <f t="shared" si="964"/>
        <v>0.8412698412698415</v>
      </c>
      <c r="Q287">
        <f t="shared" si="965"/>
        <v>14123539.320317464</v>
      </c>
      <c r="R287">
        <f t="shared" si="966"/>
        <v>-16592439.487112032</v>
      </c>
      <c r="S287">
        <f t="shared" si="967"/>
        <v>-165.92439487112031</v>
      </c>
      <c r="T287">
        <f t="shared" si="968"/>
        <v>-0.16592439487112032</v>
      </c>
    </row>
    <row r="288" spans="1:20" x14ac:dyDescent="0.25">
      <c r="A288" s="5">
        <v>44305</v>
      </c>
      <c r="B288">
        <v>4.0294999999999996</v>
      </c>
      <c r="C288">
        <v>4.4048999999999996</v>
      </c>
      <c r="D288">
        <v>3.85</v>
      </c>
      <c r="E288">
        <v>4.1155999999999997</v>
      </c>
      <c r="F288">
        <v>1376401.65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-4.2710398269959086E-2</v>
      </c>
      <c r="Q288">
        <f t="shared" si="965"/>
        <v>-58786.662650928825</v>
      </c>
      <c r="R288">
        <f t="shared" si="966"/>
        <v>-30715978.807429496</v>
      </c>
      <c r="S288">
        <f t="shared" si="967"/>
        <v>-307.15978807429497</v>
      </c>
      <c r="T288">
        <f t="shared" si="968"/>
        <v>-0.30715978807429495</v>
      </c>
    </row>
    <row r="289" spans="1:20" x14ac:dyDescent="0.25">
      <c r="A289" s="5">
        <v>44304</v>
      </c>
      <c r="B289">
        <v>4.4996999999999998</v>
      </c>
      <c r="C289">
        <v>4.5472999999999999</v>
      </c>
      <c r="D289">
        <v>3.7</v>
      </c>
      <c r="E289">
        <v>4.0301</v>
      </c>
      <c r="F289">
        <v>1255288.98</v>
      </c>
      <c r="G289">
        <v>0</v>
      </c>
      <c r="L289" t="s">
        <v>7</v>
      </c>
      <c r="M289" t="s">
        <v>7</v>
      </c>
      <c r="N289" t="s">
        <v>8</v>
      </c>
      <c r="P289">
        <f t="shared" si="964"/>
        <v>-0.22081907234745676</v>
      </c>
      <c r="Q289">
        <f t="shared" si="965"/>
        <v>-277191.74809158518</v>
      </c>
      <c r="R289">
        <f t="shared" si="966"/>
        <v>-30657192.144778568</v>
      </c>
      <c r="S289">
        <f t="shared" si="967"/>
        <v>-306.57192144778566</v>
      </c>
      <c r="T289">
        <f t="shared" si="968"/>
        <v>-0.30657192144778567</v>
      </c>
    </row>
    <row r="290" spans="1:20" x14ac:dyDescent="0.25">
      <c r="A290" s="5">
        <v>44303</v>
      </c>
      <c r="B290">
        <v>4.3536000000000001</v>
      </c>
      <c r="C290">
        <v>5.0069999999999997</v>
      </c>
      <c r="D290">
        <v>4.3070000000000004</v>
      </c>
      <c r="E290">
        <v>4.4965999999999999</v>
      </c>
      <c r="F290">
        <v>2106901.02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-0.45828571428571502</v>
      </c>
      <c r="Q290">
        <f t="shared" si="965"/>
        <v>-965562.6388800015</v>
      </c>
      <c r="R290">
        <f t="shared" si="966"/>
        <v>-30380000.396686982</v>
      </c>
      <c r="S290">
        <f t="shared" si="967"/>
        <v>-303.80000396686984</v>
      </c>
      <c r="T290">
        <f t="shared" si="968"/>
        <v>-0.30380000396686985</v>
      </c>
    </row>
    <row r="291" spans="1:20" x14ac:dyDescent="0.25">
      <c r="A291" s="5">
        <v>44302</v>
      </c>
      <c r="B291">
        <v>4.4909999999999997</v>
      </c>
      <c r="C291">
        <v>4.5256999999999996</v>
      </c>
      <c r="D291">
        <v>4.2752999999999997</v>
      </c>
      <c r="E291">
        <v>4.3536000000000001</v>
      </c>
      <c r="F291">
        <v>833787.5</v>
      </c>
      <c r="G291">
        <v>0</v>
      </c>
      <c r="L291" t="s">
        <v>8</v>
      </c>
      <c r="M291" t="s">
        <v>7</v>
      </c>
      <c r="N291" t="s">
        <v>8</v>
      </c>
      <c r="P291">
        <f t="shared" si="964"/>
        <v>-0.37460063897763185</v>
      </c>
      <c r="Q291">
        <f t="shared" si="965"/>
        <v>-312337.33027156221</v>
      </c>
      <c r="R291">
        <f t="shared" si="966"/>
        <v>-29414437.757806979</v>
      </c>
      <c r="S291">
        <f t="shared" si="967"/>
        <v>-294.14437757806979</v>
      </c>
      <c r="T291">
        <f t="shared" si="968"/>
        <v>-0.29414437757806977</v>
      </c>
    </row>
    <row r="292" spans="1:20" x14ac:dyDescent="0.25">
      <c r="A292" s="5">
        <v>44301</v>
      </c>
      <c r="B292">
        <v>4.3536999999999999</v>
      </c>
      <c r="C292">
        <v>4.5149999999999997</v>
      </c>
      <c r="D292">
        <v>4.3272000000000004</v>
      </c>
      <c r="E292">
        <v>4.4908000000000001</v>
      </c>
      <c r="F292">
        <v>1049031.3799999999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0.74227902023429559</v>
      </c>
      <c r="Q292">
        <f t="shared" si="965"/>
        <v>778673.98494143097</v>
      </c>
      <c r="R292">
        <f t="shared" si="966"/>
        <v>-29102100.427535418</v>
      </c>
      <c r="S292">
        <f t="shared" si="967"/>
        <v>-291.02100427535419</v>
      </c>
      <c r="T292">
        <f t="shared" si="968"/>
        <v>-0.29102100427535421</v>
      </c>
    </row>
    <row r="293" spans="1:20" x14ac:dyDescent="0.25">
      <c r="A293" s="5">
        <v>44300</v>
      </c>
      <c r="B293">
        <v>4.593</v>
      </c>
      <c r="C293">
        <v>4.6387</v>
      </c>
      <c r="D293">
        <v>4.2290000000000001</v>
      </c>
      <c r="E293">
        <v>4.3531000000000004</v>
      </c>
      <c r="F293">
        <v>1670084.33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-0.39419087136929298</v>
      </c>
      <c r="Q293">
        <f t="shared" si="965"/>
        <v>-658331.99730290193</v>
      </c>
      <c r="R293">
        <f t="shared" si="966"/>
        <v>-29880774.412476849</v>
      </c>
      <c r="S293">
        <f t="shared" si="967"/>
        <v>-298.80774412476848</v>
      </c>
      <c r="T293">
        <f t="shared" si="968"/>
        <v>-0.29880774412476846</v>
      </c>
    </row>
    <row r="294" spans="1:20" x14ac:dyDescent="0.25">
      <c r="A294" s="5">
        <v>44299</v>
      </c>
      <c r="B294">
        <v>4.83</v>
      </c>
      <c r="C294">
        <v>5.0297999999999998</v>
      </c>
      <c r="D294">
        <v>4.5</v>
      </c>
      <c r="E294">
        <v>4.5910000000000002</v>
      </c>
      <c r="F294">
        <v>1648836.03</v>
      </c>
      <c r="G294">
        <v>0</v>
      </c>
      <c r="L294" t="s">
        <v>8</v>
      </c>
      <c r="M294" t="s">
        <v>8</v>
      </c>
      <c r="N294" t="s">
        <v>8</v>
      </c>
      <c r="P294">
        <f t="shared" si="964"/>
        <v>-0.65647414118535208</v>
      </c>
      <c r="Q294">
        <f t="shared" si="965"/>
        <v>-1082418.2167497154</v>
      </c>
      <c r="R294">
        <f t="shared" si="966"/>
        <v>-29222442.415173948</v>
      </c>
      <c r="S294">
        <f t="shared" si="967"/>
        <v>-292.22442415173947</v>
      </c>
      <c r="T294">
        <f t="shared" si="968"/>
        <v>-0.29222442415173949</v>
      </c>
    </row>
    <row r="295" spans="1:20" x14ac:dyDescent="0.25">
      <c r="A295" s="5">
        <v>44298</v>
      </c>
      <c r="B295">
        <v>4.7092000000000001</v>
      </c>
      <c r="C295">
        <v>4.8628</v>
      </c>
      <c r="D295">
        <v>4.4889999999999999</v>
      </c>
      <c r="E295">
        <v>4.8335999999999997</v>
      </c>
      <c r="F295">
        <v>1503167.47</v>
      </c>
      <c r="G295">
        <v>0</v>
      </c>
      <c r="L295" t="s">
        <v>7</v>
      </c>
      <c r="M295" t="s">
        <v>7</v>
      </c>
      <c r="N295" t="s">
        <v>8</v>
      </c>
      <c r="P295">
        <f t="shared" si="964"/>
        <v>0.84376672017121279</v>
      </c>
      <c r="Q295">
        <f t="shared" si="965"/>
        <v>1268322.6860299599</v>
      </c>
      <c r="R295">
        <f t="shared" si="966"/>
        <v>-28140024.198424231</v>
      </c>
      <c r="S295">
        <f t="shared" si="967"/>
        <v>-281.40024198424231</v>
      </c>
      <c r="T295">
        <f t="shared" si="968"/>
        <v>-0.28140024198424229</v>
      </c>
    </row>
    <row r="296" spans="1:20" x14ac:dyDescent="0.25">
      <c r="A296" s="5">
        <v>44297</v>
      </c>
      <c r="B296">
        <v>4.3677999999999999</v>
      </c>
      <c r="C296">
        <v>4.8</v>
      </c>
      <c r="D296">
        <v>4.2473000000000001</v>
      </c>
      <c r="E296">
        <v>4.6966000000000001</v>
      </c>
      <c r="F296">
        <v>1094290.58</v>
      </c>
      <c r="G296">
        <v>0</v>
      </c>
      <c r="L296" t="s">
        <v>8</v>
      </c>
      <c r="M296" t="s">
        <v>7</v>
      </c>
      <c r="N296" t="s">
        <v>8</v>
      </c>
      <c r="P296">
        <f t="shared" si="964"/>
        <v>0.6258368011579527</v>
      </c>
      <c r="Q296">
        <f t="shared" si="965"/>
        <v>684847.3161244808</v>
      </c>
      <c r="R296">
        <f t="shared" si="966"/>
        <v>-29408346.884454191</v>
      </c>
      <c r="S296">
        <f t="shared" si="967"/>
        <v>-294.08346884454193</v>
      </c>
      <c r="T296">
        <f t="shared" si="968"/>
        <v>-0.29408346884454195</v>
      </c>
    </row>
    <row r="297" spans="1:20" x14ac:dyDescent="0.25">
      <c r="A297" s="5">
        <v>44296</v>
      </c>
      <c r="B297">
        <v>4.3760000000000003</v>
      </c>
      <c r="C297">
        <v>4.4870000000000001</v>
      </c>
      <c r="D297">
        <v>4.26</v>
      </c>
      <c r="E297">
        <v>4.3617999999999997</v>
      </c>
      <c r="F297">
        <v>684450.89</v>
      </c>
      <c r="G297">
        <v>0</v>
      </c>
      <c r="L297" t="s">
        <v>8</v>
      </c>
      <c r="M297" t="s">
        <v>7</v>
      </c>
      <c r="N297" t="s">
        <v>8</v>
      </c>
      <c r="P297">
        <f t="shared" si="964"/>
        <v>-0.10308370044053083</v>
      </c>
      <c r="Q297">
        <f t="shared" si="965"/>
        <v>-70555.730511014728</v>
      </c>
      <c r="R297">
        <f t="shared" si="966"/>
        <v>-30093194.200578671</v>
      </c>
      <c r="S297">
        <f t="shared" si="967"/>
        <v>-300.93194200578671</v>
      </c>
      <c r="T297">
        <f t="shared" si="968"/>
        <v>-0.30093194200578671</v>
      </c>
    </row>
    <row r="298" spans="1:20" x14ac:dyDescent="0.25">
      <c r="A298" s="5">
        <v>44295</v>
      </c>
      <c r="B298">
        <v>4.4505999999999997</v>
      </c>
      <c r="C298">
        <v>4.5796999999999999</v>
      </c>
      <c r="D298">
        <v>4.3586999999999998</v>
      </c>
      <c r="E298">
        <v>4.3681999999999999</v>
      </c>
      <c r="F298">
        <v>605507.04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-0.91402714932126639</v>
      </c>
      <c r="Q298">
        <f t="shared" si="965"/>
        <v>-553449.87366515805</v>
      </c>
      <c r="R298">
        <f t="shared" si="966"/>
        <v>-30022638.470067658</v>
      </c>
      <c r="S298">
        <f t="shared" si="967"/>
        <v>-300.22638470067659</v>
      </c>
      <c r="T298">
        <f t="shared" si="968"/>
        <v>-0.30022638470067659</v>
      </c>
    </row>
    <row r="299" spans="1:20" x14ac:dyDescent="0.25">
      <c r="A299" s="5">
        <v>44294</v>
      </c>
      <c r="B299">
        <v>4.2492999999999999</v>
      </c>
      <c r="C299">
        <v>4.5697999999999999</v>
      </c>
      <c r="D299">
        <v>4.21</v>
      </c>
      <c r="E299">
        <v>4.4489999999999998</v>
      </c>
      <c r="F299">
        <v>522726.27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0.3285158421345189</v>
      </c>
      <c r="Q299">
        <f t="shared" si="965"/>
        <v>171723.8607948859</v>
      </c>
      <c r="R299">
        <f t="shared" si="966"/>
        <v>-29469188.5964025</v>
      </c>
      <c r="S299">
        <f t="shared" si="967"/>
        <v>-294.691885964025</v>
      </c>
      <c r="T299">
        <f t="shared" si="968"/>
        <v>-0.29469188596402501</v>
      </c>
    </row>
    <row r="300" spans="1:20" x14ac:dyDescent="0.25">
      <c r="A300" s="5">
        <v>44293</v>
      </c>
      <c r="B300">
        <v>4.5590999999999999</v>
      </c>
      <c r="C300">
        <v>4.6999000000000004</v>
      </c>
      <c r="D300">
        <v>4.2119999999999997</v>
      </c>
      <c r="E300">
        <v>4.2370000000000001</v>
      </c>
      <c r="F300">
        <v>863280.68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-0.89751998360319607</v>
      </c>
      <c r="Q300">
        <f t="shared" si="965"/>
        <v>-774811.66175855603</v>
      </c>
      <c r="R300">
        <f t="shared" si="966"/>
        <v>-29640912.457197387</v>
      </c>
      <c r="S300">
        <f t="shared" si="967"/>
        <v>-296.40912457197385</v>
      </c>
      <c r="T300">
        <f t="shared" si="968"/>
        <v>-0.29640912457197383</v>
      </c>
    </row>
    <row r="301" spans="1:20" x14ac:dyDescent="0.25">
      <c r="A301" s="5">
        <v>44292</v>
      </c>
      <c r="B301">
        <v>4.6551</v>
      </c>
      <c r="C301">
        <v>4.75</v>
      </c>
      <c r="D301">
        <v>4.4645999999999999</v>
      </c>
      <c r="E301">
        <v>4.5610999999999997</v>
      </c>
      <c r="F301">
        <v>824564.48</v>
      </c>
      <c r="G301">
        <v>0</v>
      </c>
      <c r="L301" t="s">
        <v>8</v>
      </c>
      <c r="M301" t="s">
        <v>7</v>
      </c>
      <c r="N301" t="s">
        <v>8</v>
      </c>
      <c r="P301">
        <f t="shared" si="964"/>
        <v>-0.32375613174492096</v>
      </c>
      <c r="Q301">
        <f t="shared" si="965"/>
        <v>-266957.80641906225</v>
      </c>
      <c r="R301">
        <f t="shared" si="966"/>
        <v>-28866100.79543883</v>
      </c>
      <c r="S301">
        <f t="shared" si="967"/>
        <v>-288.66100795438831</v>
      </c>
      <c r="T301">
        <f t="shared" si="968"/>
        <v>-0.28866100795438832</v>
      </c>
    </row>
    <row r="302" spans="1:20" x14ac:dyDescent="0.25">
      <c r="A302" s="5">
        <v>44291</v>
      </c>
      <c r="B302">
        <v>4.4131999999999998</v>
      </c>
      <c r="C302">
        <v>4.7420999999999998</v>
      </c>
      <c r="D302">
        <v>4.2</v>
      </c>
      <c r="E302">
        <v>4.6551</v>
      </c>
      <c r="F302">
        <v>868515.24</v>
      </c>
      <c r="G302">
        <v>0</v>
      </c>
      <c r="L302" t="s">
        <v>7</v>
      </c>
      <c r="M302" t="s">
        <v>7</v>
      </c>
      <c r="N302" t="s">
        <v>8</v>
      </c>
      <c r="P302">
        <f t="shared" si="964"/>
        <v>0.6790260099612625</v>
      </c>
      <c r="Q302">
        <f t="shared" si="965"/>
        <v>589744.43800774834</v>
      </c>
      <c r="R302">
        <f t="shared" si="966"/>
        <v>-28599142.989019766</v>
      </c>
      <c r="S302">
        <f t="shared" si="967"/>
        <v>-285.99142989019765</v>
      </c>
      <c r="T302">
        <f t="shared" si="968"/>
        <v>-0.28599142989019766</v>
      </c>
    </row>
    <row r="303" spans="1:20" x14ac:dyDescent="0.25">
      <c r="A303" s="5">
        <v>44290</v>
      </c>
      <c r="B303">
        <v>4.2964000000000002</v>
      </c>
      <c r="C303">
        <v>4.4999000000000002</v>
      </c>
      <c r="D303">
        <v>4.25</v>
      </c>
      <c r="E303">
        <v>4.4160000000000004</v>
      </c>
      <c r="F303">
        <v>713246.03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0.32853141256502771</v>
      </c>
      <c r="Q303">
        <f t="shared" si="965"/>
        <v>234323.72574229815</v>
      </c>
      <c r="R303">
        <f t="shared" si="966"/>
        <v>-29188887.427027516</v>
      </c>
      <c r="S303">
        <f t="shared" si="967"/>
        <v>-291.88887427027515</v>
      </c>
      <c r="T303">
        <f t="shared" si="968"/>
        <v>-0.29188887427027516</v>
      </c>
    </row>
    <row r="304" spans="1:20" x14ac:dyDescent="0.25">
      <c r="A304" s="5">
        <v>44289</v>
      </c>
      <c r="B304">
        <v>4.4550000000000001</v>
      </c>
      <c r="C304">
        <v>4.6780999999999997</v>
      </c>
      <c r="D304">
        <v>4.2839999999999998</v>
      </c>
      <c r="E304">
        <v>4.3</v>
      </c>
      <c r="F304">
        <v>761026.01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-0.91880233443288495</v>
      </c>
      <c r="Q304">
        <f t="shared" si="965"/>
        <v>-699232.47455214406</v>
      </c>
      <c r="R304">
        <f t="shared" si="966"/>
        <v>-29423211.152769815</v>
      </c>
      <c r="S304">
        <f t="shared" si="967"/>
        <v>-294.23211152769818</v>
      </c>
      <c r="T304">
        <f t="shared" si="968"/>
        <v>-0.29423211152769818</v>
      </c>
    </row>
    <row r="305" spans="1:20" x14ac:dyDescent="0.25">
      <c r="A305" s="5">
        <v>44288</v>
      </c>
      <c r="B305">
        <v>4.5758000000000001</v>
      </c>
      <c r="C305">
        <v>4.6725000000000003</v>
      </c>
      <c r="D305">
        <v>4.4146000000000001</v>
      </c>
      <c r="E305">
        <v>4.4550000000000001</v>
      </c>
      <c r="F305">
        <v>765920.51</v>
      </c>
      <c r="G305">
        <v>0</v>
      </c>
      <c r="L305" t="s">
        <v>7</v>
      </c>
      <c r="M305" t="s">
        <v>7</v>
      </c>
      <c r="N305" t="s">
        <v>8</v>
      </c>
      <c r="P305">
        <f t="shared" si="964"/>
        <v>-0.68670027142303258</v>
      </c>
      <c r="Q305">
        <f t="shared" si="965"/>
        <v>-525957.82210546755</v>
      </c>
      <c r="R305">
        <f t="shared" si="966"/>
        <v>-28723978.678217672</v>
      </c>
      <c r="S305">
        <f t="shared" si="967"/>
        <v>-287.23978678217674</v>
      </c>
      <c r="T305">
        <f t="shared" si="968"/>
        <v>-0.28723978678217671</v>
      </c>
    </row>
    <row r="306" spans="1:20" x14ac:dyDescent="0.25">
      <c r="A306" s="5">
        <v>44287</v>
      </c>
      <c r="B306">
        <v>4.6402999999999999</v>
      </c>
      <c r="C306">
        <v>4.76</v>
      </c>
      <c r="D306">
        <v>4.5178000000000003</v>
      </c>
      <c r="E306">
        <v>4.5763999999999996</v>
      </c>
      <c r="F306">
        <v>988259.33</v>
      </c>
      <c r="G306">
        <v>0</v>
      </c>
      <c r="L306" t="s">
        <v>8</v>
      </c>
      <c r="M306" t="s">
        <v>7</v>
      </c>
      <c r="N306" t="s">
        <v>8</v>
      </c>
      <c r="P306">
        <f t="shared" si="964"/>
        <v>-0.51610239471511621</v>
      </c>
      <c r="Q306">
        <f t="shared" si="965"/>
        <v>-510043.00681255624</v>
      </c>
      <c r="R306">
        <f t="shared" si="966"/>
        <v>-28198020.856112204</v>
      </c>
      <c r="S306">
        <f t="shared" si="967"/>
        <v>-281.98020856112203</v>
      </c>
      <c r="T306">
        <f t="shared" si="968"/>
        <v>-0.28198020856112205</v>
      </c>
    </row>
    <row r="307" spans="1:20" x14ac:dyDescent="0.25">
      <c r="A307" s="5">
        <v>44286</v>
      </c>
      <c r="B307">
        <v>4.3303000000000003</v>
      </c>
      <c r="C307">
        <v>5.0119999999999996</v>
      </c>
      <c r="D307">
        <v>4.2009999999999996</v>
      </c>
      <c r="E307">
        <v>4.6393000000000004</v>
      </c>
      <c r="F307">
        <v>2942773.4</v>
      </c>
      <c r="G307">
        <v>0</v>
      </c>
      <c r="L307" t="s">
        <v>7</v>
      </c>
      <c r="M307" t="s">
        <v>7</v>
      </c>
      <c r="N307" t="s">
        <v>8</v>
      </c>
      <c r="P307">
        <f t="shared" si="964"/>
        <v>8.0887792848337442E-2</v>
      </c>
      <c r="Q307">
        <f t="shared" si="965"/>
        <v>238034.44517879764</v>
      </c>
      <c r="R307">
        <f t="shared" si="966"/>
        <v>-27687977.849299647</v>
      </c>
      <c r="S307">
        <f t="shared" si="967"/>
        <v>-276.87977849299648</v>
      </c>
      <c r="T307">
        <f t="shared" si="968"/>
        <v>-0.2768797784929965</v>
      </c>
    </row>
    <row r="308" spans="1:20" x14ac:dyDescent="0.25">
      <c r="A308" s="5">
        <v>44285</v>
      </c>
      <c r="B308">
        <v>4.4398999999999997</v>
      </c>
      <c r="C308">
        <v>5.0190999999999999</v>
      </c>
      <c r="D308">
        <v>4.1200999999999999</v>
      </c>
      <c r="E308">
        <v>4.3326000000000002</v>
      </c>
      <c r="F308">
        <v>4907662.2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-0.52725250278086688</v>
      </c>
      <c r="Q308">
        <f t="shared" si="965"/>
        <v>-2587577.1777530555</v>
      </c>
      <c r="R308">
        <f t="shared" si="966"/>
        <v>-27926012.294478446</v>
      </c>
      <c r="S308">
        <f t="shared" si="967"/>
        <v>-279.26012294478448</v>
      </c>
      <c r="T308">
        <f t="shared" si="968"/>
        <v>-0.27926012294478447</v>
      </c>
    </row>
    <row r="309" spans="1:20" x14ac:dyDescent="0.25">
      <c r="A309" s="5">
        <v>44284</v>
      </c>
      <c r="B309">
        <v>3.5691999999999999</v>
      </c>
      <c r="C309">
        <v>4.508</v>
      </c>
      <c r="D309">
        <v>3.5499000000000001</v>
      </c>
      <c r="E309">
        <v>4.4326999999999996</v>
      </c>
      <c r="F309">
        <v>2382429.19</v>
      </c>
      <c r="G309">
        <v>0</v>
      </c>
      <c r="L309" t="s">
        <v>8</v>
      </c>
      <c r="M309" t="s">
        <v>8</v>
      </c>
      <c r="N309" t="s">
        <v>7</v>
      </c>
      <c r="P309">
        <f t="shared" si="964"/>
        <v>0.84281390251539423</v>
      </c>
      <c r="Q309">
        <f t="shared" si="965"/>
        <v>2007944.4430904896</v>
      </c>
      <c r="R309">
        <f t="shared" si="966"/>
        <v>-25338435.116725393</v>
      </c>
      <c r="S309">
        <f t="shared" si="967"/>
        <v>-253.38435116725393</v>
      </c>
      <c r="T309">
        <f t="shared" si="968"/>
        <v>-0.25338435116725394</v>
      </c>
    </row>
    <row r="310" spans="1:20" x14ac:dyDescent="0.25">
      <c r="A310" s="5">
        <v>44283</v>
      </c>
      <c r="B310">
        <v>3.5533999999999999</v>
      </c>
      <c r="C310">
        <v>3.7440000000000002</v>
      </c>
      <c r="D310">
        <v>3.5023</v>
      </c>
      <c r="E310">
        <v>3.5691999999999999</v>
      </c>
      <c r="F310">
        <v>996977.57</v>
      </c>
      <c r="G310">
        <v>0</v>
      </c>
      <c r="L310" t="s">
        <v>8</v>
      </c>
      <c r="M310" t="s">
        <v>7</v>
      </c>
      <c r="N310" t="s">
        <v>7</v>
      </c>
      <c r="P310">
        <f t="shared" si="964"/>
        <v>-0.44642118328506503</v>
      </c>
      <c r="Q310">
        <f t="shared" si="965"/>
        <v>-445071.90650806873</v>
      </c>
      <c r="R310">
        <f t="shared" si="966"/>
        <v>-27346379.559815884</v>
      </c>
      <c r="S310">
        <f t="shared" si="967"/>
        <v>-273.46379559815881</v>
      </c>
      <c r="T310">
        <f t="shared" si="968"/>
        <v>-0.27346379559815881</v>
      </c>
    </row>
    <row r="311" spans="1:20" x14ac:dyDescent="0.25">
      <c r="A311" s="5">
        <v>44282</v>
      </c>
      <c r="B311">
        <v>3.6251000000000002</v>
      </c>
      <c r="C311">
        <v>3.6899000000000002</v>
      </c>
      <c r="D311">
        <v>3.4836</v>
      </c>
      <c r="E311">
        <v>3.552</v>
      </c>
      <c r="F311">
        <v>636863.64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-0.33688802714493488</v>
      </c>
      <c r="Q311">
        <f t="shared" si="965"/>
        <v>-214551.73523994203</v>
      </c>
      <c r="R311">
        <f t="shared" si="966"/>
        <v>-26901307.653307814</v>
      </c>
      <c r="S311">
        <f t="shared" si="967"/>
        <v>-269.01307653307816</v>
      </c>
      <c r="T311">
        <f t="shared" si="968"/>
        <v>-0.26901307653307815</v>
      </c>
    </row>
    <row r="312" spans="1:20" x14ac:dyDescent="0.25">
      <c r="A312" s="5">
        <v>44281</v>
      </c>
      <c r="B312">
        <v>3.327</v>
      </c>
      <c r="C312">
        <v>3.7347000000000001</v>
      </c>
      <c r="D312">
        <v>3.3041999999999998</v>
      </c>
      <c r="E312">
        <v>3.6251000000000002</v>
      </c>
      <c r="F312">
        <v>1037423.34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0.49082462253194037</v>
      </c>
      <c r="Q312">
        <f t="shared" si="965"/>
        <v>509192.9192613248</v>
      </c>
      <c r="R312">
        <f t="shared" si="966"/>
        <v>-26686755.918067873</v>
      </c>
      <c r="S312">
        <f t="shared" si="967"/>
        <v>-266.86755918067871</v>
      </c>
      <c r="T312">
        <f t="shared" si="968"/>
        <v>-0.26686755918067873</v>
      </c>
    </row>
    <row r="313" spans="1:20" x14ac:dyDescent="0.25">
      <c r="A313" s="5">
        <v>44280</v>
      </c>
      <c r="B313">
        <v>3.5405000000000002</v>
      </c>
      <c r="C313">
        <v>3.6934999999999998</v>
      </c>
      <c r="D313">
        <v>3.2492999999999999</v>
      </c>
      <c r="E313">
        <v>3.3332999999999999</v>
      </c>
      <c r="F313">
        <v>1707229.36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-0.62179198559207527</v>
      </c>
      <c r="Q313">
        <f t="shared" si="965"/>
        <v>-1061541.5336154879</v>
      </c>
      <c r="R313">
        <f t="shared" si="966"/>
        <v>-27195948.837329198</v>
      </c>
      <c r="S313">
        <f t="shared" si="967"/>
        <v>-271.959488373292</v>
      </c>
      <c r="T313">
        <f t="shared" si="968"/>
        <v>-0.27195948837329198</v>
      </c>
    </row>
    <row r="314" spans="1:20" x14ac:dyDescent="0.25">
      <c r="A314" s="5">
        <v>44279</v>
      </c>
      <c r="B314">
        <v>3.8220000000000001</v>
      </c>
      <c r="C314">
        <v>4.0335000000000001</v>
      </c>
      <c r="D314">
        <v>3.5185</v>
      </c>
      <c r="E314">
        <v>3.5487000000000002</v>
      </c>
      <c r="F314">
        <v>1285537.54</v>
      </c>
      <c r="G314">
        <v>0</v>
      </c>
      <c r="L314" t="s">
        <v>7</v>
      </c>
      <c r="M314" t="s">
        <v>7</v>
      </c>
      <c r="N314" t="s">
        <v>8</v>
      </c>
      <c r="P314">
        <f t="shared" si="964"/>
        <v>-0.88271844660194088</v>
      </c>
      <c r="Q314">
        <f t="shared" si="965"/>
        <v>-1134767.7003572804</v>
      </c>
      <c r="R314">
        <f t="shared" si="966"/>
        <v>-26134407.303713709</v>
      </c>
      <c r="S314">
        <f t="shared" si="967"/>
        <v>-261.34407303713709</v>
      </c>
      <c r="T314">
        <f t="shared" si="968"/>
        <v>-0.26134407303713708</v>
      </c>
    </row>
    <row r="315" spans="1:20" x14ac:dyDescent="0.25">
      <c r="A315" s="5">
        <v>44278</v>
      </c>
      <c r="B315">
        <v>3.9451999999999998</v>
      </c>
      <c r="C315">
        <v>4.0304000000000002</v>
      </c>
      <c r="D315">
        <v>3.7441</v>
      </c>
      <c r="E315">
        <v>3.8378999999999999</v>
      </c>
      <c r="F315">
        <v>1284081.42</v>
      </c>
      <c r="G315">
        <v>0</v>
      </c>
      <c r="L315" t="s">
        <v>8</v>
      </c>
      <c r="M315" t="s">
        <v>7</v>
      </c>
      <c r="N315" t="s">
        <v>8</v>
      </c>
      <c r="P315">
        <f t="shared" si="964"/>
        <v>-0.34474327628361989</v>
      </c>
      <c r="Q315">
        <f t="shared" si="965"/>
        <v>-442678.43574572291</v>
      </c>
      <c r="R315">
        <f t="shared" si="966"/>
        <v>-24999639.603356428</v>
      </c>
      <c r="S315">
        <f t="shared" si="967"/>
        <v>-249.99639603356428</v>
      </c>
      <c r="T315">
        <f t="shared" si="968"/>
        <v>-0.24999639603356427</v>
      </c>
    </row>
    <row r="316" spans="1:20" x14ac:dyDescent="0.25">
      <c r="A316" s="5">
        <v>44277</v>
      </c>
      <c r="B316">
        <v>3.8856999999999999</v>
      </c>
      <c r="C316">
        <v>4.2519999999999998</v>
      </c>
      <c r="D316">
        <v>3.7229999999999999</v>
      </c>
      <c r="E316">
        <v>3.9443000000000001</v>
      </c>
      <c r="F316">
        <v>2131912.52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-0.16332703213610469</v>
      </c>
      <c r="Q316">
        <f t="shared" si="965"/>
        <v>-348198.94466540392</v>
      </c>
      <c r="R316">
        <f t="shared" si="966"/>
        <v>-24556961.167610705</v>
      </c>
      <c r="S316">
        <f t="shared" si="967"/>
        <v>-245.56961167610706</v>
      </c>
      <c r="T316">
        <f t="shared" si="968"/>
        <v>-0.24556961167610705</v>
      </c>
    </row>
    <row r="317" spans="1:20" x14ac:dyDescent="0.25">
      <c r="A317" s="5">
        <v>44276</v>
      </c>
      <c r="B317">
        <v>3.9742999999999999</v>
      </c>
      <c r="C317">
        <v>4.0545999999999998</v>
      </c>
      <c r="D317">
        <v>3.85</v>
      </c>
      <c r="E317">
        <v>3.8940999999999999</v>
      </c>
      <c r="F317">
        <v>776370.9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-0.56891495601173137</v>
      </c>
      <c r="Q317">
        <f t="shared" si="965"/>
        <v>-441689.01642228832</v>
      </c>
      <c r="R317">
        <f t="shared" si="966"/>
        <v>-24208762.222945303</v>
      </c>
      <c r="S317">
        <f t="shared" si="967"/>
        <v>-242.08762222945302</v>
      </c>
      <c r="T317">
        <f t="shared" si="968"/>
        <v>-0.24208762222945301</v>
      </c>
    </row>
    <row r="318" spans="1:20" x14ac:dyDescent="0.25">
      <c r="A318" s="5">
        <v>44275</v>
      </c>
      <c r="B318">
        <v>4.0613000000000001</v>
      </c>
      <c r="C318">
        <v>4.1627999999999998</v>
      </c>
      <c r="D318">
        <v>3.9445999999999999</v>
      </c>
      <c r="E318">
        <v>3.9685000000000001</v>
      </c>
      <c r="F318">
        <v>876430.9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-0.78093492208982351</v>
      </c>
      <c r="Q318">
        <f t="shared" si="965"/>
        <v>-684435.49660861387</v>
      </c>
      <c r="R318">
        <f t="shared" si="966"/>
        <v>-23767073.206523016</v>
      </c>
      <c r="S318">
        <f t="shared" si="967"/>
        <v>-237.67073206523017</v>
      </c>
      <c r="T318">
        <f t="shared" si="968"/>
        <v>-0.23767073206523018</v>
      </c>
    </row>
    <row r="319" spans="1:20" x14ac:dyDescent="0.25">
      <c r="A319" s="5">
        <v>44274</v>
      </c>
      <c r="B319">
        <v>4.1058000000000003</v>
      </c>
      <c r="C319">
        <v>4.2446000000000002</v>
      </c>
      <c r="D319">
        <v>4.0110999999999999</v>
      </c>
      <c r="E319">
        <v>4.0613000000000001</v>
      </c>
      <c r="F319">
        <v>1001127.66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-0.57002141327622968</v>
      </c>
      <c r="Q319">
        <f t="shared" si="965"/>
        <v>-570664.20362312475</v>
      </c>
      <c r="R319">
        <f t="shared" si="966"/>
        <v>-23082637.709914401</v>
      </c>
      <c r="S319">
        <f t="shared" si="967"/>
        <v>-230.82637709914403</v>
      </c>
      <c r="T319">
        <f t="shared" si="968"/>
        <v>-0.23082637709914403</v>
      </c>
    </row>
    <row r="320" spans="1:20" x14ac:dyDescent="0.25">
      <c r="A320" s="5">
        <v>44273</v>
      </c>
      <c r="B320">
        <v>3.9670000000000001</v>
      </c>
      <c r="C320">
        <v>4.5999999999999996</v>
      </c>
      <c r="D320">
        <v>3.9451000000000001</v>
      </c>
      <c r="E320">
        <v>4.1074999999999999</v>
      </c>
      <c r="F320">
        <v>2890643.61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-0.50404641930065663</v>
      </c>
      <c r="Q320">
        <f t="shared" si="965"/>
        <v>-1457018.5610948238</v>
      </c>
      <c r="R320">
        <f t="shared" si="966"/>
        <v>-22511973.506291278</v>
      </c>
      <c r="S320">
        <f t="shared" si="967"/>
        <v>-225.11973506291278</v>
      </c>
      <c r="T320">
        <f t="shared" si="968"/>
        <v>-0.22511973506291277</v>
      </c>
    </row>
    <row r="321" spans="1:20" x14ac:dyDescent="0.25">
      <c r="A321" s="5">
        <v>44272</v>
      </c>
      <c r="B321">
        <v>3.7686999999999999</v>
      </c>
      <c r="C321">
        <v>4.0538999999999996</v>
      </c>
      <c r="D321">
        <v>3.6680000000000001</v>
      </c>
      <c r="E321">
        <v>3.9670000000000001</v>
      </c>
      <c r="F321">
        <v>1208322.1100000001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0.54962425498834078</v>
      </c>
      <c r="Q321">
        <f t="shared" si="965"/>
        <v>664123.13949469</v>
      </c>
      <c r="R321">
        <f t="shared" si="966"/>
        <v>-21054954.945196453</v>
      </c>
      <c r="S321">
        <f t="shared" si="967"/>
        <v>-210.54954945196454</v>
      </c>
      <c r="T321">
        <f t="shared" si="968"/>
        <v>-0.21054954945196452</v>
      </c>
    </row>
    <row r="322" spans="1:20" x14ac:dyDescent="0.25">
      <c r="A322" s="5">
        <v>44271</v>
      </c>
      <c r="B322">
        <v>3.6768000000000001</v>
      </c>
      <c r="C322">
        <v>3.8693</v>
      </c>
      <c r="D322">
        <v>3.5910000000000002</v>
      </c>
      <c r="E322">
        <v>3.7682000000000002</v>
      </c>
      <c r="F322">
        <v>904428.24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0.27344592166726678</v>
      </c>
      <c r="Q322">
        <f t="shared" si="965"/>
        <v>247312.21366870395</v>
      </c>
      <c r="R322">
        <f t="shared" si="966"/>
        <v>-21719078.084691145</v>
      </c>
      <c r="S322">
        <f t="shared" si="967"/>
        <v>-217.19078084691145</v>
      </c>
      <c r="T322">
        <f t="shared" si="968"/>
        <v>-0.21719078084691146</v>
      </c>
    </row>
    <row r="323" spans="1:20" x14ac:dyDescent="0.25">
      <c r="A323" s="5">
        <v>44270</v>
      </c>
      <c r="B323">
        <v>3.8559999999999999</v>
      </c>
      <c r="C323">
        <v>3.9693000000000001</v>
      </c>
      <c r="D323">
        <v>3.65</v>
      </c>
      <c r="E323">
        <v>3.6768000000000001</v>
      </c>
      <c r="F323">
        <v>842130.99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-0.83213279047917232</v>
      </c>
      <c r="Q323">
        <f t="shared" si="965"/>
        <v>-700764.81065768795</v>
      </c>
      <c r="R323">
        <f t="shared" si="966"/>
        <v>-21966390.298359849</v>
      </c>
      <c r="S323">
        <f t="shared" si="967"/>
        <v>-219.66390298359849</v>
      </c>
      <c r="T323">
        <f t="shared" si="968"/>
        <v>-0.2196639029835985</v>
      </c>
    </row>
    <row r="324" spans="1:20" x14ac:dyDescent="0.25">
      <c r="A324" s="5">
        <v>44269</v>
      </c>
      <c r="B324">
        <v>3.98</v>
      </c>
      <c r="C324">
        <v>4.0579999999999998</v>
      </c>
      <c r="D324">
        <v>3.8315999999999999</v>
      </c>
      <c r="E324">
        <v>3.8559999999999999</v>
      </c>
      <c r="F324">
        <v>731327.34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-0.78445229681978812</v>
      </c>
      <c r="Q324">
        <f t="shared" si="965"/>
        <v>-573691.41159010609</v>
      </c>
      <c r="R324">
        <f t="shared" si="966"/>
        <v>-21265625.487702161</v>
      </c>
      <c r="S324">
        <f t="shared" si="967"/>
        <v>-212.65625487702161</v>
      </c>
      <c r="T324">
        <f t="shared" si="968"/>
        <v>-0.21265625487702161</v>
      </c>
    </row>
    <row r="325" spans="1:20" x14ac:dyDescent="0.25">
      <c r="A325" s="5">
        <v>44268</v>
      </c>
      <c r="B325">
        <v>3.7717000000000001</v>
      </c>
      <c r="C325">
        <v>4.1539999999999999</v>
      </c>
      <c r="D325">
        <v>3.6991000000000001</v>
      </c>
      <c r="E325">
        <v>3.98</v>
      </c>
      <c r="F325">
        <v>1279674.21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0.2349967025719939</v>
      </c>
      <c r="Q325">
        <f t="shared" si="965"/>
        <v>300719.21971642127</v>
      </c>
      <c r="R325">
        <f t="shared" si="966"/>
        <v>-20691934.076112054</v>
      </c>
      <c r="S325">
        <f t="shared" si="967"/>
        <v>-206.91934076112054</v>
      </c>
      <c r="T325">
        <f t="shared" si="968"/>
        <v>-0.20691934076112053</v>
      </c>
    </row>
    <row r="326" spans="1:20" x14ac:dyDescent="0.25">
      <c r="A326" s="5">
        <v>44267</v>
      </c>
      <c r="B326">
        <v>4.0030000000000001</v>
      </c>
      <c r="C326">
        <v>4.1097999999999999</v>
      </c>
      <c r="D326">
        <v>3.7307000000000001</v>
      </c>
      <c r="E326">
        <v>3.7679999999999998</v>
      </c>
      <c r="F326">
        <v>895542.53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-0.80321814824584703</v>
      </c>
      <c r="Q326">
        <f t="shared" ref="Q326:Q389" si="970">F326*P326</f>
        <v>-719316.01262200088</v>
      </c>
      <c r="R326">
        <f t="shared" ref="R326:R389" si="971">R327+Q326</f>
        <v>-20992653.295828477</v>
      </c>
      <c r="S326">
        <f t="shared" ref="S326:S389" si="972">R326/100000</f>
        <v>-209.92653295828475</v>
      </c>
      <c r="T326">
        <f t="shared" ref="T326:T389" si="973">S326/1000</f>
        <v>-0.20992653295828476</v>
      </c>
    </row>
    <row r="327" spans="1:20" x14ac:dyDescent="0.25">
      <c r="A327" s="5">
        <v>44266</v>
      </c>
      <c r="B327">
        <v>4.1566000000000001</v>
      </c>
      <c r="C327">
        <v>4.3551000000000002</v>
      </c>
      <c r="D327">
        <v>3.9380999999999999</v>
      </c>
      <c r="E327">
        <v>3.9967000000000001</v>
      </c>
      <c r="F327">
        <v>955649.7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-0.71894484412469939</v>
      </c>
      <c r="Q327">
        <f t="shared" si="970"/>
        <v>-687059.42460431566</v>
      </c>
      <c r="R327">
        <f t="shared" si="971"/>
        <v>-20273337.283206474</v>
      </c>
      <c r="S327">
        <f t="shared" si="972"/>
        <v>-202.73337283206473</v>
      </c>
      <c r="T327">
        <f t="shared" si="973"/>
        <v>-0.20273337283206472</v>
      </c>
    </row>
    <row r="328" spans="1:20" x14ac:dyDescent="0.25">
      <c r="A328" s="5">
        <v>44265</v>
      </c>
      <c r="B328">
        <v>3.98</v>
      </c>
      <c r="C328">
        <v>4.8</v>
      </c>
      <c r="D328">
        <v>3.85</v>
      </c>
      <c r="E328">
        <v>4.1502999999999997</v>
      </c>
      <c r="F328">
        <v>1846124.93</v>
      </c>
      <c r="G328">
        <v>0</v>
      </c>
      <c r="L328" t="s">
        <v>8</v>
      </c>
      <c r="M328" t="s">
        <v>8</v>
      </c>
      <c r="N328" t="s">
        <v>8</v>
      </c>
      <c r="P328">
        <f t="shared" si="969"/>
        <v>-0.36778947368421128</v>
      </c>
      <c r="Q328">
        <f t="shared" si="970"/>
        <v>-678985.31636000134</v>
      </c>
      <c r="R328">
        <f t="shared" si="971"/>
        <v>-19586277.858602159</v>
      </c>
      <c r="S328">
        <f t="shared" si="972"/>
        <v>-195.86277858602159</v>
      </c>
      <c r="T328">
        <f t="shared" si="973"/>
        <v>-0.19586277858602158</v>
      </c>
    </row>
    <row r="329" spans="1:20" x14ac:dyDescent="0.25">
      <c r="A329" s="5">
        <v>44264</v>
      </c>
      <c r="B329">
        <v>3.92</v>
      </c>
      <c r="C329">
        <v>4.1055000000000001</v>
      </c>
      <c r="D329">
        <v>3.8</v>
      </c>
      <c r="E329">
        <v>3.98</v>
      </c>
      <c r="F329">
        <v>879513.06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0.17839607201309307</v>
      </c>
      <c r="Q329">
        <f t="shared" si="970"/>
        <v>156901.67518821586</v>
      </c>
      <c r="R329">
        <f t="shared" si="971"/>
        <v>-18907292.542242158</v>
      </c>
      <c r="S329">
        <f t="shared" si="972"/>
        <v>-189.07292542242158</v>
      </c>
      <c r="T329">
        <f t="shared" si="973"/>
        <v>-0.18907292542242157</v>
      </c>
    </row>
    <row r="330" spans="1:20" x14ac:dyDescent="0.25">
      <c r="A330" s="5">
        <v>44263</v>
      </c>
      <c r="B330">
        <v>3.8940999999999999</v>
      </c>
      <c r="C330">
        <v>3.9575999999999998</v>
      </c>
      <c r="D330">
        <v>3.7921</v>
      </c>
      <c r="E330">
        <v>3.9146999999999998</v>
      </c>
      <c r="F330">
        <v>438483.16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0.48157099697885197</v>
      </c>
      <c r="Q330">
        <f t="shared" si="970"/>
        <v>211160.77251963745</v>
      </c>
      <c r="R330">
        <f t="shared" si="971"/>
        <v>-19064194.217430376</v>
      </c>
      <c r="S330">
        <f t="shared" si="972"/>
        <v>-190.64194217430375</v>
      </c>
      <c r="T330">
        <f t="shared" si="973"/>
        <v>-0.19064194217430375</v>
      </c>
    </row>
    <row r="331" spans="1:20" x14ac:dyDescent="0.25">
      <c r="A331" s="5">
        <v>44262</v>
      </c>
      <c r="B331">
        <v>3.8203</v>
      </c>
      <c r="C331">
        <v>3.9805999999999999</v>
      </c>
      <c r="D331">
        <v>3.8043</v>
      </c>
      <c r="E331">
        <v>3.8942999999999999</v>
      </c>
      <c r="F331">
        <v>377429.46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2.0986954055586027E-2</v>
      </c>
      <c r="Q331">
        <f t="shared" si="970"/>
        <v>7921.094736244645</v>
      </c>
      <c r="R331">
        <f t="shared" si="971"/>
        <v>-19275354.989950012</v>
      </c>
      <c r="S331">
        <f t="shared" si="972"/>
        <v>-192.75354989950011</v>
      </c>
      <c r="T331">
        <f t="shared" si="973"/>
        <v>-0.19275354989950011</v>
      </c>
    </row>
    <row r="332" spans="1:20" x14ac:dyDescent="0.25">
      <c r="A332" s="5">
        <v>44261</v>
      </c>
      <c r="B332">
        <v>3.7738999999999998</v>
      </c>
      <c r="C332">
        <v>3.9447000000000001</v>
      </c>
      <c r="D332">
        <v>3.7501000000000002</v>
      </c>
      <c r="E332">
        <v>3.806</v>
      </c>
      <c r="F332">
        <v>338418.02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-0.42548818088386564</v>
      </c>
      <c r="Q332">
        <f t="shared" si="970"/>
        <v>-143992.86770811968</v>
      </c>
      <c r="R332">
        <f t="shared" si="971"/>
        <v>-19283276.084686257</v>
      </c>
      <c r="S332">
        <f t="shared" si="972"/>
        <v>-192.83276084686256</v>
      </c>
      <c r="T332">
        <f t="shared" si="973"/>
        <v>-0.19283276084686254</v>
      </c>
    </row>
    <row r="333" spans="1:20" x14ac:dyDescent="0.25">
      <c r="A333" s="5">
        <v>44260</v>
      </c>
      <c r="B333">
        <v>3.8677999999999999</v>
      </c>
      <c r="C333">
        <v>4.0175999999999998</v>
      </c>
      <c r="D333">
        <v>3.6002999999999998</v>
      </c>
      <c r="E333">
        <v>3.7663000000000002</v>
      </c>
      <c r="F333">
        <v>774696.74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-0.20440929786724002</v>
      </c>
      <c r="Q333">
        <f t="shared" si="970"/>
        <v>-158355.21668343979</v>
      </c>
      <c r="R333">
        <f t="shared" si="971"/>
        <v>-19139283.216978136</v>
      </c>
      <c r="S333">
        <f t="shared" si="972"/>
        <v>-191.39283216978137</v>
      </c>
      <c r="T333">
        <f t="shared" si="973"/>
        <v>-0.19139283216978137</v>
      </c>
    </row>
    <row r="334" spans="1:20" x14ac:dyDescent="0.25">
      <c r="A334" s="5">
        <v>44259</v>
      </c>
      <c r="B334">
        <v>4.0944000000000003</v>
      </c>
      <c r="C334">
        <v>4.2948000000000004</v>
      </c>
      <c r="D334">
        <v>3.65</v>
      </c>
      <c r="E334">
        <v>3.8679000000000001</v>
      </c>
      <c r="F334">
        <v>719619.47</v>
      </c>
      <c r="G334">
        <v>0</v>
      </c>
      <c r="L334" t="s">
        <v>8</v>
      </c>
      <c r="M334" t="s">
        <v>7</v>
      </c>
      <c r="N334" t="s">
        <v>8</v>
      </c>
      <c r="P334">
        <f t="shared" si="969"/>
        <v>-0.32413151364764253</v>
      </c>
      <c r="Q334">
        <f t="shared" si="970"/>
        <v>-233251.34806141429</v>
      </c>
      <c r="R334">
        <f t="shared" si="971"/>
        <v>-18980928.000294697</v>
      </c>
      <c r="S334">
        <f t="shared" si="972"/>
        <v>-189.80928000294696</v>
      </c>
      <c r="T334">
        <f t="shared" si="973"/>
        <v>-0.18980928000294697</v>
      </c>
    </row>
    <row r="335" spans="1:20" x14ac:dyDescent="0.25">
      <c r="A335" s="5">
        <v>44258</v>
      </c>
      <c r="B335">
        <v>3.8704000000000001</v>
      </c>
      <c r="C335">
        <v>4.2</v>
      </c>
      <c r="D335">
        <v>3.8662999999999998</v>
      </c>
      <c r="E335">
        <v>4.0944000000000003</v>
      </c>
      <c r="F335">
        <v>633670.13</v>
      </c>
      <c r="G335">
        <v>0</v>
      </c>
      <c r="L335" t="s">
        <v>8</v>
      </c>
      <c r="M335" t="s">
        <v>7</v>
      </c>
      <c r="N335" t="s">
        <v>8</v>
      </c>
      <c r="P335">
        <f t="shared" si="969"/>
        <v>0.36709619418639611</v>
      </c>
      <c r="Q335">
        <f t="shared" si="970"/>
        <v>232617.89309259885</v>
      </c>
      <c r="R335">
        <f t="shared" si="971"/>
        <v>-18747676.652233284</v>
      </c>
      <c r="S335">
        <f t="shared" si="972"/>
        <v>-187.47676652233284</v>
      </c>
      <c r="T335">
        <f t="shared" si="973"/>
        <v>-0.18747676652233283</v>
      </c>
    </row>
    <row r="336" spans="1:20" x14ac:dyDescent="0.25">
      <c r="A336" s="5">
        <v>44257</v>
      </c>
      <c r="B336">
        <v>3.9910000000000001</v>
      </c>
      <c r="C336">
        <v>4.1391999999999998</v>
      </c>
      <c r="D336">
        <v>3.7974000000000001</v>
      </c>
      <c r="E336">
        <v>3.8700999999999999</v>
      </c>
      <c r="F336">
        <v>457450.28</v>
      </c>
      <c r="G336">
        <v>0</v>
      </c>
      <c r="L336" t="s">
        <v>8</v>
      </c>
      <c r="M336" t="s">
        <v>7</v>
      </c>
      <c r="N336" t="s">
        <v>8</v>
      </c>
      <c r="P336">
        <f t="shared" si="969"/>
        <v>-0.57460503218256387</v>
      </c>
      <c r="Q336">
        <f t="shared" si="970"/>
        <v>-262853.23286132287</v>
      </c>
      <c r="R336">
        <f t="shared" si="971"/>
        <v>-18980294.545325883</v>
      </c>
      <c r="S336">
        <f t="shared" si="972"/>
        <v>-189.80294545325881</v>
      </c>
      <c r="T336">
        <f t="shared" si="973"/>
        <v>-0.18980294545325882</v>
      </c>
    </row>
    <row r="337" spans="1:20" x14ac:dyDescent="0.25">
      <c r="A337" s="5">
        <v>44256</v>
      </c>
      <c r="B337">
        <v>3.7991000000000001</v>
      </c>
      <c r="C337">
        <v>4.0298999999999996</v>
      </c>
      <c r="D337">
        <v>3.7286000000000001</v>
      </c>
      <c r="E337">
        <v>3.99</v>
      </c>
      <c r="F337">
        <v>454008.88</v>
      </c>
      <c r="G337">
        <v>0</v>
      </c>
      <c r="L337" t="s">
        <v>8</v>
      </c>
      <c r="M337" t="s">
        <v>7</v>
      </c>
      <c r="N337" t="s">
        <v>8</v>
      </c>
      <c r="P337">
        <f t="shared" si="969"/>
        <v>0.73514769332891172</v>
      </c>
      <c r="Q337">
        <f t="shared" si="970"/>
        <v>333763.58088284271</v>
      </c>
      <c r="R337">
        <f t="shared" si="971"/>
        <v>-18717441.312464561</v>
      </c>
      <c r="S337">
        <f t="shared" si="972"/>
        <v>-187.17441312464561</v>
      </c>
      <c r="T337">
        <f t="shared" si="973"/>
        <v>-0.18717441312464561</v>
      </c>
    </row>
    <row r="338" spans="1:20" x14ac:dyDescent="0.25">
      <c r="A338" s="5">
        <v>44255</v>
      </c>
      <c r="B338">
        <v>3.9224000000000001</v>
      </c>
      <c r="C338">
        <v>3.9855</v>
      </c>
      <c r="D338">
        <v>3.5569000000000002</v>
      </c>
      <c r="E338">
        <v>3.8180000000000001</v>
      </c>
      <c r="F338">
        <v>303366.96999999997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0.21838544097060181</v>
      </c>
      <c r="Q338">
        <f t="shared" si="970"/>
        <v>66250.929519365323</v>
      </c>
      <c r="R338">
        <f t="shared" si="971"/>
        <v>-19051204.893347405</v>
      </c>
      <c r="S338">
        <f t="shared" si="972"/>
        <v>-190.51204893347406</v>
      </c>
      <c r="T338">
        <f t="shared" si="973"/>
        <v>-0.19051204893347407</v>
      </c>
    </row>
    <row r="339" spans="1:20" x14ac:dyDescent="0.25">
      <c r="A339" s="5">
        <v>44254</v>
      </c>
      <c r="B339">
        <v>3.8816999999999999</v>
      </c>
      <c r="C339">
        <v>4.1490999999999998</v>
      </c>
      <c r="D339">
        <v>3.8212999999999999</v>
      </c>
      <c r="E339">
        <v>3.9224000000000001</v>
      </c>
      <c r="F339">
        <v>337167.9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-0.38316046369737505</v>
      </c>
      <c r="Q339">
        <f t="shared" si="970"/>
        <v>-129189.40890787019</v>
      </c>
      <c r="R339">
        <f t="shared" si="971"/>
        <v>-19117455.822866771</v>
      </c>
      <c r="S339">
        <f t="shared" si="972"/>
        <v>-191.17455822866771</v>
      </c>
      <c r="T339">
        <f t="shared" si="973"/>
        <v>-0.19117455822866772</v>
      </c>
    </row>
    <row r="340" spans="1:20" x14ac:dyDescent="0.25">
      <c r="A340" s="5">
        <v>44253</v>
      </c>
      <c r="B340">
        <v>4.0758999999999999</v>
      </c>
      <c r="C340">
        <v>4.2388000000000003</v>
      </c>
      <c r="D340">
        <v>3.7109999999999999</v>
      </c>
      <c r="E340">
        <v>3.859</v>
      </c>
      <c r="F340">
        <v>555795.87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-0.43918150814702539</v>
      </c>
      <c r="Q340">
        <f t="shared" si="970"/>
        <v>-244095.26840848807</v>
      </c>
      <c r="R340">
        <f t="shared" si="971"/>
        <v>-18988266.4139589</v>
      </c>
      <c r="S340">
        <f t="shared" si="972"/>
        <v>-189.882664139589</v>
      </c>
      <c r="T340">
        <f t="shared" si="973"/>
        <v>-0.18988266413958899</v>
      </c>
    </row>
    <row r="341" spans="1:20" x14ac:dyDescent="0.25">
      <c r="A341" s="5">
        <v>44252</v>
      </c>
      <c r="B341">
        <v>4.5045999999999999</v>
      </c>
      <c r="C341">
        <v>4.5875000000000004</v>
      </c>
      <c r="D341">
        <v>4.0547000000000004</v>
      </c>
      <c r="E341">
        <v>4.0548000000000002</v>
      </c>
      <c r="F341">
        <v>457525.78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-0.99962462462462554</v>
      </c>
      <c r="Q341">
        <f t="shared" si="970"/>
        <v>-457354.03608858905</v>
      </c>
      <c r="R341">
        <f t="shared" si="971"/>
        <v>-18744171.145550411</v>
      </c>
      <c r="S341">
        <f t="shared" si="972"/>
        <v>-187.44171145550411</v>
      </c>
      <c r="T341">
        <f t="shared" si="973"/>
        <v>-0.18744171145550412</v>
      </c>
    </row>
    <row r="342" spans="1:20" x14ac:dyDescent="0.25">
      <c r="A342" s="5">
        <v>44251</v>
      </c>
      <c r="B342">
        <v>4.0419999999999998</v>
      </c>
      <c r="C342">
        <v>5</v>
      </c>
      <c r="D342">
        <v>3.8319000000000001</v>
      </c>
      <c r="E342">
        <v>4.5045999999999999</v>
      </c>
      <c r="F342">
        <v>796519.54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0.15178494991867117</v>
      </c>
      <c r="Q342">
        <f t="shared" si="970"/>
        <v>120899.67848814301</v>
      </c>
      <c r="R342">
        <f t="shared" si="971"/>
        <v>-18286817.109461822</v>
      </c>
      <c r="S342">
        <f t="shared" si="972"/>
        <v>-182.86817109461822</v>
      </c>
      <c r="T342">
        <f t="shared" si="973"/>
        <v>-0.18286817109461823</v>
      </c>
    </row>
    <row r="343" spans="1:20" x14ac:dyDescent="0.25">
      <c r="A343" s="5">
        <v>44250</v>
      </c>
      <c r="B343">
        <v>4.5629999999999997</v>
      </c>
      <c r="C343">
        <v>4.6394000000000002</v>
      </c>
      <c r="D343">
        <v>3.3565</v>
      </c>
      <c r="E343">
        <v>4.0326000000000004</v>
      </c>
      <c r="F343">
        <v>1206012.8500000001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5.4018239925169985E-2</v>
      </c>
      <c r="Q343">
        <f t="shared" si="970"/>
        <v>65146.691484138042</v>
      </c>
      <c r="R343">
        <f t="shared" si="971"/>
        <v>-18407716.787949964</v>
      </c>
      <c r="S343">
        <f t="shared" si="972"/>
        <v>-184.07716787949965</v>
      </c>
      <c r="T343">
        <f t="shared" si="973"/>
        <v>-0.18407716787949965</v>
      </c>
    </row>
    <row r="344" spans="1:20" x14ac:dyDescent="0.25">
      <c r="A344" s="5">
        <v>44249</v>
      </c>
      <c r="B344">
        <v>5.1249000000000002</v>
      </c>
      <c r="C344">
        <v>5.1288999999999998</v>
      </c>
      <c r="D344">
        <v>3.98</v>
      </c>
      <c r="E344">
        <v>4.5621999999999998</v>
      </c>
      <c r="F344">
        <v>992107.47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1.3491165462616285E-2</v>
      </c>
      <c r="Q344">
        <f t="shared" si="970"/>
        <v>13384.686034467622</v>
      </c>
      <c r="R344">
        <f t="shared" si="971"/>
        <v>-18472863.479434103</v>
      </c>
      <c r="S344">
        <f t="shared" si="972"/>
        <v>-184.72863479434102</v>
      </c>
      <c r="T344">
        <f t="shared" si="973"/>
        <v>-0.18472863479434101</v>
      </c>
    </row>
    <row r="345" spans="1:20" x14ac:dyDescent="0.25">
      <c r="A345" s="5">
        <v>44248</v>
      </c>
      <c r="B345">
        <v>5.0808</v>
      </c>
      <c r="C345">
        <v>5.3695000000000004</v>
      </c>
      <c r="D345">
        <v>4.9587000000000003</v>
      </c>
      <c r="E345">
        <v>5.1249000000000002</v>
      </c>
      <c r="F345">
        <v>600336.14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-0.1908471275559889</v>
      </c>
      <c r="Q345">
        <f t="shared" si="970"/>
        <v>-114572.42788705001</v>
      </c>
      <c r="R345">
        <f t="shared" si="971"/>
        <v>-18486248.16546857</v>
      </c>
      <c r="S345">
        <f t="shared" si="972"/>
        <v>-184.86248165468569</v>
      </c>
      <c r="T345">
        <f t="shared" si="973"/>
        <v>-0.18486248165468569</v>
      </c>
    </row>
    <row r="346" spans="1:20" x14ac:dyDescent="0.25">
      <c r="A346" s="5">
        <v>44247</v>
      </c>
      <c r="B346">
        <v>5.2649999999999997</v>
      </c>
      <c r="C346">
        <v>5.7164000000000001</v>
      </c>
      <c r="D346">
        <v>4.9623999999999997</v>
      </c>
      <c r="E346">
        <v>5.0808</v>
      </c>
      <c r="F346">
        <v>944440.7</v>
      </c>
      <c r="G346">
        <v>0</v>
      </c>
      <c r="L346" t="s">
        <v>7</v>
      </c>
      <c r="M346" t="s">
        <v>7</v>
      </c>
      <c r="N346" t="s">
        <v>8</v>
      </c>
      <c r="P346">
        <f t="shared" si="969"/>
        <v>-0.68594164456233364</v>
      </c>
      <c r="Q346">
        <f t="shared" si="970"/>
        <v>-647831.20694960153</v>
      </c>
      <c r="R346">
        <f t="shared" si="971"/>
        <v>-18371675.737581521</v>
      </c>
      <c r="S346">
        <f t="shared" si="972"/>
        <v>-183.71675737581521</v>
      </c>
      <c r="T346">
        <f t="shared" si="973"/>
        <v>-0.18371675737581519</v>
      </c>
    </row>
    <row r="347" spans="1:20" x14ac:dyDescent="0.25">
      <c r="A347" s="5">
        <v>44246</v>
      </c>
      <c r="B347">
        <v>5.2130000000000001</v>
      </c>
      <c r="C347">
        <v>5.84</v>
      </c>
      <c r="D347">
        <v>4.9757999999999996</v>
      </c>
      <c r="E347">
        <v>5.2750000000000004</v>
      </c>
      <c r="F347">
        <v>2464009.23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-0.30756769266373363</v>
      </c>
      <c r="Q347">
        <f t="shared" si="970"/>
        <v>-757849.63357324293</v>
      </c>
      <c r="R347">
        <f t="shared" si="971"/>
        <v>-17723844.530631918</v>
      </c>
      <c r="S347">
        <f t="shared" si="972"/>
        <v>-177.23844530631919</v>
      </c>
      <c r="T347">
        <f t="shared" si="973"/>
        <v>-0.17723844530631919</v>
      </c>
    </row>
    <row r="348" spans="1:20" x14ac:dyDescent="0.25">
      <c r="A348" s="5">
        <v>44245</v>
      </c>
      <c r="B348">
        <v>4.8059000000000003</v>
      </c>
      <c r="C348">
        <v>6.6</v>
      </c>
      <c r="D348">
        <v>4.5328999999999997</v>
      </c>
      <c r="E348">
        <v>5.2015000000000002</v>
      </c>
      <c r="F348">
        <v>6808486.2800000003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-0.35310338154902954</v>
      </c>
      <c r="Q348">
        <f t="shared" si="970"/>
        <v>-2404099.5286981729</v>
      </c>
      <c r="R348">
        <f t="shared" si="971"/>
        <v>-16965994.897058677</v>
      </c>
      <c r="S348">
        <f t="shared" si="972"/>
        <v>-169.65994897058678</v>
      </c>
      <c r="T348">
        <f t="shared" si="973"/>
        <v>-0.16965994897058678</v>
      </c>
    </row>
    <row r="349" spans="1:20" x14ac:dyDescent="0.25">
      <c r="A349" s="5">
        <v>44244</v>
      </c>
      <c r="B349">
        <v>4.5887000000000002</v>
      </c>
      <c r="C349">
        <v>5.3304999999999998</v>
      </c>
      <c r="D349">
        <v>4.1044999999999998</v>
      </c>
      <c r="E349">
        <v>4.7948000000000004</v>
      </c>
      <c r="F349">
        <v>4762721.1100000003</v>
      </c>
      <c r="G349">
        <v>0</v>
      </c>
      <c r="L349" t="s">
        <v>8</v>
      </c>
      <c r="M349" t="s">
        <v>8</v>
      </c>
      <c r="N349" t="s">
        <v>8</v>
      </c>
      <c r="P349">
        <f t="shared" si="969"/>
        <v>0.12610114192496019</v>
      </c>
      <c r="Q349">
        <f t="shared" si="970"/>
        <v>600584.57064111403</v>
      </c>
      <c r="R349">
        <f t="shared" si="971"/>
        <v>-14561895.368360505</v>
      </c>
      <c r="S349">
        <f t="shared" si="972"/>
        <v>-145.61895368360504</v>
      </c>
      <c r="T349">
        <f t="shared" si="973"/>
        <v>-0.14561895368360503</v>
      </c>
    </row>
    <row r="350" spans="1:20" x14ac:dyDescent="0.25">
      <c r="A350" s="5">
        <v>44243</v>
      </c>
      <c r="B350">
        <v>4.0799000000000003</v>
      </c>
      <c r="C350">
        <v>4.7</v>
      </c>
      <c r="D350">
        <v>3.8700999999999999</v>
      </c>
      <c r="E350">
        <v>4.593</v>
      </c>
      <c r="F350">
        <v>1260336.48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0.74213760694059483</v>
      </c>
      <c r="Q350">
        <f t="shared" si="970"/>
        <v>935343.09920713282</v>
      </c>
      <c r="R350">
        <f t="shared" si="971"/>
        <v>-15162479.939001618</v>
      </c>
      <c r="S350">
        <f t="shared" si="972"/>
        <v>-151.62479939001619</v>
      </c>
      <c r="T350">
        <f t="shared" si="973"/>
        <v>-0.15162479939001619</v>
      </c>
    </row>
    <row r="351" spans="1:20" x14ac:dyDescent="0.25">
      <c r="A351" s="5">
        <v>44242</v>
      </c>
      <c r="B351">
        <v>4.3510999999999997</v>
      </c>
      <c r="C351">
        <v>4.4142000000000001</v>
      </c>
      <c r="D351">
        <v>3.75</v>
      </c>
      <c r="E351">
        <v>4.0774999999999997</v>
      </c>
      <c r="F351">
        <v>910627.59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-1.3851249623608494E-2</v>
      </c>
      <c r="Q351">
        <f t="shared" si="970"/>
        <v>-12613.330063235009</v>
      </c>
      <c r="R351">
        <f t="shared" si="971"/>
        <v>-16097823.038208751</v>
      </c>
      <c r="S351">
        <f t="shared" si="972"/>
        <v>-160.9782303820875</v>
      </c>
      <c r="T351">
        <f t="shared" si="973"/>
        <v>-0.1609782303820875</v>
      </c>
    </row>
    <row r="352" spans="1:20" x14ac:dyDescent="0.25">
      <c r="A352" s="5">
        <v>44241</v>
      </c>
      <c r="B352">
        <v>4.5911999999999997</v>
      </c>
      <c r="C352">
        <v>4.7220000000000004</v>
      </c>
      <c r="D352">
        <v>4.1219999999999999</v>
      </c>
      <c r="E352">
        <v>4.3421000000000003</v>
      </c>
      <c r="F352">
        <v>1418702.85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-0.26633333333333264</v>
      </c>
      <c r="Q352">
        <f t="shared" si="970"/>
        <v>-377847.85904999904</v>
      </c>
      <c r="R352">
        <f t="shared" si="971"/>
        <v>-16085209.708145516</v>
      </c>
      <c r="S352">
        <f t="shared" si="972"/>
        <v>-160.85209708145516</v>
      </c>
      <c r="T352">
        <f t="shared" si="973"/>
        <v>-0.16085209708145515</v>
      </c>
    </row>
    <row r="353" spans="1:20" x14ac:dyDescent="0.25">
      <c r="A353" s="5">
        <v>44240</v>
      </c>
      <c r="B353">
        <v>4.8399000000000001</v>
      </c>
      <c r="C353">
        <v>5.48</v>
      </c>
      <c r="D353">
        <v>4.5140000000000002</v>
      </c>
      <c r="E353">
        <v>4.6054000000000004</v>
      </c>
      <c r="F353">
        <v>1797173.99</v>
      </c>
      <c r="G353">
        <v>0</v>
      </c>
      <c r="L353" t="s">
        <v>8</v>
      </c>
      <c r="M353" t="s">
        <v>8</v>
      </c>
      <c r="N353" t="s">
        <v>7</v>
      </c>
      <c r="P353">
        <f t="shared" si="969"/>
        <v>-0.81076604554865395</v>
      </c>
      <c r="Q353">
        <f t="shared" si="970"/>
        <v>-1457087.6490351961</v>
      </c>
      <c r="R353">
        <f t="shared" si="971"/>
        <v>-15707361.849095518</v>
      </c>
      <c r="S353">
        <f t="shared" si="972"/>
        <v>-157.07361849095517</v>
      </c>
      <c r="T353">
        <f t="shared" si="973"/>
        <v>-0.15707361849095516</v>
      </c>
    </row>
    <row r="354" spans="1:20" x14ac:dyDescent="0.25">
      <c r="A354" s="5">
        <v>44239</v>
      </c>
      <c r="B354">
        <v>4.7808999999999999</v>
      </c>
      <c r="C354">
        <v>5.0260999999999996</v>
      </c>
      <c r="D354">
        <v>4.5776000000000003</v>
      </c>
      <c r="E354">
        <v>4.8281999999999998</v>
      </c>
      <c r="F354">
        <v>1125909.97</v>
      </c>
      <c r="G354">
        <v>0</v>
      </c>
      <c r="L354" t="s">
        <v>8</v>
      </c>
      <c r="M354" t="s">
        <v>8</v>
      </c>
      <c r="N354" t="s">
        <v>7</v>
      </c>
      <c r="P354">
        <f t="shared" si="969"/>
        <v>0.1175027870680041</v>
      </c>
      <c r="Q354">
        <f t="shared" si="970"/>
        <v>132297.55946265289</v>
      </c>
      <c r="R354">
        <f t="shared" si="971"/>
        <v>-14250274.200060321</v>
      </c>
      <c r="S354">
        <f t="shared" si="972"/>
        <v>-142.50274200060321</v>
      </c>
      <c r="T354">
        <f t="shared" si="973"/>
        <v>-0.1425027420006032</v>
      </c>
    </row>
    <row r="355" spans="1:20" x14ac:dyDescent="0.25">
      <c r="A355" s="5">
        <v>44238</v>
      </c>
      <c r="B355">
        <v>4.7906000000000004</v>
      </c>
      <c r="C355">
        <v>5.2249999999999996</v>
      </c>
      <c r="D355">
        <v>3.9022000000000001</v>
      </c>
      <c r="E355">
        <v>4.7889999999999997</v>
      </c>
      <c r="F355">
        <v>3893735.36</v>
      </c>
      <c r="G355">
        <v>0</v>
      </c>
      <c r="L355" t="s">
        <v>7</v>
      </c>
      <c r="M355" t="s">
        <v>7</v>
      </c>
      <c r="N355" t="s">
        <v>7</v>
      </c>
      <c r="P355">
        <f t="shared" si="969"/>
        <v>0.34079225884487435</v>
      </c>
      <c r="Q355">
        <f t="shared" si="970"/>
        <v>1326954.86867856</v>
      </c>
      <c r="R355">
        <f t="shared" si="971"/>
        <v>-14382571.759522974</v>
      </c>
      <c r="S355">
        <f t="shared" si="972"/>
        <v>-143.82571759522975</v>
      </c>
      <c r="T355">
        <f t="shared" si="973"/>
        <v>-0.14382571759522975</v>
      </c>
    </row>
    <row r="356" spans="1:20" x14ac:dyDescent="0.25">
      <c r="A356" s="5">
        <v>44237</v>
      </c>
      <c r="B356">
        <v>3.7065000000000001</v>
      </c>
      <c r="C356">
        <v>5.98</v>
      </c>
      <c r="D356">
        <v>3.6160000000000001</v>
      </c>
      <c r="E356">
        <v>4.8090999999999999</v>
      </c>
      <c r="F356">
        <v>11411735.15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9.3908629441621528E-3</v>
      </c>
      <c r="Q356">
        <f t="shared" si="970"/>
        <v>107166.04074872773</v>
      </c>
      <c r="R356">
        <f t="shared" si="971"/>
        <v>-15709526.628201535</v>
      </c>
      <c r="S356">
        <f t="shared" si="972"/>
        <v>-157.09526628201536</v>
      </c>
      <c r="T356">
        <f t="shared" si="973"/>
        <v>-0.15709526628201537</v>
      </c>
    </row>
    <row r="357" spans="1:20" x14ac:dyDescent="0.25">
      <c r="A357" s="5">
        <v>44236</v>
      </c>
      <c r="B357">
        <v>3.5444</v>
      </c>
      <c r="C357">
        <v>3.75</v>
      </c>
      <c r="D357">
        <v>3.4380000000000002</v>
      </c>
      <c r="E357">
        <v>3.7065000000000001</v>
      </c>
      <c r="F357">
        <v>990086.87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0.72115384615384681</v>
      </c>
      <c r="Q357">
        <f t="shared" si="970"/>
        <v>714004.9543269237</v>
      </c>
      <c r="R357">
        <f t="shared" si="971"/>
        <v>-15816692.668950263</v>
      </c>
      <c r="S357">
        <f t="shared" si="972"/>
        <v>-158.16692668950265</v>
      </c>
      <c r="T357">
        <f t="shared" si="973"/>
        <v>-0.15816692668950263</v>
      </c>
    </row>
    <row r="358" spans="1:20" x14ac:dyDescent="0.25">
      <c r="A358" s="5">
        <v>44235</v>
      </c>
      <c r="B358">
        <v>3.6128999999999998</v>
      </c>
      <c r="C358">
        <v>3.706</v>
      </c>
      <c r="D358">
        <v>3.2902</v>
      </c>
      <c r="E358">
        <v>3.5348000000000002</v>
      </c>
      <c r="F358">
        <v>1308605.6599999999</v>
      </c>
      <c r="G358">
        <v>0</v>
      </c>
      <c r="L358" t="s">
        <v>7</v>
      </c>
      <c r="M358" t="s">
        <v>8</v>
      </c>
      <c r="N358" t="s">
        <v>8</v>
      </c>
      <c r="P358">
        <f t="shared" si="969"/>
        <v>0.17652717652717739</v>
      </c>
      <c r="Q358">
        <f t="shared" si="970"/>
        <v>231004.46234728346</v>
      </c>
      <c r="R358">
        <f t="shared" si="971"/>
        <v>-16530697.623277187</v>
      </c>
      <c r="S358">
        <f t="shared" si="972"/>
        <v>-165.30697623277189</v>
      </c>
      <c r="T358">
        <f t="shared" si="973"/>
        <v>-0.16530697623277188</v>
      </c>
    </row>
    <row r="359" spans="1:20" x14ac:dyDescent="0.25">
      <c r="A359" s="5">
        <v>44234</v>
      </c>
      <c r="B359">
        <v>3.0871</v>
      </c>
      <c r="C359">
        <v>3.85</v>
      </c>
      <c r="D359">
        <v>3.0811000000000002</v>
      </c>
      <c r="E359">
        <v>3.6017000000000001</v>
      </c>
      <c r="F359">
        <v>4102336.3</v>
      </c>
      <c r="G359">
        <v>0</v>
      </c>
      <c r="L359" t="s">
        <v>8</v>
      </c>
      <c r="M359" t="s">
        <v>8</v>
      </c>
      <c r="N359" t="s">
        <v>8</v>
      </c>
      <c r="P359">
        <f t="shared" si="969"/>
        <v>0.35414228118090779</v>
      </c>
      <c r="Q359">
        <f t="shared" si="970"/>
        <v>1452810.7354532448</v>
      </c>
      <c r="R359">
        <f t="shared" si="971"/>
        <v>-16761702.085624471</v>
      </c>
      <c r="S359">
        <f t="shared" si="972"/>
        <v>-167.61702085624472</v>
      </c>
      <c r="T359">
        <f t="shared" si="973"/>
        <v>-0.16761702085624472</v>
      </c>
    </row>
    <row r="360" spans="1:20" x14ac:dyDescent="0.25">
      <c r="A360" s="5">
        <v>44233</v>
      </c>
      <c r="B360">
        <v>3.2</v>
      </c>
      <c r="C360">
        <v>3.2296999999999998</v>
      </c>
      <c r="D360">
        <v>2.9973999999999998</v>
      </c>
      <c r="E360">
        <v>3.0871</v>
      </c>
      <c r="F360">
        <v>690894.99</v>
      </c>
      <c r="G360">
        <v>0</v>
      </c>
      <c r="L360" t="s">
        <v>7</v>
      </c>
      <c r="M360" t="s">
        <v>8</v>
      </c>
      <c r="N360" t="s">
        <v>7</v>
      </c>
      <c r="P360">
        <f t="shared" si="969"/>
        <v>-0.22772277227722659</v>
      </c>
      <c r="Q360">
        <f t="shared" si="970"/>
        <v>-157332.52247524675</v>
      </c>
      <c r="R360">
        <f t="shared" si="971"/>
        <v>-18214512.821077716</v>
      </c>
      <c r="S360">
        <f t="shared" si="972"/>
        <v>-182.14512821077716</v>
      </c>
      <c r="T360">
        <f t="shared" si="973"/>
        <v>-0.18214512821077716</v>
      </c>
    </row>
    <row r="361" spans="1:20" x14ac:dyDescent="0.25">
      <c r="A361" s="5">
        <v>44232</v>
      </c>
      <c r="B361">
        <v>2.9613999999999998</v>
      </c>
      <c r="C361">
        <v>3.34</v>
      </c>
      <c r="D361">
        <v>2.9260000000000002</v>
      </c>
      <c r="E361">
        <v>3.2</v>
      </c>
      <c r="F361">
        <v>1659954.9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0.32367149758454211</v>
      </c>
      <c r="Q361">
        <f t="shared" si="970"/>
        <v>537280.08840579877</v>
      </c>
      <c r="R361">
        <f t="shared" si="971"/>
        <v>-18057180.298602469</v>
      </c>
      <c r="S361">
        <f t="shared" si="972"/>
        <v>-180.57180298602469</v>
      </c>
      <c r="T361">
        <f t="shared" si="973"/>
        <v>-0.18057180298602468</v>
      </c>
    </row>
    <row r="362" spans="1:20" x14ac:dyDescent="0.25">
      <c r="A362" s="5">
        <v>44231</v>
      </c>
      <c r="B362">
        <v>2.9638</v>
      </c>
      <c r="C362">
        <v>3.0379999999999998</v>
      </c>
      <c r="D362">
        <v>2.9197000000000002</v>
      </c>
      <c r="E362">
        <v>2.9573999999999998</v>
      </c>
      <c r="F362">
        <v>636635.39</v>
      </c>
      <c r="G362">
        <v>0</v>
      </c>
      <c r="L362" t="s">
        <v>7</v>
      </c>
      <c r="M362" t="s">
        <v>7</v>
      </c>
      <c r="N362" t="s">
        <v>7</v>
      </c>
      <c r="P362">
        <f t="shared" si="969"/>
        <v>-0.36263736263736701</v>
      </c>
      <c r="Q362">
        <f t="shared" si="970"/>
        <v>-230867.77879121157</v>
      </c>
      <c r="R362">
        <f t="shared" si="971"/>
        <v>-18594460.387008268</v>
      </c>
      <c r="S362">
        <f t="shared" si="972"/>
        <v>-185.94460387008269</v>
      </c>
      <c r="T362">
        <f t="shared" si="973"/>
        <v>-0.18594460387008269</v>
      </c>
    </row>
    <row r="363" spans="1:20" x14ac:dyDescent="0.25">
      <c r="A363" s="5">
        <v>44230</v>
      </c>
      <c r="B363">
        <v>2.87</v>
      </c>
      <c r="C363">
        <v>3.1947000000000001</v>
      </c>
      <c r="D363">
        <v>2.8658999999999999</v>
      </c>
      <c r="E363">
        <v>2.956</v>
      </c>
      <c r="F363">
        <v>1788072.72</v>
      </c>
      <c r="G363">
        <v>0</v>
      </c>
      <c r="L363" t="s">
        <v>8</v>
      </c>
      <c r="M363" t="s">
        <v>7</v>
      </c>
      <c r="N363" t="s">
        <v>7</v>
      </c>
      <c r="P363">
        <f t="shared" si="969"/>
        <v>-0.45194647201946464</v>
      </c>
      <c r="Q363">
        <f t="shared" si="970"/>
        <v>-808113.15751824807</v>
      </c>
      <c r="R363">
        <f t="shared" si="971"/>
        <v>-18363592.608217057</v>
      </c>
      <c r="S363">
        <f t="shared" si="972"/>
        <v>-183.63592608217056</v>
      </c>
      <c r="T363">
        <f t="shared" si="973"/>
        <v>-0.18363592608217055</v>
      </c>
    </row>
    <row r="364" spans="1:20" x14ac:dyDescent="0.25">
      <c r="A364" s="5">
        <v>44229</v>
      </c>
      <c r="B364">
        <v>2.8529</v>
      </c>
      <c r="C364">
        <v>2.9039999999999999</v>
      </c>
      <c r="D364">
        <v>2.7938999999999998</v>
      </c>
      <c r="E364">
        <v>2.87</v>
      </c>
      <c r="F364">
        <v>394251.52000000002</v>
      </c>
      <c r="G364">
        <v>0</v>
      </c>
      <c r="L364" t="s">
        <v>7</v>
      </c>
      <c r="M364" t="s">
        <v>7</v>
      </c>
      <c r="N364" t="s">
        <v>7</v>
      </c>
      <c r="P364">
        <f t="shared" si="969"/>
        <v>0.38237965485922287</v>
      </c>
      <c r="Q364">
        <f t="shared" si="970"/>
        <v>150753.76014532402</v>
      </c>
      <c r="R364">
        <f t="shared" si="971"/>
        <v>-17555479.450698808</v>
      </c>
      <c r="S364">
        <f t="shared" si="972"/>
        <v>-175.55479450698809</v>
      </c>
      <c r="T364">
        <f t="shared" si="973"/>
        <v>-0.17555479450698808</v>
      </c>
    </row>
    <row r="365" spans="1:20" x14ac:dyDescent="0.25">
      <c r="A365" s="5">
        <v>44228</v>
      </c>
      <c r="B365">
        <v>2.8041999999999998</v>
      </c>
      <c r="C365">
        <v>2.98</v>
      </c>
      <c r="D365">
        <v>2.7650000000000001</v>
      </c>
      <c r="E365">
        <v>2.8527999999999998</v>
      </c>
      <c r="F365">
        <v>529886.41</v>
      </c>
      <c r="G365">
        <v>0</v>
      </c>
      <c r="L365" t="s">
        <v>8</v>
      </c>
      <c r="M365" t="s">
        <v>7</v>
      </c>
      <c r="N365" t="s">
        <v>7</v>
      </c>
      <c r="P365">
        <f t="shared" si="969"/>
        <v>-0.18325581395349103</v>
      </c>
      <c r="Q365">
        <f t="shared" si="970"/>
        <v>-97104.765367443266</v>
      </c>
      <c r="R365">
        <f t="shared" si="971"/>
        <v>-17706233.210844133</v>
      </c>
      <c r="S365">
        <f t="shared" si="972"/>
        <v>-177.06233210844132</v>
      </c>
      <c r="T365">
        <f t="shared" si="973"/>
        <v>-0.17706233210844133</v>
      </c>
    </row>
    <row r="366" spans="1:20" x14ac:dyDescent="0.25">
      <c r="A366" s="5">
        <v>44227</v>
      </c>
      <c r="B366">
        <v>2.8782000000000001</v>
      </c>
      <c r="C366">
        <v>2.9382999999999999</v>
      </c>
      <c r="D366">
        <v>2.7530000000000001</v>
      </c>
      <c r="E366">
        <v>2.8041</v>
      </c>
      <c r="F366">
        <v>724589.89</v>
      </c>
      <c r="G366">
        <v>0</v>
      </c>
      <c r="L366" t="s">
        <v>7</v>
      </c>
      <c r="M366" t="s">
        <v>7</v>
      </c>
      <c r="N366" t="s">
        <v>7</v>
      </c>
      <c r="P366">
        <f t="shared" si="969"/>
        <v>-0.44846195358877516</v>
      </c>
      <c r="Q366">
        <f t="shared" si="970"/>
        <v>-324950.99762007571</v>
      </c>
      <c r="R366">
        <f t="shared" si="971"/>
        <v>-17609128.445476688</v>
      </c>
      <c r="S366">
        <f t="shared" si="972"/>
        <v>-176.09128445476688</v>
      </c>
      <c r="T366">
        <f t="shared" si="973"/>
        <v>-0.17609128445476688</v>
      </c>
    </row>
    <row r="367" spans="1:20" x14ac:dyDescent="0.25">
      <c r="A367" s="5">
        <v>44226</v>
      </c>
      <c r="B367">
        <v>2.8915000000000002</v>
      </c>
      <c r="C367">
        <v>2.9725000000000001</v>
      </c>
      <c r="D367">
        <v>2.7968000000000002</v>
      </c>
      <c r="E367">
        <v>2.8784999999999998</v>
      </c>
      <c r="F367">
        <v>597421.97</v>
      </c>
      <c r="G367">
        <v>0</v>
      </c>
      <c r="L367" t="s">
        <v>7</v>
      </c>
      <c r="M367" t="s">
        <v>7</v>
      </c>
      <c r="N367" t="s">
        <v>7</v>
      </c>
      <c r="P367">
        <f t="shared" si="969"/>
        <v>-7.0005691519639424E-2</v>
      </c>
      <c r="Q367">
        <f t="shared" si="970"/>
        <v>-41822.938138875274</v>
      </c>
      <c r="R367">
        <f t="shared" si="971"/>
        <v>-17284177.447856613</v>
      </c>
      <c r="S367">
        <f t="shared" si="972"/>
        <v>-172.84177447856612</v>
      </c>
      <c r="T367">
        <f t="shared" si="973"/>
        <v>-0.17284177447856613</v>
      </c>
    </row>
    <row r="368" spans="1:20" x14ac:dyDescent="0.25">
      <c r="A368" s="5">
        <v>44225</v>
      </c>
      <c r="B368">
        <v>2.9744999999999999</v>
      </c>
      <c r="C368">
        <v>3</v>
      </c>
      <c r="D368">
        <v>2.81</v>
      </c>
      <c r="E368">
        <v>2.8914</v>
      </c>
      <c r="F368">
        <v>809118.71999999997</v>
      </c>
      <c r="G368">
        <v>0</v>
      </c>
      <c r="L368" t="s">
        <v>7</v>
      </c>
      <c r="M368" t="s">
        <v>7</v>
      </c>
      <c r="N368" t="s">
        <v>7</v>
      </c>
      <c r="P368">
        <f t="shared" si="969"/>
        <v>-0.14315789473684273</v>
      </c>
      <c r="Q368">
        <f t="shared" si="970"/>
        <v>-115831.73254736893</v>
      </c>
      <c r="R368">
        <f t="shared" si="971"/>
        <v>-17242354.509717736</v>
      </c>
      <c r="S368">
        <f t="shared" si="972"/>
        <v>-172.42354509717737</v>
      </c>
      <c r="T368">
        <f t="shared" si="973"/>
        <v>-0.17242354509717736</v>
      </c>
    </row>
    <row r="369" spans="1:20" x14ac:dyDescent="0.25">
      <c r="A369" s="5">
        <v>44224</v>
      </c>
      <c r="B369">
        <v>2.9411</v>
      </c>
      <c r="C369">
        <v>3.0609000000000002</v>
      </c>
      <c r="D369">
        <v>2.8117999999999999</v>
      </c>
      <c r="E369">
        <v>2.9657</v>
      </c>
      <c r="F369">
        <v>1089910.8899999999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0.23564833400240826</v>
      </c>
      <c r="Q369">
        <f t="shared" si="970"/>
        <v>256835.68543958201</v>
      </c>
      <c r="R369">
        <f t="shared" si="971"/>
        <v>-17126522.777170368</v>
      </c>
      <c r="S369">
        <f t="shared" si="972"/>
        <v>-171.26522777170368</v>
      </c>
      <c r="T369">
        <f t="shared" si="973"/>
        <v>-0.17126522777170367</v>
      </c>
    </row>
    <row r="370" spans="1:20" x14ac:dyDescent="0.25">
      <c r="A370" s="5">
        <v>44223</v>
      </c>
      <c r="B370">
        <v>3.0926</v>
      </c>
      <c r="C370">
        <v>3.3</v>
      </c>
      <c r="D370">
        <v>2.7559999999999998</v>
      </c>
      <c r="E370">
        <v>2.9489999999999998</v>
      </c>
      <c r="F370">
        <v>1689064.72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-0.29044117647058809</v>
      </c>
      <c r="Q370">
        <f t="shared" si="970"/>
        <v>-490573.94441176445</v>
      </c>
      <c r="R370">
        <f t="shared" si="971"/>
        <v>-17383358.46260995</v>
      </c>
      <c r="S370">
        <f t="shared" si="972"/>
        <v>-173.83358462609951</v>
      </c>
      <c r="T370">
        <f t="shared" si="973"/>
        <v>-0.17383358462609952</v>
      </c>
    </row>
    <row r="371" spans="1:20" x14ac:dyDescent="0.25">
      <c r="A371" s="5">
        <v>44222</v>
      </c>
      <c r="B371">
        <v>3.1497999999999999</v>
      </c>
      <c r="C371">
        <v>3.5998000000000001</v>
      </c>
      <c r="D371">
        <v>3.0421</v>
      </c>
      <c r="E371">
        <v>3.1029</v>
      </c>
      <c r="F371">
        <v>4355640.92</v>
      </c>
      <c r="G371">
        <v>0</v>
      </c>
      <c r="L371" t="s">
        <v>8</v>
      </c>
      <c r="M371" t="s">
        <v>8</v>
      </c>
      <c r="N371" t="s">
        <v>7</v>
      </c>
      <c r="P371">
        <f t="shared" si="969"/>
        <v>-0.78196162811547443</v>
      </c>
      <c r="Q371">
        <f t="shared" si="970"/>
        <v>-3405944.0652895831</v>
      </c>
      <c r="R371">
        <f t="shared" si="971"/>
        <v>-16892784.518198185</v>
      </c>
      <c r="S371">
        <f t="shared" si="972"/>
        <v>-168.92784518198184</v>
      </c>
      <c r="T371">
        <f t="shared" si="973"/>
        <v>-0.16892784518198184</v>
      </c>
    </row>
    <row r="372" spans="1:20" x14ac:dyDescent="0.25">
      <c r="A372" s="5">
        <v>44221</v>
      </c>
      <c r="B372">
        <v>2.7848000000000002</v>
      </c>
      <c r="C372">
        <v>3.4228999999999998</v>
      </c>
      <c r="D372">
        <v>2.7641</v>
      </c>
      <c r="E372">
        <v>3.1347</v>
      </c>
      <c r="F372">
        <v>6899182.0999999996</v>
      </c>
      <c r="G372">
        <v>0</v>
      </c>
      <c r="L372" t="s">
        <v>8</v>
      </c>
      <c r="M372" t="s">
        <v>8</v>
      </c>
      <c r="N372" t="s">
        <v>7</v>
      </c>
      <c r="P372">
        <f t="shared" si="969"/>
        <v>0.12507589556769927</v>
      </c>
      <c r="Q372">
        <f t="shared" si="970"/>
        <v>862921.37984214013</v>
      </c>
      <c r="R372">
        <f t="shared" si="971"/>
        <v>-13486840.452908603</v>
      </c>
      <c r="S372">
        <f t="shared" si="972"/>
        <v>-134.86840452908604</v>
      </c>
      <c r="T372">
        <f t="shared" si="973"/>
        <v>-0.13486840452908602</v>
      </c>
    </row>
    <row r="373" spans="1:20" x14ac:dyDescent="0.25">
      <c r="A373" s="5">
        <v>44220</v>
      </c>
      <c r="B373">
        <v>2.8199000000000001</v>
      </c>
      <c r="C373">
        <v>3</v>
      </c>
      <c r="D373">
        <v>2.7050000000000001</v>
      </c>
      <c r="E373">
        <v>2.7848000000000002</v>
      </c>
      <c r="F373">
        <v>2692530.02</v>
      </c>
      <c r="G373">
        <v>0</v>
      </c>
      <c r="L373" t="s">
        <v>8</v>
      </c>
      <c r="M373" t="s">
        <v>7</v>
      </c>
      <c r="N373" t="s">
        <v>7</v>
      </c>
      <c r="P373">
        <f t="shared" si="969"/>
        <v>-0.45898305084745689</v>
      </c>
      <c r="Q373">
        <f t="shared" si="970"/>
        <v>-1235825.6430779642</v>
      </c>
      <c r="R373">
        <f t="shared" si="971"/>
        <v>-14349761.832750743</v>
      </c>
      <c r="S373">
        <f t="shared" si="972"/>
        <v>-143.49761832750744</v>
      </c>
      <c r="T373">
        <f t="shared" si="973"/>
        <v>-0.14349761832750743</v>
      </c>
    </row>
    <row r="374" spans="1:20" x14ac:dyDescent="0.25">
      <c r="A374" s="5">
        <v>44219</v>
      </c>
      <c r="B374">
        <v>3.1408999999999998</v>
      </c>
      <c r="C374">
        <v>3.1408999999999998</v>
      </c>
      <c r="D374">
        <v>2.702</v>
      </c>
      <c r="E374">
        <v>2.82</v>
      </c>
      <c r="F374">
        <v>3523697.26</v>
      </c>
      <c r="G374">
        <v>0</v>
      </c>
      <c r="L374" t="s">
        <v>7</v>
      </c>
      <c r="M374" t="s">
        <v>7</v>
      </c>
      <c r="N374" t="s">
        <v>7</v>
      </c>
      <c r="P374">
        <f t="shared" si="969"/>
        <v>-0.46229209387104159</v>
      </c>
      <c r="Q374">
        <f t="shared" si="970"/>
        <v>-1628977.384493052</v>
      </c>
      <c r="R374">
        <f t="shared" si="971"/>
        <v>-13113936.189672779</v>
      </c>
      <c r="S374">
        <f t="shared" si="972"/>
        <v>-131.13936189672779</v>
      </c>
      <c r="T374">
        <f t="shared" si="973"/>
        <v>-0.13113936189672779</v>
      </c>
    </row>
    <row r="375" spans="1:20" x14ac:dyDescent="0.25">
      <c r="A375" s="5">
        <v>44218</v>
      </c>
      <c r="B375">
        <v>3.0741000000000001</v>
      </c>
      <c r="C375">
        <v>3.85</v>
      </c>
      <c r="D375">
        <v>2.8</v>
      </c>
      <c r="E375">
        <v>3.14</v>
      </c>
      <c r="F375">
        <v>14781894.619999999</v>
      </c>
      <c r="G375">
        <v>0</v>
      </c>
      <c r="L375" t="s">
        <v>8</v>
      </c>
      <c r="M375" t="s">
        <v>7</v>
      </c>
      <c r="N375" t="s">
        <v>8</v>
      </c>
      <c r="P375">
        <f t="shared" si="969"/>
        <v>-0.35238095238095196</v>
      </c>
      <c r="Q375">
        <f t="shared" si="970"/>
        <v>-5208858.1041904697</v>
      </c>
      <c r="R375">
        <f t="shared" si="971"/>
        <v>-11484958.805179726</v>
      </c>
      <c r="S375">
        <f t="shared" si="972"/>
        <v>-114.84958805179727</v>
      </c>
      <c r="T375">
        <f t="shared" si="973"/>
        <v>-0.11484958805179726</v>
      </c>
    </row>
    <row r="376" spans="1:20" x14ac:dyDescent="0.25">
      <c r="A376" s="5">
        <v>44217</v>
      </c>
      <c r="B376">
        <v>2.2698999999999998</v>
      </c>
      <c r="C376">
        <v>3.75</v>
      </c>
      <c r="D376">
        <v>2.2189999999999999</v>
      </c>
      <c r="E376">
        <v>3.0922999999999998</v>
      </c>
      <c r="F376">
        <v>12958460.93</v>
      </c>
      <c r="G376">
        <v>0</v>
      </c>
      <c r="L376" t="s">
        <v>8</v>
      </c>
      <c r="M376" t="s">
        <v>8</v>
      </c>
      <c r="N376" t="s">
        <v>8</v>
      </c>
      <c r="P376">
        <f t="shared" si="969"/>
        <v>0.14082299150881761</v>
      </c>
      <c r="Q376">
        <f t="shared" si="970"/>
        <v>1824849.2335127348</v>
      </c>
      <c r="R376">
        <f t="shared" si="971"/>
        <v>-6276100.7009892557</v>
      </c>
      <c r="S376">
        <f t="shared" si="972"/>
        <v>-62.761007009892559</v>
      </c>
      <c r="T376">
        <f t="shared" si="973"/>
        <v>-6.2761007009892553E-2</v>
      </c>
    </row>
    <row r="377" spans="1:20" x14ac:dyDescent="0.25">
      <c r="A377" s="5">
        <v>44216</v>
      </c>
      <c r="B377">
        <v>2.1608000000000001</v>
      </c>
      <c r="C377">
        <v>2.6396999999999999</v>
      </c>
      <c r="D377">
        <v>2.1</v>
      </c>
      <c r="E377">
        <v>2.2784</v>
      </c>
      <c r="F377">
        <v>2898212.37</v>
      </c>
      <c r="G377">
        <v>0</v>
      </c>
      <c r="L377" t="s">
        <v>7</v>
      </c>
      <c r="M377" t="s">
        <v>8</v>
      </c>
      <c r="N377" t="s">
        <v>8</v>
      </c>
      <c r="P377">
        <f t="shared" si="969"/>
        <v>-0.33889197702427298</v>
      </c>
      <c r="Q377">
        <f t="shared" si="970"/>
        <v>-982180.91990550375</v>
      </c>
      <c r="R377">
        <f t="shared" si="971"/>
        <v>-8100949.9345019907</v>
      </c>
      <c r="S377">
        <f t="shared" si="972"/>
        <v>-81.009499345019904</v>
      </c>
      <c r="T377">
        <f t="shared" si="973"/>
        <v>-8.10094993450199E-2</v>
      </c>
    </row>
    <row r="378" spans="1:20" x14ac:dyDescent="0.25">
      <c r="A378" s="5">
        <v>44215</v>
      </c>
      <c r="B378">
        <v>2.2488000000000001</v>
      </c>
      <c r="C378">
        <v>2.2530000000000001</v>
      </c>
      <c r="D378">
        <v>2.14</v>
      </c>
      <c r="E378">
        <v>2.1608000000000001</v>
      </c>
      <c r="F378">
        <v>725645.4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-0.63185840707964724</v>
      </c>
      <c r="Q378">
        <f t="shared" si="970"/>
        <v>-458505.14654867345</v>
      </c>
      <c r="R378">
        <f t="shared" si="971"/>
        <v>-7118769.0145964865</v>
      </c>
      <c r="S378">
        <f t="shared" si="972"/>
        <v>-71.187690145964865</v>
      </c>
      <c r="T378">
        <f t="shared" si="973"/>
        <v>-7.1187690145964863E-2</v>
      </c>
    </row>
    <row r="379" spans="1:20" x14ac:dyDescent="0.25">
      <c r="A379" s="5">
        <v>44214</v>
      </c>
      <c r="B379">
        <v>2.125</v>
      </c>
      <c r="C379">
        <v>2.4500000000000002</v>
      </c>
      <c r="D379">
        <v>2.0682999999999998</v>
      </c>
      <c r="E379">
        <v>2.2370999999999999</v>
      </c>
      <c r="F379">
        <v>1582184.21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-0.11553576106890283</v>
      </c>
      <c r="Q379">
        <f t="shared" si="970"/>
        <v>-182798.85685355077</v>
      </c>
      <c r="R379">
        <f t="shared" si="971"/>
        <v>-6660263.868047813</v>
      </c>
      <c r="S379">
        <f t="shared" si="972"/>
        <v>-66.602638680478123</v>
      </c>
      <c r="T379">
        <f t="shared" si="973"/>
        <v>-6.6602638680478124E-2</v>
      </c>
    </row>
    <row r="380" spans="1:20" x14ac:dyDescent="0.25">
      <c r="A380" s="5">
        <v>44213</v>
      </c>
      <c r="B380">
        <v>2.0670000000000002</v>
      </c>
      <c r="C380">
        <v>2.1945999999999999</v>
      </c>
      <c r="D380">
        <v>2.0228000000000002</v>
      </c>
      <c r="E380">
        <v>2.125</v>
      </c>
      <c r="F380">
        <v>346601.39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0.1897555296856811</v>
      </c>
      <c r="Q380">
        <f t="shared" si="970"/>
        <v>65769.53034924333</v>
      </c>
      <c r="R380">
        <f t="shared" si="971"/>
        <v>-6477465.0111942617</v>
      </c>
      <c r="S380">
        <f t="shared" si="972"/>
        <v>-64.77465011194262</v>
      </c>
      <c r="T380">
        <f t="shared" si="973"/>
        <v>-6.4774650111942625E-2</v>
      </c>
    </row>
    <row r="381" spans="1:20" x14ac:dyDescent="0.25">
      <c r="A381" s="5">
        <v>44212</v>
      </c>
      <c r="B381">
        <v>2.0125000000000002</v>
      </c>
      <c r="C381">
        <v>2.2323</v>
      </c>
      <c r="D381">
        <v>2.0001000000000002</v>
      </c>
      <c r="E381">
        <v>2.0678000000000001</v>
      </c>
      <c r="F381">
        <v>428586.51</v>
      </c>
      <c r="G381">
        <v>0</v>
      </c>
      <c r="L381" t="s">
        <v>8</v>
      </c>
      <c r="M381" t="s">
        <v>8</v>
      </c>
      <c r="N381" t="s">
        <v>7</v>
      </c>
      <c r="P381">
        <f t="shared" si="969"/>
        <v>-0.41688199827734757</v>
      </c>
      <c r="Q381">
        <f t="shared" si="970"/>
        <v>-178670.00072351441</v>
      </c>
      <c r="R381">
        <f t="shared" si="971"/>
        <v>-6543234.5415435052</v>
      </c>
      <c r="S381">
        <f t="shared" si="972"/>
        <v>-65.432345415435051</v>
      </c>
      <c r="T381">
        <f t="shared" si="973"/>
        <v>-6.543234541543505E-2</v>
      </c>
    </row>
    <row r="382" spans="1:20" x14ac:dyDescent="0.25">
      <c r="A382" s="5">
        <v>44211</v>
      </c>
      <c r="B382">
        <v>2.0989</v>
      </c>
      <c r="C382">
        <v>2.1680000000000001</v>
      </c>
      <c r="D382">
        <v>1.9</v>
      </c>
      <c r="E382">
        <v>2</v>
      </c>
      <c r="F382">
        <v>299975.19</v>
      </c>
      <c r="G382">
        <v>0</v>
      </c>
      <c r="L382" t="s">
        <v>7</v>
      </c>
      <c r="M382" t="s">
        <v>8</v>
      </c>
      <c r="N382" t="s">
        <v>7</v>
      </c>
      <c r="P382">
        <f t="shared" si="969"/>
        <v>-0.2537313432835821</v>
      </c>
      <c r="Q382">
        <f t="shared" si="970"/>
        <v>-76113.107910447769</v>
      </c>
      <c r="R382">
        <f t="shared" si="971"/>
        <v>-6364564.5408199904</v>
      </c>
      <c r="S382">
        <f t="shared" si="972"/>
        <v>-63.645645408199904</v>
      </c>
      <c r="T382">
        <f t="shared" si="973"/>
        <v>-6.3645645408199905E-2</v>
      </c>
    </row>
    <row r="383" spans="1:20" x14ac:dyDescent="0.25">
      <c r="A383" s="5">
        <v>44210</v>
      </c>
      <c r="B383">
        <v>2.0929000000000002</v>
      </c>
      <c r="C383">
        <v>2.2431999999999999</v>
      </c>
      <c r="D383">
        <v>2.0556000000000001</v>
      </c>
      <c r="E383">
        <v>2.0973999999999999</v>
      </c>
      <c r="F383">
        <v>334830.83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-0.55437100213219737</v>
      </c>
      <c r="Q383">
        <f t="shared" si="970"/>
        <v>-185620.50277185542</v>
      </c>
      <c r="R383">
        <f t="shared" si="971"/>
        <v>-6288451.4329095427</v>
      </c>
      <c r="S383">
        <f t="shared" si="972"/>
        <v>-62.884514329095424</v>
      </c>
      <c r="T383">
        <f t="shared" si="973"/>
        <v>-6.288451432909542E-2</v>
      </c>
    </row>
    <row r="384" spans="1:20" x14ac:dyDescent="0.25">
      <c r="A384" s="5">
        <v>44209</v>
      </c>
      <c r="B384">
        <v>1.9713000000000001</v>
      </c>
      <c r="C384">
        <v>2.1499000000000001</v>
      </c>
      <c r="D384">
        <v>1.9098999999999999</v>
      </c>
      <c r="E384">
        <v>2.0710999999999999</v>
      </c>
      <c r="F384">
        <v>397390.02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0.34333333333333221</v>
      </c>
      <c r="Q384">
        <f t="shared" si="970"/>
        <v>136437.24019999956</v>
      </c>
      <c r="R384">
        <f t="shared" si="971"/>
        <v>-6102830.9301376874</v>
      </c>
      <c r="S384">
        <f t="shared" si="972"/>
        <v>-61.028309301376872</v>
      </c>
      <c r="T384">
        <f t="shared" si="973"/>
        <v>-6.1028309301376871E-2</v>
      </c>
    </row>
    <row r="385" spans="1:20" x14ac:dyDescent="0.25">
      <c r="A385" s="5">
        <v>44208</v>
      </c>
      <c r="B385">
        <v>1.946</v>
      </c>
      <c r="C385">
        <v>2.1334</v>
      </c>
      <c r="D385">
        <v>1.8607</v>
      </c>
      <c r="E385">
        <v>1.9570000000000001</v>
      </c>
      <c r="F385">
        <v>310354.67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-0.29372937293729318</v>
      </c>
      <c r="Q385">
        <f t="shared" si="970"/>
        <v>-91160.282607260553</v>
      </c>
      <c r="R385">
        <f t="shared" si="971"/>
        <v>-6239268.1703376872</v>
      </c>
      <c r="S385">
        <f t="shared" si="972"/>
        <v>-62.392681703376873</v>
      </c>
      <c r="T385">
        <f t="shared" si="973"/>
        <v>-6.2392681703376876E-2</v>
      </c>
    </row>
    <row r="386" spans="1:20" x14ac:dyDescent="0.25">
      <c r="A386" s="5">
        <v>44207</v>
      </c>
      <c r="B386">
        <v>2.1534</v>
      </c>
      <c r="C386">
        <v>2.1798000000000002</v>
      </c>
      <c r="D386">
        <v>1.7549999999999999</v>
      </c>
      <c r="E386">
        <v>1.9481999999999999</v>
      </c>
      <c r="F386">
        <v>470423.55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-9.0395480225989144E-2</v>
      </c>
      <c r="Q386">
        <f t="shared" si="970"/>
        <v>-42524.162711864614</v>
      </c>
      <c r="R386">
        <f t="shared" si="971"/>
        <v>-6148107.8877304271</v>
      </c>
      <c r="S386">
        <f t="shared" si="972"/>
        <v>-61.48107887730427</v>
      </c>
      <c r="T386">
        <f t="shared" si="973"/>
        <v>-6.1481078877304272E-2</v>
      </c>
    </row>
    <row r="387" spans="1:20" x14ac:dyDescent="0.25">
      <c r="A387" s="5">
        <v>44206</v>
      </c>
      <c r="B387">
        <v>2.2898999999999998</v>
      </c>
      <c r="C387">
        <v>2.2999999999999998</v>
      </c>
      <c r="D387">
        <v>2.0911</v>
      </c>
      <c r="E387">
        <v>2.14</v>
      </c>
      <c r="F387">
        <v>300757.93</v>
      </c>
      <c r="G387">
        <v>0</v>
      </c>
      <c r="L387" t="s">
        <v>7</v>
      </c>
      <c r="M387" t="s">
        <v>7</v>
      </c>
      <c r="N387" t="s">
        <v>8</v>
      </c>
      <c r="P387">
        <f t="shared" si="969"/>
        <v>-0.53183341311632171</v>
      </c>
      <c r="Q387">
        <f t="shared" si="970"/>
        <v>-159953.11643369976</v>
      </c>
      <c r="R387">
        <f t="shared" si="971"/>
        <v>-6105583.7250185627</v>
      </c>
      <c r="S387">
        <f t="shared" si="972"/>
        <v>-61.055837250185625</v>
      </c>
      <c r="T387">
        <f t="shared" si="973"/>
        <v>-6.1055837250185624E-2</v>
      </c>
    </row>
    <row r="388" spans="1:20" x14ac:dyDescent="0.25">
      <c r="A388" s="5">
        <v>44205</v>
      </c>
      <c r="B388">
        <v>2.3001</v>
      </c>
      <c r="C388">
        <v>2.3714</v>
      </c>
      <c r="D388">
        <v>2.1536</v>
      </c>
      <c r="E388">
        <v>2.2936999999999999</v>
      </c>
      <c r="F388">
        <v>406013.31</v>
      </c>
      <c r="G388">
        <v>0</v>
      </c>
      <c r="L388" t="s">
        <v>8</v>
      </c>
      <c r="M388" t="s">
        <v>7</v>
      </c>
      <c r="N388" t="s">
        <v>8</v>
      </c>
      <c r="P388">
        <f t="shared" si="969"/>
        <v>0.28650137741046738</v>
      </c>
      <c r="Q388">
        <f t="shared" si="970"/>
        <v>116323.37256198309</v>
      </c>
      <c r="R388">
        <f t="shared" si="971"/>
        <v>-5945630.6085848631</v>
      </c>
      <c r="S388">
        <f t="shared" si="972"/>
        <v>-59.456306085848631</v>
      </c>
      <c r="T388">
        <f t="shared" si="973"/>
        <v>-5.9456306085848634E-2</v>
      </c>
    </row>
    <row r="389" spans="1:20" x14ac:dyDescent="0.25">
      <c r="A389" s="5">
        <v>44204</v>
      </c>
      <c r="B389">
        <v>2.2101999999999999</v>
      </c>
      <c r="C389">
        <v>2.4900000000000002</v>
      </c>
      <c r="D389">
        <v>2</v>
      </c>
      <c r="E389">
        <v>2.2961</v>
      </c>
      <c r="F389">
        <v>1366575.49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0.20857142857142816</v>
      </c>
      <c r="Q389">
        <f t="shared" si="970"/>
        <v>285028.60219999944</v>
      </c>
      <c r="R389">
        <f t="shared" si="971"/>
        <v>-6061953.981146846</v>
      </c>
      <c r="S389">
        <f t="shared" si="972"/>
        <v>-60.619539811468456</v>
      </c>
      <c r="T389">
        <f t="shared" si="973"/>
        <v>-6.0619539811468455E-2</v>
      </c>
    </row>
    <row r="390" spans="1:20" x14ac:dyDescent="0.25">
      <c r="A390" s="5">
        <v>44203</v>
      </c>
      <c r="B390">
        <v>2.3182999999999998</v>
      </c>
      <c r="C390">
        <v>2.5099999999999998</v>
      </c>
      <c r="D390">
        <v>2.1154999999999999</v>
      </c>
      <c r="E390">
        <v>2.2090999999999998</v>
      </c>
      <c r="F390">
        <v>1626050.6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-0.52547528517110298</v>
      </c>
      <c r="Q390">
        <f t="shared" ref="Q390:Q453" si="975">F390*P390</f>
        <v>-854449.4027376431</v>
      </c>
      <c r="R390">
        <f t="shared" ref="R390:R453" si="976">R391+Q390</f>
        <v>-6346982.5833468456</v>
      </c>
      <c r="S390">
        <f t="shared" ref="S390:S453" si="977">R390/100000</f>
        <v>-63.469825833468455</v>
      </c>
      <c r="T390">
        <f t="shared" ref="T390:T453" si="978">S390/1000</f>
        <v>-6.3469825833468455E-2</v>
      </c>
    </row>
    <row r="391" spans="1:20" x14ac:dyDescent="0.25">
      <c r="A391" s="5">
        <v>44202</v>
      </c>
      <c r="B391">
        <v>2.5764999999999998</v>
      </c>
      <c r="C391">
        <v>2.6909000000000001</v>
      </c>
      <c r="D391">
        <v>2.2031999999999998</v>
      </c>
      <c r="E391">
        <v>2.302</v>
      </c>
      <c r="F391">
        <v>2898056.48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-0.59483288907114962</v>
      </c>
      <c r="Q391">
        <f t="shared" si="975"/>
        <v>-1723859.3086897663</v>
      </c>
      <c r="R391">
        <f t="shared" si="976"/>
        <v>-5492533.180609202</v>
      </c>
      <c r="S391">
        <f t="shared" si="977"/>
        <v>-54.925331806092018</v>
      </c>
      <c r="T391">
        <f t="shared" si="978"/>
        <v>-5.492533180609202E-2</v>
      </c>
    </row>
    <row r="392" spans="1:20" x14ac:dyDescent="0.25">
      <c r="A392" s="5">
        <v>44201</v>
      </c>
      <c r="B392">
        <v>1.5880000000000001</v>
      </c>
      <c r="C392">
        <v>4.12</v>
      </c>
      <c r="D392">
        <v>1.5880000000000001</v>
      </c>
      <c r="E392">
        <v>2.5764999999999998</v>
      </c>
      <c r="F392">
        <v>17193301.34</v>
      </c>
      <c r="G392">
        <v>0</v>
      </c>
      <c r="P392">
        <f t="shared" si="974"/>
        <v>-0.21919431279620877</v>
      </c>
      <c r="Q392">
        <f t="shared" si="975"/>
        <v>-3768673.8719194354</v>
      </c>
      <c r="R392">
        <f t="shared" si="976"/>
        <v>-3768673.8719194354</v>
      </c>
      <c r="S392">
        <f t="shared" si="977"/>
        <v>-37.686738719194352</v>
      </c>
      <c r="T392">
        <f t="shared" si="978"/>
        <v>-3.7686738719194354E-2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X531" sqref="GX53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$A$530</v>
      </c>
      <c r="D111" s="1" t="str">
        <f>ADDRESS(C121-1,D121,1,1)</f>
        <v>$GX$530</v>
      </c>
      <c r="E111"/>
    </row>
    <row r="112" spans="1:5" x14ac:dyDescent="0.25">
      <c r="A112" s="7">
        <v>12164.144957890772</v>
      </c>
      <c r="C112" s="1" t="str">
        <f>ADDRESS(C121,1,1,1)</f>
        <v>$A$531</v>
      </c>
      <c r="D112" s="1" t="str">
        <f>ADDRESS(C121,D121-1,1,1)</f>
        <v>$GW$531</v>
      </c>
      <c r="E112"/>
    </row>
    <row r="113" spans="1:5" x14ac:dyDescent="0.25">
      <c r="A113" s="7">
        <v>11925.63231165762</v>
      </c>
      <c r="C113" s="1" t="str">
        <f>ADDRESS(C121+1,1,1,1)</f>
        <v>$A$532</v>
      </c>
      <c r="D113" s="1" t="str">
        <f>ADDRESS(C121-1,D121+1,1,1)</f>
        <v>$GY$530</v>
      </c>
    </row>
    <row r="114" spans="1:5" x14ac:dyDescent="0.25">
      <c r="A114" s="7">
        <v>11691.796383978059</v>
      </c>
      <c r="C114" s="1" t="str">
        <f>ADDRESS(C121,D121,1,1)</f>
        <v>$GX$531</v>
      </c>
      <c r="D114" s="1" t="str">
        <f>ADDRESS(C121+1,D121+1,1,1)</f>
        <v>$GY$532</v>
      </c>
    </row>
    <row r="115" spans="1:5" x14ac:dyDescent="0.25">
      <c r="A115" s="7">
        <v>11462.545474488292</v>
      </c>
      <c r="C115" s="1" t="str">
        <f>ADDRESS(C121+1,D121,1,1)</f>
        <v>$GX$532</v>
      </c>
    </row>
    <row r="116" spans="1:5" x14ac:dyDescent="0.25">
      <c r="A116" s="7">
        <v>11237.789680870874</v>
      </c>
      <c r="C116" s="1">
        <f>C117-1</f>
        <v>530</v>
      </c>
    </row>
    <row r="117" spans="1:5" x14ac:dyDescent="0.25">
      <c r="A117" s="7">
        <v>11017.440863598895</v>
      </c>
      <c r="C117" s="1">
        <f>C121</f>
        <v>531</v>
      </c>
      <c r="D117" s="1">
        <f>D121</f>
        <v>206</v>
      </c>
    </row>
    <row r="118" spans="1:5" x14ac:dyDescent="0.25">
      <c r="A118" s="7">
        <v>10801.412611371465</v>
      </c>
      <c r="C118" s="1">
        <f>C117+1</f>
        <v>532</v>
      </c>
      <c r="D118" s="1">
        <f>D117+1</f>
        <v>207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531</v>
      </c>
      <c r="D121" s="19">
        <v>206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R531</v>
      </c>
      <c r="D123" s="1" t="str">
        <f>"C"&amp;D121</f>
        <v>C206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3.0311652864835552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174" x14ac:dyDescent="0.25">
      <c r="A481" s="7">
        <v>8.1586481992426112</v>
      </c>
      <c r="B481"/>
      <c r="C481"/>
      <c r="D481"/>
      <c r="E481"/>
      <c r="ES481" s="27" t="s">
        <v>8</v>
      </c>
    </row>
    <row r="482" spans="1:174" x14ac:dyDescent="0.25">
      <c r="A482" s="7">
        <v>7.9986747051398144</v>
      </c>
      <c r="B482"/>
      <c r="C482"/>
      <c r="D482"/>
      <c r="E482"/>
      <c r="ES482" s="27" t="s">
        <v>8</v>
      </c>
      <c r="ET482" s="27" t="s">
        <v>7</v>
      </c>
    </row>
    <row r="483" spans="1:174" x14ac:dyDescent="0.25">
      <c r="A483" s="7">
        <v>7.8418379462155041</v>
      </c>
      <c r="B483"/>
      <c r="C483"/>
      <c r="D483"/>
      <c r="E483"/>
      <c r="ES483" s="27" t="s">
        <v>8</v>
      </c>
      <c r="ET483" s="27" t="s">
        <v>7</v>
      </c>
      <c r="FG483" s="27" t="s">
        <v>8</v>
      </c>
    </row>
    <row r="484" spans="1:174" x14ac:dyDescent="0.25">
      <c r="A484" s="7">
        <v>7.688076417858337</v>
      </c>
      <c r="B484"/>
      <c r="C484"/>
      <c r="D484"/>
      <c r="E484"/>
      <c r="ES484" s="27" t="s">
        <v>8</v>
      </c>
      <c r="ET484" s="27" t="s">
        <v>7</v>
      </c>
      <c r="FG484" s="27" t="s">
        <v>8</v>
      </c>
      <c r="FH484" s="27" t="s">
        <v>7</v>
      </c>
    </row>
    <row r="485" spans="1:174" x14ac:dyDescent="0.25">
      <c r="A485" s="7">
        <v>7.5373298214297417</v>
      </c>
      <c r="B485"/>
      <c r="C485"/>
      <c r="D485"/>
      <c r="E485"/>
      <c r="EC485" s="27" t="s">
        <v>8</v>
      </c>
      <c r="EQ485" s="27" t="s">
        <v>8</v>
      </c>
      <c r="ES485" s="27" t="s">
        <v>8</v>
      </c>
      <c r="ET485" s="27" t="s">
        <v>7</v>
      </c>
      <c r="FG485" s="27" t="s">
        <v>8</v>
      </c>
      <c r="FH485" s="27" t="s">
        <v>7</v>
      </c>
    </row>
    <row r="486" spans="1:174" x14ac:dyDescent="0.25">
      <c r="A486" s="7">
        <v>7.389539040617394</v>
      </c>
      <c r="B486"/>
      <c r="C486"/>
      <c r="D486"/>
      <c r="E486"/>
      <c r="EC486" s="27" t="s">
        <v>8</v>
      </c>
      <c r="ED486" s="27" t="s">
        <v>7</v>
      </c>
      <c r="EQ486" s="27" t="s">
        <v>8</v>
      </c>
      <c r="ER486" s="27" t="s">
        <v>7</v>
      </c>
      <c r="ES486" s="27" t="s">
        <v>8</v>
      </c>
      <c r="ET486" s="27" t="s">
        <v>7</v>
      </c>
      <c r="FG486" s="27" t="s">
        <v>8</v>
      </c>
      <c r="FH486" s="27" t="s">
        <v>7</v>
      </c>
    </row>
    <row r="487" spans="1:174" x14ac:dyDescent="0.25">
      <c r="A487" s="7">
        <v>7.2446461182523469</v>
      </c>
      <c r="B487"/>
      <c r="C487"/>
      <c r="D487"/>
      <c r="E487"/>
      <c r="BM487" s="27" t="s">
        <v>8</v>
      </c>
      <c r="EC487" s="27" t="s">
        <v>8</v>
      </c>
      <c r="ED487" s="27" t="s">
        <v>7</v>
      </c>
      <c r="EQ487" s="27" t="s">
        <v>8</v>
      </c>
      <c r="ER487" s="27" t="s">
        <v>7</v>
      </c>
      <c r="ES487" s="27" t="s">
        <v>8</v>
      </c>
      <c r="ET487" s="27" t="s">
        <v>7</v>
      </c>
      <c r="FG487" s="27" t="s">
        <v>8</v>
      </c>
      <c r="FH487" s="27" t="s">
        <v>7</v>
      </c>
    </row>
    <row r="488" spans="1:174" x14ac:dyDescent="0.25">
      <c r="A488" s="7">
        <v>7.1025942335807324</v>
      </c>
      <c r="B488"/>
      <c r="C488"/>
      <c r="D488"/>
      <c r="E488"/>
      <c r="BM488" s="27" t="s">
        <v>8</v>
      </c>
      <c r="BN488" s="27" t="s">
        <v>7</v>
      </c>
      <c r="EC488" s="27" t="s">
        <v>8</v>
      </c>
      <c r="ED488" s="27" t="s">
        <v>7</v>
      </c>
      <c r="EQ488" s="27" t="s">
        <v>8</v>
      </c>
      <c r="ER488" s="27" t="s">
        <v>7</v>
      </c>
      <c r="ES488" s="27" t="s">
        <v>8</v>
      </c>
      <c r="ET488" s="27" t="s">
        <v>7</v>
      </c>
      <c r="FG488" s="27" t="s">
        <v>8</v>
      </c>
      <c r="FH488" s="27" t="s">
        <v>7</v>
      </c>
    </row>
    <row r="489" spans="1:174" x14ac:dyDescent="0.25">
      <c r="A489" s="7">
        <v>6.9633276799811101</v>
      </c>
      <c r="B489"/>
      <c r="C489"/>
      <c r="D489"/>
      <c r="E489"/>
      <c r="BM489" s="27" t="s">
        <v>8</v>
      </c>
      <c r="BN489" s="27" t="s">
        <v>7</v>
      </c>
      <c r="EC489" s="27" t="s">
        <v>8</v>
      </c>
      <c r="ED489" s="27" t="s">
        <v>7</v>
      </c>
      <c r="EQ489" s="27" t="s">
        <v>8</v>
      </c>
      <c r="ER489" s="27" t="s">
        <v>7</v>
      </c>
      <c r="ES489" s="27" t="s">
        <v>8</v>
      </c>
      <c r="ET489" s="27" t="s">
        <v>7</v>
      </c>
      <c r="EU489" s="27" t="s">
        <v>8</v>
      </c>
      <c r="FE489" s="27" t="s">
        <v>8</v>
      </c>
      <c r="FG489" s="27" t="s">
        <v>8</v>
      </c>
      <c r="FH489" s="27" t="s">
        <v>7</v>
      </c>
    </row>
    <row r="490" spans="1:174" x14ac:dyDescent="0.25">
      <c r="A490" s="7">
        <v>6.8267918431187349</v>
      </c>
      <c r="B490"/>
      <c r="C490"/>
      <c r="D490"/>
      <c r="E490"/>
      <c r="BM490" s="27" t="s">
        <v>8</v>
      </c>
      <c r="BN490" s="27" t="s">
        <v>7</v>
      </c>
      <c r="EC490" s="27" t="s">
        <v>8</v>
      </c>
      <c r="ED490" s="27" t="s">
        <v>7</v>
      </c>
      <c r="EQ490" s="27" t="s">
        <v>8</v>
      </c>
      <c r="ER490" s="27" t="s">
        <v>7</v>
      </c>
      <c r="ES490" s="27" t="s">
        <v>8</v>
      </c>
      <c r="ET490" s="27" t="s">
        <v>7</v>
      </c>
      <c r="EU490" s="27" t="s">
        <v>8</v>
      </c>
      <c r="EV490" s="27" t="s">
        <v>7</v>
      </c>
      <c r="FE490" s="27" t="s">
        <v>8</v>
      </c>
      <c r="FF490" s="27" t="s">
        <v>7</v>
      </c>
      <c r="FG490" s="27" t="s">
        <v>8</v>
      </c>
      <c r="FH490" s="27" t="s">
        <v>7</v>
      </c>
      <c r="FI490" s="27" t="s">
        <v>8</v>
      </c>
    </row>
    <row r="491" spans="1:174" x14ac:dyDescent="0.25">
      <c r="A491" s="7">
        <v>6.692933179528171</v>
      </c>
      <c r="B491"/>
      <c r="C491"/>
      <c r="D491"/>
      <c r="E491"/>
      <c r="BM491" s="27" t="s">
        <v>8</v>
      </c>
      <c r="BN491" s="27" t="s">
        <v>7</v>
      </c>
      <c r="BO491" s="27" t="s">
        <v>8</v>
      </c>
      <c r="CC491" s="27" t="s">
        <v>8</v>
      </c>
      <c r="EC491" s="27" t="s">
        <v>8</v>
      </c>
      <c r="ED491" s="27" t="s">
        <v>7</v>
      </c>
      <c r="EQ491" s="27" t="s">
        <v>8</v>
      </c>
      <c r="ER491" s="27" t="s">
        <v>7</v>
      </c>
      <c r="ES491" s="27" t="s">
        <v>8</v>
      </c>
      <c r="ET491" s="27" t="s">
        <v>7</v>
      </c>
      <c r="EU491" s="27" t="s">
        <v>8</v>
      </c>
      <c r="EV491" s="27" t="s">
        <v>7</v>
      </c>
      <c r="FE491" s="27" t="s">
        <v>8</v>
      </c>
      <c r="FF491" s="27" t="s">
        <v>7</v>
      </c>
      <c r="FG491" s="27" t="s">
        <v>8</v>
      </c>
      <c r="FH491" s="27" t="s">
        <v>7</v>
      </c>
      <c r="FI491" s="27" t="s">
        <v>8</v>
      </c>
      <c r="FJ491" s="27" t="s">
        <v>7</v>
      </c>
      <c r="FK491" s="27" t="s">
        <v>8</v>
      </c>
      <c r="FM491" s="27" t="s">
        <v>8</v>
      </c>
    </row>
    <row r="492" spans="1:174" x14ac:dyDescent="0.25">
      <c r="A492" s="7">
        <v>6.5616991956158541</v>
      </c>
      <c r="B492"/>
      <c r="C492"/>
      <c r="D492"/>
      <c r="E492"/>
      <c r="AI492" s="27" t="s">
        <v>8</v>
      </c>
      <c r="BM492" s="27" t="s">
        <v>8</v>
      </c>
      <c r="BN492" s="27" t="s">
        <v>7</v>
      </c>
      <c r="BO492" s="27" t="s">
        <v>8</v>
      </c>
      <c r="BP492" s="27" t="s">
        <v>7</v>
      </c>
      <c r="CC492" s="27" t="s">
        <v>8</v>
      </c>
      <c r="CD492" s="27" t="s">
        <v>7</v>
      </c>
      <c r="EC492" s="27" t="s">
        <v>8</v>
      </c>
      <c r="ED492" s="27" t="s">
        <v>7</v>
      </c>
      <c r="EQ492" s="27" t="s">
        <v>8</v>
      </c>
      <c r="ER492" s="27" t="s">
        <v>7</v>
      </c>
      <c r="ES492" s="27" t="s">
        <v>8</v>
      </c>
      <c r="ET492" s="27" t="s">
        <v>7</v>
      </c>
      <c r="EU492" s="27" t="s">
        <v>8</v>
      </c>
      <c r="EV492" s="27" t="s">
        <v>7</v>
      </c>
      <c r="EW492" s="27" t="s">
        <v>8</v>
      </c>
      <c r="FC492" s="27" t="s">
        <v>8</v>
      </c>
      <c r="FE492" s="27" t="s">
        <v>8</v>
      </c>
      <c r="FF492" s="27" t="s">
        <v>7</v>
      </c>
      <c r="FG492" s="27" t="s">
        <v>8</v>
      </c>
      <c r="FH492" s="27" t="s">
        <v>7</v>
      </c>
      <c r="FI492" s="27" t="s">
        <v>8</v>
      </c>
      <c r="FJ492" s="27" t="s">
        <v>7</v>
      </c>
      <c r="FK492" s="27" t="s">
        <v>8</v>
      </c>
      <c r="FL492" s="27" t="s">
        <v>7</v>
      </c>
      <c r="FM492" s="27" t="s">
        <v>8</v>
      </c>
      <c r="FN492" s="27" t="s">
        <v>7</v>
      </c>
    </row>
    <row r="493" spans="1:174" x14ac:dyDescent="0.25">
      <c r="A493" s="7">
        <v>6.4330384270743668</v>
      </c>
      <c r="B493"/>
      <c r="C493"/>
      <c r="D493"/>
      <c r="E493"/>
      <c r="AI493" s="27" t="s">
        <v>8</v>
      </c>
      <c r="AJ493" s="27" t="s">
        <v>7</v>
      </c>
      <c r="BM493" s="27" t="s">
        <v>8</v>
      </c>
      <c r="BN493" s="27" t="s">
        <v>7</v>
      </c>
      <c r="BO493" s="27" t="s">
        <v>8</v>
      </c>
      <c r="BP493" s="27" t="s">
        <v>7</v>
      </c>
      <c r="CC493" s="27" t="s">
        <v>8</v>
      </c>
      <c r="CD493" s="27" t="s">
        <v>7</v>
      </c>
      <c r="EC493" s="27" t="s">
        <v>8</v>
      </c>
      <c r="ED493" s="27" t="s">
        <v>7</v>
      </c>
      <c r="EQ493" s="27" t="s">
        <v>8</v>
      </c>
      <c r="ER493" s="27" t="s">
        <v>7</v>
      </c>
      <c r="ES493" s="27" t="s">
        <v>8</v>
      </c>
      <c r="ET493" s="27" t="s">
        <v>7</v>
      </c>
      <c r="EU493" s="27" t="s">
        <v>8</v>
      </c>
      <c r="EV493" s="27" t="s">
        <v>7</v>
      </c>
      <c r="EW493" s="27" t="s">
        <v>8</v>
      </c>
      <c r="EX493" s="27" t="s">
        <v>7</v>
      </c>
      <c r="FC493" s="27" t="s">
        <v>8</v>
      </c>
      <c r="FD493" s="27" t="s">
        <v>7</v>
      </c>
      <c r="FE493" s="27" t="s">
        <v>8</v>
      </c>
      <c r="FF493" s="27" t="s">
        <v>7</v>
      </c>
      <c r="FH493" s="27" t="s">
        <v>7</v>
      </c>
      <c r="FI493" s="27" t="s">
        <v>8</v>
      </c>
      <c r="FJ493" s="27" t="s">
        <v>7</v>
      </c>
      <c r="FK493" s="27" t="s">
        <v>8</v>
      </c>
      <c r="FL493" s="27" t="s">
        <v>7</v>
      </c>
      <c r="FM493" s="27" t="s">
        <v>8</v>
      </c>
      <c r="FN493" s="27" t="s">
        <v>7</v>
      </c>
    </row>
    <row r="494" spans="1:174" x14ac:dyDescent="0.25">
      <c r="A494" s="7">
        <v>6.3069004187003594</v>
      </c>
      <c r="B494"/>
      <c r="C494"/>
      <c r="D494"/>
      <c r="E494"/>
      <c r="AI494" s="27" t="s">
        <v>8</v>
      </c>
      <c r="AJ494" s="27" t="s">
        <v>7</v>
      </c>
      <c r="BM494" s="27" t="s">
        <v>8</v>
      </c>
      <c r="BN494" s="27" t="s">
        <v>7</v>
      </c>
      <c r="BO494" s="27" t="s">
        <v>8</v>
      </c>
      <c r="BP494" s="27" t="s">
        <v>7</v>
      </c>
      <c r="CC494" s="27" t="s">
        <v>8</v>
      </c>
      <c r="CD494" s="27" t="s">
        <v>7</v>
      </c>
      <c r="EC494" s="27" t="s">
        <v>8</v>
      </c>
      <c r="ED494" s="27" t="s">
        <v>7</v>
      </c>
      <c r="EI494" s="27" t="s">
        <v>8</v>
      </c>
      <c r="EQ494" s="27" t="s">
        <v>8</v>
      </c>
      <c r="ER494" s="27" t="s">
        <v>7</v>
      </c>
      <c r="ES494" s="27" t="s">
        <v>8</v>
      </c>
      <c r="ET494" s="27" t="s">
        <v>7</v>
      </c>
      <c r="EU494" s="27" t="s">
        <v>8</v>
      </c>
      <c r="EV494" s="27" t="s">
        <v>7</v>
      </c>
      <c r="EW494" s="27" t="s">
        <v>8</v>
      </c>
      <c r="EX494" s="27" t="s">
        <v>7</v>
      </c>
      <c r="EY494" s="27" t="s">
        <v>8</v>
      </c>
      <c r="FC494" s="27" t="s">
        <v>8</v>
      </c>
      <c r="FD494" s="27" t="s">
        <v>7</v>
      </c>
      <c r="FE494" s="27" t="s">
        <v>8</v>
      </c>
      <c r="FH494" s="27" t="s">
        <v>7</v>
      </c>
      <c r="FI494" s="27" t="s">
        <v>8</v>
      </c>
      <c r="FJ494" s="27" t="s">
        <v>7</v>
      </c>
      <c r="FK494" s="27" t="s">
        <v>8</v>
      </c>
      <c r="FL494" s="27" t="s">
        <v>7</v>
      </c>
      <c r="FM494" s="27" t="s">
        <v>8</v>
      </c>
      <c r="FN494" s="27" t="s">
        <v>7</v>
      </c>
    </row>
    <row r="495" spans="1:174" x14ac:dyDescent="0.25">
      <c r="A495" s="7">
        <v>6.1832357046081956</v>
      </c>
      <c r="B495"/>
      <c r="C495"/>
      <c r="D495"/>
      <c r="E495"/>
      <c r="AI495" s="27" t="s">
        <v>8</v>
      </c>
      <c r="AJ495" s="27" t="s">
        <v>7</v>
      </c>
      <c r="BM495" s="27" t="s">
        <v>8</v>
      </c>
      <c r="BN495" s="27" t="s">
        <v>7</v>
      </c>
      <c r="BO495" s="27" t="s">
        <v>8</v>
      </c>
      <c r="BP495" s="27" t="s">
        <v>7</v>
      </c>
      <c r="CC495" s="27" t="s">
        <v>8</v>
      </c>
      <c r="CD495" s="27" t="s">
        <v>7</v>
      </c>
      <c r="EC495" s="27" t="s">
        <v>8</v>
      </c>
      <c r="ED495" s="27" t="s">
        <v>7</v>
      </c>
      <c r="EI495" s="27" t="s">
        <v>8</v>
      </c>
      <c r="EJ495" s="27" t="s">
        <v>7</v>
      </c>
      <c r="EQ495" s="27" t="s">
        <v>8</v>
      </c>
      <c r="ER495" s="27" t="s">
        <v>7</v>
      </c>
      <c r="ES495" s="27" t="s">
        <v>8</v>
      </c>
      <c r="ET495" s="27" t="s">
        <v>7</v>
      </c>
      <c r="EU495" s="27" t="s">
        <v>8</v>
      </c>
      <c r="EV495" s="27" t="s">
        <v>7</v>
      </c>
      <c r="EW495" s="27" t="s">
        <v>8</v>
      </c>
      <c r="EX495" s="27" t="s">
        <v>7</v>
      </c>
      <c r="EY495" s="27" t="s">
        <v>8</v>
      </c>
      <c r="EZ495" s="27" t="s">
        <v>7</v>
      </c>
      <c r="FA495" s="27" t="s">
        <v>8</v>
      </c>
      <c r="FC495" s="27" t="s">
        <v>8</v>
      </c>
      <c r="FD495" s="27" t="s">
        <v>7</v>
      </c>
      <c r="FE495" s="27" t="s">
        <v>8</v>
      </c>
      <c r="FH495" s="27" t="s">
        <v>7</v>
      </c>
      <c r="FI495" s="27" t="s">
        <v>8</v>
      </c>
      <c r="FJ495" s="27" t="s">
        <v>7</v>
      </c>
      <c r="FK495" s="27" t="s">
        <v>8</v>
      </c>
      <c r="FL495" s="27" t="s">
        <v>7</v>
      </c>
      <c r="FM495" s="27" t="s">
        <v>8</v>
      </c>
      <c r="FN495" s="27" t="s">
        <v>7</v>
      </c>
      <c r="FO495" s="27" t="s">
        <v>8</v>
      </c>
      <c r="FQ495" s="27" t="s">
        <v>8</v>
      </c>
    </row>
    <row r="496" spans="1:174" x14ac:dyDescent="0.25">
      <c r="A496" s="7">
        <v>6.0619957888315641</v>
      </c>
      <c r="B496"/>
      <c r="C496"/>
      <c r="D496"/>
      <c r="E496"/>
      <c r="AI496" s="27" t="s">
        <v>8</v>
      </c>
      <c r="AJ496" s="27" t="s">
        <v>7</v>
      </c>
      <c r="BM496" s="27" t="s">
        <v>8</v>
      </c>
      <c r="BN496" s="27" t="s">
        <v>7</v>
      </c>
      <c r="BO496" s="27" t="s">
        <v>8</v>
      </c>
      <c r="BP496" s="27" t="s">
        <v>7</v>
      </c>
      <c r="BQ496" s="27" t="s">
        <v>8</v>
      </c>
      <c r="CC496" s="27" t="s">
        <v>8</v>
      </c>
      <c r="CD496" s="27" t="s">
        <v>7</v>
      </c>
      <c r="EC496" s="27" t="s">
        <v>8</v>
      </c>
      <c r="ED496" s="27" t="s">
        <v>7</v>
      </c>
      <c r="EI496" s="27" t="s">
        <v>8</v>
      </c>
      <c r="EJ496" s="27" t="s">
        <v>7</v>
      </c>
      <c r="EQ496" s="27" t="s">
        <v>8</v>
      </c>
      <c r="ER496" s="27" t="s">
        <v>7</v>
      </c>
      <c r="ES496" s="27" t="s">
        <v>8</v>
      </c>
      <c r="ET496" s="27" t="s">
        <v>7</v>
      </c>
      <c r="EU496" s="27" t="s">
        <v>8</v>
      </c>
      <c r="EV496" s="27" t="s">
        <v>7</v>
      </c>
      <c r="EW496" s="27" t="s">
        <v>8</v>
      </c>
      <c r="EX496" s="27" t="s">
        <v>7</v>
      </c>
      <c r="EY496" s="27" t="s">
        <v>8</v>
      </c>
      <c r="EZ496" s="27" t="s">
        <v>7</v>
      </c>
      <c r="FA496" s="27" t="s">
        <v>8</v>
      </c>
      <c r="FB496" s="27" t="s">
        <v>7</v>
      </c>
      <c r="FC496" s="27" t="s">
        <v>8</v>
      </c>
      <c r="FD496" s="27" t="s">
        <v>7</v>
      </c>
      <c r="FE496" s="27" t="s">
        <v>8</v>
      </c>
      <c r="FH496" s="27" t="s">
        <v>7</v>
      </c>
      <c r="FJ496" s="27" t="s">
        <v>7</v>
      </c>
      <c r="FL496" s="27" t="s">
        <v>7</v>
      </c>
      <c r="FN496" s="27" t="s">
        <v>7</v>
      </c>
      <c r="FO496" s="27" t="s">
        <v>8</v>
      </c>
      <c r="FP496" s="27" t="s">
        <v>7</v>
      </c>
      <c r="FQ496" s="27" t="s">
        <v>8</v>
      </c>
      <c r="FR496" s="27" t="s">
        <v>7</v>
      </c>
    </row>
    <row r="497" spans="1:202" x14ac:dyDescent="0.25">
      <c r="A497" s="7">
        <v>5.9431331263054545</v>
      </c>
      <c r="B497"/>
      <c r="C497"/>
      <c r="D497"/>
      <c r="E497"/>
      <c r="AE497" s="27" t="s">
        <v>8</v>
      </c>
      <c r="AI497" s="27" t="s">
        <v>8</v>
      </c>
      <c r="AJ497" s="27" t="s">
        <v>7</v>
      </c>
      <c r="BM497" s="27" t="s">
        <v>8</v>
      </c>
      <c r="BN497" s="27" t="s">
        <v>7</v>
      </c>
      <c r="BO497" s="27" t="s">
        <v>8</v>
      </c>
      <c r="BP497" s="27" t="s">
        <v>7</v>
      </c>
      <c r="BQ497" s="27" t="s">
        <v>8</v>
      </c>
      <c r="BR497" s="27" t="s">
        <v>7</v>
      </c>
      <c r="BS497" s="27" t="s">
        <v>8</v>
      </c>
      <c r="CC497" s="27" t="s">
        <v>8</v>
      </c>
      <c r="CD497" s="27" t="s">
        <v>7</v>
      </c>
      <c r="EC497" s="27" t="s">
        <v>8</v>
      </c>
      <c r="ED497" s="27" t="s">
        <v>7</v>
      </c>
      <c r="EE497" s="27" t="s">
        <v>8</v>
      </c>
      <c r="EI497" s="27" t="s">
        <v>8</v>
      </c>
      <c r="EJ497" s="27" t="s">
        <v>7</v>
      </c>
      <c r="EQ497" s="27" t="s">
        <v>8</v>
      </c>
      <c r="ER497" s="27" t="s">
        <v>7</v>
      </c>
      <c r="ES497" s="27" t="s">
        <v>8</v>
      </c>
      <c r="ET497" s="27" t="s">
        <v>7</v>
      </c>
      <c r="EU497" s="27" t="s">
        <v>8</v>
      </c>
      <c r="EV497" s="27" t="s">
        <v>7</v>
      </c>
      <c r="EW497" s="27" t="s">
        <v>8</v>
      </c>
      <c r="EX497" s="27" t="s">
        <v>7</v>
      </c>
      <c r="EY497" s="27" t="s">
        <v>8</v>
      </c>
      <c r="EZ497" s="27" t="s">
        <v>7</v>
      </c>
      <c r="FA497" s="27" t="s">
        <v>8</v>
      </c>
      <c r="FB497" s="27" t="s">
        <v>7</v>
      </c>
      <c r="FC497" s="27" t="s">
        <v>8</v>
      </c>
      <c r="FD497" s="27" t="s">
        <v>7</v>
      </c>
      <c r="FN497" s="27" t="s">
        <v>7</v>
      </c>
      <c r="FO497" s="27" t="s">
        <v>8</v>
      </c>
      <c r="FP497" s="27" t="s">
        <v>7</v>
      </c>
      <c r="FQ497" s="27" t="s">
        <v>8</v>
      </c>
      <c r="FR497" s="27" t="s">
        <v>7</v>
      </c>
      <c r="GM497" s="27" t="s">
        <v>8</v>
      </c>
    </row>
    <row r="498" spans="1:202" x14ac:dyDescent="0.25">
      <c r="A498" s="7">
        <v>5.8266011042210337</v>
      </c>
      <c r="B498"/>
      <c r="C498"/>
      <c r="D498"/>
      <c r="E498"/>
      <c r="AE498" s="27" t="s">
        <v>8</v>
      </c>
      <c r="AF498" s="27" t="s">
        <v>7</v>
      </c>
      <c r="AI498" s="27" t="s">
        <v>8</v>
      </c>
      <c r="AJ498" s="27" t="s">
        <v>7</v>
      </c>
      <c r="BM498" s="27" t="s">
        <v>8</v>
      </c>
      <c r="BN498" s="27" t="s">
        <v>7</v>
      </c>
      <c r="BO498" s="27" t="s">
        <v>8</v>
      </c>
      <c r="BP498" s="27" t="s">
        <v>7</v>
      </c>
      <c r="BQ498" s="27" t="s">
        <v>8</v>
      </c>
      <c r="BR498" s="27" t="s">
        <v>7</v>
      </c>
      <c r="BS498" s="27" t="s">
        <v>8</v>
      </c>
      <c r="BT498" s="27" t="s">
        <v>7</v>
      </c>
      <c r="CC498" s="27" t="s">
        <v>8</v>
      </c>
      <c r="CD498" s="27" t="s">
        <v>7</v>
      </c>
      <c r="EC498" s="27" t="s">
        <v>8</v>
      </c>
      <c r="ED498" s="27" t="s">
        <v>7</v>
      </c>
      <c r="EE498" s="27" t="s">
        <v>8</v>
      </c>
      <c r="EF498" s="27" t="s">
        <v>7</v>
      </c>
      <c r="EI498" s="27" t="s">
        <v>8</v>
      </c>
      <c r="EJ498" s="27" t="s">
        <v>7</v>
      </c>
      <c r="EQ498" s="27" t="s">
        <v>8</v>
      </c>
      <c r="ER498" s="27" t="s">
        <v>7</v>
      </c>
      <c r="ES498" s="27" t="s">
        <v>8</v>
      </c>
      <c r="ET498" s="27" t="s">
        <v>7</v>
      </c>
      <c r="EV498" s="27" t="s">
        <v>7</v>
      </c>
      <c r="EW498" s="27" t="s">
        <v>8</v>
      </c>
      <c r="EX498" s="27" t="s">
        <v>7</v>
      </c>
      <c r="EY498" s="27" t="s">
        <v>8</v>
      </c>
      <c r="EZ498" s="27" t="s">
        <v>7</v>
      </c>
      <c r="FA498" s="27" t="s">
        <v>8</v>
      </c>
      <c r="FB498" s="27" t="s">
        <v>7</v>
      </c>
      <c r="FC498" s="27" t="s">
        <v>8</v>
      </c>
      <c r="FN498" s="27" t="s">
        <v>7</v>
      </c>
      <c r="FO498" s="27" t="s">
        <v>8</v>
      </c>
      <c r="FP498" s="27" t="s">
        <v>7</v>
      </c>
      <c r="FQ498" s="27" t="s">
        <v>8</v>
      </c>
      <c r="FR498" s="27" t="s">
        <v>7</v>
      </c>
      <c r="GM498" s="27" t="s">
        <v>8</v>
      </c>
      <c r="GN498" s="27" t="s">
        <v>7</v>
      </c>
    </row>
    <row r="499" spans="1:202" x14ac:dyDescent="0.25">
      <c r="A499" s="7">
        <v>5.7123540237461112</v>
      </c>
      <c r="B499"/>
      <c r="C499"/>
      <c r="D499"/>
      <c r="E499"/>
      <c r="AE499" s="27" t="s">
        <v>8</v>
      </c>
      <c r="AF499" s="27" t="s">
        <v>7</v>
      </c>
      <c r="AI499" s="27" t="s">
        <v>8</v>
      </c>
      <c r="AJ499" s="27" t="s">
        <v>7</v>
      </c>
      <c r="BM499" s="27" t="s">
        <v>8</v>
      </c>
      <c r="BN499" s="27" t="s">
        <v>7</v>
      </c>
      <c r="BO499" s="27" t="s">
        <v>8</v>
      </c>
      <c r="BP499" s="27" t="s">
        <v>7</v>
      </c>
      <c r="BQ499" s="27" t="s">
        <v>8</v>
      </c>
      <c r="BR499" s="27" t="s">
        <v>7</v>
      </c>
      <c r="BS499" s="27" t="s">
        <v>8</v>
      </c>
      <c r="BT499" s="27" t="s">
        <v>7</v>
      </c>
      <c r="BU499" s="27" t="s">
        <v>8</v>
      </c>
      <c r="BW499" s="27" t="s">
        <v>8</v>
      </c>
      <c r="CC499" s="27" t="s">
        <v>8</v>
      </c>
      <c r="CD499" s="27" t="s">
        <v>7</v>
      </c>
      <c r="EC499" s="27" t="s">
        <v>8</v>
      </c>
      <c r="ED499" s="27" t="s">
        <v>7</v>
      </c>
      <c r="EE499" s="27" t="s">
        <v>8</v>
      </c>
      <c r="EF499" s="27" t="s">
        <v>7</v>
      </c>
      <c r="EI499" s="27" t="s">
        <v>8</v>
      </c>
      <c r="EJ499" s="27" t="s">
        <v>7</v>
      </c>
      <c r="EQ499" s="27" t="s">
        <v>8</v>
      </c>
      <c r="ER499" s="27" t="s">
        <v>7</v>
      </c>
      <c r="EV499" s="27" t="s">
        <v>7</v>
      </c>
      <c r="EW499" s="27" t="s">
        <v>8</v>
      </c>
      <c r="EX499" s="27" t="s">
        <v>7</v>
      </c>
      <c r="EY499" s="27" t="s">
        <v>8</v>
      </c>
      <c r="EZ499" s="27" t="s">
        <v>7</v>
      </c>
      <c r="FA499" s="27" t="s">
        <v>8</v>
      </c>
      <c r="FB499" s="27" t="s">
        <v>7</v>
      </c>
      <c r="FC499" s="27" t="s">
        <v>8</v>
      </c>
      <c r="FN499" s="27" t="s">
        <v>7</v>
      </c>
      <c r="FO499" s="27" t="s">
        <v>8</v>
      </c>
      <c r="FP499" s="27" t="s">
        <v>7</v>
      </c>
      <c r="FQ499" s="27" t="s">
        <v>8</v>
      </c>
      <c r="FR499" s="27" t="s">
        <v>7</v>
      </c>
      <c r="GM499" s="27" t="s">
        <v>8</v>
      </c>
      <c r="GN499" s="27" t="s">
        <v>7</v>
      </c>
    </row>
    <row r="500" spans="1:202" x14ac:dyDescent="0.25">
      <c r="A500" s="7">
        <v>5.6003470821040304</v>
      </c>
      <c r="B500"/>
      <c r="C500"/>
      <c r="D500"/>
      <c r="E500"/>
      <c r="AE500" s="27" t="s">
        <v>8</v>
      </c>
      <c r="AF500" s="27" t="s">
        <v>7</v>
      </c>
      <c r="AI500" s="27" t="s">
        <v>8</v>
      </c>
      <c r="AJ500" s="27" t="s">
        <v>7</v>
      </c>
      <c r="BM500" s="27" t="s">
        <v>8</v>
      </c>
      <c r="BN500" s="27" t="s">
        <v>7</v>
      </c>
      <c r="BO500" s="27" t="s">
        <v>8</v>
      </c>
      <c r="BP500" s="27" t="s">
        <v>7</v>
      </c>
      <c r="BQ500" s="27" t="s">
        <v>8</v>
      </c>
      <c r="BR500" s="27" t="s">
        <v>7</v>
      </c>
      <c r="BS500" s="27" t="s">
        <v>8</v>
      </c>
      <c r="BT500" s="27" t="s">
        <v>7</v>
      </c>
      <c r="BU500" s="27" t="s">
        <v>8</v>
      </c>
      <c r="BV500" s="27" t="s">
        <v>7</v>
      </c>
      <c r="BW500" s="27" t="s">
        <v>8</v>
      </c>
      <c r="BX500" s="27" t="s">
        <v>7</v>
      </c>
      <c r="CC500" s="27" t="s">
        <v>8</v>
      </c>
      <c r="CD500" s="27" t="s">
        <v>7</v>
      </c>
      <c r="EC500" s="27" t="s">
        <v>8</v>
      </c>
      <c r="ED500" s="27" t="s">
        <v>7</v>
      </c>
      <c r="EE500" s="27" t="s">
        <v>8</v>
      </c>
      <c r="EF500" s="27" t="s">
        <v>7</v>
      </c>
      <c r="EI500" s="27" t="s">
        <v>8</v>
      </c>
      <c r="EJ500" s="27" t="s">
        <v>7</v>
      </c>
      <c r="EM500" s="27" t="s">
        <v>8</v>
      </c>
      <c r="EQ500" s="27" t="s">
        <v>8</v>
      </c>
      <c r="EV500" s="27" t="s">
        <v>7</v>
      </c>
      <c r="EX500" s="27" t="s">
        <v>7</v>
      </c>
      <c r="EZ500" s="27" t="s">
        <v>7</v>
      </c>
      <c r="FA500" s="27" t="s">
        <v>8</v>
      </c>
      <c r="FB500" s="27" t="s">
        <v>7</v>
      </c>
      <c r="FN500" s="27" t="s">
        <v>7</v>
      </c>
      <c r="FO500" s="27" t="s">
        <v>8</v>
      </c>
      <c r="FP500" s="27" t="s">
        <v>7</v>
      </c>
      <c r="FQ500" s="27" t="s">
        <v>8</v>
      </c>
      <c r="FR500" s="27" t="s">
        <v>7</v>
      </c>
      <c r="GM500" s="27" t="s">
        <v>8</v>
      </c>
      <c r="GN500" s="27" t="s">
        <v>7</v>
      </c>
    </row>
    <row r="501" spans="1:202" x14ac:dyDescent="0.25">
      <c r="A501" s="7">
        <v>5.4905363550039512</v>
      </c>
      <c r="B501"/>
      <c r="C501"/>
      <c r="D501"/>
      <c r="E501"/>
      <c r="AE501" s="27" t="s">
        <v>8</v>
      </c>
      <c r="AF501" s="27" t="s">
        <v>7</v>
      </c>
      <c r="AI501" s="27" t="s">
        <v>8</v>
      </c>
      <c r="AJ501" s="27" t="s">
        <v>7</v>
      </c>
      <c r="BM501" s="27" t="s">
        <v>8</v>
      </c>
      <c r="BN501" s="27" t="s">
        <v>7</v>
      </c>
      <c r="BO501" s="27" t="s">
        <v>8</v>
      </c>
      <c r="BP501" s="27" t="s">
        <v>7</v>
      </c>
      <c r="BQ501" s="27" t="s">
        <v>8</v>
      </c>
      <c r="BR501" s="27" t="s">
        <v>7</v>
      </c>
      <c r="BS501" s="27" t="s">
        <v>8</v>
      </c>
      <c r="BT501" s="27" t="s">
        <v>7</v>
      </c>
      <c r="BU501" s="27" t="s">
        <v>8</v>
      </c>
      <c r="BV501" s="27" t="s">
        <v>7</v>
      </c>
      <c r="BW501" s="27" t="s">
        <v>8</v>
      </c>
      <c r="BX501" s="27" t="s">
        <v>7</v>
      </c>
      <c r="BY501" s="27" t="s">
        <v>8</v>
      </c>
      <c r="CC501" s="27" t="s">
        <v>8</v>
      </c>
      <c r="CD501" s="27" t="s">
        <v>7</v>
      </c>
      <c r="EC501" s="27" t="s">
        <v>8</v>
      </c>
      <c r="ED501" s="27" t="s">
        <v>7</v>
      </c>
      <c r="EE501" s="27" t="s">
        <v>8</v>
      </c>
      <c r="EF501" s="27" t="s">
        <v>7</v>
      </c>
      <c r="EG501" s="27" t="s">
        <v>8</v>
      </c>
      <c r="EI501" s="27" t="s">
        <v>8</v>
      </c>
      <c r="EJ501" s="27" t="s">
        <v>7</v>
      </c>
      <c r="EM501" s="27" t="s">
        <v>8</v>
      </c>
      <c r="EN501" s="27" t="s">
        <v>7</v>
      </c>
      <c r="EO501" s="27" t="s">
        <v>8</v>
      </c>
      <c r="EQ501" s="27" t="s">
        <v>8</v>
      </c>
      <c r="EZ501" s="27" t="s">
        <v>7</v>
      </c>
      <c r="FA501" s="27" t="s">
        <v>8</v>
      </c>
      <c r="FN501" s="27" t="s">
        <v>7</v>
      </c>
      <c r="FP501" s="27" t="s">
        <v>7</v>
      </c>
      <c r="FQ501" s="27" t="s">
        <v>8</v>
      </c>
      <c r="FR501" s="27" t="s">
        <v>7</v>
      </c>
      <c r="GM501" s="27" t="s">
        <v>8</v>
      </c>
      <c r="GN501" s="27" t="s">
        <v>7</v>
      </c>
    </row>
    <row r="502" spans="1:202" x14ac:dyDescent="0.25">
      <c r="A502" s="7">
        <v>5.3828787794156385</v>
      </c>
      <c r="B502"/>
      <c r="C502"/>
      <c r="D502"/>
      <c r="E502"/>
      <c r="AE502" s="27" t="s">
        <v>8</v>
      </c>
      <c r="AF502" s="27" t="s">
        <v>7</v>
      </c>
      <c r="AG502" s="27" t="s">
        <v>8</v>
      </c>
      <c r="AI502" s="27" t="s">
        <v>8</v>
      </c>
      <c r="AJ502" s="27" t="s">
        <v>7</v>
      </c>
      <c r="BM502" s="27" t="s">
        <v>8</v>
      </c>
      <c r="BN502" s="27" t="s">
        <v>7</v>
      </c>
      <c r="BO502" s="27" t="s">
        <v>8</v>
      </c>
      <c r="BP502" s="27" t="s">
        <v>7</v>
      </c>
      <c r="BQ502" s="27" t="s">
        <v>8</v>
      </c>
      <c r="BR502" s="27" t="s">
        <v>7</v>
      </c>
      <c r="BS502" s="27" t="s">
        <v>8</v>
      </c>
      <c r="BT502" s="27" t="s">
        <v>7</v>
      </c>
      <c r="BU502" s="27" t="s">
        <v>8</v>
      </c>
      <c r="BV502" s="27" t="s">
        <v>7</v>
      </c>
      <c r="BX502" s="27" t="s">
        <v>7</v>
      </c>
      <c r="BY502" s="27" t="s">
        <v>8</v>
      </c>
      <c r="BZ502" s="27" t="s">
        <v>7</v>
      </c>
      <c r="CC502" s="27" t="s">
        <v>8</v>
      </c>
      <c r="CD502" s="27" t="s">
        <v>7</v>
      </c>
      <c r="EC502" s="27" t="s">
        <v>8</v>
      </c>
      <c r="ED502" s="27" t="s">
        <v>7</v>
      </c>
      <c r="EF502" s="27" t="s">
        <v>7</v>
      </c>
      <c r="EG502" s="27" t="s">
        <v>8</v>
      </c>
      <c r="EH502" s="27" t="s">
        <v>7</v>
      </c>
      <c r="EI502" s="27" t="s">
        <v>8</v>
      </c>
      <c r="EJ502" s="27" t="s">
        <v>7</v>
      </c>
      <c r="EM502" s="27" t="s">
        <v>8</v>
      </c>
      <c r="EN502" s="27" t="s">
        <v>7</v>
      </c>
      <c r="EO502" s="27" t="s">
        <v>8</v>
      </c>
      <c r="EP502" s="27" t="s">
        <v>7</v>
      </c>
      <c r="EQ502" s="27" t="s">
        <v>8</v>
      </c>
      <c r="EZ502" s="27" t="s">
        <v>7</v>
      </c>
      <c r="FA502" s="27" t="s">
        <v>8</v>
      </c>
      <c r="FP502" s="27" t="s">
        <v>7</v>
      </c>
      <c r="FQ502" s="27" t="s">
        <v>8</v>
      </c>
      <c r="FR502" s="27" t="s">
        <v>7</v>
      </c>
      <c r="GK502" s="27" t="s">
        <v>8</v>
      </c>
      <c r="GM502" s="27" t="s">
        <v>8</v>
      </c>
      <c r="GN502" s="27" t="s">
        <v>7</v>
      </c>
    </row>
    <row r="503" spans="1:202" x14ac:dyDescent="0.25">
      <c r="A503" s="7">
        <v>5.2773321366819985</v>
      </c>
      <c r="B503"/>
      <c r="C503"/>
      <c r="D503"/>
      <c r="E503"/>
      <c r="AE503" s="27" t="s">
        <v>8</v>
      </c>
      <c r="AF503" s="27" t="s">
        <v>7</v>
      </c>
      <c r="AG503" s="27" t="s">
        <v>8</v>
      </c>
      <c r="AH503" s="27" t="s">
        <v>7</v>
      </c>
      <c r="AI503" s="27" t="s">
        <v>8</v>
      </c>
      <c r="AJ503" s="27" t="s">
        <v>7</v>
      </c>
      <c r="AK503" s="27" t="s">
        <v>8</v>
      </c>
      <c r="BM503" s="27" t="s">
        <v>8</v>
      </c>
      <c r="BN503" s="27" t="s">
        <v>7</v>
      </c>
      <c r="BO503" s="27" t="s">
        <v>8</v>
      </c>
      <c r="BP503" s="27" t="s">
        <v>7</v>
      </c>
      <c r="BQ503" s="27" t="s">
        <v>8</v>
      </c>
      <c r="BR503" s="27" t="s">
        <v>7</v>
      </c>
      <c r="BS503" s="27" t="s">
        <v>8</v>
      </c>
      <c r="BT503" s="27" t="s">
        <v>7</v>
      </c>
      <c r="BU503" s="27" t="s">
        <v>8</v>
      </c>
      <c r="BX503" s="27" t="s">
        <v>7</v>
      </c>
      <c r="BY503" s="27" t="s">
        <v>8</v>
      </c>
      <c r="BZ503" s="27" t="s">
        <v>7</v>
      </c>
      <c r="CC503" s="27" t="s">
        <v>8</v>
      </c>
      <c r="CD503" s="27" t="s">
        <v>7</v>
      </c>
      <c r="EC503" s="27" t="s">
        <v>8</v>
      </c>
      <c r="EF503" s="27" t="s">
        <v>7</v>
      </c>
      <c r="EG503" s="27" t="s">
        <v>8</v>
      </c>
      <c r="EH503" s="27" t="s">
        <v>7</v>
      </c>
      <c r="EI503" s="27" t="s">
        <v>8</v>
      </c>
      <c r="EJ503" s="27" t="s">
        <v>7</v>
      </c>
      <c r="EK503" s="27" t="s">
        <v>8</v>
      </c>
      <c r="EM503" s="27" t="s">
        <v>8</v>
      </c>
      <c r="EN503" s="27" t="s">
        <v>7</v>
      </c>
      <c r="EO503" s="27" t="s">
        <v>8</v>
      </c>
      <c r="EP503" s="27" t="s">
        <v>7</v>
      </c>
      <c r="EQ503" s="27" t="s">
        <v>8</v>
      </c>
      <c r="EZ503" s="27" t="s">
        <v>7</v>
      </c>
      <c r="FA503" s="27" t="s">
        <v>8</v>
      </c>
      <c r="FP503" s="27" t="s">
        <v>7</v>
      </c>
      <c r="FQ503" s="27" t="s">
        <v>8</v>
      </c>
      <c r="FR503" s="27" t="s">
        <v>7</v>
      </c>
      <c r="GG503" s="27" t="s">
        <v>8</v>
      </c>
      <c r="GK503" s="27" t="s">
        <v>8</v>
      </c>
      <c r="GL503" s="27" t="s">
        <v>7</v>
      </c>
      <c r="GM503" s="27" t="s">
        <v>8</v>
      </c>
      <c r="GN503" s="27" t="s">
        <v>7</v>
      </c>
      <c r="GQ503" s="27" t="s">
        <v>8</v>
      </c>
    </row>
    <row r="504" spans="1:202" x14ac:dyDescent="0.25">
      <c r="A504" s="7">
        <v>5.1738550359627435</v>
      </c>
      <c r="B504"/>
      <c r="C504"/>
      <c r="D504"/>
      <c r="E504"/>
      <c r="AE504" s="27" t="s">
        <v>8</v>
      </c>
      <c r="AF504" s="27" t="s">
        <v>7</v>
      </c>
      <c r="AG504" s="27" t="s">
        <v>8</v>
      </c>
      <c r="AH504" s="27" t="s">
        <v>7</v>
      </c>
      <c r="AI504" s="27" t="s">
        <v>8</v>
      </c>
      <c r="AJ504" s="27" t="s">
        <v>7</v>
      </c>
      <c r="AK504" s="27" t="s">
        <v>8</v>
      </c>
      <c r="AL504" s="27" t="s">
        <v>7</v>
      </c>
      <c r="BM504" s="27" t="s">
        <v>8</v>
      </c>
      <c r="BN504" s="27" t="s">
        <v>7</v>
      </c>
      <c r="BO504" s="27" t="s">
        <v>8</v>
      </c>
      <c r="BP504" s="27" t="s">
        <v>7</v>
      </c>
      <c r="BR504" s="27" t="s">
        <v>7</v>
      </c>
      <c r="BS504" s="27" t="s">
        <v>8</v>
      </c>
      <c r="BT504" s="27" t="s">
        <v>7</v>
      </c>
      <c r="BU504" s="27" t="s">
        <v>8</v>
      </c>
      <c r="BX504" s="27" t="s">
        <v>7</v>
      </c>
      <c r="BY504" s="27" t="s">
        <v>8</v>
      </c>
      <c r="BZ504" s="27" t="s">
        <v>7</v>
      </c>
      <c r="CA504" s="27" t="s">
        <v>8</v>
      </c>
      <c r="CC504" s="27" t="s">
        <v>8</v>
      </c>
      <c r="CD504" s="27" t="s">
        <v>7</v>
      </c>
      <c r="EC504" s="27" t="s">
        <v>8</v>
      </c>
      <c r="EF504" s="27" t="s">
        <v>7</v>
      </c>
      <c r="EG504" s="27" t="s">
        <v>8</v>
      </c>
      <c r="EH504" s="27" t="s">
        <v>7</v>
      </c>
      <c r="EI504" s="27" t="s">
        <v>8</v>
      </c>
      <c r="EJ504" s="27" t="s">
        <v>7</v>
      </c>
      <c r="EK504" s="27" t="s">
        <v>8</v>
      </c>
      <c r="EL504" s="27" t="s">
        <v>7</v>
      </c>
      <c r="EM504" s="27" t="s">
        <v>8</v>
      </c>
      <c r="EN504" s="27" t="s">
        <v>7</v>
      </c>
      <c r="EO504" s="27" t="s">
        <v>8</v>
      </c>
      <c r="EP504" s="27" t="s">
        <v>7</v>
      </c>
      <c r="EQ504" s="27" t="s">
        <v>8</v>
      </c>
      <c r="EZ504" s="27" t="s">
        <v>7</v>
      </c>
      <c r="FP504" s="27" t="s">
        <v>7</v>
      </c>
      <c r="FQ504" s="27" t="s">
        <v>8</v>
      </c>
      <c r="FR504" s="27" t="s">
        <v>7</v>
      </c>
      <c r="FU504" s="27" t="s">
        <v>8</v>
      </c>
      <c r="GE504" s="27" t="s">
        <v>8</v>
      </c>
      <c r="GG504" s="27" t="s">
        <v>8</v>
      </c>
      <c r="GH504" s="27" t="s">
        <v>7</v>
      </c>
      <c r="GI504" s="27" t="s">
        <v>8</v>
      </c>
      <c r="GK504" s="27" t="s">
        <v>8</v>
      </c>
      <c r="GL504" s="27" t="s">
        <v>7</v>
      </c>
      <c r="GM504" s="27" t="s">
        <v>8</v>
      </c>
      <c r="GN504" s="27" t="s">
        <v>7</v>
      </c>
      <c r="GQ504" s="27" t="s">
        <v>8</v>
      </c>
      <c r="GR504" s="27" t="s">
        <v>7</v>
      </c>
      <c r="GS504" s="27" t="s">
        <v>8</v>
      </c>
    </row>
    <row r="505" spans="1:202" x14ac:dyDescent="0.25">
      <c r="A505" s="7">
        <v>5.07240689800269</v>
      </c>
      <c r="B505"/>
      <c r="C505"/>
      <c r="D505"/>
      <c r="E505"/>
      <c r="AE505" s="27" t="s">
        <v>8</v>
      </c>
      <c r="AF505" s="27" t="s">
        <v>7</v>
      </c>
      <c r="AG505" s="27" t="s">
        <v>8</v>
      </c>
      <c r="AH505" s="27" t="s">
        <v>7</v>
      </c>
      <c r="AI505" s="27" t="s">
        <v>8</v>
      </c>
      <c r="AJ505" s="27" t="s">
        <v>7</v>
      </c>
      <c r="AK505" s="27" t="s">
        <v>8</v>
      </c>
      <c r="AL505" s="27" t="s">
        <v>7</v>
      </c>
      <c r="BM505" s="27" t="s">
        <v>8</v>
      </c>
      <c r="BN505" s="27" t="s">
        <v>7</v>
      </c>
      <c r="BO505" s="27" t="s">
        <v>8</v>
      </c>
      <c r="BR505" s="27" t="s">
        <v>7</v>
      </c>
      <c r="BT505" s="27" t="s">
        <v>7</v>
      </c>
      <c r="BU505" s="27" t="s">
        <v>8</v>
      </c>
      <c r="BX505" s="27" t="s">
        <v>7</v>
      </c>
      <c r="BY505" s="27" t="s">
        <v>8</v>
      </c>
      <c r="BZ505" s="27" t="s">
        <v>7</v>
      </c>
      <c r="CA505" s="27" t="s">
        <v>8</v>
      </c>
      <c r="CB505" s="27" t="s">
        <v>7</v>
      </c>
      <c r="CC505" s="27" t="s">
        <v>8</v>
      </c>
      <c r="CD505" s="27" t="s">
        <v>7</v>
      </c>
      <c r="EA505" s="27" t="s">
        <v>8</v>
      </c>
      <c r="EC505" s="27" t="s">
        <v>8</v>
      </c>
      <c r="EF505" s="27" t="s">
        <v>7</v>
      </c>
      <c r="EH505" s="27" t="s">
        <v>7</v>
      </c>
      <c r="EI505" s="27" t="s">
        <v>8</v>
      </c>
      <c r="EJ505" s="27" t="s">
        <v>7</v>
      </c>
      <c r="EK505" s="27" t="s">
        <v>8</v>
      </c>
      <c r="EL505" s="27" t="s">
        <v>7</v>
      </c>
      <c r="EM505" s="27" t="s">
        <v>8</v>
      </c>
      <c r="EN505" s="27" t="s">
        <v>7</v>
      </c>
      <c r="EO505" s="27" t="s">
        <v>8</v>
      </c>
      <c r="EP505" s="27" t="s">
        <v>7</v>
      </c>
      <c r="FP505" s="27" t="s">
        <v>7</v>
      </c>
      <c r="FQ505" s="27" t="s">
        <v>8</v>
      </c>
      <c r="FR505" s="27" t="s">
        <v>7</v>
      </c>
      <c r="FU505" s="27" t="s">
        <v>8</v>
      </c>
      <c r="FV505" s="27" t="s">
        <v>7</v>
      </c>
      <c r="GE505" s="27" t="s">
        <v>8</v>
      </c>
      <c r="GF505" s="27" t="s">
        <v>7</v>
      </c>
      <c r="GG505" s="27" t="s">
        <v>8</v>
      </c>
      <c r="GH505" s="27" t="s">
        <v>7</v>
      </c>
      <c r="GI505" s="27" t="s">
        <v>8</v>
      </c>
      <c r="GJ505" s="27" t="s">
        <v>7</v>
      </c>
      <c r="GK505" s="27" t="s">
        <v>8</v>
      </c>
      <c r="GL505" s="27" t="s">
        <v>7</v>
      </c>
      <c r="GM505" s="27" t="s">
        <v>8</v>
      </c>
      <c r="GN505" s="27" t="s">
        <v>7</v>
      </c>
      <c r="GQ505" s="27" t="s">
        <v>8</v>
      </c>
      <c r="GR505" s="27" t="s">
        <v>7</v>
      </c>
      <c r="GS505" s="27" t="s">
        <v>8</v>
      </c>
      <c r="GT505" s="27" t="s">
        <v>7</v>
      </c>
    </row>
    <row r="506" spans="1:202" x14ac:dyDescent="0.25">
      <c r="A506" s="7">
        <v>4.9729479392183231</v>
      </c>
      <c r="B506"/>
      <c r="C506"/>
      <c r="D506"/>
      <c r="E506"/>
      <c r="AE506" s="27" t="s">
        <v>8</v>
      </c>
      <c r="AF506" s="27" t="s">
        <v>7</v>
      </c>
      <c r="AG506" s="27" t="s">
        <v>8</v>
      </c>
      <c r="AH506" s="27" t="s">
        <v>7</v>
      </c>
      <c r="AI506" s="27" t="s">
        <v>8</v>
      </c>
      <c r="AJ506" s="27" t="s">
        <v>7</v>
      </c>
      <c r="AL506" s="27" t="s">
        <v>7</v>
      </c>
      <c r="AM506" s="27" t="s">
        <v>8</v>
      </c>
      <c r="BA506" s="27" t="s">
        <v>8</v>
      </c>
      <c r="BI506" s="27" t="s">
        <v>8</v>
      </c>
      <c r="BK506" s="27" t="s">
        <v>8</v>
      </c>
      <c r="BM506" s="27" t="s">
        <v>8</v>
      </c>
      <c r="BN506" s="27" t="s">
        <v>7</v>
      </c>
      <c r="BO506" s="27" t="s">
        <v>8</v>
      </c>
      <c r="BT506" s="27" t="s">
        <v>7</v>
      </c>
      <c r="BX506" s="27" t="s">
        <v>7</v>
      </c>
      <c r="BY506" s="27" t="s">
        <v>8</v>
      </c>
      <c r="BZ506" s="27" t="s">
        <v>7</v>
      </c>
      <c r="CA506" s="27" t="s">
        <v>8</v>
      </c>
      <c r="CB506" s="27" t="s">
        <v>7</v>
      </c>
      <c r="CC506" s="27" t="s">
        <v>8</v>
      </c>
      <c r="CD506" s="27" t="s">
        <v>7</v>
      </c>
      <c r="EA506" s="27" t="s">
        <v>8</v>
      </c>
      <c r="EB506" s="27" t="s">
        <v>7</v>
      </c>
      <c r="EC506" s="27" t="s">
        <v>8</v>
      </c>
      <c r="EH506" s="27" t="s">
        <v>7</v>
      </c>
      <c r="EI506" s="27" t="s">
        <v>8</v>
      </c>
      <c r="EJ506" s="27" t="s">
        <v>7</v>
      </c>
      <c r="EK506" s="27" t="s">
        <v>8</v>
      </c>
      <c r="EL506" s="27" t="s">
        <v>7</v>
      </c>
      <c r="EM506" s="27" t="s">
        <v>8</v>
      </c>
      <c r="EN506" s="27" t="s">
        <v>7</v>
      </c>
      <c r="EO506" s="27" t="s">
        <v>8</v>
      </c>
      <c r="FP506" s="27" t="s">
        <v>7</v>
      </c>
      <c r="FQ506" s="27" t="s">
        <v>8</v>
      </c>
      <c r="FR506" s="27" t="s">
        <v>7</v>
      </c>
      <c r="FS506" s="27" t="s">
        <v>8</v>
      </c>
      <c r="FU506" s="27" t="s">
        <v>8</v>
      </c>
      <c r="FV506" s="27" t="s">
        <v>7</v>
      </c>
      <c r="GE506" s="27" t="s">
        <v>8</v>
      </c>
      <c r="GF506" s="27" t="s">
        <v>7</v>
      </c>
      <c r="GG506" s="27" t="s">
        <v>8</v>
      </c>
      <c r="GH506" s="27" t="s">
        <v>7</v>
      </c>
      <c r="GI506" s="27" t="s">
        <v>8</v>
      </c>
      <c r="GJ506" s="27" t="s">
        <v>7</v>
      </c>
      <c r="GK506" s="27" t="s">
        <v>8</v>
      </c>
      <c r="GL506" s="27" t="s">
        <v>7</v>
      </c>
      <c r="GM506" s="27" t="s">
        <v>8</v>
      </c>
      <c r="GN506" s="27" t="s">
        <v>7</v>
      </c>
      <c r="GQ506" s="27" t="s">
        <v>8</v>
      </c>
      <c r="GR506" s="27" t="s">
        <v>7</v>
      </c>
      <c r="GS506" s="27" t="s">
        <v>8</v>
      </c>
      <c r="GT506" s="27" t="s">
        <v>7</v>
      </c>
    </row>
    <row r="507" spans="1:202" x14ac:dyDescent="0.25">
      <c r="A507" s="7">
        <v>4.8754391560963954</v>
      </c>
      <c r="B507"/>
      <c r="C507"/>
      <c r="D507"/>
      <c r="E507"/>
      <c r="AE507" s="27" t="s">
        <v>8</v>
      </c>
      <c r="AF507" s="27" t="s">
        <v>7</v>
      </c>
      <c r="AG507" s="27" t="s">
        <v>8</v>
      </c>
      <c r="AH507" s="27" t="s">
        <v>7</v>
      </c>
      <c r="AI507" s="27" t="s">
        <v>8</v>
      </c>
      <c r="AL507" s="27" t="s">
        <v>7</v>
      </c>
      <c r="AM507" s="27" t="s">
        <v>8</v>
      </c>
      <c r="AN507" s="27" t="s">
        <v>7</v>
      </c>
      <c r="BA507" s="27" t="s">
        <v>8</v>
      </c>
      <c r="BB507" s="27" t="s">
        <v>7</v>
      </c>
      <c r="BI507" s="27" t="s">
        <v>8</v>
      </c>
      <c r="BJ507" s="27" t="s">
        <v>7</v>
      </c>
      <c r="BK507" s="27" t="s">
        <v>8</v>
      </c>
      <c r="BL507" s="27" t="s">
        <v>7</v>
      </c>
      <c r="BM507" s="27" t="s">
        <v>8</v>
      </c>
      <c r="BN507" s="27" t="s">
        <v>7</v>
      </c>
      <c r="BO507" s="27" t="s">
        <v>8</v>
      </c>
      <c r="BX507" s="27" t="s">
        <v>7</v>
      </c>
      <c r="BY507" s="27" t="s">
        <v>8</v>
      </c>
      <c r="BZ507" s="27" t="s">
        <v>7</v>
      </c>
      <c r="CA507" s="27" t="s">
        <v>8</v>
      </c>
      <c r="CB507" s="27" t="s">
        <v>7</v>
      </c>
      <c r="CC507" s="27" t="s">
        <v>8</v>
      </c>
      <c r="CD507" s="27" t="s">
        <v>7</v>
      </c>
      <c r="EA507" s="27" t="s">
        <v>8</v>
      </c>
      <c r="EB507" s="27" t="s">
        <v>7</v>
      </c>
      <c r="EC507" s="27" t="s">
        <v>8</v>
      </c>
      <c r="EH507" s="27" t="s">
        <v>7</v>
      </c>
      <c r="EI507" s="27" t="s">
        <v>8</v>
      </c>
      <c r="EJ507" s="27" t="s">
        <v>7</v>
      </c>
      <c r="EL507" s="27" t="s">
        <v>7</v>
      </c>
      <c r="EM507" s="27" t="s">
        <v>8</v>
      </c>
      <c r="EN507" s="27" t="s">
        <v>7</v>
      </c>
      <c r="FP507" s="27" t="s">
        <v>7</v>
      </c>
      <c r="FR507" s="27" t="s">
        <v>7</v>
      </c>
      <c r="FS507" s="27" t="s">
        <v>8</v>
      </c>
      <c r="FT507" s="27" t="s">
        <v>7</v>
      </c>
      <c r="FU507" s="27" t="s">
        <v>8</v>
      </c>
      <c r="FV507" s="27" t="s">
        <v>7</v>
      </c>
      <c r="GE507" s="27" t="s">
        <v>8</v>
      </c>
      <c r="GF507" s="27" t="s">
        <v>7</v>
      </c>
      <c r="GG507" s="27" t="s">
        <v>8</v>
      </c>
      <c r="GH507" s="27" t="s">
        <v>7</v>
      </c>
      <c r="GI507" s="27" t="s">
        <v>8</v>
      </c>
      <c r="GJ507" s="27" t="s">
        <v>7</v>
      </c>
      <c r="GL507" s="27" t="s">
        <v>7</v>
      </c>
      <c r="GN507" s="27" t="s">
        <v>7</v>
      </c>
      <c r="GO507" s="27" t="s">
        <v>8</v>
      </c>
      <c r="GQ507" s="27" t="s">
        <v>8</v>
      </c>
      <c r="GR507" s="27" t="s">
        <v>7</v>
      </c>
      <c r="GT507" s="27" t="s">
        <v>7</v>
      </c>
    </row>
    <row r="508" spans="1:202" x14ac:dyDescent="0.25">
      <c r="A508" s="7">
        <v>4.7798423098984264</v>
      </c>
      <c r="B508"/>
      <c r="C508"/>
      <c r="D508"/>
      <c r="E508"/>
      <c r="AE508" s="27" t="s">
        <v>8</v>
      </c>
      <c r="AF508" s="27" t="s">
        <v>7</v>
      </c>
      <c r="AG508" s="27" t="s">
        <v>8</v>
      </c>
      <c r="AH508" s="27" t="s">
        <v>7</v>
      </c>
      <c r="AI508" s="27" t="s">
        <v>8</v>
      </c>
      <c r="AL508" s="27" t="s">
        <v>7</v>
      </c>
      <c r="AM508" s="27" t="s">
        <v>8</v>
      </c>
      <c r="AN508" s="27" t="s">
        <v>7</v>
      </c>
      <c r="AS508" s="27" t="s">
        <v>8</v>
      </c>
      <c r="BA508" s="27" t="s">
        <v>8</v>
      </c>
      <c r="BB508" s="27" t="s">
        <v>7</v>
      </c>
      <c r="BG508" s="27" t="s">
        <v>8</v>
      </c>
      <c r="BI508" s="27" t="s">
        <v>8</v>
      </c>
      <c r="BJ508" s="27" t="s">
        <v>7</v>
      </c>
      <c r="BK508" s="27" t="s">
        <v>8</v>
      </c>
      <c r="BL508" s="27" t="s">
        <v>7</v>
      </c>
      <c r="BM508" s="27" t="s">
        <v>8</v>
      </c>
      <c r="BN508" s="27" t="s">
        <v>7</v>
      </c>
      <c r="BO508" s="27" t="s">
        <v>8</v>
      </c>
      <c r="BX508" s="27" t="s">
        <v>7</v>
      </c>
      <c r="BZ508" s="27" t="s">
        <v>7</v>
      </c>
      <c r="CA508" s="27" t="s">
        <v>8</v>
      </c>
      <c r="CB508" s="27" t="s">
        <v>7</v>
      </c>
      <c r="CC508" s="27" t="s">
        <v>8</v>
      </c>
      <c r="CD508" s="27" t="s">
        <v>7</v>
      </c>
      <c r="EA508" s="27" t="s">
        <v>8</v>
      </c>
      <c r="EB508" s="27" t="s">
        <v>7</v>
      </c>
      <c r="EC508" s="27" t="s">
        <v>8</v>
      </c>
      <c r="EH508" s="27" t="s">
        <v>7</v>
      </c>
      <c r="EI508" s="27" t="s">
        <v>8</v>
      </c>
      <c r="EL508" s="27" t="s">
        <v>7</v>
      </c>
      <c r="EM508" s="27" t="s">
        <v>8</v>
      </c>
      <c r="FR508" s="27" t="s">
        <v>7</v>
      </c>
      <c r="FS508" s="27" t="s">
        <v>8</v>
      </c>
      <c r="FT508" s="27" t="s">
        <v>7</v>
      </c>
      <c r="FU508" s="27" t="s">
        <v>8</v>
      </c>
      <c r="FV508" s="27" t="s">
        <v>7</v>
      </c>
      <c r="GE508" s="27" t="s">
        <v>8</v>
      </c>
      <c r="GF508" s="27" t="s">
        <v>7</v>
      </c>
      <c r="GH508" s="27" t="s">
        <v>7</v>
      </c>
      <c r="GI508" s="27" t="s">
        <v>8</v>
      </c>
      <c r="GN508" s="27" t="s">
        <v>7</v>
      </c>
      <c r="GO508" s="27" t="s">
        <v>8</v>
      </c>
      <c r="GP508" s="27" t="s">
        <v>7</v>
      </c>
      <c r="GQ508" s="27" t="s">
        <v>8</v>
      </c>
      <c r="GT508" s="27" t="s">
        <v>7</v>
      </c>
    </row>
    <row r="509" spans="1:202" x14ac:dyDescent="0.25">
      <c r="A509" s="7">
        <v>4.6861199116651235</v>
      </c>
      <c r="B509"/>
      <c r="C509"/>
      <c r="D509"/>
      <c r="E509"/>
      <c r="AE509" s="27" t="s">
        <v>8</v>
      </c>
      <c r="AF509" s="27" t="s">
        <v>7</v>
      </c>
      <c r="AG509" s="27" t="s">
        <v>8</v>
      </c>
      <c r="AH509" s="27" t="s">
        <v>7</v>
      </c>
      <c r="AI509" s="27" t="s">
        <v>8</v>
      </c>
      <c r="AL509" s="27" t="s">
        <v>7</v>
      </c>
      <c r="AM509" s="27" t="s">
        <v>8</v>
      </c>
      <c r="AN509" s="27" t="s">
        <v>7</v>
      </c>
      <c r="AS509" s="27" t="s">
        <v>8</v>
      </c>
      <c r="AT509" s="27" t="s">
        <v>7</v>
      </c>
      <c r="BA509" s="27" t="s">
        <v>8</v>
      </c>
      <c r="BB509" s="27" t="s">
        <v>7</v>
      </c>
      <c r="BC509" s="27" t="s">
        <v>8</v>
      </c>
      <c r="BE509" s="27" t="s">
        <v>8</v>
      </c>
      <c r="BG509" s="27" t="s">
        <v>8</v>
      </c>
      <c r="BH509" s="27" t="s">
        <v>7</v>
      </c>
      <c r="BI509" s="27" t="s">
        <v>8</v>
      </c>
      <c r="BJ509" s="27" t="s">
        <v>7</v>
      </c>
      <c r="BK509" s="27" t="s">
        <v>8</v>
      </c>
      <c r="BL509" s="27" t="s">
        <v>7</v>
      </c>
      <c r="BM509" s="27" t="s">
        <v>8</v>
      </c>
      <c r="BN509" s="27" t="s">
        <v>7</v>
      </c>
      <c r="BO509" s="27" t="s">
        <v>8</v>
      </c>
      <c r="BZ509" s="27" t="s">
        <v>7</v>
      </c>
      <c r="CA509" s="27" t="s">
        <v>8</v>
      </c>
      <c r="CB509" s="27" t="s">
        <v>7</v>
      </c>
      <c r="CC509" s="27" t="s">
        <v>8</v>
      </c>
      <c r="CD509" s="27" t="s">
        <v>7</v>
      </c>
      <c r="EA509" s="27" t="s">
        <v>8</v>
      </c>
      <c r="EB509" s="27" t="s">
        <v>7</v>
      </c>
      <c r="EC509" s="27" t="s">
        <v>8</v>
      </c>
      <c r="EH509" s="27" t="s">
        <v>7</v>
      </c>
      <c r="EI509" s="27" t="s">
        <v>8</v>
      </c>
      <c r="EL509" s="27" t="s">
        <v>7</v>
      </c>
      <c r="EM509" s="27" t="s">
        <v>8</v>
      </c>
      <c r="FR509" s="27" t="s">
        <v>7</v>
      </c>
      <c r="FT509" s="27" t="s">
        <v>7</v>
      </c>
      <c r="FU509" s="27" t="s">
        <v>8</v>
      </c>
      <c r="FV509" s="27" t="s">
        <v>7</v>
      </c>
      <c r="FY509" s="27" t="s">
        <v>8</v>
      </c>
      <c r="GE509" s="27" t="s">
        <v>8</v>
      </c>
      <c r="GH509" s="27" t="s">
        <v>7</v>
      </c>
      <c r="GI509" s="27" t="s">
        <v>8</v>
      </c>
      <c r="GN509" s="27" t="s">
        <v>7</v>
      </c>
      <c r="GO509" s="27" t="s">
        <v>8</v>
      </c>
      <c r="GP509" s="27" t="s">
        <v>7</v>
      </c>
      <c r="GQ509" s="27" t="s">
        <v>8</v>
      </c>
      <c r="GT509" s="27" t="s">
        <v>7</v>
      </c>
    </row>
    <row r="510" spans="1:202" x14ac:dyDescent="0.25">
      <c r="A510" s="7">
        <v>4.5942352075148269</v>
      </c>
      <c r="B510"/>
      <c r="C510"/>
      <c r="D510"/>
      <c r="E510"/>
      <c r="AE510" s="27" t="s">
        <v>8</v>
      </c>
      <c r="AF510" s="27" t="s">
        <v>7</v>
      </c>
      <c r="AG510" s="27" t="s">
        <v>8</v>
      </c>
      <c r="AH510" s="27" t="s">
        <v>7</v>
      </c>
      <c r="AI510" s="27" t="s">
        <v>8</v>
      </c>
      <c r="AL510" s="27" t="s">
        <v>7</v>
      </c>
      <c r="AM510" s="27" t="s">
        <v>8</v>
      </c>
      <c r="AN510" s="27" t="s">
        <v>7</v>
      </c>
      <c r="AS510" s="27" t="s">
        <v>8</v>
      </c>
      <c r="AT510" s="27" t="s">
        <v>7</v>
      </c>
      <c r="AW510" s="27" t="s">
        <v>8</v>
      </c>
      <c r="BA510" s="27" t="s">
        <v>8</v>
      </c>
      <c r="BB510" s="27" t="s">
        <v>7</v>
      </c>
      <c r="BC510" s="27" t="s">
        <v>8</v>
      </c>
      <c r="BD510" s="27" t="s">
        <v>7</v>
      </c>
      <c r="BE510" s="27" t="s">
        <v>8</v>
      </c>
      <c r="BF510" s="27" t="s">
        <v>7</v>
      </c>
      <c r="BG510" s="27" t="s">
        <v>8</v>
      </c>
      <c r="BH510" s="27" t="s">
        <v>7</v>
      </c>
      <c r="BI510" s="27" t="s">
        <v>8</v>
      </c>
      <c r="BJ510" s="27" t="s">
        <v>7</v>
      </c>
      <c r="BK510" s="27" t="s">
        <v>8</v>
      </c>
      <c r="BL510" s="27" t="s">
        <v>7</v>
      </c>
      <c r="BM510" s="27" t="s">
        <v>8</v>
      </c>
      <c r="BN510" s="27" t="s">
        <v>7</v>
      </c>
      <c r="BO510" s="27" t="s">
        <v>8</v>
      </c>
      <c r="BZ510" s="27" t="s">
        <v>7</v>
      </c>
      <c r="CA510" s="27" t="s">
        <v>8</v>
      </c>
      <c r="CB510" s="27" t="s">
        <v>7</v>
      </c>
      <c r="CC510" s="27" t="s">
        <v>8</v>
      </c>
      <c r="CD510" s="27" t="s">
        <v>7</v>
      </c>
      <c r="CW510" s="27" t="s">
        <v>8</v>
      </c>
      <c r="EA510" s="27" t="s">
        <v>8</v>
      </c>
      <c r="EB510" s="27" t="s">
        <v>7</v>
      </c>
      <c r="EC510" s="27" t="s">
        <v>8</v>
      </c>
      <c r="EH510" s="27" t="s">
        <v>7</v>
      </c>
      <c r="EI510" s="27" t="s">
        <v>8</v>
      </c>
      <c r="EL510" s="27" t="s">
        <v>7</v>
      </c>
      <c r="EM510" s="27" t="s">
        <v>8</v>
      </c>
      <c r="FT510" s="27" t="s">
        <v>7</v>
      </c>
      <c r="FU510" s="27" t="s">
        <v>8</v>
      </c>
      <c r="FV510" s="27" t="s">
        <v>7</v>
      </c>
      <c r="FY510" s="27" t="s">
        <v>8</v>
      </c>
      <c r="FZ510" s="27" t="s">
        <v>7</v>
      </c>
      <c r="GE510" s="27" t="s">
        <v>8</v>
      </c>
      <c r="GH510" s="27" t="s">
        <v>7</v>
      </c>
      <c r="GI510" s="27" t="s">
        <v>8</v>
      </c>
      <c r="GN510" s="27" t="s">
        <v>7</v>
      </c>
      <c r="GO510" s="27" t="s">
        <v>8</v>
      </c>
      <c r="GP510" s="27" t="s">
        <v>7</v>
      </c>
      <c r="GQ510" s="27" t="s">
        <v>8</v>
      </c>
      <c r="GT510" s="27" t="s">
        <v>7</v>
      </c>
    </row>
    <row r="511" spans="1:202" x14ac:dyDescent="0.25">
      <c r="A511" s="7">
        <v>4.5041521642302227</v>
      </c>
      <c r="B511"/>
      <c r="C511"/>
      <c r="D511"/>
      <c r="E511"/>
      <c r="AE511" s="27" t="s">
        <v>8</v>
      </c>
      <c r="AF511" s="27" t="s">
        <v>7</v>
      </c>
      <c r="AG511" s="27" t="s">
        <v>8</v>
      </c>
      <c r="AH511" s="27" t="s">
        <v>7</v>
      </c>
      <c r="AI511" s="27" t="s">
        <v>8</v>
      </c>
      <c r="AL511" s="27" t="s">
        <v>7</v>
      </c>
      <c r="AM511" s="27" t="s">
        <v>8</v>
      </c>
      <c r="AN511" s="27" t="s">
        <v>7</v>
      </c>
      <c r="AS511" s="27" t="s">
        <v>8</v>
      </c>
      <c r="AT511" s="27" t="s">
        <v>7</v>
      </c>
      <c r="AW511" s="27" t="s">
        <v>8</v>
      </c>
      <c r="AX511" s="27" t="s">
        <v>7</v>
      </c>
      <c r="BA511" s="27" t="s">
        <v>8</v>
      </c>
      <c r="BB511" s="27" t="s">
        <v>7</v>
      </c>
      <c r="BC511" s="27" t="s">
        <v>8</v>
      </c>
      <c r="BD511" s="27" t="s">
        <v>7</v>
      </c>
      <c r="BE511" s="27" t="s">
        <v>8</v>
      </c>
      <c r="BF511" s="27" t="s">
        <v>7</v>
      </c>
      <c r="BG511" s="27" t="s">
        <v>8</v>
      </c>
      <c r="BH511" s="27" t="s">
        <v>7</v>
      </c>
      <c r="BJ511" s="27" t="s">
        <v>7</v>
      </c>
      <c r="BK511" s="27" t="s">
        <v>8</v>
      </c>
      <c r="BL511" s="27" t="s">
        <v>7</v>
      </c>
      <c r="BM511" s="27" t="s">
        <v>8</v>
      </c>
      <c r="BN511" s="27" t="s">
        <v>7</v>
      </c>
      <c r="BO511" s="27" t="s">
        <v>8</v>
      </c>
      <c r="BZ511" s="27" t="s">
        <v>7</v>
      </c>
      <c r="CA511" s="27" t="s">
        <v>8</v>
      </c>
      <c r="CB511" s="27" t="s">
        <v>7</v>
      </c>
      <c r="CC511" s="27" t="s">
        <v>8</v>
      </c>
      <c r="CD511" s="27" t="s">
        <v>7</v>
      </c>
      <c r="CW511" s="27" t="s">
        <v>8</v>
      </c>
      <c r="CX511" s="27" t="s">
        <v>7</v>
      </c>
      <c r="EA511" s="27" t="s">
        <v>8</v>
      </c>
      <c r="EB511" s="27" t="s">
        <v>7</v>
      </c>
      <c r="EC511" s="27" t="s">
        <v>8</v>
      </c>
      <c r="EH511" s="27" t="s">
        <v>7</v>
      </c>
      <c r="EI511" s="27" t="s">
        <v>8</v>
      </c>
      <c r="EL511" s="27" t="s">
        <v>7</v>
      </c>
      <c r="EM511" s="27" t="s">
        <v>8</v>
      </c>
      <c r="FT511" s="27" t="s">
        <v>7</v>
      </c>
      <c r="FV511" s="27" t="s">
        <v>7</v>
      </c>
      <c r="FY511" s="27" t="s">
        <v>8</v>
      </c>
      <c r="FZ511" s="27" t="s">
        <v>7</v>
      </c>
      <c r="GE511" s="27" t="s">
        <v>8</v>
      </c>
      <c r="GH511" s="27" t="s">
        <v>7</v>
      </c>
      <c r="GI511" s="27" t="s">
        <v>8</v>
      </c>
      <c r="GN511" s="27" t="s">
        <v>7</v>
      </c>
      <c r="GO511" s="27" t="s">
        <v>8</v>
      </c>
      <c r="GP511" s="27" t="s">
        <v>7</v>
      </c>
      <c r="GQ511" s="27" t="s">
        <v>8</v>
      </c>
      <c r="GT511" s="27" t="s">
        <v>7</v>
      </c>
    </row>
    <row r="512" spans="1:202" x14ac:dyDescent="0.25">
      <c r="A512" s="7">
        <v>4.4158354551276693</v>
      </c>
      <c r="B512"/>
      <c r="C512"/>
      <c r="D512"/>
      <c r="E512"/>
      <c r="AE512" s="27" t="s">
        <v>8</v>
      </c>
      <c r="AF512" s="27" t="s">
        <v>7</v>
      </c>
      <c r="AG512" s="27" t="s">
        <v>8</v>
      </c>
      <c r="AH512" s="27" t="s">
        <v>7</v>
      </c>
      <c r="AI512" s="27" t="s">
        <v>8</v>
      </c>
      <c r="AL512" s="27" t="s">
        <v>7</v>
      </c>
      <c r="AM512" s="27" t="s">
        <v>8</v>
      </c>
      <c r="AN512" s="27" t="s">
        <v>7</v>
      </c>
      <c r="AS512" s="27" t="s">
        <v>8</v>
      </c>
      <c r="AT512" s="27" t="s">
        <v>7</v>
      </c>
      <c r="AW512" s="27" t="s">
        <v>8</v>
      </c>
      <c r="AX512" s="27" t="s">
        <v>7</v>
      </c>
      <c r="BA512" s="27" t="s">
        <v>8</v>
      </c>
      <c r="BB512" s="27" t="s">
        <v>7</v>
      </c>
      <c r="BC512" s="27" t="s">
        <v>8</v>
      </c>
      <c r="BD512" s="27" t="s">
        <v>7</v>
      </c>
      <c r="BE512" s="27" t="s">
        <v>8</v>
      </c>
      <c r="BF512" s="27" t="s">
        <v>7</v>
      </c>
      <c r="BG512" s="27" t="s">
        <v>8</v>
      </c>
      <c r="BJ512" s="27" t="s">
        <v>7</v>
      </c>
      <c r="BK512" s="27" t="s">
        <v>8</v>
      </c>
      <c r="BL512" s="27" t="s">
        <v>7</v>
      </c>
      <c r="BM512" s="27" t="s">
        <v>8</v>
      </c>
      <c r="BN512" s="27" t="s">
        <v>7</v>
      </c>
      <c r="BO512" s="27" t="s">
        <v>8</v>
      </c>
      <c r="BZ512" s="27" t="s">
        <v>7</v>
      </c>
      <c r="CA512" s="27" t="s">
        <v>8</v>
      </c>
      <c r="CB512" s="27" t="s">
        <v>7</v>
      </c>
      <c r="CC512" s="27" t="s">
        <v>8</v>
      </c>
      <c r="CD512" s="27" t="s">
        <v>7</v>
      </c>
      <c r="CE512" s="27" t="s">
        <v>8</v>
      </c>
      <c r="CW512" s="27" t="s">
        <v>8</v>
      </c>
      <c r="CX512" s="27" t="s">
        <v>7</v>
      </c>
      <c r="EA512" s="27" t="s">
        <v>8</v>
      </c>
      <c r="EB512" s="27" t="s">
        <v>7</v>
      </c>
      <c r="EC512" s="27" t="s">
        <v>8</v>
      </c>
      <c r="EH512" s="27" t="s">
        <v>7</v>
      </c>
      <c r="EI512" s="27" t="s">
        <v>8</v>
      </c>
      <c r="EL512" s="27" t="s">
        <v>7</v>
      </c>
      <c r="EM512" s="27" t="s">
        <v>8</v>
      </c>
      <c r="FV512" s="27" t="s">
        <v>7</v>
      </c>
      <c r="FY512" s="27" t="s">
        <v>8</v>
      </c>
      <c r="FZ512" s="27" t="s">
        <v>7</v>
      </c>
      <c r="GE512" s="27" t="s">
        <v>8</v>
      </c>
      <c r="GH512" s="27" t="s">
        <v>7</v>
      </c>
      <c r="GN512" s="27" t="s">
        <v>7</v>
      </c>
      <c r="GP512" s="27" t="s">
        <v>7</v>
      </c>
      <c r="GQ512" s="27" t="s">
        <v>8</v>
      </c>
      <c r="GT512" s="27" t="s">
        <v>7</v>
      </c>
    </row>
    <row r="513" spans="1:206" x14ac:dyDescent="0.25">
      <c r="A513" s="7">
        <v>4.3292504462035977</v>
      </c>
      <c r="B513"/>
      <c r="C513"/>
      <c r="D513"/>
      <c r="E513"/>
      <c r="AE513" s="27" t="s">
        <v>8</v>
      </c>
      <c r="AF513" s="27" t="s">
        <v>7</v>
      </c>
      <c r="AG513" s="27" t="s">
        <v>8</v>
      </c>
      <c r="AH513" s="27" t="s">
        <v>7</v>
      </c>
      <c r="AI513" s="27" t="s">
        <v>8</v>
      </c>
      <c r="AL513" s="27" t="s">
        <v>7</v>
      </c>
      <c r="AM513" s="27" t="s">
        <v>8</v>
      </c>
      <c r="AN513" s="27" t="s">
        <v>7</v>
      </c>
      <c r="AS513" s="27" t="s">
        <v>8</v>
      </c>
      <c r="AT513" s="27" t="s">
        <v>7</v>
      </c>
      <c r="AW513" s="27" t="s">
        <v>8</v>
      </c>
      <c r="AX513" s="27" t="s">
        <v>7</v>
      </c>
      <c r="BA513" s="27" t="s">
        <v>8</v>
      </c>
      <c r="BB513" s="27" t="s">
        <v>7</v>
      </c>
      <c r="BC513" s="27" t="s">
        <v>8</v>
      </c>
      <c r="BD513" s="27" t="s">
        <v>7</v>
      </c>
      <c r="BE513" s="27" t="s">
        <v>8</v>
      </c>
      <c r="BF513" s="27" t="s">
        <v>7</v>
      </c>
      <c r="BG513" s="27" t="s">
        <v>8</v>
      </c>
      <c r="BJ513" s="27" t="s">
        <v>7</v>
      </c>
      <c r="BK513" s="27" t="s">
        <v>8</v>
      </c>
      <c r="BL513" s="27" t="s">
        <v>7</v>
      </c>
      <c r="BM513" s="27" t="s">
        <v>8</v>
      </c>
      <c r="BN513" s="27" t="s">
        <v>7</v>
      </c>
      <c r="BO513" s="27" t="s">
        <v>8</v>
      </c>
      <c r="BZ513" s="27" t="s">
        <v>7</v>
      </c>
      <c r="CA513" s="27" t="s">
        <v>8</v>
      </c>
      <c r="CB513" s="27" t="s">
        <v>7</v>
      </c>
      <c r="CD513" s="27" t="s">
        <v>7</v>
      </c>
      <c r="CE513" s="27" t="s">
        <v>8</v>
      </c>
      <c r="CF513" s="27" t="s">
        <v>7</v>
      </c>
      <c r="CW513" s="27" t="s">
        <v>8</v>
      </c>
      <c r="CX513" s="27" t="s">
        <v>7</v>
      </c>
      <c r="EA513" s="27" t="s">
        <v>8</v>
      </c>
      <c r="EB513" s="27" t="s">
        <v>7</v>
      </c>
      <c r="EC513" s="27" t="s">
        <v>8</v>
      </c>
      <c r="EH513" s="27" t="s">
        <v>7</v>
      </c>
      <c r="EI513" s="27" t="s">
        <v>8</v>
      </c>
      <c r="EL513" s="27" t="s">
        <v>7</v>
      </c>
      <c r="EM513" s="27" t="s">
        <v>8</v>
      </c>
      <c r="FV513" s="27" t="s">
        <v>7</v>
      </c>
      <c r="FY513" s="27" t="s">
        <v>8</v>
      </c>
      <c r="FZ513" s="27" t="s">
        <v>7</v>
      </c>
      <c r="GE513" s="27" t="s">
        <v>8</v>
      </c>
      <c r="GP513" s="27" t="s">
        <v>7</v>
      </c>
      <c r="GQ513" s="27" t="s">
        <v>8</v>
      </c>
      <c r="GT513" s="27" t="s">
        <v>7</v>
      </c>
    </row>
    <row r="514" spans="1:206" x14ac:dyDescent="0.25">
      <c r="A514" s="7">
        <v>4.2443631825525463</v>
      </c>
      <c r="B514"/>
      <c r="C514"/>
      <c r="D514"/>
      <c r="E514"/>
      <c r="AE514" s="27" t="s">
        <v>8</v>
      </c>
      <c r="AF514" s="27" t="s">
        <v>7</v>
      </c>
      <c r="AG514" s="27" t="s">
        <v>8</v>
      </c>
      <c r="AH514" s="27" t="s">
        <v>7</v>
      </c>
      <c r="AI514" s="27" t="s">
        <v>8</v>
      </c>
      <c r="AL514" s="27" t="s">
        <v>7</v>
      </c>
      <c r="AM514" s="27" t="s">
        <v>8</v>
      </c>
      <c r="AN514" s="27" t="s">
        <v>7</v>
      </c>
      <c r="AQ514" s="27" t="s">
        <v>8</v>
      </c>
      <c r="AS514" s="27" t="s">
        <v>8</v>
      </c>
      <c r="AT514" s="27" t="s">
        <v>7</v>
      </c>
      <c r="AW514" s="27" t="s">
        <v>8</v>
      </c>
      <c r="AX514" s="27" t="s">
        <v>7</v>
      </c>
      <c r="BA514" s="27" t="s">
        <v>8</v>
      </c>
      <c r="BB514" s="27" t="s">
        <v>7</v>
      </c>
      <c r="BD514" s="27" t="s">
        <v>7</v>
      </c>
      <c r="BF514" s="27" t="s">
        <v>7</v>
      </c>
      <c r="BJ514" s="27" t="s">
        <v>7</v>
      </c>
      <c r="BL514" s="27" t="s">
        <v>7</v>
      </c>
      <c r="BM514" s="27" t="s">
        <v>8</v>
      </c>
      <c r="BN514" s="27" t="s">
        <v>7</v>
      </c>
      <c r="BZ514" s="27" t="s">
        <v>7</v>
      </c>
      <c r="CD514" s="27" t="s">
        <v>7</v>
      </c>
      <c r="CE514" s="27" t="s">
        <v>8</v>
      </c>
      <c r="CF514" s="27" t="s">
        <v>7</v>
      </c>
      <c r="CW514" s="27" t="s">
        <v>8</v>
      </c>
      <c r="CX514" s="27" t="s">
        <v>7</v>
      </c>
      <c r="EA514" s="27" t="s">
        <v>8</v>
      </c>
      <c r="EB514" s="27" t="s">
        <v>7</v>
      </c>
      <c r="EC514" s="27" t="s">
        <v>8</v>
      </c>
      <c r="EH514" s="27" t="s">
        <v>7</v>
      </c>
      <c r="EI514" s="27" t="s">
        <v>8</v>
      </c>
      <c r="EL514" s="27" t="s">
        <v>7</v>
      </c>
      <c r="FV514" s="27" t="s">
        <v>7</v>
      </c>
      <c r="FY514" s="27" t="s">
        <v>8</v>
      </c>
      <c r="FZ514" s="27" t="s">
        <v>7</v>
      </c>
      <c r="GE514" s="27" t="s">
        <v>8</v>
      </c>
      <c r="GP514" s="27" t="s">
        <v>7</v>
      </c>
      <c r="GQ514" s="27" t="s">
        <v>8</v>
      </c>
      <c r="GT514" s="27" t="s">
        <v>7</v>
      </c>
    </row>
    <row r="515" spans="1:206" x14ac:dyDescent="0.25">
      <c r="A515" s="7">
        <v>4.1611403750515157</v>
      </c>
      <c r="B515"/>
      <c r="C515"/>
      <c r="D515"/>
      <c r="E515"/>
      <c r="AE515" s="27" t="s">
        <v>8</v>
      </c>
      <c r="AF515" s="27" t="s">
        <v>7</v>
      </c>
      <c r="AG515" s="27" t="s">
        <v>8</v>
      </c>
      <c r="AH515" s="27" t="s">
        <v>7</v>
      </c>
      <c r="AI515" s="27" t="s">
        <v>8</v>
      </c>
      <c r="AL515" s="27" t="s">
        <v>7</v>
      </c>
      <c r="AM515" s="27" t="s">
        <v>8</v>
      </c>
      <c r="AN515" s="27" t="s">
        <v>7</v>
      </c>
      <c r="AQ515" s="27" t="s">
        <v>8</v>
      </c>
      <c r="AR515" s="27" t="s">
        <v>7</v>
      </c>
      <c r="AS515" s="27" t="s">
        <v>8</v>
      </c>
      <c r="AT515" s="27" t="s">
        <v>7</v>
      </c>
      <c r="AW515" s="27" t="s">
        <v>8</v>
      </c>
      <c r="AX515" s="27" t="s">
        <v>7</v>
      </c>
      <c r="BA515" s="27" t="s">
        <v>8</v>
      </c>
      <c r="BL515" s="27" t="s">
        <v>7</v>
      </c>
      <c r="BM515" s="27" t="s">
        <v>8</v>
      </c>
      <c r="CD515" s="27" t="s">
        <v>7</v>
      </c>
      <c r="CE515" s="27" t="s">
        <v>8</v>
      </c>
      <c r="CF515" s="27" t="s">
        <v>7</v>
      </c>
      <c r="CW515" s="27" t="s">
        <v>8</v>
      </c>
      <c r="CX515" s="27" t="s">
        <v>7</v>
      </c>
      <c r="EA515" s="27" t="s">
        <v>8</v>
      </c>
      <c r="EB515" s="27" t="s">
        <v>7</v>
      </c>
      <c r="EC515" s="27" t="s">
        <v>8</v>
      </c>
      <c r="EH515" s="27" t="s">
        <v>7</v>
      </c>
      <c r="EI515" s="27" t="s">
        <v>8</v>
      </c>
      <c r="FV515" s="27" t="s">
        <v>7</v>
      </c>
      <c r="FW515" s="27" t="s">
        <v>8</v>
      </c>
      <c r="FY515" s="27" t="s">
        <v>8</v>
      </c>
      <c r="FZ515" s="27" t="s">
        <v>7</v>
      </c>
      <c r="GE515" s="27" t="s">
        <v>8</v>
      </c>
      <c r="GP515" s="27" t="s">
        <v>7</v>
      </c>
      <c r="GT515" s="27" t="s">
        <v>7</v>
      </c>
    </row>
    <row r="516" spans="1:206" x14ac:dyDescent="0.25">
      <c r="A516" s="7">
        <v>4.0795493873054074</v>
      </c>
      <c r="B516"/>
      <c r="C516"/>
      <c r="D516"/>
      <c r="E516"/>
      <c r="AE516" s="27" t="s">
        <v>8</v>
      </c>
      <c r="AF516" s="27" t="s">
        <v>7</v>
      </c>
      <c r="AG516" s="27" t="s">
        <v>8</v>
      </c>
      <c r="AH516" s="27" t="s">
        <v>7</v>
      </c>
      <c r="AI516" s="27" t="s">
        <v>8</v>
      </c>
      <c r="AL516" s="27" t="s">
        <v>7</v>
      </c>
      <c r="AM516" s="27" t="s">
        <v>8</v>
      </c>
      <c r="AN516" s="27" t="s">
        <v>7</v>
      </c>
      <c r="AO516" s="27" t="s">
        <v>8</v>
      </c>
      <c r="AQ516" s="27" t="s">
        <v>8</v>
      </c>
      <c r="AR516" s="27" t="s">
        <v>7</v>
      </c>
      <c r="AS516" s="27" t="s">
        <v>8</v>
      </c>
      <c r="AT516" s="27" t="s">
        <v>7</v>
      </c>
      <c r="AU516" s="27" t="s">
        <v>8</v>
      </c>
      <c r="AW516" s="27" t="s">
        <v>8</v>
      </c>
      <c r="AX516" s="27" t="s">
        <v>7</v>
      </c>
      <c r="BA516" s="27" t="s">
        <v>8</v>
      </c>
      <c r="BL516" s="27" t="s">
        <v>7</v>
      </c>
      <c r="BM516" s="27" t="s">
        <v>8</v>
      </c>
      <c r="CD516" s="27" t="s">
        <v>7</v>
      </c>
      <c r="CE516" s="27" t="s">
        <v>8</v>
      </c>
      <c r="CF516" s="27" t="s">
        <v>7</v>
      </c>
      <c r="CW516" s="27" t="s">
        <v>8</v>
      </c>
      <c r="CX516" s="27" t="s">
        <v>7</v>
      </c>
      <c r="EA516" s="27" t="s">
        <v>8</v>
      </c>
      <c r="EB516" s="27" t="s">
        <v>7</v>
      </c>
      <c r="EH516" s="27" t="s">
        <v>7</v>
      </c>
      <c r="EI516" s="27" t="s">
        <v>8</v>
      </c>
      <c r="FV516" s="27" t="s">
        <v>7</v>
      </c>
      <c r="FW516" s="27" t="s">
        <v>8</v>
      </c>
      <c r="FX516" s="27" t="s">
        <v>7</v>
      </c>
      <c r="FY516" s="27" t="s">
        <v>8</v>
      </c>
      <c r="FZ516" s="27" t="s">
        <v>7</v>
      </c>
      <c r="GE516" s="27" t="s">
        <v>8</v>
      </c>
      <c r="GT516" s="27" t="s">
        <v>7</v>
      </c>
    </row>
    <row r="517" spans="1:206" x14ac:dyDescent="0.25">
      <c r="A517" s="7">
        <v>3.9995582228484383</v>
      </c>
      <c r="B517"/>
      <c r="C517"/>
      <c r="D517"/>
      <c r="E517"/>
      <c r="AE517" s="27" t="s">
        <v>8</v>
      </c>
      <c r="AF517" s="27" t="s">
        <v>7</v>
      </c>
      <c r="AG517" s="27" t="s">
        <v>8</v>
      </c>
      <c r="AH517" s="27" t="s">
        <v>7</v>
      </c>
      <c r="AI517" s="27" t="s">
        <v>8</v>
      </c>
      <c r="AL517" s="27" t="s">
        <v>7</v>
      </c>
      <c r="AM517" s="27" t="s">
        <v>8</v>
      </c>
      <c r="AN517" s="27" t="s">
        <v>7</v>
      </c>
      <c r="AO517" s="27" t="s">
        <v>8</v>
      </c>
      <c r="AP517" s="27" t="s">
        <v>7</v>
      </c>
      <c r="AQ517" s="27" t="s">
        <v>8</v>
      </c>
      <c r="AR517" s="27" t="s">
        <v>7</v>
      </c>
      <c r="AS517" s="27" t="s">
        <v>8</v>
      </c>
      <c r="AT517" s="27" t="s">
        <v>7</v>
      </c>
      <c r="AU517" s="27" t="s">
        <v>8</v>
      </c>
      <c r="AV517" s="27" t="s">
        <v>7</v>
      </c>
      <c r="AW517" s="27" t="s">
        <v>8</v>
      </c>
      <c r="AX517" s="27" t="s">
        <v>7</v>
      </c>
      <c r="AY517" s="27" t="s">
        <v>8</v>
      </c>
      <c r="BA517" s="27" t="s">
        <v>8</v>
      </c>
      <c r="BL517" s="27" t="s">
        <v>7</v>
      </c>
      <c r="BM517" s="27" t="s">
        <v>8</v>
      </c>
      <c r="CD517" s="27" t="s">
        <v>7</v>
      </c>
      <c r="CE517" s="27" t="s">
        <v>8</v>
      </c>
      <c r="CF517" s="27" t="s">
        <v>7</v>
      </c>
      <c r="CW517" s="27" t="s">
        <v>8</v>
      </c>
      <c r="CX517" s="27" t="s">
        <v>7</v>
      </c>
      <c r="EA517" s="27" t="s">
        <v>8</v>
      </c>
      <c r="EH517" s="27" t="s">
        <v>7</v>
      </c>
      <c r="EI517" s="27" t="s">
        <v>8</v>
      </c>
      <c r="FV517" s="27" t="s">
        <v>7</v>
      </c>
      <c r="FW517" s="27" t="s">
        <v>8</v>
      </c>
      <c r="FX517" s="27" t="s">
        <v>7</v>
      </c>
      <c r="FY517" s="27" t="s">
        <v>8</v>
      </c>
      <c r="FZ517" s="27" t="s">
        <v>7</v>
      </c>
      <c r="GA517" s="27" t="s">
        <v>8</v>
      </c>
      <c r="GC517" s="27" t="s">
        <v>8</v>
      </c>
      <c r="GE517" s="27" t="s">
        <v>8</v>
      </c>
      <c r="GT517" s="27" t="s">
        <v>7</v>
      </c>
    </row>
    <row r="518" spans="1:206" x14ac:dyDescent="0.25">
      <c r="A518" s="7">
        <v>3.9211355125965079</v>
      </c>
      <c r="B518"/>
      <c r="C518"/>
      <c r="D518"/>
      <c r="E518"/>
      <c r="AE518" s="27" t="s">
        <v>8</v>
      </c>
      <c r="AF518" s="27" t="s">
        <v>7</v>
      </c>
      <c r="AH518" s="27" t="s">
        <v>7</v>
      </c>
      <c r="AI518" s="27" t="s">
        <v>8</v>
      </c>
      <c r="AL518" s="27" t="s">
        <v>7</v>
      </c>
      <c r="AM518" s="27" t="s">
        <v>8</v>
      </c>
      <c r="AN518" s="27" t="s">
        <v>7</v>
      </c>
      <c r="AO518" s="27" t="s">
        <v>8</v>
      </c>
      <c r="AP518" s="27" t="s">
        <v>7</v>
      </c>
      <c r="AQ518" s="27" t="s">
        <v>8</v>
      </c>
      <c r="AR518" s="27" t="s">
        <v>7</v>
      </c>
      <c r="AS518" s="27" t="s">
        <v>8</v>
      </c>
      <c r="AT518" s="27" t="s">
        <v>7</v>
      </c>
      <c r="AU518" s="27" t="s">
        <v>8</v>
      </c>
      <c r="AV518" s="27" t="s">
        <v>7</v>
      </c>
      <c r="AW518" s="27" t="s">
        <v>8</v>
      </c>
      <c r="AX518" s="27" t="s">
        <v>7</v>
      </c>
      <c r="AY518" s="27" t="s">
        <v>8</v>
      </c>
      <c r="AZ518" s="27" t="s">
        <v>7</v>
      </c>
      <c r="BA518" s="27" t="s">
        <v>8</v>
      </c>
      <c r="BL518" s="27" t="s">
        <v>7</v>
      </c>
      <c r="BM518" s="27" t="s">
        <v>8</v>
      </c>
      <c r="CD518" s="27" t="s">
        <v>7</v>
      </c>
      <c r="CE518" s="27" t="s">
        <v>8</v>
      </c>
      <c r="CF518" s="27" t="s">
        <v>7</v>
      </c>
      <c r="CG518" s="27" t="s">
        <v>8</v>
      </c>
      <c r="CW518" s="27" t="s">
        <v>8</v>
      </c>
      <c r="CX518" s="27" t="s">
        <v>7</v>
      </c>
      <c r="CY518" s="27" t="s">
        <v>8</v>
      </c>
      <c r="EA518" s="27" t="s">
        <v>8</v>
      </c>
      <c r="EH518" s="27" t="s">
        <v>7</v>
      </c>
      <c r="EI518" s="27" t="s">
        <v>8</v>
      </c>
      <c r="FV518" s="27" t="s">
        <v>7</v>
      </c>
      <c r="FW518" s="27" t="s">
        <v>8</v>
      </c>
      <c r="FX518" s="27" t="s">
        <v>7</v>
      </c>
      <c r="FY518" s="27" t="s">
        <v>8</v>
      </c>
      <c r="FZ518" s="27" t="s">
        <v>7</v>
      </c>
      <c r="GA518" s="27" t="s">
        <v>8</v>
      </c>
      <c r="GB518" s="27" t="s">
        <v>7</v>
      </c>
      <c r="GC518" s="27" t="s">
        <v>8</v>
      </c>
      <c r="GD518" s="27" t="s">
        <v>7</v>
      </c>
      <c r="GE518" s="27" t="s">
        <v>8</v>
      </c>
      <c r="GT518" s="27" t="s">
        <v>7</v>
      </c>
    </row>
    <row r="519" spans="1:206" x14ac:dyDescent="0.25">
      <c r="A519" s="7">
        <v>3.844250502545596</v>
      </c>
      <c r="B519"/>
      <c r="C519"/>
      <c r="D519"/>
      <c r="E519"/>
      <c r="Q519" s="27" t="s">
        <v>8</v>
      </c>
      <c r="AC519" s="27" t="s">
        <v>8</v>
      </c>
      <c r="AE519" s="27" t="s">
        <v>8</v>
      </c>
      <c r="AH519" s="27" t="s">
        <v>7</v>
      </c>
      <c r="AI519" s="27" t="s">
        <v>8</v>
      </c>
      <c r="AL519" s="27" t="s">
        <v>7</v>
      </c>
      <c r="AM519" s="27" t="s">
        <v>8</v>
      </c>
      <c r="AN519" s="27" t="s">
        <v>7</v>
      </c>
      <c r="AO519" s="27" t="s">
        <v>8</v>
      </c>
      <c r="AP519" s="27" t="s">
        <v>7</v>
      </c>
      <c r="AQ519" s="27" t="s">
        <v>8</v>
      </c>
      <c r="AR519" s="27" t="s">
        <v>7</v>
      </c>
      <c r="AS519" s="27" t="s">
        <v>8</v>
      </c>
      <c r="AT519" s="27" t="s">
        <v>7</v>
      </c>
      <c r="AU519" s="27" t="s">
        <v>8</v>
      </c>
      <c r="AV519" s="27" t="s">
        <v>7</v>
      </c>
      <c r="AW519" s="27" t="s">
        <v>8</v>
      </c>
      <c r="AX519" s="27" t="s">
        <v>7</v>
      </c>
      <c r="AY519" s="27" t="s">
        <v>8</v>
      </c>
      <c r="AZ519" s="27" t="s">
        <v>7</v>
      </c>
      <c r="BA519" s="27" t="s">
        <v>8</v>
      </c>
      <c r="BL519" s="27" t="s">
        <v>7</v>
      </c>
      <c r="BM519" s="27" t="s">
        <v>8</v>
      </c>
      <c r="CD519" s="27" t="s">
        <v>7</v>
      </c>
      <c r="CE519" s="27" t="s">
        <v>8</v>
      </c>
      <c r="CF519" s="27" t="s">
        <v>7</v>
      </c>
      <c r="CG519" s="27" t="s">
        <v>8</v>
      </c>
      <c r="CH519" s="27" t="s">
        <v>7</v>
      </c>
      <c r="CI519" s="27" t="s">
        <v>8</v>
      </c>
      <c r="CW519" s="27" t="s">
        <v>8</v>
      </c>
      <c r="CX519" s="27" t="s">
        <v>7</v>
      </c>
      <c r="CY519" s="27" t="s">
        <v>8</v>
      </c>
      <c r="CZ519" s="27" t="s">
        <v>7</v>
      </c>
      <c r="EA519" s="27" t="s">
        <v>8</v>
      </c>
      <c r="EH519" s="27" t="s">
        <v>7</v>
      </c>
      <c r="FV519" s="27" t="s">
        <v>7</v>
      </c>
      <c r="FW519" s="27" t="s">
        <v>8</v>
      </c>
      <c r="FX519" s="27" t="s">
        <v>7</v>
      </c>
      <c r="FY519" s="27" t="s">
        <v>8</v>
      </c>
      <c r="FZ519" s="27" t="s">
        <v>7</v>
      </c>
      <c r="GA519" s="27" t="s">
        <v>8</v>
      </c>
      <c r="GB519" s="27" t="s">
        <v>7</v>
      </c>
      <c r="GC519" s="27" t="s">
        <v>8</v>
      </c>
      <c r="GD519" s="27" t="s">
        <v>7</v>
      </c>
      <c r="GE519" s="27" t="s">
        <v>8</v>
      </c>
      <c r="GT519" s="27" t="s">
        <v>7</v>
      </c>
    </row>
    <row r="520" spans="1:206" x14ac:dyDescent="0.25">
      <c r="A520" s="7">
        <v>3.7688730417113687</v>
      </c>
      <c r="B520"/>
      <c r="C520"/>
      <c r="D520"/>
      <c r="E520"/>
      <c r="Q520" s="27" t="s">
        <v>8</v>
      </c>
      <c r="R520" s="27" t="s">
        <v>7</v>
      </c>
      <c r="AC520" s="27" t="s">
        <v>8</v>
      </c>
      <c r="AD520" s="27" t="s">
        <v>7</v>
      </c>
      <c r="AE520" s="27" t="s">
        <v>8</v>
      </c>
      <c r="AH520" s="27" t="s">
        <v>7</v>
      </c>
      <c r="AL520" s="27" t="s">
        <v>7</v>
      </c>
      <c r="AM520" s="27" t="s">
        <v>8</v>
      </c>
      <c r="AN520" s="27" t="s">
        <v>7</v>
      </c>
      <c r="AP520" s="27" t="s">
        <v>7</v>
      </c>
      <c r="AQ520" s="27" t="s">
        <v>8</v>
      </c>
      <c r="AR520" s="27" t="s">
        <v>7</v>
      </c>
      <c r="AS520" s="27" t="s">
        <v>8</v>
      </c>
      <c r="AT520" s="27" t="s">
        <v>7</v>
      </c>
      <c r="AV520" s="27" t="s">
        <v>7</v>
      </c>
      <c r="AW520" s="27" t="s">
        <v>8</v>
      </c>
      <c r="AX520" s="27" t="s">
        <v>7</v>
      </c>
      <c r="AZ520" s="27" t="s">
        <v>7</v>
      </c>
      <c r="BA520" s="27" t="s">
        <v>8</v>
      </c>
      <c r="BL520" s="27" t="s">
        <v>7</v>
      </c>
      <c r="CD520" s="27" t="s">
        <v>7</v>
      </c>
      <c r="CE520" s="27" t="s">
        <v>8</v>
      </c>
      <c r="CF520" s="27" t="s">
        <v>7</v>
      </c>
      <c r="CG520" s="27" t="s">
        <v>8</v>
      </c>
      <c r="CH520" s="27" t="s">
        <v>7</v>
      </c>
      <c r="CI520" s="27" t="s">
        <v>8</v>
      </c>
      <c r="CJ520" s="27" t="s">
        <v>7</v>
      </c>
      <c r="CM520" s="27" t="s">
        <v>8</v>
      </c>
      <c r="CW520" s="27" t="s">
        <v>8</v>
      </c>
      <c r="CX520" s="27" t="s">
        <v>7</v>
      </c>
      <c r="CY520" s="27" t="s">
        <v>8</v>
      </c>
      <c r="CZ520" s="27" t="s">
        <v>7</v>
      </c>
      <c r="EA520" s="27" t="s">
        <v>8</v>
      </c>
      <c r="FV520" s="27" t="s">
        <v>7</v>
      </c>
      <c r="FW520" s="27" t="s">
        <v>8</v>
      </c>
      <c r="FX520" s="27" t="s">
        <v>7</v>
      </c>
      <c r="FY520" s="27" t="s">
        <v>8</v>
      </c>
      <c r="FZ520" s="27" t="s">
        <v>7</v>
      </c>
      <c r="GA520" s="27" t="s">
        <v>8</v>
      </c>
      <c r="GB520" s="27" t="s">
        <v>7</v>
      </c>
      <c r="GC520" s="27" t="s">
        <v>8</v>
      </c>
      <c r="GD520" s="27" t="s">
        <v>7</v>
      </c>
      <c r="GE520" s="27" t="s">
        <v>8</v>
      </c>
      <c r="GT520" s="27" t="s">
        <v>7</v>
      </c>
    </row>
    <row r="521" spans="1:206" x14ac:dyDescent="0.25">
      <c r="A521" s="7">
        <v>3.6949735703052635</v>
      </c>
      <c r="B521"/>
      <c r="C521"/>
      <c r="D521"/>
      <c r="E521"/>
      <c r="Q521" s="27" t="s">
        <v>8</v>
      </c>
      <c r="R521" s="27" t="s">
        <v>7</v>
      </c>
      <c r="AC521" s="27" t="s">
        <v>8</v>
      </c>
      <c r="AD521" s="27" t="s">
        <v>7</v>
      </c>
      <c r="AE521" s="27" t="s">
        <v>8</v>
      </c>
      <c r="AL521" s="27" t="s">
        <v>7</v>
      </c>
      <c r="AM521" s="27" t="s">
        <v>8</v>
      </c>
      <c r="AP521" s="27" t="s">
        <v>7</v>
      </c>
      <c r="AQ521" s="27" t="s">
        <v>8</v>
      </c>
      <c r="AR521" s="27" t="s">
        <v>7</v>
      </c>
      <c r="AS521" s="27" t="s">
        <v>8</v>
      </c>
      <c r="AV521" s="27" t="s">
        <v>7</v>
      </c>
      <c r="AW521" s="27" t="s">
        <v>8</v>
      </c>
      <c r="AZ521" s="27" t="s">
        <v>7</v>
      </c>
      <c r="BA521" s="27" t="s">
        <v>8</v>
      </c>
      <c r="CD521" s="27" t="s">
        <v>7</v>
      </c>
      <c r="CF521" s="27" t="s">
        <v>7</v>
      </c>
      <c r="CG521" s="27" t="s">
        <v>8</v>
      </c>
      <c r="CH521" s="27" t="s">
        <v>7</v>
      </c>
      <c r="CI521" s="27" t="s">
        <v>8</v>
      </c>
      <c r="CJ521" s="27" t="s">
        <v>7</v>
      </c>
      <c r="CM521" s="27" t="s">
        <v>8</v>
      </c>
      <c r="CN521" s="27" t="s">
        <v>7</v>
      </c>
      <c r="CW521" s="27" t="s">
        <v>8</v>
      </c>
      <c r="CX521" s="27" t="s">
        <v>7</v>
      </c>
      <c r="CY521" s="27" t="s">
        <v>8</v>
      </c>
      <c r="CZ521" s="27" t="s">
        <v>7</v>
      </c>
      <c r="DA521" s="27" t="s">
        <v>8</v>
      </c>
      <c r="EA521" s="27" t="s">
        <v>8</v>
      </c>
      <c r="FV521" s="27" t="s">
        <v>7</v>
      </c>
      <c r="FW521" s="27" t="s">
        <v>8</v>
      </c>
      <c r="FX521" s="27" t="s">
        <v>7</v>
      </c>
      <c r="FY521" s="27" t="s">
        <v>8</v>
      </c>
      <c r="FZ521" s="27" t="s">
        <v>7</v>
      </c>
      <c r="GA521" s="27" t="s">
        <v>8</v>
      </c>
      <c r="GB521" s="27" t="s">
        <v>7</v>
      </c>
      <c r="GC521" s="27" t="s">
        <v>8</v>
      </c>
      <c r="GD521" s="27" t="s">
        <v>7</v>
      </c>
      <c r="GT521" s="27" t="s">
        <v>7</v>
      </c>
    </row>
    <row r="522" spans="1:206" x14ac:dyDescent="0.25">
      <c r="A522" s="7">
        <v>3.6225231081424152</v>
      </c>
      <c r="B522"/>
      <c r="C522"/>
      <c r="D522"/>
      <c r="E522"/>
      <c r="Q522" s="27" t="s">
        <v>8</v>
      </c>
      <c r="R522" s="27" t="s">
        <v>7</v>
      </c>
      <c r="AC522" s="27" t="s">
        <v>8</v>
      </c>
      <c r="AD522" s="27" t="s">
        <v>7</v>
      </c>
      <c r="AE522" s="27" t="s">
        <v>8</v>
      </c>
      <c r="AL522" s="27" t="s">
        <v>7</v>
      </c>
      <c r="AM522" s="27" t="s">
        <v>8</v>
      </c>
      <c r="AP522" s="27" t="s">
        <v>7</v>
      </c>
      <c r="AR522" s="27" t="s">
        <v>7</v>
      </c>
      <c r="AV522" s="27" t="s">
        <v>7</v>
      </c>
      <c r="AZ522" s="27" t="s">
        <v>7</v>
      </c>
      <c r="BA522" s="27" t="s">
        <v>8</v>
      </c>
      <c r="CF522" s="27" t="s">
        <v>7</v>
      </c>
      <c r="CG522" s="27" t="s">
        <v>8</v>
      </c>
      <c r="CH522" s="27" t="s">
        <v>7</v>
      </c>
      <c r="CI522" s="27" t="s">
        <v>8</v>
      </c>
      <c r="CJ522" s="27" t="s">
        <v>7</v>
      </c>
      <c r="CM522" s="27" t="s">
        <v>8</v>
      </c>
      <c r="CN522" s="27" t="s">
        <v>7</v>
      </c>
      <c r="CW522" s="27" t="s">
        <v>8</v>
      </c>
      <c r="CX522" s="27" t="s">
        <v>7</v>
      </c>
      <c r="CY522" s="27" t="s">
        <v>8</v>
      </c>
      <c r="CZ522" s="27" t="s">
        <v>7</v>
      </c>
      <c r="DA522" s="27" t="s">
        <v>8</v>
      </c>
      <c r="DB522" s="27" t="s">
        <v>7</v>
      </c>
      <c r="EA522" s="27" t="s">
        <v>8</v>
      </c>
      <c r="FV522" s="27" t="s">
        <v>7</v>
      </c>
      <c r="FW522" s="27" t="s">
        <v>8</v>
      </c>
      <c r="FX522" s="27" t="s">
        <v>7</v>
      </c>
      <c r="FY522" s="27" t="s">
        <v>8</v>
      </c>
      <c r="FZ522" s="27" t="s">
        <v>7</v>
      </c>
      <c r="GA522" s="27" t="s">
        <v>8</v>
      </c>
      <c r="GB522" s="27" t="s">
        <v>7</v>
      </c>
      <c r="GC522" s="27" t="s">
        <v>8</v>
      </c>
      <c r="GT522" s="27" t="s">
        <v>7</v>
      </c>
    </row>
    <row r="523" spans="1:206" x14ac:dyDescent="0.25">
      <c r="A523" s="7">
        <v>3.5514932432768775</v>
      </c>
      <c r="B523"/>
      <c r="C523"/>
      <c r="D523"/>
      <c r="E523"/>
      <c r="Q523" s="27" t="s">
        <v>8</v>
      </c>
      <c r="R523" s="27" t="s">
        <v>7</v>
      </c>
      <c r="S523" s="27" t="s">
        <v>8</v>
      </c>
      <c r="AC523" s="27" t="s">
        <v>8</v>
      </c>
      <c r="AD523" s="27" t="s">
        <v>7</v>
      </c>
      <c r="AE523" s="27" t="s">
        <v>8</v>
      </c>
      <c r="AL523" s="27" t="s">
        <v>7</v>
      </c>
      <c r="AM523" s="27" t="s">
        <v>8</v>
      </c>
      <c r="AZ523" s="27" t="s">
        <v>7</v>
      </c>
      <c r="BA523" s="27" t="s">
        <v>8</v>
      </c>
      <c r="CF523" s="27" t="s">
        <v>7</v>
      </c>
      <c r="CG523" s="27" t="s">
        <v>8</v>
      </c>
      <c r="CH523" s="27" t="s">
        <v>7</v>
      </c>
      <c r="CJ523" s="27" t="s">
        <v>7</v>
      </c>
      <c r="CK523" s="27" t="s">
        <v>8</v>
      </c>
      <c r="CM523" s="27" t="s">
        <v>8</v>
      </c>
      <c r="CN523" s="27" t="s">
        <v>7</v>
      </c>
      <c r="CW523" s="27" t="s">
        <v>8</v>
      </c>
      <c r="CX523" s="27" t="s">
        <v>7</v>
      </c>
      <c r="CY523" s="27" t="s">
        <v>8</v>
      </c>
      <c r="CZ523" s="27" t="s">
        <v>7</v>
      </c>
      <c r="DA523" s="27" t="s">
        <v>8</v>
      </c>
      <c r="DB523" s="27" t="s">
        <v>7</v>
      </c>
      <c r="EA523" s="27" t="s">
        <v>8</v>
      </c>
      <c r="FV523" s="27" t="s">
        <v>7</v>
      </c>
      <c r="FW523" s="27" t="s">
        <v>8</v>
      </c>
      <c r="FX523" s="27" t="s">
        <v>7</v>
      </c>
      <c r="FY523" s="27" t="s">
        <v>8</v>
      </c>
      <c r="FZ523" s="27" t="s">
        <v>7</v>
      </c>
      <c r="GB523" s="27" t="s">
        <v>7</v>
      </c>
      <c r="GC523" s="27" t="s">
        <v>8</v>
      </c>
      <c r="GT523" s="27" t="s">
        <v>7</v>
      </c>
      <c r="GU523" s="27" t="s">
        <v>8</v>
      </c>
    </row>
    <row r="524" spans="1:206" x14ac:dyDescent="0.25">
      <c r="A524" s="7">
        <v>3.4818561208596837</v>
      </c>
      <c r="B524"/>
      <c r="C524"/>
      <c r="D524"/>
      <c r="E524"/>
      <c r="Q524" s="27" t="s">
        <v>8</v>
      </c>
      <c r="R524" s="27" t="s">
        <v>7</v>
      </c>
      <c r="S524" s="27" t="s">
        <v>8</v>
      </c>
      <c r="T524" s="27" t="s">
        <v>7</v>
      </c>
      <c r="AC524" s="27" t="s">
        <v>8</v>
      </c>
      <c r="AD524" s="27" t="s">
        <v>7</v>
      </c>
      <c r="AE524" s="27" t="s">
        <v>8</v>
      </c>
      <c r="AL524" s="27" t="s">
        <v>7</v>
      </c>
      <c r="AM524" s="27" t="s">
        <v>8</v>
      </c>
      <c r="AZ524" s="27" t="s">
        <v>7</v>
      </c>
      <c r="BA524" s="27" t="s">
        <v>8</v>
      </c>
      <c r="CF524" s="27" t="s">
        <v>7</v>
      </c>
      <c r="CG524" s="27" t="s">
        <v>8</v>
      </c>
      <c r="CJ524" s="27" t="s">
        <v>7</v>
      </c>
      <c r="CK524" s="27" t="s">
        <v>8</v>
      </c>
      <c r="CL524" s="27" t="s">
        <v>7</v>
      </c>
      <c r="CM524" s="27" t="s">
        <v>8</v>
      </c>
      <c r="CN524" s="27" t="s">
        <v>7</v>
      </c>
      <c r="CW524" s="27" t="s">
        <v>8</v>
      </c>
      <c r="CX524" s="27" t="s">
        <v>7</v>
      </c>
      <c r="CY524" s="27" t="s">
        <v>8</v>
      </c>
      <c r="CZ524" s="27" t="s">
        <v>7</v>
      </c>
      <c r="DA524" s="27" t="s">
        <v>8</v>
      </c>
      <c r="DB524" s="27" t="s">
        <v>7</v>
      </c>
      <c r="EA524" s="27" t="s">
        <v>8</v>
      </c>
      <c r="FV524" s="27" t="s">
        <v>7</v>
      </c>
      <c r="FW524" s="27" t="s">
        <v>8</v>
      </c>
      <c r="FX524" s="27" t="s">
        <v>7</v>
      </c>
      <c r="FY524" s="27" t="s">
        <v>8</v>
      </c>
      <c r="GB524" s="27" t="s">
        <v>7</v>
      </c>
      <c r="GC524" s="27" t="s">
        <v>8</v>
      </c>
      <c r="GT524" s="27" t="s">
        <v>7</v>
      </c>
      <c r="GU524" s="27" t="s">
        <v>8</v>
      </c>
      <c r="GV524" s="27" t="s">
        <v>7</v>
      </c>
    </row>
    <row r="525" spans="1:206" x14ac:dyDescent="0.25">
      <c r="A525" s="7">
        <v>3.4135844322153761</v>
      </c>
      <c r="B525"/>
      <c r="C525"/>
      <c r="D525"/>
      <c r="E525"/>
      <c r="Q525" s="27" t="s">
        <v>8</v>
      </c>
      <c r="R525" s="27" t="s">
        <v>7</v>
      </c>
      <c r="S525" s="27" t="s">
        <v>8</v>
      </c>
      <c r="T525" s="27" t="s">
        <v>7</v>
      </c>
      <c r="AC525" s="27" t="s">
        <v>8</v>
      </c>
      <c r="AD525" s="27" t="s">
        <v>7</v>
      </c>
      <c r="AE525" s="27" t="s">
        <v>8</v>
      </c>
      <c r="AL525" s="27" t="s">
        <v>7</v>
      </c>
      <c r="AZ525" s="27" t="s">
        <v>7</v>
      </c>
      <c r="BA525" s="27" t="s">
        <v>8</v>
      </c>
      <c r="CF525" s="27" t="s">
        <v>7</v>
      </c>
      <c r="CG525" s="27" t="s">
        <v>8</v>
      </c>
      <c r="CJ525" s="27" t="s">
        <v>7</v>
      </c>
      <c r="CK525" s="27" t="s">
        <v>8</v>
      </c>
      <c r="CL525" s="27" t="s">
        <v>7</v>
      </c>
      <c r="CM525" s="27" t="s">
        <v>8</v>
      </c>
      <c r="CN525" s="27" t="s">
        <v>7</v>
      </c>
      <c r="CW525" s="27" t="s">
        <v>8</v>
      </c>
      <c r="CX525" s="27" t="s">
        <v>7</v>
      </c>
      <c r="CY525" s="27" t="s">
        <v>8</v>
      </c>
      <c r="CZ525" s="27" t="s">
        <v>7</v>
      </c>
      <c r="DA525" s="27" t="s">
        <v>8</v>
      </c>
      <c r="DB525" s="27" t="s">
        <v>7</v>
      </c>
      <c r="EA525" s="27" t="s">
        <v>8</v>
      </c>
      <c r="FV525" s="27" t="s">
        <v>7</v>
      </c>
      <c r="FW525" s="27" t="s">
        <v>8</v>
      </c>
      <c r="FX525" s="27" t="s">
        <v>7</v>
      </c>
      <c r="GB525" s="27" t="s">
        <v>7</v>
      </c>
      <c r="GC525" s="27" t="s">
        <v>8</v>
      </c>
      <c r="GT525" s="27" t="s">
        <v>7</v>
      </c>
      <c r="GU525" s="27" t="s">
        <v>8</v>
      </c>
      <c r="GV525" s="27" t="s">
        <v>7</v>
      </c>
    </row>
    <row r="526" spans="1:206" x14ac:dyDescent="0.25">
      <c r="A526" s="7">
        <v>3.3466514041327216</v>
      </c>
      <c r="B526"/>
      <c r="C526"/>
      <c r="D526"/>
      <c r="E526"/>
      <c r="Q526" s="27" t="s">
        <v>8</v>
      </c>
      <c r="R526" s="27" t="s">
        <v>7</v>
      </c>
      <c r="S526" s="27" t="s">
        <v>8</v>
      </c>
      <c r="T526" s="27" t="s">
        <v>7</v>
      </c>
      <c r="AC526" s="27" t="s">
        <v>8</v>
      </c>
      <c r="AD526" s="27" t="s">
        <v>7</v>
      </c>
      <c r="AZ526" s="27" t="s">
        <v>7</v>
      </c>
      <c r="BA526" s="27" t="s">
        <v>8</v>
      </c>
      <c r="CF526" s="27" t="s">
        <v>7</v>
      </c>
      <c r="CG526" s="27" t="s">
        <v>8</v>
      </c>
      <c r="CJ526" s="27" t="s">
        <v>7</v>
      </c>
      <c r="CK526" s="27" t="s">
        <v>8</v>
      </c>
      <c r="CL526" s="27" t="s">
        <v>7</v>
      </c>
      <c r="CM526" s="27" t="s">
        <v>8</v>
      </c>
      <c r="CN526" s="27" t="s">
        <v>7</v>
      </c>
      <c r="CW526" s="27" t="s">
        <v>8</v>
      </c>
      <c r="CX526" s="27" t="s">
        <v>7</v>
      </c>
      <c r="CY526" s="27" t="s">
        <v>8</v>
      </c>
      <c r="CZ526" s="27" t="s">
        <v>7</v>
      </c>
      <c r="DA526" s="27" t="s">
        <v>8</v>
      </c>
      <c r="DB526" s="27" t="s">
        <v>7</v>
      </c>
      <c r="DQ526" s="27" t="s">
        <v>8</v>
      </c>
      <c r="EA526" s="27" t="s">
        <v>8</v>
      </c>
      <c r="FV526" s="27" t="s">
        <v>7</v>
      </c>
      <c r="FW526" s="27" t="s">
        <v>8</v>
      </c>
      <c r="GB526" s="27" t="s">
        <v>7</v>
      </c>
      <c r="GC526" s="27" t="s">
        <v>8</v>
      </c>
      <c r="GT526" s="27" t="s">
        <v>7</v>
      </c>
      <c r="GU526" s="27" t="s">
        <v>8</v>
      </c>
      <c r="GV526" s="27" t="s">
        <v>7</v>
      </c>
      <c r="GW526" s="27" t="s">
        <v>8</v>
      </c>
    </row>
    <row r="527" spans="1:206" x14ac:dyDescent="0.25">
      <c r="A527" s="7">
        <v>3.2810307883654133</v>
      </c>
      <c r="B527"/>
      <c r="C527"/>
      <c r="D527"/>
      <c r="E527"/>
      <c r="Q527" s="27" t="s">
        <v>8</v>
      </c>
      <c r="R527" s="27" t="s">
        <v>7</v>
      </c>
      <c r="S527" s="27" t="s">
        <v>8</v>
      </c>
      <c r="T527" s="27" t="s">
        <v>7</v>
      </c>
      <c r="AA527" s="27" t="s">
        <v>8</v>
      </c>
      <c r="AC527" s="27" t="s">
        <v>8</v>
      </c>
      <c r="AZ527" s="27" t="s">
        <v>7</v>
      </c>
      <c r="CF527" s="27" t="s">
        <v>7</v>
      </c>
      <c r="CG527" s="27" t="s">
        <v>8</v>
      </c>
      <c r="CJ527" s="27" t="s">
        <v>7</v>
      </c>
      <c r="CK527" s="27" t="s">
        <v>8</v>
      </c>
      <c r="CL527" s="27" t="s">
        <v>7</v>
      </c>
      <c r="CN527" s="27" t="s">
        <v>7</v>
      </c>
      <c r="CW527" s="27" t="s">
        <v>8</v>
      </c>
      <c r="CX527" s="27" t="s">
        <v>7</v>
      </c>
      <c r="CY527" s="27" t="s">
        <v>8</v>
      </c>
      <c r="CZ527" s="27" t="s">
        <v>7</v>
      </c>
      <c r="DA527" s="27" t="s">
        <v>8</v>
      </c>
      <c r="DB527" s="27" t="s">
        <v>7</v>
      </c>
      <c r="DQ527" s="27" t="s">
        <v>8</v>
      </c>
      <c r="DR527" s="27" t="s">
        <v>7</v>
      </c>
      <c r="DY527" s="27" t="s">
        <v>8</v>
      </c>
      <c r="EA527" s="27" t="s">
        <v>8</v>
      </c>
      <c r="FV527" s="27" t="s">
        <v>7</v>
      </c>
      <c r="FW527" s="27" t="s">
        <v>8</v>
      </c>
      <c r="GB527" s="27" t="s">
        <v>7</v>
      </c>
      <c r="GT527" s="27" t="s">
        <v>7</v>
      </c>
      <c r="GU527" s="27" t="s">
        <v>8</v>
      </c>
      <c r="GV527" s="27" t="s">
        <v>7</v>
      </c>
      <c r="GW527" s="27" t="s">
        <v>8</v>
      </c>
      <c r="GX527" s="27" t="s">
        <v>7</v>
      </c>
    </row>
    <row r="528" spans="1:206" x14ac:dyDescent="0.25">
      <c r="A528" s="7">
        <v>3.2166968513386403</v>
      </c>
      <c r="B528"/>
      <c r="C528"/>
      <c r="D528"/>
      <c r="E528"/>
      <c r="Q528" s="27" t="s">
        <v>8</v>
      </c>
      <c r="R528" s="27" t="s">
        <v>7</v>
      </c>
      <c r="S528" s="27" t="s">
        <v>8</v>
      </c>
      <c r="T528" s="27" t="s">
        <v>7</v>
      </c>
      <c r="AA528" s="27" t="s">
        <v>8</v>
      </c>
      <c r="AB528" s="27" t="s">
        <v>7</v>
      </c>
      <c r="AC528" s="27" t="s">
        <v>8</v>
      </c>
      <c r="CF528" s="27" t="s">
        <v>7</v>
      </c>
      <c r="CG528" s="27" t="s">
        <v>8</v>
      </c>
      <c r="CJ528" s="27" t="s">
        <v>7</v>
      </c>
      <c r="CK528" s="27" t="s">
        <v>8</v>
      </c>
      <c r="CN528" s="27" t="s">
        <v>7</v>
      </c>
      <c r="CO528" s="27" t="s">
        <v>8</v>
      </c>
      <c r="CW528" s="27" t="s">
        <v>8</v>
      </c>
      <c r="CX528" s="27" t="s">
        <v>7</v>
      </c>
      <c r="CZ528" s="27" t="s">
        <v>7</v>
      </c>
      <c r="DA528" s="27" t="s">
        <v>8</v>
      </c>
      <c r="DB528" s="27" t="s">
        <v>7</v>
      </c>
      <c r="DC528" s="27" t="s">
        <v>8</v>
      </c>
      <c r="DQ528" s="27" t="s">
        <v>8</v>
      </c>
      <c r="DR528" s="27" t="s">
        <v>7</v>
      </c>
      <c r="DU528" s="27" t="s">
        <v>8</v>
      </c>
      <c r="DW528" s="27" t="s">
        <v>8</v>
      </c>
      <c r="DY528" s="27" t="s">
        <v>8</v>
      </c>
      <c r="DZ528" s="27" t="s">
        <v>7</v>
      </c>
      <c r="EA528" s="27" t="s">
        <v>8</v>
      </c>
      <c r="FV528" s="27" t="s">
        <v>7</v>
      </c>
      <c r="FW528" s="27" t="s">
        <v>8</v>
      </c>
      <c r="GT528" s="27" t="s">
        <v>7</v>
      </c>
      <c r="GU528" s="27" t="s">
        <v>8</v>
      </c>
      <c r="GV528" s="27" t="s">
        <v>7</v>
      </c>
      <c r="GW528" s="27" t="s">
        <v>8</v>
      </c>
      <c r="GX528" s="27" t="s">
        <v>7</v>
      </c>
    </row>
    <row r="529" spans="1:206" x14ac:dyDescent="0.25">
      <c r="A529" s="7">
        <v>3.1536243640574906</v>
      </c>
      <c r="B529"/>
      <c r="C529"/>
      <c r="D529"/>
      <c r="E529"/>
      <c r="Q529" s="27" t="s">
        <v>8</v>
      </c>
      <c r="R529" s="27" t="s">
        <v>7</v>
      </c>
      <c r="S529" s="27" t="s">
        <v>8</v>
      </c>
      <c r="T529" s="27" t="s">
        <v>7</v>
      </c>
      <c r="Y529" s="27" t="s">
        <v>8</v>
      </c>
      <c r="AA529" s="27" t="s">
        <v>8</v>
      </c>
      <c r="AB529" s="27" t="s">
        <v>7</v>
      </c>
      <c r="AC529" s="27" t="s">
        <v>8</v>
      </c>
      <c r="CF529" s="27" t="s">
        <v>7</v>
      </c>
      <c r="CG529" s="27" t="s">
        <v>8</v>
      </c>
      <c r="CJ529" s="27" t="s">
        <v>7</v>
      </c>
      <c r="CK529" s="27" t="s">
        <v>8</v>
      </c>
      <c r="CN529" s="27" t="s">
        <v>7</v>
      </c>
      <c r="CO529" s="27" t="s">
        <v>8</v>
      </c>
      <c r="CP529" s="27" t="s">
        <v>7</v>
      </c>
      <c r="CW529" s="27" t="s">
        <v>8</v>
      </c>
      <c r="CZ529" s="27" t="s">
        <v>7</v>
      </c>
      <c r="DA529" s="27" t="s">
        <v>8</v>
      </c>
      <c r="DB529" s="27" t="s">
        <v>7</v>
      </c>
      <c r="DC529" s="27" t="s">
        <v>8</v>
      </c>
      <c r="DD529" s="27" t="s">
        <v>7</v>
      </c>
      <c r="DE529" s="27" t="s">
        <v>8</v>
      </c>
      <c r="DQ529" s="27" t="s">
        <v>8</v>
      </c>
      <c r="DR529" s="27" t="s">
        <v>7</v>
      </c>
      <c r="DS529" s="27" t="s">
        <v>8</v>
      </c>
      <c r="DU529" s="27" t="s">
        <v>8</v>
      </c>
      <c r="DV529" s="27" t="s">
        <v>7</v>
      </c>
      <c r="DW529" s="27" t="s">
        <v>8</v>
      </c>
      <c r="DX529" s="27" t="s">
        <v>7</v>
      </c>
      <c r="DY529" s="27" t="s">
        <v>8</v>
      </c>
      <c r="DZ529" s="27" t="s">
        <v>7</v>
      </c>
      <c r="EA529" s="27" t="s">
        <v>8</v>
      </c>
      <c r="FV529" s="27" t="s">
        <v>7</v>
      </c>
      <c r="FW529" s="27" t="s">
        <v>8</v>
      </c>
      <c r="GT529" s="27" t="s">
        <v>7</v>
      </c>
      <c r="GU529" s="27" t="s">
        <v>8</v>
      </c>
      <c r="GV529" s="27" t="s">
        <v>7</v>
      </c>
      <c r="GW529" s="27" t="s">
        <v>8</v>
      </c>
      <c r="GX529" s="27" t="s">
        <v>7</v>
      </c>
    </row>
    <row r="530" spans="1:206" x14ac:dyDescent="0.25">
      <c r="A530" s="7">
        <v>3.0917885922132262</v>
      </c>
      <c r="B530"/>
      <c r="C530"/>
      <c r="D530"/>
      <c r="E530"/>
      <c r="Q530" s="27" t="s">
        <v>8</v>
      </c>
      <c r="R530" s="27" t="s">
        <v>7</v>
      </c>
      <c r="S530" s="27" t="s">
        <v>8</v>
      </c>
      <c r="T530" s="27" t="s">
        <v>7</v>
      </c>
      <c r="Y530" s="27" t="s">
        <v>8</v>
      </c>
      <c r="Z530" s="27" t="s">
        <v>7</v>
      </c>
      <c r="AA530" s="27" t="s">
        <v>8</v>
      </c>
      <c r="AB530" s="27" t="s">
        <v>7</v>
      </c>
      <c r="AC530" s="27" t="s">
        <v>8</v>
      </c>
      <c r="CF530" s="27" t="s">
        <v>7</v>
      </c>
      <c r="CG530" s="27" t="s">
        <v>8</v>
      </c>
      <c r="CJ530" s="27" t="s">
        <v>7</v>
      </c>
      <c r="CN530" s="27" t="s">
        <v>7</v>
      </c>
      <c r="CO530" s="27" t="s">
        <v>8</v>
      </c>
      <c r="CP530" s="27" t="s">
        <v>7</v>
      </c>
      <c r="CW530" s="27" t="s">
        <v>8</v>
      </c>
      <c r="CZ530" s="27" t="s">
        <v>7</v>
      </c>
      <c r="DA530" s="27" t="s">
        <v>8</v>
      </c>
      <c r="DB530" s="27" t="s">
        <v>7</v>
      </c>
      <c r="DC530" s="27" t="s">
        <v>8</v>
      </c>
      <c r="DD530" s="27" t="s">
        <v>7</v>
      </c>
      <c r="DE530" s="27" t="s">
        <v>8</v>
      </c>
      <c r="DF530" s="27" t="s">
        <v>7</v>
      </c>
      <c r="DO530" s="27" t="s">
        <v>8</v>
      </c>
      <c r="DQ530" s="27" t="s">
        <v>8</v>
      </c>
      <c r="DR530" s="27" t="s">
        <v>7</v>
      </c>
      <c r="DS530" s="27" t="s">
        <v>8</v>
      </c>
      <c r="DT530" s="27" t="s">
        <v>7</v>
      </c>
      <c r="DU530" s="27" t="s">
        <v>8</v>
      </c>
      <c r="DV530" s="27" t="s">
        <v>7</v>
      </c>
      <c r="DW530" s="27" t="s">
        <v>8</v>
      </c>
      <c r="DX530" s="27" t="s">
        <v>7</v>
      </c>
      <c r="DY530" s="27" t="s">
        <v>8</v>
      </c>
      <c r="DZ530" s="27" t="s">
        <v>7</v>
      </c>
      <c r="EA530" s="27" t="s">
        <v>8</v>
      </c>
      <c r="FV530" s="27" t="s">
        <v>7</v>
      </c>
      <c r="GT530" s="27" t="s">
        <v>7</v>
      </c>
      <c r="GU530" s="27" t="s">
        <v>8</v>
      </c>
      <c r="GV530" s="27" t="s">
        <v>7</v>
      </c>
      <c r="GW530" s="27" t="s">
        <v>8</v>
      </c>
      <c r="GX530" s="27" t="s">
        <v>7</v>
      </c>
    </row>
    <row r="531" spans="1:206" x14ac:dyDescent="0.25">
      <c r="A531" s="7">
        <v>3.0311652864835552</v>
      </c>
      <c r="B531"/>
      <c r="C531"/>
      <c r="D531"/>
      <c r="E531"/>
      <c r="Q531" s="27" t="s">
        <v>8</v>
      </c>
      <c r="R531" s="27" t="s">
        <v>7</v>
      </c>
      <c r="S531" s="27" t="s">
        <v>8</v>
      </c>
      <c r="T531" s="27" t="s">
        <v>7</v>
      </c>
      <c r="U531" s="27" t="s">
        <v>8</v>
      </c>
      <c r="Y531" s="27" t="s">
        <v>8</v>
      </c>
      <c r="Z531" s="27" t="s">
        <v>7</v>
      </c>
      <c r="AA531" s="27" t="s">
        <v>8</v>
      </c>
      <c r="AB531" s="27" t="s">
        <v>7</v>
      </c>
      <c r="CF531" s="27" t="s">
        <v>7</v>
      </c>
      <c r="CG531" s="27" t="s">
        <v>8</v>
      </c>
      <c r="CN531" s="27" t="s">
        <v>7</v>
      </c>
      <c r="CO531" s="27" t="s">
        <v>8</v>
      </c>
      <c r="CP531" s="27" t="s">
        <v>7</v>
      </c>
      <c r="CW531" s="27" t="s">
        <v>8</v>
      </c>
      <c r="CZ531" s="27" t="s">
        <v>7</v>
      </c>
      <c r="DA531" s="27" t="s">
        <v>8</v>
      </c>
      <c r="DB531" s="27" t="s">
        <v>7</v>
      </c>
      <c r="DC531" s="27" t="s">
        <v>8</v>
      </c>
      <c r="DD531" s="27" t="s">
        <v>7</v>
      </c>
      <c r="DE531" s="27" t="s">
        <v>8</v>
      </c>
      <c r="DF531" s="27" t="s">
        <v>7</v>
      </c>
      <c r="DO531" s="27" t="s">
        <v>8</v>
      </c>
      <c r="DP531" s="27" t="s">
        <v>7</v>
      </c>
      <c r="DQ531" s="27" t="s">
        <v>8</v>
      </c>
      <c r="DR531" s="27" t="s">
        <v>7</v>
      </c>
      <c r="DS531" s="27" t="s">
        <v>8</v>
      </c>
      <c r="DT531" s="27" t="s">
        <v>7</v>
      </c>
      <c r="DU531" s="27" t="s">
        <v>8</v>
      </c>
      <c r="DV531" s="27" t="s">
        <v>7</v>
      </c>
      <c r="DX531" s="27" t="s">
        <v>7</v>
      </c>
      <c r="DY531" s="27" t="s">
        <v>8</v>
      </c>
      <c r="DZ531" s="27" t="s">
        <v>7</v>
      </c>
      <c r="EA531" s="27" t="s">
        <v>8</v>
      </c>
      <c r="GT531" s="27" t="s">
        <v>7</v>
      </c>
      <c r="GV531" s="27" t="s">
        <v>7</v>
      </c>
      <c r="GW531" s="27" t="s">
        <v>8</v>
      </c>
      <c r="GX531" s="27" t="s">
        <v>7</v>
      </c>
    </row>
    <row r="532" spans="1:206" x14ac:dyDescent="0.25">
      <c r="A532" s="7">
        <v>2.9717306730230932</v>
      </c>
      <c r="B532"/>
      <c r="C532"/>
      <c r="D532"/>
      <c r="E532"/>
      <c r="Q532" s="27" t="s">
        <v>8</v>
      </c>
      <c r="R532" s="27" t="s">
        <v>7</v>
      </c>
      <c r="S532" s="27" t="s">
        <v>8</v>
      </c>
      <c r="T532" s="27" t="s">
        <v>7</v>
      </c>
      <c r="U532" s="27" t="s">
        <v>8</v>
      </c>
      <c r="V532" s="27" t="s">
        <v>7</v>
      </c>
      <c r="W532" s="27" t="s">
        <v>8</v>
      </c>
      <c r="Y532" s="27" t="s">
        <v>8</v>
      </c>
      <c r="Z532" s="27" t="s">
        <v>7</v>
      </c>
      <c r="CF532" s="27" t="s">
        <v>7</v>
      </c>
      <c r="CG532" s="27" t="s">
        <v>8</v>
      </c>
      <c r="CN532" s="27" t="s">
        <v>7</v>
      </c>
      <c r="CO532" s="27" t="s">
        <v>8</v>
      </c>
      <c r="CP532" s="27" t="s">
        <v>7</v>
      </c>
      <c r="CW532" s="27" t="s">
        <v>8</v>
      </c>
      <c r="CZ532" s="27" t="s">
        <v>7</v>
      </c>
      <c r="DA532" s="27" t="s">
        <v>8</v>
      </c>
      <c r="DB532" s="27" t="s">
        <v>7</v>
      </c>
      <c r="DD532" s="27" t="s">
        <v>7</v>
      </c>
      <c r="DE532" s="27" t="s">
        <v>8</v>
      </c>
      <c r="DF532" s="27" t="s">
        <v>7</v>
      </c>
      <c r="DO532" s="27" t="s">
        <v>8</v>
      </c>
      <c r="DP532" s="27" t="s">
        <v>7</v>
      </c>
      <c r="DQ532" s="27" t="s">
        <v>8</v>
      </c>
      <c r="DR532" s="27" t="s">
        <v>7</v>
      </c>
      <c r="DS532" s="27" t="s">
        <v>8</v>
      </c>
      <c r="DT532" s="27" t="s">
        <v>7</v>
      </c>
      <c r="DU532" s="27" t="s">
        <v>8</v>
      </c>
      <c r="DX532" s="27" t="s">
        <v>7</v>
      </c>
      <c r="DY532" s="27" t="s">
        <v>8</v>
      </c>
      <c r="DZ532" s="27" t="s">
        <v>7</v>
      </c>
      <c r="GV532" s="27" t="s">
        <v>7</v>
      </c>
      <c r="GW532" s="27" t="s">
        <v>8</v>
      </c>
    </row>
    <row r="533" spans="1:206" x14ac:dyDescent="0.25">
      <c r="A533" s="7">
        <v>2.9134614441402875</v>
      </c>
      <c r="B533"/>
      <c r="C533"/>
      <c r="D533"/>
      <c r="E533"/>
      <c r="Q533" s="27" t="s">
        <v>8</v>
      </c>
      <c r="R533" s="27" t="s">
        <v>7</v>
      </c>
      <c r="S533" s="27" t="s">
        <v>8</v>
      </c>
      <c r="T533" s="27" t="s">
        <v>7</v>
      </c>
      <c r="U533" s="27" t="s">
        <v>8</v>
      </c>
      <c r="V533" s="27" t="s">
        <v>7</v>
      </c>
      <c r="W533" s="27" t="s">
        <v>8</v>
      </c>
      <c r="X533" s="27" t="s">
        <v>7</v>
      </c>
      <c r="Y533" s="27" t="s">
        <v>8</v>
      </c>
      <c r="CF533" s="27" t="s">
        <v>7</v>
      </c>
      <c r="CG533" s="27" t="s">
        <v>8</v>
      </c>
      <c r="CN533" s="27" t="s">
        <v>7</v>
      </c>
      <c r="CO533" s="27" t="s">
        <v>8</v>
      </c>
      <c r="CP533" s="27" t="s">
        <v>7</v>
      </c>
      <c r="CW533" s="27" t="s">
        <v>8</v>
      </c>
      <c r="CZ533" s="27" t="s">
        <v>7</v>
      </c>
      <c r="DA533" s="27" t="s">
        <v>8</v>
      </c>
      <c r="DD533" s="27" t="s">
        <v>7</v>
      </c>
      <c r="DE533" s="27" t="s">
        <v>8</v>
      </c>
      <c r="DF533" s="27" t="s">
        <v>7</v>
      </c>
      <c r="DO533" s="27" t="s">
        <v>8</v>
      </c>
      <c r="DP533" s="27" t="s">
        <v>7</v>
      </c>
      <c r="DQ533" s="27" t="s">
        <v>8</v>
      </c>
      <c r="DR533" s="27" t="s">
        <v>7</v>
      </c>
      <c r="DT533" s="27" t="s">
        <v>7</v>
      </c>
      <c r="DX533" s="27" t="s">
        <v>7</v>
      </c>
      <c r="DY533" s="27" t="s">
        <v>8</v>
      </c>
      <c r="GV533" s="27" t="s">
        <v>7</v>
      </c>
    </row>
    <row r="534" spans="1:206" x14ac:dyDescent="0.25">
      <c r="A534" s="7">
        <v>2.8563347491571447</v>
      </c>
      <c r="B534"/>
      <c r="C534"/>
      <c r="D534"/>
      <c r="E534"/>
      <c r="Q534" s="27" t="s">
        <v>8</v>
      </c>
      <c r="R534" s="27" t="s">
        <v>7</v>
      </c>
      <c r="S534" s="27" t="s">
        <v>8</v>
      </c>
      <c r="T534" s="27" t="s">
        <v>7</v>
      </c>
      <c r="U534" s="27" t="s">
        <v>8</v>
      </c>
      <c r="V534" s="27" t="s">
        <v>7</v>
      </c>
      <c r="W534" s="27" t="s">
        <v>8</v>
      </c>
      <c r="X534" s="27" t="s">
        <v>7</v>
      </c>
      <c r="Y534" s="27" t="s">
        <v>8</v>
      </c>
      <c r="CF534" s="27" t="s">
        <v>7</v>
      </c>
      <c r="CG534" s="27" t="s">
        <v>8</v>
      </c>
      <c r="CN534" s="27" t="s">
        <v>7</v>
      </c>
      <c r="CO534" s="27" t="s">
        <v>8</v>
      </c>
      <c r="CP534" s="27" t="s">
        <v>7</v>
      </c>
      <c r="CU534" s="27" t="s">
        <v>8</v>
      </c>
      <c r="CW534" s="27" t="s">
        <v>8</v>
      </c>
      <c r="CZ534" s="27" t="s">
        <v>7</v>
      </c>
      <c r="DD534" s="27" t="s">
        <v>7</v>
      </c>
      <c r="DF534" s="27" t="s">
        <v>7</v>
      </c>
      <c r="DO534" s="27" t="s">
        <v>8</v>
      </c>
      <c r="DP534" s="27" t="s">
        <v>7</v>
      </c>
      <c r="DQ534" s="27" t="s">
        <v>8</v>
      </c>
      <c r="DX534" s="27" t="s">
        <v>7</v>
      </c>
    </row>
    <row r="535" spans="1:206" x14ac:dyDescent="0.25">
      <c r="A535" s="7">
        <v>2.8003281854481812</v>
      </c>
      <c r="B535"/>
      <c r="C535"/>
      <c r="D535"/>
      <c r="E535"/>
      <c r="Q535" s="27" t="s">
        <v>8</v>
      </c>
      <c r="R535" s="27" t="s">
        <v>7</v>
      </c>
      <c r="S535" s="27" t="s">
        <v>8</v>
      </c>
      <c r="T535" s="27" t="s">
        <v>7</v>
      </c>
      <c r="V535" s="27" t="s">
        <v>7</v>
      </c>
      <c r="X535" s="27" t="s">
        <v>7</v>
      </c>
      <c r="CF535" s="27" t="s">
        <v>7</v>
      </c>
      <c r="CG535" s="27" t="s">
        <v>8</v>
      </c>
      <c r="CN535" s="27" t="s">
        <v>7</v>
      </c>
      <c r="CO535" s="27" t="s">
        <v>8</v>
      </c>
      <c r="CP535" s="27" t="s">
        <v>7</v>
      </c>
      <c r="CU535" s="27" t="s">
        <v>8</v>
      </c>
      <c r="CV535" s="27" t="s">
        <v>7</v>
      </c>
      <c r="CW535" s="27" t="s">
        <v>8</v>
      </c>
      <c r="DF535" s="27" t="s">
        <v>7</v>
      </c>
      <c r="DM535" s="27" t="s">
        <v>8</v>
      </c>
      <c r="DO535" s="27" t="s">
        <v>8</v>
      </c>
      <c r="DP535" s="27" t="s">
        <v>7</v>
      </c>
      <c r="DQ535" s="27" t="s">
        <v>8</v>
      </c>
    </row>
    <row r="536" spans="1:206" x14ac:dyDescent="0.25">
      <c r="A536" s="7">
        <v>2.7454197896550796</v>
      </c>
      <c r="B536"/>
      <c r="C536"/>
      <c r="D536"/>
      <c r="E536"/>
      <c r="Q536" s="27" t="s">
        <v>8</v>
      </c>
      <c r="R536" s="27" t="s">
        <v>7</v>
      </c>
      <c r="CF536" s="27" t="s">
        <v>7</v>
      </c>
      <c r="CG536" s="27" t="s">
        <v>8</v>
      </c>
      <c r="CN536" s="27" t="s">
        <v>7</v>
      </c>
      <c r="CP536" s="27" t="s">
        <v>7</v>
      </c>
      <c r="CU536" s="27" t="s">
        <v>8</v>
      </c>
      <c r="CV536" s="27" t="s">
        <v>7</v>
      </c>
      <c r="CW536" s="27" t="s">
        <v>8</v>
      </c>
      <c r="DF536" s="27" t="s">
        <v>7</v>
      </c>
      <c r="DM536" s="27" t="s">
        <v>8</v>
      </c>
      <c r="DN536" s="27" t="s">
        <v>7</v>
      </c>
      <c r="DO536" s="27" t="s">
        <v>8</v>
      </c>
      <c r="DP536" s="27" t="s">
        <v>7</v>
      </c>
    </row>
    <row r="537" spans="1:206" x14ac:dyDescent="0.25">
      <c r="A537" s="7">
        <v>2.6915880290736074</v>
      </c>
      <c r="B537"/>
      <c r="C537"/>
      <c r="D537"/>
      <c r="E537"/>
      <c r="Q537" s="27" t="s">
        <v>8</v>
      </c>
      <c r="CF537" s="27" t="s">
        <v>7</v>
      </c>
      <c r="CG537" s="27" t="s">
        <v>8</v>
      </c>
      <c r="CP537" s="27" t="s">
        <v>7</v>
      </c>
      <c r="CQ537" s="27" t="s">
        <v>8</v>
      </c>
      <c r="CU537" s="27" t="s">
        <v>8</v>
      </c>
      <c r="CV537" s="27" t="s">
        <v>7</v>
      </c>
      <c r="CW537" s="27" t="s">
        <v>8</v>
      </c>
      <c r="DF537" s="27" t="s">
        <v>7</v>
      </c>
      <c r="DK537" s="27" t="s">
        <v>8</v>
      </c>
      <c r="DM537" s="27" t="s">
        <v>8</v>
      </c>
      <c r="DN537" s="27" t="s">
        <v>7</v>
      </c>
      <c r="DO537" s="27" t="s">
        <v>8</v>
      </c>
    </row>
    <row r="538" spans="1:206" x14ac:dyDescent="0.25">
      <c r="A538" s="7">
        <v>2.6388117932094191</v>
      </c>
      <c r="B538"/>
      <c r="C538"/>
      <c r="D538"/>
      <c r="E538" t="s">
        <v>8</v>
      </c>
      <c r="Q538" s="27" t="s">
        <v>8</v>
      </c>
      <c r="CF538" s="27" t="s">
        <v>7</v>
      </c>
      <c r="CG538" s="27" t="s">
        <v>8</v>
      </c>
      <c r="CP538" s="27" t="s">
        <v>7</v>
      </c>
      <c r="CQ538" s="27" t="s">
        <v>8</v>
      </c>
      <c r="CR538" s="27" t="s">
        <v>7</v>
      </c>
      <c r="CS538" s="27" t="s">
        <v>8</v>
      </c>
      <c r="CU538" s="27" t="s">
        <v>8</v>
      </c>
      <c r="CV538" s="27" t="s">
        <v>7</v>
      </c>
      <c r="CW538" s="27" t="s">
        <v>8</v>
      </c>
      <c r="DF538" s="27" t="s">
        <v>7</v>
      </c>
      <c r="DK538" s="27" t="s">
        <v>8</v>
      </c>
      <c r="DL538" s="27" t="s">
        <v>7</v>
      </c>
      <c r="DM538" s="27" t="s">
        <v>8</v>
      </c>
      <c r="DN538" s="27" t="s">
        <v>7</v>
      </c>
      <c r="DO538" s="27" t="s">
        <v>8</v>
      </c>
    </row>
    <row r="539" spans="1:206" x14ac:dyDescent="0.25">
      <c r="A539" s="7">
        <v>2.5870703854994304</v>
      </c>
      <c r="B539"/>
      <c r="C539"/>
      <c r="D539"/>
      <c r="E539" t="s">
        <v>8</v>
      </c>
      <c r="F539" s="27" t="s">
        <v>7</v>
      </c>
      <c r="Q539" s="27" t="s">
        <v>8</v>
      </c>
      <c r="CF539" s="27" t="s">
        <v>7</v>
      </c>
      <c r="CG539" s="27" t="s">
        <v>8</v>
      </c>
      <c r="CP539" s="27" t="s">
        <v>7</v>
      </c>
      <c r="CQ539" s="27" t="s">
        <v>8</v>
      </c>
      <c r="CR539" s="27" t="s">
        <v>7</v>
      </c>
      <c r="CS539" s="27" t="s">
        <v>8</v>
      </c>
      <c r="CT539" s="27" t="s">
        <v>7</v>
      </c>
      <c r="CU539" s="27" t="s">
        <v>8</v>
      </c>
      <c r="CV539" s="27" t="s">
        <v>7</v>
      </c>
      <c r="CW539" s="27" t="s">
        <v>8</v>
      </c>
      <c r="DF539" s="27" t="s">
        <v>7</v>
      </c>
      <c r="DI539" s="27" t="s">
        <v>8</v>
      </c>
      <c r="DK539" s="27" t="s">
        <v>8</v>
      </c>
      <c r="DL539" s="27" t="s">
        <v>7</v>
      </c>
      <c r="DM539" s="27" t="s">
        <v>8</v>
      </c>
      <c r="DN539" s="27" t="s">
        <v>7</v>
      </c>
    </row>
    <row r="540" spans="1:206" x14ac:dyDescent="0.25">
      <c r="A540" s="7">
        <v>2.53634351519552</v>
      </c>
      <c r="B540"/>
      <c r="C540"/>
      <c r="D540"/>
      <c r="E540" t="s">
        <v>8</v>
      </c>
      <c r="F540" s="27" t="s">
        <v>7</v>
      </c>
      <c r="Q540" s="27" t="s">
        <v>8</v>
      </c>
      <c r="CF540" s="27" t="s">
        <v>7</v>
      </c>
      <c r="CG540" s="27" t="s">
        <v>8</v>
      </c>
      <c r="CP540" s="27" t="s">
        <v>7</v>
      </c>
      <c r="CQ540" s="27" t="s">
        <v>8</v>
      </c>
      <c r="CR540" s="27" t="s">
        <v>7</v>
      </c>
      <c r="CS540" s="27" t="s">
        <v>8</v>
      </c>
      <c r="CT540" s="27" t="s">
        <v>7</v>
      </c>
      <c r="CU540" s="27" t="s">
        <v>8</v>
      </c>
      <c r="CV540" s="27" t="s">
        <v>7</v>
      </c>
      <c r="CW540" s="27" t="s">
        <v>8</v>
      </c>
      <c r="DF540" s="27" t="s">
        <v>7</v>
      </c>
      <c r="DI540" s="27" t="s">
        <v>8</v>
      </c>
      <c r="DJ540" s="27" t="s">
        <v>7</v>
      </c>
      <c r="DK540" s="27" t="s">
        <v>8</v>
      </c>
      <c r="DL540" s="27" t="s">
        <v>7</v>
      </c>
      <c r="DM540" s="27" t="s">
        <v>8</v>
      </c>
    </row>
    <row r="541" spans="1:206" x14ac:dyDescent="0.25">
      <c r="A541" s="7">
        <v>2.4866112894073726</v>
      </c>
      <c r="B541"/>
      <c r="C541"/>
      <c r="D541"/>
      <c r="E541" t="s">
        <v>8</v>
      </c>
      <c r="F541" s="27" t="s">
        <v>7</v>
      </c>
      <c r="Q541" s="27" t="s">
        <v>8</v>
      </c>
      <c r="CF541" s="27" t="s">
        <v>7</v>
      </c>
      <c r="CG541" s="27" t="s">
        <v>8</v>
      </c>
      <c r="CP541" s="27" t="s">
        <v>7</v>
      </c>
      <c r="CR541" s="27" t="s">
        <v>7</v>
      </c>
      <c r="CT541" s="27" t="s">
        <v>7</v>
      </c>
      <c r="CU541" s="27" t="s">
        <v>8</v>
      </c>
      <c r="CV541" s="27" t="s">
        <v>7</v>
      </c>
      <c r="CW541" s="27" t="s">
        <v>8</v>
      </c>
      <c r="DF541" s="27" t="s">
        <v>7</v>
      </c>
      <c r="DI541" s="27" t="s">
        <v>8</v>
      </c>
      <c r="DJ541" s="27" t="s">
        <v>7</v>
      </c>
      <c r="DK541" s="27" t="s">
        <v>8</v>
      </c>
      <c r="DL541" s="27" t="s">
        <v>7</v>
      </c>
      <c r="DM541" s="27" t="s">
        <v>8</v>
      </c>
    </row>
    <row r="542" spans="1:206" x14ac:dyDescent="0.25">
      <c r="A542" s="7">
        <v>2.4378542053013459</v>
      </c>
      <c r="B542"/>
      <c r="C542"/>
      <c r="D542"/>
      <c r="E542" t="s">
        <v>8</v>
      </c>
      <c r="F542" s="27" t="s">
        <v>7</v>
      </c>
      <c r="O542" s="27" t="s">
        <v>8</v>
      </c>
      <c r="Q542" s="27" t="s">
        <v>8</v>
      </c>
      <c r="CF542" s="27" t="s">
        <v>7</v>
      </c>
      <c r="CG542" s="27" t="s">
        <v>8</v>
      </c>
      <c r="CT542" s="27" t="s">
        <v>7</v>
      </c>
      <c r="CU542" s="27" t="s">
        <v>8</v>
      </c>
      <c r="CV542" s="27" t="s">
        <v>7</v>
      </c>
      <c r="CW542" s="27" t="s">
        <v>8</v>
      </c>
      <c r="DF542" s="27" t="s">
        <v>7</v>
      </c>
      <c r="DG542" s="27" t="s">
        <v>8</v>
      </c>
      <c r="DI542" s="27" t="s">
        <v>8</v>
      </c>
      <c r="DJ542" s="27" t="s">
        <v>7</v>
      </c>
      <c r="DK542" s="27" t="s">
        <v>8</v>
      </c>
      <c r="DL542" s="27" t="s">
        <v>7</v>
      </c>
    </row>
    <row r="543" spans="1:206" x14ac:dyDescent="0.25">
      <c r="A543" s="7">
        <v>2.3900531424522997</v>
      </c>
      <c r="B543"/>
      <c r="C543"/>
      <c r="D543"/>
      <c r="E543" t="s">
        <v>8</v>
      </c>
      <c r="F543" s="27" t="s">
        <v>7</v>
      </c>
      <c r="O543" s="27" t="s">
        <v>8</v>
      </c>
      <c r="P543" s="27" t="s">
        <v>7</v>
      </c>
      <c r="Q543" s="27" t="s">
        <v>8</v>
      </c>
      <c r="CF543" s="27" t="s">
        <v>7</v>
      </c>
      <c r="CG543" s="27" t="s">
        <v>8</v>
      </c>
      <c r="CT543" s="27" t="s">
        <v>7</v>
      </c>
      <c r="CU543" s="27" t="s">
        <v>8</v>
      </c>
      <c r="CV543" s="27" t="s">
        <v>7</v>
      </c>
      <c r="CW543" s="27" t="s">
        <v>8</v>
      </c>
      <c r="DF543" s="27" t="s">
        <v>7</v>
      </c>
      <c r="DG543" s="27" t="s">
        <v>8</v>
      </c>
      <c r="DH543" s="27" t="s">
        <v>7</v>
      </c>
      <c r="DI543" s="27" t="s">
        <v>8</v>
      </c>
      <c r="DJ543" s="27" t="s">
        <v>7</v>
      </c>
      <c r="DK543" s="27" t="s">
        <v>8</v>
      </c>
    </row>
    <row r="544" spans="1:206" x14ac:dyDescent="0.25">
      <c r="A544" s="7">
        <v>2.343189355345392</v>
      </c>
      <c r="B544"/>
      <c r="C544"/>
      <c r="D544"/>
      <c r="E544" t="s">
        <v>8</v>
      </c>
      <c r="F544" s="27" t="s">
        <v>7</v>
      </c>
      <c r="G544" s="27" t="s">
        <v>8</v>
      </c>
      <c r="O544" s="27" t="s">
        <v>8</v>
      </c>
      <c r="P544" s="27" t="s">
        <v>7</v>
      </c>
      <c r="Q544" s="27" t="s">
        <v>8</v>
      </c>
      <c r="CF544" s="27" t="s">
        <v>7</v>
      </c>
      <c r="CG544" s="27" t="s">
        <v>8</v>
      </c>
      <c r="CT544" s="27" t="s">
        <v>7</v>
      </c>
      <c r="CV544" s="27" t="s">
        <v>7</v>
      </c>
      <c r="CW544" s="27" t="s">
        <v>8</v>
      </c>
      <c r="DF544" s="27" t="s">
        <v>7</v>
      </c>
      <c r="DG544" s="27" t="s">
        <v>8</v>
      </c>
      <c r="DH544" s="27" t="s">
        <v>7</v>
      </c>
      <c r="DI544" s="27" t="s">
        <v>8</v>
      </c>
      <c r="DJ544" s="27" t="s">
        <v>7</v>
      </c>
      <c r="DK544" s="27" t="s">
        <v>8</v>
      </c>
    </row>
    <row r="545" spans="1:114" x14ac:dyDescent="0.25">
      <c r="A545" s="7">
        <v>2.2972444660248938</v>
      </c>
      <c r="B545"/>
      <c r="C545"/>
      <c r="D545"/>
      <c r="E545" t="s">
        <v>8</v>
      </c>
      <c r="F545" s="27" t="s">
        <v>7</v>
      </c>
      <c r="G545" s="27" t="s">
        <v>8</v>
      </c>
      <c r="H545" s="27" t="s">
        <v>7</v>
      </c>
      <c r="O545" s="27" t="s">
        <v>8</v>
      </c>
      <c r="P545" s="27" t="s">
        <v>7</v>
      </c>
      <c r="Q545" s="27" t="s">
        <v>8</v>
      </c>
      <c r="CF545" s="27" t="s">
        <v>7</v>
      </c>
      <c r="CG545" s="27" t="s">
        <v>8</v>
      </c>
      <c r="CV545" s="27" t="s">
        <v>7</v>
      </c>
      <c r="CW545" s="27" t="s">
        <v>8</v>
      </c>
      <c r="DF545" s="27" t="s">
        <v>7</v>
      </c>
      <c r="DG545" s="27" t="s">
        <v>8</v>
      </c>
      <c r="DH545" s="27" t="s">
        <v>7</v>
      </c>
      <c r="DI545" s="27" t="s">
        <v>8</v>
      </c>
      <c r="DJ545" s="27" t="s">
        <v>7</v>
      </c>
    </row>
    <row r="546" spans="1:114" x14ac:dyDescent="0.25">
      <c r="A546" s="7">
        <v>2.252200456887151</v>
      </c>
      <c r="B546"/>
      <c r="C546"/>
      <c r="D546"/>
      <c r="E546" t="s">
        <v>8</v>
      </c>
      <c r="F546" s="27" t="s">
        <v>7</v>
      </c>
      <c r="G546" s="27" t="s">
        <v>8</v>
      </c>
      <c r="H546" s="27" t="s">
        <v>7</v>
      </c>
      <c r="O546" s="27" t="s">
        <v>8</v>
      </c>
      <c r="P546" s="27" t="s">
        <v>7</v>
      </c>
      <c r="Q546" s="27" t="s">
        <v>8</v>
      </c>
      <c r="CF546" s="27" t="s">
        <v>7</v>
      </c>
      <c r="CG546" s="27" t="s">
        <v>8</v>
      </c>
      <c r="CV546" s="27" t="s">
        <v>7</v>
      </c>
      <c r="CW546" s="27" t="s">
        <v>8</v>
      </c>
      <c r="DF546" s="27" t="s">
        <v>7</v>
      </c>
      <c r="DH546" s="27" t="s">
        <v>7</v>
      </c>
      <c r="DI546" s="27" t="s">
        <v>8</v>
      </c>
    </row>
    <row r="547" spans="1:114" x14ac:dyDescent="0.25">
      <c r="A547" s="7">
        <v>2.208039663614854</v>
      </c>
      <c r="B547"/>
      <c r="C547"/>
      <c r="D547"/>
      <c r="E547" t="s">
        <v>8</v>
      </c>
      <c r="F547" s="27" t="s">
        <v>7</v>
      </c>
      <c r="G547" s="27" t="s">
        <v>8</v>
      </c>
      <c r="H547" s="27" t="s">
        <v>7</v>
      </c>
      <c r="K547" s="27" t="s">
        <v>8</v>
      </c>
      <c r="M547" s="27" t="s">
        <v>8</v>
      </c>
      <c r="O547" s="27" t="s">
        <v>8</v>
      </c>
      <c r="P547" s="27" t="s">
        <v>7</v>
      </c>
      <c r="Q547" s="27" t="s">
        <v>8</v>
      </c>
      <c r="CF547" s="27" t="s">
        <v>7</v>
      </c>
      <c r="CV547" s="27" t="s">
        <v>7</v>
      </c>
      <c r="CW547" s="27" t="s">
        <v>8</v>
      </c>
      <c r="DH547" s="18" t="s">
        <v>7</v>
      </c>
      <c r="DI547" s="27" t="s">
        <v>8</v>
      </c>
    </row>
    <row r="548" spans="1:114" x14ac:dyDescent="0.25">
      <c r="A548" s="7">
        <v>2.1647447682498568</v>
      </c>
      <c r="B548"/>
      <c r="C548"/>
      <c r="D548"/>
      <c r="E548" t="s">
        <v>8</v>
      </c>
      <c r="F548" s="27" t="s">
        <v>7</v>
      </c>
      <c r="G548" s="27" t="s">
        <v>8</v>
      </c>
      <c r="H548" s="27" t="s">
        <v>7</v>
      </c>
      <c r="K548" s="27" t="s">
        <v>8</v>
      </c>
      <c r="L548" s="27" t="s">
        <v>7</v>
      </c>
      <c r="M548" s="27" t="s">
        <v>8</v>
      </c>
      <c r="N548" s="27" t="s">
        <v>7</v>
      </c>
      <c r="O548" s="27" t="s">
        <v>8</v>
      </c>
      <c r="P548" s="27" t="s">
        <v>7</v>
      </c>
      <c r="Q548" s="27" t="s">
        <v>8</v>
      </c>
      <c r="CV548" s="27" t="s">
        <v>7</v>
      </c>
      <c r="CW548" s="27" t="s">
        <v>8</v>
      </c>
      <c r="DH548" s="27" t="s">
        <v>7</v>
      </c>
      <c r="DI548" s="27" t="s">
        <v>8</v>
      </c>
    </row>
    <row r="549" spans="1:114" x14ac:dyDescent="0.25">
      <c r="A549" s="7">
        <v>2.1222987924018204</v>
      </c>
      <c r="B549"/>
      <c r="C549"/>
      <c r="D549"/>
      <c r="E549" t="s">
        <v>8</v>
      </c>
      <c r="F549" s="27" t="s">
        <v>7</v>
      </c>
      <c r="G549" s="27" t="s">
        <v>8</v>
      </c>
      <c r="H549" s="27" t="s">
        <v>7</v>
      </c>
      <c r="I549" s="27" t="s">
        <v>8</v>
      </c>
      <c r="K549" s="27" t="s">
        <v>8</v>
      </c>
      <c r="L549" s="27" t="s">
        <v>7</v>
      </c>
      <c r="M549" s="27" t="s">
        <v>8</v>
      </c>
      <c r="N549" s="27" t="s">
        <v>7</v>
      </c>
      <c r="O549" s="27" t="s">
        <v>8</v>
      </c>
      <c r="P549" s="27" t="s">
        <v>7</v>
      </c>
      <c r="CV549" s="27" t="s">
        <v>7</v>
      </c>
      <c r="CW549" s="27" t="s">
        <v>8</v>
      </c>
      <c r="DH549" s="27" t="s">
        <v>7</v>
      </c>
    </row>
    <row r="550" spans="1:114" x14ac:dyDescent="0.25">
      <c r="A550" s="7">
        <v>2.0806850905900198</v>
      </c>
      <c r="B550"/>
      <c r="C550"/>
      <c r="D550"/>
      <c r="E550" t="s">
        <v>8</v>
      </c>
      <c r="F550" s="27" t="s">
        <v>7</v>
      </c>
      <c r="G550" s="27" t="s">
        <v>8</v>
      </c>
      <c r="H550" s="27" t="s">
        <v>7</v>
      </c>
      <c r="I550" s="27" t="s">
        <v>8</v>
      </c>
      <c r="J550" s="27" t="s">
        <v>7</v>
      </c>
      <c r="K550" s="27" t="s">
        <v>8</v>
      </c>
      <c r="L550" s="27" t="s">
        <v>7</v>
      </c>
      <c r="M550" s="27" t="s">
        <v>8</v>
      </c>
      <c r="N550" s="27" t="s">
        <v>7</v>
      </c>
      <c r="O550" s="27" t="s">
        <v>8</v>
      </c>
      <c r="CV550" s="27" t="s">
        <v>7</v>
      </c>
      <c r="CW550" s="27" t="s">
        <v>8</v>
      </c>
    </row>
    <row r="551" spans="1:114" x14ac:dyDescent="0.25">
      <c r="A551" s="7">
        <v>2.0398873437157055</v>
      </c>
      <c r="B551"/>
      <c r="C551"/>
      <c r="D551"/>
      <c r="E551" t="s">
        <v>8</v>
      </c>
      <c r="F551" s="27" t="s">
        <v>7</v>
      </c>
      <c r="H551" s="27" t="s">
        <v>7</v>
      </c>
      <c r="I551" s="27" t="s">
        <v>8</v>
      </c>
      <c r="J551" s="27" t="s">
        <v>7</v>
      </c>
      <c r="K551" s="27" t="s">
        <v>8</v>
      </c>
      <c r="L551" s="27" t="s">
        <v>7</v>
      </c>
      <c r="M551" s="27" t="s">
        <v>8</v>
      </c>
      <c r="N551" s="27" t="s">
        <v>7</v>
      </c>
      <c r="CV551" s="27" t="s">
        <v>7</v>
      </c>
      <c r="CW551" s="27" t="s">
        <v>8</v>
      </c>
    </row>
    <row r="552" spans="1:114" x14ac:dyDescent="0.25">
      <c r="A552" s="7">
        <v>1.9998895526624565</v>
      </c>
      <c r="B552"/>
      <c r="C552"/>
      <c r="D552"/>
      <c r="E552" t="s">
        <v>8</v>
      </c>
      <c r="H552" s="27" t="s">
        <v>7</v>
      </c>
      <c r="I552" s="27" t="s">
        <v>8</v>
      </c>
      <c r="J552" s="27" t="s">
        <v>7</v>
      </c>
      <c r="K552" s="27" t="s">
        <v>8</v>
      </c>
      <c r="L552" s="27" t="s">
        <v>7</v>
      </c>
      <c r="M552" s="27" t="s">
        <v>8</v>
      </c>
      <c r="CV552" s="27" t="s">
        <v>7</v>
      </c>
      <c r="CW552" s="27" t="s">
        <v>8</v>
      </c>
    </row>
    <row r="553" spans="1:114" x14ac:dyDescent="0.25">
      <c r="A553" s="7">
        <v>1.9606760320220162</v>
      </c>
      <c r="B553"/>
      <c r="C553"/>
      <c r="D553"/>
      <c r="E553" t="s">
        <v>8</v>
      </c>
      <c r="H553" s="27" t="s">
        <v>7</v>
      </c>
      <c r="I553" s="27" t="s">
        <v>8</v>
      </c>
      <c r="J553" s="27" t="s">
        <v>7</v>
      </c>
      <c r="K553" s="27" t="s">
        <v>8</v>
      </c>
      <c r="L553" s="27" t="s">
        <v>7</v>
      </c>
      <c r="M553" s="27" t="s">
        <v>8</v>
      </c>
      <c r="CV553" s="27" t="s">
        <v>7</v>
      </c>
      <c r="CW553" s="27" t="s">
        <v>8</v>
      </c>
    </row>
    <row r="554" spans="1:114" x14ac:dyDescent="0.25">
      <c r="A554" s="7">
        <v>1.9222314039431532</v>
      </c>
      <c r="B554"/>
      <c r="C554"/>
      <c r="D554"/>
      <c r="E554" t="s">
        <v>8</v>
      </c>
      <c r="H554" s="27" t="s">
        <v>7</v>
      </c>
      <c r="I554" s="27" t="s">
        <v>8</v>
      </c>
      <c r="J554" s="27" t="s">
        <v>7</v>
      </c>
      <c r="L554" s="27" t="s">
        <v>7</v>
      </c>
      <c r="CV554" s="27" t="s">
        <v>7</v>
      </c>
      <c r="CW554" s="27" t="s">
        <v>8</v>
      </c>
    </row>
    <row r="555" spans="1:114" x14ac:dyDescent="0.25">
      <c r="A555" s="7">
        <v>1.8845405921011305</v>
      </c>
      <c r="B555"/>
      <c r="C555"/>
      <c r="D555"/>
      <c r="E555" t="s">
        <v>8</v>
      </c>
      <c r="H555" s="27" t="s">
        <v>7</v>
      </c>
      <c r="I555" s="27" t="s">
        <v>8</v>
      </c>
      <c r="CV555" s="27" t="s">
        <v>7</v>
      </c>
      <c r="CW555" s="27" t="s">
        <v>8</v>
      </c>
    </row>
    <row r="556" spans="1:114" x14ac:dyDescent="0.25">
      <c r="A556" s="7">
        <v>1.8475888157854219</v>
      </c>
      <c r="B556"/>
      <c r="C556"/>
      <c r="D556"/>
      <c r="E556" t="s">
        <v>8</v>
      </c>
      <c r="H556" s="27" t="s">
        <v>7</v>
      </c>
      <c r="I556" s="27" t="s">
        <v>8</v>
      </c>
      <c r="CV556" s="27" t="s">
        <v>7</v>
      </c>
      <c r="CW556" s="27" t="s">
        <v>8</v>
      </c>
    </row>
    <row r="557" spans="1:114" x14ac:dyDescent="0.25">
      <c r="A557" s="7">
        <v>1.8113615841033548</v>
      </c>
      <c r="B557"/>
      <c r="C557"/>
      <c r="D557"/>
      <c r="E557" t="s">
        <v>8</v>
      </c>
      <c r="H557" s="27" t="s">
        <v>7</v>
      </c>
      <c r="I557" s="27" t="s">
        <v>8</v>
      </c>
      <c r="CV557" s="27" t="s">
        <v>7</v>
      </c>
      <c r="CW557" s="27" t="s">
        <v>8</v>
      </c>
    </row>
    <row r="558" spans="1:114" x14ac:dyDescent="0.25">
      <c r="A558" s="7">
        <v>1.7758446902974065</v>
      </c>
      <c r="B558"/>
      <c r="C558"/>
      <c r="D558"/>
      <c r="E558" t="s">
        <v>8</v>
      </c>
      <c r="H558" s="27" t="s">
        <v>7</v>
      </c>
      <c r="CV558" s="27" t="s">
        <v>7</v>
      </c>
      <c r="CW558" s="27" t="s">
        <v>8</v>
      </c>
    </row>
    <row r="559" spans="1:114" x14ac:dyDescent="0.25">
      <c r="A559" s="7">
        <v>1.7410242061739281</v>
      </c>
      <c r="B559"/>
      <c r="C559"/>
      <c r="D559"/>
      <c r="E559" t="s">
        <v>8</v>
      </c>
      <c r="CV559" s="27" t="s">
        <v>7</v>
      </c>
      <c r="CW559" s="27" t="s">
        <v>8</v>
      </c>
    </row>
    <row r="560" spans="1:114" x14ac:dyDescent="0.25">
      <c r="A560" s="7">
        <v>1.7068864766411058</v>
      </c>
      <c r="B560"/>
      <c r="C560"/>
      <c r="D560"/>
      <c r="E560" t="s">
        <v>8</v>
      </c>
      <c r="CV560" s="27" t="s">
        <v>7</v>
      </c>
      <c r="CW560" s="27" t="s">
        <v>8</v>
      </c>
    </row>
    <row r="561" spans="1:100" x14ac:dyDescent="0.25">
      <c r="A561" s="7">
        <v>1.6734181143540252</v>
      </c>
      <c r="B561"/>
      <c r="C561"/>
      <c r="D561"/>
      <c r="E561" t="s">
        <v>8</v>
      </c>
      <c r="CV561" s="27" t="s">
        <v>7</v>
      </c>
    </row>
    <row r="562" spans="1:100" x14ac:dyDescent="0.25">
      <c r="A562" s="7">
        <v>1.6406059944647307</v>
      </c>
      <c r="B562"/>
      <c r="C562"/>
      <c r="D562"/>
      <c r="E562" t="s">
        <v>8</v>
      </c>
    </row>
    <row r="563" spans="1:100" x14ac:dyDescent="0.25">
      <c r="A563" s="7">
        <v>1.6084372494752261</v>
      </c>
      <c r="B563"/>
      <c r="C563"/>
      <c r="D563"/>
      <c r="E563" t="s">
        <v>8</v>
      </c>
    </row>
    <row r="564" spans="1:100" x14ac:dyDescent="0.25">
      <c r="A564" s="7">
        <v>1.5768992641913981</v>
      </c>
      <c r="B564"/>
      <c r="C564"/>
      <c r="D564"/>
      <c r="E564" t="s">
        <v>8</v>
      </c>
    </row>
    <row r="565" spans="1:100" x14ac:dyDescent="0.25">
      <c r="A565" s="7">
        <v>1.5459796707758806</v>
      </c>
      <c r="B565"/>
      <c r="C565"/>
      <c r="D565"/>
      <c r="E565" t="s">
        <v>8</v>
      </c>
    </row>
    <row r="566" spans="1:100" x14ac:dyDescent="0.25">
      <c r="A566" s="7">
        <v>1.5156663438979221</v>
      </c>
      <c r="B566"/>
      <c r="C566"/>
      <c r="D566"/>
      <c r="E566" t="s">
        <v>8</v>
      </c>
    </row>
    <row r="567" spans="1:100" x14ac:dyDescent="0.25">
      <c r="A567" s="7">
        <v>1.4859473959783549</v>
      </c>
      <c r="B567"/>
      <c r="C567"/>
      <c r="D567"/>
      <c r="E567" t="s">
        <v>8</v>
      </c>
    </row>
    <row r="568" spans="1:100" x14ac:dyDescent="0.25">
      <c r="A568" s="7">
        <v>1.4568111725277988</v>
      </c>
      <c r="B568"/>
      <c r="C568"/>
      <c r="D568"/>
      <c r="E568" t="s">
        <v>8</v>
      </c>
    </row>
    <row r="569" spans="1:100" x14ac:dyDescent="0.25">
      <c r="A569" s="7">
        <v>1.4282462475762734</v>
      </c>
      <c r="B569"/>
      <c r="C569"/>
      <c r="D569"/>
      <c r="E569" t="s">
        <v>8</v>
      </c>
    </row>
    <row r="570" spans="1:100" x14ac:dyDescent="0.25">
      <c r="A570" s="7">
        <v>1.4002414191924248</v>
      </c>
      <c r="B570"/>
      <c r="C570"/>
      <c r="D570"/>
      <c r="E570" t="s">
        <v>8</v>
      </c>
    </row>
    <row r="571" spans="1:100" x14ac:dyDescent="0.25">
      <c r="A571" s="7">
        <v>1.3727857050906125</v>
      </c>
      <c r="B571"/>
      <c r="C571"/>
      <c r="D571"/>
      <c r="E571" t="s">
        <v>8</v>
      </c>
    </row>
    <row r="572" spans="1:100" x14ac:dyDescent="0.25">
      <c r="A572" s="7">
        <v>1.3458683383241299</v>
      </c>
      <c r="B572"/>
      <c r="C572"/>
      <c r="D572"/>
      <c r="E572" t="s">
        <v>8</v>
      </c>
    </row>
    <row r="573" spans="1:100" x14ac:dyDescent="0.25">
      <c r="A573" s="7">
        <v>1.3194787630628724</v>
      </c>
      <c r="B573"/>
      <c r="C573"/>
      <c r="D573"/>
      <c r="E573" t="s">
        <v>8</v>
      </c>
    </row>
    <row r="574" spans="1:100" x14ac:dyDescent="0.25">
      <c r="A574" s="7">
        <v>1.2936066304537963</v>
      </c>
      <c r="B574"/>
      <c r="C574"/>
      <c r="D574"/>
      <c r="E574" t="s">
        <v>8</v>
      </c>
    </row>
    <row r="575" spans="1:100" x14ac:dyDescent="0.25">
      <c r="A575" s="7">
        <v>1.2682417945625455</v>
      </c>
      <c r="B575"/>
      <c r="C575"/>
      <c r="D575"/>
      <c r="E575" t="s">
        <v>8</v>
      </c>
    </row>
    <row r="576" spans="1:100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93" operator="equal">
      <formula>$U$1</formula>
    </cfRule>
    <cfRule type="cellIs" dxfId="89" priority="794" operator="equal">
      <formula>$S$1</formula>
    </cfRule>
  </conditionalFormatting>
  <conditionalFormatting sqref="D27">
    <cfRule type="cellIs" dxfId="88" priority="791" operator="equal">
      <formula>$S$1</formula>
    </cfRule>
    <cfRule type="cellIs" dxfId="87" priority="792" operator="equal">
      <formula>$U$1</formula>
    </cfRule>
  </conditionalFormatting>
  <conditionalFormatting sqref="C164">
    <cfRule type="cellIs" dxfId="86" priority="789" operator="equal">
      <formula>$U$1</formula>
    </cfRule>
    <cfRule type="cellIs" dxfId="85" priority="790" operator="equal">
      <formula>$S$1</formula>
    </cfRule>
  </conditionalFormatting>
  <conditionalFormatting sqref="D164">
    <cfRule type="cellIs" dxfId="84" priority="787" operator="equal">
      <formula>$S$1</formula>
    </cfRule>
    <cfRule type="cellIs" dxfId="83" priority="788" operator="equal">
      <formula>$U$1</formula>
    </cfRule>
  </conditionalFormatting>
  <conditionalFormatting sqref="C55">
    <cfRule type="cellIs" dxfId="82" priority="785" operator="equal">
      <formula>$U$1</formula>
    </cfRule>
    <cfRule type="cellIs" dxfId="81" priority="786" operator="equal">
      <formula>$S$1</formula>
    </cfRule>
  </conditionalFormatting>
  <conditionalFormatting sqref="D55">
    <cfRule type="cellIs" dxfId="80" priority="783" operator="equal">
      <formula>$S$1</formula>
    </cfRule>
    <cfRule type="cellIs" dxfId="79" priority="784" operator="equal">
      <formula>$U$1</formula>
    </cfRule>
  </conditionalFormatting>
  <conditionalFormatting sqref="C89">
    <cfRule type="cellIs" dxfId="78" priority="781" operator="equal">
      <formula>$U$1</formula>
    </cfRule>
    <cfRule type="cellIs" dxfId="77" priority="782" operator="equal">
      <formula>$S$1</formula>
    </cfRule>
  </conditionalFormatting>
  <conditionalFormatting sqref="D89">
    <cfRule type="cellIs" dxfId="76" priority="779" operator="equal">
      <formula>$S$1</formula>
    </cfRule>
    <cfRule type="cellIs" dxfId="75" priority="780" operator="equal">
      <formula>$U$1</formula>
    </cfRule>
  </conditionalFormatting>
  <conditionalFormatting sqref="C136">
    <cfRule type="cellIs" dxfId="74" priority="777" operator="equal">
      <formula>$U$1</formula>
    </cfRule>
    <cfRule type="cellIs" dxfId="73" priority="778" operator="equal">
      <formula>$S$1</formula>
    </cfRule>
  </conditionalFormatting>
  <conditionalFormatting sqref="D136">
    <cfRule type="cellIs" dxfId="72" priority="775" operator="equal">
      <formula>$S$1</formula>
    </cfRule>
    <cfRule type="cellIs" dxfId="71" priority="776" operator="equal">
      <formula>$U$1</formula>
    </cfRule>
  </conditionalFormatting>
  <conditionalFormatting sqref="C1">
    <cfRule type="cellIs" dxfId="70" priority="77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97" zoomScale="90" zoomScaleNormal="90" workbookViewId="0">
      <pane xSplit="4" topLeftCell="G1" activePane="topRight" state="frozen"/>
      <selection activeCell="A109" sqref="A109"/>
      <selection pane="topRight" activeCell="CN218" sqref="CN21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$A$217</v>
      </c>
      <c r="D111" s="1" t="str">
        <f>ADDRESS(C121-1,D121,1,1)</f>
        <v>$CN$217</v>
      </c>
      <c r="E111"/>
    </row>
    <row r="112" spans="1:5" x14ac:dyDescent="0.25">
      <c r="A112" s="30">
        <v>515.50191262726139</v>
      </c>
      <c r="C112" s="1" t="str">
        <f>ADDRESS(C121,1,1,1)</f>
        <v>$A$218</v>
      </c>
      <c r="D112" s="1" t="str">
        <f>ADDRESS(C121,D121-1,1,1)</f>
        <v>$CM$218</v>
      </c>
      <c r="E112"/>
    </row>
    <row r="113" spans="1:5" x14ac:dyDescent="0.25">
      <c r="A113" s="30">
        <v>490.95420250215363</v>
      </c>
      <c r="C113" s="1" t="str">
        <f>ADDRESS(C121+1,1,1,1)</f>
        <v>$A$219</v>
      </c>
      <c r="D113" s="1" t="str">
        <f>ADDRESS(C121-1,D121+1,1,1)</f>
        <v>$CO$217</v>
      </c>
    </row>
    <row r="114" spans="1:5" x14ac:dyDescent="0.25">
      <c r="A114" s="30">
        <v>467.57543095443202</v>
      </c>
      <c r="C114" s="1" t="str">
        <f>ADDRESS(C121,D121,1,1)</f>
        <v>$CN$218</v>
      </c>
      <c r="D114" s="1" t="str">
        <f>ADDRESS(C121+1,D121+1,1,1)</f>
        <v>$CO$219</v>
      </c>
    </row>
    <row r="115" spans="1:5" x14ac:dyDescent="0.25">
      <c r="A115" s="30">
        <v>445.30993424231622</v>
      </c>
      <c r="C115" s="1" t="str">
        <f>ADDRESS(C121+1,D121,1,1)</f>
        <v>$CN$219</v>
      </c>
    </row>
    <row r="116" spans="1:5" x14ac:dyDescent="0.25">
      <c r="A116" s="30">
        <v>424.10469927839637</v>
      </c>
      <c r="C116" s="1">
        <f>C117-1</f>
        <v>217</v>
      </c>
    </row>
    <row r="117" spans="1:5" x14ac:dyDescent="0.25">
      <c r="A117" s="30">
        <v>403.9092374079965</v>
      </c>
      <c r="C117" s="1">
        <f>C121</f>
        <v>218</v>
      </c>
      <c r="D117" s="1">
        <f>D121</f>
        <v>92</v>
      </c>
    </row>
    <row r="118" spans="1:5" x14ac:dyDescent="0.25">
      <c r="A118" s="30">
        <v>384.6754641980919</v>
      </c>
      <c r="C118" s="1">
        <f>C117+1</f>
        <v>219</v>
      </c>
      <c r="D118" s="1">
        <f>D117+1</f>
        <v>93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218</v>
      </c>
      <c r="D121" s="19">
        <v>92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R218</v>
      </c>
      <c r="D123" s="1" t="str">
        <f>"C"&amp;D121</f>
        <v>C92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2.9252607199217264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90" x14ac:dyDescent="0.25">
      <c r="A193" s="30">
        <v>9.9059710923258422</v>
      </c>
      <c r="E193"/>
    </row>
    <row r="194" spans="1:90" x14ac:dyDescent="0.25">
      <c r="A194" s="30">
        <v>9.4342581831674686</v>
      </c>
      <c r="E194"/>
    </row>
    <row r="195" spans="1:90" x14ac:dyDescent="0.25">
      <c r="A195" s="30">
        <v>8.9850077934928265</v>
      </c>
      <c r="E195"/>
    </row>
    <row r="196" spans="1:90" x14ac:dyDescent="0.25">
      <c r="A196" s="30">
        <v>8.5571502795169767</v>
      </c>
      <c r="E196"/>
    </row>
    <row r="197" spans="1:90" x14ac:dyDescent="0.25">
      <c r="A197" s="30">
        <v>8.1496669328733109</v>
      </c>
      <c r="E197"/>
      <c r="BQ197" s="27" t="s">
        <v>8</v>
      </c>
    </row>
    <row r="198" spans="1:90" x14ac:dyDescent="0.25">
      <c r="A198" s="30">
        <v>7.7615875551174378</v>
      </c>
      <c r="E198"/>
      <c r="BQ198" s="27" t="s">
        <v>8</v>
      </c>
      <c r="BR198" s="27" t="s">
        <v>7</v>
      </c>
      <c r="BW198" s="27" t="s">
        <v>8</v>
      </c>
    </row>
    <row r="199" spans="1:90" x14ac:dyDescent="0.25">
      <c r="A199" s="30">
        <v>7.3919881477308929</v>
      </c>
      <c r="E199"/>
      <c r="BI199" s="27" t="s">
        <v>8</v>
      </c>
      <c r="BO199" s="27" t="s">
        <v>8</v>
      </c>
      <c r="BQ199" s="27" t="s">
        <v>8</v>
      </c>
      <c r="BR199" s="27" t="s">
        <v>7</v>
      </c>
      <c r="BW199" s="27" t="s">
        <v>8</v>
      </c>
      <c r="BX199" s="27" t="s">
        <v>7</v>
      </c>
    </row>
    <row r="200" spans="1:90" x14ac:dyDescent="0.25">
      <c r="A200" s="30">
        <v>7.0399887121246598</v>
      </c>
      <c r="E200"/>
      <c r="AC200" s="27" t="s">
        <v>8</v>
      </c>
      <c r="BI200" s="27" t="s">
        <v>8</v>
      </c>
      <c r="BJ200" s="27" t="s">
        <v>7</v>
      </c>
      <c r="BO200" s="27" t="s">
        <v>8</v>
      </c>
      <c r="BP200" s="27" t="s">
        <v>7</v>
      </c>
      <c r="BQ200" s="27" t="s">
        <v>8</v>
      </c>
      <c r="BR200" s="27" t="s">
        <v>7</v>
      </c>
      <c r="BW200" s="27" t="s">
        <v>8</v>
      </c>
      <c r="BX200" s="27" t="s">
        <v>7</v>
      </c>
    </row>
    <row r="201" spans="1:90" x14ac:dyDescent="0.25">
      <c r="A201" s="30">
        <v>6.7047511544044376</v>
      </c>
      <c r="E201"/>
      <c r="AC201" s="27" t="s">
        <v>8</v>
      </c>
      <c r="AD201" s="27" t="s">
        <v>7</v>
      </c>
      <c r="AE201" s="27" t="s">
        <v>8</v>
      </c>
      <c r="BI201" s="27" t="s">
        <v>8</v>
      </c>
      <c r="BJ201" s="27" t="s">
        <v>7</v>
      </c>
      <c r="BO201" s="27" t="s">
        <v>8</v>
      </c>
      <c r="BP201" s="27" t="s">
        <v>7</v>
      </c>
      <c r="BQ201" s="27" t="s">
        <v>8</v>
      </c>
      <c r="BR201" s="27" t="s">
        <v>7</v>
      </c>
      <c r="BS201" s="27" t="s">
        <v>8</v>
      </c>
      <c r="BW201" s="27" t="s">
        <v>8</v>
      </c>
      <c r="BX201" s="27" t="s">
        <v>7</v>
      </c>
    </row>
    <row r="202" spans="1:90" x14ac:dyDescent="0.25">
      <c r="A202" s="30">
        <v>6.3854772899089882</v>
      </c>
      <c r="E202"/>
      <c r="O202" s="27" t="s">
        <v>8</v>
      </c>
      <c r="AC202" s="27" t="s">
        <v>8</v>
      </c>
      <c r="AD202" s="27" t="s">
        <v>7</v>
      </c>
      <c r="AE202" s="27" t="s">
        <v>8</v>
      </c>
      <c r="AF202" s="27" t="s">
        <v>7</v>
      </c>
      <c r="AO202" s="32" t="s">
        <v>8</v>
      </c>
      <c r="BI202" s="27" t="s">
        <v>8</v>
      </c>
      <c r="BJ202" s="27" t="s">
        <v>7</v>
      </c>
      <c r="BK202" s="27" t="s">
        <v>8</v>
      </c>
      <c r="BO202" s="27" t="s">
        <v>8</v>
      </c>
      <c r="BP202" s="27" t="s">
        <v>7</v>
      </c>
      <c r="BQ202" s="27" t="s">
        <v>8</v>
      </c>
      <c r="BR202" s="27" t="s">
        <v>7</v>
      </c>
      <c r="BS202" s="27" t="s">
        <v>8</v>
      </c>
      <c r="BT202" s="27" t="s">
        <v>7</v>
      </c>
      <c r="BU202" s="27" t="s">
        <v>8</v>
      </c>
      <c r="BW202" s="27" t="s">
        <v>8</v>
      </c>
      <c r="BX202" s="27" t="s">
        <v>7</v>
      </c>
    </row>
    <row r="203" spans="1:90" x14ac:dyDescent="0.25">
      <c r="A203" s="30">
        <v>6.0814069427704647</v>
      </c>
      <c r="C203" s="7"/>
      <c r="D203"/>
      <c r="E203"/>
      <c r="O203" s="27" t="s">
        <v>8</v>
      </c>
      <c r="P203" s="27" t="s">
        <v>7</v>
      </c>
      <c r="AC203" s="27" t="s">
        <v>8</v>
      </c>
      <c r="AD203" s="27" t="s">
        <v>7</v>
      </c>
      <c r="AE203" s="27" t="s">
        <v>8</v>
      </c>
      <c r="AF203" s="27" t="s">
        <v>7</v>
      </c>
      <c r="AG203" s="27" t="s">
        <v>8</v>
      </c>
      <c r="AO203" s="27" t="s">
        <v>8</v>
      </c>
      <c r="AP203" s="32" t="s">
        <v>7</v>
      </c>
      <c r="BI203" s="27" t="s">
        <v>8</v>
      </c>
      <c r="BJ203" s="27" t="s">
        <v>7</v>
      </c>
      <c r="BK203" s="27" t="s">
        <v>8</v>
      </c>
      <c r="BL203" s="27" t="s">
        <v>7</v>
      </c>
      <c r="BM203" s="27" t="s">
        <v>8</v>
      </c>
      <c r="BO203" s="27" t="s">
        <v>8</v>
      </c>
      <c r="BP203" s="27" t="s">
        <v>7</v>
      </c>
      <c r="BQ203" s="27" t="s">
        <v>8</v>
      </c>
      <c r="BR203" s="27" t="s">
        <v>7</v>
      </c>
      <c r="BS203" s="27" t="s">
        <v>8</v>
      </c>
      <c r="BT203" s="27" t="s">
        <v>7</v>
      </c>
      <c r="BU203" s="27" t="s">
        <v>8</v>
      </c>
      <c r="BV203" s="27" t="s">
        <v>7</v>
      </c>
      <c r="BW203" s="27" t="s">
        <v>8</v>
      </c>
      <c r="BX203" s="27" t="s">
        <v>7</v>
      </c>
      <c r="BY203" s="27" t="s">
        <v>8</v>
      </c>
    </row>
    <row r="204" spans="1:90" x14ac:dyDescent="0.25">
      <c r="A204" s="30">
        <v>5.7918161359718709</v>
      </c>
      <c r="E204"/>
      <c r="K204" s="27" t="s">
        <v>8</v>
      </c>
      <c r="O204" s="27" t="s">
        <v>8</v>
      </c>
      <c r="P204" s="27" t="s">
        <v>7</v>
      </c>
      <c r="AC204" s="27" t="s">
        <v>8</v>
      </c>
      <c r="AD204" s="27" t="s">
        <v>7</v>
      </c>
      <c r="AE204" s="27" t="s">
        <v>8</v>
      </c>
      <c r="AF204" s="27" t="s">
        <v>7</v>
      </c>
      <c r="AG204" s="27" t="s">
        <v>8</v>
      </c>
      <c r="AH204" s="27" t="s">
        <v>7</v>
      </c>
      <c r="AI204" s="33" t="s">
        <v>8</v>
      </c>
      <c r="AK204" s="33" t="s">
        <v>8</v>
      </c>
      <c r="AO204" s="31" t="s">
        <v>8</v>
      </c>
      <c r="AP204" s="27" t="s">
        <v>7</v>
      </c>
      <c r="AQ204" s="32"/>
      <c r="BI204" s="27" t="s">
        <v>8</v>
      </c>
      <c r="BJ204" s="27" t="s">
        <v>7</v>
      </c>
      <c r="BK204" s="27" t="s">
        <v>8</v>
      </c>
      <c r="BL204" s="27" t="s">
        <v>7</v>
      </c>
      <c r="BM204" s="27" t="s">
        <v>8</v>
      </c>
      <c r="BN204" s="27" t="s">
        <v>7</v>
      </c>
      <c r="BO204" s="27" t="s">
        <v>8</v>
      </c>
      <c r="BP204" s="27" t="s">
        <v>7</v>
      </c>
      <c r="BR204" s="27" t="s">
        <v>7</v>
      </c>
      <c r="BT204" s="27" t="s">
        <v>7</v>
      </c>
      <c r="BU204" s="27" t="s">
        <v>8</v>
      </c>
      <c r="BV204" s="27" t="s">
        <v>7</v>
      </c>
      <c r="BW204" s="27" t="s">
        <v>8</v>
      </c>
      <c r="BX204" s="27" t="s">
        <v>7</v>
      </c>
      <c r="BY204" s="27" t="s">
        <v>8</v>
      </c>
      <c r="BZ204" s="27" t="s">
        <v>7</v>
      </c>
      <c r="CI204" s="27" t="s">
        <v>8</v>
      </c>
    </row>
    <row r="205" spans="1:90" x14ac:dyDescent="0.25">
      <c r="A205" s="30">
        <v>5.5160153675922574</v>
      </c>
      <c r="E205"/>
      <c r="K205" s="27" t="s">
        <v>8</v>
      </c>
      <c r="L205" s="27" t="s">
        <v>7</v>
      </c>
      <c r="O205" s="27" t="s">
        <v>8</v>
      </c>
      <c r="P205" s="27" t="s">
        <v>7</v>
      </c>
      <c r="AC205" s="27" t="s">
        <v>8</v>
      </c>
      <c r="AD205" s="27" t="s">
        <v>7</v>
      </c>
      <c r="AE205" s="27" t="s">
        <v>8</v>
      </c>
      <c r="AF205" s="27" t="s">
        <v>7</v>
      </c>
      <c r="AG205" s="27" t="s">
        <v>8</v>
      </c>
      <c r="AH205" s="27" t="s">
        <v>7</v>
      </c>
      <c r="AI205" s="27" t="s">
        <v>8</v>
      </c>
      <c r="AJ205" s="27" t="s">
        <v>7</v>
      </c>
      <c r="AK205" s="27" t="s">
        <v>8</v>
      </c>
      <c r="AL205" s="27" t="s">
        <v>7</v>
      </c>
      <c r="AM205" s="27" t="s">
        <v>8</v>
      </c>
      <c r="AO205" s="27" t="s">
        <v>8</v>
      </c>
      <c r="AP205" s="27" t="s">
        <v>7</v>
      </c>
      <c r="AR205" s="32"/>
      <c r="BI205" s="27" t="s">
        <v>8</v>
      </c>
      <c r="BJ205" s="27" t="s">
        <v>7</v>
      </c>
      <c r="BK205" s="27" t="s">
        <v>8</v>
      </c>
      <c r="BL205" s="27" t="s">
        <v>7</v>
      </c>
      <c r="BM205" s="27" t="s">
        <v>8</v>
      </c>
      <c r="BN205" s="27" t="s">
        <v>7</v>
      </c>
      <c r="BO205" s="27" t="s">
        <v>8</v>
      </c>
      <c r="BT205" s="27" t="s">
        <v>7</v>
      </c>
      <c r="BV205" s="27" t="s">
        <v>7</v>
      </c>
      <c r="BW205" s="27" t="s">
        <v>8</v>
      </c>
      <c r="BX205" s="27" t="s">
        <v>7</v>
      </c>
      <c r="BY205" s="27" t="s">
        <v>8</v>
      </c>
      <c r="BZ205" s="27" t="s">
        <v>7</v>
      </c>
      <c r="CI205" s="27" t="s">
        <v>8</v>
      </c>
      <c r="CJ205" s="27" t="s">
        <v>7</v>
      </c>
    </row>
    <row r="206" spans="1:90" x14ac:dyDescent="0.25">
      <c r="A206" s="30">
        <v>5.2533479691354827</v>
      </c>
      <c r="C206"/>
      <c r="D206"/>
      <c r="E206"/>
      <c r="K206" s="27" t="s">
        <v>8</v>
      </c>
      <c r="L206" s="27" t="s">
        <v>7</v>
      </c>
      <c r="M206" s="27" t="s">
        <v>8</v>
      </c>
      <c r="O206" s="27" t="s">
        <v>8</v>
      </c>
      <c r="P206" s="27" t="s">
        <v>7</v>
      </c>
      <c r="AC206" s="31" t="s">
        <v>8</v>
      </c>
      <c r="AD206" s="27" t="s">
        <v>7</v>
      </c>
      <c r="AE206" s="27" t="s">
        <v>8</v>
      </c>
      <c r="AF206" s="27" t="s">
        <v>7</v>
      </c>
      <c r="AH206" s="27" t="s">
        <v>7</v>
      </c>
      <c r="AI206" s="27" t="s">
        <v>8</v>
      </c>
      <c r="AJ206" s="27" t="s">
        <v>7</v>
      </c>
      <c r="AK206" s="27" t="s">
        <v>8</v>
      </c>
      <c r="AL206" s="27" t="s">
        <v>7</v>
      </c>
      <c r="AM206" s="27" t="s">
        <v>8</v>
      </c>
      <c r="AN206" s="27" t="s">
        <v>7</v>
      </c>
      <c r="AO206" s="27" t="s">
        <v>8</v>
      </c>
      <c r="AP206" s="27" t="s">
        <v>7</v>
      </c>
      <c r="AS206" s="32"/>
      <c r="BI206" s="27" t="s">
        <v>8</v>
      </c>
      <c r="BJ206" s="27" t="s">
        <v>7</v>
      </c>
      <c r="BL206" s="27" t="s">
        <v>7</v>
      </c>
      <c r="BM206" s="27" t="s">
        <v>8</v>
      </c>
      <c r="BN206" s="27" t="s">
        <v>7</v>
      </c>
      <c r="BO206" s="27" t="s">
        <v>8</v>
      </c>
      <c r="BV206" s="27" t="s">
        <v>7</v>
      </c>
      <c r="BX206" s="32" t="s">
        <v>7</v>
      </c>
      <c r="BY206" s="27" t="s">
        <v>8</v>
      </c>
      <c r="BZ206" s="27" t="s">
        <v>7</v>
      </c>
      <c r="CA206" s="27" t="s">
        <v>8</v>
      </c>
      <c r="CG206" s="27" t="s">
        <v>8</v>
      </c>
      <c r="CI206" s="27" t="s">
        <v>8</v>
      </c>
      <c r="CJ206" s="27" t="s">
        <v>7</v>
      </c>
      <c r="CK206" s="27" t="s">
        <v>8</v>
      </c>
    </row>
    <row r="207" spans="1:90" x14ac:dyDescent="0.25">
      <c r="A207" s="30">
        <v>5.0031885420337927</v>
      </c>
      <c r="E207"/>
      <c r="K207" s="27" t="s">
        <v>8</v>
      </c>
      <c r="L207" s="27" t="s">
        <v>7</v>
      </c>
      <c r="M207" s="27" t="s">
        <v>8</v>
      </c>
      <c r="N207" s="27" t="s">
        <v>7</v>
      </c>
      <c r="O207" s="27" t="s">
        <v>8</v>
      </c>
      <c r="P207" s="27" t="s">
        <v>7</v>
      </c>
      <c r="W207" s="33" t="s">
        <v>8</v>
      </c>
      <c r="Y207" s="33" t="s">
        <v>8</v>
      </c>
      <c r="AA207" s="33" t="s">
        <v>8</v>
      </c>
      <c r="AC207" s="27" t="s">
        <v>8</v>
      </c>
      <c r="AD207" s="27" t="s">
        <v>7</v>
      </c>
      <c r="AE207" s="27" t="s">
        <v>8</v>
      </c>
      <c r="AH207" s="33" t="s">
        <v>7</v>
      </c>
      <c r="AJ207" s="33" t="s">
        <v>7</v>
      </c>
      <c r="AL207" s="27" t="s">
        <v>7</v>
      </c>
      <c r="AM207" s="27" t="s">
        <v>8</v>
      </c>
      <c r="AN207" s="27" t="s">
        <v>7</v>
      </c>
      <c r="AO207" s="27" t="s">
        <v>8</v>
      </c>
      <c r="AP207" s="27" t="s">
        <v>7</v>
      </c>
      <c r="AT207" s="32"/>
      <c r="BG207" s="27" t="s">
        <v>8</v>
      </c>
      <c r="BI207" s="27" t="s">
        <v>8</v>
      </c>
      <c r="BL207" s="27" t="s">
        <v>7</v>
      </c>
      <c r="BM207" s="27" t="s">
        <v>8</v>
      </c>
      <c r="BN207" s="27" t="s">
        <v>7</v>
      </c>
      <c r="BO207" s="27" t="s">
        <v>8</v>
      </c>
      <c r="BW207" s="32"/>
      <c r="BX207" s="27" t="s">
        <v>7</v>
      </c>
      <c r="BZ207" s="27" t="s">
        <v>7</v>
      </c>
      <c r="CA207" s="27" t="s">
        <v>8</v>
      </c>
      <c r="CB207" s="27" t="s">
        <v>7</v>
      </c>
      <c r="CG207" s="27" t="s">
        <v>8</v>
      </c>
      <c r="CH207" s="27" t="s">
        <v>7</v>
      </c>
      <c r="CI207" s="27" t="s">
        <v>8</v>
      </c>
      <c r="CJ207" s="27" t="s">
        <v>7</v>
      </c>
      <c r="CK207" s="27" t="s">
        <v>8</v>
      </c>
      <c r="CL207" s="27" t="s">
        <v>7</v>
      </c>
    </row>
    <row r="208" spans="1:90" x14ac:dyDescent="0.25">
      <c r="A208" s="30">
        <v>4.7649414686036122</v>
      </c>
      <c r="E208"/>
      <c r="K208" s="27" t="s">
        <v>8</v>
      </c>
      <c r="L208" s="27" t="s">
        <v>7</v>
      </c>
      <c r="M208" s="27" t="s">
        <v>8</v>
      </c>
      <c r="N208" s="27" t="s">
        <v>7</v>
      </c>
      <c r="O208" s="27" t="s">
        <v>8</v>
      </c>
      <c r="P208" s="27" t="s">
        <v>7</v>
      </c>
      <c r="Q208" s="33" t="s">
        <v>8</v>
      </c>
      <c r="S208" s="33" t="s">
        <v>8</v>
      </c>
      <c r="W208" s="31" t="s">
        <v>8</v>
      </c>
      <c r="X208" s="27" t="s">
        <v>7</v>
      </c>
      <c r="Y208" s="27" t="s">
        <v>8</v>
      </c>
      <c r="Z208" s="27" t="s">
        <v>7</v>
      </c>
      <c r="AA208" s="27" t="s">
        <v>8</v>
      </c>
      <c r="AB208" s="27" t="s">
        <v>7</v>
      </c>
      <c r="AC208" s="27" t="s">
        <v>8</v>
      </c>
      <c r="AD208" s="27" t="s">
        <v>7</v>
      </c>
      <c r="AE208" s="27" t="s">
        <v>8</v>
      </c>
      <c r="AL208" s="34" t="s">
        <v>7</v>
      </c>
      <c r="AN208" s="27" t="s">
        <v>7</v>
      </c>
      <c r="AO208" s="27" t="s">
        <v>8</v>
      </c>
      <c r="AP208" s="27" t="s">
        <v>7</v>
      </c>
      <c r="AU208" s="32"/>
      <c r="BG208" s="27" t="s">
        <v>8</v>
      </c>
      <c r="BH208" s="27" t="s">
        <v>7</v>
      </c>
      <c r="BI208" s="27" t="s">
        <v>8</v>
      </c>
      <c r="BL208" s="27" t="s">
        <v>7</v>
      </c>
      <c r="BM208" s="27" t="s">
        <v>8</v>
      </c>
      <c r="BN208" s="27" t="s">
        <v>7</v>
      </c>
      <c r="BO208" s="27" t="s">
        <v>8</v>
      </c>
      <c r="BV208" s="32"/>
      <c r="BZ208" s="27" t="s">
        <v>7</v>
      </c>
      <c r="CA208" s="27" t="s">
        <v>8</v>
      </c>
      <c r="CB208" s="27" t="s">
        <v>7</v>
      </c>
      <c r="CG208" s="27" t="s">
        <v>8</v>
      </c>
      <c r="CH208" s="27" t="s">
        <v>7</v>
      </c>
      <c r="CI208" s="27" t="s">
        <v>8</v>
      </c>
      <c r="CJ208" s="27" t="s">
        <v>7</v>
      </c>
      <c r="CK208" s="27" t="s">
        <v>8</v>
      </c>
      <c r="CL208" s="27" t="s">
        <v>7</v>
      </c>
    </row>
    <row r="209" spans="1:92" x14ac:dyDescent="0.25">
      <c r="A209" s="30">
        <v>4.5380394939082018</v>
      </c>
      <c r="E209"/>
      <c r="K209" s="27" t="s">
        <v>8</v>
      </c>
      <c r="L209" s="27" t="s">
        <v>7</v>
      </c>
      <c r="M209" s="27" t="s">
        <v>8</v>
      </c>
      <c r="N209" s="27" t="s">
        <v>7</v>
      </c>
      <c r="O209" s="27" t="s">
        <v>8</v>
      </c>
      <c r="P209" s="27" t="s">
        <v>7</v>
      </c>
      <c r="Q209" s="27" t="s">
        <v>8</v>
      </c>
      <c r="R209" s="27" t="s">
        <v>7</v>
      </c>
      <c r="S209" s="27" t="s">
        <v>8</v>
      </c>
      <c r="T209" s="27" t="s">
        <v>7</v>
      </c>
      <c r="U209" s="27" t="s">
        <v>8</v>
      </c>
      <c r="W209" s="27" t="s">
        <v>8</v>
      </c>
      <c r="X209" s="27" t="s">
        <v>7</v>
      </c>
      <c r="Y209" s="27" t="s">
        <v>8</v>
      </c>
      <c r="Z209" s="27" t="s">
        <v>7</v>
      </c>
      <c r="AA209" s="27" t="s">
        <v>8</v>
      </c>
      <c r="AB209" s="27" t="s">
        <v>7</v>
      </c>
      <c r="AC209" s="27" t="s">
        <v>8</v>
      </c>
      <c r="AD209" s="27" t="s">
        <v>7</v>
      </c>
      <c r="AE209" s="27" t="s">
        <v>8</v>
      </c>
      <c r="AN209" s="27" t="s">
        <v>7</v>
      </c>
      <c r="AO209" s="27" t="s">
        <v>8</v>
      </c>
      <c r="AP209" s="27" t="s">
        <v>7</v>
      </c>
      <c r="AV209" s="32"/>
      <c r="BA209" s="32" t="s">
        <v>8</v>
      </c>
      <c r="BG209" s="27" t="s">
        <v>8</v>
      </c>
      <c r="BH209" s="27" t="s">
        <v>7</v>
      </c>
      <c r="BI209" s="27" t="s">
        <v>8</v>
      </c>
      <c r="BL209" s="27" t="s">
        <v>7</v>
      </c>
      <c r="BM209" s="27" t="s">
        <v>8</v>
      </c>
      <c r="BN209" s="27" t="s">
        <v>7</v>
      </c>
      <c r="BO209" s="27" t="s">
        <v>8</v>
      </c>
      <c r="BU209" s="32"/>
      <c r="BZ209" s="27" t="s">
        <v>7</v>
      </c>
      <c r="CB209" s="27" t="s">
        <v>7</v>
      </c>
      <c r="CE209" s="27" t="s">
        <v>8</v>
      </c>
      <c r="CG209" s="27" t="s">
        <v>8</v>
      </c>
      <c r="CH209" s="27" t="s">
        <v>7</v>
      </c>
      <c r="CJ209" s="27" t="s">
        <v>7</v>
      </c>
      <c r="CK209" s="27" t="s">
        <v>8</v>
      </c>
      <c r="CL209" s="27" t="s">
        <v>7</v>
      </c>
    </row>
    <row r="210" spans="1:92" x14ac:dyDescent="0.25">
      <c r="A210" s="30">
        <v>4.3219423751506678</v>
      </c>
      <c r="C210"/>
      <c r="E210"/>
      <c r="K210" s="27" t="s">
        <v>8</v>
      </c>
      <c r="L210" s="27" t="s">
        <v>7</v>
      </c>
      <c r="M210" s="27" t="s">
        <v>8</v>
      </c>
      <c r="N210" s="27" t="s">
        <v>7</v>
      </c>
      <c r="O210" s="27" t="s">
        <v>8</v>
      </c>
      <c r="P210" s="27" t="s">
        <v>7</v>
      </c>
      <c r="Q210" s="27" t="s">
        <v>8</v>
      </c>
      <c r="R210" s="27" t="s">
        <v>7</v>
      </c>
      <c r="S210" s="27" t="s">
        <v>8</v>
      </c>
      <c r="T210" s="27" t="s">
        <v>7</v>
      </c>
      <c r="U210" s="27" t="s">
        <v>8</v>
      </c>
      <c r="V210" s="27" t="s">
        <v>7</v>
      </c>
      <c r="W210" s="27" t="s">
        <v>8</v>
      </c>
      <c r="X210" s="33" t="s">
        <v>7</v>
      </c>
      <c r="Z210" s="33" t="s">
        <v>7</v>
      </c>
      <c r="AB210" s="27" t="s">
        <v>7</v>
      </c>
      <c r="AC210" s="27" t="s">
        <v>8</v>
      </c>
      <c r="AD210" s="27" t="s">
        <v>7</v>
      </c>
      <c r="AN210" s="27" t="s">
        <v>7</v>
      </c>
      <c r="AP210" s="27" t="s">
        <v>7</v>
      </c>
      <c r="AQ210" s="27" t="s">
        <v>8</v>
      </c>
      <c r="AW210" s="32"/>
      <c r="BA210" s="27" t="s">
        <v>8</v>
      </c>
      <c r="BB210" s="32" t="s">
        <v>7</v>
      </c>
      <c r="BG210" s="27" t="s">
        <v>8</v>
      </c>
      <c r="BH210" s="27" t="s">
        <v>7</v>
      </c>
      <c r="BI210" s="27" t="s">
        <v>8</v>
      </c>
      <c r="BL210" s="27" t="s">
        <v>7</v>
      </c>
      <c r="BM210" s="27" t="s">
        <v>8</v>
      </c>
      <c r="BN210" s="27" t="s">
        <v>7</v>
      </c>
      <c r="BT210" s="32"/>
      <c r="CB210" s="27" t="s">
        <v>7</v>
      </c>
      <c r="CE210" s="27" t="s">
        <v>8</v>
      </c>
      <c r="CF210" s="27" t="s">
        <v>7</v>
      </c>
      <c r="CG210" s="27" t="s">
        <v>8</v>
      </c>
      <c r="CJ210" s="27" t="s">
        <v>7</v>
      </c>
      <c r="CL210" s="27" t="s">
        <v>7</v>
      </c>
    </row>
    <row r="211" spans="1:92" x14ac:dyDescent="0.25">
      <c r="A211" s="30">
        <v>4.1161355953815884</v>
      </c>
      <c r="E211"/>
      <c r="K211" s="27" t="s">
        <v>8</v>
      </c>
      <c r="L211" s="27" t="s">
        <v>7</v>
      </c>
      <c r="M211" s="27" t="s">
        <v>8</v>
      </c>
      <c r="N211" s="27" t="s">
        <v>7</v>
      </c>
      <c r="O211" s="27" t="s">
        <v>8</v>
      </c>
      <c r="P211" s="27" t="s">
        <v>7</v>
      </c>
      <c r="Q211" s="27" t="s">
        <v>8</v>
      </c>
      <c r="R211" s="27" t="s">
        <v>7</v>
      </c>
      <c r="S211" s="27" t="s">
        <v>8</v>
      </c>
      <c r="T211" s="27" t="s">
        <v>7</v>
      </c>
      <c r="U211" s="27" t="s">
        <v>8</v>
      </c>
      <c r="V211" s="27" t="s">
        <v>7</v>
      </c>
      <c r="W211" s="27" t="s">
        <v>8</v>
      </c>
      <c r="AB211" s="34" t="s">
        <v>7</v>
      </c>
      <c r="AC211" s="27" t="s">
        <v>8</v>
      </c>
      <c r="AP211" s="34" t="s">
        <v>7</v>
      </c>
      <c r="AQ211" s="27" t="s">
        <v>8</v>
      </c>
      <c r="AR211" s="27" t="s">
        <v>7</v>
      </c>
      <c r="AX211" s="32"/>
      <c r="BA211" s="27" t="s">
        <v>8</v>
      </c>
      <c r="BB211" s="27" t="s">
        <v>7</v>
      </c>
      <c r="BC211" s="32"/>
      <c r="BG211" s="27" t="s">
        <v>8</v>
      </c>
      <c r="BH211" s="27" t="s">
        <v>7</v>
      </c>
      <c r="BL211" s="27" t="s">
        <v>7</v>
      </c>
      <c r="BM211" s="27" t="s">
        <v>8</v>
      </c>
      <c r="BS211" s="32"/>
      <c r="CB211" s="27" t="s">
        <v>7</v>
      </c>
      <c r="CC211" s="27" t="s">
        <v>8</v>
      </c>
      <c r="CE211" s="27" t="s">
        <v>8</v>
      </c>
      <c r="CF211" s="27" t="s">
        <v>7</v>
      </c>
      <c r="CG211" s="27" t="s">
        <v>8</v>
      </c>
      <c r="CL211" s="27" t="s">
        <v>7</v>
      </c>
    </row>
    <row r="212" spans="1:92" x14ac:dyDescent="0.25">
      <c r="A212" s="30">
        <v>3.9201291384586554</v>
      </c>
      <c r="E212"/>
      <c r="K212" s="27" t="s">
        <v>8</v>
      </c>
      <c r="L212" s="33" t="s">
        <v>7</v>
      </c>
      <c r="N212" s="33" t="s">
        <v>7</v>
      </c>
      <c r="P212" s="27" t="s">
        <v>7</v>
      </c>
      <c r="Q212" s="27" t="s">
        <v>8</v>
      </c>
      <c r="R212" s="27" t="s">
        <v>7</v>
      </c>
      <c r="S212" s="27" t="s">
        <v>8</v>
      </c>
      <c r="T212" s="27" t="s">
        <v>7</v>
      </c>
      <c r="U212" s="27" t="s">
        <v>8</v>
      </c>
      <c r="V212" s="27" t="s">
        <v>7</v>
      </c>
      <c r="W212" s="27" t="s">
        <v>8</v>
      </c>
      <c r="AB212" s="27" t="s">
        <v>7</v>
      </c>
      <c r="AC212" s="27" t="s">
        <v>8</v>
      </c>
      <c r="AP212" s="27" t="s">
        <v>7</v>
      </c>
      <c r="AQ212" s="27" t="s">
        <v>8</v>
      </c>
      <c r="AR212" s="27" t="s">
        <v>7</v>
      </c>
      <c r="AS212" s="27" t="s">
        <v>8</v>
      </c>
      <c r="AY212" s="32"/>
      <c r="BA212" s="27" t="s">
        <v>8</v>
      </c>
      <c r="BB212" s="27" t="s">
        <v>7</v>
      </c>
      <c r="BC212" s="27" t="s">
        <v>8</v>
      </c>
      <c r="BD212" s="32"/>
      <c r="BG212" s="27" t="s">
        <v>8</v>
      </c>
      <c r="BL212" s="27" t="s">
        <v>7</v>
      </c>
      <c r="BR212" s="32"/>
      <c r="CB212" s="27" t="s">
        <v>7</v>
      </c>
      <c r="CC212" s="27" t="s">
        <v>8</v>
      </c>
      <c r="CD212" s="27" t="s">
        <v>7</v>
      </c>
      <c r="CE212" s="27" t="s">
        <v>8</v>
      </c>
      <c r="CF212" s="27" t="s">
        <v>7</v>
      </c>
      <c r="CG212" s="27" t="s">
        <v>8</v>
      </c>
      <c r="CL212" s="27" t="s">
        <v>7</v>
      </c>
    </row>
    <row r="213" spans="1:92" x14ac:dyDescent="0.25">
      <c r="A213" s="30">
        <v>3.7334563223415764</v>
      </c>
      <c r="E213"/>
      <c r="G213" s="27" t="s">
        <v>8</v>
      </c>
      <c r="K213" s="27" t="s">
        <v>8</v>
      </c>
      <c r="P213" s="34" t="s">
        <v>7</v>
      </c>
      <c r="Q213" s="27" t="s">
        <v>8</v>
      </c>
      <c r="R213" s="27" t="s">
        <v>7</v>
      </c>
      <c r="T213" s="27" t="s">
        <v>7</v>
      </c>
      <c r="V213" s="27" t="s">
        <v>7</v>
      </c>
      <c r="W213" s="27" t="s">
        <v>8</v>
      </c>
      <c r="AB213" s="27" t="s">
        <v>7</v>
      </c>
      <c r="AP213" s="27" t="s">
        <v>7</v>
      </c>
      <c r="AR213" s="27" t="s">
        <v>7</v>
      </c>
      <c r="AS213" s="27" t="s">
        <v>8</v>
      </c>
      <c r="AT213" s="27" t="s">
        <v>7</v>
      </c>
      <c r="AU213" s="27" t="s">
        <v>8</v>
      </c>
      <c r="AZ213" s="32"/>
      <c r="BA213" s="27" t="s">
        <v>8</v>
      </c>
      <c r="BB213" s="27" t="s">
        <v>7</v>
      </c>
      <c r="BC213" s="27" t="s">
        <v>8</v>
      </c>
      <c r="BD213" s="27" t="s">
        <v>7</v>
      </c>
      <c r="BE213" s="32" t="s">
        <v>8</v>
      </c>
      <c r="BG213" s="27" t="s">
        <v>8</v>
      </c>
      <c r="BQ213" s="32"/>
      <c r="CB213" s="27" t="s">
        <v>7</v>
      </c>
      <c r="CC213" s="27" t="s">
        <v>8</v>
      </c>
      <c r="CD213" s="27" t="s">
        <v>7</v>
      </c>
      <c r="CE213" s="27" t="s">
        <v>8</v>
      </c>
      <c r="CF213" s="27" t="s">
        <v>7</v>
      </c>
      <c r="CG213" s="27" t="s">
        <v>8</v>
      </c>
      <c r="CL213" s="27" t="s">
        <v>7</v>
      </c>
    </row>
    <row r="214" spans="1:92" x14ac:dyDescent="0.25">
      <c r="A214" s="30">
        <v>3.5556726879443583</v>
      </c>
      <c r="E214"/>
      <c r="G214" s="27" t="s">
        <v>8</v>
      </c>
      <c r="H214" s="27" t="s">
        <v>7</v>
      </c>
      <c r="I214" s="27" t="s">
        <v>8</v>
      </c>
      <c r="K214" s="27" t="s">
        <v>8</v>
      </c>
      <c r="P214" s="27" t="s">
        <v>7</v>
      </c>
      <c r="Q214" s="27" t="s">
        <v>8</v>
      </c>
      <c r="V214" s="27" t="s">
        <v>7</v>
      </c>
      <c r="W214" s="27" t="s">
        <v>8</v>
      </c>
      <c r="AR214" s="27" t="s">
        <v>7</v>
      </c>
      <c r="AS214" s="27" t="s">
        <v>8</v>
      </c>
      <c r="AT214" s="27" t="s">
        <v>7</v>
      </c>
      <c r="AU214" s="27" t="s">
        <v>8</v>
      </c>
      <c r="AV214" s="27" t="s">
        <v>7</v>
      </c>
      <c r="BA214" s="32" t="s">
        <v>8</v>
      </c>
      <c r="BB214" s="27" t="s">
        <v>7</v>
      </c>
      <c r="BC214" s="27" t="s">
        <v>8</v>
      </c>
      <c r="BD214" s="27" t="s">
        <v>7</v>
      </c>
      <c r="BE214" s="27" t="s">
        <v>8</v>
      </c>
      <c r="BF214" s="32" t="s">
        <v>7</v>
      </c>
      <c r="BG214" s="27" t="s">
        <v>8</v>
      </c>
      <c r="BP214" s="32"/>
      <c r="CB214" s="27" t="s">
        <v>7</v>
      </c>
      <c r="CC214" s="27" t="s">
        <v>8</v>
      </c>
      <c r="CD214" s="27" t="s">
        <v>7</v>
      </c>
      <c r="CE214" s="27" t="s">
        <v>8</v>
      </c>
      <c r="CF214" s="27" t="s">
        <v>7</v>
      </c>
      <c r="CG214" s="27" t="s">
        <v>8</v>
      </c>
      <c r="CL214" s="27" t="s">
        <v>7</v>
      </c>
      <c r="CM214" s="27" t="s">
        <v>8</v>
      </c>
    </row>
    <row r="215" spans="1:92" x14ac:dyDescent="0.25">
      <c r="A215" s="30">
        <v>3.3863549408993889</v>
      </c>
      <c r="E215"/>
      <c r="G215" s="27" t="s">
        <v>8</v>
      </c>
      <c r="H215" s="27" t="s">
        <v>7</v>
      </c>
      <c r="I215" s="27" t="s">
        <v>8</v>
      </c>
      <c r="J215" s="27" t="s">
        <v>7</v>
      </c>
      <c r="K215" s="27" t="s">
        <v>8</v>
      </c>
      <c r="P215" s="27" t="s">
        <v>7</v>
      </c>
      <c r="V215" s="27" t="s">
        <v>7</v>
      </c>
      <c r="AR215" s="27" t="s">
        <v>7</v>
      </c>
      <c r="AS215" s="27" t="s">
        <v>8</v>
      </c>
      <c r="AT215" s="27" t="s">
        <v>7</v>
      </c>
      <c r="AU215" s="27" t="s">
        <v>8</v>
      </c>
      <c r="AV215" s="27" t="s">
        <v>7</v>
      </c>
      <c r="BA215" s="27" t="s">
        <v>8</v>
      </c>
      <c r="BB215" s="27" t="s">
        <v>7</v>
      </c>
      <c r="BC215" s="27" t="s">
        <v>8</v>
      </c>
      <c r="BD215" s="27" t="s">
        <v>7</v>
      </c>
      <c r="BE215" s="27" t="s">
        <v>8</v>
      </c>
      <c r="BF215" s="27" t="s">
        <v>7</v>
      </c>
      <c r="BG215" s="32" t="s">
        <v>8</v>
      </c>
      <c r="BO215" s="32"/>
      <c r="CB215" s="27" t="s">
        <v>7</v>
      </c>
      <c r="CC215" s="27" t="s">
        <v>8</v>
      </c>
      <c r="CD215" s="27" t="s">
        <v>7</v>
      </c>
      <c r="CF215" s="27" t="s">
        <v>7</v>
      </c>
      <c r="CL215" s="27" t="s">
        <v>7</v>
      </c>
      <c r="CM215" s="27" t="s">
        <v>8</v>
      </c>
      <c r="CN215" s="27" t="s">
        <v>7</v>
      </c>
    </row>
    <row r="216" spans="1:92" x14ac:dyDescent="0.25">
      <c r="A216" s="30">
        <v>3.2250999437137038</v>
      </c>
      <c r="E216"/>
      <c r="G216" s="27" t="s">
        <v>8</v>
      </c>
      <c r="H216" s="27" t="s">
        <v>7</v>
      </c>
      <c r="I216" s="27" t="s">
        <v>8</v>
      </c>
      <c r="J216" s="27" t="s">
        <v>7</v>
      </c>
      <c r="K216" s="27" t="s">
        <v>8</v>
      </c>
      <c r="AR216" s="27" t="s">
        <v>7</v>
      </c>
      <c r="AS216" s="27" t="s">
        <v>8</v>
      </c>
      <c r="AT216" s="27" t="s">
        <v>7</v>
      </c>
      <c r="AU216" s="27" t="s">
        <v>8</v>
      </c>
      <c r="AV216" s="27" t="s">
        <v>7</v>
      </c>
      <c r="AW216" s="27" t="s">
        <v>8</v>
      </c>
      <c r="BA216" s="27" t="s">
        <v>8</v>
      </c>
      <c r="BB216" s="27" t="s">
        <v>7</v>
      </c>
      <c r="BD216" s="27" t="s">
        <v>7</v>
      </c>
      <c r="BE216" s="27" t="s">
        <v>8</v>
      </c>
      <c r="BF216" s="27" t="s">
        <v>7</v>
      </c>
      <c r="BG216" s="27" t="s">
        <v>8</v>
      </c>
      <c r="BH216" s="32"/>
      <c r="BN216" s="32"/>
      <c r="CB216" s="27" t="s">
        <v>7</v>
      </c>
      <c r="CL216" s="27" t="s">
        <v>7</v>
      </c>
      <c r="CM216" s="27" t="s">
        <v>8</v>
      </c>
      <c r="CN216" s="27" t="s">
        <v>7</v>
      </c>
    </row>
    <row r="217" spans="1:92" x14ac:dyDescent="0.25">
      <c r="A217" s="30">
        <v>3.0715237559178128</v>
      </c>
      <c r="E217"/>
      <c r="G217" s="27" t="s">
        <v>8</v>
      </c>
      <c r="H217" s="27" t="s">
        <v>7</v>
      </c>
      <c r="I217" s="27" t="s">
        <v>8</v>
      </c>
      <c r="J217" s="27" t="s">
        <v>7</v>
      </c>
      <c r="K217" s="27" t="s">
        <v>8</v>
      </c>
      <c r="AR217" s="27" t="s">
        <v>7</v>
      </c>
      <c r="AS217" s="27" t="s">
        <v>8</v>
      </c>
      <c r="AT217" s="27" t="s">
        <v>7</v>
      </c>
      <c r="AV217" s="27" t="s">
        <v>7</v>
      </c>
      <c r="AW217" s="27" t="s">
        <v>8</v>
      </c>
      <c r="AX217" s="27" t="s">
        <v>7</v>
      </c>
      <c r="BA217" s="27" t="s">
        <v>8</v>
      </c>
      <c r="BD217" s="34" t="s">
        <v>7</v>
      </c>
      <c r="BE217" s="27" t="s">
        <v>8</v>
      </c>
      <c r="BF217" s="27" t="s">
        <v>7</v>
      </c>
      <c r="BG217" s="27" t="s">
        <v>8</v>
      </c>
      <c r="BI217" s="32"/>
      <c r="BM217" s="32"/>
      <c r="CL217" s="27" t="s">
        <v>7</v>
      </c>
      <c r="CN217" s="27" t="s">
        <v>7</v>
      </c>
    </row>
    <row r="218" spans="1:92" x14ac:dyDescent="0.25">
      <c r="A218" s="30">
        <v>2.9252607199217264</v>
      </c>
      <c r="E218"/>
      <c r="G218" s="27" t="s">
        <v>8</v>
      </c>
      <c r="H218" s="27" t="s">
        <v>7</v>
      </c>
      <c r="I218" s="27" t="s">
        <v>8</v>
      </c>
      <c r="J218" s="27" t="s">
        <v>7</v>
      </c>
      <c r="K218" s="27" t="s">
        <v>8</v>
      </c>
      <c r="AR218" s="27" t="s">
        <v>7</v>
      </c>
      <c r="AS218" s="27" t="s">
        <v>8</v>
      </c>
      <c r="AV218" s="27" t="s">
        <v>7</v>
      </c>
      <c r="AW218" s="27" t="s">
        <v>8</v>
      </c>
      <c r="AX218" s="27" t="s">
        <v>7</v>
      </c>
      <c r="BA218" s="31" t="s">
        <v>8</v>
      </c>
      <c r="BD218" s="27" t="s">
        <v>7</v>
      </c>
      <c r="BF218" s="27" t="s">
        <v>7</v>
      </c>
      <c r="BG218" s="27" t="s">
        <v>8</v>
      </c>
      <c r="BL218" s="32"/>
      <c r="CN218" s="27" t="s">
        <v>7</v>
      </c>
    </row>
    <row r="219" spans="1:92" x14ac:dyDescent="0.25">
      <c r="A219" s="30">
        <v>2.7859625904016441</v>
      </c>
      <c r="E219"/>
      <c r="G219" s="27" t="s">
        <v>8</v>
      </c>
      <c r="H219" s="33" t="s">
        <v>7</v>
      </c>
      <c r="J219" s="33" t="s">
        <v>7</v>
      </c>
      <c r="AR219" s="27" t="s">
        <v>7</v>
      </c>
      <c r="AS219" s="27" t="s">
        <v>8</v>
      </c>
      <c r="AV219" s="27" t="s">
        <v>7</v>
      </c>
      <c r="AX219" s="27" t="s">
        <v>7</v>
      </c>
      <c r="AY219" s="27" t="s">
        <v>8</v>
      </c>
      <c r="BA219" s="27" t="s">
        <v>8</v>
      </c>
      <c r="BF219" s="27" t="s">
        <v>7</v>
      </c>
      <c r="BG219" s="27" t="s">
        <v>8</v>
      </c>
      <c r="BK219" s="32"/>
    </row>
    <row r="220" spans="1:92" x14ac:dyDescent="0.25">
      <c r="A220" s="30">
        <v>2.6532977051444226</v>
      </c>
      <c r="E220" t="s">
        <v>8</v>
      </c>
      <c r="G220" s="27" t="s">
        <v>8</v>
      </c>
      <c r="AR220" s="27" t="s">
        <v>7</v>
      </c>
      <c r="AS220" s="27" t="s">
        <v>8</v>
      </c>
      <c r="AX220" s="27" t="s">
        <v>7</v>
      </c>
      <c r="AY220" s="27" t="s">
        <v>8</v>
      </c>
      <c r="AZ220" s="27" t="s">
        <v>7</v>
      </c>
      <c r="BA220" s="27" t="s">
        <v>8</v>
      </c>
      <c r="BF220" s="27" t="s">
        <v>7</v>
      </c>
      <c r="BG220" s="27" t="s">
        <v>8</v>
      </c>
      <c r="BJ220" s="32"/>
    </row>
    <row r="221" spans="1:92" x14ac:dyDescent="0.25">
      <c r="A221" s="30">
        <v>2.5269501953756404</v>
      </c>
      <c r="E221" t="s">
        <v>8</v>
      </c>
      <c r="F221" s="27" t="s">
        <v>7</v>
      </c>
      <c r="G221" s="27" t="s">
        <v>8</v>
      </c>
      <c r="AR221" s="27" t="s">
        <v>7</v>
      </c>
      <c r="AS221" s="27" t="s">
        <v>8</v>
      </c>
      <c r="AX221" s="27" t="s">
        <v>7</v>
      </c>
      <c r="AY221" s="27" t="s">
        <v>8</v>
      </c>
      <c r="AZ221" s="27" t="s">
        <v>7</v>
      </c>
      <c r="BA221" s="27" t="s">
        <v>8</v>
      </c>
      <c r="BF221" s="27" t="s">
        <v>7</v>
      </c>
      <c r="BG221" s="27" t="s">
        <v>8</v>
      </c>
      <c r="BI221" s="32"/>
    </row>
    <row r="222" spans="1:92" x14ac:dyDescent="0.25">
      <c r="A222" s="30">
        <v>2.4066192336910861</v>
      </c>
      <c r="E222" t="s">
        <v>8</v>
      </c>
      <c r="F222" s="27" t="s">
        <v>7</v>
      </c>
      <c r="G222" s="27" t="s">
        <v>8</v>
      </c>
      <c r="AR222" s="27" t="s">
        <v>7</v>
      </c>
      <c r="AS222" s="27" t="s">
        <v>8</v>
      </c>
      <c r="AX222" s="27" t="s">
        <v>7</v>
      </c>
      <c r="AZ222" s="27" t="s">
        <v>7</v>
      </c>
      <c r="BA222" s="27" t="s">
        <v>8</v>
      </c>
      <c r="BF222" s="27" t="s">
        <v>7</v>
      </c>
      <c r="BG222" s="27" t="s">
        <v>8</v>
      </c>
      <c r="BH222" s="32"/>
    </row>
    <row r="223" spans="1:92" x14ac:dyDescent="0.25">
      <c r="A223" s="30">
        <v>2.2920183178010345</v>
      </c>
      <c r="E223" t="s">
        <v>8</v>
      </c>
      <c r="F223" s="27" t="s">
        <v>7</v>
      </c>
      <c r="G223" s="27" t="s">
        <v>8</v>
      </c>
      <c r="AR223" s="27" t="s">
        <v>7</v>
      </c>
      <c r="AZ223" s="27" t="s">
        <v>7</v>
      </c>
      <c r="BA223" s="27" t="s">
        <v>8</v>
      </c>
      <c r="BF223" s="32" t="s">
        <v>7</v>
      </c>
      <c r="BG223" s="32" t="s">
        <v>8</v>
      </c>
    </row>
    <row r="224" spans="1:92" x14ac:dyDescent="0.25">
      <c r="A224" s="30">
        <v>2.1828745883819374</v>
      </c>
      <c r="E224" t="s">
        <v>8</v>
      </c>
      <c r="F224" s="27" t="s">
        <v>7</v>
      </c>
      <c r="G224" s="27" t="s">
        <v>8</v>
      </c>
      <c r="AZ224" s="27" t="s">
        <v>7</v>
      </c>
      <c r="BA224" s="27" t="s">
        <v>8</v>
      </c>
      <c r="BE224" s="32"/>
      <c r="BF224" s="27" t="s">
        <v>7</v>
      </c>
    </row>
    <row r="225" spans="1:56" x14ac:dyDescent="0.25">
      <c r="A225" s="30">
        <v>2.0789281794113688</v>
      </c>
      <c r="E225" t="s">
        <v>8</v>
      </c>
      <c r="F225" s="27" t="s">
        <v>7</v>
      </c>
      <c r="G225" s="27" t="s">
        <v>8</v>
      </c>
      <c r="AZ225" s="27" t="s">
        <v>7</v>
      </c>
      <c r="BA225" s="27" t="s">
        <v>8</v>
      </c>
      <c r="BD225" s="32"/>
    </row>
    <row r="226" spans="1:56" x14ac:dyDescent="0.25">
      <c r="A226" s="30">
        <v>1.9799315994393987</v>
      </c>
      <c r="E226" t="s">
        <v>8</v>
      </c>
      <c r="F226" s="27" t="s">
        <v>7</v>
      </c>
      <c r="G226" s="27" t="s">
        <v>8</v>
      </c>
      <c r="AZ226" s="27" t="s">
        <v>7</v>
      </c>
      <c r="BA226" s="27" t="s">
        <v>8</v>
      </c>
      <c r="BC226" s="32"/>
    </row>
    <row r="227" spans="1:56" x14ac:dyDescent="0.25">
      <c r="A227" s="30">
        <v>1.8856491423232367</v>
      </c>
      <c r="E227" t="s">
        <v>8</v>
      </c>
      <c r="F227" s="27" t="s">
        <v>7</v>
      </c>
      <c r="G227" s="27" t="s">
        <v>8</v>
      </c>
      <c r="AZ227" s="27" t="s">
        <v>7</v>
      </c>
      <c r="BA227" s="27" t="s">
        <v>8</v>
      </c>
      <c r="BB227" s="32"/>
    </row>
    <row r="228" spans="1:56" x14ac:dyDescent="0.25">
      <c r="A228" s="30">
        <v>1.7958563260221301</v>
      </c>
      <c r="C228" s="7"/>
      <c r="D228"/>
      <c r="E228" t="s">
        <v>8</v>
      </c>
      <c r="F228" s="27" t="s">
        <v>7</v>
      </c>
      <c r="AZ228" s="27" t="s">
        <v>7</v>
      </c>
      <c r="BA228" s="32" t="s">
        <v>8</v>
      </c>
    </row>
    <row r="229" spans="1:56" x14ac:dyDescent="0.25">
      <c r="A229" s="30">
        <v>1.7103393581163142</v>
      </c>
      <c r="E229" t="s">
        <v>8</v>
      </c>
      <c r="AZ229" s="32" t="s">
        <v>7</v>
      </c>
    </row>
    <row r="230" spans="1:56" x14ac:dyDescent="0.25">
      <c r="A230" s="30">
        <v>1.628894626777442</v>
      </c>
      <c r="E230" t="s">
        <v>8</v>
      </c>
    </row>
    <row r="231" spans="1:56" x14ac:dyDescent="0.25">
      <c r="A231" s="30">
        <v>1.5513282159785162</v>
      </c>
      <c r="C231"/>
      <c r="D231"/>
      <c r="E231" t="s">
        <v>8</v>
      </c>
    </row>
    <row r="232" spans="1:56" x14ac:dyDescent="0.25">
      <c r="A232" s="30">
        <v>1.477455443789063</v>
      </c>
      <c r="E232" t="s">
        <v>8</v>
      </c>
    </row>
    <row r="233" spans="1:56" x14ac:dyDescent="0.25">
      <c r="A233" s="30">
        <v>1.4071004226562505</v>
      </c>
      <c r="E233" t="s">
        <v>8</v>
      </c>
    </row>
    <row r="234" spans="1:56" x14ac:dyDescent="0.25">
      <c r="A234" s="30">
        <v>1.3400956406250004</v>
      </c>
      <c r="E234" t="s">
        <v>8</v>
      </c>
    </row>
    <row r="235" spans="1:56" x14ac:dyDescent="0.25">
      <c r="A235" s="30">
        <v>1.2762815625000004</v>
      </c>
      <c r="C235"/>
      <c r="E235" t="s">
        <v>8</v>
      </c>
    </row>
    <row r="236" spans="1:56" x14ac:dyDescent="0.25">
      <c r="A236" s="30">
        <v>1.2155062500000002</v>
      </c>
      <c r="E236" t="s">
        <v>8</v>
      </c>
    </row>
    <row r="237" spans="1:56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6" x14ac:dyDescent="0.25">
      <c r="A238" s="30">
        <v>1.1025</v>
      </c>
      <c r="E238" t="s">
        <v>8</v>
      </c>
    </row>
    <row r="239" spans="1:56" x14ac:dyDescent="0.25">
      <c r="A239" s="30">
        <v>1.05</v>
      </c>
      <c r="E239" t="s">
        <v>8</v>
      </c>
    </row>
    <row r="240" spans="1:56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08" operator="equal">
      <formula>$U$1</formula>
    </cfRule>
    <cfRule type="cellIs" dxfId="67" priority="809" operator="equal">
      <formula>$S$1</formula>
    </cfRule>
  </conditionalFormatting>
  <conditionalFormatting sqref="D136">
    <cfRule type="cellIs" dxfId="66" priority="806" operator="equal">
      <formula>$S$1</formula>
    </cfRule>
    <cfRule type="cellIs" dxfId="65" priority="807" operator="equal">
      <formula>$U$1</formula>
    </cfRule>
  </conditionalFormatting>
  <conditionalFormatting sqref="C162">
    <cfRule type="cellIs" dxfId="64" priority="804" operator="equal">
      <formula>$U$1</formula>
    </cfRule>
    <cfRule type="cellIs" dxfId="63" priority="805" operator="equal">
      <formula>$S$1</formula>
    </cfRule>
  </conditionalFormatting>
  <conditionalFormatting sqref="D162">
    <cfRule type="cellIs" dxfId="62" priority="802" operator="equal">
      <formula>$S$1</formula>
    </cfRule>
    <cfRule type="cellIs" dxfId="61" priority="803" operator="equal">
      <formula>$U$1</formula>
    </cfRule>
  </conditionalFormatting>
  <conditionalFormatting sqref="C187">
    <cfRule type="cellIs" dxfId="60" priority="800" operator="equal">
      <formula>$U$1</formula>
    </cfRule>
    <cfRule type="cellIs" dxfId="59" priority="801" operator="equal">
      <formula>$S$1</formula>
    </cfRule>
  </conditionalFormatting>
  <conditionalFormatting sqref="D187">
    <cfRule type="cellIs" dxfId="58" priority="798" operator="equal">
      <formula>$S$1</formula>
    </cfRule>
    <cfRule type="cellIs" dxfId="57" priority="799" operator="equal">
      <formula>$U$1</formula>
    </cfRule>
  </conditionalFormatting>
  <conditionalFormatting sqref="C212">
    <cfRule type="cellIs" dxfId="56" priority="796" operator="equal">
      <formula>$U$1</formula>
    </cfRule>
    <cfRule type="cellIs" dxfId="55" priority="797" operator="equal">
      <formula>$S$1</formula>
    </cfRule>
  </conditionalFormatting>
  <conditionalFormatting sqref="D212">
    <cfRule type="cellIs" dxfId="54" priority="794" operator="equal">
      <formula>$S$1</formula>
    </cfRule>
    <cfRule type="cellIs" dxfId="53" priority="795" operator="equal">
      <formula>$U$1</formula>
    </cfRule>
  </conditionalFormatting>
  <conditionalFormatting sqref="C237">
    <cfRule type="cellIs" dxfId="52" priority="792" operator="equal">
      <formula>$U$1</formula>
    </cfRule>
    <cfRule type="cellIs" dxfId="51" priority="793" operator="equal">
      <formula>$S$1</formula>
    </cfRule>
  </conditionalFormatting>
  <conditionalFormatting sqref="D237">
    <cfRule type="cellIs" dxfId="50" priority="790" operator="equal">
      <formula>$S$1</formula>
    </cfRule>
    <cfRule type="cellIs" dxfId="49" priority="791" operator="equal">
      <formula>$U$1</formula>
    </cfRule>
  </conditionalFormatting>
  <conditionalFormatting sqref="C106">
    <cfRule type="cellIs" dxfId="48" priority="788" operator="equal">
      <formula>$U$1</formula>
    </cfRule>
    <cfRule type="cellIs" dxfId="47" priority="789" operator="equal">
      <formula>$S$1</formula>
    </cfRule>
  </conditionalFormatting>
  <conditionalFormatting sqref="D106">
    <cfRule type="cellIs" dxfId="46" priority="786" operator="equal">
      <formula>$S$1</formula>
    </cfRule>
    <cfRule type="cellIs" dxfId="45" priority="787" operator="equal">
      <formula>$U$1</formula>
    </cfRule>
  </conditionalFormatting>
  <conditionalFormatting sqref="C81">
    <cfRule type="cellIs" dxfId="44" priority="784" operator="equal">
      <formula>$U$1</formula>
    </cfRule>
    <cfRule type="cellIs" dxfId="43" priority="785" operator="equal">
      <formula>$S$1</formula>
    </cfRule>
  </conditionalFormatting>
  <conditionalFormatting sqref="D81">
    <cfRule type="cellIs" dxfId="42" priority="782" operator="equal">
      <formula>$S$1</formula>
    </cfRule>
    <cfRule type="cellIs" dxfId="41" priority="783" operator="equal">
      <formula>$U$1</formula>
    </cfRule>
  </conditionalFormatting>
  <conditionalFormatting sqref="C56">
    <cfRule type="cellIs" dxfId="40" priority="780" operator="equal">
      <formula>$U$1</formula>
    </cfRule>
    <cfRule type="cellIs" dxfId="39" priority="781" operator="equal">
      <formula>$S$1</formula>
    </cfRule>
  </conditionalFormatting>
  <conditionalFormatting sqref="D56">
    <cfRule type="cellIs" dxfId="38" priority="778" operator="equal">
      <formula>$S$1</formula>
    </cfRule>
    <cfRule type="cellIs" dxfId="37" priority="779" operator="equal">
      <formula>$U$1</formula>
    </cfRule>
  </conditionalFormatting>
  <conditionalFormatting sqref="C31">
    <cfRule type="cellIs" dxfId="36" priority="776" operator="equal">
      <formula>$U$1</formula>
    </cfRule>
    <cfRule type="cellIs" dxfId="35" priority="777" operator="equal">
      <formula>$S$1</formula>
    </cfRule>
  </conditionalFormatting>
  <conditionalFormatting sqref="D31">
    <cfRule type="cellIs" dxfId="34" priority="774" operator="equal">
      <formula>$S$1</formula>
    </cfRule>
    <cfRule type="cellIs" dxfId="33" priority="77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86" zoomScale="90" zoomScaleNormal="90" workbookViewId="0">
      <pane xSplit="4" topLeftCell="G1" activePane="topRight" state="frozen"/>
      <selection activeCell="A109" sqref="A109"/>
      <selection pane="topRight" activeCell="AJ109" sqref="AJ10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25" x14ac:dyDescent="0.25">
      <c r="A81" s="30">
        <v>45.259255568176073</v>
      </c>
      <c r="E81"/>
    </row>
    <row r="82" spans="1:25" x14ac:dyDescent="0.25">
      <c r="A82" s="30">
        <v>41.144777789250973</v>
      </c>
      <c r="E82"/>
    </row>
    <row r="83" spans="1:25" x14ac:dyDescent="0.25">
      <c r="A83" s="30">
        <v>37.404343444773609</v>
      </c>
      <c r="E83"/>
    </row>
    <row r="84" spans="1:25" x14ac:dyDescent="0.25">
      <c r="A84" s="30">
        <v>34.003948586157826</v>
      </c>
      <c r="E84"/>
    </row>
    <row r="85" spans="1:25" x14ac:dyDescent="0.25">
      <c r="A85" s="30">
        <v>30.912680532870748</v>
      </c>
      <c r="E85"/>
    </row>
    <row r="86" spans="1:25" x14ac:dyDescent="0.25">
      <c r="A86" s="30">
        <v>28.102436848064315</v>
      </c>
      <c r="E86"/>
    </row>
    <row r="87" spans="1:25" x14ac:dyDescent="0.25">
      <c r="A87" s="30">
        <v>25.547669861876649</v>
      </c>
      <c r="E87"/>
    </row>
    <row r="88" spans="1:25" x14ac:dyDescent="0.25">
      <c r="A88" s="30">
        <v>23.225154419887861</v>
      </c>
      <c r="E88"/>
    </row>
    <row r="89" spans="1:25" x14ac:dyDescent="0.25">
      <c r="A89" s="30">
        <v>21.113776745352599</v>
      </c>
      <c r="E89"/>
    </row>
    <row r="90" spans="1:25" x14ac:dyDescent="0.25">
      <c r="A90" s="30">
        <v>19.194342495775089</v>
      </c>
      <c r="E90"/>
    </row>
    <row r="91" spans="1:25" x14ac:dyDescent="0.25">
      <c r="A91" s="30">
        <v>17.449402268886445</v>
      </c>
      <c r="E91"/>
    </row>
    <row r="92" spans="1:25" x14ac:dyDescent="0.25">
      <c r="A92" s="30">
        <v>15.863092971714948</v>
      </c>
      <c r="C92" s="1" t="s">
        <v>15</v>
      </c>
      <c r="E92"/>
    </row>
    <row r="93" spans="1:25" x14ac:dyDescent="0.25">
      <c r="A93" s="30">
        <v>14.420993610649951</v>
      </c>
      <c r="C93" s="7">
        <v>0.11167815779424731</v>
      </c>
      <c r="D93"/>
      <c r="E93"/>
    </row>
    <row r="94" spans="1:25" x14ac:dyDescent="0.25">
      <c r="A94" s="30">
        <v>13.109994191499954</v>
      </c>
      <c r="E94"/>
    </row>
    <row r="95" spans="1:25" x14ac:dyDescent="0.25">
      <c r="A95" s="30">
        <v>11.918176537727231</v>
      </c>
      <c r="C95" s="1" t="s">
        <v>11</v>
      </c>
      <c r="D95" s="1" t="s">
        <v>12</v>
      </c>
      <c r="E95"/>
    </row>
    <row r="96" spans="1:25" x14ac:dyDescent="0.25">
      <c r="A96" s="30">
        <v>10.834705943388391</v>
      </c>
      <c r="C96"/>
      <c r="D96"/>
      <c r="E96"/>
      <c r="Y96" s="27" t="s">
        <v>8</v>
      </c>
    </row>
    <row r="97" spans="1:36" x14ac:dyDescent="0.25">
      <c r="A97" s="30">
        <v>9.849732675807628</v>
      </c>
      <c r="E97"/>
      <c r="Y97" s="27" t="s">
        <v>8</v>
      </c>
      <c r="Z97" s="27" t="s">
        <v>7</v>
      </c>
    </row>
    <row r="98" spans="1:36" x14ac:dyDescent="0.25">
      <c r="A98" s="30">
        <v>8.9543024325523888</v>
      </c>
      <c r="C98" s="1" t="s">
        <v>13</v>
      </c>
      <c r="E98"/>
      <c r="Y98" s="27" t="s">
        <v>8</v>
      </c>
      <c r="Z98" s="27" t="s">
        <v>7</v>
      </c>
    </row>
    <row r="99" spans="1:36" x14ac:dyDescent="0.25">
      <c r="A99" s="30">
        <v>8.140274938683989</v>
      </c>
      <c r="C99" s="1">
        <f>C88</f>
        <v>0</v>
      </c>
      <c r="E99"/>
      <c r="Y99" s="27" t="s">
        <v>8</v>
      </c>
      <c r="Z99" s="27" t="s">
        <v>7</v>
      </c>
      <c r="AC99" s="27" t="s">
        <v>8</v>
      </c>
    </row>
    <row r="100" spans="1:36" x14ac:dyDescent="0.25">
      <c r="A100" s="30">
        <v>7.4002499442581717</v>
      </c>
      <c r="C100"/>
      <c r="D100"/>
      <c r="E100"/>
      <c r="Y100" s="27" t="s">
        <v>8</v>
      </c>
      <c r="Z100" s="27" t="s">
        <v>7</v>
      </c>
      <c r="AC100" s="27" t="s">
        <v>8</v>
      </c>
      <c r="AD100" s="27" t="s">
        <v>7</v>
      </c>
      <c r="AE100" s="27" t="s">
        <v>8</v>
      </c>
    </row>
    <row r="101" spans="1:36" x14ac:dyDescent="0.25">
      <c r="A101" s="30">
        <v>6.72749994932561</v>
      </c>
      <c r="C101" s="1" t="s">
        <v>14</v>
      </c>
      <c r="E101"/>
      <c r="O101" s="33" t="s">
        <v>8</v>
      </c>
      <c r="Q101" s="33" t="s">
        <v>8</v>
      </c>
      <c r="Y101" s="27" t="s">
        <v>8</v>
      </c>
      <c r="Z101" s="27" t="s">
        <v>7</v>
      </c>
      <c r="AC101" s="27" t="s">
        <v>8</v>
      </c>
      <c r="AD101" s="27" t="s">
        <v>7</v>
      </c>
      <c r="AE101" s="27" t="s">
        <v>8</v>
      </c>
      <c r="AF101" s="27" t="s">
        <v>7</v>
      </c>
    </row>
    <row r="102" spans="1:36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K102" s="27" t="s">
        <v>8</v>
      </c>
      <c r="O102" s="27" t="s">
        <v>8</v>
      </c>
      <c r="P102" s="27" t="s">
        <v>7</v>
      </c>
      <c r="Q102" s="27" t="s">
        <v>8</v>
      </c>
      <c r="R102" s="27" t="s">
        <v>7</v>
      </c>
      <c r="S102" s="32" t="s">
        <v>8</v>
      </c>
      <c r="Y102" s="27" t="s">
        <v>8</v>
      </c>
      <c r="Z102" s="27" t="s">
        <v>7</v>
      </c>
      <c r="AA102" s="27" t="s">
        <v>8</v>
      </c>
      <c r="AC102" s="27" t="s">
        <v>8</v>
      </c>
      <c r="AD102" s="27" t="s">
        <v>7</v>
      </c>
      <c r="AE102" s="27" t="s">
        <v>8</v>
      </c>
      <c r="AF102" s="27" t="s">
        <v>7</v>
      </c>
    </row>
    <row r="103" spans="1:36" x14ac:dyDescent="0.25">
      <c r="A103" s="30">
        <v>5.5599173134922388</v>
      </c>
      <c r="E103"/>
      <c r="I103" s="27" t="s">
        <v>8</v>
      </c>
      <c r="K103" s="27" t="s">
        <v>8</v>
      </c>
      <c r="L103" s="27" t="s">
        <v>7</v>
      </c>
      <c r="O103" s="27" t="s">
        <v>8</v>
      </c>
      <c r="P103" s="27" t="s">
        <v>7</v>
      </c>
      <c r="Q103" s="27" t="s">
        <v>8</v>
      </c>
      <c r="R103" s="27" t="s">
        <v>7</v>
      </c>
      <c r="S103" s="27" t="s">
        <v>8</v>
      </c>
      <c r="T103" s="32" t="s">
        <v>7</v>
      </c>
      <c r="Y103" s="27" t="s">
        <v>8</v>
      </c>
      <c r="Z103" s="27" t="s">
        <v>7</v>
      </c>
      <c r="AA103" s="27" t="s">
        <v>8</v>
      </c>
      <c r="AB103" s="27" t="s">
        <v>7</v>
      </c>
      <c r="AC103" s="27" t="s">
        <v>8</v>
      </c>
      <c r="AD103" s="27" t="s">
        <v>7</v>
      </c>
      <c r="AF103" s="27" t="s">
        <v>7</v>
      </c>
      <c r="AI103" s="27" t="s">
        <v>8</v>
      </c>
    </row>
    <row r="104" spans="1:36" x14ac:dyDescent="0.25">
      <c r="A104" s="30">
        <v>5.0544702849929442</v>
      </c>
      <c r="E104"/>
      <c r="I104" s="27" t="s">
        <v>8</v>
      </c>
      <c r="J104" s="27" t="s">
        <v>7</v>
      </c>
      <c r="K104" s="27" t="s">
        <v>8</v>
      </c>
      <c r="L104" s="27" t="s">
        <v>7</v>
      </c>
      <c r="O104" s="31" t="s">
        <v>8</v>
      </c>
      <c r="P104" s="27" t="s">
        <v>7</v>
      </c>
      <c r="Q104" s="27" t="s">
        <v>8</v>
      </c>
      <c r="R104" s="27" t="s">
        <v>7</v>
      </c>
      <c r="S104" s="27" t="s">
        <v>8</v>
      </c>
      <c r="T104" s="27" t="s">
        <v>7</v>
      </c>
      <c r="U104" s="32"/>
      <c r="Y104" s="27" t="s">
        <v>8</v>
      </c>
      <c r="Z104" s="27" t="s">
        <v>7</v>
      </c>
      <c r="AA104" s="27" t="s">
        <v>8</v>
      </c>
      <c r="AB104" s="27" t="s">
        <v>7</v>
      </c>
      <c r="AC104" s="27" t="s">
        <v>8</v>
      </c>
      <c r="AF104" s="27" t="s">
        <v>7</v>
      </c>
      <c r="AI104" s="27" t="s">
        <v>8</v>
      </c>
      <c r="AJ104" s="27" t="s">
        <v>7</v>
      </c>
    </row>
    <row r="105" spans="1:36" x14ac:dyDescent="0.25">
      <c r="A105" s="30">
        <v>4.594972986357222</v>
      </c>
      <c r="E105"/>
      <c r="I105" s="27" t="s">
        <v>8</v>
      </c>
      <c r="J105" s="27" t="s">
        <v>7</v>
      </c>
      <c r="K105" s="27" t="s">
        <v>8</v>
      </c>
      <c r="L105" s="27" t="s">
        <v>7</v>
      </c>
      <c r="M105" s="27" t="s">
        <v>8</v>
      </c>
      <c r="O105" s="27" t="s">
        <v>8</v>
      </c>
      <c r="P105" s="27" t="s">
        <v>7</v>
      </c>
      <c r="R105" s="27" t="s">
        <v>7</v>
      </c>
      <c r="S105" s="27" t="s">
        <v>8</v>
      </c>
      <c r="T105" s="27" t="s">
        <v>7</v>
      </c>
      <c r="V105" s="32"/>
      <c r="W105" s="27" t="s">
        <v>8</v>
      </c>
      <c r="Y105" s="27" t="s">
        <v>8</v>
      </c>
      <c r="Z105" s="27" t="s">
        <v>7</v>
      </c>
      <c r="AA105" s="27" t="s">
        <v>8</v>
      </c>
      <c r="AB105" s="27" t="s">
        <v>7</v>
      </c>
      <c r="AF105" s="32" t="s">
        <v>7</v>
      </c>
      <c r="AG105" s="27" t="s">
        <v>8</v>
      </c>
      <c r="AI105" s="27" t="s">
        <v>8</v>
      </c>
      <c r="AJ105" s="27" t="s">
        <v>7</v>
      </c>
    </row>
    <row r="106" spans="1:36" x14ac:dyDescent="0.25">
      <c r="A106" s="30">
        <v>4.1772481694156562</v>
      </c>
      <c r="E106"/>
      <c r="I106" s="27" t="s">
        <v>8</v>
      </c>
      <c r="J106" s="27" t="s">
        <v>7</v>
      </c>
      <c r="K106" s="27" t="s">
        <v>8</v>
      </c>
      <c r="L106" s="27" t="s">
        <v>7</v>
      </c>
      <c r="M106" s="27" t="s">
        <v>8</v>
      </c>
      <c r="N106" s="27" t="s">
        <v>7</v>
      </c>
      <c r="O106" s="27" t="s">
        <v>8</v>
      </c>
      <c r="R106" s="34" t="s">
        <v>7</v>
      </c>
      <c r="T106" s="27" t="s">
        <v>7</v>
      </c>
      <c r="W106" s="31" t="s">
        <v>8</v>
      </c>
      <c r="X106" s="32" t="s">
        <v>7</v>
      </c>
      <c r="Y106" s="27" t="s">
        <v>8</v>
      </c>
      <c r="Z106" s="27" t="s">
        <v>7</v>
      </c>
      <c r="AA106" s="27" t="s">
        <v>8</v>
      </c>
      <c r="AE106" s="32"/>
      <c r="AF106" s="27" t="s">
        <v>7</v>
      </c>
      <c r="AG106" s="27" t="s">
        <v>8</v>
      </c>
      <c r="AH106" s="27" t="s">
        <v>7</v>
      </c>
      <c r="AI106" s="27" t="s">
        <v>8</v>
      </c>
      <c r="AJ106" s="27" t="s">
        <v>7</v>
      </c>
    </row>
    <row r="107" spans="1:36" x14ac:dyDescent="0.25">
      <c r="A107" s="30">
        <v>3.7974983358324148</v>
      </c>
      <c r="E107"/>
      <c r="G107" s="27" t="s">
        <v>8</v>
      </c>
      <c r="I107" s="27" t="s">
        <v>8</v>
      </c>
      <c r="J107" s="27" t="s">
        <v>7</v>
      </c>
      <c r="L107" s="27" t="s">
        <v>7</v>
      </c>
      <c r="M107" s="27" t="s">
        <v>8</v>
      </c>
      <c r="N107" s="27" t="s">
        <v>7</v>
      </c>
      <c r="O107" s="27" t="s">
        <v>8</v>
      </c>
      <c r="T107" s="27" t="s">
        <v>7</v>
      </c>
      <c r="U107" s="27" t="s">
        <v>8</v>
      </c>
      <c r="W107" s="27" t="s">
        <v>8</v>
      </c>
      <c r="X107" s="27" t="s">
        <v>7</v>
      </c>
      <c r="Y107" s="32" t="s">
        <v>8</v>
      </c>
      <c r="Z107" s="27" t="s">
        <v>7</v>
      </c>
      <c r="AD107" s="32"/>
      <c r="AF107" s="27" t="s">
        <v>7</v>
      </c>
      <c r="AG107" s="27" t="s">
        <v>8</v>
      </c>
      <c r="AH107" s="27" t="s">
        <v>7</v>
      </c>
      <c r="AI107" s="27" t="s">
        <v>8</v>
      </c>
      <c r="AJ107" s="27" t="s">
        <v>7</v>
      </c>
    </row>
    <row r="108" spans="1:36" x14ac:dyDescent="0.25">
      <c r="A108" s="30">
        <v>3.4522712143931042</v>
      </c>
      <c r="E108"/>
      <c r="G108" s="27" t="s">
        <v>8</v>
      </c>
      <c r="H108" s="27" t="s">
        <v>7</v>
      </c>
      <c r="I108" s="27" t="s">
        <v>8</v>
      </c>
      <c r="L108" s="34" t="s">
        <v>7</v>
      </c>
      <c r="N108" s="33" t="s">
        <v>7</v>
      </c>
      <c r="T108" s="27" t="s">
        <v>7</v>
      </c>
      <c r="U108" s="27" t="s">
        <v>8</v>
      </c>
      <c r="V108" s="27" t="s">
        <v>7</v>
      </c>
      <c r="W108" s="27" t="s">
        <v>8</v>
      </c>
      <c r="X108" s="27" t="s">
        <v>7</v>
      </c>
      <c r="Y108" s="27" t="s">
        <v>8</v>
      </c>
      <c r="AC108" s="32"/>
      <c r="AF108" s="27" t="s">
        <v>7</v>
      </c>
      <c r="AG108" s="27" t="s">
        <v>8</v>
      </c>
      <c r="AH108" s="27" t="s">
        <v>7</v>
      </c>
      <c r="AJ108" s="27" t="s">
        <v>7</v>
      </c>
    </row>
    <row r="109" spans="1:36" x14ac:dyDescent="0.25">
      <c r="A109" s="30">
        <v>3.1384283767210035</v>
      </c>
      <c r="E109"/>
      <c r="G109" s="27" t="s">
        <v>8</v>
      </c>
      <c r="H109" s="27" t="s">
        <v>7</v>
      </c>
      <c r="I109" s="27" t="s">
        <v>8</v>
      </c>
      <c r="T109" s="27" t="s">
        <v>7</v>
      </c>
      <c r="U109" s="27" t="s">
        <v>8</v>
      </c>
      <c r="V109" s="27" t="s">
        <v>7</v>
      </c>
      <c r="W109" s="27" t="s">
        <v>8</v>
      </c>
      <c r="X109" s="27" t="s">
        <v>7</v>
      </c>
      <c r="Y109" s="27" t="s">
        <v>8</v>
      </c>
      <c r="AB109" s="32"/>
      <c r="AF109" s="27" t="s">
        <v>7</v>
      </c>
      <c r="AJ109" s="27" t="s">
        <v>7</v>
      </c>
    </row>
    <row r="110" spans="1:36" x14ac:dyDescent="0.25">
      <c r="A110" s="30">
        <v>2.8531167061100029</v>
      </c>
      <c r="E110"/>
      <c r="G110" s="27" t="s">
        <v>8</v>
      </c>
      <c r="H110" s="27" t="s">
        <v>7</v>
      </c>
      <c r="T110" s="27" t="s">
        <v>7</v>
      </c>
      <c r="U110" s="27" t="s">
        <v>8</v>
      </c>
      <c r="V110" s="27" t="s">
        <v>7</v>
      </c>
      <c r="W110" s="27" t="s">
        <v>8</v>
      </c>
      <c r="X110" s="27" t="s">
        <v>7</v>
      </c>
      <c r="Y110" s="27" t="s">
        <v>8</v>
      </c>
      <c r="AA110" s="32"/>
    </row>
    <row r="111" spans="1:36" x14ac:dyDescent="0.25">
      <c r="A111" s="30">
        <v>2.5937424601000023</v>
      </c>
      <c r="C111" s="1" t="str">
        <f>ADDRESS(C121-1,1,1,1)</f>
        <v>$A$108</v>
      </c>
      <c r="D111" s="1" t="str">
        <f>ADDRESS(C121-1,D121,1,1)</f>
        <v>$AJ$108</v>
      </c>
      <c r="E111" t="s">
        <v>8</v>
      </c>
      <c r="G111" s="27" t="s">
        <v>8</v>
      </c>
      <c r="T111" s="27" t="s">
        <v>7</v>
      </c>
      <c r="U111" s="27" t="s">
        <v>8</v>
      </c>
      <c r="V111" s="27" t="s">
        <v>7</v>
      </c>
      <c r="W111" s="27" t="s">
        <v>8</v>
      </c>
      <c r="X111" s="27" t="s">
        <v>7</v>
      </c>
      <c r="Y111" s="27" t="s">
        <v>8</v>
      </c>
      <c r="Z111" s="32"/>
    </row>
    <row r="112" spans="1:36" x14ac:dyDescent="0.25">
      <c r="A112" s="30">
        <v>2.3579476910000019</v>
      </c>
      <c r="C112" s="1" t="str">
        <f>ADDRESS(C121,1,1,1)</f>
        <v>$A$109</v>
      </c>
      <c r="D112" s="1" t="str">
        <f>ADDRESS(C121,D121-1,1,1)</f>
        <v>$AI$109</v>
      </c>
      <c r="E112" t="s">
        <v>8</v>
      </c>
      <c r="F112" s="27" t="s">
        <v>7</v>
      </c>
      <c r="G112" s="27" t="s">
        <v>8</v>
      </c>
      <c r="T112" s="27" t="s">
        <v>7</v>
      </c>
      <c r="V112" s="27" t="s">
        <v>7</v>
      </c>
      <c r="W112" s="27" t="s">
        <v>8</v>
      </c>
      <c r="X112" s="18" t="s">
        <v>7</v>
      </c>
      <c r="Y112" s="32" t="s">
        <v>8</v>
      </c>
    </row>
    <row r="113" spans="1:24" x14ac:dyDescent="0.25">
      <c r="A113" s="30">
        <v>2.1435888100000016</v>
      </c>
      <c r="C113" s="1" t="str">
        <f>ADDRESS(C121+1,1,1,1)</f>
        <v>$A$110</v>
      </c>
      <c r="D113" s="1" t="str">
        <f>ADDRESS(C121-1,D121+1,1,1)</f>
        <v>$AK$108</v>
      </c>
      <c r="E113" s="1" t="s">
        <v>8</v>
      </c>
      <c r="F113" s="27" t="s">
        <v>7</v>
      </c>
      <c r="G113" s="27" t="s">
        <v>8</v>
      </c>
      <c r="V113" s="27" t="s">
        <v>7</v>
      </c>
      <c r="W113" s="27" t="s">
        <v>8</v>
      </c>
      <c r="X113" s="32" t="s">
        <v>7</v>
      </c>
    </row>
    <row r="114" spans="1:24" x14ac:dyDescent="0.25">
      <c r="A114" s="30">
        <v>1.9487171000000014</v>
      </c>
      <c r="C114" s="1" t="str">
        <f>ADDRESS(C121,D121,1,1)</f>
        <v>$AJ$109</v>
      </c>
      <c r="D114" s="1" t="str">
        <f>ADDRESS(C121+1,D121+1,1,1)</f>
        <v>$AK$110</v>
      </c>
      <c r="E114" s="1" t="s">
        <v>8</v>
      </c>
      <c r="F114" s="27" t="s">
        <v>7</v>
      </c>
      <c r="G114" s="27" t="s">
        <v>8</v>
      </c>
      <c r="V114" s="27" t="s">
        <v>7</v>
      </c>
      <c r="W114" s="32" t="s">
        <v>8</v>
      </c>
    </row>
    <row r="115" spans="1:24" x14ac:dyDescent="0.25">
      <c r="A115" s="30">
        <v>1.7715610000000011</v>
      </c>
      <c r="C115" s="1" t="str">
        <f>ADDRESS(C121+1,D121,1,1)</f>
        <v>$AJ$110</v>
      </c>
      <c r="E115" s="1" t="s">
        <v>8</v>
      </c>
      <c r="F115" s="27" t="s">
        <v>7</v>
      </c>
      <c r="V115" s="32" t="s">
        <v>7</v>
      </c>
    </row>
    <row r="116" spans="1:24" x14ac:dyDescent="0.25">
      <c r="A116" s="30">
        <v>1.6105100000000008</v>
      </c>
      <c r="C116" s="1">
        <f>C117-1</f>
        <v>108</v>
      </c>
      <c r="E116" s="1" t="s">
        <v>8</v>
      </c>
    </row>
    <row r="117" spans="1:24" x14ac:dyDescent="0.25">
      <c r="A117" s="30">
        <v>1.4641000000000006</v>
      </c>
      <c r="C117" s="1">
        <f>C121</f>
        <v>109</v>
      </c>
      <c r="D117" s="1">
        <f>D121</f>
        <v>36</v>
      </c>
      <c r="E117" s="1" t="s">
        <v>8</v>
      </c>
    </row>
    <row r="118" spans="1:24" x14ac:dyDescent="0.25">
      <c r="A118" s="30">
        <v>1.3310000000000004</v>
      </c>
      <c r="C118" s="1">
        <f>C117+1</f>
        <v>110</v>
      </c>
      <c r="D118" s="1">
        <f>D117+1</f>
        <v>37</v>
      </c>
      <c r="E118" s="1" t="s">
        <v>8</v>
      </c>
    </row>
    <row r="119" spans="1:24" x14ac:dyDescent="0.25">
      <c r="A119" s="30">
        <v>1.2100000000000002</v>
      </c>
      <c r="E119" s="1" t="s">
        <v>8</v>
      </c>
    </row>
    <row r="120" spans="1:24" x14ac:dyDescent="0.25">
      <c r="A120" s="30">
        <v>1.1000000000000001</v>
      </c>
      <c r="C120" s="1" t="s">
        <v>9</v>
      </c>
      <c r="E120" s="1" t="s">
        <v>8</v>
      </c>
    </row>
    <row r="121" spans="1:24" x14ac:dyDescent="0.25">
      <c r="A121" s="30">
        <v>1</v>
      </c>
      <c r="C121" s="18">
        <v>109</v>
      </c>
      <c r="D121" s="19">
        <v>36</v>
      </c>
      <c r="E121" s="18" t="s">
        <v>8</v>
      </c>
    </row>
    <row r="122" spans="1:24" x14ac:dyDescent="0.25">
      <c r="A122" s="30">
        <v>0.90909090909090895</v>
      </c>
      <c r="C122" s="1" t="str">
        <f>INDEX(1:1048576,C117,D117)</f>
        <v>O</v>
      </c>
    </row>
    <row r="123" spans="1:24" x14ac:dyDescent="0.25">
      <c r="A123" s="30">
        <v>0.82644628099173523</v>
      </c>
      <c r="C123" s="1" t="str">
        <f>"R"&amp;C121</f>
        <v>R109</v>
      </c>
      <c r="D123" s="1" t="str">
        <f>"C"&amp;D121</f>
        <v>C36</v>
      </c>
    </row>
    <row r="124" spans="1:24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24" x14ac:dyDescent="0.25">
      <c r="A125" s="30">
        <v>0.68301345536507019</v>
      </c>
    </row>
    <row r="126" spans="1:24" x14ac:dyDescent="0.25">
      <c r="A126" s="30">
        <v>0.6209213230591546</v>
      </c>
      <c r="C126" s="1" t="s">
        <v>10</v>
      </c>
    </row>
    <row r="127" spans="1:24" x14ac:dyDescent="0.25">
      <c r="A127" s="30">
        <v>0.56447393005377677</v>
      </c>
      <c r="C127" s="30">
        <v>3.1384283767210035</v>
      </c>
      <c r="D127"/>
    </row>
    <row r="128" spans="1:24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92" operator="equal">
      <formula>$U$1</formula>
    </cfRule>
    <cfRule type="cellIs" dxfId="30" priority="793" operator="equal">
      <formula>$S$1</formula>
    </cfRule>
  </conditionalFormatting>
  <conditionalFormatting sqref="D136">
    <cfRule type="cellIs" dxfId="29" priority="790" operator="equal">
      <formula>$S$1</formula>
    </cfRule>
    <cfRule type="cellIs" dxfId="28" priority="791" operator="equal">
      <formula>$U$1</formula>
    </cfRule>
  </conditionalFormatting>
  <conditionalFormatting sqref="C102">
    <cfRule type="cellIs" dxfId="27" priority="788" operator="equal">
      <formula>$U$1</formula>
    </cfRule>
    <cfRule type="cellIs" dxfId="26" priority="789" operator="equal">
      <formula>$S$1</formula>
    </cfRule>
  </conditionalFormatting>
  <conditionalFormatting sqref="D102">
    <cfRule type="cellIs" dxfId="25" priority="786" operator="equal">
      <formula>$S$1</formula>
    </cfRule>
    <cfRule type="cellIs" dxfId="24" priority="787" operator="equal">
      <formula>$U$1</formula>
    </cfRule>
  </conditionalFormatting>
  <conditionalFormatting sqref="C77">
    <cfRule type="cellIs" dxfId="23" priority="784" operator="equal">
      <formula>$U$1</formula>
    </cfRule>
    <cfRule type="cellIs" dxfId="22" priority="785" operator="equal">
      <formula>$S$1</formula>
    </cfRule>
  </conditionalFormatting>
  <conditionalFormatting sqref="D77">
    <cfRule type="cellIs" dxfId="21" priority="782" operator="equal">
      <formula>$S$1</formula>
    </cfRule>
    <cfRule type="cellIs" dxfId="20" priority="783" operator="equal">
      <formula>$U$1</formula>
    </cfRule>
  </conditionalFormatting>
  <conditionalFormatting sqref="C52">
    <cfRule type="cellIs" dxfId="19" priority="780" operator="equal">
      <formula>$U$1</formula>
    </cfRule>
    <cfRule type="cellIs" dxfId="18" priority="781" operator="equal">
      <formula>$S$1</formula>
    </cfRule>
  </conditionalFormatting>
  <conditionalFormatting sqref="D52">
    <cfRule type="cellIs" dxfId="17" priority="778" operator="equal">
      <formula>$S$1</formula>
    </cfRule>
    <cfRule type="cellIs" dxfId="16" priority="779" operator="equal">
      <formula>$U$1</formula>
    </cfRule>
  </conditionalFormatting>
  <conditionalFormatting sqref="C26">
    <cfRule type="cellIs" dxfId="15" priority="776" operator="equal">
      <formula>$U$1</formula>
    </cfRule>
    <cfRule type="cellIs" dxfId="14" priority="777" operator="equal">
      <formula>$S$1</formula>
    </cfRule>
  </conditionalFormatting>
  <conditionalFormatting sqref="D26">
    <cfRule type="cellIs" dxfId="13" priority="774" operator="equal">
      <formula>$S$1</formula>
    </cfRule>
    <cfRule type="cellIs" dxfId="12" priority="77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2022-01-28T01:14:46Z</dcterms:modified>
</cp:coreProperties>
</file>