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2E57B83-29F7-430D-88B8-C41F0D8D911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3" l="1"/>
  <c r="C133" i="3" s="1"/>
  <c r="D136" i="3" s="1"/>
  <c r="C2" i="1"/>
  <c r="D2" i="1"/>
  <c r="C122" i="4"/>
  <c r="C133" i="4" s="1"/>
  <c r="D136" i="4" s="1"/>
  <c r="C116" i="5"/>
  <c r="C122" i="5"/>
  <c r="C133" i="5" s="1"/>
  <c r="C136" i="5" s="1"/>
  <c r="C116" i="4"/>
  <c r="C118" i="4"/>
  <c r="C118" i="3"/>
  <c r="C116" i="3"/>
  <c r="R765" i="1"/>
  <c r="C136" i="3" l="1"/>
  <c r="C138" i="3" s="1"/>
  <c r="C136" i="4"/>
  <c r="C138" i="4" s="1"/>
  <c r="D136" i="5"/>
  <c r="C138" i="5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<sst xmlns="http://schemas.openxmlformats.org/spreadsheetml/2006/main" count="6385" uniqueCount="34">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</sst>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1.0369999999999999</c:v>
                </c:pt>
                <c:pt idx="1">
                  <c:v>1.077</c:v>
                </c:pt>
                <c:pt idx="2">
                  <c:v>1.0429999999999999</c:v>
                </c:pt>
                <c:pt idx="3">
                  <c:v>1.0649999999999999</c:v>
                </c:pt>
                <c:pt idx="4">
                  <c:v>1.1240000000000001</c:v>
                </c:pt>
                <c:pt idx="5">
                  <c:v>1.071</c:v>
                </c:pt>
                <c:pt idx="6">
                  <c:v>1.1200000000000001</c:v>
                </c:pt>
                <c:pt idx="7">
                  <c:v>1.2589999999999999</c:v>
                </c:pt>
                <c:pt idx="8">
                  <c:v>1.337</c:v>
                </c:pt>
                <c:pt idx="9">
                  <c:v>1.458</c:v>
                </c:pt>
                <c:pt idx="10">
                  <c:v>1.603</c:v>
                </c:pt>
                <c:pt idx="11">
                  <c:v>1.41</c:v>
                </c:pt>
                <c:pt idx="12">
                  <c:v>1.2909999999999999</c:v>
                </c:pt>
                <c:pt idx="13">
                  <c:v>1.292</c:v>
                </c:pt>
                <c:pt idx="14">
                  <c:v>1.2330000000000001</c:v>
                </c:pt>
                <c:pt idx="15">
                  <c:v>1.3120000000000001</c:v>
                </c:pt>
                <c:pt idx="16">
                  <c:v>1.1870000000000001</c:v>
                </c:pt>
                <c:pt idx="17">
                  <c:v>1.123</c:v>
                </c:pt>
                <c:pt idx="18">
                  <c:v>1.17</c:v>
                </c:pt>
                <c:pt idx="19">
                  <c:v>1.181</c:v>
                </c:pt>
                <c:pt idx="20">
                  <c:v>1.21</c:v>
                </c:pt>
                <c:pt idx="21">
                  <c:v>1.28</c:v>
                </c:pt>
                <c:pt idx="22">
                  <c:v>1.23</c:v>
                </c:pt>
                <c:pt idx="23">
                  <c:v>1.3089999999999999</c:v>
                </c:pt>
                <c:pt idx="24">
                  <c:v>1.319</c:v>
                </c:pt>
                <c:pt idx="25">
                  <c:v>1.377</c:v>
                </c:pt>
                <c:pt idx="26">
                  <c:v>1.38</c:v>
                </c:pt>
                <c:pt idx="27">
                  <c:v>1.3080000000000001</c:v>
                </c:pt>
                <c:pt idx="28">
                  <c:v>1.359</c:v>
                </c:pt>
                <c:pt idx="29">
                  <c:v>1.3320000000000001</c:v>
                </c:pt>
                <c:pt idx="30">
                  <c:v>1.4</c:v>
                </c:pt>
                <c:pt idx="31">
                  <c:v>1.516</c:v>
                </c:pt>
                <c:pt idx="32">
                  <c:v>1.4550000000000001</c:v>
                </c:pt>
                <c:pt idx="33">
                  <c:v>1.452</c:v>
                </c:pt>
                <c:pt idx="34">
                  <c:v>1.3919999999999999</c:v>
                </c:pt>
                <c:pt idx="35">
                  <c:v>1.4750000000000001</c:v>
                </c:pt>
                <c:pt idx="36">
                  <c:v>1.327</c:v>
                </c:pt>
                <c:pt idx="37">
                  <c:v>1.28</c:v>
                </c:pt>
                <c:pt idx="38">
                  <c:v>1.2370000000000001</c:v>
                </c:pt>
                <c:pt idx="39">
                  <c:v>1.2430000000000001</c:v>
                </c:pt>
                <c:pt idx="40">
                  <c:v>1.242</c:v>
                </c:pt>
                <c:pt idx="41">
                  <c:v>1.218</c:v>
                </c:pt>
                <c:pt idx="42">
                  <c:v>1.24</c:v>
                </c:pt>
                <c:pt idx="43">
                  <c:v>1.3109999999999999</c:v>
                </c:pt>
                <c:pt idx="44">
                  <c:v>1.266</c:v>
                </c:pt>
                <c:pt idx="45">
                  <c:v>1.2230000000000001</c:v>
                </c:pt>
                <c:pt idx="46">
                  <c:v>1.3460000000000001</c:v>
                </c:pt>
                <c:pt idx="47">
                  <c:v>1.2230000000000001</c:v>
                </c:pt>
                <c:pt idx="48">
                  <c:v>1.2110000000000001</c:v>
                </c:pt>
                <c:pt idx="49">
                  <c:v>1.2889999999999999</c:v>
                </c:pt>
                <c:pt idx="50">
                  <c:v>1.3959999999999999</c:v>
                </c:pt>
                <c:pt idx="51">
                  <c:v>1.3779999999999999</c:v>
                </c:pt>
                <c:pt idx="52">
                  <c:v>1.42</c:v>
                </c:pt>
                <c:pt idx="53">
                  <c:v>1.3779999999999999</c:v>
                </c:pt>
                <c:pt idx="54">
                  <c:v>1.42</c:v>
                </c:pt>
                <c:pt idx="55">
                  <c:v>1.556</c:v>
                </c:pt>
                <c:pt idx="56">
                  <c:v>1.7190000000000001</c:v>
                </c:pt>
                <c:pt idx="57">
                  <c:v>1.548</c:v>
                </c:pt>
                <c:pt idx="58">
                  <c:v>1.554</c:v>
                </c:pt>
                <c:pt idx="59">
                  <c:v>1.601</c:v>
                </c:pt>
                <c:pt idx="60">
                  <c:v>1.5940000000000001</c:v>
                </c:pt>
                <c:pt idx="61">
                  <c:v>1.5429999999999999</c:v>
                </c:pt>
                <c:pt idx="62">
                  <c:v>1.5329999999999999</c:v>
                </c:pt>
                <c:pt idx="63">
                  <c:v>1.675</c:v>
                </c:pt>
                <c:pt idx="64">
                  <c:v>1.69</c:v>
                </c:pt>
                <c:pt idx="65">
                  <c:v>1.7509999999999999</c:v>
                </c:pt>
                <c:pt idx="66">
                  <c:v>1.776</c:v>
                </c:pt>
                <c:pt idx="67">
                  <c:v>1.835</c:v>
                </c:pt>
                <c:pt idx="68">
                  <c:v>1.9219999999999999</c:v>
                </c:pt>
                <c:pt idx="69">
                  <c:v>1.863</c:v>
                </c:pt>
                <c:pt idx="70">
                  <c:v>1.786</c:v>
                </c:pt>
                <c:pt idx="71">
                  <c:v>1.8759999999999999</c:v>
                </c:pt>
                <c:pt idx="72">
                  <c:v>1.8740000000000001</c:v>
                </c:pt>
                <c:pt idx="73">
                  <c:v>2.0169999999999999</c:v>
                </c:pt>
                <c:pt idx="74">
                  <c:v>2.04</c:v>
                </c:pt>
                <c:pt idx="75">
                  <c:v>2.0499999999999998</c:v>
                </c:pt>
                <c:pt idx="76">
                  <c:v>2.0449999999999999</c:v>
                </c:pt>
                <c:pt idx="77">
                  <c:v>2.0790000000000002</c:v>
                </c:pt>
                <c:pt idx="78">
                  <c:v>2.097</c:v>
                </c:pt>
                <c:pt idx="79">
                  <c:v>2.27</c:v>
                </c:pt>
                <c:pt idx="80">
                  <c:v>2.125</c:v>
                </c:pt>
                <c:pt idx="81">
                  <c:v>2.0209999999999999</c:v>
                </c:pt>
                <c:pt idx="82">
                  <c:v>2.0049999999999999</c:v>
                </c:pt>
                <c:pt idx="83">
                  <c:v>1.982</c:v>
                </c:pt>
                <c:pt idx="84">
                  <c:v>1.9830000000000001</c:v>
                </c:pt>
                <c:pt idx="85">
                  <c:v>2.0630000000000002</c:v>
                </c:pt>
                <c:pt idx="86">
                  <c:v>1.9710000000000001</c:v>
                </c:pt>
                <c:pt idx="87">
                  <c:v>1.9490000000000001</c:v>
                </c:pt>
                <c:pt idx="88">
                  <c:v>1.964</c:v>
                </c:pt>
                <c:pt idx="89">
                  <c:v>1.9550000000000001</c:v>
                </c:pt>
                <c:pt idx="90">
                  <c:v>2.0150000000000001</c:v>
                </c:pt>
                <c:pt idx="91">
                  <c:v>1.9870000000000001</c:v>
                </c:pt>
                <c:pt idx="92">
                  <c:v>1.9119999999999999</c:v>
                </c:pt>
                <c:pt idx="93">
                  <c:v>2.137</c:v>
                </c:pt>
                <c:pt idx="94">
                  <c:v>2.1440000000000001</c:v>
                </c:pt>
                <c:pt idx="95">
                  <c:v>2.12</c:v>
                </c:pt>
                <c:pt idx="96">
                  <c:v>2.1659999999999999</c:v>
                </c:pt>
                <c:pt idx="97">
                  <c:v>2.1560000000000001</c:v>
                </c:pt>
                <c:pt idx="98">
                  <c:v>2.137</c:v>
                </c:pt>
                <c:pt idx="99">
                  <c:v>2.19</c:v>
                </c:pt>
                <c:pt idx="100">
                  <c:v>2.11</c:v>
                </c:pt>
                <c:pt idx="101">
                  <c:v>2.1280000000000001</c:v>
                </c:pt>
                <c:pt idx="102">
                  <c:v>2.1579999999999999</c:v>
                </c:pt>
                <c:pt idx="103">
                  <c:v>2.1789999999999998</c:v>
                </c:pt>
                <c:pt idx="104">
                  <c:v>2.218</c:v>
                </c:pt>
                <c:pt idx="105">
                  <c:v>2.1720000000000002</c:v>
                </c:pt>
                <c:pt idx="106">
                  <c:v>2.19</c:v>
                </c:pt>
                <c:pt idx="107">
                  <c:v>2.1179999999999999</c:v>
                </c:pt>
                <c:pt idx="108">
                  <c:v>2.1709999999999998</c:v>
                </c:pt>
                <c:pt idx="109">
                  <c:v>2.1890000000000001</c:v>
                </c:pt>
                <c:pt idx="110">
                  <c:v>2.2679999999999998</c:v>
                </c:pt>
                <c:pt idx="111">
                  <c:v>2.2370000000000001</c:v>
                </c:pt>
                <c:pt idx="112">
                  <c:v>2.278</c:v>
                </c:pt>
                <c:pt idx="113">
                  <c:v>2.2090000000000001</c:v>
                </c:pt>
                <c:pt idx="114">
                  <c:v>2.2330000000000001</c:v>
                </c:pt>
                <c:pt idx="115">
                  <c:v>2.2010000000000001</c:v>
                </c:pt>
                <c:pt idx="116">
                  <c:v>2.254</c:v>
                </c:pt>
                <c:pt idx="117">
                  <c:v>2.2469999999999999</c:v>
                </c:pt>
                <c:pt idx="118">
                  <c:v>2.2559999999999998</c:v>
                </c:pt>
                <c:pt idx="119">
                  <c:v>2.1150000000000002</c:v>
                </c:pt>
                <c:pt idx="120">
                  <c:v>2.0659999999999998</c:v>
                </c:pt>
                <c:pt idx="121">
                  <c:v>2.0369999999999999</c:v>
                </c:pt>
                <c:pt idx="122">
                  <c:v>2.13</c:v>
                </c:pt>
                <c:pt idx="123">
                  <c:v>2.2069999999999999</c:v>
                </c:pt>
                <c:pt idx="124">
                  <c:v>2.2999999999999998</c:v>
                </c:pt>
                <c:pt idx="125">
                  <c:v>2.2770000000000001</c:v>
                </c:pt>
                <c:pt idx="126">
                  <c:v>2.327</c:v>
                </c:pt>
                <c:pt idx="127">
                  <c:v>2.2570000000000001</c:v>
                </c:pt>
                <c:pt idx="128">
                  <c:v>1.986</c:v>
                </c:pt>
                <c:pt idx="129">
                  <c:v>2.1259999999999999</c:v>
                </c:pt>
                <c:pt idx="130">
                  <c:v>2.2829999999999999</c:v>
                </c:pt>
                <c:pt idx="131">
                  <c:v>2.371</c:v>
                </c:pt>
                <c:pt idx="132">
                  <c:v>2.35</c:v>
                </c:pt>
                <c:pt idx="133">
                  <c:v>2.4169999999999998</c:v>
                </c:pt>
                <c:pt idx="134">
                  <c:v>2.5049999999999999</c:v>
                </c:pt>
                <c:pt idx="135">
                  <c:v>2.3959999999999999</c:v>
                </c:pt>
                <c:pt idx="136">
                  <c:v>2.4020000000000001</c:v>
                </c:pt>
                <c:pt idx="137">
                  <c:v>2.581</c:v>
                </c:pt>
                <c:pt idx="138">
                  <c:v>2.6379999999999999</c:v>
                </c:pt>
                <c:pt idx="139">
                  <c:v>2.383</c:v>
                </c:pt>
                <c:pt idx="140">
                  <c:v>2.5179999999999998</c:v>
                </c:pt>
                <c:pt idx="141">
                  <c:v>2.4700000000000002</c:v>
                </c:pt>
                <c:pt idx="142">
                  <c:v>2.5139999999999998</c:v>
                </c:pt>
                <c:pt idx="143">
                  <c:v>2.8330000000000002</c:v>
                </c:pt>
                <c:pt idx="144">
                  <c:v>2.91</c:v>
                </c:pt>
                <c:pt idx="145">
                  <c:v>2.83</c:v>
                </c:pt>
                <c:pt idx="146">
                  <c:v>2.9660000000000002</c:v>
                </c:pt>
                <c:pt idx="147">
                  <c:v>2.96</c:v>
                </c:pt>
                <c:pt idx="148">
                  <c:v>2.8690000000000002</c:v>
                </c:pt>
                <c:pt idx="149">
                  <c:v>2.7669999999999999</c:v>
                </c:pt>
                <c:pt idx="150">
                  <c:v>2.734</c:v>
                </c:pt>
                <c:pt idx="151">
                  <c:v>2.851</c:v>
                </c:pt>
                <c:pt idx="152">
                  <c:v>2.847</c:v>
                </c:pt>
                <c:pt idx="153">
                  <c:v>2.9460000000000002</c:v>
                </c:pt>
                <c:pt idx="154">
                  <c:v>2.528</c:v>
                </c:pt>
                <c:pt idx="155">
                  <c:v>2.7389999999999999</c:v>
                </c:pt>
                <c:pt idx="156">
                  <c:v>2.7187000000000001</c:v>
                </c:pt>
                <c:pt idx="157">
                  <c:v>2.9152</c:v>
                </c:pt>
                <c:pt idx="158">
                  <c:v>2.57</c:v>
                </c:pt>
                <c:pt idx="159">
                  <c:v>2.4340999999999999</c:v>
                </c:pt>
                <c:pt idx="160">
                  <c:v>2.4557000000000002</c:v>
                </c:pt>
                <c:pt idx="161">
                  <c:v>2.4411</c:v>
                </c:pt>
                <c:pt idx="162">
                  <c:v>2.1042999999999998</c:v>
                </c:pt>
                <c:pt idx="163">
                  <c:v>1.9238999999999999</c:v>
                </c:pt>
                <c:pt idx="164">
                  <c:v>2.0714000000000001</c:v>
                </c:pt>
                <c:pt idx="165">
                  <c:v>2.1667000000000001</c:v>
                </c:pt>
                <c:pt idx="166">
                  <c:v>2.1878000000000002</c:v>
                </c:pt>
                <c:pt idx="167">
                  <c:v>2.1385999999999998</c:v>
                </c:pt>
                <c:pt idx="168">
                  <c:v>1.8324</c:v>
                </c:pt>
                <c:pt idx="169">
                  <c:v>1.7934000000000001</c:v>
                </c:pt>
                <c:pt idx="170">
                  <c:v>1.6779999999999999</c:v>
                </c:pt>
                <c:pt idx="171">
                  <c:v>1.4744999999999999</c:v>
                </c:pt>
                <c:pt idx="172">
                  <c:v>1.4255</c:v>
                </c:pt>
                <c:pt idx="173">
                  <c:v>1.4726999999999999</c:v>
                </c:pt>
                <c:pt idx="174">
                  <c:v>1.4025000000000001</c:v>
                </c:pt>
                <c:pt idx="175">
                  <c:v>1.3858999999999999</c:v>
                </c:pt>
                <c:pt idx="176">
                  <c:v>1.3765000000000001</c:v>
                </c:pt>
                <c:pt idx="177">
                  <c:v>1.3695999999999999</c:v>
                </c:pt>
                <c:pt idx="178">
                  <c:v>1.3083</c:v>
                </c:pt>
                <c:pt idx="179">
                  <c:v>1.3142</c:v>
                </c:pt>
                <c:pt idx="180">
                  <c:v>1.3192999999999999</c:v>
                </c:pt>
                <c:pt idx="181">
                  <c:v>1.3108</c:v>
                </c:pt>
                <c:pt idx="182">
                  <c:v>1.2856000000000001</c:v>
                </c:pt>
                <c:pt idx="183">
                  <c:v>1.2875000000000001</c:v>
                </c:pt>
                <c:pt idx="184">
                  <c:v>1.2799</c:v>
                </c:pt>
                <c:pt idx="185">
                  <c:v>1.2551000000000001</c:v>
                </c:pt>
                <c:pt idx="186">
                  <c:v>1.2283999999999999</c:v>
                </c:pt>
                <c:pt idx="187">
                  <c:v>1.2326999999999999</c:v>
                </c:pt>
                <c:pt idx="188">
                  <c:v>1.2077</c:v>
                </c:pt>
                <c:pt idx="189">
                  <c:v>1.1856</c:v>
                </c:pt>
                <c:pt idx="190">
                  <c:v>1.1711</c:v>
                </c:pt>
                <c:pt idx="191">
                  <c:v>1.0539000000000001</c:v>
                </c:pt>
                <c:pt idx="192">
                  <c:v>1.1225000000000001</c:v>
                </c:pt>
                <c:pt idx="193">
                  <c:v>1.1813</c:v>
                </c:pt>
                <c:pt idx="194">
                  <c:v>1.1720999999999999</c:v>
                </c:pt>
                <c:pt idx="195">
                  <c:v>1.1708000000000001</c:v>
                </c:pt>
                <c:pt idx="196">
                  <c:v>1.2258</c:v>
                </c:pt>
                <c:pt idx="197">
                  <c:v>1.2635000000000001</c:v>
                </c:pt>
                <c:pt idx="198">
                  <c:v>1.2649999999999999</c:v>
                </c:pt>
                <c:pt idx="199">
                  <c:v>1.3126</c:v>
                </c:pt>
                <c:pt idx="200">
                  <c:v>1.3485</c:v>
                </c:pt>
                <c:pt idx="201">
                  <c:v>1.3355999999999999</c:v>
                </c:pt>
                <c:pt idx="202">
                  <c:v>1.3504</c:v>
                </c:pt>
                <c:pt idx="203">
                  <c:v>1.327</c:v>
                </c:pt>
                <c:pt idx="204">
                  <c:v>1.4039999999999999</c:v>
                </c:pt>
                <c:pt idx="205">
                  <c:v>1.4157</c:v>
                </c:pt>
                <c:pt idx="206">
                  <c:v>1.4038999999999999</c:v>
                </c:pt>
                <c:pt idx="207">
                  <c:v>1.4615</c:v>
                </c:pt>
                <c:pt idx="208">
                  <c:v>1.4045000000000001</c:v>
                </c:pt>
                <c:pt idx="209">
                  <c:v>1.3946000000000001</c:v>
                </c:pt>
                <c:pt idx="210">
                  <c:v>1.3312999999999999</c:v>
                </c:pt>
                <c:pt idx="211">
                  <c:v>1.3853</c:v>
                </c:pt>
                <c:pt idx="212">
                  <c:v>1.373</c:v>
                </c:pt>
                <c:pt idx="213">
                  <c:v>1.3260000000000001</c:v>
                </c:pt>
                <c:pt idx="214">
                  <c:v>1.3380000000000001</c:v>
                </c:pt>
                <c:pt idx="215">
                  <c:v>1.2521</c:v>
                </c:pt>
                <c:pt idx="216">
                  <c:v>1.2521</c:v>
                </c:pt>
                <c:pt idx="217">
                  <c:v>1.3604000000000001</c:v>
                </c:pt>
                <c:pt idx="218">
                  <c:v>1.2512000000000001</c:v>
                </c:pt>
                <c:pt idx="219">
                  <c:v>1.1567000000000001</c:v>
                </c:pt>
                <c:pt idx="220">
                  <c:v>1.1739999999999999</c:v>
                </c:pt>
                <c:pt idx="221">
                  <c:v>1.4262999999999999</c:v>
                </c:pt>
                <c:pt idx="222">
                  <c:v>1.3838999999999999</c:v>
                </c:pt>
                <c:pt idx="223">
                  <c:v>1.4162999999999999</c:v>
                </c:pt>
                <c:pt idx="224">
                  <c:v>1.4825999999999999</c:v>
                </c:pt>
                <c:pt idx="225">
                  <c:v>1.4851000000000001</c:v>
                </c:pt>
                <c:pt idx="226">
                  <c:v>1.5551999999999999</c:v>
                </c:pt>
                <c:pt idx="227">
                  <c:v>1.5769</c:v>
                </c:pt>
                <c:pt idx="228">
                  <c:v>1.5566</c:v>
                </c:pt>
                <c:pt idx="229">
                  <c:v>1.4789000000000001</c:v>
                </c:pt>
                <c:pt idx="230">
                  <c:v>1.4371</c:v>
                </c:pt>
                <c:pt idx="231">
                  <c:v>1.5327999999999999</c:v>
                </c:pt>
                <c:pt idx="232">
                  <c:v>1.6278999999999999</c:v>
                </c:pt>
                <c:pt idx="233">
                  <c:v>1.5819000000000001</c:v>
                </c:pt>
                <c:pt idx="234">
                  <c:v>1.5659000000000001</c:v>
                </c:pt>
                <c:pt idx="235">
                  <c:v>1.6771</c:v>
                </c:pt>
                <c:pt idx="236">
                  <c:v>1.6551</c:v>
                </c:pt>
                <c:pt idx="237">
                  <c:v>1.7077</c:v>
                </c:pt>
                <c:pt idx="238">
                  <c:v>1.8452999999999999</c:v>
                </c:pt>
                <c:pt idx="239">
                  <c:v>1.7534000000000001</c:v>
                </c:pt>
                <c:pt idx="240">
                  <c:v>1.7363</c:v>
                </c:pt>
                <c:pt idx="241">
                  <c:v>1.7373000000000001</c:v>
                </c:pt>
                <c:pt idx="242">
                  <c:v>1.5750999999999999</c:v>
                </c:pt>
                <c:pt idx="243">
                  <c:v>1.4029</c:v>
                </c:pt>
                <c:pt idx="244">
                  <c:v>1.5133000000000001</c:v>
                </c:pt>
                <c:pt idx="245">
                  <c:v>1.6552</c:v>
                </c:pt>
                <c:pt idx="246">
                  <c:v>1.7790999999999999</c:v>
                </c:pt>
                <c:pt idx="247">
                  <c:v>1.5531999999999999</c:v>
                </c:pt>
                <c:pt idx="248">
                  <c:v>1.55</c:v>
                </c:pt>
                <c:pt idx="249">
                  <c:v>1.3139000000000001</c:v>
                </c:pt>
                <c:pt idx="250">
                  <c:v>1.4629000000000001</c:v>
                </c:pt>
                <c:pt idx="251">
                  <c:v>1.5492999999999999</c:v>
                </c:pt>
                <c:pt idx="252">
                  <c:v>1.8006</c:v>
                </c:pt>
                <c:pt idx="253">
                  <c:v>1.4662999999999999</c:v>
                </c:pt>
                <c:pt idx="254">
                  <c:v>2.0036</c:v>
                </c:pt>
                <c:pt idx="255">
                  <c:v>2.0306999999999999</c:v>
                </c:pt>
                <c:pt idx="256">
                  <c:v>2.3001999999999998</c:v>
                </c:pt>
                <c:pt idx="257">
                  <c:v>2.1743999999999999</c:v>
                </c:pt>
                <c:pt idx="258">
                  <c:v>2.0068999999999999</c:v>
                </c:pt>
                <c:pt idx="259">
                  <c:v>1.9296</c:v>
                </c:pt>
                <c:pt idx="260">
                  <c:v>1.5693999999999999</c:v>
                </c:pt>
                <c:pt idx="261">
                  <c:v>1.7632000000000001</c:v>
                </c:pt>
                <c:pt idx="262">
                  <c:v>1.6423000000000001</c:v>
                </c:pt>
                <c:pt idx="263">
                  <c:v>1.7663</c:v>
                </c:pt>
                <c:pt idx="264">
                  <c:v>1.6211</c:v>
                </c:pt>
                <c:pt idx="265">
                  <c:v>1.653</c:v>
                </c:pt>
                <c:pt idx="266">
                  <c:v>1.6491</c:v>
                </c:pt>
                <c:pt idx="267">
                  <c:v>1.4798</c:v>
                </c:pt>
                <c:pt idx="268">
                  <c:v>1.2698</c:v>
                </c:pt>
                <c:pt idx="269">
                  <c:v>1.3622000000000001</c:v>
                </c:pt>
                <c:pt idx="270">
                  <c:v>1.3267</c:v>
                </c:pt>
                <c:pt idx="271">
                  <c:v>1.3515999999999999</c:v>
                </c:pt>
                <c:pt idx="272">
                  <c:v>1.3532</c:v>
                </c:pt>
                <c:pt idx="273">
                  <c:v>1.3063</c:v>
                </c:pt>
                <c:pt idx="274">
                  <c:v>1.3379000000000001</c:v>
                </c:pt>
                <c:pt idx="275">
                  <c:v>1.3063</c:v>
                </c:pt>
                <c:pt idx="276">
                  <c:v>1.2375</c:v>
                </c:pt>
                <c:pt idx="277">
                  <c:v>1.0912999999999999</c:v>
                </c:pt>
                <c:pt idx="278">
                  <c:v>1.10287</c:v>
                </c:pt>
                <c:pt idx="279">
                  <c:v>1.15866</c:v>
                </c:pt>
                <c:pt idx="280">
                  <c:v>1.1439999999999999</c:v>
                </c:pt>
                <c:pt idx="281">
                  <c:v>1.2035800000000001</c:v>
                </c:pt>
                <c:pt idx="282">
                  <c:v>1.2668900000000001</c:v>
                </c:pt>
                <c:pt idx="283">
                  <c:v>1.1944999999999999</c:v>
                </c:pt>
                <c:pt idx="284">
                  <c:v>1.2769299999999999</c:v>
                </c:pt>
                <c:pt idx="285">
                  <c:v>1.36802</c:v>
                </c:pt>
                <c:pt idx="286">
                  <c:v>1.4098900000000001</c:v>
                </c:pt>
                <c:pt idx="287">
                  <c:v>1.4782</c:v>
                </c:pt>
                <c:pt idx="288">
                  <c:v>1.45092</c:v>
                </c:pt>
                <c:pt idx="289">
                  <c:v>1.41246</c:v>
                </c:pt>
                <c:pt idx="290">
                  <c:v>1.3143100000000001</c:v>
                </c:pt>
                <c:pt idx="291">
                  <c:v>1.26355</c:v>
                </c:pt>
                <c:pt idx="292">
                  <c:v>1.2174700000000001</c:v>
                </c:pt>
                <c:pt idx="293">
                  <c:v>1.20201</c:v>
                </c:pt>
                <c:pt idx="294">
                  <c:v>1.21926</c:v>
                </c:pt>
                <c:pt idx="295">
                  <c:v>1.1735899999999999</c:v>
                </c:pt>
                <c:pt idx="296">
                  <c:v>1.252</c:v>
                </c:pt>
                <c:pt idx="297">
                  <c:v>1.2118</c:v>
                </c:pt>
                <c:pt idx="298">
                  <c:v>1.1820600000000001</c:v>
                </c:pt>
                <c:pt idx="299">
                  <c:v>1.16238</c:v>
                </c:pt>
                <c:pt idx="300">
                  <c:v>1.18998</c:v>
                </c:pt>
                <c:pt idx="301">
                  <c:v>1.18377</c:v>
                </c:pt>
                <c:pt idx="302">
                  <c:v>1.19191</c:v>
                </c:pt>
                <c:pt idx="303">
                  <c:v>1.2118899999999999</c:v>
                </c:pt>
                <c:pt idx="304">
                  <c:v>1.2023900000000001</c:v>
                </c:pt>
                <c:pt idx="305">
                  <c:v>1.1898299999999999</c:v>
                </c:pt>
                <c:pt idx="306">
                  <c:v>1.1767799999999999</c:v>
                </c:pt>
                <c:pt idx="307">
                  <c:v>1.2141999999999999</c:v>
                </c:pt>
                <c:pt idx="308">
                  <c:v>1.0955999999999999</c:v>
                </c:pt>
                <c:pt idx="309">
                  <c:v>1.0690200000000001</c:v>
                </c:pt>
                <c:pt idx="310">
                  <c:v>1.11639</c:v>
                </c:pt>
                <c:pt idx="311">
                  <c:v>1.1014999999999999</c:v>
                </c:pt>
                <c:pt idx="312">
                  <c:v>1.1856100000000001</c:v>
                </c:pt>
                <c:pt idx="313">
                  <c:v>1.2004600000000001</c:v>
                </c:pt>
                <c:pt idx="314">
                  <c:v>1.29474</c:v>
                </c:pt>
                <c:pt idx="315">
                  <c:v>1.22925</c:v>
                </c:pt>
                <c:pt idx="316">
                  <c:v>1.377</c:v>
                </c:pt>
                <c:pt idx="317">
                  <c:v>1.2492399999999999</c:v>
                </c:pt>
                <c:pt idx="318">
                  <c:v>1.0310299999999999</c:v>
                </c:pt>
                <c:pt idx="319">
                  <c:v>1.05243</c:v>
                </c:pt>
                <c:pt idx="320">
                  <c:v>1.1000000000000001</c:v>
                </c:pt>
                <c:pt idx="321">
                  <c:v>1.03207</c:v>
                </c:pt>
                <c:pt idx="322">
                  <c:v>1.1243000000000001</c:v>
                </c:pt>
                <c:pt idx="323">
                  <c:v>1.1326099999999999</c:v>
                </c:pt>
                <c:pt idx="324">
                  <c:v>1.1972</c:v>
                </c:pt>
                <c:pt idx="325">
                  <c:v>1.1184799999999999</c:v>
                </c:pt>
                <c:pt idx="326">
                  <c:v>1.13042</c:v>
                </c:pt>
                <c:pt idx="327">
                  <c:v>1.129</c:v>
                </c:pt>
                <c:pt idx="328">
                  <c:v>1.1590800000000001</c:v>
                </c:pt>
                <c:pt idx="329">
                  <c:v>1.11239</c:v>
                </c:pt>
                <c:pt idx="330">
                  <c:v>1.2131099999999999</c:v>
                </c:pt>
                <c:pt idx="331">
                  <c:v>1.2228000000000001</c:v>
                </c:pt>
                <c:pt idx="332">
                  <c:v>1.29627</c:v>
                </c:pt>
                <c:pt idx="333">
                  <c:v>1.31203</c:v>
                </c:pt>
                <c:pt idx="334">
                  <c:v>1.31402</c:v>
                </c:pt>
                <c:pt idx="335">
                  <c:v>1.2430300000000001</c:v>
                </c:pt>
                <c:pt idx="336">
                  <c:v>1.07691</c:v>
                </c:pt>
                <c:pt idx="337">
                  <c:v>1.0490200000000001</c:v>
                </c:pt>
                <c:pt idx="338">
                  <c:v>0.96196999999999999</c:v>
                </c:pt>
                <c:pt idx="339">
                  <c:v>1.0970299999999999</c:v>
                </c:pt>
                <c:pt idx="340">
                  <c:v>1.09894</c:v>
                </c:pt>
                <c:pt idx="341">
                  <c:v>1.11568</c:v>
                </c:pt>
                <c:pt idx="342">
                  <c:v>0.92581000000000002</c:v>
                </c:pt>
                <c:pt idx="343">
                  <c:v>0.91442000000000001</c:v>
                </c:pt>
                <c:pt idx="344">
                  <c:v>0.89205999999999996</c:v>
                </c:pt>
                <c:pt idx="345">
                  <c:v>0.87</c:v>
                </c:pt>
                <c:pt idx="346">
                  <c:v>0.86143000000000003</c:v>
                </c:pt>
                <c:pt idx="347">
                  <c:v>0.84363999999999995</c:v>
                </c:pt>
                <c:pt idx="348">
                  <c:v>0.91298999999999997</c:v>
                </c:pt>
                <c:pt idx="349">
                  <c:v>0.92425999999999997</c:v>
                </c:pt>
                <c:pt idx="350">
                  <c:v>0.92796000000000001</c:v>
                </c:pt>
                <c:pt idx="351">
                  <c:v>0.93966000000000005</c:v>
                </c:pt>
                <c:pt idx="352">
                  <c:v>0.70562000000000002</c:v>
                </c:pt>
                <c:pt idx="353">
                  <c:v>0.67637999999999998</c:v>
                </c:pt>
                <c:pt idx="354">
                  <c:v>0.66108999999999996</c:v>
                </c:pt>
                <c:pt idx="355">
                  <c:v>0.63444</c:v>
                </c:pt>
                <c:pt idx="356">
                  <c:v>0.53917000000000004</c:v>
                </c:pt>
                <c:pt idx="357">
                  <c:v>0.43934000000000001</c:v>
                </c:pt>
                <c:pt idx="358">
                  <c:v>0.44189000000000001</c:v>
                </c:pt>
                <c:pt idx="359">
                  <c:v>0.42498000000000002</c:v>
                </c:pt>
                <c:pt idx="360">
                  <c:v>0.40876000000000001</c:v>
                </c:pt>
                <c:pt idx="361">
                  <c:v>0.34475</c:v>
                </c:pt>
                <c:pt idx="362">
                  <c:v>0.36399999999999999</c:v>
                </c:pt>
                <c:pt idx="363">
                  <c:v>0.34752</c:v>
                </c:pt>
                <c:pt idx="364">
                  <c:v>0.34409000000000001</c:v>
                </c:pt>
                <c:pt idx="365">
                  <c:v>0.31143999999999999</c:v>
                </c:pt>
                <c:pt idx="366">
                  <c:v>0.34329999999999999</c:v>
                </c:pt>
                <c:pt idx="367">
                  <c:v>0.34308</c:v>
                </c:pt>
                <c:pt idx="368">
                  <c:v>0.35344999999999999</c:v>
                </c:pt>
                <c:pt idx="369">
                  <c:v>0.34583000000000003</c:v>
                </c:pt>
                <c:pt idx="370">
                  <c:v>0.34866999999999998</c:v>
                </c:pt>
                <c:pt idx="371">
                  <c:v>0.30785000000000001</c:v>
                </c:pt>
                <c:pt idx="372">
                  <c:v>0.37531999999999999</c:v>
                </c:pt>
                <c:pt idx="373">
                  <c:v>0.36720000000000003</c:v>
                </c:pt>
                <c:pt idx="374">
                  <c:v>0.37123</c:v>
                </c:pt>
                <c:pt idx="375">
                  <c:v>0.38080999999999998</c:v>
                </c:pt>
                <c:pt idx="376">
                  <c:v>0.35071000000000002</c:v>
                </c:pt>
                <c:pt idx="377">
                  <c:v>0.30187999999999998</c:v>
                </c:pt>
                <c:pt idx="378">
                  <c:v>0.31201000000000001</c:v>
                </c:pt>
                <c:pt idx="379">
                  <c:v>0.31230000000000002</c:v>
                </c:pt>
                <c:pt idx="380">
                  <c:v>0.28888000000000003</c:v>
                </c:pt>
                <c:pt idx="381">
                  <c:v>0.2757</c:v>
                </c:pt>
                <c:pt idx="382">
                  <c:v>0.30153000000000002</c:v>
                </c:pt>
                <c:pt idx="383">
                  <c:v>0.33062000000000002</c:v>
                </c:pt>
                <c:pt idx="384">
                  <c:v>0.30388999999999999</c:v>
                </c:pt>
                <c:pt idx="385">
                  <c:v>0.29927999999999999</c:v>
                </c:pt>
                <c:pt idx="386">
                  <c:v>0.33309</c:v>
                </c:pt>
                <c:pt idx="387">
                  <c:v>0.25873000000000002</c:v>
                </c:pt>
                <c:pt idx="388">
                  <c:v>0.22528000000000001</c:v>
                </c:pt>
                <c:pt idx="389">
                  <c:v>0.20615</c:v>
                </c:pt>
                <c:pt idx="390">
                  <c:v>0.17741999999999999</c:v>
                </c:pt>
                <c:pt idx="391">
                  <c:v>0.17509</c:v>
                </c:pt>
                <c:pt idx="392">
                  <c:v>0.18134</c:v>
                </c:pt>
                <c:pt idx="393">
                  <c:v>0.18389</c:v>
                </c:pt>
                <c:pt idx="394">
                  <c:v>0.19067000000000001</c:v>
                </c:pt>
                <c:pt idx="395">
                  <c:v>0.17627000000000001</c:v>
                </c:pt>
                <c:pt idx="396">
                  <c:v>0.15467</c:v>
                </c:pt>
                <c:pt idx="397">
                  <c:v>0.15839</c:v>
                </c:pt>
                <c:pt idx="398">
                  <c:v>0.15761</c:v>
                </c:pt>
                <c:pt idx="399">
                  <c:v>0.15304000000000001</c:v>
                </c:pt>
                <c:pt idx="400">
                  <c:v>0.13635</c:v>
                </c:pt>
                <c:pt idx="401">
                  <c:v>0.15645999999999999</c:v>
                </c:pt>
                <c:pt idx="402">
                  <c:v>0.15278</c:v>
                </c:pt>
                <c:pt idx="403">
                  <c:v>0.16200999999999999</c:v>
                </c:pt>
                <c:pt idx="404">
                  <c:v>0.16433</c:v>
                </c:pt>
                <c:pt idx="405">
                  <c:v>0.16502</c:v>
                </c:pt>
                <c:pt idx="406">
                  <c:v>0.16336000000000001</c:v>
                </c:pt>
                <c:pt idx="407">
                  <c:v>0.16814000000000001</c:v>
                </c:pt>
                <c:pt idx="408">
                  <c:v>0.15381</c:v>
                </c:pt>
                <c:pt idx="409">
                  <c:v>0.15876999999999999</c:v>
                </c:pt>
                <c:pt idx="410">
                  <c:v>0.15406</c:v>
                </c:pt>
                <c:pt idx="411">
                  <c:v>0.14438000000000001</c:v>
                </c:pt>
                <c:pt idx="412">
                  <c:v>0.13925999999999999</c:v>
                </c:pt>
                <c:pt idx="413">
                  <c:v>0.14188000000000001</c:v>
                </c:pt>
                <c:pt idx="414">
                  <c:v>0.14796000000000001</c:v>
                </c:pt>
                <c:pt idx="415">
                  <c:v>0.14119999999999999</c:v>
                </c:pt>
                <c:pt idx="416">
                  <c:v>0.15401000000000001</c:v>
                </c:pt>
                <c:pt idx="417">
                  <c:v>0.15873000000000001</c:v>
                </c:pt>
                <c:pt idx="418">
                  <c:v>0.15992999999999999</c:v>
                </c:pt>
                <c:pt idx="419">
                  <c:v>0.14781</c:v>
                </c:pt>
                <c:pt idx="420">
                  <c:v>0.16397999999999999</c:v>
                </c:pt>
                <c:pt idx="421">
                  <c:v>0.15845000000000001</c:v>
                </c:pt>
                <c:pt idx="422">
                  <c:v>0.15562000000000001</c:v>
                </c:pt>
                <c:pt idx="423">
                  <c:v>0.17204</c:v>
                </c:pt>
                <c:pt idx="424">
                  <c:v>0.16663</c:v>
                </c:pt>
                <c:pt idx="425">
                  <c:v>0.16489000000000001</c:v>
                </c:pt>
                <c:pt idx="426">
                  <c:v>0.14177999999999999</c:v>
                </c:pt>
                <c:pt idx="427">
                  <c:v>0.13843</c:v>
                </c:pt>
                <c:pt idx="428">
                  <c:v>0.15473000000000001</c:v>
                </c:pt>
                <c:pt idx="429">
                  <c:v>0.16721</c:v>
                </c:pt>
                <c:pt idx="430">
                  <c:v>0.15445</c:v>
                </c:pt>
                <c:pt idx="431">
                  <c:v>0.14599000000000001</c:v>
                </c:pt>
                <c:pt idx="432">
                  <c:v>0.13333999999999999</c:v>
                </c:pt>
                <c:pt idx="433">
                  <c:v>0.11828</c:v>
                </c:pt>
                <c:pt idx="434">
                  <c:v>0.10589999999999999</c:v>
                </c:pt>
                <c:pt idx="435">
                  <c:v>0.10657999999999999</c:v>
                </c:pt>
                <c:pt idx="436">
                  <c:v>0.10947</c:v>
                </c:pt>
                <c:pt idx="437">
                  <c:v>0.10387</c:v>
                </c:pt>
                <c:pt idx="438">
                  <c:v>0.10045999999999999</c:v>
                </c:pt>
                <c:pt idx="439">
                  <c:v>0.10410999999999999</c:v>
                </c:pt>
                <c:pt idx="440">
                  <c:v>0.10629</c:v>
                </c:pt>
                <c:pt idx="441">
                  <c:v>0.1046</c:v>
                </c:pt>
                <c:pt idx="442">
                  <c:v>0.10599</c:v>
                </c:pt>
                <c:pt idx="443">
                  <c:v>0.10589999999999999</c:v>
                </c:pt>
                <c:pt idx="444">
                  <c:v>0.10561</c:v>
                </c:pt>
                <c:pt idx="445">
                  <c:v>0.10655000000000001</c:v>
                </c:pt>
                <c:pt idx="446">
                  <c:v>0.10128</c:v>
                </c:pt>
                <c:pt idx="447">
                  <c:v>0.1091</c:v>
                </c:pt>
                <c:pt idx="448">
                  <c:v>9.7519999999999996E-2</c:v>
                </c:pt>
                <c:pt idx="449">
                  <c:v>9.5500000000000002E-2</c:v>
                </c:pt>
                <c:pt idx="450">
                  <c:v>9.357E-2</c:v>
                </c:pt>
                <c:pt idx="451">
                  <c:v>9.221E-2</c:v>
                </c:pt>
                <c:pt idx="452">
                  <c:v>9.8269999999999996E-2</c:v>
                </c:pt>
                <c:pt idx="453">
                  <c:v>9.2999999999999999E-2</c:v>
                </c:pt>
                <c:pt idx="454">
                  <c:v>9.3299999999999994E-2</c:v>
                </c:pt>
                <c:pt idx="455">
                  <c:v>9.5310000000000006E-2</c:v>
                </c:pt>
                <c:pt idx="456">
                  <c:v>9.869E-2</c:v>
                </c:pt>
                <c:pt idx="457">
                  <c:v>0.10256</c:v>
                </c:pt>
                <c:pt idx="458">
                  <c:v>0.10306</c:v>
                </c:pt>
                <c:pt idx="459">
                  <c:v>0.10639</c:v>
                </c:pt>
                <c:pt idx="460">
                  <c:v>0.10797</c:v>
                </c:pt>
                <c:pt idx="461">
                  <c:v>0.10804999999999999</c:v>
                </c:pt>
                <c:pt idx="462">
                  <c:v>0.11076999999999999</c:v>
                </c:pt>
                <c:pt idx="463">
                  <c:v>0.10589</c:v>
                </c:pt>
                <c:pt idx="464">
                  <c:v>0.10238</c:v>
                </c:pt>
                <c:pt idx="465">
                  <c:v>0.10859000000000001</c:v>
                </c:pt>
                <c:pt idx="466">
                  <c:v>0.10735</c:v>
                </c:pt>
                <c:pt idx="467">
                  <c:v>0.10598</c:v>
                </c:pt>
                <c:pt idx="468">
                  <c:v>0.10414</c:v>
                </c:pt>
                <c:pt idx="469">
                  <c:v>0.10666</c:v>
                </c:pt>
                <c:pt idx="470">
                  <c:v>0.10703</c:v>
                </c:pt>
                <c:pt idx="471">
                  <c:v>0.10925</c:v>
                </c:pt>
                <c:pt idx="472">
                  <c:v>0.10945000000000001</c:v>
                </c:pt>
                <c:pt idx="473">
                  <c:v>0.10648000000000001</c:v>
                </c:pt>
                <c:pt idx="474">
                  <c:v>0.10493</c:v>
                </c:pt>
                <c:pt idx="475">
                  <c:v>0.10129000000000001</c:v>
                </c:pt>
                <c:pt idx="476">
                  <c:v>9.6320000000000003E-2</c:v>
                </c:pt>
                <c:pt idx="477">
                  <c:v>9.3740000000000004E-2</c:v>
                </c:pt>
                <c:pt idx="478">
                  <c:v>9.289E-2</c:v>
                </c:pt>
                <c:pt idx="479">
                  <c:v>9.7379999999999994E-2</c:v>
                </c:pt>
                <c:pt idx="480">
                  <c:v>9.6860000000000002E-2</c:v>
                </c:pt>
                <c:pt idx="481">
                  <c:v>9.3280000000000002E-2</c:v>
                </c:pt>
                <c:pt idx="482">
                  <c:v>9.2859999999999998E-2</c:v>
                </c:pt>
                <c:pt idx="483">
                  <c:v>9.8040000000000002E-2</c:v>
                </c:pt>
                <c:pt idx="484">
                  <c:v>0.10136000000000001</c:v>
                </c:pt>
                <c:pt idx="485">
                  <c:v>0.1011</c:v>
                </c:pt>
                <c:pt idx="486">
                  <c:v>0.1003</c:v>
                </c:pt>
                <c:pt idx="487">
                  <c:v>0.1013</c:v>
                </c:pt>
                <c:pt idx="488">
                  <c:v>9.5469999999999999E-2</c:v>
                </c:pt>
                <c:pt idx="489">
                  <c:v>9.6930000000000002E-2</c:v>
                </c:pt>
                <c:pt idx="490">
                  <c:v>8.2540000000000002E-2</c:v>
                </c:pt>
                <c:pt idx="491">
                  <c:v>7.6630000000000004E-2</c:v>
                </c:pt>
                <c:pt idx="492">
                  <c:v>8.1460000000000005E-2</c:v>
                </c:pt>
                <c:pt idx="493">
                  <c:v>7.9829999999999998E-2</c:v>
                </c:pt>
                <c:pt idx="494">
                  <c:v>8.9359999999999995E-2</c:v>
                </c:pt>
                <c:pt idx="495">
                  <c:v>9.1410000000000005E-2</c:v>
                </c:pt>
                <c:pt idx="496">
                  <c:v>9.0929999999999997E-2</c:v>
                </c:pt>
                <c:pt idx="497">
                  <c:v>9.4079999999999997E-2</c:v>
                </c:pt>
                <c:pt idx="498">
                  <c:v>9.1509999999999994E-2</c:v>
                </c:pt>
                <c:pt idx="499">
                  <c:v>9.3130000000000004E-2</c:v>
                </c:pt>
                <c:pt idx="500">
                  <c:v>9.6629999999999994E-2</c:v>
                </c:pt>
                <c:pt idx="501">
                  <c:v>9.5070000000000002E-2</c:v>
                </c:pt>
                <c:pt idx="502">
                  <c:v>9.7710000000000005E-2</c:v>
                </c:pt>
                <c:pt idx="503">
                  <c:v>9.7009999999999999E-2</c:v>
                </c:pt>
                <c:pt idx="504">
                  <c:v>9.7089999999999996E-2</c:v>
                </c:pt>
                <c:pt idx="505">
                  <c:v>9.3310000000000004E-2</c:v>
                </c:pt>
                <c:pt idx="506">
                  <c:v>9.1009999999999994E-2</c:v>
                </c:pt>
                <c:pt idx="507">
                  <c:v>9.3600000000000003E-2</c:v>
                </c:pt>
                <c:pt idx="508">
                  <c:v>9.2600000000000002E-2</c:v>
                </c:pt>
                <c:pt idx="509">
                  <c:v>0.09</c:v>
                </c:pt>
                <c:pt idx="510">
                  <c:v>0.10156</c:v>
                </c:pt>
                <c:pt idx="511">
                  <c:v>9.4460000000000002E-2</c:v>
                </c:pt>
                <c:pt idx="512">
                  <c:v>0.11489000000000001</c:v>
                </c:pt>
                <c:pt idx="513">
                  <c:v>0.12445000000000001</c:v>
                </c:pt>
                <c:pt idx="514">
                  <c:v>0.12253</c:v>
                </c:pt>
                <c:pt idx="515">
                  <c:v>0.11747</c:v>
                </c:pt>
                <c:pt idx="516">
                  <c:v>0.11623</c:v>
                </c:pt>
                <c:pt idx="517">
                  <c:v>0.10927000000000001</c:v>
                </c:pt>
                <c:pt idx="518">
                  <c:v>0.10725</c:v>
                </c:pt>
                <c:pt idx="519">
                  <c:v>0.11434999999999999</c:v>
                </c:pt>
                <c:pt idx="520">
                  <c:v>0.11239</c:v>
                </c:pt>
                <c:pt idx="521">
                  <c:v>0.12361</c:v>
                </c:pt>
                <c:pt idx="522">
                  <c:v>0.12141</c:v>
                </c:pt>
                <c:pt idx="523">
                  <c:v>0.12515000000000001</c:v>
                </c:pt>
                <c:pt idx="524">
                  <c:v>0.12315</c:v>
                </c:pt>
                <c:pt idx="525">
                  <c:v>0.13413</c:v>
                </c:pt>
                <c:pt idx="526">
                  <c:v>0.12966</c:v>
                </c:pt>
                <c:pt idx="527">
                  <c:v>0.13691</c:v>
                </c:pt>
                <c:pt idx="528">
                  <c:v>0.14038999999999999</c:v>
                </c:pt>
                <c:pt idx="529">
                  <c:v>0.13882</c:v>
                </c:pt>
                <c:pt idx="530">
                  <c:v>0.13836999999999999</c:v>
                </c:pt>
                <c:pt idx="531">
                  <c:v>0.13825999999999999</c:v>
                </c:pt>
                <c:pt idx="532">
                  <c:v>0.13944000000000001</c:v>
                </c:pt>
                <c:pt idx="533">
                  <c:v>0.13669999999999999</c:v>
                </c:pt>
                <c:pt idx="534">
                  <c:v>0.13685</c:v>
                </c:pt>
                <c:pt idx="535">
                  <c:v>0.14383000000000001</c:v>
                </c:pt>
                <c:pt idx="536">
                  <c:v>0.14512</c:v>
                </c:pt>
                <c:pt idx="537">
                  <c:v>0.14696000000000001</c:v>
                </c:pt>
                <c:pt idx="538">
                  <c:v>0.13888</c:v>
                </c:pt>
                <c:pt idx="539">
                  <c:v>0.14444000000000001</c:v>
                </c:pt>
                <c:pt idx="540">
                  <c:v>0.14227000000000001</c:v>
                </c:pt>
                <c:pt idx="541">
                  <c:v>0.14335000000000001</c:v>
                </c:pt>
                <c:pt idx="542">
                  <c:v>0.13730000000000001</c:v>
                </c:pt>
                <c:pt idx="543">
                  <c:v>0.13375000000000001</c:v>
                </c:pt>
                <c:pt idx="544">
                  <c:v>0.14410000000000001</c:v>
                </c:pt>
                <c:pt idx="545">
                  <c:v>0.13877999999999999</c:v>
                </c:pt>
                <c:pt idx="546">
                  <c:v>0.1406</c:v>
                </c:pt>
                <c:pt idx="547">
                  <c:v>0.13972000000000001</c:v>
                </c:pt>
                <c:pt idx="548">
                  <c:v>0.14904000000000001</c:v>
                </c:pt>
                <c:pt idx="549">
                  <c:v>0.13858999999999999</c:v>
                </c:pt>
                <c:pt idx="550">
                  <c:v>0.14849000000000001</c:v>
                </c:pt>
                <c:pt idx="551">
                  <c:v>0.14362</c:v>
                </c:pt>
                <c:pt idx="552">
                  <c:v>0.12197</c:v>
                </c:pt>
                <c:pt idx="553">
                  <c:v>0.12422</c:v>
                </c:pt>
                <c:pt idx="554">
                  <c:v>0.12379999999999999</c:v>
                </c:pt>
                <c:pt idx="555">
                  <c:v>0.12321</c:v>
                </c:pt>
                <c:pt idx="556">
                  <c:v>0.11771</c:v>
                </c:pt>
                <c:pt idx="557">
                  <c:v>0.12402000000000001</c:v>
                </c:pt>
                <c:pt idx="558">
                  <c:v>0.1227</c:v>
                </c:pt>
                <c:pt idx="559">
                  <c:v>0.12224</c:v>
                </c:pt>
                <c:pt idx="560">
                  <c:v>0.12601999999999999</c:v>
                </c:pt>
                <c:pt idx="561">
                  <c:v>0.13069</c:v>
                </c:pt>
                <c:pt idx="562">
                  <c:v>0.13256000000000001</c:v>
                </c:pt>
                <c:pt idx="563">
                  <c:v>0.12427000000000001</c:v>
                </c:pt>
                <c:pt idx="564">
                  <c:v>0.12684999999999999</c:v>
                </c:pt>
                <c:pt idx="565">
                  <c:v>0.12523000000000001</c:v>
                </c:pt>
                <c:pt idx="566">
                  <c:v>0.11846</c:v>
                </c:pt>
                <c:pt idx="567">
                  <c:v>0.12403</c:v>
                </c:pt>
                <c:pt idx="568">
                  <c:v>0.12992999999999999</c:v>
                </c:pt>
                <c:pt idx="569">
                  <c:v>0.11763999999999999</c:v>
                </c:pt>
                <c:pt idx="570">
                  <c:v>0.10512000000000001</c:v>
                </c:pt>
                <c:pt idx="571">
                  <c:v>9.8129999999999995E-2</c:v>
                </c:pt>
                <c:pt idx="572">
                  <c:v>0.10005</c:v>
                </c:pt>
                <c:pt idx="573">
                  <c:v>9.6549999999999997E-2</c:v>
                </c:pt>
                <c:pt idx="574">
                  <c:v>9.2910000000000006E-2</c:v>
                </c:pt>
                <c:pt idx="575">
                  <c:v>9.6809999999999993E-2</c:v>
                </c:pt>
                <c:pt idx="576">
                  <c:v>8.2989999999999994E-2</c:v>
                </c:pt>
                <c:pt idx="577">
                  <c:v>8.3919999999999995E-2</c:v>
                </c:pt>
                <c:pt idx="578">
                  <c:v>8.0280000000000004E-2</c:v>
                </c:pt>
                <c:pt idx="579">
                  <c:v>7.7380000000000004E-2</c:v>
                </c:pt>
                <c:pt idx="580">
                  <c:v>8.0619999999999997E-2</c:v>
                </c:pt>
                <c:pt idx="581">
                  <c:v>8.1670000000000006E-2</c:v>
                </c:pt>
                <c:pt idx="582">
                  <c:v>8.2540000000000002E-2</c:v>
                </c:pt>
                <c:pt idx="583">
                  <c:v>8.276E-2</c:v>
                </c:pt>
                <c:pt idx="584">
                  <c:v>8.3549999999999999E-2</c:v>
                </c:pt>
                <c:pt idx="585">
                  <c:v>7.8409999999999994E-2</c:v>
                </c:pt>
                <c:pt idx="586">
                  <c:v>7.9530000000000003E-2</c:v>
                </c:pt>
                <c:pt idx="587">
                  <c:v>7.9869999999999997E-2</c:v>
                </c:pt>
                <c:pt idx="588">
                  <c:v>8.1759999999999999E-2</c:v>
                </c:pt>
                <c:pt idx="589">
                  <c:v>8.3489999999999995E-2</c:v>
                </c:pt>
                <c:pt idx="590">
                  <c:v>7.9250000000000001E-2</c:v>
                </c:pt>
                <c:pt idx="591">
                  <c:v>7.8240000000000004E-2</c:v>
                </c:pt>
                <c:pt idx="592">
                  <c:v>7.6420000000000002E-2</c:v>
                </c:pt>
                <c:pt idx="593">
                  <c:v>7.9060000000000005E-2</c:v>
                </c:pt>
                <c:pt idx="594">
                  <c:v>7.9479999999999995E-2</c:v>
                </c:pt>
                <c:pt idx="595">
                  <c:v>7.5270000000000004E-2</c:v>
                </c:pt>
                <c:pt idx="596">
                  <c:v>8.3599999999999994E-2</c:v>
                </c:pt>
                <c:pt idx="597">
                  <c:v>8.2909999999999998E-2</c:v>
                </c:pt>
                <c:pt idx="598">
                  <c:v>8.6480000000000001E-2</c:v>
                </c:pt>
                <c:pt idx="599">
                  <c:v>8.6569999999999994E-2</c:v>
                </c:pt>
                <c:pt idx="600">
                  <c:v>8.6139999999999994E-2</c:v>
                </c:pt>
                <c:pt idx="601">
                  <c:v>8.5169999999999996E-2</c:v>
                </c:pt>
                <c:pt idx="602">
                  <c:v>8.8819999999999996E-2</c:v>
                </c:pt>
                <c:pt idx="603">
                  <c:v>8.5580000000000003E-2</c:v>
                </c:pt>
                <c:pt idx="604">
                  <c:v>7.8719999999999998E-2</c:v>
                </c:pt>
                <c:pt idx="605">
                  <c:v>8.0930000000000002E-2</c:v>
                </c:pt>
                <c:pt idx="606">
                  <c:v>7.3899999999999993E-2</c:v>
                </c:pt>
                <c:pt idx="607">
                  <c:v>7.6910000000000006E-2</c:v>
                </c:pt>
                <c:pt idx="608">
                  <c:v>6.4689999999999998E-2</c:v>
                </c:pt>
                <c:pt idx="609">
                  <c:v>6.5019999999999994E-2</c:v>
                </c:pt>
                <c:pt idx="610">
                  <c:v>5.5129999999999998E-2</c:v>
                </c:pt>
                <c:pt idx="611">
                  <c:v>5.355E-2</c:v>
                </c:pt>
                <c:pt idx="612">
                  <c:v>5.3900000000000003E-2</c:v>
                </c:pt>
                <c:pt idx="613">
                  <c:v>5.1249999999999997E-2</c:v>
                </c:pt>
                <c:pt idx="614">
                  <c:v>5.4899999999999997E-2</c:v>
                </c:pt>
                <c:pt idx="615">
                  <c:v>5.5759999999999997E-2</c:v>
                </c:pt>
                <c:pt idx="616">
                  <c:v>5.2069999999999998E-2</c:v>
                </c:pt>
                <c:pt idx="617">
                  <c:v>5.6890000000000003E-2</c:v>
                </c:pt>
                <c:pt idx="618">
                  <c:v>5.6770000000000001E-2</c:v>
                </c:pt>
                <c:pt idx="619">
                  <c:v>5.4339999999999999E-2</c:v>
                </c:pt>
                <c:pt idx="620">
                  <c:v>5.1290000000000002E-2</c:v>
                </c:pt>
                <c:pt idx="621">
                  <c:v>5.0999999999999997E-2</c:v>
                </c:pt>
                <c:pt idx="622">
                  <c:v>5.0259999999999999E-2</c:v>
                </c:pt>
                <c:pt idx="623">
                  <c:v>5.0979999999999998E-2</c:v>
                </c:pt>
                <c:pt idx="624">
                  <c:v>5.1470000000000002E-2</c:v>
                </c:pt>
                <c:pt idx="625">
                  <c:v>5.0430000000000003E-2</c:v>
                </c:pt>
                <c:pt idx="626">
                  <c:v>4.7789999999999999E-2</c:v>
                </c:pt>
                <c:pt idx="627">
                  <c:v>4.7550000000000002E-2</c:v>
                </c:pt>
                <c:pt idx="628">
                  <c:v>5.1450000000000003E-2</c:v>
                </c:pt>
                <c:pt idx="629">
                  <c:v>5.2010000000000001E-2</c:v>
                </c:pt>
                <c:pt idx="630">
                  <c:v>5.1229999999999998E-2</c:v>
                </c:pt>
                <c:pt idx="631">
                  <c:v>4.8890000000000003E-2</c:v>
                </c:pt>
                <c:pt idx="632">
                  <c:v>4.9450000000000001E-2</c:v>
                </c:pt>
                <c:pt idx="633">
                  <c:v>4.9419999999999999E-2</c:v>
                </c:pt>
                <c:pt idx="634">
                  <c:v>4.8980000000000003E-2</c:v>
                </c:pt>
                <c:pt idx="635">
                  <c:v>5.0900000000000001E-2</c:v>
                </c:pt>
                <c:pt idx="636">
                  <c:v>5.0909999999999997E-2</c:v>
                </c:pt>
                <c:pt idx="637">
                  <c:v>4.752E-2</c:v>
                </c:pt>
                <c:pt idx="638">
                  <c:v>5.1459999999999999E-2</c:v>
                </c:pt>
                <c:pt idx="639">
                  <c:v>4.6789999999999998E-2</c:v>
                </c:pt>
                <c:pt idx="640">
                  <c:v>4.648E-2</c:v>
                </c:pt>
                <c:pt idx="641">
                  <c:v>4.5929999999999999E-2</c:v>
                </c:pt>
                <c:pt idx="642">
                  <c:v>4.2220000000000001E-2</c:v>
                </c:pt>
                <c:pt idx="643">
                  <c:v>4.165E-2</c:v>
                </c:pt>
                <c:pt idx="644">
                  <c:v>4.088E-2</c:v>
                </c:pt>
                <c:pt idx="645">
                  <c:v>3.6639999999999999E-2</c:v>
                </c:pt>
                <c:pt idx="646">
                  <c:v>3.4540000000000001E-2</c:v>
                </c:pt>
                <c:pt idx="647">
                  <c:v>3.3910000000000003E-2</c:v>
                </c:pt>
                <c:pt idx="648">
                  <c:v>3.5490000000000001E-2</c:v>
                </c:pt>
                <c:pt idx="649">
                  <c:v>3.6540000000000003E-2</c:v>
                </c:pt>
                <c:pt idx="650">
                  <c:v>3.4320000000000003E-2</c:v>
                </c:pt>
                <c:pt idx="651">
                  <c:v>3.4459999999999998E-2</c:v>
                </c:pt>
                <c:pt idx="652">
                  <c:v>3.1850000000000003E-2</c:v>
                </c:pt>
                <c:pt idx="653">
                  <c:v>3.3119999999999997E-2</c:v>
                </c:pt>
                <c:pt idx="654">
                  <c:v>3.3110000000000001E-2</c:v>
                </c:pt>
                <c:pt idx="655">
                  <c:v>3.347E-2</c:v>
                </c:pt>
                <c:pt idx="656">
                  <c:v>3.3430000000000001E-2</c:v>
                </c:pt>
                <c:pt idx="657">
                  <c:v>3.3210000000000003E-2</c:v>
                </c:pt>
                <c:pt idx="658">
                  <c:v>3.6069999999999998E-2</c:v>
                </c:pt>
                <c:pt idx="659">
                  <c:v>3.6389999999999999E-2</c:v>
                </c:pt>
                <c:pt idx="660">
                  <c:v>3.5249999999999997E-2</c:v>
                </c:pt>
                <c:pt idx="661">
                  <c:v>3.5920000000000001E-2</c:v>
                </c:pt>
                <c:pt idx="662">
                  <c:v>3.1899999999999998E-2</c:v>
                </c:pt>
                <c:pt idx="663">
                  <c:v>3.2439999999999997E-2</c:v>
                </c:pt>
                <c:pt idx="664">
                  <c:v>3.2309999999999998E-2</c:v>
                </c:pt>
                <c:pt idx="665">
                  <c:v>3.1879999999999999E-2</c:v>
                </c:pt>
                <c:pt idx="666">
                  <c:v>3.0970000000000001E-2</c:v>
                </c:pt>
                <c:pt idx="667">
                  <c:v>3.0450000000000001E-2</c:v>
                </c:pt>
                <c:pt idx="668">
                  <c:v>2.9649999999999999E-2</c:v>
                </c:pt>
                <c:pt idx="669">
                  <c:v>2.8060000000000002E-2</c:v>
                </c:pt>
                <c:pt idx="670">
                  <c:v>2.9749999999999999E-2</c:v>
                </c:pt>
                <c:pt idx="671">
                  <c:v>2.8819999999999998E-2</c:v>
                </c:pt>
                <c:pt idx="672">
                  <c:v>3.0859999999999999E-2</c:v>
                </c:pt>
                <c:pt idx="673">
                  <c:v>2.945E-2</c:v>
                </c:pt>
                <c:pt idx="674">
                  <c:v>3.023E-2</c:v>
                </c:pt>
                <c:pt idx="675">
                  <c:v>2.9250000000000002E-2</c:v>
                </c:pt>
                <c:pt idx="676">
                  <c:v>2.7029999999999998E-2</c:v>
                </c:pt>
                <c:pt idx="677">
                  <c:v>2.9479999999999999E-2</c:v>
                </c:pt>
                <c:pt idx="678">
                  <c:v>2.946E-2</c:v>
                </c:pt>
                <c:pt idx="679">
                  <c:v>3.0300000000000001E-2</c:v>
                </c:pt>
                <c:pt idx="680">
                  <c:v>2.6069999999999999E-2</c:v>
                </c:pt>
                <c:pt idx="681">
                  <c:v>2.5749999999999999E-2</c:v>
                </c:pt>
                <c:pt idx="682">
                  <c:v>2.4230000000000002E-2</c:v>
                </c:pt>
                <c:pt idx="683">
                  <c:v>2.6929999999999999E-2</c:v>
                </c:pt>
                <c:pt idx="684">
                  <c:v>2.5819999999999999E-2</c:v>
                </c:pt>
                <c:pt idx="685">
                  <c:v>2.843E-2</c:v>
                </c:pt>
                <c:pt idx="686">
                  <c:v>2.3290000000000002E-2</c:v>
                </c:pt>
                <c:pt idx="687">
                  <c:v>3.9690000000000003E-2</c:v>
                </c:pt>
                <c:pt idx="688">
                  <c:v>4.1459999999999997E-2</c:v>
                </c:pt>
                <c:pt idx="689">
                  <c:v>4.156E-2</c:v>
                </c:pt>
                <c:pt idx="690">
                  <c:v>4.2909999999999997E-2</c:v>
                </c:pt>
                <c:pt idx="691">
                  <c:v>4.879E-2</c:v>
                </c:pt>
                <c:pt idx="692">
                  <c:v>5.1740000000000001E-2</c:v>
                </c:pt>
                <c:pt idx="693">
                  <c:v>5.0959999999999998E-2</c:v>
                </c:pt>
                <c:pt idx="694">
                  <c:v>4.8980000000000003E-2</c:v>
                </c:pt>
                <c:pt idx="695">
                  <c:v>4.8660000000000002E-2</c:v>
                </c:pt>
                <c:pt idx="696">
                  <c:v>4.9230000000000003E-2</c:v>
                </c:pt>
                <c:pt idx="697">
                  <c:v>4.5609999999999998E-2</c:v>
                </c:pt>
                <c:pt idx="698">
                  <c:v>4.7100000000000003E-2</c:v>
                </c:pt>
                <c:pt idx="699">
                  <c:v>4.8849999999999998E-2</c:v>
                </c:pt>
                <c:pt idx="700">
                  <c:v>4.9860000000000002E-2</c:v>
                </c:pt>
                <c:pt idx="701">
                  <c:v>4.9149999999999999E-2</c:v>
                </c:pt>
                <c:pt idx="702">
                  <c:v>5.6030000000000003E-2</c:v>
                </c:pt>
                <c:pt idx="703">
                  <c:v>5.9060000000000001E-2</c:v>
                </c:pt>
                <c:pt idx="704">
                  <c:v>6.1449999999999998E-2</c:v>
                </c:pt>
                <c:pt idx="705">
                  <c:v>5.8250000000000003E-2</c:v>
                </c:pt>
                <c:pt idx="706">
                  <c:v>5.8529999999999999E-2</c:v>
                </c:pt>
                <c:pt idx="707">
                  <c:v>5.815E-2</c:v>
                </c:pt>
                <c:pt idx="708">
                  <c:v>5.7369999999999997E-2</c:v>
                </c:pt>
                <c:pt idx="709">
                  <c:v>6.2740000000000004E-2</c:v>
                </c:pt>
                <c:pt idx="710">
                  <c:v>6.019E-2</c:v>
                </c:pt>
                <c:pt idx="711">
                  <c:v>6.1460000000000001E-2</c:v>
                </c:pt>
                <c:pt idx="712">
                  <c:v>6.4259999999999998E-2</c:v>
                </c:pt>
                <c:pt idx="713">
                  <c:v>7.0739999999999997E-2</c:v>
                </c:pt>
                <c:pt idx="714">
                  <c:v>6.8669999999999995E-2</c:v>
                </c:pt>
                <c:pt idx="715">
                  <c:v>6.8169999999999994E-2</c:v>
                </c:pt>
                <c:pt idx="716">
                  <c:v>6.3350000000000004E-2</c:v>
                </c:pt>
                <c:pt idx="717">
                  <c:v>6.0290000000000003E-2</c:v>
                </c:pt>
                <c:pt idx="718">
                  <c:v>6.1879999999999998E-2</c:v>
                </c:pt>
                <c:pt idx="719">
                  <c:v>6.0019999999999997E-2</c:v>
                </c:pt>
                <c:pt idx="720">
                  <c:v>5.987E-2</c:v>
                </c:pt>
                <c:pt idx="721">
                  <c:v>6.0080000000000001E-2</c:v>
                </c:pt>
                <c:pt idx="722">
                  <c:v>5.9330000000000001E-2</c:v>
                </c:pt>
                <c:pt idx="723">
                  <c:v>5.6009999999999997E-2</c:v>
                </c:pt>
                <c:pt idx="724">
                  <c:v>5.6959999999999997E-2</c:v>
                </c:pt>
                <c:pt idx="725">
                  <c:v>5.57E-2</c:v>
                </c:pt>
                <c:pt idx="726">
                  <c:v>5.6099999999999997E-2</c:v>
                </c:pt>
                <c:pt idx="727">
                  <c:v>5.3900000000000003E-2</c:v>
                </c:pt>
                <c:pt idx="728">
                  <c:v>5.6140000000000002E-2</c:v>
                </c:pt>
                <c:pt idx="729">
                  <c:v>5.3289999999999997E-2</c:v>
                </c:pt>
                <c:pt idx="730">
                  <c:v>5.2900000000000003E-2</c:v>
                </c:pt>
                <c:pt idx="731">
                  <c:v>4.7960000000000003E-2</c:v>
                </c:pt>
                <c:pt idx="732">
                  <c:v>4.4769999999999997E-2</c:v>
                </c:pt>
                <c:pt idx="733">
                  <c:v>4.3139999999999998E-2</c:v>
                </c:pt>
                <c:pt idx="734">
                  <c:v>4.4949999999999997E-2</c:v>
                </c:pt>
                <c:pt idx="735">
                  <c:v>4.3180000000000003E-2</c:v>
                </c:pt>
                <c:pt idx="736">
                  <c:v>4.5749999999999999E-2</c:v>
                </c:pt>
                <c:pt idx="737">
                  <c:v>4.6019999999999998E-2</c:v>
                </c:pt>
                <c:pt idx="738">
                  <c:v>4.3779999999999999E-2</c:v>
                </c:pt>
                <c:pt idx="739">
                  <c:v>4.2000000000000003E-2</c:v>
                </c:pt>
                <c:pt idx="740">
                  <c:v>4.4889999999999999E-2</c:v>
                </c:pt>
                <c:pt idx="741">
                  <c:v>4.4900000000000002E-2</c:v>
                </c:pt>
                <c:pt idx="742">
                  <c:v>4.1680000000000002E-2</c:v>
                </c:pt>
                <c:pt idx="743">
                  <c:v>4.2750000000000003E-2</c:v>
                </c:pt>
                <c:pt idx="744">
                  <c:v>4.1610000000000001E-2</c:v>
                </c:pt>
                <c:pt idx="745">
                  <c:v>3.6819999999999999E-2</c:v>
                </c:pt>
                <c:pt idx="746">
                  <c:v>3.7920000000000002E-2</c:v>
                </c:pt>
                <c:pt idx="747">
                  <c:v>3.678E-2</c:v>
                </c:pt>
                <c:pt idx="748">
                  <c:v>3.6929999999999998E-2</c:v>
                </c:pt>
                <c:pt idx="749">
                  <c:v>3.6159999999999998E-2</c:v>
                </c:pt>
                <c:pt idx="750">
                  <c:v>3.6310000000000002E-2</c:v>
                </c:pt>
                <c:pt idx="751">
                  <c:v>3.6999999999999998E-2</c:v>
                </c:pt>
                <c:pt idx="752">
                  <c:v>3.7319999999999999E-2</c:v>
                </c:pt>
                <c:pt idx="753">
                  <c:v>3.4599999999999999E-2</c:v>
                </c:pt>
                <c:pt idx="754">
                  <c:v>3.4340000000000002E-2</c:v>
                </c:pt>
                <c:pt idx="755">
                  <c:v>3.4169999999999999E-2</c:v>
                </c:pt>
                <c:pt idx="756">
                  <c:v>3.2689999999999997E-2</c:v>
                </c:pt>
                <c:pt idx="757">
                  <c:v>3.3480000000000003E-2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7C-43FF-9A1E-3896792871A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415.47000983663338</c:v>
                </c:pt>
                <c:pt idx="1">
                  <c:v>415.61410631363333</c:v>
                </c:pt>
                <c:pt idx="2">
                  <c:v>416.2372617856704</c:v>
                </c:pt>
                <c:pt idx="3">
                  <c:v>415.68359973756196</c:v>
                </c:pt>
                <c:pt idx="4">
                  <c:v>414.32611943411365</c:v>
                </c:pt>
                <c:pt idx="5">
                  <c:v>413.74267454751703</c:v>
                </c:pt>
                <c:pt idx="6">
                  <c:v>412.112416579517</c:v>
                </c:pt>
                <c:pt idx="7">
                  <c:v>415.33994650787059</c:v>
                </c:pt>
                <c:pt idx="8">
                  <c:v>417.71324930150695</c:v>
                </c:pt>
                <c:pt idx="9">
                  <c:v>420.66375224623772</c:v>
                </c:pt>
                <c:pt idx="10">
                  <c:v>423.33506720541828</c:v>
                </c:pt>
                <c:pt idx="11">
                  <c:v>418.07584267427353</c:v>
                </c:pt>
                <c:pt idx="12">
                  <c:v>416.03367883686178</c:v>
                </c:pt>
                <c:pt idx="13">
                  <c:v>415.8917579490971</c:v>
                </c:pt>
                <c:pt idx="14">
                  <c:v>415.00630988083861</c:v>
                </c:pt>
                <c:pt idx="15">
                  <c:v>416.62744354335831</c:v>
                </c:pt>
                <c:pt idx="16">
                  <c:v>415.21686030157707</c:v>
                </c:pt>
                <c:pt idx="17">
                  <c:v>414.34456874384739</c:v>
                </c:pt>
                <c:pt idx="18">
                  <c:v>414.41215825961166</c:v>
                </c:pt>
                <c:pt idx="19">
                  <c:v>414.66355115659474</c:v>
                </c:pt>
                <c:pt idx="20">
                  <c:v>414.87245020112397</c:v>
                </c:pt>
                <c:pt idx="21">
                  <c:v>416.05260902537401</c:v>
                </c:pt>
                <c:pt idx="22">
                  <c:v>414.8334117834641</c:v>
                </c:pt>
                <c:pt idx="23">
                  <c:v>415.68663975753907</c:v>
                </c:pt>
                <c:pt idx="24">
                  <c:v>416.16732394545136</c:v>
                </c:pt>
                <c:pt idx="25">
                  <c:v>416.8081756064808</c:v>
                </c:pt>
                <c:pt idx="26">
                  <c:v>416.46098191905219</c:v>
                </c:pt>
                <c:pt idx="27">
                  <c:v>415.77090584405221</c:v>
                </c:pt>
                <c:pt idx="28">
                  <c:v>416.33849331369925</c:v>
                </c:pt>
                <c:pt idx="29">
                  <c:v>415.62622449698318</c:v>
                </c:pt>
                <c:pt idx="30">
                  <c:v>416.90329114090497</c:v>
                </c:pt>
                <c:pt idx="31">
                  <c:v>418.55458486153907</c:v>
                </c:pt>
                <c:pt idx="32">
                  <c:v>418.70572349120579</c:v>
                </c:pt>
                <c:pt idx="33">
                  <c:v>418.08310799180572</c:v>
                </c:pt>
                <c:pt idx="34">
                  <c:v>417.3846224151348</c:v>
                </c:pt>
                <c:pt idx="35">
                  <c:v>418.39550712153476</c:v>
                </c:pt>
                <c:pt idx="36">
                  <c:v>416.58295324451842</c:v>
                </c:pt>
                <c:pt idx="37">
                  <c:v>416.42697773022809</c:v>
                </c:pt>
                <c:pt idx="38">
                  <c:v>415.55443609784101</c:v>
                </c:pt>
                <c:pt idx="39">
                  <c:v>415.30822216244098</c:v>
                </c:pt>
                <c:pt idx="40">
                  <c:v>416.44557342785765</c:v>
                </c:pt>
                <c:pt idx="41">
                  <c:v>416.23951542790246</c:v>
                </c:pt>
                <c:pt idx="42">
                  <c:v>416.32918570459077</c:v>
                </c:pt>
                <c:pt idx="43">
                  <c:v>417.40673002260132</c:v>
                </c:pt>
                <c:pt idx="44">
                  <c:v>416.24046764637296</c:v>
                </c:pt>
                <c:pt idx="45">
                  <c:v>415.22025649521015</c:v>
                </c:pt>
                <c:pt idx="46">
                  <c:v>416.52389365077704</c:v>
                </c:pt>
                <c:pt idx="47">
                  <c:v>417.17779723808957</c:v>
                </c:pt>
                <c:pt idx="48">
                  <c:v>417.04218645135268</c:v>
                </c:pt>
                <c:pt idx="49">
                  <c:v>418.850319611896</c:v>
                </c:pt>
                <c:pt idx="50">
                  <c:v>420.53876477078126</c:v>
                </c:pt>
                <c:pt idx="51">
                  <c:v>419.84073880538591</c:v>
                </c:pt>
                <c:pt idx="52">
                  <c:v>421.61242864201739</c:v>
                </c:pt>
                <c:pt idx="53">
                  <c:v>419.02534736372331</c:v>
                </c:pt>
                <c:pt idx="54">
                  <c:v>418.36224170783595</c:v>
                </c:pt>
                <c:pt idx="55">
                  <c:v>416.80499726613965</c:v>
                </c:pt>
                <c:pt idx="56">
                  <c:v>418.3871905752124</c:v>
                </c:pt>
                <c:pt idx="57">
                  <c:v>415.46280753171447</c:v>
                </c:pt>
                <c:pt idx="58">
                  <c:v>416.44908600936276</c:v>
                </c:pt>
                <c:pt idx="59">
                  <c:v>417.86893042159807</c:v>
                </c:pt>
                <c:pt idx="60">
                  <c:v>417.69365999599046</c:v>
                </c:pt>
                <c:pt idx="61">
                  <c:v>415.56225451197736</c:v>
                </c:pt>
                <c:pt idx="62">
                  <c:v>416.16090183419959</c:v>
                </c:pt>
                <c:pt idx="63">
                  <c:v>418.18547821661963</c:v>
                </c:pt>
                <c:pt idx="64">
                  <c:v>418.48460659629654</c:v>
                </c:pt>
                <c:pt idx="65">
                  <c:v>418.91444025236478</c:v>
                </c:pt>
                <c:pt idx="66">
                  <c:v>419.87960230436477</c:v>
                </c:pt>
                <c:pt idx="67">
                  <c:v>420.65381833070626</c:v>
                </c:pt>
                <c:pt idx="68">
                  <c:v>421.47133699764106</c:v>
                </c:pt>
                <c:pt idx="69">
                  <c:v>421.0974687243077</c:v>
                </c:pt>
                <c:pt idx="70">
                  <c:v>420.29045021182202</c:v>
                </c:pt>
                <c:pt idx="71">
                  <c:v>420.67799179507045</c:v>
                </c:pt>
                <c:pt idx="72">
                  <c:v>419.3197212840501</c:v>
                </c:pt>
                <c:pt idx="73">
                  <c:v>419.62085261406469</c:v>
                </c:pt>
                <c:pt idx="74">
                  <c:v>420.41867756749326</c:v>
                </c:pt>
                <c:pt idx="75">
                  <c:v>420.40886451690318</c:v>
                </c:pt>
                <c:pt idx="76">
                  <c:v>420.42284951105569</c:v>
                </c:pt>
                <c:pt idx="77">
                  <c:v>420.42284951105569</c:v>
                </c:pt>
                <c:pt idx="78">
                  <c:v>421.2662132027188</c:v>
                </c:pt>
                <c:pt idx="79">
                  <c:v>422.09601271510979</c:v>
                </c:pt>
                <c:pt idx="80">
                  <c:v>420.88278015029664</c:v>
                </c:pt>
                <c:pt idx="81">
                  <c:v>419.41479560088749</c:v>
                </c:pt>
                <c:pt idx="82">
                  <c:v>418.96774242234653</c:v>
                </c:pt>
                <c:pt idx="83">
                  <c:v>418.66636912434655</c:v>
                </c:pt>
                <c:pt idx="84">
                  <c:v>418.89019160096728</c:v>
                </c:pt>
                <c:pt idx="85">
                  <c:v>419.60892319084962</c:v>
                </c:pt>
                <c:pt idx="86">
                  <c:v>419.05541888783932</c:v>
                </c:pt>
                <c:pt idx="87">
                  <c:v>418.79900275260115</c:v>
                </c:pt>
                <c:pt idx="88">
                  <c:v>419.22585056119379</c:v>
                </c:pt>
                <c:pt idx="89">
                  <c:v>419.47646768448203</c:v>
                </c:pt>
                <c:pt idx="90">
                  <c:v>419.90371411936627</c:v>
                </c:pt>
                <c:pt idx="91">
                  <c:v>419.83642642680104</c:v>
                </c:pt>
                <c:pt idx="92">
                  <c:v>419.6538985282063</c:v>
                </c:pt>
                <c:pt idx="93">
                  <c:v>421.19119706131988</c:v>
                </c:pt>
                <c:pt idx="94">
                  <c:v>422.08430871444489</c:v>
                </c:pt>
                <c:pt idx="95">
                  <c:v>422.15047998813242</c:v>
                </c:pt>
                <c:pt idx="96">
                  <c:v>422.43193697481661</c:v>
                </c:pt>
                <c:pt idx="97">
                  <c:v>421.99403510190751</c:v>
                </c:pt>
                <c:pt idx="98">
                  <c:v>422.34779870098987</c:v>
                </c:pt>
                <c:pt idx="99">
                  <c:v>424.81469022197786</c:v>
                </c:pt>
                <c:pt idx="100">
                  <c:v>423.87696788542615</c:v>
                </c:pt>
                <c:pt idx="101">
                  <c:v>424.31942933355111</c:v>
                </c:pt>
                <c:pt idx="102">
                  <c:v>424.66093906172011</c:v>
                </c:pt>
                <c:pt idx="103">
                  <c:v>424.24326429574012</c:v>
                </c:pt>
                <c:pt idx="104">
                  <c:v>425.01894581511044</c:v>
                </c:pt>
                <c:pt idx="105">
                  <c:v>423.92256942374598</c:v>
                </c:pt>
                <c:pt idx="106">
                  <c:v>424.48382093037458</c:v>
                </c:pt>
                <c:pt idx="107">
                  <c:v>423.37156079834176</c:v>
                </c:pt>
                <c:pt idx="108">
                  <c:v>423.48962317496915</c:v>
                </c:pt>
                <c:pt idx="109">
                  <c:v>423.62064655129785</c:v>
                </c:pt>
                <c:pt idx="110">
                  <c:v>424.17723073188756</c:v>
                </c:pt>
                <c:pt idx="111">
                  <c:v>423.95989610528767</c:v>
                </c:pt>
                <c:pt idx="112">
                  <c:v>424.67914654056761</c:v>
                </c:pt>
                <c:pt idx="113">
                  <c:v>424.32821483166094</c:v>
                </c:pt>
                <c:pt idx="114">
                  <c:v>423.55762839366093</c:v>
                </c:pt>
                <c:pt idx="115">
                  <c:v>423.03346762161277</c:v>
                </c:pt>
                <c:pt idx="116">
                  <c:v>423.0477643025157</c:v>
                </c:pt>
                <c:pt idx="117">
                  <c:v>423.38587994701567</c:v>
                </c:pt>
                <c:pt idx="118">
                  <c:v>423.61266149240026</c:v>
                </c:pt>
                <c:pt idx="119">
                  <c:v>422.05048399428551</c:v>
                </c:pt>
                <c:pt idx="120">
                  <c:v>421.44042451547153</c:v>
                </c:pt>
                <c:pt idx="121">
                  <c:v>421.83836765128694</c:v>
                </c:pt>
                <c:pt idx="122">
                  <c:v>423.18869449750918</c:v>
                </c:pt>
                <c:pt idx="123">
                  <c:v>424.65733511556283</c:v>
                </c:pt>
                <c:pt idx="124">
                  <c:v>425.16753388287452</c:v>
                </c:pt>
                <c:pt idx="125">
                  <c:v>426.5455984686165</c:v>
                </c:pt>
                <c:pt idx="126">
                  <c:v>424.56784466600658</c:v>
                </c:pt>
                <c:pt idx="127">
                  <c:v>423.09973981335986</c:v>
                </c:pt>
                <c:pt idx="128">
                  <c:v>420.66294138349275</c:v>
                </c:pt>
                <c:pt idx="129">
                  <c:v>423.026071789328</c:v>
                </c:pt>
                <c:pt idx="130">
                  <c:v>424.22911924299467</c:v>
                </c:pt>
                <c:pt idx="131">
                  <c:v>425.05872252777732</c:v>
                </c:pt>
                <c:pt idx="132">
                  <c:v>425.12125150043624</c:v>
                </c:pt>
                <c:pt idx="133">
                  <c:v>425.67593539167655</c:v>
                </c:pt>
                <c:pt idx="134">
                  <c:v>426.8498909535536</c:v>
                </c:pt>
                <c:pt idx="135">
                  <c:v>425.959568873558</c:v>
                </c:pt>
                <c:pt idx="136">
                  <c:v>425.34206656942246</c:v>
                </c:pt>
                <c:pt idx="137">
                  <c:v>426.64933802077451</c:v>
                </c:pt>
                <c:pt idx="138">
                  <c:v>428.72410384344124</c:v>
                </c:pt>
                <c:pt idx="139">
                  <c:v>427.31158634869223</c:v>
                </c:pt>
                <c:pt idx="140">
                  <c:v>428.21591089869224</c:v>
                </c:pt>
                <c:pt idx="141">
                  <c:v>427.80957897253779</c:v>
                </c:pt>
                <c:pt idx="142">
                  <c:v>425.16193036792237</c:v>
                </c:pt>
                <c:pt idx="143">
                  <c:v>423.47475008478636</c:v>
                </c:pt>
                <c:pt idx="144">
                  <c:v>424.37279757094382</c:v>
                </c:pt>
                <c:pt idx="145">
                  <c:v>423.76972159160118</c:v>
                </c:pt>
                <c:pt idx="146">
                  <c:v>425.00163980291853</c:v>
                </c:pt>
                <c:pt idx="147">
                  <c:v>424.97028154162621</c:v>
                </c:pt>
                <c:pt idx="148">
                  <c:v>425.19355804694641</c:v>
                </c:pt>
                <c:pt idx="149">
                  <c:v>423.97571869763118</c:v>
                </c:pt>
                <c:pt idx="150">
                  <c:v>424.66530042325695</c:v>
                </c:pt>
                <c:pt idx="151">
                  <c:v>426.66128082145201</c:v>
                </c:pt>
                <c:pt idx="152">
                  <c:v>426.05157929256319</c:v>
                </c:pt>
                <c:pt idx="153">
                  <c:v>426.43392639385075</c:v>
                </c:pt>
                <c:pt idx="154">
                  <c:v>421.73440875648316</c:v>
                </c:pt>
                <c:pt idx="155">
                  <c:v>424.31038303406001</c:v>
                </c:pt>
                <c:pt idx="156">
                  <c:v>422.41519450960004</c:v>
                </c:pt>
                <c:pt idx="157">
                  <c:v>424.14148528448874</c:v>
                </c:pt>
                <c:pt idx="158">
                  <c:v>420.18735475779999</c:v>
                </c:pt>
                <c:pt idx="159">
                  <c:v>419.12596566017578</c:v>
                </c:pt>
                <c:pt idx="160">
                  <c:v>419.94945128012023</c:v>
                </c:pt>
                <c:pt idx="161">
                  <c:v>421.01150543209178</c:v>
                </c:pt>
                <c:pt idx="162">
                  <c:v>414.84758519240074</c:v>
                </c:pt>
                <c:pt idx="163">
                  <c:v>411.96559836609185</c:v>
                </c:pt>
                <c:pt idx="164">
                  <c:v>415.02968345361347</c:v>
                </c:pt>
                <c:pt idx="165">
                  <c:v>417.14172489456047</c:v>
                </c:pt>
                <c:pt idx="166">
                  <c:v>416.24093629262666</c:v>
                </c:pt>
                <c:pt idx="167">
                  <c:v>414.72552446192697</c:v>
                </c:pt>
                <c:pt idx="168">
                  <c:v>409.2173516989908</c:v>
                </c:pt>
                <c:pt idx="169">
                  <c:v>406.56566841496971</c:v>
                </c:pt>
                <c:pt idx="170">
                  <c:v>406.09201404991609</c:v>
                </c:pt>
                <c:pt idx="171">
                  <c:v>403.19905532643327</c:v>
                </c:pt>
                <c:pt idx="172">
                  <c:v>402.10264200356369</c:v>
                </c:pt>
                <c:pt idx="173">
                  <c:v>403.25957008810002</c:v>
                </c:pt>
                <c:pt idx="174">
                  <c:v>401.47132509735093</c:v>
                </c:pt>
                <c:pt idx="175">
                  <c:v>400.98581595405534</c:v>
                </c:pt>
                <c:pt idx="176">
                  <c:v>400.00073099957456</c:v>
                </c:pt>
                <c:pt idx="177">
                  <c:v>399.06573974900675</c:v>
                </c:pt>
                <c:pt idx="178">
                  <c:v>397.10350514458366</c:v>
                </c:pt>
                <c:pt idx="179">
                  <c:v>397.67168119798998</c:v>
                </c:pt>
                <c:pt idx="180">
                  <c:v>398.97186817821728</c:v>
                </c:pt>
                <c:pt idx="181">
                  <c:v>398.47454540020976</c:v>
                </c:pt>
                <c:pt idx="182">
                  <c:v>397.02032545626599</c:v>
                </c:pt>
                <c:pt idx="183">
                  <c:v>396.51473380625197</c:v>
                </c:pt>
                <c:pt idx="184">
                  <c:v>396.58855279414178</c:v>
                </c:pt>
                <c:pt idx="185">
                  <c:v>395.89520020635939</c:v>
                </c:pt>
                <c:pt idx="186">
                  <c:v>398.49820215611533</c:v>
                </c:pt>
                <c:pt idx="187">
                  <c:v>397.87890799909076</c:v>
                </c:pt>
                <c:pt idx="188">
                  <c:v>397.32495949142287</c:v>
                </c:pt>
                <c:pt idx="189">
                  <c:v>396.06211453892291</c:v>
                </c:pt>
                <c:pt idx="190">
                  <c:v>395.68709225157755</c:v>
                </c:pt>
                <c:pt idx="191">
                  <c:v>394.39611496134842</c:v>
                </c:pt>
                <c:pt idx="192">
                  <c:v>395.58437972922326</c:v>
                </c:pt>
                <c:pt idx="193">
                  <c:v>396.72073934328324</c:v>
                </c:pt>
                <c:pt idx="194">
                  <c:v>397.192663014819</c:v>
                </c:pt>
                <c:pt idx="195">
                  <c:v>397.20094366717609</c:v>
                </c:pt>
                <c:pt idx="196">
                  <c:v>398.58044842358942</c:v>
                </c:pt>
                <c:pt idx="197">
                  <c:v>399.26303236588467</c:v>
                </c:pt>
                <c:pt idx="198">
                  <c:v>398.5461298131201</c:v>
                </c:pt>
                <c:pt idx="199">
                  <c:v>399.27247783400946</c:v>
                </c:pt>
                <c:pt idx="200">
                  <c:v>399.81914920235096</c:v>
                </c:pt>
                <c:pt idx="201">
                  <c:v>399.70455335262034</c:v>
                </c:pt>
                <c:pt idx="202">
                  <c:v>399.90193435694022</c:v>
                </c:pt>
                <c:pt idx="203">
                  <c:v>399.17365390558058</c:v>
                </c:pt>
                <c:pt idx="204">
                  <c:v>400.62387450109935</c:v>
                </c:pt>
                <c:pt idx="205">
                  <c:v>401.63484500723393</c:v>
                </c:pt>
                <c:pt idx="206">
                  <c:v>402.01683335289431</c:v>
                </c:pt>
                <c:pt idx="207">
                  <c:v>402.76210806996966</c:v>
                </c:pt>
                <c:pt idx="208">
                  <c:v>402.01430149481871</c:v>
                </c:pt>
                <c:pt idx="209">
                  <c:v>401.86136810520117</c:v>
                </c:pt>
                <c:pt idx="210">
                  <c:v>399.56039582251094</c:v>
                </c:pt>
                <c:pt idx="211">
                  <c:v>400.15881719729481</c:v>
                </c:pt>
                <c:pt idx="212">
                  <c:v>398.15344907454335</c:v>
                </c:pt>
                <c:pt idx="213">
                  <c:v>397.95414184470178</c:v>
                </c:pt>
                <c:pt idx="214">
                  <c:v>398.08723104412672</c:v>
                </c:pt>
                <c:pt idx="215">
                  <c:v>396.19535506226453</c:v>
                </c:pt>
                <c:pt idx="216">
                  <c:v>395.70930162329682</c:v>
                </c:pt>
                <c:pt idx="217">
                  <c:v>400.55214420601891</c:v>
                </c:pt>
                <c:pt idx="218">
                  <c:v>397.97110832507894</c:v>
                </c:pt>
                <c:pt idx="219">
                  <c:v>395.92177783069678</c:v>
                </c:pt>
                <c:pt idx="220">
                  <c:v>394.20216725156382</c:v>
                </c:pt>
                <c:pt idx="221">
                  <c:v>399.06479058872884</c:v>
                </c:pt>
                <c:pt idx="222">
                  <c:v>397.55000614349746</c:v>
                </c:pt>
                <c:pt idx="223">
                  <c:v>398.97971943159104</c:v>
                </c:pt>
                <c:pt idx="224">
                  <c:v>399.61441527877315</c:v>
                </c:pt>
                <c:pt idx="225">
                  <c:v>400.22641462406688</c:v>
                </c:pt>
                <c:pt idx="226">
                  <c:v>401.81651111834611</c:v>
                </c:pt>
                <c:pt idx="227">
                  <c:v>403.25972881295507</c:v>
                </c:pt>
                <c:pt idx="228">
                  <c:v>401.58880152984909</c:v>
                </c:pt>
                <c:pt idx="229">
                  <c:v>399.14193445622959</c:v>
                </c:pt>
                <c:pt idx="230">
                  <c:v>396.27948283726852</c:v>
                </c:pt>
                <c:pt idx="231">
                  <c:v>398.60823189280677</c:v>
                </c:pt>
                <c:pt idx="232">
                  <c:v>400.476962573447</c:v>
                </c:pt>
                <c:pt idx="233">
                  <c:v>396.20008496662007</c:v>
                </c:pt>
                <c:pt idx="234">
                  <c:v>390.99338179197468</c:v>
                </c:pt>
                <c:pt idx="235">
                  <c:v>393.83905725273269</c:v>
                </c:pt>
                <c:pt idx="236">
                  <c:v>393.79611814488095</c:v>
                </c:pt>
                <c:pt idx="237">
                  <c:v>395.55594775325346</c:v>
                </c:pt>
                <c:pt idx="238">
                  <c:v>396.56491363416302</c:v>
                </c:pt>
                <c:pt idx="239">
                  <c:v>394.49329805337749</c:v>
                </c:pt>
                <c:pt idx="240">
                  <c:v>395.22346820077377</c:v>
                </c:pt>
                <c:pt idx="241">
                  <c:v>393.55097189888397</c:v>
                </c:pt>
                <c:pt idx="242">
                  <c:v>388.22697459303163</c:v>
                </c:pt>
                <c:pt idx="243">
                  <c:v>385.9733404183346</c:v>
                </c:pt>
                <c:pt idx="244">
                  <c:v>388.2939730827643</c:v>
                </c:pt>
                <c:pt idx="245">
                  <c:v>391.92853841944952</c:v>
                </c:pt>
                <c:pt idx="246">
                  <c:v>394.7289929626823</c:v>
                </c:pt>
                <c:pt idx="247">
                  <c:v>389.39672773917351</c:v>
                </c:pt>
                <c:pt idx="248">
                  <c:v>388.6021900074872</c:v>
                </c:pt>
                <c:pt idx="249">
                  <c:v>381.06259063833187</c:v>
                </c:pt>
                <c:pt idx="250">
                  <c:v>379.95325730010387</c:v>
                </c:pt>
                <c:pt idx="251">
                  <c:v>381.38904228291591</c:v>
                </c:pt>
                <c:pt idx="252">
                  <c:v>383.31480128163849</c:v>
                </c:pt>
                <c:pt idx="253">
                  <c:v>376.2897801703192</c:v>
                </c:pt>
                <c:pt idx="254">
                  <c:v>378.70503879190551</c:v>
                </c:pt>
                <c:pt idx="255">
                  <c:v>382.59873669058391</c:v>
                </c:pt>
                <c:pt idx="256">
                  <c:v>387.65363222947423</c:v>
                </c:pt>
                <c:pt idx="257">
                  <c:v>384.54463509166743</c:v>
                </c:pt>
                <c:pt idx="258">
                  <c:v>384.30970618270578</c:v>
                </c:pt>
                <c:pt idx="259">
                  <c:v>379.52423257937465</c:v>
                </c:pt>
                <c:pt idx="260">
                  <c:v>366.65809794297564</c:v>
                </c:pt>
                <c:pt idx="261">
                  <c:v>371.64258784307458</c:v>
                </c:pt>
                <c:pt idx="262">
                  <c:v>367.30697388113072</c:v>
                </c:pt>
                <c:pt idx="263">
                  <c:v>368.62124946251242</c:v>
                </c:pt>
                <c:pt idx="264">
                  <c:v>364.31431402801087</c:v>
                </c:pt>
                <c:pt idx="265">
                  <c:v>363.18279359175932</c:v>
                </c:pt>
                <c:pt idx="266">
                  <c:v>362.03727031531412</c:v>
                </c:pt>
                <c:pt idx="267">
                  <c:v>353.64863850889196</c:v>
                </c:pt>
                <c:pt idx="268">
                  <c:v>348.69778251524042</c:v>
                </c:pt>
                <c:pt idx="269">
                  <c:v>351.84770842863719</c:v>
                </c:pt>
                <c:pt idx="270">
                  <c:v>350.76662263308913</c:v>
                </c:pt>
                <c:pt idx="271">
                  <c:v>350.63487238715931</c:v>
                </c:pt>
                <c:pt idx="272">
                  <c:v>349.77748427334336</c:v>
                </c:pt>
                <c:pt idx="273">
                  <c:v>347.97012913417473</c:v>
                </c:pt>
                <c:pt idx="274">
                  <c:v>350.56079762548404</c:v>
                </c:pt>
                <c:pt idx="275">
                  <c:v>347.40385166209268</c:v>
                </c:pt>
                <c:pt idx="276">
                  <c:v>345.4014788507551</c:v>
                </c:pt>
                <c:pt idx="277">
                  <c:v>341.4070756411266</c:v>
                </c:pt>
                <c:pt idx="278">
                  <c:v>340.99106389083119</c:v>
                </c:pt>
                <c:pt idx="279">
                  <c:v>344.49447873029789</c:v>
                </c:pt>
                <c:pt idx="280">
                  <c:v>335.41948110568632</c:v>
                </c:pt>
                <c:pt idx="281">
                  <c:v>338.7445508095779</c:v>
                </c:pt>
                <c:pt idx="282">
                  <c:v>342.21983765573975</c:v>
                </c:pt>
                <c:pt idx="283">
                  <c:v>338.45552986270917</c:v>
                </c:pt>
                <c:pt idx="284">
                  <c:v>341.77788936029975</c:v>
                </c:pt>
                <c:pt idx="285">
                  <c:v>339.33957417810302</c:v>
                </c:pt>
                <c:pt idx="286">
                  <c:v>341.76021003817698</c:v>
                </c:pt>
                <c:pt idx="287">
                  <c:v>342.77336985380504</c:v>
                </c:pt>
                <c:pt idx="288">
                  <c:v>340.3094784552062</c:v>
                </c:pt>
                <c:pt idx="289">
                  <c:v>340.54017927937991</c:v>
                </c:pt>
                <c:pt idx="290">
                  <c:v>336.45019849841202</c:v>
                </c:pt>
                <c:pt idx="291">
                  <c:v>335.30612171073454</c:v>
                </c:pt>
                <c:pt idx="292">
                  <c:v>333.40909109601586</c:v>
                </c:pt>
                <c:pt idx="293">
                  <c:v>333.82393263066666</c:v>
                </c:pt>
                <c:pt idx="294">
                  <c:v>334.50493296996115</c:v>
                </c:pt>
                <c:pt idx="295">
                  <c:v>332.80309468273981</c:v>
                </c:pt>
                <c:pt idx="296">
                  <c:v>335.94242453516358</c:v>
                </c:pt>
                <c:pt idx="297">
                  <c:v>337.34853784497949</c:v>
                </c:pt>
                <c:pt idx="298">
                  <c:v>335.61634132876242</c:v>
                </c:pt>
                <c:pt idx="299">
                  <c:v>334.66232098464917</c:v>
                </c:pt>
                <c:pt idx="300">
                  <c:v>337.59847459788597</c:v>
                </c:pt>
                <c:pt idx="301">
                  <c:v>339.83726992984225</c:v>
                </c:pt>
                <c:pt idx="302">
                  <c:v>340.54044533087364</c:v>
                </c:pt>
                <c:pt idx="303">
                  <c:v>339.55492270156634</c:v>
                </c:pt>
                <c:pt idx="304">
                  <c:v>339.60258008073038</c:v>
                </c:pt>
                <c:pt idx="305">
                  <c:v>339.75547562296862</c:v>
                </c:pt>
                <c:pt idx="306">
                  <c:v>340.01084006099933</c:v>
                </c:pt>
                <c:pt idx="307">
                  <c:v>341.37331397150962</c:v>
                </c:pt>
                <c:pt idx="308">
                  <c:v>339.75358799719174</c:v>
                </c:pt>
                <c:pt idx="309">
                  <c:v>340.152515696043</c:v>
                </c:pt>
                <c:pt idx="310">
                  <c:v>341.95274781884143</c:v>
                </c:pt>
                <c:pt idx="311">
                  <c:v>342.86083990109842</c:v>
                </c:pt>
                <c:pt idx="312">
                  <c:v>344.82059242521302</c:v>
                </c:pt>
                <c:pt idx="313">
                  <c:v>345.95351655147743</c:v>
                </c:pt>
                <c:pt idx="314">
                  <c:v>349.92022269113369</c:v>
                </c:pt>
                <c:pt idx="315">
                  <c:v>346.59824262258223</c:v>
                </c:pt>
                <c:pt idx="316">
                  <c:v>360.1741256657985</c:v>
                </c:pt>
                <c:pt idx="317">
                  <c:v>354.35004956803192</c:v>
                </c:pt>
                <c:pt idx="318">
                  <c:v>344.6064942060259</c:v>
                </c:pt>
                <c:pt idx="319">
                  <c:v>345.10113049577632</c:v>
                </c:pt>
                <c:pt idx="320">
                  <c:v>348.08118387915226</c:v>
                </c:pt>
                <c:pt idx="321">
                  <c:v>347.40022990997926</c:v>
                </c:pt>
                <c:pt idx="322">
                  <c:v>350.68491673790368</c:v>
                </c:pt>
                <c:pt idx="323">
                  <c:v>350.58283277313132</c:v>
                </c:pt>
                <c:pt idx="324">
                  <c:v>352.97167729420687</c:v>
                </c:pt>
                <c:pt idx="325">
                  <c:v>349.38446435700786</c:v>
                </c:pt>
                <c:pt idx="326">
                  <c:v>351.90485894623282</c:v>
                </c:pt>
                <c:pt idx="327">
                  <c:v>351.06305187473509</c:v>
                </c:pt>
                <c:pt idx="328">
                  <c:v>351.46280300362099</c:v>
                </c:pt>
                <c:pt idx="329">
                  <c:v>347.03054424707977</c:v>
                </c:pt>
                <c:pt idx="330">
                  <c:v>350.35478870775512</c:v>
                </c:pt>
                <c:pt idx="331">
                  <c:v>354.20078194916687</c:v>
                </c:pt>
                <c:pt idx="332">
                  <c:v>356.3610783993837</c:v>
                </c:pt>
                <c:pt idx="333">
                  <c:v>355.24543201115455</c:v>
                </c:pt>
                <c:pt idx="334">
                  <c:v>346.64180700173512</c:v>
                </c:pt>
                <c:pt idx="335">
                  <c:v>353.29680700663403</c:v>
                </c:pt>
                <c:pt idx="336">
                  <c:v>341.68503971701421</c:v>
                </c:pt>
                <c:pt idx="337">
                  <c:v>343.73583294837874</c:v>
                </c:pt>
                <c:pt idx="338">
                  <c:v>337.22963392153207</c:v>
                </c:pt>
                <c:pt idx="339">
                  <c:v>338.60323891522245</c:v>
                </c:pt>
                <c:pt idx="340">
                  <c:v>329.41112546800832</c:v>
                </c:pt>
                <c:pt idx="341">
                  <c:v>331.02332107823958</c:v>
                </c:pt>
                <c:pt idx="342">
                  <c:v>324.92630374069654</c:v>
                </c:pt>
                <c:pt idx="343">
                  <c:v>322.68005538450961</c:v>
                </c:pt>
                <c:pt idx="344">
                  <c:v>324.53015461181457</c:v>
                </c:pt>
                <c:pt idx="345">
                  <c:v>320.58023792785968</c:v>
                </c:pt>
                <c:pt idx="346">
                  <c:v>320.52586883003011</c:v>
                </c:pt>
                <c:pt idx="347">
                  <c:v>315.30055034959554</c:v>
                </c:pt>
                <c:pt idx="348">
                  <c:v>317.14368891921026</c:v>
                </c:pt>
                <c:pt idx="349">
                  <c:v>314.65059030401949</c:v>
                </c:pt>
                <c:pt idx="350">
                  <c:v>311.944206931834</c:v>
                </c:pt>
                <c:pt idx="351">
                  <c:v>311.02827300886946</c:v>
                </c:pt>
                <c:pt idx="352">
                  <c:v>295.9294659784656</c:v>
                </c:pt>
                <c:pt idx="353">
                  <c:v>291.55613935486394</c:v>
                </c:pt>
                <c:pt idx="354">
                  <c:v>291.87995801358608</c:v>
                </c:pt>
                <c:pt idx="355">
                  <c:v>287.75483972465446</c:v>
                </c:pt>
                <c:pt idx="356">
                  <c:v>280.73232769443496</c:v>
                </c:pt>
                <c:pt idx="357">
                  <c:v>272.26479135518321</c:v>
                </c:pt>
                <c:pt idx="358">
                  <c:v>269.76315112766389</c:v>
                </c:pt>
                <c:pt idx="359">
                  <c:v>266.77152137883655</c:v>
                </c:pt>
                <c:pt idx="360">
                  <c:v>265.56956930204444</c:v>
                </c:pt>
                <c:pt idx="361">
                  <c:v>259.94140100143392</c:v>
                </c:pt>
                <c:pt idx="362">
                  <c:v>262.5736530365802</c:v>
                </c:pt>
                <c:pt idx="363">
                  <c:v>260.77578731025466</c:v>
                </c:pt>
                <c:pt idx="364">
                  <c:v>261.44824534836613</c:v>
                </c:pt>
                <c:pt idx="365">
                  <c:v>258.78215195315931</c:v>
                </c:pt>
                <c:pt idx="366">
                  <c:v>261.44104641438975</c:v>
                </c:pt>
                <c:pt idx="367">
                  <c:v>259.9418950212239</c:v>
                </c:pt>
                <c:pt idx="368">
                  <c:v>263.07817118171738</c:v>
                </c:pt>
                <c:pt idx="369">
                  <c:v>262.86917942406387</c:v>
                </c:pt>
                <c:pt idx="370">
                  <c:v>263.12897029229339</c:v>
                </c:pt>
                <c:pt idx="371">
                  <c:v>256.64849326829341</c:v>
                </c:pt>
                <c:pt idx="372">
                  <c:v>262.94750463075405</c:v>
                </c:pt>
                <c:pt idx="373">
                  <c:v>256.82935577001865</c:v>
                </c:pt>
                <c:pt idx="374">
                  <c:v>260.64333562443846</c:v>
                </c:pt>
                <c:pt idx="375">
                  <c:v>264.28018649887645</c:v>
                </c:pt>
                <c:pt idx="376">
                  <c:v>258.38763906071551</c:v>
                </c:pt>
                <c:pt idx="377">
                  <c:v>252.28032680122271</c:v>
                </c:pt>
                <c:pt idx="378">
                  <c:v>253.19514312066565</c:v>
                </c:pt>
                <c:pt idx="379">
                  <c:v>252.49166392923101</c:v>
                </c:pt>
                <c:pt idx="380">
                  <c:v>246.45061888369204</c:v>
                </c:pt>
                <c:pt idx="381">
                  <c:v>246.33983485575868</c:v>
                </c:pt>
                <c:pt idx="382">
                  <c:v>242.54649824298113</c:v>
                </c:pt>
                <c:pt idx="383">
                  <c:v>245.14058817193768</c:v>
                </c:pt>
                <c:pt idx="384">
                  <c:v>239.97067382708528</c:v>
                </c:pt>
                <c:pt idx="385">
                  <c:v>234.74380838795807</c:v>
                </c:pt>
                <c:pt idx="386">
                  <c:v>241.21971680682552</c:v>
                </c:pt>
                <c:pt idx="387">
                  <c:v>227.02114262338017</c:v>
                </c:pt>
                <c:pt idx="388">
                  <c:v>215.10078684772358</c:v>
                </c:pt>
                <c:pt idx="389">
                  <c:v>209.41397042218256</c:v>
                </c:pt>
                <c:pt idx="390">
                  <c:v>199.63697684690723</c:v>
                </c:pt>
                <c:pt idx="391">
                  <c:v>198.70842535771973</c:v>
                </c:pt>
                <c:pt idx="392">
                  <c:v>200.13613557333071</c:v>
                </c:pt>
                <c:pt idx="393">
                  <c:v>199.44424388859389</c:v>
                </c:pt>
                <c:pt idx="394">
                  <c:v>199.87963773986974</c:v>
                </c:pt>
                <c:pt idx="395">
                  <c:v>193.14511359675737</c:v>
                </c:pt>
                <c:pt idx="396">
                  <c:v>187.05967293802672</c:v>
                </c:pt>
                <c:pt idx="397">
                  <c:v>190.07256094199391</c:v>
                </c:pt>
                <c:pt idx="398">
                  <c:v>187.77331477547702</c:v>
                </c:pt>
                <c:pt idx="399">
                  <c:v>188.41327054867185</c:v>
                </c:pt>
                <c:pt idx="400">
                  <c:v>182.11368704872811</c:v>
                </c:pt>
                <c:pt idx="401">
                  <c:v>185.08608687561215</c:v>
                </c:pt>
                <c:pt idx="402">
                  <c:v>183.98817818946918</c:v>
                </c:pt>
                <c:pt idx="403">
                  <c:v>185.76109169880053</c:v>
                </c:pt>
                <c:pt idx="404">
                  <c:v>186.01490603379747</c:v>
                </c:pt>
                <c:pt idx="405">
                  <c:v>188.17199966738795</c:v>
                </c:pt>
                <c:pt idx="406">
                  <c:v>187.30218808498833</c:v>
                </c:pt>
                <c:pt idx="407">
                  <c:v>192.22924036678529</c:v>
                </c:pt>
                <c:pt idx="408">
                  <c:v>187.41988845425203</c:v>
                </c:pt>
                <c:pt idx="409">
                  <c:v>189.26214944831699</c:v>
                </c:pt>
                <c:pt idx="410">
                  <c:v>186.60939518504838</c:v>
                </c:pt>
                <c:pt idx="411">
                  <c:v>184.58150054517529</c:v>
                </c:pt>
                <c:pt idx="412">
                  <c:v>183.85568455501712</c:v>
                </c:pt>
                <c:pt idx="413">
                  <c:v>183.53387029382398</c:v>
                </c:pt>
                <c:pt idx="414">
                  <c:v>184.69868573739541</c:v>
                </c:pt>
                <c:pt idx="415">
                  <c:v>180.48476088472859</c:v>
                </c:pt>
                <c:pt idx="416">
                  <c:v>183.02147085537936</c:v>
                </c:pt>
                <c:pt idx="417">
                  <c:v>183.67145725061451</c:v>
                </c:pt>
                <c:pt idx="418">
                  <c:v>183.20999301131158</c:v>
                </c:pt>
                <c:pt idx="419">
                  <c:v>180.60511813409147</c:v>
                </c:pt>
                <c:pt idx="420">
                  <c:v>184.36735267099812</c:v>
                </c:pt>
                <c:pt idx="421">
                  <c:v>183.03530034447598</c:v>
                </c:pt>
                <c:pt idx="422">
                  <c:v>180.10404764150601</c:v>
                </c:pt>
                <c:pt idx="423">
                  <c:v>181.55547399774665</c:v>
                </c:pt>
                <c:pt idx="424">
                  <c:v>175.72656835006367</c:v>
                </c:pt>
                <c:pt idx="425">
                  <c:v>173.16181109589652</c:v>
                </c:pt>
                <c:pt idx="426">
                  <c:v>167.10901015376686</c:v>
                </c:pt>
                <c:pt idx="427">
                  <c:v>163.62096626235723</c:v>
                </c:pt>
                <c:pt idx="428">
                  <c:v>162.36316345245217</c:v>
                </c:pt>
                <c:pt idx="429">
                  <c:v>167.3046390154079</c:v>
                </c:pt>
                <c:pt idx="430">
                  <c:v>166.5778386898497</c:v>
                </c:pt>
                <c:pt idx="431">
                  <c:v>159.99035895784698</c:v>
                </c:pt>
                <c:pt idx="432">
                  <c:v>149.19253233712797</c:v>
                </c:pt>
                <c:pt idx="433">
                  <c:v>140.05963885916174</c:v>
                </c:pt>
                <c:pt idx="434">
                  <c:v>136.14976113714175</c:v>
                </c:pt>
                <c:pt idx="435">
                  <c:v>136.59291876792918</c:v>
                </c:pt>
                <c:pt idx="436">
                  <c:v>136.66308258727463</c:v>
                </c:pt>
                <c:pt idx="437">
                  <c:v>135.27100396329482</c:v>
                </c:pt>
                <c:pt idx="438">
                  <c:v>133.99237150150063</c:v>
                </c:pt>
                <c:pt idx="439">
                  <c:v>134.84011122795562</c:v>
                </c:pt>
                <c:pt idx="440">
                  <c:v>135.03456953747943</c:v>
                </c:pt>
                <c:pt idx="441">
                  <c:v>134.68174797925525</c:v>
                </c:pt>
                <c:pt idx="442">
                  <c:v>134.68716381756278</c:v>
                </c:pt>
                <c:pt idx="443">
                  <c:v>136.36443926725619</c:v>
                </c:pt>
                <c:pt idx="444">
                  <c:v>136.85265287961334</c:v>
                </c:pt>
                <c:pt idx="445">
                  <c:v>135.90657552575058</c:v>
                </c:pt>
                <c:pt idx="446">
                  <c:v>134.31188083725871</c:v>
                </c:pt>
                <c:pt idx="447">
                  <c:v>138.52075955918792</c:v>
                </c:pt>
                <c:pt idx="448">
                  <c:v>134.63194420862845</c:v>
                </c:pt>
                <c:pt idx="449">
                  <c:v>131.94413982972463</c:v>
                </c:pt>
                <c:pt idx="450">
                  <c:v>130.22632345187475</c:v>
                </c:pt>
                <c:pt idx="451">
                  <c:v>128.25140266083628</c:v>
                </c:pt>
                <c:pt idx="452">
                  <c:v>130.34414401993124</c:v>
                </c:pt>
                <c:pt idx="453">
                  <c:v>129.13600578588819</c:v>
                </c:pt>
                <c:pt idx="454">
                  <c:v>129.83177873916674</c:v>
                </c:pt>
                <c:pt idx="455">
                  <c:v>129.08243095054289</c:v>
                </c:pt>
                <c:pt idx="456">
                  <c:v>131.25071980798768</c:v>
                </c:pt>
                <c:pt idx="457">
                  <c:v>131.570279173713</c:v>
                </c:pt>
                <c:pt idx="458">
                  <c:v>132.676025736513</c:v>
                </c:pt>
                <c:pt idx="459">
                  <c:v>132.78004761697383</c:v>
                </c:pt>
                <c:pt idx="460">
                  <c:v>133.61161685410428</c:v>
                </c:pt>
                <c:pt idx="461">
                  <c:v>134.29634490225578</c:v>
                </c:pt>
                <c:pt idx="462">
                  <c:v>134.72416312419548</c:v>
                </c:pt>
                <c:pt idx="463">
                  <c:v>133.51745227493126</c:v>
                </c:pt>
                <c:pt idx="464">
                  <c:v>132.81595734224084</c:v>
                </c:pt>
                <c:pt idx="465">
                  <c:v>134.71293023793174</c:v>
                </c:pt>
                <c:pt idx="466">
                  <c:v>134.66811829906456</c:v>
                </c:pt>
                <c:pt idx="467">
                  <c:v>133.78807045666457</c:v>
                </c:pt>
                <c:pt idx="468">
                  <c:v>133.2556501589979</c:v>
                </c:pt>
                <c:pt idx="469">
                  <c:v>133.79208158823869</c:v>
                </c:pt>
                <c:pt idx="470">
                  <c:v>133.08515107476359</c:v>
                </c:pt>
                <c:pt idx="471">
                  <c:v>134.72884464267182</c:v>
                </c:pt>
                <c:pt idx="472">
                  <c:v>136.67194142823016</c:v>
                </c:pt>
                <c:pt idx="473">
                  <c:v>135.51614027246256</c:v>
                </c:pt>
                <c:pt idx="474">
                  <c:v>135.63257392485099</c:v>
                </c:pt>
                <c:pt idx="475">
                  <c:v>137.11704442566241</c:v>
                </c:pt>
                <c:pt idx="476">
                  <c:v>135.0295036365533</c:v>
                </c:pt>
                <c:pt idx="477">
                  <c:v>133.16435257469615</c:v>
                </c:pt>
                <c:pt idx="478">
                  <c:v>132.05237204327867</c:v>
                </c:pt>
                <c:pt idx="479">
                  <c:v>133.58691198299834</c:v>
                </c:pt>
                <c:pt idx="480">
                  <c:v>133.87136292555209</c:v>
                </c:pt>
                <c:pt idx="481">
                  <c:v>132.82938964524323</c:v>
                </c:pt>
                <c:pt idx="482">
                  <c:v>133.23858108031729</c:v>
                </c:pt>
                <c:pt idx="483">
                  <c:v>134.85997675977677</c:v>
                </c:pt>
                <c:pt idx="484">
                  <c:v>135.91368254375394</c:v>
                </c:pt>
                <c:pt idx="485">
                  <c:v>133.49797412866619</c:v>
                </c:pt>
                <c:pt idx="486">
                  <c:v>132.84847353406619</c:v>
                </c:pt>
                <c:pt idx="487">
                  <c:v>136.384634970604</c:v>
                </c:pt>
                <c:pt idx="488">
                  <c:v>133.55525932813094</c:v>
                </c:pt>
                <c:pt idx="489">
                  <c:v>134.14197781797142</c:v>
                </c:pt>
                <c:pt idx="490">
                  <c:v>128.1466513318735</c:v>
                </c:pt>
                <c:pt idx="491">
                  <c:v>125.21323147436684</c:v>
                </c:pt>
                <c:pt idx="492">
                  <c:v>127.1738510335165</c:v>
                </c:pt>
                <c:pt idx="493">
                  <c:v>126.80194238112487</c:v>
                </c:pt>
                <c:pt idx="494">
                  <c:v>129.60780340580294</c:v>
                </c:pt>
                <c:pt idx="495">
                  <c:v>129.99330099714618</c:v>
                </c:pt>
                <c:pt idx="496">
                  <c:v>130.44597989406788</c:v>
                </c:pt>
                <c:pt idx="497">
                  <c:v>131.36519029562538</c:v>
                </c:pt>
                <c:pt idx="498">
                  <c:v>129.8133005309904</c:v>
                </c:pt>
                <c:pt idx="499">
                  <c:v>129.69160031499564</c:v>
                </c:pt>
                <c:pt idx="500">
                  <c:v>131.74191696435471</c:v>
                </c:pt>
                <c:pt idx="501">
                  <c:v>130.63184865963814</c:v>
                </c:pt>
                <c:pt idx="502">
                  <c:v>131.28180641121645</c:v>
                </c:pt>
                <c:pt idx="503">
                  <c:v>130.23865262099366</c:v>
                </c:pt>
                <c:pt idx="504">
                  <c:v>128.55873475374534</c:v>
                </c:pt>
                <c:pt idx="505">
                  <c:v>127.80276192249535</c:v>
                </c:pt>
                <c:pt idx="506">
                  <c:v>127.20578199015071</c:v>
                </c:pt>
                <c:pt idx="507">
                  <c:v>128.86136471341302</c:v>
                </c:pt>
                <c:pt idx="508">
                  <c:v>125.60886686134457</c:v>
                </c:pt>
                <c:pt idx="509">
                  <c:v>124.29839571236712</c:v>
                </c:pt>
                <c:pt idx="510">
                  <c:v>127.57098619123259</c:v>
                </c:pt>
                <c:pt idx="511">
                  <c:v>123.0627336118694</c:v>
                </c:pt>
                <c:pt idx="512">
                  <c:v>128.15405168942749</c:v>
                </c:pt>
                <c:pt idx="513">
                  <c:v>129.87967893367639</c:v>
                </c:pt>
                <c:pt idx="514">
                  <c:v>129.22220034354757</c:v>
                </c:pt>
                <c:pt idx="515">
                  <c:v>127.46342578599699</c:v>
                </c:pt>
                <c:pt idx="516">
                  <c:v>126.45648981682052</c:v>
                </c:pt>
                <c:pt idx="517">
                  <c:v>125.02085537131501</c:v>
                </c:pt>
                <c:pt idx="518">
                  <c:v>124.63227342174763</c:v>
                </c:pt>
                <c:pt idx="519">
                  <c:v>125.62845358982926</c:v>
                </c:pt>
                <c:pt idx="520">
                  <c:v>125.51199518354927</c:v>
                </c:pt>
                <c:pt idx="521">
                  <c:v>126.6453179045231</c:v>
                </c:pt>
                <c:pt idx="522">
                  <c:v>126.60457186769139</c:v>
                </c:pt>
                <c:pt idx="523">
                  <c:v>127.23706671807415</c:v>
                </c:pt>
                <c:pt idx="524">
                  <c:v>125.46226704258541</c:v>
                </c:pt>
                <c:pt idx="525">
                  <c:v>127.83874542920732</c:v>
                </c:pt>
                <c:pt idx="526">
                  <c:v>125.63351974860355</c:v>
                </c:pt>
                <c:pt idx="527">
                  <c:v>126.95351330885914</c:v>
                </c:pt>
                <c:pt idx="528">
                  <c:v>127.96903487522951</c:v>
                </c:pt>
                <c:pt idx="529">
                  <c:v>128.67044487659606</c:v>
                </c:pt>
                <c:pt idx="530">
                  <c:v>127.27691759893915</c:v>
                </c:pt>
                <c:pt idx="531">
                  <c:v>127.90304798008914</c:v>
                </c:pt>
                <c:pt idx="532">
                  <c:v>129.17730922539076</c:v>
                </c:pt>
                <c:pt idx="533">
                  <c:v>127.36086002947258</c:v>
                </c:pt>
                <c:pt idx="534">
                  <c:v>123.92695712673377</c:v>
                </c:pt>
                <c:pt idx="535">
                  <c:v>124.46333821687479</c:v>
                </c:pt>
                <c:pt idx="536">
                  <c:v>124.80089070813953</c:v>
                </c:pt>
                <c:pt idx="537">
                  <c:v>126.39343770879002</c:v>
                </c:pt>
                <c:pt idx="538">
                  <c:v>123.91104251398534</c:v>
                </c:pt>
                <c:pt idx="539">
                  <c:v>124.4562099917089</c:v>
                </c:pt>
                <c:pt idx="540">
                  <c:v>122.97529106794764</c:v>
                </c:pt>
                <c:pt idx="541">
                  <c:v>123.19100813991386</c:v>
                </c:pt>
                <c:pt idx="542">
                  <c:v>122.40953739954153</c:v>
                </c:pt>
                <c:pt idx="543">
                  <c:v>121.2550288947607</c:v>
                </c:pt>
                <c:pt idx="544">
                  <c:v>122.92490463504264</c:v>
                </c:pt>
                <c:pt idx="545">
                  <c:v>121.38590826942119</c:v>
                </c:pt>
                <c:pt idx="546">
                  <c:v>121.07132452853136</c:v>
                </c:pt>
                <c:pt idx="547">
                  <c:v>120.10357658319627</c:v>
                </c:pt>
                <c:pt idx="548">
                  <c:v>123.93763028592416</c:v>
                </c:pt>
                <c:pt idx="549">
                  <c:v>118.43695364472555</c:v>
                </c:pt>
                <c:pt idx="550">
                  <c:v>119.78148133783702</c:v>
                </c:pt>
                <c:pt idx="551">
                  <c:v>119.03088490784599</c:v>
                </c:pt>
                <c:pt idx="552">
                  <c:v>112.12435589098641</c:v>
                </c:pt>
                <c:pt idx="553">
                  <c:v>112.5873041439864</c:v>
                </c:pt>
                <c:pt idx="554">
                  <c:v>113.40486124506668</c:v>
                </c:pt>
                <c:pt idx="555">
                  <c:v>112.39502729276715</c:v>
                </c:pt>
                <c:pt idx="556">
                  <c:v>110.74856556257267</c:v>
                </c:pt>
                <c:pt idx="557">
                  <c:v>111.67640634647329</c:v>
                </c:pt>
                <c:pt idx="558">
                  <c:v>110.64963656424125</c:v>
                </c:pt>
                <c:pt idx="559">
                  <c:v>109.62772077478726</c:v>
                </c:pt>
                <c:pt idx="560">
                  <c:v>111.6778997457085</c:v>
                </c:pt>
                <c:pt idx="561">
                  <c:v>111.5083030628734</c:v>
                </c:pt>
                <c:pt idx="562">
                  <c:v>110.68082704504036</c:v>
                </c:pt>
                <c:pt idx="563">
                  <c:v>106.91507561449951</c:v>
                </c:pt>
                <c:pt idx="564">
                  <c:v>110.64144591002119</c:v>
                </c:pt>
                <c:pt idx="565">
                  <c:v>108.15612476043326</c:v>
                </c:pt>
                <c:pt idx="566">
                  <c:v>105.50098961238217</c:v>
                </c:pt>
                <c:pt idx="567">
                  <c:v>104.12925105012968</c:v>
                </c:pt>
                <c:pt idx="568">
                  <c:v>103.63546427173256</c:v>
                </c:pt>
                <c:pt idx="569">
                  <c:v>99.420374937412262</c:v>
                </c:pt>
                <c:pt idx="570">
                  <c:v>93.111366582126465</c:v>
                </c:pt>
                <c:pt idx="571">
                  <c:v>90.005152006602344</c:v>
                </c:pt>
                <c:pt idx="572">
                  <c:v>88.637962197510049</c:v>
                </c:pt>
                <c:pt idx="573">
                  <c:v>85.834690430544214</c:v>
                </c:pt>
                <c:pt idx="574">
                  <c:v>86.679855034886984</c:v>
                </c:pt>
                <c:pt idx="575">
                  <c:v>85.453756906318588</c:v>
                </c:pt>
                <c:pt idx="576">
                  <c:v>79.405531425360834</c:v>
                </c:pt>
                <c:pt idx="577">
                  <c:v>79.765981914921383</c:v>
                </c:pt>
                <c:pt idx="578">
                  <c:v>77.347123466744364</c:v>
                </c:pt>
                <c:pt idx="579">
                  <c:v>75.806588160265832</c:v>
                </c:pt>
                <c:pt idx="580">
                  <c:v>76.092190882616677</c:v>
                </c:pt>
                <c:pt idx="581">
                  <c:v>76.023162961762409</c:v>
                </c:pt>
                <c:pt idx="582">
                  <c:v>75.392802986598483</c:v>
                </c:pt>
                <c:pt idx="583">
                  <c:v>76.637669278906159</c:v>
                </c:pt>
                <c:pt idx="584">
                  <c:v>76.903577994708201</c:v>
                </c:pt>
                <c:pt idx="585">
                  <c:v>74.875043610678645</c:v>
                </c:pt>
                <c:pt idx="586">
                  <c:v>76.093415111583923</c:v>
                </c:pt>
                <c:pt idx="587">
                  <c:v>75.228491770952331</c:v>
                </c:pt>
                <c:pt idx="588">
                  <c:v>75.702223219796267</c:v>
                </c:pt>
                <c:pt idx="589">
                  <c:v>76.42262786228855</c:v>
                </c:pt>
                <c:pt idx="590">
                  <c:v>72.407042440473901</c:v>
                </c:pt>
                <c:pt idx="591">
                  <c:v>70.447685920473901</c:v>
                </c:pt>
                <c:pt idx="592">
                  <c:v>66.141569583813549</c:v>
                </c:pt>
                <c:pt idx="593">
                  <c:v>66.880908613141273</c:v>
                </c:pt>
                <c:pt idx="594">
                  <c:v>65.928409767307286</c:v>
                </c:pt>
                <c:pt idx="595">
                  <c:v>64.240369733158886</c:v>
                </c:pt>
                <c:pt idx="596">
                  <c:v>67.517383726888255</c:v>
                </c:pt>
                <c:pt idx="597">
                  <c:v>63.80094048773207</c:v>
                </c:pt>
                <c:pt idx="598">
                  <c:v>66.005530594940183</c:v>
                </c:pt>
                <c:pt idx="599">
                  <c:v>64.697533914594189</c:v>
                </c:pt>
                <c:pt idx="600">
                  <c:v>63.194322711192257</c:v>
                </c:pt>
                <c:pt idx="601">
                  <c:v>62.946876305082469</c:v>
                </c:pt>
                <c:pt idx="602">
                  <c:v>65.467200091869429</c:v>
                </c:pt>
                <c:pt idx="603">
                  <c:v>60.650324973272589</c:v>
                </c:pt>
                <c:pt idx="604">
                  <c:v>54.043527556693398</c:v>
                </c:pt>
                <c:pt idx="605">
                  <c:v>51.166107662474218</c:v>
                </c:pt>
                <c:pt idx="606">
                  <c:v>45.27652314199662</c:v>
                </c:pt>
                <c:pt idx="607">
                  <c:v>57.167753214417317</c:v>
                </c:pt>
                <c:pt idx="608">
                  <c:v>47.640325260954747</c:v>
                </c:pt>
                <c:pt idx="609">
                  <c:v>47.369321606742709</c:v>
                </c:pt>
                <c:pt idx="610">
                  <c:v>43.172654044781027</c:v>
                </c:pt>
                <c:pt idx="611">
                  <c:v>41.981151263487519</c:v>
                </c:pt>
                <c:pt idx="612">
                  <c:v>40.98613601282085</c:v>
                </c:pt>
                <c:pt idx="613">
                  <c:v>38.910548812664217</c:v>
                </c:pt>
                <c:pt idx="614">
                  <c:v>41.330540322672285</c:v>
                </c:pt>
                <c:pt idx="615">
                  <c:v>42.121436513970544</c:v>
                </c:pt>
                <c:pt idx="616">
                  <c:v>40.106363824827682</c:v>
                </c:pt>
                <c:pt idx="617">
                  <c:v>42.162663572849389</c:v>
                </c:pt>
                <c:pt idx="618">
                  <c:v>40.119890072828227</c:v>
                </c:pt>
                <c:pt idx="619">
                  <c:v>37.481909512479909</c:v>
                </c:pt>
                <c:pt idx="620">
                  <c:v>35.110414330464408</c:v>
                </c:pt>
                <c:pt idx="621">
                  <c:v>35.657543362934987</c:v>
                </c:pt>
                <c:pt idx="622">
                  <c:v>34.9119429097113</c:v>
                </c:pt>
                <c:pt idx="623">
                  <c:v>35.903527235955202</c:v>
                </c:pt>
                <c:pt idx="624">
                  <c:v>36.640368506321664</c:v>
                </c:pt>
                <c:pt idx="625">
                  <c:v>35.527649143445245</c:v>
                </c:pt>
                <c:pt idx="626">
                  <c:v>33.42328081731808</c:v>
                </c:pt>
                <c:pt idx="627">
                  <c:v>32.66462942436663</c:v>
                </c:pt>
                <c:pt idx="628">
                  <c:v>31.938208045761776</c:v>
                </c:pt>
                <c:pt idx="629">
                  <c:v>33.645775864553215</c:v>
                </c:pt>
                <c:pt idx="630">
                  <c:v>34.375530865754605</c:v>
                </c:pt>
                <c:pt idx="631">
                  <c:v>31.997826510224492</c:v>
                </c:pt>
                <c:pt idx="632">
                  <c:v>34.096129083083852</c:v>
                </c:pt>
                <c:pt idx="633">
                  <c:v>34.627846059918049</c:v>
                </c:pt>
                <c:pt idx="634">
                  <c:v>31.763047762026485</c:v>
                </c:pt>
                <c:pt idx="635">
                  <c:v>32.689429175828892</c:v>
                </c:pt>
                <c:pt idx="636">
                  <c:v>31.608980584527924</c:v>
                </c:pt>
                <c:pt idx="637">
                  <c:v>29.637010832801064</c:v>
                </c:pt>
                <c:pt idx="638">
                  <c:v>36.324760420654734</c:v>
                </c:pt>
                <c:pt idx="639">
                  <c:v>32.243422158585766</c:v>
                </c:pt>
                <c:pt idx="640">
                  <c:v>32.950062891204368</c:v>
                </c:pt>
                <c:pt idx="641">
                  <c:v>31.367885094712936</c:v>
                </c:pt>
                <c:pt idx="642">
                  <c:v>27.71117238576862</c:v>
                </c:pt>
                <c:pt idx="643">
                  <c:v>27.839660485143618</c:v>
                </c:pt>
                <c:pt idx="644">
                  <c:v>30.779283437714316</c:v>
                </c:pt>
                <c:pt idx="645">
                  <c:v>28.394197344851342</c:v>
                </c:pt>
                <c:pt idx="646">
                  <c:v>27.129844200299615</c:v>
                </c:pt>
                <c:pt idx="647">
                  <c:v>26.639252849115003</c:v>
                </c:pt>
                <c:pt idx="648">
                  <c:v>29.222555387244501</c:v>
                </c:pt>
                <c:pt idx="649">
                  <c:v>30.242189547368763</c:v>
                </c:pt>
                <c:pt idx="650">
                  <c:v>29.116766273721915</c:v>
                </c:pt>
                <c:pt idx="651">
                  <c:v>29.579324878864753</c:v>
                </c:pt>
                <c:pt idx="652">
                  <c:v>27.200537455879363</c:v>
                </c:pt>
                <c:pt idx="653">
                  <c:v>28.415281720708375</c:v>
                </c:pt>
                <c:pt idx="654">
                  <c:v>28.662076647560237</c:v>
                </c:pt>
                <c:pt idx="655">
                  <c:v>27.511541264145595</c:v>
                </c:pt>
                <c:pt idx="656">
                  <c:v>28.19574900120589</c:v>
                </c:pt>
                <c:pt idx="657">
                  <c:v>28.025550228219309</c:v>
                </c:pt>
                <c:pt idx="658">
                  <c:v>29.443688409584738</c:v>
                </c:pt>
                <c:pt idx="659">
                  <c:v>29.042237186148121</c:v>
                </c:pt>
                <c:pt idx="660">
                  <c:v>28.043288787446269</c:v>
                </c:pt>
                <c:pt idx="661">
                  <c:v>29.354330624283019</c:v>
                </c:pt>
                <c:pt idx="662">
                  <c:v>26.162894726791336</c:v>
                </c:pt>
                <c:pt idx="663">
                  <c:v>26.537182844368658</c:v>
                </c:pt>
                <c:pt idx="664">
                  <c:v>25.701832825466703</c:v>
                </c:pt>
                <c:pt idx="665">
                  <c:v>25.078039467639119</c:v>
                </c:pt>
                <c:pt idx="666">
                  <c:v>25.564070098525647</c:v>
                </c:pt>
                <c:pt idx="667">
                  <c:v>23.109629642525647</c:v>
                </c:pt>
                <c:pt idx="668">
                  <c:v>22.067926162611112</c:v>
                </c:pt>
                <c:pt idx="669">
                  <c:v>21.281366239668724</c:v>
                </c:pt>
                <c:pt idx="670">
                  <c:v>23.114919314617701</c:v>
                </c:pt>
                <c:pt idx="671">
                  <c:v>20.833622301957156</c:v>
                </c:pt>
                <c:pt idx="672">
                  <c:v>22.513443522871444</c:v>
                </c:pt>
                <c:pt idx="673">
                  <c:v>20.776913754502726</c:v>
                </c:pt>
                <c:pt idx="674">
                  <c:v>21.144237341783423</c:v>
                </c:pt>
                <c:pt idx="675">
                  <c:v>18.918429213513964</c:v>
                </c:pt>
                <c:pt idx="676">
                  <c:v>16.83142163085029</c:v>
                </c:pt>
                <c:pt idx="677">
                  <c:v>19.619040614474955</c:v>
                </c:pt>
                <c:pt idx="678">
                  <c:v>19.092928685171707</c:v>
                </c:pt>
                <c:pt idx="679">
                  <c:v>20.60897360411472</c:v>
                </c:pt>
                <c:pt idx="680">
                  <c:v>18.282790095270059</c:v>
                </c:pt>
                <c:pt idx="681">
                  <c:v>16.492597238012284</c:v>
                </c:pt>
                <c:pt idx="682">
                  <c:v>14.809641470103196</c:v>
                </c:pt>
                <c:pt idx="683">
                  <c:v>14.899687916077315</c:v>
                </c:pt>
                <c:pt idx="684">
                  <c:v>15.551998484658323</c:v>
                </c:pt>
                <c:pt idx="685">
                  <c:v>18.249217531528132</c:v>
                </c:pt>
                <c:pt idx="686">
                  <c:v>7.2448954998785133</c:v>
                </c:pt>
                <c:pt idx="687">
                  <c:v>17.245501941387438</c:v>
                </c:pt>
                <c:pt idx="688">
                  <c:v>17.024733348427169</c:v>
                </c:pt>
                <c:pt idx="689">
                  <c:v>17.553887862101337</c:v>
                </c:pt>
                <c:pt idx="690">
                  <c:v>17.401384602538958</c:v>
                </c:pt>
                <c:pt idx="691">
                  <c:v>20.162575633079339</c:v>
                </c:pt>
                <c:pt idx="692">
                  <c:v>21.204322039338098</c:v>
                </c:pt>
                <c:pt idx="693">
                  <c:v>19.537544146338099</c:v>
                </c:pt>
                <c:pt idx="694">
                  <c:v>19.067422772168921</c:v>
                </c:pt>
                <c:pt idx="695">
                  <c:v>19.30153199914443</c:v>
                </c:pt>
                <c:pt idx="696">
                  <c:v>18.791077555508064</c:v>
                </c:pt>
                <c:pt idx="697">
                  <c:v>16.981471580420905</c:v>
                </c:pt>
                <c:pt idx="698">
                  <c:v>18.895599854082452</c:v>
                </c:pt>
                <c:pt idx="699">
                  <c:v>21.04776519053296</c:v>
                </c:pt>
                <c:pt idx="700">
                  <c:v>21.146581582194116</c:v>
                </c:pt>
                <c:pt idx="701">
                  <c:v>20.25076194674185</c:v>
                </c:pt>
                <c:pt idx="702">
                  <c:v>23.298260980104139</c:v>
                </c:pt>
                <c:pt idx="703">
                  <c:v>25.544494469847336</c:v>
                </c:pt>
                <c:pt idx="704">
                  <c:v>26.059786615547999</c:v>
                </c:pt>
                <c:pt idx="705">
                  <c:v>24.752083862727488</c:v>
                </c:pt>
                <c:pt idx="706">
                  <c:v>24.461012937023252</c:v>
                </c:pt>
                <c:pt idx="707">
                  <c:v>24.714687563588136</c:v>
                </c:pt>
                <c:pt idx="708">
                  <c:v>22.920920538577583</c:v>
                </c:pt>
                <c:pt idx="709">
                  <c:v>24.713694754932522</c:v>
                </c:pt>
                <c:pt idx="710">
                  <c:v>22.045221176613573</c:v>
                </c:pt>
                <c:pt idx="711">
                  <c:v>20.796943514327047</c:v>
                </c:pt>
                <c:pt idx="712">
                  <c:v>21.207189709671869</c:v>
                </c:pt>
                <c:pt idx="713">
                  <c:v>23.488130136263891</c:v>
                </c:pt>
                <c:pt idx="714">
                  <c:v>21.259465864912087</c:v>
                </c:pt>
                <c:pt idx="715">
                  <c:v>21.107615590922766</c:v>
                </c:pt>
                <c:pt idx="716">
                  <c:v>19.376300017467184</c:v>
                </c:pt>
                <c:pt idx="717">
                  <c:v>16.832527496901964</c:v>
                </c:pt>
                <c:pt idx="718">
                  <c:v>16.775998587799258</c:v>
                </c:pt>
                <c:pt idx="719">
                  <c:v>15.626349996774568</c:v>
                </c:pt>
                <c:pt idx="720">
                  <c:v>14.68794271230235</c:v>
                </c:pt>
                <c:pt idx="721">
                  <c:v>16.792716269381998</c:v>
                </c:pt>
                <c:pt idx="722">
                  <c:v>15.206575404139672</c:v>
                </c:pt>
                <c:pt idx="723">
                  <c:v>13.079670701571985</c:v>
                </c:pt>
                <c:pt idx="724">
                  <c:v>12.93904818164069</c:v>
                </c:pt>
                <c:pt idx="725">
                  <c:v>12.037389302220463</c:v>
                </c:pt>
                <c:pt idx="726">
                  <c:v>15.107197438614168</c:v>
                </c:pt>
                <c:pt idx="727">
                  <c:v>13.680351729988873</c:v>
                </c:pt>
                <c:pt idx="728">
                  <c:v>14.753110080634031</c:v>
                </c:pt>
                <c:pt idx="729">
                  <c:v>12.342357156727772</c:v>
                </c:pt>
                <c:pt idx="730">
                  <c:v>16.35180885308003</c:v>
                </c:pt>
                <c:pt idx="731">
                  <c:v>12.757421143384736</c:v>
                </c:pt>
                <c:pt idx="732">
                  <c:v>11.027810512730653</c:v>
                </c:pt>
                <c:pt idx="733">
                  <c:v>9.5814557491442702</c:v>
                </c:pt>
                <c:pt idx="734">
                  <c:v>10.539115003669693</c:v>
                </c:pt>
                <c:pt idx="735">
                  <c:v>8.9090464806597964</c:v>
                </c:pt>
                <c:pt idx="736">
                  <c:v>9.7590969451334768</c:v>
                </c:pt>
                <c:pt idx="737">
                  <c:v>10.000448631985329</c:v>
                </c:pt>
                <c:pt idx="738">
                  <c:v>8.5733586355989004</c:v>
                </c:pt>
                <c:pt idx="739">
                  <c:v>7.6972216414980617</c:v>
                </c:pt>
                <c:pt idx="740">
                  <c:v>9.4831375160882931</c:v>
                </c:pt>
                <c:pt idx="741">
                  <c:v>8.7571530776618278</c:v>
                </c:pt>
                <c:pt idx="742">
                  <c:v>6.7697470866555856</c:v>
                </c:pt>
                <c:pt idx="743">
                  <c:v>6.828573093582099</c:v>
                </c:pt>
                <c:pt idx="744">
                  <c:v>4.6174761320495854</c:v>
                </c:pt>
                <c:pt idx="745">
                  <c:v>1.952176677660326</c:v>
                </c:pt>
                <c:pt idx="746">
                  <c:v>2.341740021268329</c:v>
                </c:pt>
                <c:pt idx="747">
                  <c:v>1.5976105062683295</c:v>
                </c:pt>
                <c:pt idx="748">
                  <c:v>1.9842568209805576</c:v>
                </c:pt>
                <c:pt idx="749">
                  <c:v>0.59440075824611882</c:v>
                </c:pt>
                <c:pt idx="750">
                  <c:v>0.13827573227982939</c:v>
                </c:pt>
                <c:pt idx="751">
                  <c:v>1.6326096827747396</c:v>
                </c:pt>
                <c:pt idx="752">
                  <c:v>2.2018750318923974</c:v>
                </c:pt>
                <c:pt idx="753">
                  <c:v>0.92045875766680707</c:v>
                </c:pt>
                <c:pt idx="754">
                  <c:v>1.093347399759401</c:v>
                </c:pt>
                <c:pt idx="755">
                  <c:v>0.77498258706606815</c:v>
                </c:pt>
                <c:pt idx="756">
                  <c:v>3.2491201427971926E-2</c:v>
                </c:pt>
                <c:pt idx="757">
                  <c:v>0.12473279918182099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7C-43FF-9A1E-38967928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212143"/>
        <c:axId val="946211311"/>
      </c:lineChart>
      <c:dateAx>
        <c:axId val="946212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11311"/>
        <c:crosses val="autoZero"/>
        <c:auto val="1"/>
        <c:lblOffset val="100"/>
        <c:baseTimeUnit val="days"/>
      </c:dateAx>
      <c:valAx>
        <c:axId val="94621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12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E3C996D-1ED0-467C-8EBD-64ED79F5E8FE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2006A8-CADE-43B2-BBDA-F998E2F1C01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3.101</v>
      </c>
      <c r="D2" s="4">
        <f>MIN(D3:D1912)</f>
        <v>1.7649999999999999E-2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1.0780000000000001</v>
      </c>
      <c r="C5">
        <v>1.08</v>
      </c>
      <c r="D5">
        <v>1.036</v>
      </c>
      <c r="E5">
        <v>1.0369999999999999</v>
      </c>
      <c r="F5">
        <v>15095821.4</v>
      </c>
      <c r="G5">
        <v>1.0369999999999999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-0.95454545454545958</v>
      </c>
      <c r="Q5">
        <f t="shared" ref="Q5" si="1">F5*P5</f>
        <v>-14409647.700000076</v>
      </c>
      <c r="R5">
        <f t="shared" ref="R5" si="2">R6+Q5</f>
        <v>41547000983.663338</v>
      </c>
      <c r="S5">
        <f t="shared" ref="S5" si="3">R5/100000</f>
        <v>415470.0098366334</v>
      </c>
      <c r="T5">
        <f t="shared" ref="T5" si="4">S5/1000</f>
        <v>415.47000983663338</v>
      </c>
    </row>
    <row r="6" spans="1:20" x14ac:dyDescent="0.25">
      <c r="A6" s="5">
        <v>44587</v>
      </c>
      <c r="B6">
        <v>1.0429999999999999</v>
      </c>
      <c r="C6">
        <v>1.157</v>
      </c>
      <c r="D6">
        <v>1.022</v>
      </c>
      <c r="E6">
        <v>1.077</v>
      </c>
      <c r="F6">
        <v>336503954.89999998</v>
      </c>
      <c r="G6">
        <v>1.077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-0.18518518518518615</v>
      </c>
      <c r="Q6">
        <f t="shared" ref="Q6" si="6">F6*P6</f>
        <v>-62315547.203704022</v>
      </c>
      <c r="R6">
        <f t="shared" ref="R6" si="7">R7+Q6</f>
        <v>41561410631.363335</v>
      </c>
      <c r="S6">
        <f t="shared" ref="S6" si="8">R6/100000</f>
        <v>415614.10631363333</v>
      </c>
      <c r="T6">
        <f t="shared" ref="T6" si="9">S6/1000</f>
        <v>415.61410631363333</v>
      </c>
    </row>
    <row r="7" spans="1:20" x14ac:dyDescent="0.25">
      <c r="A7" s="5">
        <v>44586</v>
      </c>
      <c r="B7">
        <v>1.0660000000000001</v>
      </c>
      <c r="C7">
        <v>1.0740000000000001</v>
      </c>
      <c r="D7">
        <v>0.99099999999999999</v>
      </c>
      <c r="E7">
        <v>1.0429999999999999</v>
      </c>
      <c r="F7">
        <v>218828333.30000001</v>
      </c>
      <c r="G7">
        <v>1.0429999999999999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0.2530120481927684</v>
      </c>
      <c r="Q7">
        <f t="shared" ref="Q7" si="11">F7*P7</f>
        <v>55366204.81084279</v>
      </c>
      <c r="R7">
        <f t="shared" ref="R7" si="12">R8+Q7</f>
        <v>41623726178.567039</v>
      </c>
      <c r="S7">
        <f t="shared" ref="S7" si="13">R7/100000</f>
        <v>416237.26178567042</v>
      </c>
      <c r="T7">
        <f t="shared" ref="T7" si="14">S7/1000</f>
        <v>416.2372617856704</v>
      </c>
    </row>
    <row r="8" spans="1:20" x14ac:dyDescent="0.25">
      <c r="A8" s="5">
        <v>44585</v>
      </c>
      <c r="B8">
        <v>1.1240000000000001</v>
      </c>
      <c r="C8">
        <v>1.125</v>
      </c>
      <c r="D8">
        <v>0.95099999999999996</v>
      </c>
      <c r="E8">
        <v>1.0649999999999999</v>
      </c>
      <c r="F8">
        <v>437410320</v>
      </c>
      <c r="G8">
        <v>1.0649999999999999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0.31034482758620646</v>
      </c>
      <c r="Q8">
        <f t="shared" ref="Q8" si="16">F8*P8</f>
        <v>135748030.34482738</v>
      </c>
      <c r="R8">
        <f t="shared" ref="R8" si="17">R9+Q8</f>
        <v>41568359973.756195</v>
      </c>
      <c r="S8">
        <f t="shared" ref="S8" si="18">R8/100000</f>
        <v>415683.59973756195</v>
      </c>
      <c r="T8">
        <f t="shared" ref="T8" si="19">S8/1000</f>
        <v>415.68359973756196</v>
      </c>
    </row>
    <row r="9" spans="1:20" x14ac:dyDescent="0.25">
      <c r="A9" s="5">
        <v>44584</v>
      </c>
      <c r="B9">
        <v>1.071</v>
      </c>
      <c r="C9">
        <v>1.17</v>
      </c>
      <c r="D9">
        <v>1.0509999999999999</v>
      </c>
      <c r="E9">
        <v>1.1240000000000001</v>
      </c>
      <c r="F9">
        <v>257147931.5</v>
      </c>
      <c r="G9">
        <v>1.1240000000000001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0.22689075630252403</v>
      </c>
      <c r="Q9">
        <f t="shared" ref="Q9" si="21">F9*P9</f>
        <v>58344488.659664646</v>
      </c>
      <c r="R9">
        <f t="shared" ref="R9" si="22">R10+Q9</f>
        <v>41432611943.411369</v>
      </c>
      <c r="S9">
        <f t="shared" ref="S9" si="23">R9/100000</f>
        <v>414326.11943411367</v>
      </c>
      <c r="T9">
        <f t="shared" ref="T9" si="24">S9/1000</f>
        <v>414.32611943411365</v>
      </c>
    </row>
    <row r="10" spans="1:20" x14ac:dyDescent="0.25">
      <c r="A10" s="5">
        <v>44583</v>
      </c>
      <c r="B10">
        <v>1.1200000000000001</v>
      </c>
      <c r="C10">
        <v>1.155</v>
      </c>
      <c r="D10">
        <v>0.91700000000000004</v>
      </c>
      <c r="E10">
        <v>1.071</v>
      </c>
      <c r="F10">
        <v>554287709.12</v>
      </c>
      <c r="G10">
        <v>1.071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0.29411764705882287</v>
      </c>
      <c r="Q10">
        <f t="shared" ref="Q10" si="26">F10*P10</f>
        <v>163025796.79999962</v>
      </c>
      <c r="R10">
        <f t="shared" ref="R10" si="27">R11+Q10</f>
        <v>41374267454.751701</v>
      </c>
      <c r="S10">
        <f t="shared" ref="S10" si="28">R10/100000</f>
        <v>413742.67454751703</v>
      </c>
      <c r="T10">
        <f t="shared" ref="T10" si="29">S10/1000</f>
        <v>413.74267454751703</v>
      </c>
    </row>
    <row r="11" spans="1:20" x14ac:dyDescent="0.25">
      <c r="A11" s="5">
        <v>44582</v>
      </c>
      <c r="B11">
        <v>1.2589999999999999</v>
      </c>
      <c r="C11">
        <v>1.282</v>
      </c>
      <c r="D11">
        <v>1.101</v>
      </c>
      <c r="E11">
        <v>1.1200000000000001</v>
      </c>
      <c r="F11">
        <v>408519522.39999998</v>
      </c>
      <c r="G11">
        <v>1.1200000000000001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-0.79005524861878318</v>
      </c>
      <c r="Q11">
        <f t="shared" ref="Q11" si="31">F11*P11</f>
        <v>-322752992.83535856</v>
      </c>
      <c r="R11">
        <f t="shared" ref="R11" si="32">R12+Q11</f>
        <v>41211241657.951698</v>
      </c>
      <c r="S11">
        <f t="shared" ref="S11" si="33">R11/100000</f>
        <v>412112.41657951701</v>
      </c>
      <c r="T11">
        <f t="shared" ref="T11" si="34">S11/1000</f>
        <v>412.112416579517</v>
      </c>
    </row>
    <row r="12" spans="1:20" x14ac:dyDescent="0.25">
      <c r="A12" s="5">
        <v>44581</v>
      </c>
      <c r="B12">
        <v>1.3360000000000001</v>
      </c>
      <c r="C12">
        <v>1.427</v>
      </c>
      <c r="D12">
        <v>1.2509999999999999</v>
      </c>
      <c r="E12">
        <v>1.2589999999999999</v>
      </c>
      <c r="F12">
        <v>261063307.30000001</v>
      </c>
      <c r="G12">
        <v>1.2589999999999999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-0.90909090909090906</v>
      </c>
      <c r="Q12">
        <f t="shared" ref="Q12" si="36">F12*P12</f>
        <v>-237330279.36363637</v>
      </c>
      <c r="R12">
        <f t="shared" ref="R12" si="37">R13+Q12</f>
        <v>41533994650.787056</v>
      </c>
      <c r="S12">
        <f t="shared" ref="S12" si="38">R12/100000</f>
        <v>415339.94650787057</v>
      </c>
      <c r="T12">
        <f t="shared" ref="T12" si="39">S12/1000</f>
        <v>415.33994650787059</v>
      </c>
    </row>
    <row r="13" spans="1:20" x14ac:dyDescent="0.25">
      <c r="A13" s="5">
        <v>44580</v>
      </c>
      <c r="B13">
        <v>1.458</v>
      </c>
      <c r="C13">
        <v>1.534</v>
      </c>
      <c r="D13">
        <v>1.3260000000000001</v>
      </c>
      <c r="E13">
        <v>1.337</v>
      </c>
      <c r="F13">
        <v>329948716.39999998</v>
      </c>
      <c r="G13">
        <v>1.337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-0.89423076923077016</v>
      </c>
      <c r="Q13">
        <f t="shared" ref="Q13" si="41">F13*P13</f>
        <v>-295050294.47307724</v>
      </c>
      <c r="R13">
        <f t="shared" ref="R13" si="42">R14+Q13</f>
        <v>41771324930.150696</v>
      </c>
      <c r="S13">
        <f t="shared" ref="S13" si="43">R13/100000</f>
        <v>417713.24930150696</v>
      </c>
      <c r="T13">
        <f t="shared" ref="T13" si="44">S13/1000</f>
        <v>417.71324930150695</v>
      </c>
    </row>
    <row r="14" spans="1:20" x14ac:dyDescent="0.25">
      <c r="A14" s="5">
        <v>44579</v>
      </c>
      <c r="B14">
        <v>1.6020000000000001</v>
      </c>
      <c r="C14">
        <v>1.6379999999999999</v>
      </c>
      <c r="D14">
        <v>1.411</v>
      </c>
      <c r="E14">
        <v>1.458</v>
      </c>
      <c r="F14">
        <v>455931199.80000001</v>
      </c>
      <c r="G14">
        <v>1.458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-0.58590308370044086</v>
      </c>
      <c r="Q14">
        <f t="shared" ref="Q14" si="46">F14*P14</f>
        <v>-267131495.91806182</v>
      </c>
      <c r="R14">
        <f t="shared" ref="R14" si="47">R15+Q14</f>
        <v>42066375224.623772</v>
      </c>
      <c r="S14">
        <f t="shared" ref="S14" si="48">R14/100000</f>
        <v>420663.75224623771</v>
      </c>
      <c r="T14">
        <f t="shared" ref="T14" si="49">S14/1000</f>
        <v>420.66375224623772</v>
      </c>
    </row>
    <row r="15" spans="1:20" x14ac:dyDescent="0.25">
      <c r="A15" s="5">
        <v>44578</v>
      </c>
      <c r="B15">
        <v>1.411</v>
      </c>
      <c r="C15">
        <v>1.607</v>
      </c>
      <c r="D15">
        <v>1.3859999999999999</v>
      </c>
      <c r="E15">
        <v>1.603</v>
      </c>
      <c r="F15">
        <v>545675409.10000002</v>
      </c>
      <c r="G15">
        <v>1.603</v>
      </c>
      <c r="L15" t="s">
        <v>8</v>
      </c>
      <c r="M15" t="s">
        <v>8</v>
      </c>
      <c r="N15" t="s">
        <v>8</v>
      </c>
      <c r="P15">
        <f t="shared" ref="P15" si="50">IF(C15=D15,0,((E15-D15)-(C15-E15))/(C15-D15))</f>
        <v>0.96380090497737558</v>
      </c>
      <c r="Q15">
        <f t="shared" ref="Q15" si="51">F15*P15</f>
        <v>525922453.11447966</v>
      </c>
      <c r="R15">
        <f t="shared" ref="R15" si="52">R16+Q15</f>
        <v>42333506720.541832</v>
      </c>
      <c r="S15">
        <f t="shared" ref="S15" si="53">R15/100000</f>
        <v>423335.06720541831</v>
      </c>
      <c r="T15">
        <f t="shared" ref="T15" si="54">S15/1000</f>
        <v>423.33506720541828</v>
      </c>
    </row>
    <row r="16" spans="1:20" x14ac:dyDescent="0.25">
      <c r="A16" s="5">
        <v>44577</v>
      </c>
      <c r="B16">
        <v>1.292</v>
      </c>
      <c r="C16">
        <v>1.4219999999999999</v>
      </c>
      <c r="D16">
        <v>1.286</v>
      </c>
      <c r="E16">
        <v>1.41</v>
      </c>
      <c r="F16">
        <v>247977037.40000001</v>
      </c>
      <c r="G16">
        <v>1.41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0.82352941176470562</v>
      </c>
      <c r="Q16">
        <f t="shared" ref="Q16" si="56">F16*P16</f>
        <v>204216383.7411764</v>
      </c>
      <c r="R16">
        <f t="shared" ref="R16" si="57">R17+Q16</f>
        <v>41807584267.427353</v>
      </c>
      <c r="S16">
        <f t="shared" ref="S16" si="58">R16/100000</f>
        <v>418075.84267427353</v>
      </c>
      <c r="T16">
        <f t="shared" ref="T16" si="59">S16/1000</f>
        <v>418.07584267427353</v>
      </c>
    </row>
    <row r="17" spans="1:20" x14ac:dyDescent="0.25">
      <c r="A17" s="5">
        <v>44576</v>
      </c>
      <c r="B17">
        <v>1.2929999999999999</v>
      </c>
      <c r="C17">
        <v>1.319</v>
      </c>
      <c r="D17">
        <v>1.2509999999999999</v>
      </c>
      <c r="E17">
        <v>1.2909999999999999</v>
      </c>
      <c r="F17">
        <v>80421836.400000006</v>
      </c>
      <c r="G17">
        <v>1.2909999999999999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0.17647058823529413</v>
      </c>
      <c r="Q17">
        <f t="shared" ref="Q17" si="61">F17*P17</f>
        <v>14192088.77647059</v>
      </c>
      <c r="R17">
        <f t="shared" ref="R17" si="62">R18+Q17</f>
        <v>41603367883.68618</v>
      </c>
      <c r="S17">
        <f t="shared" ref="S17" si="63">R17/100000</f>
        <v>416033.6788368618</v>
      </c>
      <c r="T17">
        <f t="shared" ref="T17" si="64">S17/1000</f>
        <v>416.03367883686178</v>
      </c>
    </row>
    <row r="18" spans="1:20" x14ac:dyDescent="0.25">
      <c r="A18" s="5">
        <v>44575</v>
      </c>
      <c r="B18">
        <v>1.232</v>
      </c>
      <c r="C18">
        <v>1.3089999999999999</v>
      </c>
      <c r="D18">
        <v>1.22</v>
      </c>
      <c r="E18">
        <v>1.292</v>
      </c>
      <c r="F18">
        <v>143281596.5</v>
      </c>
      <c r="G18">
        <v>1.292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0.6179775280898897</v>
      </c>
      <c r="Q18">
        <f t="shared" ref="Q18" si="66">F18*P18</f>
        <v>88544806.825842991</v>
      </c>
      <c r="R18">
        <f t="shared" ref="R18" si="67">R19+Q18</f>
        <v>41589175794.909706</v>
      </c>
      <c r="S18">
        <f t="shared" ref="S18" si="68">R18/100000</f>
        <v>415891.75794909708</v>
      </c>
      <c r="T18">
        <f t="shared" ref="T18" si="69">S18/1000</f>
        <v>415.8917579490971</v>
      </c>
    </row>
    <row r="19" spans="1:20" x14ac:dyDescent="0.25">
      <c r="A19" s="5">
        <v>44574</v>
      </c>
      <c r="B19">
        <v>1.3120000000000001</v>
      </c>
      <c r="C19">
        <v>1.3540000000000001</v>
      </c>
      <c r="D19">
        <v>1.2270000000000001</v>
      </c>
      <c r="E19">
        <v>1.2330000000000001</v>
      </c>
      <c r="F19">
        <v>179029543.59999999</v>
      </c>
      <c r="G19">
        <v>1.2330000000000001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-0.90551181102362199</v>
      </c>
      <c r="Q19">
        <f t="shared" ref="Q19" si="71">F19*P19</f>
        <v>-162113366.2519685</v>
      </c>
      <c r="R19">
        <f t="shared" ref="R19" si="72">R20+Q19</f>
        <v>41500630988.083862</v>
      </c>
      <c r="S19">
        <f t="shared" ref="S19" si="73">R19/100000</f>
        <v>415006.30988083861</v>
      </c>
      <c r="T19">
        <f t="shared" ref="T19" si="74">S19/1000</f>
        <v>415.00630988083861</v>
      </c>
    </row>
    <row r="20" spans="1:20" x14ac:dyDescent="0.25">
      <c r="A20" s="5">
        <v>44573</v>
      </c>
      <c r="B20">
        <v>1.1879999999999999</v>
      </c>
      <c r="C20">
        <v>1.3140000000000001</v>
      </c>
      <c r="D20">
        <v>1.1859999999999999</v>
      </c>
      <c r="E20">
        <v>1.3120000000000001</v>
      </c>
      <c r="F20">
        <v>145608592.69999999</v>
      </c>
      <c r="G20">
        <v>1.3120000000000001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0.96875</v>
      </c>
      <c r="Q20">
        <f t="shared" ref="Q20" si="76">F20*P20</f>
        <v>141058324.17812499</v>
      </c>
      <c r="R20">
        <f t="shared" ref="R20" si="77">R21+Q20</f>
        <v>41662744354.335831</v>
      </c>
      <c r="S20">
        <f t="shared" ref="S20" si="78">R20/100000</f>
        <v>416627.4435433583</v>
      </c>
      <c r="T20">
        <f t="shared" ref="T20" si="79">S20/1000</f>
        <v>416.62744354335831</v>
      </c>
    </row>
    <row r="21" spans="1:20" x14ac:dyDescent="0.25">
      <c r="A21" s="5">
        <v>44572</v>
      </c>
      <c r="B21">
        <v>1.123</v>
      </c>
      <c r="C21">
        <v>1.196</v>
      </c>
      <c r="D21">
        <v>1.1220000000000001</v>
      </c>
      <c r="E21">
        <v>1.1870000000000001</v>
      </c>
      <c r="F21">
        <v>115267098.7</v>
      </c>
      <c r="G21">
        <v>1.1870000000000001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0.75675675675675902</v>
      </c>
      <c r="Q21">
        <f t="shared" ref="Q21" si="81">F21*P21</f>
        <v>87229155.772973239</v>
      </c>
      <c r="R21">
        <f t="shared" ref="R21" si="82">R22+Q21</f>
        <v>41521686030.157707</v>
      </c>
      <c r="S21">
        <f t="shared" ref="S21" si="83">R21/100000</f>
        <v>415216.86030157708</v>
      </c>
      <c r="T21">
        <f t="shared" ref="T21" si="84">S21/1000</f>
        <v>415.21686030157707</v>
      </c>
    </row>
    <row r="22" spans="1:20" x14ac:dyDescent="0.25">
      <c r="A22" s="5">
        <v>44571</v>
      </c>
      <c r="B22">
        <v>1.17</v>
      </c>
      <c r="C22">
        <v>1.181</v>
      </c>
      <c r="D22">
        <v>1.069</v>
      </c>
      <c r="E22">
        <v>1.123</v>
      </c>
      <c r="F22">
        <v>189250644.13999999</v>
      </c>
      <c r="G22">
        <v>1.123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-3.5714285714285712E-2</v>
      </c>
      <c r="Q22">
        <f t="shared" ref="Q22" si="86">F22*P22</f>
        <v>-6758951.5764285708</v>
      </c>
      <c r="R22">
        <f t="shared" ref="R22" si="87">R23+Q22</f>
        <v>41434456874.384735</v>
      </c>
      <c r="S22">
        <f t="shared" ref="S22" si="88">R22/100000</f>
        <v>414344.56874384737</v>
      </c>
      <c r="T22">
        <f t="shared" ref="T22" si="89">S22/1000</f>
        <v>414.34456874384739</v>
      </c>
    </row>
    <row r="23" spans="1:20" x14ac:dyDescent="0.25">
      <c r="A23" s="5">
        <v>44570</v>
      </c>
      <c r="B23">
        <v>1.1819999999999999</v>
      </c>
      <c r="C23">
        <v>1.206</v>
      </c>
      <c r="D23">
        <v>1.147</v>
      </c>
      <c r="E23">
        <v>1.17</v>
      </c>
      <c r="F23">
        <v>114093699.40000001</v>
      </c>
      <c r="G23">
        <v>1.17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-0.22033898305084976</v>
      </c>
      <c r="Q23">
        <f t="shared" ref="Q23" si="91">F23*P23</f>
        <v>-25139289.69830535</v>
      </c>
      <c r="R23">
        <f t="shared" ref="R23" si="92">R24+Q23</f>
        <v>41441215825.961166</v>
      </c>
      <c r="S23">
        <f t="shared" ref="S23" si="93">R23/100000</f>
        <v>414412.15825961164</v>
      </c>
      <c r="T23">
        <f t="shared" ref="T23" si="94">S23/1000</f>
        <v>414.41215825961166</v>
      </c>
    </row>
    <row r="24" spans="1:20" x14ac:dyDescent="0.25">
      <c r="A24" s="5">
        <v>44569</v>
      </c>
      <c r="B24">
        <v>1.2090000000000001</v>
      </c>
      <c r="C24">
        <v>1.254</v>
      </c>
      <c r="D24">
        <v>1.1240000000000001</v>
      </c>
      <c r="E24">
        <v>1.181</v>
      </c>
      <c r="F24">
        <v>169730473.68000001</v>
      </c>
      <c r="G24">
        <v>1.181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-0.12307692307692329</v>
      </c>
      <c r="Q24">
        <f t="shared" ref="Q24" si="96">F24*P24</f>
        <v>-20889904.452923115</v>
      </c>
      <c r="R24">
        <f t="shared" ref="R24" si="97">R25+Q24</f>
        <v>41466355115.65947</v>
      </c>
      <c r="S24">
        <f t="shared" ref="S24" si="98">R24/100000</f>
        <v>414663.55115659471</v>
      </c>
      <c r="T24">
        <f t="shared" ref="T24" si="99">S24/1000</f>
        <v>414.66355115659474</v>
      </c>
    </row>
    <row r="25" spans="1:20" x14ac:dyDescent="0.25">
      <c r="A25" s="5">
        <v>44568</v>
      </c>
      <c r="B25">
        <v>1.2789999999999999</v>
      </c>
      <c r="C25">
        <v>1.2849999999999999</v>
      </c>
      <c r="D25">
        <v>1.1890000000000001</v>
      </c>
      <c r="E25">
        <v>1.21</v>
      </c>
      <c r="F25">
        <v>209806013.19999999</v>
      </c>
      <c r="G25">
        <v>1.21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-0.56250000000000133</v>
      </c>
      <c r="Q25">
        <f t="shared" ref="Q25" si="101">F25*P25</f>
        <v>-118015882.42500028</v>
      </c>
      <c r="R25">
        <f t="shared" ref="R25" si="102">R26+Q25</f>
        <v>41487245020.112396</v>
      </c>
      <c r="S25">
        <f t="shared" ref="S25" si="103">R25/100000</f>
        <v>414872.45020112395</v>
      </c>
      <c r="T25">
        <f t="shared" ref="T25" si="104">S25/1000</f>
        <v>414.87245020112397</v>
      </c>
    </row>
    <row r="26" spans="1:20" x14ac:dyDescent="0.25">
      <c r="A26" s="5">
        <v>44567</v>
      </c>
      <c r="B26">
        <v>1.23</v>
      </c>
      <c r="C26">
        <v>1.2969999999999999</v>
      </c>
      <c r="D26">
        <v>1.1859999999999999</v>
      </c>
      <c r="E26">
        <v>1.28</v>
      </c>
      <c r="F26">
        <v>175754407.59999999</v>
      </c>
      <c r="G26">
        <v>1.28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0.69369369369369538</v>
      </c>
      <c r="Q26">
        <f t="shared" ref="Q26" si="106">F26*P26</f>
        <v>121919724.19099128</v>
      </c>
      <c r="R26">
        <f t="shared" ref="R26" si="107">R27+Q26</f>
        <v>41605260902.537399</v>
      </c>
      <c r="S26">
        <f t="shared" ref="S26" si="108">R26/100000</f>
        <v>416052.609025374</v>
      </c>
      <c r="T26">
        <f t="shared" ref="T26" si="109">S26/1000</f>
        <v>416.05260902537401</v>
      </c>
    </row>
    <row r="27" spans="1:20" x14ac:dyDescent="0.25">
      <c r="A27" s="5">
        <v>44566</v>
      </c>
      <c r="B27">
        <v>1.31</v>
      </c>
      <c r="C27">
        <v>1.353</v>
      </c>
      <c r="D27">
        <v>1.1930000000000001</v>
      </c>
      <c r="E27">
        <v>1.23</v>
      </c>
      <c r="F27">
        <v>158740088.19999999</v>
      </c>
      <c r="G27">
        <v>1.23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-0.53750000000000075</v>
      </c>
      <c r="Q27">
        <f t="shared" ref="Q27" si="111">F27*P27</f>
        <v>-85322797.407500118</v>
      </c>
      <c r="R27">
        <f t="shared" ref="R27" si="112">R28+Q27</f>
        <v>41483341178.346405</v>
      </c>
      <c r="S27">
        <f t="shared" ref="S27" si="113">R27/100000</f>
        <v>414833.41178346408</v>
      </c>
      <c r="T27">
        <f t="shared" ref="T27" si="114">S27/1000</f>
        <v>414.8334117834641</v>
      </c>
    </row>
    <row r="28" spans="1:20" x14ac:dyDescent="0.25">
      <c r="A28" s="5">
        <v>44565</v>
      </c>
      <c r="B28">
        <v>1.319</v>
      </c>
      <c r="C28">
        <v>1.3520000000000001</v>
      </c>
      <c r="D28">
        <v>1.2949999999999999</v>
      </c>
      <c r="E28">
        <v>1.3089999999999999</v>
      </c>
      <c r="F28">
        <v>94479305.900000006</v>
      </c>
      <c r="G28">
        <v>1.3089999999999999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-0.50877192982456232</v>
      </c>
      <c r="Q28">
        <f t="shared" ref="Q28" si="116">F28*P28</f>
        <v>-48068418.79122816</v>
      </c>
      <c r="R28">
        <f t="shared" ref="R28" si="117">R29+Q28</f>
        <v>41568663975.753906</v>
      </c>
      <c r="S28">
        <f t="shared" ref="S28" si="118">R28/100000</f>
        <v>415686.63975753909</v>
      </c>
      <c r="T28">
        <f t="shared" ref="T28" si="119">S28/1000</f>
        <v>415.68663975753907</v>
      </c>
    </row>
    <row r="29" spans="1:20" x14ac:dyDescent="0.25">
      <c r="A29" s="5">
        <v>44564</v>
      </c>
      <c r="B29">
        <v>1.3779999999999999</v>
      </c>
      <c r="C29">
        <v>1.3779999999999999</v>
      </c>
      <c r="D29">
        <v>1.31</v>
      </c>
      <c r="E29">
        <v>1.319</v>
      </c>
      <c r="F29">
        <v>87155825.900000006</v>
      </c>
      <c r="G29">
        <v>1.319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-0.73529411764706121</v>
      </c>
      <c r="Q29">
        <f t="shared" ref="Q29" si="121">F29*P29</f>
        <v>-64085166.102941386</v>
      </c>
      <c r="R29">
        <f t="shared" ref="R29" si="122">R30+Q29</f>
        <v>41616732394.545135</v>
      </c>
      <c r="S29">
        <f t="shared" ref="S29" si="123">R29/100000</f>
        <v>416167.32394545135</v>
      </c>
      <c r="T29">
        <f t="shared" ref="T29" si="124">S29/1000</f>
        <v>416.16732394545136</v>
      </c>
    </row>
    <row r="30" spans="1:20" x14ac:dyDescent="0.25">
      <c r="A30" s="5">
        <v>44563</v>
      </c>
      <c r="B30">
        <v>1.379</v>
      </c>
      <c r="C30">
        <v>1.391</v>
      </c>
      <c r="D30">
        <v>1.3420000000000001</v>
      </c>
      <c r="E30">
        <v>1.377</v>
      </c>
      <c r="F30">
        <v>81011860.400000006</v>
      </c>
      <c r="G30">
        <v>1.377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0.42857142857142727</v>
      </c>
      <c r="Q30">
        <f t="shared" ref="Q30" si="126">F30*P30</f>
        <v>34719368.742857039</v>
      </c>
      <c r="R30">
        <f t="shared" ref="R30" si="127">R31+Q30</f>
        <v>41680817560.648079</v>
      </c>
      <c r="S30">
        <f t="shared" ref="S30" si="128">R30/100000</f>
        <v>416808.1756064808</v>
      </c>
      <c r="T30">
        <f t="shared" ref="T30" si="129">S30/1000</f>
        <v>416.8081756064808</v>
      </c>
    </row>
    <row r="31" spans="1:20" x14ac:dyDescent="0.25">
      <c r="A31" s="5">
        <v>44562</v>
      </c>
      <c r="B31">
        <v>1.3080000000000001</v>
      </c>
      <c r="C31">
        <v>1.38</v>
      </c>
      <c r="D31">
        <v>1.306</v>
      </c>
      <c r="E31">
        <v>1.38</v>
      </c>
      <c r="F31">
        <v>69007607.5</v>
      </c>
      <c r="G31">
        <v>1.38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1</v>
      </c>
      <c r="Q31">
        <f t="shared" ref="Q31" si="131">F31*P31</f>
        <v>69007607.5</v>
      </c>
      <c r="R31">
        <f t="shared" ref="R31" si="132">R32+Q31</f>
        <v>41646098191.90522</v>
      </c>
      <c r="S31">
        <f t="shared" ref="S31" si="133">R31/100000</f>
        <v>416460.9819190522</v>
      </c>
      <c r="T31">
        <f t="shared" ref="T31" si="134">S31/1000</f>
        <v>416.46098191905219</v>
      </c>
    </row>
    <row r="32" spans="1:20" x14ac:dyDescent="0.25">
      <c r="A32" s="5">
        <v>44561</v>
      </c>
      <c r="B32">
        <v>1.359</v>
      </c>
      <c r="C32">
        <v>1.383</v>
      </c>
      <c r="D32">
        <v>1.2809999999999999</v>
      </c>
      <c r="E32">
        <v>1.3080000000000001</v>
      </c>
      <c r="F32">
        <v>120612337.3</v>
      </c>
      <c r="G32">
        <v>1.3080000000000001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-0.47058823529411548</v>
      </c>
      <c r="Q32">
        <f t="shared" ref="Q32" si="136">F32*P32</f>
        <v>-56758746.964705616</v>
      </c>
      <c r="R32">
        <f t="shared" ref="R32" si="137">R33+Q32</f>
        <v>41577090584.40522</v>
      </c>
      <c r="S32">
        <f t="shared" ref="S32" si="138">R32/100000</f>
        <v>415770.90584405221</v>
      </c>
      <c r="T32">
        <f t="shared" ref="T32" si="139">S32/1000</f>
        <v>415.77090584405221</v>
      </c>
    </row>
    <row r="33" spans="1:20" x14ac:dyDescent="0.25">
      <c r="A33" s="5">
        <v>44560</v>
      </c>
      <c r="B33">
        <v>1.333</v>
      </c>
      <c r="C33">
        <v>1.3779999999999999</v>
      </c>
      <c r="D33">
        <v>1.2969999999999999</v>
      </c>
      <c r="E33">
        <v>1.359</v>
      </c>
      <c r="F33">
        <v>134171567.8</v>
      </c>
      <c r="G33">
        <v>1.359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0.53086419753086633</v>
      </c>
      <c r="Q33">
        <f t="shared" ref="Q33" si="141">F33*P33</f>
        <v>71226881.671605229</v>
      </c>
      <c r="R33">
        <f t="shared" ref="R33" si="142">R34+Q33</f>
        <v>41633849331.369926</v>
      </c>
      <c r="S33">
        <f t="shared" ref="S33" si="143">R33/100000</f>
        <v>416338.49331369926</v>
      </c>
      <c r="T33">
        <f t="shared" ref="T33" si="144">S33/1000</f>
        <v>416.33849331369925</v>
      </c>
    </row>
    <row r="34" spans="1:20" x14ac:dyDescent="0.25">
      <c r="A34" s="5">
        <v>44559</v>
      </c>
      <c r="B34">
        <v>1.4</v>
      </c>
      <c r="C34">
        <v>1.4379999999999999</v>
      </c>
      <c r="D34">
        <v>1.323</v>
      </c>
      <c r="E34">
        <v>1.3320000000000001</v>
      </c>
      <c r="F34">
        <v>151404808.30000001</v>
      </c>
      <c r="G34">
        <v>1.3320000000000001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-0.84347826086956312</v>
      </c>
      <c r="Q34">
        <f t="shared" ref="Q34" si="146">F34*P34</f>
        <v>-127706664.3921736</v>
      </c>
      <c r="R34">
        <f t="shared" ref="R34" si="147">R35+Q34</f>
        <v>41562622449.698318</v>
      </c>
      <c r="S34">
        <f t="shared" ref="S34" si="148">R34/100000</f>
        <v>415626.22449698317</v>
      </c>
      <c r="T34">
        <f t="shared" ref="T34" si="149">S34/1000</f>
        <v>415.62622449698318</v>
      </c>
    </row>
    <row r="35" spans="1:20" x14ac:dyDescent="0.25">
      <c r="A35" s="5">
        <v>44558</v>
      </c>
      <c r="B35">
        <v>1.516</v>
      </c>
      <c r="C35">
        <v>1.54</v>
      </c>
      <c r="D35">
        <v>1.3759999999999999</v>
      </c>
      <c r="E35">
        <v>1.4</v>
      </c>
      <c r="F35">
        <v>233458767.40000001</v>
      </c>
      <c r="G35">
        <v>1.4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-0.70731707317073167</v>
      </c>
      <c r="Q35">
        <f t="shared" ref="Q35" si="151">F35*P35</f>
        <v>-165129372.06341463</v>
      </c>
      <c r="R35">
        <f t="shared" ref="R35" si="152">R36+Q35</f>
        <v>41690329114.090492</v>
      </c>
      <c r="S35">
        <f t="shared" ref="S35" si="153">R35/100000</f>
        <v>416903.29114090494</v>
      </c>
      <c r="T35">
        <f t="shared" ref="T35" si="154">S35/1000</f>
        <v>416.90329114090497</v>
      </c>
    </row>
    <row r="36" spans="1:20" x14ac:dyDescent="0.25">
      <c r="A36" s="5">
        <v>44557</v>
      </c>
      <c r="B36">
        <v>1.4550000000000001</v>
      </c>
      <c r="C36">
        <v>1.5940000000000001</v>
      </c>
      <c r="D36">
        <v>1.45</v>
      </c>
      <c r="E36">
        <v>1.516</v>
      </c>
      <c r="F36">
        <v>181366355.59999999</v>
      </c>
      <c r="G36">
        <v>1.516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-8.3333333333333329E-2</v>
      </c>
      <c r="Q36">
        <f t="shared" ref="Q36" si="156">F36*P36</f>
        <v>-15113862.966666665</v>
      </c>
      <c r="R36">
        <f t="shared" ref="R36" si="157">R37+Q36</f>
        <v>41855458486.153908</v>
      </c>
      <c r="S36">
        <f t="shared" ref="S36" si="158">R36/100000</f>
        <v>418554.58486153907</v>
      </c>
      <c r="T36">
        <f t="shared" ref="T36" si="159">S36/1000</f>
        <v>418.55458486153907</v>
      </c>
    </row>
    <row r="37" spans="1:20" x14ac:dyDescent="0.25">
      <c r="A37" s="5">
        <v>44556</v>
      </c>
      <c r="B37">
        <v>1.4530000000000001</v>
      </c>
      <c r="C37">
        <v>1.4670000000000001</v>
      </c>
      <c r="D37">
        <v>1.407</v>
      </c>
      <c r="E37">
        <v>1.4550000000000001</v>
      </c>
      <c r="F37">
        <v>103769249.90000001</v>
      </c>
      <c r="G37">
        <v>1.4550000000000001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</v>
      </c>
      <c r="Q37">
        <f t="shared" ref="Q37" si="161">F37*P37</f>
        <v>62261549.939999998</v>
      </c>
      <c r="R37">
        <f t="shared" ref="R37" si="162">R38+Q37</f>
        <v>41870572349.120575</v>
      </c>
      <c r="S37">
        <f t="shared" ref="S37" si="163">R37/100000</f>
        <v>418705.72349120578</v>
      </c>
      <c r="T37">
        <f t="shared" ref="T37" si="164">S37/1000</f>
        <v>418.70572349120579</v>
      </c>
    </row>
    <row r="38" spans="1:20" x14ac:dyDescent="0.25">
      <c r="A38" s="5">
        <v>44555</v>
      </c>
      <c r="B38">
        <v>1.393</v>
      </c>
      <c r="C38">
        <v>1.46</v>
      </c>
      <c r="D38">
        <v>1.381</v>
      </c>
      <c r="E38">
        <v>1.452</v>
      </c>
      <c r="F38">
        <v>87587873.900000006</v>
      </c>
      <c r="G38">
        <v>1.452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0.79746835443037944</v>
      </c>
      <c r="Q38">
        <f t="shared" ref="Q38" si="166">F38*P38</f>
        <v>69848557.667088583</v>
      </c>
      <c r="R38">
        <f t="shared" ref="R38" si="167">R39+Q38</f>
        <v>41808310799.180573</v>
      </c>
      <c r="S38">
        <f t="shared" ref="S38" si="168">R38/100000</f>
        <v>418083.10799180571</v>
      </c>
      <c r="T38">
        <f t="shared" ref="T38" si="169">S38/1000</f>
        <v>418.08310799180572</v>
      </c>
    </row>
    <row r="39" spans="1:20" x14ac:dyDescent="0.25">
      <c r="A39" s="5">
        <v>44554</v>
      </c>
      <c r="B39">
        <v>1.4750000000000001</v>
      </c>
      <c r="C39">
        <v>1.4910000000000001</v>
      </c>
      <c r="D39">
        <v>1.381</v>
      </c>
      <c r="E39">
        <v>1.3919999999999999</v>
      </c>
      <c r="F39">
        <v>126360588.3</v>
      </c>
      <c r="G39">
        <v>1.3919999999999999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-0.80000000000000204</v>
      </c>
      <c r="Q39">
        <f t="shared" ref="Q39" si="171">F39*P39</f>
        <v>-101088470.64000025</v>
      </c>
      <c r="R39">
        <f t="shared" ref="R39" si="172">R40+Q39</f>
        <v>41738462241.513481</v>
      </c>
      <c r="S39">
        <f t="shared" ref="S39" si="173">R39/100000</f>
        <v>417384.6224151348</v>
      </c>
      <c r="T39">
        <f t="shared" ref="T39" si="174">S39/1000</f>
        <v>417.3846224151348</v>
      </c>
    </row>
    <row r="40" spans="1:20" x14ac:dyDescent="0.25">
      <c r="A40" s="5">
        <v>44553</v>
      </c>
      <c r="B40">
        <v>1.327</v>
      </c>
      <c r="C40">
        <v>1.49</v>
      </c>
      <c r="D40">
        <v>1.3069999999999999</v>
      </c>
      <c r="E40">
        <v>1.4750000000000001</v>
      </c>
      <c r="F40">
        <v>216795659.80000001</v>
      </c>
      <c r="G40">
        <v>1.4750000000000001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0.83606557377049295</v>
      </c>
      <c r="Q40">
        <f t="shared" ref="Q40" si="176">F40*P40</f>
        <v>181255387.70163959</v>
      </c>
      <c r="R40">
        <f t="shared" ref="R40" si="177">R41+Q40</f>
        <v>41839550712.153481</v>
      </c>
      <c r="S40">
        <f t="shared" ref="S40" si="178">R40/100000</f>
        <v>418395.50712153479</v>
      </c>
      <c r="T40">
        <f t="shared" ref="T40" si="179">S40/1000</f>
        <v>418.39550712153476</v>
      </c>
    </row>
    <row r="41" spans="1:20" x14ac:dyDescent="0.25">
      <c r="A41" s="5">
        <v>44552</v>
      </c>
      <c r="B41">
        <v>1.2789999999999999</v>
      </c>
      <c r="C41">
        <v>1.369</v>
      </c>
      <c r="D41">
        <v>1.276</v>
      </c>
      <c r="E41">
        <v>1.327</v>
      </c>
      <c r="F41">
        <v>161174698.09999999</v>
      </c>
      <c r="G41">
        <v>1.327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9.6774193548386012E-2</v>
      </c>
      <c r="Q41">
        <f t="shared" ref="Q41" si="181">F41*P41</f>
        <v>15597551.429032082</v>
      </c>
      <c r="R41">
        <f t="shared" ref="R41" si="182">R42+Q41</f>
        <v>41658295324.451843</v>
      </c>
      <c r="S41">
        <f t="shared" ref="S41" si="183">R41/100000</f>
        <v>416582.95324451843</v>
      </c>
      <c r="T41">
        <f t="shared" ref="T41" si="184">S41/1000</f>
        <v>416.58295324451842</v>
      </c>
    </row>
    <row r="42" spans="1:20" x14ac:dyDescent="0.25">
      <c r="A42" s="5">
        <v>44551</v>
      </c>
      <c r="B42">
        <v>1.238</v>
      </c>
      <c r="C42">
        <v>1.2889999999999999</v>
      </c>
      <c r="D42">
        <v>1.2270000000000001</v>
      </c>
      <c r="E42">
        <v>1.28</v>
      </c>
      <c r="F42">
        <v>122949048.2</v>
      </c>
      <c r="G42">
        <v>1.28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0.7096774193548413</v>
      </c>
      <c r="Q42">
        <f t="shared" ref="Q42" si="186">F42*P42</f>
        <v>87254163.238710001</v>
      </c>
      <c r="R42">
        <f t="shared" ref="R42" si="187">R43+Q42</f>
        <v>41642697773.022812</v>
      </c>
      <c r="S42">
        <f t="shared" ref="S42" si="188">R42/100000</f>
        <v>416426.9777302281</v>
      </c>
      <c r="T42">
        <f t="shared" ref="T42" si="189">S42/1000</f>
        <v>416.42697773022809</v>
      </c>
    </row>
    <row r="43" spans="1:20" x14ac:dyDescent="0.25">
      <c r="A43" s="5">
        <v>44550</v>
      </c>
      <c r="B43">
        <v>1.244</v>
      </c>
      <c r="C43">
        <v>1.2609999999999999</v>
      </c>
      <c r="D43">
        <v>1.2010000000000001</v>
      </c>
      <c r="E43">
        <v>1.2370000000000001</v>
      </c>
      <c r="F43">
        <v>123106967.7</v>
      </c>
      <c r="G43">
        <v>1.2370000000000001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0.20000000000000445</v>
      </c>
      <c r="Q43">
        <f t="shared" ref="Q43" si="191">F43*P43</f>
        <v>24621393.54000055</v>
      </c>
      <c r="R43">
        <f t="shared" ref="R43" si="192">R44+Q43</f>
        <v>41555443609.784103</v>
      </c>
      <c r="S43">
        <f t="shared" ref="S43" si="193">R43/100000</f>
        <v>415554.43609784101</v>
      </c>
      <c r="T43">
        <f t="shared" ref="T43" si="194">S43/1000</f>
        <v>415.55443609784101</v>
      </c>
    </row>
    <row r="44" spans="1:20" x14ac:dyDescent="0.25">
      <c r="A44" s="5">
        <v>44549</v>
      </c>
      <c r="B44">
        <v>1.242</v>
      </c>
      <c r="C44">
        <v>1.3120000000000001</v>
      </c>
      <c r="D44">
        <v>1.24</v>
      </c>
      <c r="E44">
        <v>1.2430000000000001</v>
      </c>
      <c r="F44">
        <v>124074683.5</v>
      </c>
      <c r="G44">
        <v>1.2430000000000001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-0.91666666666666363</v>
      </c>
      <c r="Q44">
        <f t="shared" ref="Q44" si="196">F44*P44</f>
        <v>-113735126.54166628</v>
      </c>
      <c r="R44">
        <f t="shared" ref="R44" si="197">R45+Q44</f>
        <v>41530822216.244102</v>
      </c>
      <c r="S44">
        <f t="shared" ref="S44" si="198">R44/100000</f>
        <v>415308.222162441</v>
      </c>
      <c r="T44">
        <f t="shared" ref="T44" si="199">S44/1000</f>
        <v>415.30822216244098</v>
      </c>
    </row>
    <row r="45" spans="1:20" x14ac:dyDescent="0.25">
      <c r="A45" s="5">
        <v>44548</v>
      </c>
      <c r="B45">
        <v>1.218</v>
      </c>
      <c r="C45">
        <v>1.2669999999999999</v>
      </c>
      <c r="D45">
        <v>1.2</v>
      </c>
      <c r="E45">
        <v>1.242</v>
      </c>
      <c r="F45">
        <v>81211094.099999994</v>
      </c>
      <c r="G45">
        <v>1.242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0.25373134328358415</v>
      </c>
      <c r="Q45">
        <f t="shared" ref="Q45" si="201">F45*P45</f>
        <v>20605799.995522555</v>
      </c>
      <c r="R45">
        <f t="shared" ref="R45" si="202">R46+Q45</f>
        <v>41644557342.785767</v>
      </c>
      <c r="S45">
        <f t="shared" ref="S45" si="203">R45/100000</f>
        <v>416445.57342785766</v>
      </c>
      <c r="T45">
        <f t="shared" ref="T45" si="204">S45/1000</f>
        <v>416.44557342785765</v>
      </c>
    </row>
    <row r="46" spans="1:20" x14ac:dyDescent="0.25">
      <c r="A46" s="5">
        <v>44547</v>
      </c>
      <c r="B46">
        <v>1.24</v>
      </c>
      <c r="C46">
        <v>1.2589999999999999</v>
      </c>
      <c r="D46">
        <v>1.1819999999999999</v>
      </c>
      <c r="E46">
        <v>1.218</v>
      </c>
      <c r="F46">
        <v>138092226.09999999</v>
      </c>
      <c r="G46">
        <v>1.218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-6.4935064935063583E-2</v>
      </c>
      <c r="Q46">
        <f t="shared" ref="Q46" si="206">F46*P46</f>
        <v>-8967027.6688309815</v>
      </c>
      <c r="R46">
        <f t="shared" ref="R46" si="207">R47+Q46</f>
        <v>41623951542.790245</v>
      </c>
      <c r="S46">
        <f t="shared" ref="S46" si="208">R46/100000</f>
        <v>416239.51542790246</v>
      </c>
      <c r="T46">
        <f t="shared" ref="T46" si="209">S46/1000</f>
        <v>416.23951542790246</v>
      </c>
    </row>
    <row r="47" spans="1:20" x14ac:dyDescent="0.25">
      <c r="A47" s="5">
        <v>44546</v>
      </c>
      <c r="B47">
        <v>1.3109999999999999</v>
      </c>
      <c r="C47">
        <v>1.331</v>
      </c>
      <c r="D47">
        <v>1.236</v>
      </c>
      <c r="E47">
        <v>1.24</v>
      </c>
      <c r="F47">
        <v>117662885.3</v>
      </c>
      <c r="G47">
        <v>1.24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-0.91578947368421038</v>
      </c>
      <c r="Q47">
        <f t="shared" ref="Q47" si="211">F47*P47</f>
        <v>-107754431.80105262</v>
      </c>
      <c r="R47">
        <f t="shared" ref="R47" si="212">R48+Q47</f>
        <v>41632918570.459076</v>
      </c>
      <c r="S47">
        <f t="shared" ref="S47" si="213">R47/100000</f>
        <v>416329.18570459075</v>
      </c>
      <c r="T47">
        <f t="shared" ref="T47" si="214">S47/1000</f>
        <v>416.32918570459077</v>
      </c>
    </row>
    <row r="48" spans="1:20" x14ac:dyDescent="0.25">
      <c r="A48" s="5">
        <v>44545</v>
      </c>
      <c r="B48">
        <v>1.2669999999999999</v>
      </c>
      <c r="C48">
        <v>1.331</v>
      </c>
      <c r="D48">
        <v>1.204</v>
      </c>
      <c r="E48">
        <v>1.3109999999999999</v>
      </c>
      <c r="F48">
        <v>170247496.30000001</v>
      </c>
      <c r="G48">
        <v>1.3109999999999999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0.68503937007873983</v>
      </c>
      <c r="Q48">
        <f t="shared" ref="Q48" si="216">F48*P48</f>
        <v>116626237.62283459</v>
      </c>
      <c r="R48">
        <f t="shared" ref="R48" si="217">R49+Q48</f>
        <v>41740673002.260132</v>
      </c>
      <c r="S48">
        <f t="shared" ref="S48" si="218">R48/100000</f>
        <v>417406.73002260132</v>
      </c>
      <c r="T48">
        <f t="shared" ref="T48" si="219">S48/1000</f>
        <v>417.40673002260132</v>
      </c>
    </row>
    <row r="49" spans="1:20" x14ac:dyDescent="0.25">
      <c r="A49" s="5">
        <v>44544</v>
      </c>
      <c r="B49">
        <v>1.2230000000000001</v>
      </c>
      <c r="C49">
        <v>1.284</v>
      </c>
      <c r="D49">
        <v>1.198</v>
      </c>
      <c r="E49">
        <v>1.266</v>
      </c>
      <c r="F49">
        <v>175476318</v>
      </c>
      <c r="G49">
        <v>1.266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0.58139534883720934</v>
      </c>
      <c r="Q49">
        <f t="shared" ref="Q49" si="221">F49*P49</f>
        <v>102021115.11627908</v>
      </c>
      <c r="R49">
        <f t="shared" ref="R49" si="222">R50+Q49</f>
        <v>41624046764.637299</v>
      </c>
      <c r="S49">
        <f t="shared" ref="S49" si="223">R49/100000</f>
        <v>416240.46764637297</v>
      </c>
      <c r="T49">
        <f t="shared" ref="T49" si="224">S49/1000</f>
        <v>416.24046764637296</v>
      </c>
    </row>
    <row r="50" spans="1:20" x14ac:dyDescent="0.25">
      <c r="A50" s="5">
        <v>44543</v>
      </c>
      <c r="B50">
        <v>1.345</v>
      </c>
      <c r="C50">
        <v>1.357</v>
      </c>
      <c r="D50">
        <v>1.2</v>
      </c>
      <c r="E50">
        <v>1.2230000000000001</v>
      </c>
      <c r="F50">
        <v>184388318.40000001</v>
      </c>
      <c r="G50">
        <v>1.2230000000000001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-0.70700636942674999</v>
      </c>
      <c r="Q50">
        <f t="shared" ref="Q50" si="226">F50*P50</f>
        <v>-130363715.55668761</v>
      </c>
      <c r="R50">
        <f t="shared" ref="R50" si="227">R51+Q50</f>
        <v>41522025649.521019</v>
      </c>
      <c r="S50">
        <f t="shared" ref="S50" si="228">R50/100000</f>
        <v>415220.25649521017</v>
      </c>
      <c r="T50">
        <f t="shared" ref="T50" si="229">S50/1000</f>
        <v>415.22025649521015</v>
      </c>
    </row>
    <row r="51" spans="1:20" x14ac:dyDescent="0.25">
      <c r="A51" s="5">
        <v>44542</v>
      </c>
      <c r="B51">
        <v>1.3540000000000001</v>
      </c>
      <c r="C51">
        <v>1.415</v>
      </c>
      <c r="D51">
        <v>1.319</v>
      </c>
      <c r="E51">
        <v>1.3460000000000001</v>
      </c>
      <c r="F51">
        <v>149463677.09999999</v>
      </c>
      <c r="G51">
        <v>1.3460000000000001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-0.43749999999999767</v>
      </c>
      <c r="Q51">
        <f t="shared" ref="Q51" si="231">F51*P51</f>
        <v>-65390358.731249645</v>
      </c>
      <c r="R51">
        <f t="shared" ref="R51" si="232">R52+Q51</f>
        <v>41652389365.077705</v>
      </c>
      <c r="S51">
        <f t="shared" ref="S51" si="233">R51/100000</f>
        <v>416523.89365077706</v>
      </c>
      <c r="T51">
        <f t="shared" ref="T51" si="234">S51/1000</f>
        <v>416.52389365077704</v>
      </c>
    </row>
    <row r="52" spans="1:20" x14ac:dyDescent="0.25">
      <c r="A52" s="5">
        <v>44541</v>
      </c>
      <c r="B52">
        <v>1.2110000000000001</v>
      </c>
      <c r="C52">
        <v>1.23</v>
      </c>
      <c r="D52">
        <v>1.1919999999999999</v>
      </c>
      <c r="E52">
        <v>1.2230000000000001</v>
      </c>
      <c r="F52">
        <v>21471707.899999999</v>
      </c>
      <c r="G52">
        <v>1.2230000000000001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0.6315789473684269</v>
      </c>
      <c r="Q52">
        <f t="shared" ref="Q52" si="236">F52*P52</f>
        <v>13561078.673684334</v>
      </c>
      <c r="R52">
        <f t="shared" ref="R52" si="237">R53+Q52</f>
        <v>41717779723.808952</v>
      </c>
      <c r="S52">
        <f t="shared" ref="S52" si="238">R52/100000</f>
        <v>417177.79723808955</v>
      </c>
      <c r="T52">
        <f t="shared" ref="T52" si="239">S52/1000</f>
        <v>417.17779723808957</v>
      </c>
    </row>
    <row r="53" spans="1:20" x14ac:dyDescent="0.25">
      <c r="A53" s="5">
        <v>44540</v>
      </c>
      <c r="B53">
        <v>1.288</v>
      </c>
      <c r="C53">
        <v>1.3340000000000001</v>
      </c>
      <c r="D53">
        <v>1.2070000000000001</v>
      </c>
      <c r="E53">
        <v>1.2110000000000001</v>
      </c>
      <c r="F53">
        <v>192968833.09999999</v>
      </c>
      <c r="G53">
        <v>1.2110000000000001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-0.93700787401574792</v>
      </c>
      <c r="Q53">
        <f t="shared" ref="Q53" si="241">F53*P53</f>
        <v>-180813316.05433068</v>
      </c>
      <c r="R53">
        <f t="shared" ref="R53" si="242">R54+Q53</f>
        <v>41704218645.135269</v>
      </c>
      <c r="S53">
        <f t="shared" ref="S53" si="243">R53/100000</f>
        <v>417042.18645135267</v>
      </c>
      <c r="T53">
        <f t="shared" ref="T53" si="244">S53/1000</f>
        <v>417.04218645135268</v>
      </c>
    </row>
    <row r="54" spans="1:20" x14ac:dyDescent="0.25">
      <c r="A54" s="5">
        <v>44539</v>
      </c>
      <c r="B54">
        <v>1.3959999999999999</v>
      </c>
      <c r="C54">
        <v>1.409</v>
      </c>
      <c r="D54">
        <v>1.2869999999999999</v>
      </c>
      <c r="E54">
        <v>1.2889999999999999</v>
      </c>
      <c r="F54">
        <v>174568058.80000001</v>
      </c>
      <c r="G54">
        <v>1.2889999999999999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-0.96721311475409832</v>
      </c>
      <c r="Q54">
        <f t="shared" ref="Q54" si="246">F54*P54</f>
        <v>-168844515.88852459</v>
      </c>
      <c r="R54">
        <f t="shared" ref="R54" si="247">R55+Q54</f>
        <v>41885031961.189598</v>
      </c>
      <c r="S54">
        <f t="shared" ref="S54" si="248">R54/100000</f>
        <v>418850.319611896</v>
      </c>
      <c r="T54">
        <f t="shared" ref="T54" si="249">S54/1000</f>
        <v>418.850319611896</v>
      </c>
    </row>
    <row r="55" spans="1:20" x14ac:dyDescent="0.25">
      <c r="A55" s="5">
        <v>44538</v>
      </c>
      <c r="B55">
        <v>1.3779999999999999</v>
      </c>
      <c r="C55">
        <v>1.423</v>
      </c>
      <c r="D55">
        <v>1.337</v>
      </c>
      <c r="E55">
        <v>1.3959999999999999</v>
      </c>
      <c r="F55">
        <v>187594478.19999999</v>
      </c>
      <c r="G55">
        <v>1.3959999999999999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0.37209302325581139</v>
      </c>
      <c r="Q55">
        <f t="shared" ref="Q55" si="251">F55*P55</f>
        <v>69802596.539534405</v>
      </c>
      <c r="R55">
        <f t="shared" ref="R55" si="252">R56+Q55</f>
        <v>42053876477.078125</v>
      </c>
      <c r="S55">
        <f t="shared" ref="S55" si="253">R55/100000</f>
        <v>420538.76477078127</v>
      </c>
      <c r="T55">
        <f t="shared" ref="T55" si="254">S55/1000</f>
        <v>420.53876477078126</v>
      </c>
    </row>
    <row r="56" spans="1:20" x14ac:dyDescent="0.25">
      <c r="A56" s="5">
        <v>44537</v>
      </c>
      <c r="B56">
        <v>1.42</v>
      </c>
      <c r="C56">
        <v>1.4790000000000001</v>
      </c>
      <c r="D56">
        <v>1.365</v>
      </c>
      <c r="E56">
        <v>1.3779999999999999</v>
      </c>
      <c r="F56">
        <v>229514365.19999999</v>
      </c>
      <c r="G56">
        <v>1.3779999999999999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-0.77192982456140546</v>
      </c>
      <c r="Q56">
        <f t="shared" ref="Q56" si="256">F56*P56</f>
        <v>-177168983.66315833</v>
      </c>
      <c r="R56">
        <f t="shared" ref="R56" si="257">R57+Q56</f>
        <v>41984073880.538589</v>
      </c>
      <c r="S56">
        <f t="shared" ref="S56" si="258">R56/100000</f>
        <v>419840.73880538589</v>
      </c>
      <c r="T56">
        <f t="shared" ref="T56" si="259">S56/1000</f>
        <v>419.84073880538591</v>
      </c>
    </row>
    <row r="57" spans="1:20" x14ac:dyDescent="0.25">
      <c r="A57" s="5">
        <v>44536</v>
      </c>
      <c r="B57">
        <v>1.3779999999999999</v>
      </c>
      <c r="C57">
        <v>1.4419999999999999</v>
      </c>
      <c r="D57">
        <v>1.2549999999999999</v>
      </c>
      <c r="E57">
        <v>1.42</v>
      </c>
      <c r="F57">
        <v>338310628.69999999</v>
      </c>
      <c r="G57">
        <v>1.42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0.76470588235294101</v>
      </c>
      <c r="Q57">
        <f t="shared" ref="Q57" si="261">F57*P57</f>
        <v>258708127.82941169</v>
      </c>
      <c r="R57">
        <f t="shared" ref="R57" si="262">R58+Q57</f>
        <v>42161242864.201744</v>
      </c>
      <c r="S57">
        <f t="shared" ref="S57" si="263">R57/100000</f>
        <v>421612.42864201742</v>
      </c>
      <c r="T57">
        <f t="shared" ref="T57" si="264">S57/1000</f>
        <v>421.61242864201739</v>
      </c>
    </row>
    <row r="58" spans="1:20" x14ac:dyDescent="0.25">
      <c r="A58" s="5">
        <v>44535</v>
      </c>
      <c r="B58">
        <v>1.419</v>
      </c>
      <c r="C58">
        <v>1.4350000000000001</v>
      </c>
      <c r="D58">
        <v>1.284</v>
      </c>
      <c r="E58">
        <v>1.3779999999999999</v>
      </c>
      <c r="F58">
        <v>270618794.69999999</v>
      </c>
      <c r="G58">
        <v>1.3779999999999999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0.24503311258277943</v>
      </c>
      <c r="Q58">
        <f t="shared" ref="Q58" si="266">F58*P58</f>
        <v>66310565.588741168</v>
      </c>
      <c r="R58">
        <f t="shared" ref="R58" si="267">R59+Q58</f>
        <v>41902534736.37233</v>
      </c>
      <c r="S58">
        <f t="shared" ref="S58" si="268">R58/100000</f>
        <v>419025.34736372333</v>
      </c>
      <c r="T58">
        <f t="shared" ref="T58" si="269">S58/1000</f>
        <v>419.02534736372331</v>
      </c>
    </row>
    <row r="59" spans="1:20" x14ac:dyDescent="0.25">
      <c r="A59" s="5">
        <v>44534</v>
      </c>
      <c r="B59">
        <v>1.5569999999999999</v>
      </c>
      <c r="C59">
        <v>1.5580000000000001</v>
      </c>
      <c r="D59">
        <v>1.1879999999999999</v>
      </c>
      <c r="E59">
        <v>1.42</v>
      </c>
      <c r="F59">
        <v>612957918.53999996</v>
      </c>
      <c r="G59">
        <v>1.42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0.25405405405405362</v>
      </c>
      <c r="Q59">
        <f t="shared" ref="Q59" si="271">F59*P59</f>
        <v>155724444.16962135</v>
      </c>
      <c r="R59">
        <f t="shared" ref="R59" si="272">R60+Q59</f>
        <v>41836224170.783592</v>
      </c>
      <c r="S59">
        <f t="shared" ref="S59" si="273">R59/100000</f>
        <v>418362.24170783593</v>
      </c>
      <c r="T59">
        <f t="shared" ref="T59" si="274">S59/1000</f>
        <v>418.36224170783595</v>
      </c>
    </row>
    <row r="60" spans="1:20" x14ac:dyDescent="0.25">
      <c r="A60" s="5">
        <v>44533</v>
      </c>
      <c r="B60">
        <v>1.72</v>
      </c>
      <c r="C60">
        <v>1.7290000000000001</v>
      </c>
      <c r="D60">
        <v>1.5089999999999999</v>
      </c>
      <c r="E60">
        <v>1.556</v>
      </c>
      <c r="F60">
        <v>276255974.60000002</v>
      </c>
      <c r="G60">
        <v>1.556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-0.57272727272727175</v>
      </c>
      <c r="Q60">
        <f t="shared" ref="Q60" si="276">F60*P60</f>
        <v>-158219330.90727246</v>
      </c>
      <c r="R60">
        <f t="shared" ref="R60" si="277">R61+Q60</f>
        <v>41680499726.613968</v>
      </c>
      <c r="S60">
        <f t="shared" ref="S60" si="278">R60/100000</f>
        <v>416804.99726613966</v>
      </c>
      <c r="T60">
        <f t="shared" ref="T60" si="279">S60/1000</f>
        <v>416.80499726613965</v>
      </c>
    </row>
    <row r="61" spans="1:20" x14ac:dyDescent="0.25">
      <c r="A61" s="5">
        <v>44532</v>
      </c>
      <c r="B61">
        <v>1.5469999999999999</v>
      </c>
      <c r="C61">
        <v>1.76</v>
      </c>
      <c r="D61">
        <v>1.5169999999999999</v>
      </c>
      <c r="E61">
        <v>1.7190000000000001</v>
      </c>
      <c r="F61">
        <v>441382037</v>
      </c>
      <c r="G61">
        <v>1.7190000000000001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0.66255144032921887</v>
      </c>
      <c r="Q61">
        <f t="shared" ref="Q61" si="281">F61*P61</f>
        <v>292438304.34979457</v>
      </c>
      <c r="R61">
        <f t="shared" ref="R61" si="282">R62+Q61</f>
        <v>41838719057.52124</v>
      </c>
      <c r="S61">
        <f t="shared" ref="S61" si="283">R61/100000</f>
        <v>418387.19057521241</v>
      </c>
      <c r="T61">
        <f t="shared" ref="T61" si="284">S61/1000</f>
        <v>418.3871905752124</v>
      </c>
    </row>
    <row r="62" spans="1:20" x14ac:dyDescent="0.25">
      <c r="A62" s="5">
        <v>44531</v>
      </c>
      <c r="B62">
        <v>1.5529999999999999</v>
      </c>
      <c r="C62">
        <v>1.6220000000000001</v>
      </c>
      <c r="D62">
        <v>1.5309999999999999</v>
      </c>
      <c r="E62">
        <v>1.548</v>
      </c>
      <c r="F62">
        <v>157458493.80000001</v>
      </c>
      <c r="G62">
        <v>1.548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-0.62637362637362437</v>
      </c>
      <c r="Q62">
        <f t="shared" ref="Q62" si="286">F62*P62</f>
        <v>-98627847.764834851</v>
      </c>
      <c r="R62">
        <f t="shared" ref="R62" si="287">R63+Q62</f>
        <v>41546280753.171448</v>
      </c>
      <c r="S62">
        <f t="shared" ref="S62" si="288">R62/100000</f>
        <v>415462.8075317145</v>
      </c>
      <c r="T62">
        <f t="shared" ref="T62" si="289">S62/1000</f>
        <v>415.46280753171447</v>
      </c>
    </row>
    <row r="63" spans="1:20" x14ac:dyDescent="0.25">
      <c r="A63" s="5">
        <v>44530</v>
      </c>
      <c r="B63">
        <v>1.6020000000000001</v>
      </c>
      <c r="C63">
        <v>1.629</v>
      </c>
      <c r="D63">
        <v>1.544</v>
      </c>
      <c r="E63">
        <v>1.554</v>
      </c>
      <c r="F63">
        <v>185671961.59999999</v>
      </c>
      <c r="G63">
        <v>1.554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-0.7647058823529409</v>
      </c>
      <c r="Q63">
        <f t="shared" ref="Q63" si="291">F63*P63</f>
        <v>-141984441.22352937</v>
      </c>
      <c r="R63">
        <f t="shared" ref="R63" si="292">R64+Q63</f>
        <v>41644908600.936279</v>
      </c>
      <c r="S63">
        <f t="shared" ref="S63" si="293">R63/100000</f>
        <v>416449.08600936277</v>
      </c>
      <c r="T63">
        <f t="shared" ref="T63" si="294">S63/1000</f>
        <v>416.44908600936276</v>
      </c>
    </row>
    <row r="64" spans="1:20" x14ac:dyDescent="0.25">
      <c r="A64" s="5">
        <v>44529</v>
      </c>
      <c r="B64">
        <v>1.595</v>
      </c>
      <c r="C64">
        <v>1.6359999999999999</v>
      </c>
      <c r="D64">
        <v>1.5569999999999999</v>
      </c>
      <c r="E64">
        <v>1.601</v>
      </c>
      <c r="F64">
        <v>153848484.69999999</v>
      </c>
      <c r="G64">
        <v>1.601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0.11392405063291296</v>
      </c>
      <c r="Q64">
        <f t="shared" ref="Q64" si="296">F64*P64</f>
        <v>17527042.560759734</v>
      </c>
      <c r="R64">
        <f t="shared" ref="R64" si="297">R65+Q64</f>
        <v>41786893042.159805</v>
      </c>
      <c r="S64">
        <f t="shared" ref="S64" si="298">R64/100000</f>
        <v>417868.93042159808</v>
      </c>
      <c r="T64">
        <f t="shared" ref="T64" si="299">S64/1000</f>
        <v>417.86893042159807</v>
      </c>
    </row>
    <row r="65" spans="1:20" x14ac:dyDescent="0.25">
      <c r="A65" s="5">
        <v>44528</v>
      </c>
      <c r="B65">
        <v>1.5429999999999999</v>
      </c>
      <c r="C65">
        <v>1.6</v>
      </c>
      <c r="D65">
        <v>1.4159999999999999</v>
      </c>
      <c r="E65">
        <v>1.5940000000000001</v>
      </c>
      <c r="F65">
        <v>228010819.22</v>
      </c>
      <c r="G65">
        <v>1.5940000000000001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0.93478260869565222</v>
      </c>
      <c r="Q65">
        <f t="shared" ref="Q65" si="301">F65*P65</f>
        <v>213140548.40130436</v>
      </c>
      <c r="R65">
        <f t="shared" ref="R65" si="302">R66+Q65</f>
        <v>41769365999.599045</v>
      </c>
      <c r="S65">
        <f t="shared" ref="S65" si="303">R65/100000</f>
        <v>417693.65999599046</v>
      </c>
      <c r="T65">
        <f t="shared" ref="T65" si="304">S65/1000</f>
        <v>417.69365999599046</v>
      </c>
    </row>
    <row r="66" spans="1:20" x14ac:dyDescent="0.25">
      <c r="A66" s="5">
        <v>44527</v>
      </c>
      <c r="B66">
        <v>1.532</v>
      </c>
      <c r="C66">
        <v>1.585</v>
      </c>
      <c r="D66">
        <v>1.5309999999999999</v>
      </c>
      <c r="E66">
        <v>1.5429999999999999</v>
      </c>
      <c r="F66">
        <v>107756518</v>
      </c>
      <c r="G66">
        <v>1.5429999999999999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-0.55555555555555558</v>
      </c>
      <c r="Q66">
        <f t="shared" ref="Q66" si="306">F66*P66</f>
        <v>-59864732.222222224</v>
      </c>
      <c r="R66">
        <f t="shared" ref="R66" si="307">R67+Q66</f>
        <v>41556225451.197739</v>
      </c>
      <c r="S66">
        <f t="shared" ref="S66" si="308">R66/100000</f>
        <v>415562.25451197737</v>
      </c>
      <c r="T66">
        <f t="shared" ref="T66" si="309">S66/1000</f>
        <v>415.56225451197736</v>
      </c>
    </row>
    <row r="67" spans="1:20" x14ac:dyDescent="0.25">
      <c r="A67" s="5">
        <v>44526</v>
      </c>
      <c r="B67">
        <v>1.6759999999999999</v>
      </c>
      <c r="C67">
        <v>1.6850000000000001</v>
      </c>
      <c r="D67">
        <v>1.4950000000000001</v>
      </c>
      <c r="E67">
        <v>1.5329999999999999</v>
      </c>
      <c r="F67">
        <v>337429397.06999999</v>
      </c>
      <c r="G67">
        <v>1.5329999999999999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-0.60000000000000187</v>
      </c>
      <c r="Q67">
        <f t="shared" ref="Q67" si="311">F67*P67</f>
        <v>-202457638.24200064</v>
      </c>
      <c r="R67">
        <f t="shared" ref="R67" si="312">R68+Q67</f>
        <v>41616090183.41996</v>
      </c>
      <c r="S67">
        <f t="shared" ref="S67" si="313">R67/100000</f>
        <v>416160.90183419961</v>
      </c>
      <c r="T67">
        <f t="shared" ref="T67" si="314">S67/1000</f>
        <v>416.16090183419959</v>
      </c>
    </row>
    <row r="68" spans="1:20" x14ac:dyDescent="0.25">
      <c r="A68" s="5">
        <v>44525</v>
      </c>
      <c r="B68">
        <v>1.665</v>
      </c>
      <c r="C68">
        <v>1.7490000000000001</v>
      </c>
      <c r="D68">
        <v>1.619</v>
      </c>
      <c r="E68">
        <v>1.675</v>
      </c>
      <c r="F68">
        <v>216037163.09999999</v>
      </c>
      <c r="G68">
        <v>1.675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-0.13846153846153847</v>
      </c>
      <c r="Q68">
        <f t="shared" ref="Q68" si="316">F68*P68</f>
        <v>-29912837.967692308</v>
      </c>
      <c r="R68">
        <f t="shared" ref="R68" si="317">R69+Q68</f>
        <v>41818547821.661964</v>
      </c>
      <c r="S68">
        <f t="shared" ref="S68" si="318">R68/100000</f>
        <v>418185.47821661964</v>
      </c>
      <c r="T68">
        <f t="shared" ref="T68" si="319">S68/1000</f>
        <v>418.18547821661963</v>
      </c>
    </row>
    <row r="69" spans="1:20" x14ac:dyDescent="0.25">
      <c r="A69" s="5">
        <v>44524</v>
      </c>
      <c r="B69">
        <v>1.7509999999999999</v>
      </c>
      <c r="C69">
        <v>1.754</v>
      </c>
      <c r="D69">
        <v>1.669</v>
      </c>
      <c r="E69">
        <v>1.69</v>
      </c>
      <c r="F69">
        <v>84967118.060000002</v>
      </c>
      <c r="G69">
        <v>1.69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-0.50588235294117845</v>
      </c>
      <c r="Q69">
        <f t="shared" ref="Q69" si="321">F69*P69</f>
        <v>-42983365.606823698</v>
      </c>
      <c r="R69">
        <f t="shared" ref="R69" si="322">R70+Q69</f>
        <v>41848460659.629654</v>
      </c>
      <c r="S69">
        <f t="shared" ref="S69" si="323">R69/100000</f>
        <v>418484.60659629654</v>
      </c>
      <c r="T69">
        <f t="shared" ref="T69" si="324">S69/1000</f>
        <v>418.48460659629654</v>
      </c>
    </row>
    <row r="70" spans="1:20" x14ac:dyDescent="0.25">
      <c r="A70" s="5">
        <v>44523</v>
      </c>
      <c r="B70">
        <v>1.776</v>
      </c>
      <c r="C70">
        <v>1.8160000000000001</v>
      </c>
      <c r="D70">
        <v>1.738</v>
      </c>
      <c r="E70">
        <v>1.7509999999999999</v>
      </c>
      <c r="F70">
        <v>144774307.80000001</v>
      </c>
      <c r="G70">
        <v>1.7509999999999999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-0.66666666666666952</v>
      </c>
      <c r="Q70">
        <f t="shared" ref="Q70" si="326">F70*P70</f>
        <v>-96516205.20000042</v>
      </c>
      <c r="R70">
        <f t="shared" ref="R70" si="327">R71+Q70</f>
        <v>41891444025.236481</v>
      </c>
      <c r="S70">
        <f t="shared" ref="S70" si="328">R70/100000</f>
        <v>418914.44025236479</v>
      </c>
      <c r="T70">
        <f t="shared" ref="T70" si="329">S70/1000</f>
        <v>418.91444025236478</v>
      </c>
    </row>
    <row r="71" spans="1:20" x14ac:dyDescent="0.25">
      <c r="A71" s="5">
        <v>44522</v>
      </c>
      <c r="B71">
        <v>1.835</v>
      </c>
      <c r="C71">
        <v>1.839</v>
      </c>
      <c r="D71">
        <v>1.7569999999999999</v>
      </c>
      <c r="E71">
        <v>1.776</v>
      </c>
      <c r="F71">
        <v>144285714</v>
      </c>
      <c r="G71">
        <v>1.776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-0.53658536585365579</v>
      </c>
      <c r="Q71">
        <f t="shared" ref="Q71" si="331">F71*P71</f>
        <v>-77421602.634145945</v>
      </c>
      <c r="R71">
        <f t="shared" ref="R71" si="332">R72+Q71</f>
        <v>41987960230.436478</v>
      </c>
      <c r="S71">
        <f t="shared" ref="S71" si="333">R71/100000</f>
        <v>419879.60230436479</v>
      </c>
      <c r="T71">
        <f t="shared" ref="T71" si="334">S71/1000</f>
        <v>419.87960230436477</v>
      </c>
    </row>
    <row r="72" spans="1:20" x14ac:dyDescent="0.25">
      <c r="A72" s="5">
        <v>44521</v>
      </c>
      <c r="B72">
        <v>1.921</v>
      </c>
      <c r="C72">
        <v>1.9239999999999999</v>
      </c>
      <c r="D72">
        <v>1.8320000000000001</v>
      </c>
      <c r="E72">
        <v>1.835</v>
      </c>
      <c r="F72">
        <v>87455485.299999997</v>
      </c>
      <c r="G72">
        <v>1.835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-0.93478260869565444</v>
      </c>
      <c r="Q72">
        <f t="shared" ref="Q72" si="336">F72*P72</f>
        <v>-81751866.69347845</v>
      </c>
      <c r="R72">
        <f t="shared" ref="R72" si="337">R73+Q72</f>
        <v>42065381833.070625</v>
      </c>
      <c r="S72">
        <f t="shared" ref="S72" si="338">R72/100000</f>
        <v>420653.81833070627</v>
      </c>
      <c r="T72">
        <f t="shared" ref="T72" si="339">S72/1000</f>
        <v>420.65381833070626</v>
      </c>
    </row>
    <row r="73" spans="1:20" x14ac:dyDescent="0.25">
      <c r="A73" s="5">
        <v>44520</v>
      </c>
      <c r="B73">
        <v>1.8620000000000001</v>
      </c>
      <c r="C73">
        <v>1.956</v>
      </c>
      <c r="D73">
        <v>1.86</v>
      </c>
      <c r="E73">
        <v>1.9219999999999999</v>
      </c>
      <c r="F73">
        <v>128183408</v>
      </c>
      <c r="G73">
        <v>1.9219999999999999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0.29166666666666502</v>
      </c>
      <c r="Q73">
        <f t="shared" ref="Q73" si="341">F73*P73</f>
        <v>37386827.33333312</v>
      </c>
      <c r="R73">
        <f t="shared" ref="R73" si="342">R74+Q73</f>
        <v>42147133699.764107</v>
      </c>
      <c r="S73">
        <f t="shared" ref="S73" si="343">R73/100000</f>
        <v>421471.33699764108</v>
      </c>
      <c r="T73">
        <f t="shared" ref="T73" si="344">S73/1000</f>
        <v>421.47133699764106</v>
      </c>
    </row>
    <row r="74" spans="1:20" x14ac:dyDescent="0.25">
      <c r="A74" s="5">
        <v>44519</v>
      </c>
      <c r="B74">
        <v>1.786</v>
      </c>
      <c r="C74">
        <v>1.8939999999999999</v>
      </c>
      <c r="D74">
        <v>1.754</v>
      </c>
      <c r="E74">
        <v>1.863</v>
      </c>
      <c r="F74">
        <v>144849476.59999999</v>
      </c>
      <c r="G74">
        <v>1.863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0.55714285714285805</v>
      </c>
      <c r="Q74">
        <f t="shared" ref="Q74" si="346">F74*P74</f>
        <v>80701851.24857156</v>
      </c>
      <c r="R74">
        <f t="shared" ref="R74" si="347">R75+Q74</f>
        <v>42109746872.430771</v>
      </c>
      <c r="S74">
        <f t="shared" ref="S74" si="348">R74/100000</f>
        <v>421097.46872430772</v>
      </c>
      <c r="T74">
        <f t="shared" ref="T74" si="349">S74/1000</f>
        <v>421.0974687243077</v>
      </c>
    </row>
    <row r="75" spans="1:20" x14ac:dyDescent="0.25">
      <c r="A75" s="5">
        <v>44518</v>
      </c>
      <c r="B75">
        <v>1.877</v>
      </c>
      <c r="C75">
        <v>1.907</v>
      </c>
      <c r="D75">
        <v>1.7010000000000001</v>
      </c>
      <c r="E75">
        <v>1.786</v>
      </c>
      <c r="F75">
        <v>221759905.97</v>
      </c>
      <c r="G75">
        <v>1.786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-0.17475728155339826</v>
      </c>
      <c r="Q75">
        <f t="shared" ref="Q75" si="351">F75*P75</f>
        <v>-38754158.324854411</v>
      </c>
      <c r="R75">
        <f t="shared" ref="R75" si="352">R76+Q75</f>
        <v>42029045021.182198</v>
      </c>
      <c r="S75">
        <f t="shared" ref="S75" si="353">R75/100000</f>
        <v>420290.450211822</v>
      </c>
      <c r="T75">
        <f t="shared" ref="T75" si="354">S75/1000</f>
        <v>420.29045021182202</v>
      </c>
    </row>
    <row r="76" spans="1:20" x14ac:dyDescent="0.25">
      <c r="A76" s="5">
        <v>44517</v>
      </c>
      <c r="B76">
        <v>1.8740000000000001</v>
      </c>
      <c r="C76">
        <v>1.893</v>
      </c>
      <c r="D76">
        <v>1.7949999999999999</v>
      </c>
      <c r="E76">
        <v>1.8759999999999999</v>
      </c>
      <c r="F76">
        <v>207985172</v>
      </c>
      <c r="G76">
        <v>1.8759999999999999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0.65306122448979365</v>
      </c>
      <c r="Q76">
        <f t="shared" ref="Q76" si="356">F76*P76</f>
        <v>135827051.10204035</v>
      </c>
      <c r="R76">
        <f t="shared" ref="R76" si="357">R77+Q76</f>
        <v>42067799179.50705</v>
      </c>
      <c r="S76">
        <f t="shared" ref="S76" si="358">R76/100000</f>
        <v>420677.99179507047</v>
      </c>
      <c r="T76">
        <f t="shared" ref="T76" si="359">S76/1000</f>
        <v>420.67799179507045</v>
      </c>
    </row>
    <row r="77" spans="1:20" x14ac:dyDescent="0.25">
      <c r="A77" s="5">
        <v>44516</v>
      </c>
      <c r="B77">
        <v>2.0179999999999998</v>
      </c>
      <c r="C77">
        <v>2.0179999999999998</v>
      </c>
      <c r="D77">
        <v>1.7589999999999999</v>
      </c>
      <c r="E77">
        <v>1.8740000000000001</v>
      </c>
      <c r="F77">
        <v>268941429.22000003</v>
      </c>
      <c r="G77">
        <v>1.8740000000000001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-0.11196911196910997</v>
      </c>
      <c r="Q77">
        <f t="shared" ref="Q77" si="361">F77*P77</f>
        <v>-30113133.001466647</v>
      </c>
      <c r="R77">
        <f t="shared" ref="R77" si="362">R78+Q77</f>
        <v>41931972128.405006</v>
      </c>
      <c r="S77">
        <f t="shared" ref="S77" si="363">R77/100000</f>
        <v>419319.72128405009</v>
      </c>
      <c r="T77">
        <f t="shared" ref="T77" si="364">S77/1000</f>
        <v>419.3197212840501</v>
      </c>
    </row>
    <row r="78" spans="1:20" x14ac:dyDescent="0.25">
      <c r="A78" s="5">
        <v>44515</v>
      </c>
      <c r="B78">
        <v>2.04</v>
      </c>
      <c r="C78">
        <v>2.0950000000000002</v>
      </c>
      <c r="D78">
        <v>2.0110000000000001</v>
      </c>
      <c r="E78">
        <v>2.0169999999999999</v>
      </c>
      <c r="F78">
        <v>93079577.900000006</v>
      </c>
      <c r="G78">
        <v>2.0169999999999999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-0.85714285714286242</v>
      </c>
      <c r="Q78">
        <f t="shared" ref="Q78" si="366">F78*P78</f>
        <v>-79782495.342857644</v>
      </c>
      <c r="R78">
        <f t="shared" ref="R78" si="367">R79+Q78</f>
        <v>41962085261.406471</v>
      </c>
      <c r="S78">
        <f t="shared" ref="S78" si="368">R78/100000</f>
        <v>419620.8526140647</v>
      </c>
      <c r="T78">
        <f t="shared" ref="T78" si="369">S78/1000</f>
        <v>419.62085261406469</v>
      </c>
    </row>
    <row r="79" spans="1:20" x14ac:dyDescent="0.25">
      <c r="A79" s="5">
        <v>44514</v>
      </c>
      <c r="B79">
        <v>2.0499999999999998</v>
      </c>
      <c r="C79">
        <v>2.0699999999999998</v>
      </c>
      <c r="D79">
        <v>2.0089999999999999</v>
      </c>
      <c r="E79">
        <v>2.04</v>
      </c>
      <c r="F79">
        <v>59859608.600000001</v>
      </c>
      <c r="G79">
        <v>2.04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1.6393442622956309E-2</v>
      </c>
      <c r="Q79">
        <f t="shared" ref="Q79" si="371">F79*P79</f>
        <v>981305.05901672202</v>
      </c>
      <c r="R79">
        <f t="shared" ref="R79" si="372">R80+Q79</f>
        <v>42041867756.749329</v>
      </c>
      <c r="S79">
        <f t="shared" ref="S79" si="373">R79/100000</f>
        <v>420418.67756749329</v>
      </c>
      <c r="T79">
        <f t="shared" ref="T79" si="374">S79/1000</f>
        <v>420.41867756749326</v>
      </c>
    </row>
    <row r="80" spans="1:20" x14ac:dyDescent="0.25">
      <c r="A80" s="5">
        <v>44513</v>
      </c>
      <c r="B80">
        <v>2.0459999999999998</v>
      </c>
      <c r="C80">
        <v>2.08</v>
      </c>
      <c r="D80">
        <v>2.0209999999999999</v>
      </c>
      <c r="E80">
        <v>2.0499999999999998</v>
      </c>
      <c r="F80">
        <v>82511465.5</v>
      </c>
      <c r="G80">
        <v>2.0499999999999998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-1.6949152542378495E-2</v>
      </c>
      <c r="Q80">
        <f t="shared" ref="Q80" si="376">F80*P80</f>
        <v>-1398499.4152547005</v>
      </c>
      <c r="R80">
        <f t="shared" ref="R80" si="377">R81+Q80</f>
        <v>42040886451.690315</v>
      </c>
      <c r="S80">
        <f t="shared" ref="S80" si="378">R80/100000</f>
        <v>420408.86451690318</v>
      </c>
      <c r="T80">
        <f t="shared" ref="T80" si="379">S80/1000</f>
        <v>420.40886451690318</v>
      </c>
    </row>
    <row r="81" spans="1:20" x14ac:dyDescent="0.25">
      <c r="A81" s="5">
        <v>44512</v>
      </c>
      <c r="B81">
        <v>2.0790000000000002</v>
      </c>
      <c r="C81">
        <v>2.0990000000000002</v>
      </c>
      <c r="D81">
        <v>1.9910000000000001</v>
      </c>
      <c r="E81">
        <v>2.0449999999999999</v>
      </c>
      <c r="F81">
        <v>160252178.80000001</v>
      </c>
      <c r="G81">
        <v>2.0449999999999999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-4.1119371282413167E-15</v>
      </c>
      <c r="Q81">
        <f t="shared" ref="Q81" si="381">F81*P81</f>
        <v>-6.589468838892861E-7</v>
      </c>
      <c r="R81">
        <f t="shared" ref="R81" si="382">R82+Q81</f>
        <v>42042284951.105568</v>
      </c>
      <c r="S81">
        <f t="shared" ref="S81" si="383">R81/100000</f>
        <v>420422.84951105568</v>
      </c>
      <c r="T81">
        <f t="shared" ref="T81" si="384">S81/1000</f>
        <v>420.42284951105569</v>
      </c>
    </row>
    <row r="82" spans="1:20" x14ac:dyDescent="0.25">
      <c r="A82" s="5">
        <v>44511</v>
      </c>
      <c r="B82">
        <v>2.097</v>
      </c>
      <c r="C82">
        <v>2.153</v>
      </c>
      <c r="D82">
        <v>2.0579999999999998</v>
      </c>
      <c r="E82">
        <v>2.0790000000000002</v>
      </c>
      <c r="F82">
        <v>151168963.59999999</v>
      </c>
      <c r="G82">
        <v>2.0790000000000002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-0.55789473684209878</v>
      </c>
      <c r="Q82">
        <f t="shared" ref="Q82" si="386">F82*P82</f>
        <v>-84336369.166314811</v>
      </c>
      <c r="R82">
        <f t="shared" ref="R82" si="387">R83+Q82</f>
        <v>42042284951.105568</v>
      </c>
      <c r="S82">
        <f t="shared" ref="S82" si="388">R82/100000</f>
        <v>420422.84951105568</v>
      </c>
      <c r="T82">
        <f t="shared" ref="T82" si="389">S82/1000</f>
        <v>420.42284951105569</v>
      </c>
    </row>
    <row r="83" spans="1:20" x14ac:dyDescent="0.25">
      <c r="A83" s="5">
        <v>44510</v>
      </c>
      <c r="B83">
        <v>2.2690000000000001</v>
      </c>
      <c r="C83">
        <v>2.331</v>
      </c>
      <c r="D83">
        <v>1.9319999999999999</v>
      </c>
      <c r="E83">
        <v>2.097</v>
      </c>
      <c r="F83">
        <v>479840587.60000002</v>
      </c>
      <c r="G83">
        <v>2.097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-0.17293233082706755</v>
      </c>
      <c r="Q83">
        <f t="shared" ref="Q83" si="391">F83*P83</f>
        <v>-82979951.239097685</v>
      </c>
      <c r="R83">
        <f t="shared" ref="R83" si="392">R84+Q83</f>
        <v>42126621320.271881</v>
      </c>
      <c r="S83">
        <f t="shared" ref="S83" si="393">R83/100000</f>
        <v>421266.21320271882</v>
      </c>
      <c r="T83">
        <f t="shared" ref="T83" si="394">S83/1000</f>
        <v>421.2662132027188</v>
      </c>
    </row>
    <row r="84" spans="1:20" x14ac:dyDescent="0.25">
      <c r="A84" s="5">
        <v>44509</v>
      </c>
      <c r="B84">
        <v>2.1259999999999999</v>
      </c>
      <c r="C84">
        <v>2.3780000000000001</v>
      </c>
      <c r="D84">
        <v>2.105</v>
      </c>
      <c r="E84">
        <v>2.27</v>
      </c>
      <c r="F84">
        <v>581074544.20000005</v>
      </c>
      <c r="G84">
        <v>2.27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0.20879120879120847</v>
      </c>
      <c r="Q84">
        <f t="shared" ref="Q84" si="396">F84*P84</f>
        <v>121323256.4813185</v>
      </c>
      <c r="R84">
        <f t="shared" ref="R84" si="397">R85+Q84</f>
        <v>42209601271.510979</v>
      </c>
      <c r="S84">
        <f t="shared" ref="S84" si="398">R84/100000</f>
        <v>422096.0127151098</v>
      </c>
      <c r="T84">
        <f t="shared" ref="T84" si="399">S84/1000</f>
        <v>422.09601271510979</v>
      </c>
    </row>
    <row r="85" spans="1:20" x14ac:dyDescent="0.25">
      <c r="A85" s="5">
        <v>44508</v>
      </c>
      <c r="B85">
        <v>2.02</v>
      </c>
      <c r="C85">
        <v>2.14</v>
      </c>
      <c r="D85">
        <v>2.008</v>
      </c>
      <c r="E85">
        <v>2.125</v>
      </c>
      <c r="F85">
        <v>189974471.09999999</v>
      </c>
      <c r="G85">
        <v>2.125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0.77272727272727104</v>
      </c>
      <c r="Q85">
        <f t="shared" ref="Q85" si="401">F85*P85</f>
        <v>146798454.94090876</v>
      </c>
      <c r="R85">
        <f t="shared" ref="R85" si="402">R86+Q85</f>
        <v>42088278015.029663</v>
      </c>
      <c r="S85">
        <f t="shared" ref="S85" si="403">R85/100000</f>
        <v>420882.78015029663</v>
      </c>
      <c r="T85">
        <f t="shared" ref="T85" si="404">S85/1000</f>
        <v>420.88278015029664</v>
      </c>
    </row>
    <row r="86" spans="1:20" x14ac:dyDescent="0.25">
      <c r="A86" s="5">
        <v>44507</v>
      </c>
      <c r="B86">
        <v>2.004</v>
      </c>
      <c r="C86">
        <v>2.0350000000000001</v>
      </c>
      <c r="D86">
        <v>1.974</v>
      </c>
      <c r="E86">
        <v>2.0209999999999999</v>
      </c>
      <c r="F86">
        <v>82637102.700000003</v>
      </c>
      <c r="G86">
        <v>2.0209999999999999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0.54098360655737066</v>
      </c>
      <c r="Q86">
        <f t="shared" ref="Q86" si="406">F86*P86</f>
        <v>44705317.854097836</v>
      </c>
      <c r="R86">
        <f t="shared" ref="R86" si="407">R87+Q86</f>
        <v>41941479560.088753</v>
      </c>
      <c r="S86">
        <f t="shared" ref="S86" si="408">R86/100000</f>
        <v>419414.7956008875</v>
      </c>
      <c r="T86">
        <f t="shared" ref="T86" si="409">S86/1000</f>
        <v>419.41479560088749</v>
      </c>
    </row>
    <row r="87" spans="1:20" x14ac:dyDescent="0.25">
      <c r="A87" s="5">
        <v>44506</v>
      </c>
      <c r="B87">
        <v>1.982</v>
      </c>
      <c r="C87">
        <v>2.04</v>
      </c>
      <c r="D87">
        <v>1.9419999999999999</v>
      </c>
      <c r="E87">
        <v>2.0049999999999999</v>
      </c>
      <c r="F87">
        <v>105480654.3</v>
      </c>
      <c r="G87">
        <v>2.0049999999999999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0.28571428571428342</v>
      </c>
      <c r="Q87">
        <f t="shared" ref="Q87" si="411">F87*P87</f>
        <v>30137329.799999759</v>
      </c>
      <c r="R87">
        <f t="shared" ref="R87" si="412">R88+Q87</f>
        <v>41896774242.234657</v>
      </c>
      <c r="S87">
        <f t="shared" ref="S87" si="413">R87/100000</f>
        <v>418967.74242234655</v>
      </c>
      <c r="T87">
        <f t="shared" ref="T87" si="414">S87/1000</f>
        <v>418.96774242234653</v>
      </c>
    </row>
    <row r="88" spans="1:20" x14ac:dyDescent="0.25">
      <c r="A88" s="5">
        <v>44505</v>
      </c>
      <c r="B88">
        <v>1.9830000000000001</v>
      </c>
      <c r="C88">
        <v>2.0169999999999999</v>
      </c>
      <c r="D88">
        <v>1.9590000000000001</v>
      </c>
      <c r="E88">
        <v>1.982</v>
      </c>
      <c r="F88">
        <v>108180863.7</v>
      </c>
      <c r="G88">
        <v>1.982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-0.20689655172413873</v>
      </c>
      <c r="Q88">
        <f t="shared" ref="Q88" si="416">F88*P88</f>
        <v>-22382247.662069052</v>
      </c>
      <c r="R88">
        <f t="shared" ref="R88" si="417">R89+Q88</f>
        <v>41866636912.434654</v>
      </c>
      <c r="S88">
        <f t="shared" ref="S88" si="418">R88/100000</f>
        <v>418666.36912434653</v>
      </c>
      <c r="T88">
        <f t="shared" ref="T88" si="419">S88/1000</f>
        <v>418.66636912434655</v>
      </c>
    </row>
    <row r="89" spans="1:20" x14ac:dyDescent="0.25">
      <c r="A89" s="5">
        <v>44504</v>
      </c>
      <c r="B89">
        <v>2.0630000000000002</v>
      </c>
      <c r="C89">
        <v>2.1030000000000002</v>
      </c>
      <c r="D89">
        <v>1.9330000000000001</v>
      </c>
      <c r="E89">
        <v>1.9830000000000001</v>
      </c>
      <c r="F89">
        <v>174549100.40000001</v>
      </c>
      <c r="G89">
        <v>1.9830000000000001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-0.41176470588235292</v>
      </c>
      <c r="Q89">
        <f t="shared" ref="Q89" si="421">F89*P89</f>
        <v>-71873158.988235295</v>
      </c>
      <c r="R89">
        <f t="shared" ref="R89" si="422">R90+Q89</f>
        <v>41889019160.096725</v>
      </c>
      <c r="S89">
        <f t="shared" ref="S89" si="423">R89/100000</f>
        <v>418890.19160096726</v>
      </c>
      <c r="T89">
        <f t="shared" ref="T89" si="424">S89/1000</f>
        <v>418.89019160096728</v>
      </c>
    </row>
    <row r="90" spans="1:20" x14ac:dyDescent="0.25">
      <c r="A90" s="5">
        <v>44503</v>
      </c>
      <c r="B90">
        <v>1.9710000000000001</v>
      </c>
      <c r="C90">
        <v>2.1440000000000001</v>
      </c>
      <c r="D90">
        <v>1.95</v>
      </c>
      <c r="E90">
        <v>2.0630000000000002</v>
      </c>
      <c r="F90">
        <v>335561983.69999999</v>
      </c>
      <c r="G90">
        <v>2.0630000000000002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0.16494845360824856</v>
      </c>
      <c r="Q90">
        <f t="shared" ref="Q90" si="426">F90*P90</f>
        <v>55350430.301031306</v>
      </c>
      <c r="R90">
        <f t="shared" ref="R90" si="427">R91+Q90</f>
        <v>41960892319.084961</v>
      </c>
      <c r="S90">
        <f t="shared" ref="S90" si="428">R90/100000</f>
        <v>419608.9231908496</v>
      </c>
      <c r="T90">
        <f t="shared" ref="T90" si="429">S90/1000</f>
        <v>419.60892319084962</v>
      </c>
    </row>
    <row r="91" spans="1:20" x14ac:dyDescent="0.25">
      <c r="A91" s="5">
        <v>44502</v>
      </c>
      <c r="B91">
        <v>1.9490000000000001</v>
      </c>
      <c r="C91">
        <v>1.996</v>
      </c>
      <c r="D91">
        <v>1.9330000000000001</v>
      </c>
      <c r="E91">
        <v>1.9710000000000001</v>
      </c>
      <c r="F91">
        <v>124263204</v>
      </c>
      <c r="G91">
        <v>1.9710000000000001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0.20634920634920847</v>
      </c>
      <c r="Q91">
        <f t="shared" ref="Q91" si="431">F91*P91</f>
        <v>25641613.523809787</v>
      </c>
      <c r="R91">
        <f t="shared" ref="R91" si="432">R92+Q91</f>
        <v>41905541888.783928</v>
      </c>
      <c r="S91">
        <f t="shared" ref="S91" si="433">R91/100000</f>
        <v>419055.4188878393</v>
      </c>
      <c r="T91">
        <f t="shared" ref="T91" si="434">S91/1000</f>
        <v>419.05541888783932</v>
      </c>
    </row>
    <row r="92" spans="1:20" x14ac:dyDescent="0.25">
      <c r="A92" s="5">
        <v>44501</v>
      </c>
      <c r="B92">
        <v>1.9650000000000001</v>
      </c>
      <c r="C92">
        <v>2.0190000000000001</v>
      </c>
      <c r="D92">
        <v>1.911</v>
      </c>
      <c r="E92">
        <v>1.9490000000000001</v>
      </c>
      <c r="F92">
        <v>144061135.40000001</v>
      </c>
      <c r="G92">
        <v>1.9490000000000001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-0.29629629629629628</v>
      </c>
      <c r="Q92">
        <f t="shared" ref="Q92" si="436">F92*P92</f>
        <v>-42684780.859259255</v>
      </c>
      <c r="R92">
        <f t="shared" ref="R92" si="437">R93+Q92</f>
        <v>41879900275.260117</v>
      </c>
      <c r="S92">
        <f t="shared" ref="S92" si="438">R92/100000</f>
        <v>418799.00275260117</v>
      </c>
      <c r="T92">
        <f t="shared" ref="T92" si="439">S92/1000</f>
        <v>418.79900275260115</v>
      </c>
    </row>
    <row r="93" spans="1:20" x14ac:dyDescent="0.25">
      <c r="A93" s="5">
        <v>44500</v>
      </c>
      <c r="B93">
        <v>1.9570000000000001</v>
      </c>
      <c r="C93">
        <v>2.0289999999999999</v>
      </c>
      <c r="D93">
        <v>1.9179999999999999</v>
      </c>
      <c r="E93">
        <v>1.964</v>
      </c>
      <c r="F93">
        <v>146413161.5</v>
      </c>
      <c r="G93">
        <v>1.964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-0.17117117117117034</v>
      </c>
      <c r="Q93">
        <f t="shared" ref="Q93" si="441">F93*P93</f>
        <v>-25061712.328828707</v>
      </c>
      <c r="R93">
        <f t="shared" ref="R93" si="442">R94+Q93</f>
        <v>41922585056.119377</v>
      </c>
      <c r="S93">
        <f t="shared" ref="S93" si="443">R93/100000</f>
        <v>419225.85056119377</v>
      </c>
      <c r="T93">
        <f t="shared" ref="T93" si="444">S93/1000</f>
        <v>419.22585056119379</v>
      </c>
    </row>
    <row r="94" spans="1:20" x14ac:dyDescent="0.25">
      <c r="A94" s="5">
        <v>44499</v>
      </c>
      <c r="B94">
        <v>2.016</v>
      </c>
      <c r="C94">
        <v>2.0190000000000001</v>
      </c>
      <c r="D94">
        <v>1.9239999999999999</v>
      </c>
      <c r="E94">
        <v>1.9550000000000001</v>
      </c>
      <c r="F94">
        <v>122995185.8</v>
      </c>
      <c r="G94">
        <v>1.9550000000000001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-0.34736842105262999</v>
      </c>
      <c r="Q94">
        <f t="shared" ref="Q94" si="446">F94*P94</f>
        <v>-42724643.488420859</v>
      </c>
      <c r="R94">
        <f t="shared" ref="R94" si="447">R95+Q94</f>
        <v>41947646768.448204</v>
      </c>
      <c r="S94">
        <f t="shared" ref="S94" si="448">R94/100000</f>
        <v>419476.46768448205</v>
      </c>
      <c r="T94">
        <f t="shared" ref="T94" si="449">S94/1000</f>
        <v>419.47646768448203</v>
      </c>
    </row>
    <row r="95" spans="1:20" x14ac:dyDescent="0.25">
      <c r="A95" s="5">
        <v>44498</v>
      </c>
      <c r="B95">
        <v>1.9870000000000001</v>
      </c>
      <c r="C95">
        <v>2.048</v>
      </c>
      <c r="D95">
        <v>1.9790000000000001</v>
      </c>
      <c r="E95">
        <v>2.0150000000000001</v>
      </c>
      <c r="F95">
        <v>154761692.90000001</v>
      </c>
      <c r="G95">
        <v>2.0150000000000001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4.3478260869566895E-2</v>
      </c>
      <c r="Q95">
        <f t="shared" ref="Q95" si="451">F95*P95</f>
        <v>6728769.2565219989</v>
      </c>
      <c r="R95">
        <f t="shared" ref="R95" si="452">R96+Q95</f>
        <v>41990371411.936623</v>
      </c>
      <c r="S95">
        <f t="shared" ref="S95" si="453">R95/100000</f>
        <v>419903.71411936625</v>
      </c>
      <c r="T95">
        <f t="shared" ref="T95" si="454">S95/1000</f>
        <v>419.90371411936627</v>
      </c>
    </row>
    <row r="96" spans="1:20" x14ac:dyDescent="0.25">
      <c r="A96" s="5">
        <v>44497</v>
      </c>
      <c r="B96">
        <v>1.9119999999999999</v>
      </c>
      <c r="C96">
        <v>2.0579999999999998</v>
      </c>
      <c r="D96">
        <v>1.905</v>
      </c>
      <c r="E96">
        <v>1.9870000000000001</v>
      </c>
      <c r="F96">
        <v>253879713.5</v>
      </c>
      <c r="G96">
        <v>1.9870000000000001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7.1895424836603647E-2</v>
      </c>
      <c r="Q96">
        <f t="shared" ref="Q96" si="456">F96*P96</f>
        <v>18252789.859477717</v>
      </c>
      <c r="R96">
        <f t="shared" ref="R96" si="457">R97+Q96</f>
        <v>41983642642.680099</v>
      </c>
      <c r="S96">
        <f t="shared" ref="S96" si="458">R96/100000</f>
        <v>419836.42642680102</v>
      </c>
      <c r="T96">
        <f t="shared" ref="T96" si="459">S96/1000</f>
        <v>419.83642642680104</v>
      </c>
    </row>
    <row r="97" spans="1:20" x14ac:dyDescent="0.25">
      <c r="A97" s="5">
        <v>44496</v>
      </c>
      <c r="B97">
        <v>2.1379999999999999</v>
      </c>
      <c r="C97">
        <v>2.1560000000000001</v>
      </c>
      <c r="D97">
        <v>1.804</v>
      </c>
      <c r="E97">
        <v>1.9119999999999999</v>
      </c>
      <c r="F97">
        <v>397889032.10000002</v>
      </c>
      <c r="G97">
        <v>1.9119999999999999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-0.38636363636363724</v>
      </c>
      <c r="Q97">
        <f t="shared" ref="Q97" si="461">F97*P97</f>
        <v>-153729853.311364</v>
      </c>
      <c r="R97">
        <f t="shared" ref="R97" si="462">R98+Q97</f>
        <v>41965389852.820625</v>
      </c>
      <c r="S97">
        <f t="shared" ref="S97" si="463">R97/100000</f>
        <v>419653.89852820628</v>
      </c>
      <c r="T97">
        <f t="shared" ref="T97" si="464">S97/1000</f>
        <v>419.6538985282063</v>
      </c>
    </row>
    <row r="98" spans="1:20" x14ac:dyDescent="0.25">
      <c r="A98" s="5">
        <v>44495</v>
      </c>
      <c r="B98">
        <v>2.145</v>
      </c>
      <c r="C98">
        <v>2.202</v>
      </c>
      <c r="D98">
        <v>2.1219999999999999</v>
      </c>
      <c r="E98">
        <v>2.137</v>
      </c>
      <c r="F98">
        <v>142897864.5</v>
      </c>
      <c r="G98">
        <v>2.137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-0.62499999999999722</v>
      </c>
      <c r="Q98">
        <f t="shared" ref="Q98" si="466">F98*P98</f>
        <v>-89311165.312499598</v>
      </c>
      <c r="R98">
        <f t="shared" ref="R98" si="467">R99+Q98</f>
        <v>42119119706.131989</v>
      </c>
      <c r="S98">
        <f t="shared" ref="S98" si="468">R98/100000</f>
        <v>421191.19706131989</v>
      </c>
      <c r="T98">
        <f t="shared" ref="T98" si="469">S98/1000</f>
        <v>421.19119706131988</v>
      </c>
    </row>
    <row r="99" spans="1:20" x14ac:dyDescent="0.25">
      <c r="A99" s="5">
        <v>44494</v>
      </c>
      <c r="B99">
        <v>2.1190000000000002</v>
      </c>
      <c r="C99">
        <v>2.1779999999999999</v>
      </c>
      <c r="D99">
        <v>2.1139999999999999</v>
      </c>
      <c r="E99">
        <v>2.1440000000000001</v>
      </c>
      <c r="F99">
        <v>105874037.90000001</v>
      </c>
      <c r="G99">
        <v>2.1440000000000001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-6.2499999999993061E-2</v>
      </c>
      <c r="Q99">
        <f t="shared" ref="Q99" si="471">F99*P99</f>
        <v>-6617127.3687492656</v>
      </c>
      <c r="R99">
        <f t="shared" ref="R99" si="472">R100+Q99</f>
        <v>42208430871.444489</v>
      </c>
      <c r="S99">
        <f t="shared" ref="S99" si="473">R99/100000</f>
        <v>422084.30871444487</v>
      </c>
      <c r="T99">
        <f t="shared" ref="T99" si="474">S99/1000</f>
        <v>422.08430871444489</v>
      </c>
    </row>
    <row r="100" spans="1:20" x14ac:dyDescent="0.25">
      <c r="A100" s="5">
        <v>44493</v>
      </c>
      <c r="B100">
        <v>2.1669999999999998</v>
      </c>
      <c r="C100">
        <v>2.169</v>
      </c>
      <c r="D100">
        <v>2.093</v>
      </c>
      <c r="E100">
        <v>2.12</v>
      </c>
      <c r="F100">
        <v>97230595.400000006</v>
      </c>
      <c r="G100">
        <v>2.12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-0.28947368421052339</v>
      </c>
      <c r="Q100">
        <f t="shared" ref="Q100" si="476">F100*P100</f>
        <v>-28145698.668420769</v>
      </c>
      <c r="R100">
        <f t="shared" ref="R100" si="477">R101+Q100</f>
        <v>42215047998.81324</v>
      </c>
      <c r="S100">
        <f t="shared" ref="S100" si="478">R100/100000</f>
        <v>422150.47998813243</v>
      </c>
      <c r="T100">
        <f t="shared" ref="T100" si="479">S100/1000</f>
        <v>422.15047998813242</v>
      </c>
    </row>
    <row r="101" spans="1:20" x14ac:dyDescent="0.25">
      <c r="A101" s="5">
        <v>44492</v>
      </c>
      <c r="B101">
        <v>2.157</v>
      </c>
      <c r="C101">
        <v>2.1749999999999998</v>
      </c>
      <c r="D101">
        <v>2.1309999999999998</v>
      </c>
      <c r="E101">
        <v>2.1659999999999999</v>
      </c>
      <c r="F101">
        <v>74106470.799999997</v>
      </c>
      <c r="G101">
        <v>2.1659999999999999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0.59090909090909594</v>
      </c>
      <c r="Q101">
        <f t="shared" ref="Q101" si="481">F101*P101</f>
        <v>43790187.290909462</v>
      </c>
      <c r="R101">
        <f t="shared" ref="R101" si="482">R102+Q101</f>
        <v>42243193697.481659</v>
      </c>
      <c r="S101">
        <f t="shared" ref="S101" si="483">R101/100000</f>
        <v>422431.93697481661</v>
      </c>
      <c r="T101">
        <f t="shared" ref="T101" si="484">S101/1000</f>
        <v>422.43193697481661</v>
      </c>
    </row>
    <row r="102" spans="1:20" x14ac:dyDescent="0.25">
      <c r="A102" s="5">
        <v>44491</v>
      </c>
      <c r="B102">
        <v>2.1360000000000001</v>
      </c>
      <c r="C102">
        <v>2.21</v>
      </c>
      <c r="D102">
        <v>2.125</v>
      </c>
      <c r="E102">
        <v>2.1560000000000001</v>
      </c>
      <c r="F102">
        <v>130738721.40000001</v>
      </c>
      <c r="G102">
        <v>2.1560000000000001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-0.27058823529411408</v>
      </c>
      <c r="Q102">
        <f t="shared" ref="Q102" si="486">F102*P102</f>
        <v>-35376359.908234827</v>
      </c>
      <c r="R102">
        <f t="shared" ref="R102" si="487">R103+Q102</f>
        <v>42199403510.19075</v>
      </c>
      <c r="S102">
        <f t="shared" ref="S102" si="488">R102/100000</f>
        <v>421994.0351019075</v>
      </c>
      <c r="T102">
        <f t="shared" ref="T102" si="489">S102/1000</f>
        <v>421.99403510190751</v>
      </c>
    </row>
    <row r="103" spans="1:20" x14ac:dyDescent="0.25">
      <c r="A103" s="5">
        <v>44490</v>
      </c>
      <c r="B103">
        <v>2.19</v>
      </c>
      <c r="C103">
        <v>2.298</v>
      </c>
      <c r="D103">
        <v>2.1309999999999998</v>
      </c>
      <c r="E103">
        <v>2.137</v>
      </c>
      <c r="F103">
        <v>265787667.09999999</v>
      </c>
      <c r="G103">
        <v>2.137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-0.92814371257484773</v>
      </c>
      <c r="Q103">
        <f t="shared" ref="Q103" si="491">F103*P103</f>
        <v>-246689152.0988017</v>
      </c>
      <c r="R103">
        <f t="shared" ref="R103" si="492">R104+Q103</f>
        <v>42234779870.098984</v>
      </c>
      <c r="S103">
        <f t="shared" ref="S103" si="493">R103/100000</f>
        <v>422347.79870098986</v>
      </c>
      <c r="T103">
        <f t="shared" ref="T103" si="494">S103/1000</f>
        <v>422.34779870098987</v>
      </c>
    </row>
    <row r="104" spans="1:20" x14ac:dyDescent="0.25">
      <c r="A104" s="5">
        <v>44489</v>
      </c>
      <c r="B104">
        <v>2.11</v>
      </c>
      <c r="C104">
        <v>2.2080000000000002</v>
      </c>
      <c r="D104">
        <v>2.0920000000000001</v>
      </c>
      <c r="E104">
        <v>2.19</v>
      </c>
      <c r="F104">
        <v>135969738.80000001</v>
      </c>
      <c r="G104">
        <v>2.19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0.68965517241378926</v>
      </c>
      <c r="Q104">
        <f t="shared" ref="Q104" si="496">F104*P104</f>
        <v>93772233.655171901</v>
      </c>
      <c r="R104">
        <f t="shared" ref="R104" si="497">R105+Q104</f>
        <v>42481469022.197784</v>
      </c>
      <c r="S104">
        <f t="shared" ref="S104" si="498">R104/100000</f>
        <v>424814.69022197783</v>
      </c>
      <c r="T104">
        <f t="shared" ref="T104" si="499">S104/1000</f>
        <v>424.81469022197786</v>
      </c>
    </row>
    <row r="105" spans="1:20" x14ac:dyDescent="0.25">
      <c r="A105" s="5">
        <v>44488</v>
      </c>
      <c r="B105">
        <v>2.1269999999999998</v>
      </c>
      <c r="C105">
        <v>2.157</v>
      </c>
      <c r="D105">
        <v>2.093</v>
      </c>
      <c r="E105">
        <v>2.11</v>
      </c>
      <c r="F105">
        <v>94391775.599999994</v>
      </c>
      <c r="G105">
        <v>2.11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-0.46875000000000344</v>
      </c>
      <c r="Q105">
        <f t="shared" ref="Q105" si="501">F105*P105</f>
        <v>-44246144.81250032</v>
      </c>
      <c r="R105">
        <f t="shared" ref="R105" si="502">R106+Q105</f>
        <v>42387696788.54261</v>
      </c>
      <c r="S105">
        <f t="shared" ref="S105" si="503">R105/100000</f>
        <v>423876.96788542613</v>
      </c>
      <c r="T105">
        <f t="shared" ref="T105" si="504">S105/1000</f>
        <v>423.87696788542615</v>
      </c>
    </row>
    <row r="106" spans="1:20" x14ac:dyDescent="0.25">
      <c r="A106" s="5">
        <v>44487</v>
      </c>
      <c r="B106">
        <v>2.1579999999999999</v>
      </c>
      <c r="C106">
        <v>2.1760000000000002</v>
      </c>
      <c r="D106">
        <v>2.105</v>
      </c>
      <c r="E106">
        <v>2.1280000000000001</v>
      </c>
      <c r="F106">
        <v>96988762.799999997</v>
      </c>
      <c r="G106">
        <v>2.1280000000000001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-0.35211267605633589</v>
      </c>
      <c r="Q106">
        <f t="shared" ref="Q106" si="506">F106*P106</f>
        <v>-34150972.8169012</v>
      </c>
      <c r="R106">
        <f t="shared" ref="R106" si="507">R107+Q106</f>
        <v>42431942933.35511</v>
      </c>
      <c r="S106">
        <f t="shared" ref="S106" si="508">R106/100000</f>
        <v>424319.42933355109</v>
      </c>
      <c r="T106">
        <f t="shared" ref="T106" si="509">S106/1000</f>
        <v>424.31942933355111</v>
      </c>
    </row>
    <row r="107" spans="1:20" x14ac:dyDescent="0.25">
      <c r="A107" s="5">
        <v>44486</v>
      </c>
      <c r="B107">
        <v>2.1779999999999999</v>
      </c>
      <c r="C107">
        <v>2.1890000000000001</v>
      </c>
      <c r="D107">
        <v>2.089</v>
      </c>
      <c r="E107">
        <v>2.1579999999999999</v>
      </c>
      <c r="F107">
        <v>109914412.09999999</v>
      </c>
      <c r="G107">
        <v>2.1579999999999999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0.37999999999999778</v>
      </c>
      <c r="Q107">
        <f t="shared" ref="Q107" si="511">F107*P107</f>
        <v>41767476.597999752</v>
      </c>
      <c r="R107">
        <f t="shared" ref="R107" si="512">R108+Q107</f>
        <v>42466093906.172012</v>
      </c>
      <c r="S107">
        <f t="shared" ref="S107" si="513">R107/100000</f>
        <v>424660.9390617201</v>
      </c>
      <c r="T107">
        <f t="shared" ref="T107" si="514">S107/1000</f>
        <v>424.66093906172011</v>
      </c>
    </row>
    <row r="108" spans="1:20" x14ac:dyDescent="0.25">
      <c r="A108" s="5">
        <v>44485</v>
      </c>
      <c r="B108">
        <v>2.2170000000000001</v>
      </c>
      <c r="C108">
        <v>2.25</v>
      </c>
      <c r="D108">
        <v>2.169</v>
      </c>
      <c r="E108">
        <v>2.1789999999999998</v>
      </c>
      <c r="F108">
        <v>103000332.90000001</v>
      </c>
      <c r="G108">
        <v>2.1789999999999998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-0.75308641975309154</v>
      </c>
      <c r="Q108">
        <f t="shared" ref="Q108" si="516">F108*P108</f>
        <v>-77568151.937037572</v>
      </c>
      <c r="R108">
        <f t="shared" ref="R108" si="517">R109+Q108</f>
        <v>42424326429.574013</v>
      </c>
      <c r="S108">
        <f t="shared" ref="S108" si="518">R108/100000</f>
        <v>424243.26429574011</v>
      </c>
      <c r="T108">
        <f t="shared" ref="T108" si="519">S108/1000</f>
        <v>424.24326429574012</v>
      </c>
    </row>
    <row r="109" spans="1:20" x14ac:dyDescent="0.25">
      <c r="A109" s="5">
        <v>44484</v>
      </c>
      <c r="B109">
        <v>2.1720000000000002</v>
      </c>
      <c r="C109">
        <v>2.2429999999999999</v>
      </c>
      <c r="D109">
        <v>2.1360000000000001</v>
      </c>
      <c r="E109">
        <v>2.218</v>
      </c>
      <c r="F109">
        <v>205811006.80000001</v>
      </c>
      <c r="G109">
        <v>2.218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0.53271028037383239</v>
      </c>
      <c r="Q109">
        <f t="shared" ref="Q109" si="521">F109*P109</f>
        <v>109637639.13644873</v>
      </c>
      <c r="R109">
        <f t="shared" ref="R109" si="522">R110+Q109</f>
        <v>42501894581.511047</v>
      </c>
      <c r="S109">
        <f t="shared" ref="S109" si="523">R109/100000</f>
        <v>425018.94581511046</v>
      </c>
      <c r="T109">
        <f t="shared" ref="T109" si="524">S109/1000</f>
        <v>425.01894581511044</v>
      </c>
    </row>
    <row r="110" spans="1:20" x14ac:dyDescent="0.25">
      <c r="A110" s="5">
        <v>44483</v>
      </c>
      <c r="B110">
        <v>2.1890000000000001</v>
      </c>
      <c r="C110">
        <v>2.2250000000000001</v>
      </c>
      <c r="D110">
        <v>2.1549999999999998</v>
      </c>
      <c r="E110">
        <v>2.1720000000000002</v>
      </c>
      <c r="F110">
        <v>109132237.40000001</v>
      </c>
      <c r="G110">
        <v>2.1720000000000002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-0.51428571428570635</v>
      </c>
      <c r="Q110">
        <f t="shared" ref="Q110" si="526">F110*P110</f>
        <v>-56125150.662856281</v>
      </c>
      <c r="R110">
        <f t="shared" ref="R110" si="527">R111+Q110</f>
        <v>42392256942.374596</v>
      </c>
      <c r="S110">
        <f t="shared" ref="S110" si="528">R110/100000</f>
        <v>423922.56942374597</v>
      </c>
      <c r="T110">
        <f t="shared" ref="T110" si="529">S110/1000</f>
        <v>423.92256942374598</v>
      </c>
    </row>
    <row r="111" spans="1:20" x14ac:dyDescent="0.25">
      <c r="A111" s="5">
        <v>44482</v>
      </c>
      <c r="B111">
        <v>2.117</v>
      </c>
      <c r="C111">
        <v>2.2000000000000002</v>
      </c>
      <c r="D111">
        <v>2.0779999999999998</v>
      </c>
      <c r="E111">
        <v>2.19</v>
      </c>
      <c r="F111">
        <v>133035035.40000001</v>
      </c>
      <c r="G111">
        <v>2.19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0.83606557377048851</v>
      </c>
      <c r="Q111">
        <f t="shared" ref="Q111" si="531">F111*P111</f>
        <v>111226013.20327826</v>
      </c>
      <c r="R111">
        <f t="shared" ref="R111" si="532">R112+Q111</f>
        <v>42448382093.037453</v>
      </c>
      <c r="S111">
        <f t="shared" ref="S111" si="533">R111/100000</f>
        <v>424483.82093037455</v>
      </c>
      <c r="T111">
        <f t="shared" ref="T111" si="534">S111/1000</f>
        <v>424.48382093037458</v>
      </c>
    </row>
    <row r="112" spans="1:20" x14ac:dyDescent="0.25">
      <c r="A112" s="5">
        <v>44481</v>
      </c>
      <c r="B112">
        <v>2.1709999999999998</v>
      </c>
      <c r="C112">
        <v>2.173</v>
      </c>
      <c r="D112">
        <v>2.0710000000000002</v>
      </c>
      <c r="E112">
        <v>2.1179999999999999</v>
      </c>
      <c r="F112">
        <v>150529530.19999999</v>
      </c>
      <c r="G112">
        <v>2.1179999999999999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-7.8431372549024131E-2</v>
      </c>
      <c r="Q112">
        <f t="shared" ref="Q112" si="536">F112*P112</f>
        <v>-11806237.662745778</v>
      </c>
      <c r="R112">
        <f t="shared" ref="R112" si="537">R113+Q112</f>
        <v>42337156079.834175</v>
      </c>
      <c r="S112">
        <f t="shared" ref="S112" si="538">R112/100000</f>
        <v>423371.56079834176</v>
      </c>
      <c r="T112">
        <f t="shared" ref="T112" si="539">S112/1000</f>
        <v>423.37156079834176</v>
      </c>
    </row>
    <row r="113" spans="1:20" x14ac:dyDescent="0.25">
      <c r="A113" s="5">
        <v>44480</v>
      </c>
      <c r="B113">
        <v>2.1890000000000001</v>
      </c>
      <c r="C113">
        <v>2.25</v>
      </c>
      <c r="D113">
        <v>2.1070000000000002</v>
      </c>
      <c r="E113">
        <v>2.1709999999999998</v>
      </c>
      <c r="F113">
        <v>124908952.09999999</v>
      </c>
      <c r="G113">
        <v>2.1709999999999998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-0.10489510489510902</v>
      </c>
      <c r="Q113">
        <f t="shared" ref="Q113" si="541">F113*P113</f>
        <v>-13102337.632867647</v>
      </c>
      <c r="R113">
        <f t="shared" ref="R113" si="542">R114+Q113</f>
        <v>42348962317.496918</v>
      </c>
      <c r="S113">
        <f t="shared" ref="S113" si="543">R113/100000</f>
        <v>423489.62317496917</v>
      </c>
      <c r="T113">
        <f t="shared" ref="T113" si="544">S113/1000</f>
        <v>423.48962317496915</v>
      </c>
    </row>
    <row r="114" spans="1:20" x14ac:dyDescent="0.25">
      <c r="A114" s="5">
        <v>44479</v>
      </c>
      <c r="B114">
        <v>2.2690000000000001</v>
      </c>
      <c r="C114">
        <v>2.2770000000000001</v>
      </c>
      <c r="D114">
        <v>2.16</v>
      </c>
      <c r="E114">
        <v>2.1890000000000001</v>
      </c>
      <c r="F114">
        <v>110373473.09999999</v>
      </c>
      <c r="G114">
        <v>2.1890000000000001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-0.5042735042735057</v>
      </c>
      <c r="Q114">
        <f t="shared" ref="Q114" si="546">F114*P114</f>
        <v>-55658418.058974512</v>
      </c>
      <c r="R114">
        <f t="shared" ref="R114" si="547">R115+Q114</f>
        <v>42362064655.129784</v>
      </c>
      <c r="S114">
        <f t="shared" ref="S114" si="548">R114/100000</f>
        <v>423620.64655129786</v>
      </c>
      <c r="T114">
        <f t="shared" ref="T114" si="549">S114/1000</f>
        <v>423.62064655129785</v>
      </c>
    </row>
    <row r="115" spans="1:20" x14ac:dyDescent="0.25">
      <c r="A115" s="5">
        <v>44478</v>
      </c>
      <c r="B115">
        <v>2.238</v>
      </c>
      <c r="C115">
        <v>2.2999999999999998</v>
      </c>
      <c r="D115">
        <v>2.2200000000000002</v>
      </c>
      <c r="E115">
        <v>2.2679999999999998</v>
      </c>
      <c r="F115">
        <v>108667313.3</v>
      </c>
      <c r="G115">
        <v>2.2679999999999998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0.19999999999999557</v>
      </c>
      <c r="Q115">
        <f t="shared" ref="Q115" si="551">F115*P115</f>
        <v>21733462.65999952</v>
      </c>
      <c r="R115">
        <f t="shared" ref="R115" si="552">R116+Q115</f>
        <v>42417723073.188759</v>
      </c>
      <c r="S115">
        <f t="shared" ref="S115" si="553">R115/100000</f>
        <v>424177.23073188757</v>
      </c>
      <c r="T115">
        <f t="shared" ref="T115" si="554">S115/1000</f>
        <v>424.17723073188756</v>
      </c>
    </row>
    <row r="116" spans="1:20" x14ac:dyDescent="0.25">
      <c r="A116" s="5">
        <v>44477</v>
      </c>
      <c r="B116">
        <v>2.278</v>
      </c>
      <c r="C116">
        <v>2.3130000000000002</v>
      </c>
      <c r="D116">
        <v>2.2130000000000001</v>
      </c>
      <c r="E116">
        <v>2.2370000000000001</v>
      </c>
      <c r="F116">
        <v>138317391.40000001</v>
      </c>
      <c r="G116">
        <v>2.2370000000000001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-0.52</v>
      </c>
      <c r="Q116">
        <f t="shared" ref="Q116" si="556">F116*P116</f>
        <v>-71925043.528000012</v>
      </c>
      <c r="R116">
        <f t="shared" ref="R116" si="557">R117+Q116</f>
        <v>42395989610.528763</v>
      </c>
      <c r="S116">
        <f t="shared" ref="S116" si="558">R116/100000</f>
        <v>423959.89610528765</v>
      </c>
      <c r="T116">
        <f t="shared" ref="T116" si="559">S116/1000</f>
        <v>423.95989610528767</v>
      </c>
    </row>
    <row r="117" spans="1:20" x14ac:dyDescent="0.25">
      <c r="A117" s="5">
        <v>44476</v>
      </c>
      <c r="B117">
        <v>2.2090000000000001</v>
      </c>
      <c r="C117">
        <v>2.375</v>
      </c>
      <c r="D117">
        <v>2.15</v>
      </c>
      <c r="E117">
        <v>2.278</v>
      </c>
      <c r="F117">
        <v>254708498.40000001</v>
      </c>
      <c r="G117">
        <v>2.278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0.13777777777777833</v>
      </c>
      <c r="Q117">
        <f t="shared" ref="Q117" si="561">F117*P117</f>
        <v>35093170.890666805</v>
      </c>
      <c r="R117">
        <f t="shared" ref="R117" si="562">R118+Q117</f>
        <v>42467914654.056763</v>
      </c>
      <c r="S117">
        <f t="shared" ref="S117" si="563">R117/100000</f>
        <v>424679.14654056763</v>
      </c>
      <c r="T117">
        <f t="shared" ref="T117" si="564">S117/1000</f>
        <v>424.67914654056761</v>
      </c>
    </row>
    <row r="118" spans="1:20" x14ac:dyDescent="0.25">
      <c r="A118" s="5">
        <v>44475</v>
      </c>
      <c r="B118">
        <v>2.2320000000000002</v>
      </c>
      <c r="C118">
        <v>2.2509999999999999</v>
      </c>
      <c r="D118">
        <v>2.1110000000000002</v>
      </c>
      <c r="E118">
        <v>2.2090000000000001</v>
      </c>
      <c r="F118">
        <v>192646609.5</v>
      </c>
      <c r="G118">
        <v>2.2090000000000001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0.40000000000000124</v>
      </c>
      <c r="Q118">
        <f t="shared" ref="Q118" si="566">F118*P118</f>
        <v>77058643.800000235</v>
      </c>
      <c r="R118">
        <f t="shared" ref="R118" si="567">R119+Q118</f>
        <v>42432821483.1661</v>
      </c>
      <c r="S118">
        <f t="shared" ref="S118" si="568">R118/100000</f>
        <v>424328.21483166097</v>
      </c>
      <c r="T118">
        <f t="shared" ref="T118" si="569">S118/1000</f>
        <v>424.32821483166094</v>
      </c>
    </row>
    <row r="119" spans="1:20" x14ac:dyDescent="0.25">
      <c r="A119" s="5">
        <v>44474</v>
      </c>
      <c r="B119">
        <v>2.1909999999999998</v>
      </c>
      <c r="C119">
        <v>2.258</v>
      </c>
      <c r="D119">
        <v>2.1749999999999998</v>
      </c>
      <c r="E119">
        <v>2.2330000000000001</v>
      </c>
      <c r="F119">
        <v>131834376</v>
      </c>
      <c r="G119">
        <v>2.2330000000000001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0.39759036144578663</v>
      </c>
      <c r="Q119">
        <f t="shared" ref="Q119" si="571">F119*P119</f>
        <v>52416077.204819739</v>
      </c>
      <c r="R119">
        <f t="shared" ref="R119" si="572">R120+Q119</f>
        <v>42355762839.366096</v>
      </c>
      <c r="S119">
        <f t="shared" ref="S119" si="573">R119/100000</f>
        <v>423557.62839366094</v>
      </c>
      <c r="T119">
        <f t="shared" ref="T119" si="574">S119/1000</f>
        <v>423.55762839366093</v>
      </c>
    </row>
    <row r="120" spans="1:20" x14ac:dyDescent="0.25">
      <c r="A120" s="5">
        <v>44473</v>
      </c>
      <c r="B120">
        <v>2.2509999999999999</v>
      </c>
      <c r="C120">
        <v>2.2530000000000001</v>
      </c>
      <c r="D120">
        <v>2.15</v>
      </c>
      <c r="E120">
        <v>2.2010000000000001</v>
      </c>
      <c r="F120">
        <v>147255813.30000001</v>
      </c>
      <c r="G120">
        <v>2.2010000000000001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-9.7087378640765814E-3</v>
      </c>
      <c r="Q120">
        <f t="shared" ref="Q120" si="576">F120*P120</f>
        <v>-1429668.090291102</v>
      </c>
      <c r="R120">
        <f t="shared" ref="R120" si="577">R121+Q120</f>
        <v>42303346762.161278</v>
      </c>
      <c r="S120">
        <f t="shared" ref="S120" si="578">R120/100000</f>
        <v>423033.46762161277</v>
      </c>
      <c r="T120">
        <f t="shared" ref="T120" si="579">S120/1000</f>
        <v>423.03346762161277</v>
      </c>
    </row>
    <row r="121" spans="1:20" x14ac:dyDescent="0.25">
      <c r="A121" s="5">
        <v>44472</v>
      </c>
      <c r="B121">
        <v>2.2469999999999999</v>
      </c>
      <c r="C121">
        <v>2.3090000000000002</v>
      </c>
      <c r="D121">
        <v>2.2210000000000001</v>
      </c>
      <c r="E121">
        <v>2.254</v>
      </c>
      <c r="F121">
        <v>135246257.80000001</v>
      </c>
      <c r="G121">
        <v>2.254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-0.2500000000000025</v>
      </c>
      <c r="Q121">
        <f t="shared" ref="Q121" si="581">F121*P121</f>
        <v>-33811564.450000338</v>
      </c>
      <c r="R121">
        <f t="shared" ref="R121" si="582">R122+Q121</f>
        <v>42304776430.251572</v>
      </c>
      <c r="S121">
        <f t="shared" ref="S121" si="583">R121/100000</f>
        <v>423047.76430251572</v>
      </c>
      <c r="T121">
        <f t="shared" ref="T121" si="584">S121/1000</f>
        <v>423.0477643025157</v>
      </c>
    </row>
    <row r="122" spans="1:20" x14ac:dyDescent="0.25">
      <c r="A122" s="5">
        <v>44471</v>
      </c>
      <c r="B122">
        <v>2.2549999999999999</v>
      </c>
      <c r="C122">
        <v>2.3220000000000001</v>
      </c>
      <c r="D122">
        <v>2.1920000000000002</v>
      </c>
      <c r="E122">
        <v>2.2469999999999999</v>
      </c>
      <c r="F122">
        <v>147408004.5</v>
      </c>
      <c r="G122">
        <v>2.2469999999999999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-0.15384615384615752</v>
      </c>
      <c r="Q122">
        <f t="shared" ref="Q122" si="586">F122*P122</f>
        <v>-22678154.53846208</v>
      </c>
      <c r="R122">
        <f t="shared" ref="R122" si="587">R123+Q122</f>
        <v>42338587994.701569</v>
      </c>
      <c r="S122">
        <f t="shared" ref="S122" si="588">R122/100000</f>
        <v>423385.87994701567</v>
      </c>
      <c r="T122">
        <f t="shared" ref="T122" si="589">S122/1000</f>
        <v>423.38587994701567</v>
      </c>
    </row>
    <row r="123" spans="1:20" x14ac:dyDescent="0.25">
      <c r="A123" s="5">
        <v>44470</v>
      </c>
      <c r="B123">
        <v>2.1150000000000002</v>
      </c>
      <c r="C123">
        <v>2.2749999999999999</v>
      </c>
      <c r="D123">
        <v>2.0920000000000001</v>
      </c>
      <c r="E123">
        <v>2.2559999999999998</v>
      </c>
      <c r="F123">
        <v>197157573.90000001</v>
      </c>
      <c r="G123">
        <v>2.2559999999999998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0.79234972677595472</v>
      </c>
      <c r="Q123">
        <f t="shared" ref="Q123" si="591">F123*P123</f>
        <v>156217749.8114751</v>
      </c>
      <c r="R123">
        <f t="shared" ref="R123" si="592">R124+Q123</f>
        <v>42361266149.240028</v>
      </c>
      <c r="S123">
        <f t="shared" ref="S123" si="593">R123/100000</f>
        <v>423612.66149240028</v>
      </c>
      <c r="T123">
        <f t="shared" ref="T123" si="594">S123/1000</f>
        <v>423.61266149240026</v>
      </c>
    </row>
    <row r="124" spans="1:20" x14ac:dyDescent="0.25">
      <c r="A124" s="5">
        <v>44469</v>
      </c>
      <c r="B124">
        <v>2.0659999999999998</v>
      </c>
      <c r="C124">
        <v>2.137</v>
      </c>
      <c r="D124">
        <v>2.0510000000000002</v>
      </c>
      <c r="E124">
        <v>2.1150000000000002</v>
      </c>
      <c r="F124">
        <v>124916940.90000001</v>
      </c>
      <c r="G124">
        <v>2.1150000000000002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0.48837209302325968</v>
      </c>
      <c r="Q124">
        <f t="shared" ref="Q124" si="596">F124*P124</f>
        <v>61005947.881395832</v>
      </c>
      <c r="R124">
        <f t="shared" ref="R124" si="597">R125+Q124</f>
        <v>42205048399.428551</v>
      </c>
      <c r="S124">
        <f t="shared" ref="S124" si="598">R124/100000</f>
        <v>422050.48399428552</v>
      </c>
      <c r="T124">
        <f t="shared" ref="T124" si="599">S124/1000</f>
        <v>422.05048399428551</v>
      </c>
    </row>
    <row r="125" spans="1:20" x14ac:dyDescent="0.25">
      <c r="A125" s="5">
        <v>44468</v>
      </c>
      <c r="B125">
        <v>2.0369999999999999</v>
      </c>
      <c r="C125">
        <v>2.15</v>
      </c>
      <c r="D125">
        <v>2.02</v>
      </c>
      <c r="E125">
        <v>2.0659999999999998</v>
      </c>
      <c r="F125">
        <v>136138441.19999999</v>
      </c>
      <c r="G125">
        <v>2.0659999999999998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-0.29230769230769449</v>
      </c>
      <c r="Q125">
        <f t="shared" ref="Q125" si="601">F125*P125</f>
        <v>-39794313.581538752</v>
      </c>
      <c r="R125">
        <f t="shared" ref="R125" si="602">R126+Q125</f>
        <v>42144042451.547157</v>
      </c>
      <c r="S125">
        <f t="shared" ref="S125" si="603">R125/100000</f>
        <v>421440.42451547156</v>
      </c>
      <c r="T125">
        <f t="shared" ref="T125" si="604">S125/1000</f>
        <v>421.44042451547153</v>
      </c>
    </row>
    <row r="126" spans="1:20" x14ac:dyDescent="0.25">
      <c r="A126" s="5">
        <v>44467</v>
      </c>
      <c r="B126">
        <v>2.129</v>
      </c>
      <c r="C126">
        <v>2.173</v>
      </c>
      <c r="D126">
        <v>2.0289999999999999</v>
      </c>
      <c r="E126">
        <v>2.0369999999999999</v>
      </c>
      <c r="F126">
        <v>151911770.19999999</v>
      </c>
      <c r="G126">
        <v>2.0369999999999999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-0.88888888888888884</v>
      </c>
      <c r="Q126">
        <f t="shared" ref="Q126" si="606">F126*P126</f>
        <v>-135032684.62222221</v>
      </c>
      <c r="R126">
        <f t="shared" ref="R126" si="607">R127+Q126</f>
        <v>42183836765.128693</v>
      </c>
      <c r="S126">
        <f t="shared" ref="S126" si="608">R126/100000</f>
        <v>421838.36765128694</v>
      </c>
      <c r="T126">
        <f t="shared" ref="T126" si="609">S126/1000</f>
        <v>421.83836765128694</v>
      </c>
    </row>
    <row r="127" spans="1:20" x14ac:dyDescent="0.25">
      <c r="A127" s="5">
        <v>44466</v>
      </c>
      <c r="B127">
        <v>2.206</v>
      </c>
      <c r="C127">
        <v>2.2770000000000001</v>
      </c>
      <c r="D127">
        <v>2.1280000000000001</v>
      </c>
      <c r="E127">
        <v>2.13</v>
      </c>
      <c r="F127">
        <v>150915484.19999999</v>
      </c>
      <c r="G127">
        <v>2.13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-0.97315436241611031</v>
      </c>
      <c r="Q127">
        <f t="shared" ref="Q127" si="611">F127*P127</f>
        <v>-146864061.80536956</v>
      </c>
      <c r="R127">
        <f t="shared" ref="R127" si="612">R128+Q127</f>
        <v>42318869449.750916</v>
      </c>
      <c r="S127">
        <f t="shared" ref="S127" si="613">R127/100000</f>
        <v>423188.69449750916</v>
      </c>
      <c r="T127">
        <f t="shared" ref="T127" si="614">S127/1000</f>
        <v>423.18869449750918</v>
      </c>
    </row>
    <row r="128" spans="1:20" x14ac:dyDescent="0.25">
      <c r="A128" s="5">
        <v>44465</v>
      </c>
      <c r="B128">
        <v>2.2989999999999999</v>
      </c>
      <c r="C128">
        <v>2.3010000000000002</v>
      </c>
      <c r="D128">
        <v>2.1469999999999998</v>
      </c>
      <c r="E128">
        <v>2.2069999999999999</v>
      </c>
      <c r="F128">
        <v>231090029.90000001</v>
      </c>
      <c r="G128">
        <v>2.2069999999999999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-0.22077922077922191</v>
      </c>
      <c r="Q128">
        <f t="shared" ref="Q128" si="616">F128*P128</f>
        <v>-51019876.73116909</v>
      </c>
      <c r="R128">
        <f t="shared" ref="R128" si="617">R129+Q128</f>
        <v>42465733511.556282</v>
      </c>
      <c r="S128">
        <f t="shared" ref="S128" si="618">R128/100000</f>
        <v>424657.33511556283</v>
      </c>
      <c r="T128">
        <f t="shared" ref="T128" si="619">S128/1000</f>
        <v>424.65733511556283</v>
      </c>
    </row>
    <row r="129" spans="1:20" x14ac:dyDescent="0.25">
      <c r="A129" s="5">
        <v>44464</v>
      </c>
      <c r="B129">
        <v>2.2770000000000001</v>
      </c>
      <c r="C129">
        <v>2.4590000000000001</v>
      </c>
      <c r="D129">
        <v>2.2349999999999999</v>
      </c>
      <c r="E129">
        <v>2.2999999999999998</v>
      </c>
      <c r="F129">
        <v>328389858.73000002</v>
      </c>
      <c r="G129">
        <v>2.2999999999999998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-0.41964285714285815</v>
      </c>
      <c r="Q129">
        <f t="shared" ref="Q129" si="621">F129*P129</f>
        <v>-137806458.57419676</v>
      </c>
      <c r="R129">
        <f t="shared" ref="R129" si="622">R130+Q129</f>
        <v>42516753388.287453</v>
      </c>
      <c r="S129">
        <f t="shared" ref="S129" si="623">R129/100000</f>
        <v>425167.53388287453</v>
      </c>
      <c r="T129">
        <f t="shared" ref="T129" si="624">S129/1000</f>
        <v>425.16753388287452</v>
      </c>
    </row>
    <row r="130" spans="1:20" x14ac:dyDescent="0.25">
      <c r="A130" s="5">
        <v>44463</v>
      </c>
      <c r="B130">
        <v>2.327</v>
      </c>
      <c r="C130">
        <v>2.3450000000000002</v>
      </c>
      <c r="D130">
        <v>2.0630000000000002</v>
      </c>
      <c r="E130">
        <v>2.2770000000000001</v>
      </c>
      <c r="F130">
        <v>382004501.60000002</v>
      </c>
      <c r="G130">
        <v>2.2770000000000001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0.51773049645390035</v>
      </c>
      <c r="Q130">
        <f t="shared" ref="Q130" si="626">F130*P130</f>
        <v>197775380.2609928</v>
      </c>
      <c r="R130">
        <f t="shared" ref="R130" si="627">R131+Q130</f>
        <v>42654559846.861649</v>
      </c>
      <c r="S130">
        <f t="shared" ref="S130" si="628">R130/100000</f>
        <v>426545.59846861649</v>
      </c>
      <c r="T130">
        <f t="shared" ref="T130" si="629">S130/1000</f>
        <v>426.5455984686165</v>
      </c>
    </row>
    <row r="131" spans="1:20" x14ac:dyDescent="0.25">
      <c r="A131" s="5">
        <v>44462</v>
      </c>
      <c r="B131">
        <v>2.2570000000000001</v>
      </c>
      <c r="C131">
        <v>2.3460000000000001</v>
      </c>
      <c r="D131">
        <v>2.1789999999999998</v>
      </c>
      <c r="E131">
        <v>2.327</v>
      </c>
      <c r="F131">
        <v>190056984.80000001</v>
      </c>
      <c r="G131">
        <v>2.327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0.77245508982035815</v>
      </c>
      <c r="Q131">
        <f t="shared" ref="Q131" si="631">F131*P131</f>
        <v>146810485.26467046</v>
      </c>
      <c r="R131">
        <f t="shared" ref="R131" si="632">R132+Q131</f>
        <v>42456784466.600655</v>
      </c>
      <c r="S131">
        <f t="shared" ref="S131" si="633">R131/100000</f>
        <v>424567.84466600657</v>
      </c>
      <c r="T131">
        <f t="shared" ref="T131" si="634">S131/1000</f>
        <v>424.56784466600658</v>
      </c>
    </row>
    <row r="132" spans="1:20" x14ac:dyDescent="0.25">
      <c r="A132" s="5">
        <v>44461</v>
      </c>
      <c r="B132">
        <v>1.986</v>
      </c>
      <c r="C132">
        <v>2.2679999999999998</v>
      </c>
      <c r="D132">
        <v>1.9670000000000001</v>
      </c>
      <c r="E132">
        <v>2.2570000000000001</v>
      </c>
      <c r="F132">
        <v>262894741</v>
      </c>
      <c r="G132">
        <v>2.2570000000000001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0.92691029900332433</v>
      </c>
      <c r="Q132">
        <f t="shared" ref="Q132" si="636">F132*P132</f>
        <v>243679842.9867115</v>
      </c>
      <c r="R132">
        <f t="shared" ref="R132" si="637">R133+Q132</f>
        <v>42309973981.335983</v>
      </c>
      <c r="S132">
        <f t="shared" ref="S132" si="638">R132/100000</f>
        <v>423099.73981335986</v>
      </c>
      <c r="T132">
        <f t="shared" ref="T132" si="639">S132/1000</f>
        <v>423.09973981335986</v>
      </c>
    </row>
    <row r="133" spans="1:20" x14ac:dyDescent="0.25">
      <c r="A133" s="5">
        <v>44460</v>
      </c>
      <c r="B133">
        <v>2.08</v>
      </c>
      <c r="C133">
        <v>2.2290000000000001</v>
      </c>
      <c r="D133">
        <v>1.9100999999999999</v>
      </c>
      <c r="E133">
        <v>1.986</v>
      </c>
      <c r="F133">
        <v>450988800.97000003</v>
      </c>
      <c r="G133">
        <v>1.986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-0.52398871119473167</v>
      </c>
      <c r="Q133">
        <f t="shared" ref="Q133" si="641">F133*P133</f>
        <v>-236313040.58352765</v>
      </c>
      <c r="R133">
        <f t="shared" ref="R133" si="642">R134+Q133</f>
        <v>42066294138.349274</v>
      </c>
      <c r="S133">
        <f t="shared" ref="S133" si="643">R133/100000</f>
        <v>420662.94138349273</v>
      </c>
      <c r="T133">
        <f t="shared" ref="T133" si="644">S133/1000</f>
        <v>420.66294138349275</v>
      </c>
    </row>
    <row r="134" spans="1:20" x14ac:dyDescent="0.25">
      <c r="A134" s="5">
        <v>44459</v>
      </c>
      <c r="B134">
        <v>2.2829999999999999</v>
      </c>
      <c r="C134">
        <v>2.2930000000000001</v>
      </c>
      <c r="D134">
        <v>2.101</v>
      </c>
      <c r="E134">
        <v>2.1259999999999999</v>
      </c>
      <c r="F134">
        <v>162665571.19999999</v>
      </c>
      <c r="G134">
        <v>2.1259999999999999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-0.73958333333333448</v>
      </c>
      <c r="Q134">
        <f t="shared" ref="Q134" si="646">F134*P134</f>
        <v>-120304745.36666684</v>
      </c>
      <c r="R134">
        <f t="shared" ref="R134" si="647">R135+Q134</f>
        <v>42302607178.9328</v>
      </c>
      <c r="S134">
        <f t="shared" ref="S134" si="648">R134/100000</f>
        <v>423026.07178932801</v>
      </c>
      <c r="T134">
        <f t="shared" ref="T134" si="649">S134/1000</f>
        <v>423.026071789328</v>
      </c>
    </row>
    <row r="135" spans="1:20" x14ac:dyDescent="0.25">
      <c r="A135" s="5">
        <v>44458</v>
      </c>
      <c r="B135">
        <v>2.371</v>
      </c>
      <c r="C135">
        <v>2.3969999999999998</v>
      </c>
      <c r="D135">
        <v>2.2589999999999999</v>
      </c>
      <c r="E135">
        <v>2.2829999999999999</v>
      </c>
      <c r="F135">
        <v>127205837</v>
      </c>
      <c r="G135">
        <v>2.2829999999999999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-0.65217391304347772</v>
      </c>
      <c r="Q135">
        <f t="shared" ref="Q135" si="651">F135*P135</f>
        <v>-82960328.4782608</v>
      </c>
      <c r="R135">
        <f t="shared" ref="R135" si="652">R136+Q135</f>
        <v>42422911924.299469</v>
      </c>
      <c r="S135">
        <f t="shared" ref="S135" si="653">R135/100000</f>
        <v>424229.1192429947</v>
      </c>
      <c r="T135">
        <f t="shared" ref="T135" si="654">S135/1000</f>
        <v>424.22911924299467</v>
      </c>
    </row>
    <row r="136" spans="1:20" x14ac:dyDescent="0.25">
      <c r="A136" s="5">
        <v>44457</v>
      </c>
      <c r="B136">
        <v>2.35</v>
      </c>
      <c r="C136">
        <v>2.4390000000000001</v>
      </c>
      <c r="D136">
        <v>2.31</v>
      </c>
      <c r="E136">
        <v>2.371</v>
      </c>
      <c r="F136">
        <v>115231963.90000001</v>
      </c>
      <c r="G136">
        <v>2.371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-5.4263565891473776E-2</v>
      </c>
      <c r="Q136">
        <f t="shared" ref="Q136" si="656">F136*P136</f>
        <v>-6252897.265891578</v>
      </c>
      <c r="R136">
        <f t="shared" ref="R136" si="657">R137+Q136</f>
        <v>42505872252.777733</v>
      </c>
      <c r="S136">
        <f t="shared" ref="S136" si="658">R136/100000</f>
        <v>425058.72252777731</v>
      </c>
      <c r="T136">
        <f t="shared" ref="T136" si="659">S136/1000</f>
        <v>425.05872252777732</v>
      </c>
    </row>
    <row r="137" spans="1:20" x14ac:dyDescent="0.25">
      <c r="A137" s="5">
        <v>44456</v>
      </c>
      <c r="B137">
        <v>2.4169999999999998</v>
      </c>
      <c r="C137">
        <v>2.4420000000000002</v>
      </c>
      <c r="D137">
        <v>2.3130000000000002</v>
      </c>
      <c r="E137">
        <v>2.35</v>
      </c>
      <c r="F137">
        <v>130098585.40000001</v>
      </c>
      <c r="G137">
        <v>2.35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-0.42635658914728802</v>
      </c>
      <c r="Q137">
        <f t="shared" ref="Q137" si="661">F137*P137</f>
        <v>-55468389.124031164</v>
      </c>
      <c r="R137">
        <f t="shared" ref="R137" si="662">R138+Q137</f>
        <v>42512125150.043625</v>
      </c>
      <c r="S137">
        <f t="shared" ref="S137" si="663">R137/100000</f>
        <v>425121.25150043622</v>
      </c>
      <c r="T137">
        <f t="shared" ref="T137" si="664">S137/1000</f>
        <v>425.12125150043624</v>
      </c>
    </row>
    <row r="138" spans="1:20" x14ac:dyDescent="0.25">
      <c r="A138" s="5">
        <v>44455</v>
      </c>
      <c r="B138">
        <v>2.504</v>
      </c>
      <c r="C138">
        <v>2.56</v>
      </c>
      <c r="D138">
        <v>2.3809999999999998</v>
      </c>
      <c r="E138">
        <v>2.4169999999999998</v>
      </c>
      <c r="F138">
        <v>196390696.80000001</v>
      </c>
      <c r="G138">
        <v>2.4169999999999998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-0.59776536312849182</v>
      </c>
      <c r="Q138">
        <f t="shared" ref="Q138" si="666">F138*P138</f>
        <v>-117395556.18770954</v>
      </c>
      <c r="R138">
        <f t="shared" ref="R138" si="667">R139+Q138</f>
        <v>42567593539.167656</v>
      </c>
      <c r="S138">
        <f t="shared" ref="S138" si="668">R138/100000</f>
        <v>425675.93539167655</v>
      </c>
      <c r="T138">
        <f t="shared" ref="T138" si="669">S138/1000</f>
        <v>425.67593539167655</v>
      </c>
    </row>
    <row r="139" spans="1:20" x14ac:dyDescent="0.25">
      <c r="A139" s="5">
        <v>44454</v>
      </c>
      <c r="B139">
        <v>2.3959999999999999</v>
      </c>
      <c r="C139">
        <v>2.5819999999999999</v>
      </c>
      <c r="D139">
        <v>2.355</v>
      </c>
      <c r="E139">
        <v>2.5049999999999999</v>
      </c>
      <c r="F139">
        <v>276853578.30000001</v>
      </c>
      <c r="G139">
        <v>2.5049999999999999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0.32158590308370044</v>
      </c>
      <c r="Q139">
        <f t="shared" ref="Q139" si="671">F139*P139</f>
        <v>89032207.999559477</v>
      </c>
      <c r="R139">
        <f t="shared" ref="R139" si="672">R140+Q139</f>
        <v>42684989095.355362</v>
      </c>
      <c r="S139">
        <f t="shared" ref="S139" si="673">R139/100000</f>
        <v>426849.89095355361</v>
      </c>
      <c r="T139">
        <f t="shared" ref="T139" si="674">S139/1000</f>
        <v>426.8498909535536</v>
      </c>
    </row>
    <row r="140" spans="1:20" x14ac:dyDescent="0.25">
      <c r="A140" s="5">
        <v>44453</v>
      </c>
      <c r="B140">
        <v>2.4009999999999998</v>
      </c>
      <c r="C140">
        <v>2.4380000000000002</v>
      </c>
      <c r="D140">
        <v>2.3199999999999998</v>
      </c>
      <c r="E140">
        <v>2.3959999999999999</v>
      </c>
      <c r="F140">
        <v>214309623.19999999</v>
      </c>
      <c r="G140">
        <v>2.3959999999999999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0.28813559322033655</v>
      </c>
      <c r="Q140">
        <f t="shared" ref="Q140" si="676">F140*P140</f>
        <v>61750230.413558796</v>
      </c>
      <c r="R140">
        <f t="shared" ref="R140" si="677">R141+Q140</f>
        <v>42595956887.355804</v>
      </c>
      <c r="S140">
        <f t="shared" ref="S140" si="678">R140/100000</f>
        <v>425959.56887355802</v>
      </c>
      <c r="T140">
        <f t="shared" ref="T140" si="679">S140/1000</f>
        <v>425.959568873558</v>
      </c>
    </row>
    <row r="141" spans="1:20" x14ac:dyDescent="0.25">
      <c r="A141" s="5">
        <v>44452</v>
      </c>
      <c r="B141">
        <v>2.58</v>
      </c>
      <c r="C141">
        <v>2.593</v>
      </c>
      <c r="D141">
        <v>2.3090000000000002</v>
      </c>
      <c r="E141">
        <v>2.4020000000000001</v>
      </c>
      <c r="F141">
        <v>378841930.80000001</v>
      </c>
      <c r="G141">
        <v>2.4020000000000001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-0.34507042253521103</v>
      </c>
      <c r="Q141">
        <f t="shared" ref="Q141" si="681">F141*P141</f>
        <v>-130727145.13521118</v>
      </c>
      <c r="R141">
        <f t="shared" ref="R141" si="682">R142+Q141</f>
        <v>42534206656.942245</v>
      </c>
      <c r="S141">
        <f t="shared" ref="S141" si="683">R141/100000</f>
        <v>425342.06656942243</v>
      </c>
      <c r="T141">
        <f t="shared" ref="T141" si="684">S141/1000</f>
        <v>425.34206656942246</v>
      </c>
    </row>
    <row r="142" spans="1:20" x14ac:dyDescent="0.25">
      <c r="A142" s="5">
        <v>44451</v>
      </c>
      <c r="B142">
        <v>2.637</v>
      </c>
      <c r="C142">
        <v>2.7890000000000001</v>
      </c>
      <c r="D142">
        <v>2.5009999999999999</v>
      </c>
      <c r="E142">
        <v>2.581</v>
      </c>
      <c r="F142">
        <v>466822310.10000002</v>
      </c>
      <c r="G142">
        <v>2.581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-0.44444444444444442</v>
      </c>
      <c r="Q142">
        <f t="shared" ref="Q142" si="686">F142*P142</f>
        <v>-207476582.26666668</v>
      </c>
      <c r="R142">
        <f t="shared" ref="R142" si="687">R143+Q142</f>
        <v>42664933802.077454</v>
      </c>
      <c r="S142">
        <f t="shared" ref="S142" si="688">R142/100000</f>
        <v>426649.33802077454</v>
      </c>
      <c r="T142">
        <f t="shared" ref="T142" si="689">S142/1000</f>
        <v>426.64933802077451</v>
      </c>
    </row>
    <row r="143" spans="1:20" x14ac:dyDescent="0.25">
      <c r="A143" s="5">
        <v>44450</v>
      </c>
      <c r="B143">
        <v>2.3839999999999999</v>
      </c>
      <c r="C143">
        <v>2.8</v>
      </c>
      <c r="D143">
        <v>2.367</v>
      </c>
      <c r="E143">
        <v>2.6379999999999999</v>
      </c>
      <c r="F143">
        <v>561119335.07000005</v>
      </c>
      <c r="G143">
        <v>2.6379999999999999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0.25173210161662823</v>
      </c>
      <c r="Q143">
        <f t="shared" ref="Q143" si="691">F143*P143</f>
        <v>141251749.47489613</v>
      </c>
      <c r="R143">
        <f t="shared" ref="R143" si="692">R144+Q143</f>
        <v>42872410384.344124</v>
      </c>
      <c r="S143">
        <f t="shared" ref="S143" si="693">R143/100000</f>
        <v>428724.10384344123</v>
      </c>
      <c r="T143">
        <f t="shared" ref="T143" si="694">S143/1000</f>
        <v>428.72410384344124</v>
      </c>
    </row>
    <row r="144" spans="1:20" x14ac:dyDescent="0.25">
      <c r="A144" s="5">
        <v>44449</v>
      </c>
      <c r="B144">
        <v>2.5179999999999998</v>
      </c>
      <c r="C144">
        <v>2.5859999999999999</v>
      </c>
      <c r="D144">
        <v>2.2690000000000001</v>
      </c>
      <c r="E144">
        <v>2.383</v>
      </c>
      <c r="F144">
        <v>322102115</v>
      </c>
      <c r="G144">
        <v>2.383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-0.28075709779179825</v>
      </c>
      <c r="Q144">
        <f t="shared" ref="Q144" si="696">F144*P144</f>
        <v>-90432455.000000045</v>
      </c>
      <c r="R144">
        <f t="shared" ref="R144" si="697">R145+Q144</f>
        <v>42731158634.869225</v>
      </c>
      <c r="S144">
        <f t="shared" ref="S144" si="698">R144/100000</f>
        <v>427311.58634869225</v>
      </c>
      <c r="T144">
        <f t="shared" ref="T144" si="699">S144/1000</f>
        <v>427.31158634869223</v>
      </c>
    </row>
    <row r="145" spans="1:20" x14ac:dyDescent="0.25">
      <c r="A145" s="5">
        <v>44448</v>
      </c>
      <c r="B145">
        <v>2.4700000000000002</v>
      </c>
      <c r="C145">
        <v>2.6230000000000002</v>
      </c>
      <c r="D145">
        <v>2.39</v>
      </c>
      <c r="E145">
        <v>2.5179999999999998</v>
      </c>
      <c r="F145">
        <v>411631907.80000001</v>
      </c>
      <c r="G145">
        <v>2.5179999999999998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9.8712446351928038E-2</v>
      </c>
      <c r="Q145">
        <f t="shared" ref="Q145" si="701">F145*P145</f>
        <v>40633192.615449287</v>
      </c>
      <c r="R145">
        <f t="shared" ref="R145" si="702">R146+Q145</f>
        <v>42821591089.869225</v>
      </c>
      <c r="S145">
        <f t="shared" ref="S145" si="703">R145/100000</f>
        <v>428215.91089869227</v>
      </c>
      <c r="T145">
        <f t="shared" ref="T145" si="704">S145/1000</f>
        <v>428.21591089869224</v>
      </c>
    </row>
    <row r="146" spans="1:20" x14ac:dyDescent="0.25">
      <c r="A146" s="5">
        <v>44447</v>
      </c>
      <c r="B146">
        <v>2.5139999999999998</v>
      </c>
      <c r="C146">
        <v>2.5640000000000001</v>
      </c>
      <c r="D146">
        <v>2.2000000000000002</v>
      </c>
      <c r="E146">
        <v>2.4700000000000002</v>
      </c>
      <c r="F146">
        <v>547581870.5</v>
      </c>
      <c r="G146">
        <v>2.4700000000000002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0.48351648351648413</v>
      </c>
      <c r="Q146">
        <f t="shared" ref="Q146" si="706">F146*P146</f>
        <v>264764860.46153879</v>
      </c>
      <c r="R146">
        <f t="shared" ref="R146" si="707">R147+Q146</f>
        <v>42780957897.253777</v>
      </c>
      <c r="S146">
        <f t="shared" ref="S146" si="708">R146/100000</f>
        <v>427809.57897253777</v>
      </c>
      <c r="T146">
        <f t="shared" ref="T146" si="709">S146/1000</f>
        <v>427.80957897253779</v>
      </c>
    </row>
    <row r="147" spans="1:20" x14ac:dyDescent="0.25">
      <c r="A147" s="5">
        <v>44446</v>
      </c>
      <c r="B147">
        <v>2.8330000000000002</v>
      </c>
      <c r="C147">
        <v>2.875</v>
      </c>
      <c r="D147">
        <v>2</v>
      </c>
      <c r="E147">
        <v>2.5139999999999998</v>
      </c>
      <c r="F147">
        <v>964890684.79999995</v>
      </c>
      <c r="G147">
        <v>2.5139999999999998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0.17485714285714238</v>
      </c>
      <c r="Q147">
        <f t="shared" ref="Q147" si="711">F147*P147</f>
        <v>168718028.31359953</v>
      </c>
      <c r="R147">
        <f t="shared" ref="R147" si="712">R148+Q147</f>
        <v>42516193036.792236</v>
      </c>
      <c r="S147">
        <f t="shared" ref="S147" si="713">R147/100000</f>
        <v>425161.93036792235</v>
      </c>
      <c r="T147">
        <f t="shared" ref="T147" si="714">S147/1000</f>
        <v>425.16193036792237</v>
      </c>
    </row>
    <row r="148" spans="1:20" x14ac:dyDescent="0.25">
      <c r="A148" s="5">
        <v>44445</v>
      </c>
      <c r="B148">
        <v>2.911</v>
      </c>
      <c r="C148">
        <v>2.927</v>
      </c>
      <c r="D148">
        <v>2.8</v>
      </c>
      <c r="E148">
        <v>2.8330000000000002</v>
      </c>
      <c r="F148">
        <v>186970542.19999999</v>
      </c>
      <c r="G148">
        <v>2.8330000000000002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-0.48031496062991647</v>
      </c>
      <c r="Q148">
        <f t="shared" ref="Q148" si="716">F148*P148</f>
        <v>-89804748.615747124</v>
      </c>
      <c r="R148">
        <f t="shared" ref="R148" si="717">R149+Q148</f>
        <v>42347475008.478638</v>
      </c>
      <c r="S148">
        <f t="shared" ref="S148" si="718">R148/100000</f>
        <v>423474.75008478638</v>
      </c>
      <c r="T148">
        <f t="shared" ref="T148" si="719">S148/1000</f>
        <v>423.47475008478636</v>
      </c>
    </row>
    <row r="149" spans="1:20" x14ac:dyDescent="0.25">
      <c r="A149" s="5">
        <v>44444</v>
      </c>
      <c r="B149">
        <v>2.831</v>
      </c>
      <c r="C149">
        <v>2.956</v>
      </c>
      <c r="D149">
        <v>2.8130000000000002</v>
      </c>
      <c r="E149">
        <v>2.91</v>
      </c>
      <c r="F149">
        <v>169097774.59999999</v>
      </c>
      <c r="G149">
        <v>2.91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0.35664335664335828</v>
      </c>
      <c r="Q149">
        <f t="shared" ref="Q149" si="721">F149*P149</f>
        <v>60307597.934266008</v>
      </c>
      <c r="R149">
        <f t="shared" ref="R149" si="722">R150+Q149</f>
        <v>42437279757.094383</v>
      </c>
      <c r="S149">
        <f t="shared" ref="S149" si="723">R149/100000</f>
        <v>424372.79757094383</v>
      </c>
      <c r="T149">
        <f t="shared" ref="T149" si="724">S149/1000</f>
        <v>424.37279757094382</v>
      </c>
    </row>
    <row r="150" spans="1:20" x14ac:dyDescent="0.25">
      <c r="A150" s="5">
        <v>44443</v>
      </c>
      <c r="B150">
        <v>2.9649999999999999</v>
      </c>
      <c r="C150">
        <v>2.9670000000000001</v>
      </c>
      <c r="D150">
        <v>2.8</v>
      </c>
      <c r="E150">
        <v>2.83</v>
      </c>
      <c r="F150">
        <v>192271347</v>
      </c>
      <c r="G150">
        <v>2.83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-0.64071856287424911</v>
      </c>
      <c r="Q150">
        <f t="shared" ref="Q150" si="726">F150*P150</f>
        <v>-123191821.13173607</v>
      </c>
      <c r="R150">
        <f t="shared" ref="R150" si="727">R151+Q150</f>
        <v>42376972159.160118</v>
      </c>
      <c r="S150">
        <f t="shared" ref="S150" si="728">R150/100000</f>
        <v>423769.72159160121</v>
      </c>
      <c r="T150">
        <f t="shared" ref="T150" si="729">S150/1000</f>
        <v>423.76972159160118</v>
      </c>
    </row>
    <row r="151" spans="1:20" x14ac:dyDescent="0.25">
      <c r="A151" s="5">
        <v>44442</v>
      </c>
      <c r="B151">
        <v>2.96</v>
      </c>
      <c r="C151">
        <v>3.03</v>
      </c>
      <c r="D151">
        <v>2.9</v>
      </c>
      <c r="E151">
        <v>2.9660000000000002</v>
      </c>
      <c r="F151">
        <v>203828698.40000001</v>
      </c>
      <c r="G151">
        <v>2.9660000000000002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1.5384615384620536E-2</v>
      </c>
      <c r="Q151">
        <f t="shared" ref="Q151" si="731">F151*P151</f>
        <v>3135826.1292318194</v>
      </c>
      <c r="R151">
        <f t="shared" ref="R151" si="732">R152+Q151</f>
        <v>42500163980.291855</v>
      </c>
      <c r="S151">
        <f t="shared" ref="S151" si="733">R151/100000</f>
        <v>425001.63980291854</v>
      </c>
      <c r="T151">
        <f t="shared" ref="T151" si="734">S151/1000</f>
        <v>425.00163980291853</v>
      </c>
    </row>
    <row r="152" spans="1:20" x14ac:dyDescent="0.25">
      <c r="A152" s="5">
        <v>44441</v>
      </c>
      <c r="B152">
        <v>2.87</v>
      </c>
      <c r="C152">
        <v>3.101</v>
      </c>
      <c r="D152">
        <v>2.8340000000000001</v>
      </c>
      <c r="E152">
        <v>2.96</v>
      </c>
      <c r="F152">
        <v>397432179.47000003</v>
      </c>
      <c r="G152">
        <v>2.96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-5.6179775280899361E-2</v>
      </c>
      <c r="Q152">
        <f t="shared" ref="Q152" si="736">F152*P152</f>
        <v>-22327650.532022666</v>
      </c>
      <c r="R152">
        <f t="shared" ref="R152" si="737">R153+Q152</f>
        <v>42497028154.162621</v>
      </c>
      <c r="S152">
        <f t="shared" ref="S152" si="738">R152/100000</f>
        <v>424970.2815416262</v>
      </c>
      <c r="T152">
        <f t="shared" ref="T152" si="739">S152/1000</f>
        <v>424.97028154162621</v>
      </c>
    </row>
    <row r="153" spans="1:20" x14ac:dyDescent="0.25">
      <c r="A153" s="5">
        <v>44440</v>
      </c>
      <c r="B153">
        <v>2.7679999999999998</v>
      </c>
      <c r="C153">
        <v>2.9039999999999999</v>
      </c>
      <c r="D153">
        <v>2.72</v>
      </c>
      <c r="E153">
        <v>2.8690000000000002</v>
      </c>
      <c r="F153">
        <v>196563544.09999999</v>
      </c>
      <c r="G153">
        <v>2.8690000000000002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0.6195652173913071</v>
      </c>
      <c r="Q153">
        <f t="shared" ref="Q153" si="741">F153*P153</f>
        <v>121783934.93152228</v>
      </c>
      <c r="R153">
        <f t="shared" ref="R153" si="742">R154+Q153</f>
        <v>42519355804.694641</v>
      </c>
      <c r="S153">
        <f t="shared" ref="S153" si="743">R153/100000</f>
        <v>425193.55804694642</v>
      </c>
      <c r="T153">
        <f t="shared" ref="T153" si="744">S153/1000</f>
        <v>425.19355804694641</v>
      </c>
    </row>
    <row r="154" spans="1:20" x14ac:dyDescent="0.25">
      <c r="A154" s="5">
        <v>44439</v>
      </c>
      <c r="B154">
        <v>2.7349999999999999</v>
      </c>
      <c r="C154">
        <v>2.8809999999999998</v>
      </c>
      <c r="D154">
        <v>2.702</v>
      </c>
      <c r="E154">
        <v>2.7669999999999999</v>
      </c>
      <c r="F154">
        <v>251908426.30000001</v>
      </c>
      <c r="G154">
        <v>2.7669999999999999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-0.27374301675977641</v>
      </c>
      <c r="Q154">
        <f t="shared" ref="Q154" si="746">F154*P154</f>
        <v>-68958172.562569812</v>
      </c>
      <c r="R154">
        <f t="shared" ref="R154" si="747">R155+Q154</f>
        <v>42397571869.763123</v>
      </c>
      <c r="S154">
        <f t="shared" ref="S154" si="748">R154/100000</f>
        <v>423975.71869763121</v>
      </c>
      <c r="T154">
        <f t="shared" ref="T154" si="749">S154/1000</f>
        <v>423.97571869763118</v>
      </c>
    </row>
    <row r="155" spans="1:20" x14ac:dyDescent="0.25">
      <c r="A155" s="5">
        <v>44438</v>
      </c>
      <c r="B155">
        <v>2.85</v>
      </c>
      <c r="C155">
        <v>2.8839999999999999</v>
      </c>
      <c r="D155">
        <v>2.72</v>
      </c>
      <c r="E155">
        <v>2.734</v>
      </c>
      <c r="F155">
        <v>240691753.90000001</v>
      </c>
      <c r="G155">
        <v>2.734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-0.82926829268292912</v>
      </c>
      <c r="Q155">
        <f t="shared" ref="Q155" si="751">F155*P155</f>
        <v>-199598039.81951275</v>
      </c>
      <c r="R155">
        <f t="shared" ref="R155" si="752">R156+Q155</f>
        <v>42466530042.325691</v>
      </c>
      <c r="S155">
        <f t="shared" ref="S155" si="753">R155/100000</f>
        <v>424665.30042325694</v>
      </c>
      <c r="T155">
        <f t="shared" ref="T155" si="754">S155/1000</f>
        <v>424.66530042325695</v>
      </c>
    </row>
    <row r="156" spans="1:20" x14ac:dyDescent="0.25">
      <c r="A156" s="5">
        <v>44437</v>
      </c>
      <c r="B156">
        <v>2.847</v>
      </c>
      <c r="C156">
        <v>2.9350000000000001</v>
      </c>
      <c r="D156">
        <v>2.7189999999999999</v>
      </c>
      <c r="E156">
        <v>2.851</v>
      </c>
      <c r="F156">
        <v>274365688</v>
      </c>
      <c r="G156">
        <v>2.851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0.22222222222222221</v>
      </c>
      <c r="Q156">
        <f t="shared" ref="Q156" si="756">F156*P156</f>
        <v>60970152.888888888</v>
      </c>
      <c r="R156">
        <f t="shared" ref="R156" si="757">R157+Q156</f>
        <v>42666128082.145203</v>
      </c>
      <c r="S156">
        <f t="shared" ref="S156" si="758">R156/100000</f>
        <v>426661.28082145203</v>
      </c>
      <c r="T156">
        <f t="shared" ref="T156" si="759">S156/1000</f>
        <v>426.66128082145201</v>
      </c>
    </row>
    <row r="157" spans="1:20" x14ac:dyDescent="0.25">
      <c r="A157" s="5">
        <v>44436</v>
      </c>
      <c r="B157">
        <v>2.9470000000000001</v>
      </c>
      <c r="C157">
        <v>2.95</v>
      </c>
      <c r="D157">
        <v>2.7719999999999998</v>
      </c>
      <c r="E157">
        <v>2.847</v>
      </c>
      <c r="F157">
        <v>243063514.38999999</v>
      </c>
      <c r="G157">
        <v>2.847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-0.15730337078651666</v>
      </c>
      <c r="Q157">
        <f t="shared" ref="Q157" si="761">F157*P157</f>
        <v>-38234710.128763996</v>
      </c>
      <c r="R157">
        <f t="shared" ref="R157" si="762">R158+Q157</f>
        <v>42605157929.256317</v>
      </c>
      <c r="S157">
        <f t="shared" ref="S157" si="763">R157/100000</f>
        <v>426051.5792925632</v>
      </c>
      <c r="T157">
        <f t="shared" ref="T157" si="764">S157/1000</f>
        <v>426.05157929256319</v>
      </c>
    </row>
    <row r="158" spans="1:20" x14ac:dyDescent="0.25">
      <c r="A158" s="5">
        <v>44435</v>
      </c>
      <c r="B158">
        <v>2.5289999999999999</v>
      </c>
      <c r="C158">
        <v>2.9472999999999998</v>
      </c>
      <c r="D158">
        <v>2.4940000000000002</v>
      </c>
      <c r="E158">
        <v>2.9460000000000002</v>
      </c>
      <c r="F158">
        <v>472662823.38999999</v>
      </c>
      <c r="G158">
        <v>2.9460000000000002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0.99426428413854118</v>
      </c>
      <c r="Q158">
        <f t="shared" ref="Q158" si="766">F158*P158</f>
        <v>469951763.73676008</v>
      </c>
      <c r="R158">
        <f t="shared" ref="R158" si="767">R159+Q158</f>
        <v>42643392639.385078</v>
      </c>
      <c r="S158">
        <f t="shared" ref="S158" si="768">R158/100000</f>
        <v>426433.92639385076</v>
      </c>
      <c r="T158">
        <f t="shared" ref="T158" si="769">S158/1000</f>
        <v>426.43392639385075</v>
      </c>
    </row>
    <row r="159" spans="1:20" x14ac:dyDescent="0.25">
      <c r="A159" s="5">
        <v>44434</v>
      </c>
      <c r="B159">
        <v>2.7389000000000001</v>
      </c>
      <c r="C159">
        <v>2.7850000000000001</v>
      </c>
      <c r="D159">
        <v>2.4700000000000002</v>
      </c>
      <c r="E159">
        <v>2.528</v>
      </c>
      <c r="F159">
        <v>407754722.32999998</v>
      </c>
      <c r="G159">
        <v>2.528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-0.63174603174603272</v>
      </c>
      <c r="Q159">
        <f t="shared" ref="Q159" si="771">F159*P159</f>
        <v>-257597427.75768292</v>
      </c>
      <c r="R159">
        <f t="shared" ref="R159" si="772">R160+Q159</f>
        <v>42173440875.648315</v>
      </c>
      <c r="S159">
        <f t="shared" ref="S159" si="773">R159/100000</f>
        <v>421734.40875648317</v>
      </c>
      <c r="T159">
        <f t="shared" ref="T159" si="774">S159/1000</f>
        <v>421.73440875648316</v>
      </c>
    </row>
    <row r="160" spans="1:20" x14ac:dyDescent="0.25">
      <c r="A160" s="5">
        <v>44433</v>
      </c>
      <c r="B160">
        <v>2.7191000000000001</v>
      </c>
      <c r="C160">
        <v>2.7970000000000002</v>
      </c>
      <c r="D160">
        <v>2.6</v>
      </c>
      <c r="E160">
        <v>2.7389999999999999</v>
      </c>
      <c r="F160">
        <v>460928567.06</v>
      </c>
      <c r="G160">
        <v>2.7389999999999999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0.41116751269035273</v>
      </c>
      <c r="Q160">
        <f t="shared" ref="Q160" si="776">F160*P160</f>
        <v>189518852.44598866</v>
      </c>
      <c r="R160">
        <f t="shared" ref="R160" si="777">R161+Q160</f>
        <v>42431038303.405998</v>
      </c>
      <c r="S160">
        <f t="shared" ref="S160" si="778">R160/100000</f>
        <v>424310.38303406001</v>
      </c>
      <c r="T160">
        <f t="shared" ref="T160" si="779">S160/1000</f>
        <v>424.31038303406001</v>
      </c>
    </row>
    <row r="161" spans="1:20" x14ac:dyDescent="0.25">
      <c r="A161" s="5">
        <v>44432</v>
      </c>
      <c r="B161">
        <v>2.9152</v>
      </c>
      <c r="C161">
        <v>2.9470000000000001</v>
      </c>
      <c r="D161">
        <v>2.5872000000000002</v>
      </c>
      <c r="E161">
        <v>2.7187000000000001</v>
      </c>
      <c r="F161">
        <v>641652294.22000003</v>
      </c>
      <c r="G161">
        <v>2.7187000000000001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-0.26903835464146753</v>
      </c>
      <c r="Q161">
        <f t="shared" ref="Q161" si="781">F161*P161</f>
        <v>-172629077.48887163</v>
      </c>
      <c r="R161">
        <f t="shared" ref="R161" si="782">R162+Q161</f>
        <v>42241519450.960007</v>
      </c>
      <c r="S161">
        <f t="shared" ref="S161" si="783">R161/100000</f>
        <v>422415.19450960006</v>
      </c>
      <c r="T161">
        <f t="shared" ref="T161" si="784">S161/1000</f>
        <v>422.41519450960004</v>
      </c>
    </row>
    <row r="162" spans="1:20" x14ac:dyDescent="0.25">
      <c r="A162" s="5">
        <v>44431</v>
      </c>
      <c r="B162">
        <v>2.7050000000000001</v>
      </c>
      <c r="C162">
        <v>2.9719000000000002</v>
      </c>
      <c r="D162">
        <v>2.6848999999999998</v>
      </c>
      <c r="E162">
        <v>2.9152</v>
      </c>
      <c r="F162">
        <v>653707062.88</v>
      </c>
      <c r="G162">
        <v>2.9152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0.6048780487804869</v>
      </c>
      <c r="Q162">
        <f t="shared" ref="Q162" si="786">F162*P162</f>
        <v>395413052.66887748</v>
      </c>
      <c r="R162">
        <f t="shared" ref="R162" si="787">R163+Q162</f>
        <v>42414148528.448875</v>
      </c>
      <c r="S162">
        <f t="shared" ref="S162" si="788">R162/100000</f>
        <v>424141.48528448876</v>
      </c>
      <c r="T162">
        <f t="shared" ref="T162" si="789">S162/1000</f>
        <v>424.14148528448874</v>
      </c>
    </row>
    <row r="163" spans="1:20" x14ac:dyDescent="0.25">
      <c r="A163" s="5">
        <v>44430</v>
      </c>
      <c r="B163">
        <v>2.4346999999999999</v>
      </c>
      <c r="C163">
        <v>2.5712999999999999</v>
      </c>
      <c r="D163">
        <v>2.4306000000000001</v>
      </c>
      <c r="E163">
        <v>2.57</v>
      </c>
      <c r="F163">
        <v>108137180.33</v>
      </c>
      <c r="G163">
        <v>2.57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0.98152096659559229</v>
      </c>
      <c r="Q163">
        <f t="shared" ref="Q163" si="791">F163*P163</f>
        <v>106138909.76242347</v>
      </c>
      <c r="R163">
        <f t="shared" ref="R163" si="792">R164+Q163</f>
        <v>42018735475.779999</v>
      </c>
      <c r="S163">
        <f t="shared" ref="S163" si="793">R163/100000</f>
        <v>420187.3547578</v>
      </c>
      <c r="T163">
        <f t="shared" ref="T163" si="794">S163/1000</f>
        <v>420.18735475779999</v>
      </c>
    </row>
    <row r="164" spans="1:20" x14ac:dyDescent="0.25">
      <c r="A164" s="5">
        <v>44429</v>
      </c>
      <c r="B164">
        <v>2.4557000000000002</v>
      </c>
      <c r="C164">
        <v>2.5287999999999999</v>
      </c>
      <c r="D164">
        <v>2.3805000000000001</v>
      </c>
      <c r="E164">
        <v>2.4340999999999999</v>
      </c>
      <c r="F164">
        <v>297136052.16000003</v>
      </c>
      <c r="G164">
        <v>2.4340999999999999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-0.27714093054619132</v>
      </c>
      <c r="Q164">
        <f t="shared" ref="Q164" si="796">F164*P164</f>
        <v>-82348561.994444042</v>
      </c>
      <c r="R164">
        <f t="shared" ref="R164" si="797">R165+Q164</f>
        <v>41912596566.017578</v>
      </c>
      <c r="S164">
        <f t="shared" ref="S164" si="798">R164/100000</f>
        <v>419125.96566017577</v>
      </c>
      <c r="T164">
        <f t="shared" ref="T164" si="799">S164/1000</f>
        <v>419.12596566017578</v>
      </c>
    </row>
    <row r="165" spans="1:20" x14ac:dyDescent="0.25">
      <c r="A165" s="5">
        <v>44428</v>
      </c>
      <c r="B165">
        <v>2.4411</v>
      </c>
      <c r="C165">
        <v>2.5817000000000001</v>
      </c>
      <c r="D165">
        <v>2.3666</v>
      </c>
      <c r="E165">
        <v>2.4557000000000002</v>
      </c>
      <c r="F165">
        <v>619099859.32000005</v>
      </c>
      <c r="G165">
        <v>2.4557000000000002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-0.1715481171548103</v>
      </c>
      <c r="Q165">
        <f t="shared" ref="Q165" si="801">F165*P165</f>
        <v>-106205415.19715394</v>
      </c>
      <c r="R165">
        <f t="shared" ref="R165" si="802">R166+Q165</f>
        <v>41994945128.012024</v>
      </c>
      <c r="S165">
        <f t="shared" ref="S165" si="803">R165/100000</f>
        <v>419949.45128012024</v>
      </c>
      <c r="T165">
        <f t="shared" ref="T165" si="804">S165/1000</f>
        <v>419.94945128012023</v>
      </c>
    </row>
    <row r="166" spans="1:20" x14ac:dyDescent="0.25">
      <c r="A166" s="5">
        <v>44427</v>
      </c>
      <c r="B166">
        <v>2.1044999999999998</v>
      </c>
      <c r="C166">
        <v>2.4550000000000001</v>
      </c>
      <c r="D166">
        <v>2.0461999999999998</v>
      </c>
      <c r="E166">
        <v>2.4411</v>
      </c>
      <c r="F166">
        <v>661367609.97000003</v>
      </c>
      <c r="G166">
        <v>2.4411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0.93199608610567508</v>
      </c>
      <c r="Q166">
        <f t="shared" ref="Q166" si="806">F166*P166</f>
        <v>616392023.96910465</v>
      </c>
      <c r="R166">
        <f t="shared" ref="R166" si="807">R167+Q166</f>
        <v>42101150543.209175</v>
      </c>
      <c r="S166">
        <f t="shared" ref="S166" si="808">R166/100000</f>
        <v>421011.50543209177</v>
      </c>
      <c r="T166">
        <f t="shared" ref="T166" si="809">S166/1000</f>
        <v>421.01150543209178</v>
      </c>
    </row>
    <row r="167" spans="1:20" x14ac:dyDescent="0.25">
      <c r="A167" s="5">
        <v>44426</v>
      </c>
      <c r="B167">
        <v>1.9239999999999999</v>
      </c>
      <c r="C167">
        <v>2.1642999999999999</v>
      </c>
      <c r="D167">
        <v>1.87</v>
      </c>
      <c r="E167">
        <v>2.1042999999999998</v>
      </c>
      <c r="F167">
        <v>486614298.89999998</v>
      </c>
      <c r="G167">
        <v>2.1042999999999998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0.59225280326197693</v>
      </c>
      <c r="Q167">
        <f t="shared" ref="Q167" si="811">F167*P167</f>
        <v>288198682.6308865</v>
      </c>
      <c r="R167">
        <f t="shared" ref="R167" si="812">R168+Q167</f>
        <v>41484758519.240074</v>
      </c>
      <c r="S167">
        <f t="shared" ref="S167" si="813">R167/100000</f>
        <v>414847.58519240073</v>
      </c>
      <c r="T167">
        <f t="shared" ref="T167" si="814">S167/1000</f>
        <v>414.84758519240074</v>
      </c>
    </row>
    <row r="168" spans="1:20" x14ac:dyDescent="0.25">
      <c r="A168" s="5">
        <v>44425</v>
      </c>
      <c r="B168">
        <v>2.0716999999999999</v>
      </c>
      <c r="C168">
        <v>2.1414</v>
      </c>
      <c r="D168">
        <v>1.9058999999999999</v>
      </c>
      <c r="E168">
        <v>1.9238999999999999</v>
      </c>
      <c r="F168">
        <v>361700269.73000002</v>
      </c>
      <c r="G168">
        <v>1.9238999999999999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-0.84713375796178336</v>
      </c>
      <c r="Q168">
        <f t="shared" ref="Q168" si="816">F168*P168</f>
        <v>-306408508.75216562</v>
      </c>
      <c r="R168">
        <f t="shared" ref="R168" si="817">R169+Q168</f>
        <v>41196559836.609184</v>
      </c>
      <c r="S168">
        <f t="shared" ref="S168" si="818">R168/100000</f>
        <v>411965.59836609184</v>
      </c>
      <c r="T168">
        <f t="shared" ref="T168" si="819">S168/1000</f>
        <v>411.96559836609185</v>
      </c>
    </row>
    <row r="169" spans="1:20" x14ac:dyDescent="0.25">
      <c r="A169" s="5">
        <v>44424</v>
      </c>
      <c r="B169">
        <v>2.1667000000000001</v>
      </c>
      <c r="C169">
        <v>2.2000000000000002</v>
      </c>
      <c r="D169">
        <v>2.0463</v>
      </c>
      <c r="E169">
        <v>2.0714000000000001</v>
      </c>
      <c r="F169">
        <v>313643255.52999997</v>
      </c>
      <c r="G169">
        <v>2.0714000000000001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-0.67338972023422128</v>
      </c>
      <c r="Q169">
        <f t="shared" ref="Q169" si="821">F169*P169</f>
        <v>-211204144.09469706</v>
      </c>
      <c r="R169">
        <f t="shared" ref="R169" si="822">R170+Q169</f>
        <v>41502968345.361351</v>
      </c>
      <c r="S169">
        <f t="shared" ref="S169" si="823">R169/100000</f>
        <v>415029.68345361348</v>
      </c>
      <c r="T169">
        <f t="shared" ref="T169" si="824">S169/1000</f>
        <v>415.02968345361347</v>
      </c>
    </row>
    <row r="170" spans="1:20" x14ac:dyDescent="0.25">
      <c r="A170" s="5">
        <v>44423</v>
      </c>
      <c r="B170">
        <v>2.1875</v>
      </c>
      <c r="C170">
        <v>2.2498999999999998</v>
      </c>
      <c r="D170">
        <v>2.0299999999999998</v>
      </c>
      <c r="E170">
        <v>2.1667000000000001</v>
      </c>
      <c r="F170">
        <v>370249371.14999998</v>
      </c>
      <c r="G170">
        <v>2.1667000000000001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0.24329240563892929</v>
      </c>
      <c r="Q170">
        <f t="shared" ref="Q170" si="826">F170*P170</f>
        <v>90078860.193384275</v>
      </c>
      <c r="R170">
        <f t="shared" ref="R170" si="827">R171+Q170</f>
        <v>41714172489.456047</v>
      </c>
      <c r="S170">
        <f t="shared" ref="S170" si="828">R170/100000</f>
        <v>417141.72489456047</v>
      </c>
      <c r="T170">
        <f t="shared" ref="T170" si="829">S170/1000</f>
        <v>417.14172489456047</v>
      </c>
    </row>
    <row r="171" spans="1:20" x14ac:dyDescent="0.25">
      <c r="A171" s="5">
        <v>44422</v>
      </c>
      <c r="B171">
        <v>2.1385999999999998</v>
      </c>
      <c r="C171">
        <v>2.25</v>
      </c>
      <c r="D171">
        <v>2.0834999999999999</v>
      </c>
      <c r="E171">
        <v>2.1878000000000002</v>
      </c>
      <c r="F171">
        <v>599325581.5</v>
      </c>
      <c r="G171">
        <v>2.1878000000000002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0.25285285285285553</v>
      </c>
      <c r="Q171">
        <f t="shared" ref="Q171" si="831">F171*P171</f>
        <v>151541183.06997156</v>
      </c>
      <c r="R171">
        <f t="shared" ref="R171" si="832">R172+Q171</f>
        <v>41624093629.262665</v>
      </c>
      <c r="S171">
        <f t="shared" ref="S171" si="833">R171/100000</f>
        <v>416240.93629262666</v>
      </c>
      <c r="T171">
        <f t="shared" ref="T171" si="834">S171/1000</f>
        <v>416.24093629262666</v>
      </c>
    </row>
    <row r="172" spans="1:20" x14ac:dyDescent="0.25">
      <c r="A172" s="5">
        <v>44421</v>
      </c>
      <c r="B172">
        <v>1.833</v>
      </c>
      <c r="C172">
        <v>2.1495000000000002</v>
      </c>
      <c r="D172">
        <v>1.8211999999999999</v>
      </c>
      <c r="E172">
        <v>2.1385999999999998</v>
      </c>
      <c r="F172">
        <v>589994492.02999997</v>
      </c>
      <c r="G172">
        <v>2.1385999999999998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0.93359731952482272</v>
      </c>
      <c r="Q172">
        <f t="shared" ref="Q172" si="836">F172*P172</f>
        <v>550817276.29361737</v>
      </c>
      <c r="R172">
        <f t="shared" ref="R172" si="837">R173+Q172</f>
        <v>41472552446.192696</v>
      </c>
      <c r="S172">
        <f t="shared" ref="S172" si="838">R172/100000</f>
        <v>414725.52446192695</v>
      </c>
      <c r="T172">
        <f t="shared" ref="T172" si="839">S172/1000</f>
        <v>414.72552446192697</v>
      </c>
    </row>
    <row r="173" spans="1:20" x14ac:dyDescent="0.25">
      <c r="A173" s="5">
        <v>44420</v>
      </c>
      <c r="B173">
        <v>1.7934000000000001</v>
      </c>
      <c r="C173">
        <v>1.869</v>
      </c>
      <c r="D173">
        <v>1.6792</v>
      </c>
      <c r="E173">
        <v>1.8324</v>
      </c>
      <c r="F173">
        <v>431637639.19999999</v>
      </c>
      <c r="G173">
        <v>1.8324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0.61433087460484748</v>
      </c>
      <c r="Q173">
        <f t="shared" ref="Q173" si="841">F173*P173</f>
        <v>265168328.4021076</v>
      </c>
      <c r="R173">
        <f t="shared" ref="R173" si="842">R174+Q173</f>
        <v>40921735169.899078</v>
      </c>
      <c r="S173">
        <f t="shared" ref="S173" si="843">R173/100000</f>
        <v>409217.35169899079</v>
      </c>
      <c r="T173">
        <f t="shared" ref="T173" si="844">S173/1000</f>
        <v>409.2173516989908</v>
      </c>
    </row>
    <row r="174" spans="1:20" x14ac:dyDescent="0.25">
      <c r="A174" s="5">
        <v>44419</v>
      </c>
      <c r="B174">
        <v>1.6779999999999999</v>
      </c>
      <c r="C174">
        <v>1.895</v>
      </c>
      <c r="D174">
        <v>1.67</v>
      </c>
      <c r="E174">
        <v>1.7934000000000001</v>
      </c>
      <c r="F174">
        <v>488863450.17000002</v>
      </c>
      <c r="G174">
        <v>1.7934000000000001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9.6888888888890023E-2</v>
      </c>
      <c r="Q174">
        <f t="shared" ref="Q174" si="846">F174*P174</f>
        <v>47365436.505360559</v>
      </c>
      <c r="R174">
        <f t="shared" ref="R174" si="847">R175+Q174</f>
        <v>40656566841.496971</v>
      </c>
      <c r="S174">
        <f t="shared" ref="S174" si="848">R174/100000</f>
        <v>406565.6684149697</v>
      </c>
      <c r="T174">
        <f t="shared" ref="T174" si="849">S174/1000</f>
        <v>406.56566841496971</v>
      </c>
    </row>
    <row r="175" spans="1:20" x14ac:dyDescent="0.25">
      <c r="A175" s="5">
        <v>44418</v>
      </c>
      <c r="B175">
        <v>1.4744999999999999</v>
      </c>
      <c r="C175">
        <v>1.7010000000000001</v>
      </c>
      <c r="D175">
        <v>1.4570000000000001</v>
      </c>
      <c r="E175">
        <v>1.6779999999999999</v>
      </c>
      <c r="F175">
        <v>356506024.50999999</v>
      </c>
      <c r="G175">
        <v>1.6779999999999999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0.81147540983606448</v>
      </c>
      <c r="Q175">
        <f t="shared" ref="Q175" si="851">F175*P175</f>
        <v>289295872.34827828</v>
      </c>
      <c r="R175">
        <f t="shared" ref="R175" si="852">R176+Q175</f>
        <v>40609201404.991608</v>
      </c>
      <c r="S175">
        <f t="shared" ref="S175" si="853">R175/100000</f>
        <v>406092.01404991606</v>
      </c>
      <c r="T175">
        <f t="shared" ref="T175" si="854">S175/1000</f>
        <v>406.09201404991609</v>
      </c>
    </row>
    <row r="176" spans="1:20" x14ac:dyDescent="0.25">
      <c r="A176" s="5">
        <v>44417</v>
      </c>
      <c r="B176">
        <v>1.4256</v>
      </c>
      <c r="C176">
        <v>1.4990000000000001</v>
      </c>
      <c r="D176">
        <v>1.3933</v>
      </c>
      <c r="E176">
        <v>1.4744999999999999</v>
      </c>
      <c r="F176">
        <v>204393100.93000001</v>
      </c>
      <c r="G176">
        <v>1.4744999999999999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0.53642384105959962</v>
      </c>
      <c r="Q176">
        <f t="shared" ref="Q176" si="856">F176*P176</f>
        <v>109641332.28695303</v>
      </c>
      <c r="R176">
        <f t="shared" ref="R176" si="857">R177+Q176</f>
        <v>40319905532.643326</v>
      </c>
      <c r="S176">
        <f t="shared" ref="S176" si="858">R176/100000</f>
        <v>403199.05532643327</v>
      </c>
      <c r="T176">
        <f t="shared" ref="T176" si="859">S176/1000</f>
        <v>403.19905532643327</v>
      </c>
    </row>
    <row r="177" spans="1:20" x14ac:dyDescent="0.25">
      <c r="A177" s="5">
        <v>44416</v>
      </c>
      <c r="B177">
        <v>1.4725999999999999</v>
      </c>
      <c r="C177">
        <v>1.4941</v>
      </c>
      <c r="D177">
        <v>1.407</v>
      </c>
      <c r="E177">
        <v>1.4255</v>
      </c>
      <c r="F177">
        <v>201134603.12</v>
      </c>
      <c r="G177">
        <v>1.4255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-0.57520091848450128</v>
      </c>
      <c r="Q177">
        <f t="shared" ref="Q177" si="861">F177*P177</f>
        <v>-115692808.45363964</v>
      </c>
      <c r="R177">
        <f t="shared" ref="R177" si="862">R178+Q177</f>
        <v>40210264200.356369</v>
      </c>
      <c r="S177">
        <f t="shared" ref="S177" si="863">R177/100000</f>
        <v>402102.6420035637</v>
      </c>
      <c r="T177">
        <f t="shared" ref="T177" si="864">S177/1000</f>
        <v>402.10264200356369</v>
      </c>
    </row>
    <row r="178" spans="1:20" x14ac:dyDescent="0.25">
      <c r="A178" s="5">
        <v>44415</v>
      </c>
      <c r="B178">
        <v>1.4027000000000001</v>
      </c>
      <c r="C178">
        <v>1.4850000000000001</v>
      </c>
      <c r="D178">
        <v>1.3945000000000001</v>
      </c>
      <c r="E178">
        <v>1.4726999999999999</v>
      </c>
      <c r="F178">
        <v>245578409.19999999</v>
      </c>
      <c r="G178">
        <v>1.4726999999999999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0.72817679558010617</v>
      </c>
      <c r="Q178">
        <f t="shared" ref="Q178" si="866">F178*P178</f>
        <v>178824499.07491606</v>
      </c>
      <c r="R178">
        <f t="shared" ref="R178" si="867">R179+Q178</f>
        <v>40325957008.810005</v>
      </c>
      <c r="S178">
        <f t="shared" ref="S178" si="868">R178/100000</f>
        <v>403259.57008810004</v>
      </c>
      <c r="T178">
        <f t="shared" ref="T178" si="869">S178/1000</f>
        <v>403.25957008810002</v>
      </c>
    </row>
    <row r="179" spans="1:20" x14ac:dyDescent="0.25">
      <c r="A179" s="5">
        <v>44414</v>
      </c>
      <c r="B179">
        <v>1.3858999999999999</v>
      </c>
      <c r="C179">
        <v>1.425</v>
      </c>
      <c r="D179">
        <v>1.3613</v>
      </c>
      <c r="E179">
        <v>1.4025000000000001</v>
      </c>
      <c r="F179">
        <v>165384665.38999999</v>
      </c>
      <c r="G179">
        <v>1.4025000000000001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0.29356357927786708</v>
      </c>
      <c r="Q179">
        <f t="shared" ref="Q179" si="871">F179*P179</f>
        <v>48550914.329560779</v>
      </c>
      <c r="R179">
        <f t="shared" ref="R179" si="872">R180+Q179</f>
        <v>40147132509.735092</v>
      </c>
      <c r="S179">
        <f t="shared" ref="S179" si="873">R179/100000</f>
        <v>401471.32509735093</v>
      </c>
      <c r="T179">
        <f t="shared" ref="T179" si="874">S179/1000</f>
        <v>401.47132509735093</v>
      </c>
    </row>
    <row r="180" spans="1:20" x14ac:dyDescent="0.25">
      <c r="A180" s="5">
        <v>44413</v>
      </c>
      <c r="B180">
        <v>1.3766</v>
      </c>
      <c r="C180">
        <v>1.3974</v>
      </c>
      <c r="D180">
        <v>1.3380000000000001</v>
      </c>
      <c r="E180">
        <v>1.3858999999999999</v>
      </c>
      <c r="F180">
        <v>160752874.44</v>
      </c>
      <c r="G180">
        <v>1.3858999999999999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0.61279461279460989</v>
      </c>
      <c r="Q180">
        <f t="shared" ref="Q180" si="876">F180*P180</f>
        <v>98508495.448080346</v>
      </c>
      <c r="R180">
        <f t="shared" ref="R180" si="877">R181+Q180</f>
        <v>40098581595.405533</v>
      </c>
      <c r="S180">
        <f t="shared" ref="S180" si="878">R180/100000</f>
        <v>400985.81595405535</v>
      </c>
      <c r="T180">
        <f t="shared" ref="T180" si="879">S180/1000</f>
        <v>400.98581595405534</v>
      </c>
    </row>
    <row r="181" spans="1:20" x14ac:dyDescent="0.25">
      <c r="A181" s="5">
        <v>44412</v>
      </c>
      <c r="B181">
        <v>1.3696999999999999</v>
      </c>
      <c r="C181">
        <v>1.3937999999999999</v>
      </c>
      <c r="D181">
        <v>1.323</v>
      </c>
      <c r="E181">
        <v>1.3765000000000001</v>
      </c>
      <c r="F181">
        <v>182865692.09999999</v>
      </c>
      <c r="G181">
        <v>1.3765000000000001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0.51129943502825204</v>
      </c>
      <c r="Q181">
        <f t="shared" ref="Q181" si="881">F181*P181</f>
        <v>93499125.056780294</v>
      </c>
      <c r="R181">
        <f t="shared" ref="R181" si="882">R182+Q181</f>
        <v>40000073099.957451</v>
      </c>
      <c r="S181">
        <f t="shared" ref="S181" si="883">R181/100000</f>
        <v>400000.73099957453</v>
      </c>
      <c r="T181">
        <f t="shared" ref="T181" si="884">S181/1000</f>
        <v>400.00073099957456</v>
      </c>
    </row>
    <row r="182" spans="1:20" x14ac:dyDescent="0.25">
      <c r="A182" s="5">
        <v>44411</v>
      </c>
      <c r="B182">
        <v>1.3082</v>
      </c>
      <c r="C182">
        <v>1.3827</v>
      </c>
      <c r="D182">
        <v>1.2613000000000001</v>
      </c>
      <c r="E182">
        <v>1.3695999999999999</v>
      </c>
      <c r="F182">
        <v>250226135.47999999</v>
      </c>
      <c r="G182">
        <v>1.3695999999999999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0.78418451400329292</v>
      </c>
      <c r="Q182">
        <f t="shared" ref="Q182" si="886">F182*P182</f>
        <v>196223460.44230592</v>
      </c>
      <c r="R182">
        <f t="shared" ref="R182" si="887">R183+Q182</f>
        <v>39906573974.900673</v>
      </c>
      <c r="S182">
        <f t="shared" ref="S182" si="888">R182/100000</f>
        <v>399065.73974900675</v>
      </c>
      <c r="T182">
        <f t="shared" ref="T182" si="889">S182/1000</f>
        <v>399.06573974900675</v>
      </c>
    </row>
    <row r="183" spans="1:20" x14ac:dyDescent="0.25">
      <c r="A183" s="5">
        <v>44410</v>
      </c>
      <c r="B183">
        <v>1.3145</v>
      </c>
      <c r="C183">
        <v>1.35</v>
      </c>
      <c r="D183">
        <v>1.2927</v>
      </c>
      <c r="E183">
        <v>1.3083</v>
      </c>
      <c r="F183">
        <v>124737501.38</v>
      </c>
      <c r="G183">
        <v>1.3083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-0.45549738219895208</v>
      </c>
      <c r="Q183">
        <f t="shared" ref="Q183" si="891">F183*P183</f>
        <v>-56817605.340628169</v>
      </c>
      <c r="R183">
        <f t="shared" ref="R183" si="892">R184+Q183</f>
        <v>39710350514.458366</v>
      </c>
      <c r="S183">
        <f t="shared" ref="S183" si="893">R183/100000</f>
        <v>397103.50514458364</v>
      </c>
      <c r="T183">
        <f t="shared" ref="T183" si="894">S183/1000</f>
        <v>397.10350514458366</v>
      </c>
    </row>
    <row r="184" spans="1:20" x14ac:dyDescent="0.25">
      <c r="A184" s="5">
        <v>44409</v>
      </c>
      <c r="B184">
        <v>1.3192999999999999</v>
      </c>
      <c r="C184">
        <v>1.3878999999999999</v>
      </c>
      <c r="D184">
        <v>1.2984</v>
      </c>
      <c r="E184">
        <v>1.3142</v>
      </c>
      <c r="F184">
        <v>200978816.46000001</v>
      </c>
      <c r="G184">
        <v>1.3142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-0.6469273743016748</v>
      </c>
      <c r="Q184">
        <f t="shared" ref="Q184" si="896">F184*P184</f>
        <v>-130018698.02272603</v>
      </c>
      <c r="R184">
        <f t="shared" ref="R184" si="897">R185+Q184</f>
        <v>39767168119.798996</v>
      </c>
      <c r="S184">
        <f t="shared" ref="S184" si="898">R184/100000</f>
        <v>397671.68119798996</v>
      </c>
      <c r="T184">
        <f t="shared" ref="T184" si="899">S184/1000</f>
        <v>397.67168119798998</v>
      </c>
    </row>
    <row r="185" spans="1:20" x14ac:dyDescent="0.25">
      <c r="A185" s="5">
        <v>44408</v>
      </c>
      <c r="B185">
        <v>1.3109</v>
      </c>
      <c r="C185">
        <v>1.3329</v>
      </c>
      <c r="D185">
        <v>1.2869999999999999</v>
      </c>
      <c r="E185">
        <v>1.3192999999999999</v>
      </c>
      <c r="F185">
        <v>122070136.42</v>
      </c>
      <c r="G185">
        <v>1.3192999999999999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0.40740740740740561</v>
      </c>
      <c r="Q185">
        <f t="shared" ref="Q185" si="901">F185*P185</f>
        <v>49732277.800740525</v>
      </c>
      <c r="R185">
        <f t="shared" ref="R185" si="902">R186+Q185</f>
        <v>39897186817.821724</v>
      </c>
      <c r="S185">
        <f t="shared" ref="S185" si="903">R185/100000</f>
        <v>398971.86817821726</v>
      </c>
      <c r="T185">
        <f t="shared" ref="T185" si="904">S185/1000</f>
        <v>398.97186817821728</v>
      </c>
    </row>
    <row r="186" spans="1:20" x14ac:dyDescent="0.25">
      <c r="A186" s="5">
        <v>44407</v>
      </c>
      <c r="B186">
        <v>1.2856000000000001</v>
      </c>
      <c r="C186">
        <v>1.3179000000000001</v>
      </c>
      <c r="D186">
        <v>1.2466999999999999</v>
      </c>
      <c r="E186">
        <v>1.3108</v>
      </c>
      <c r="F186">
        <v>181649929.84</v>
      </c>
      <c r="G186">
        <v>1.3108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0.80056179775280645</v>
      </c>
      <c r="Q186">
        <f t="shared" ref="Q186" si="906">F186*P186</f>
        <v>145421994.39438155</v>
      </c>
      <c r="R186">
        <f t="shared" ref="R186" si="907">R187+Q186</f>
        <v>39847454540.020981</v>
      </c>
      <c r="S186">
        <f t="shared" ref="S186" si="908">R186/100000</f>
        <v>398474.54540020978</v>
      </c>
      <c r="T186">
        <f t="shared" ref="T186" si="909">S186/1000</f>
        <v>398.47454540020976</v>
      </c>
    </row>
    <row r="187" spans="1:20" x14ac:dyDescent="0.25">
      <c r="A187" s="5">
        <v>44406</v>
      </c>
      <c r="B187">
        <v>1.2875000000000001</v>
      </c>
      <c r="C187">
        <v>1.2987</v>
      </c>
      <c r="D187">
        <v>1.256</v>
      </c>
      <c r="E187">
        <v>1.2856000000000001</v>
      </c>
      <c r="F187">
        <v>130840990.64</v>
      </c>
      <c r="G187">
        <v>1.2856000000000001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0.38641686182670248</v>
      </c>
      <c r="Q187">
        <f t="shared" ref="Q187" si="911">F187*P187</f>
        <v>50559165.001405753</v>
      </c>
      <c r="R187">
        <f t="shared" ref="R187" si="912">R188+Q187</f>
        <v>39702032545.626602</v>
      </c>
      <c r="S187">
        <f t="shared" ref="S187" si="913">R187/100000</f>
        <v>397020.325456266</v>
      </c>
      <c r="T187">
        <f t="shared" ref="T187" si="914">S187/1000</f>
        <v>397.02032545626599</v>
      </c>
    </row>
    <row r="188" spans="1:20" x14ac:dyDescent="0.25">
      <c r="A188" s="5">
        <v>44405</v>
      </c>
      <c r="B188">
        <v>1.2797000000000001</v>
      </c>
      <c r="C188">
        <v>1.32</v>
      </c>
      <c r="D188">
        <v>1.2573000000000001</v>
      </c>
      <c r="E188">
        <v>1.2875000000000001</v>
      </c>
      <c r="F188">
        <v>201236980.03</v>
      </c>
      <c r="G188">
        <v>1.2875000000000001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-3.6682615629983567E-2</v>
      </c>
      <c r="Q188">
        <f t="shared" ref="Q188" si="916">F188*P188</f>
        <v>-7381898.788979169</v>
      </c>
      <c r="R188">
        <f t="shared" ref="R188" si="917">R189+Q188</f>
        <v>39651473380.625198</v>
      </c>
      <c r="S188">
        <f t="shared" ref="S188" si="918">R188/100000</f>
        <v>396514.73380625196</v>
      </c>
      <c r="T188">
        <f t="shared" ref="T188" si="919">S188/1000</f>
        <v>396.51473380625197</v>
      </c>
    </row>
    <row r="189" spans="1:20" x14ac:dyDescent="0.25">
      <c r="A189" s="5">
        <v>44404</v>
      </c>
      <c r="B189">
        <v>1.2548999999999999</v>
      </c>
      <c r="C189">
        <v>1.3158000000000001</v>
      </c>
      <c r="D189">
        <v>1.2136</v>
      </c>
      <c r="E189">
        <v>1.2799</v>
      </c>
      <c r="F189">
        <v>233094192.34</v>
      </c>
      <c r="G189">
        <v>1.2799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0.29745596868884505</v>
      </c>
      <c r="Q189">
        <f t="shared" ref="Q189" si="921">F189*P189</f>
        <v>69335258.778238669</v>
      </c>
      <c r="R189">
        <f t="shared" ref="R189" si="922">R190+Q189</f>
        <v>39658855279.414177</v>
      </c>
      <c r="S189">
        <f t="shared" ref="S189" si="923">R189/100000</f>
        <v>396588.55279414175</v>
      </c>
      <c r="T189">
        <f t="shared" ref="T189" si="924">S189/1000</f>
        <v>396.58855279414178</v>
      </c>
    </row>
    <row r="190" spans="1:20" x14ac:dyDescent="0.25">
      <c r="A190" s="5">
        <v>44403</v>
      </c>
      <c r="B190">
        <v>1.2282999999999999</v>
      </c>
      <c r="C190">
        <v>1.3991</v>
      </c>
      <c r="D190">
        <v>1.2221</v>
      </c>
      <c r="E190">
        <v>1.2551000000000001</v>
      </c>
      <c r="F190">
        <v>415073283.88</v>
      </c>
      <c r="G190">
        <v>1.2551000000000001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-0.62711864406779516</v>
      </c>
      <c r="Q190">
        <f t="shared" ref="Q190" si="926">F190*P190</f>
        <v>-260300194.97559261</v>
      </c>
      <c r="R190">
        <f t="shared" ref="R190" si="927">R191+Q190</f>
        <v>39589520020.635941</v>
      </c>
      <c r="S190">
        <f t="shared" ref="S190" si="928">R190/100000</f>
        <v>395895.20020635938</v>
      </c>
      <c r="T190">
        <f t="shared" ref="T190" si="929">S190/1000</f>
        <v>395.89520020635939</v>
      </c>
    </row>
    <row r="191" spans="1:20" x14ac:dyDescent="0.25">
      <c r="A191" s="5">
        <v>44402</v>
      </c>
      <c r="B191">
        <v>1.2332000000000001</v>
      </c>
      <c r="C191">
        <v>1.2387999999999999</v>
      </c>
      <c r="D191">
        <v>1.19</v>
      </c>
      <c r="E191">
        <v>1.2283999999999999</v>
      </c>
      <c r="F191">
        <v>107934124.51000001</v>
      </c>
      <c r="G191">
        <v>1.2283999999999999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0.57377049180327977</v>
      </c>
      <c r="Q191">
        <f t="shared" ref="Q191" si="931">F191*P191</f>
        <v>61929415.702459134</v>
      </c>
      <c r="R191">
        <f t="shared" ref="R191" si="932">R192+Q191</f>
        <v>39849820215.611534</v>
      </c>
      <c r="S191">
        <f t="shared" ref="S191" si="933">R191/100000</f>
        <v>398498.20215611532</v>
      </c>
      <c r="T191">
        <f t="shared" ref="T191" si="934">S191/1000</f>
        <v>398.49820215611533</v>
      </c>
    </row>
    <row r="192" spans="1:20" x14ac:dyDescent="0.25">
      <c r="A192" s="5">
        <v>44401</v>
      </c>
      <c r="B192">
        <v>1.2075</v>
      </c>
      <c r="C192">
        <v>1.2486999999999999</v>
      </c>
      <c r="D192">
        <v>1.1963999999999999</v>
      </c>
      <c r="E192">
        <v>1.2326999999999999</v>
      </c>
      <c r="F192">
        <v>142716783.00999999</v>
      </c>
      <c r="G192">
        <v>1.2326999999999999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0.38814531548757131</v>
      </c>
      <c r="Q192">
        <f t="shared" ref="Q192" si="936">F192*P192</f>
        <v>55394850.7667877</v>
      </c>
      <c r="R192">
        <f t="shared" ref="R192" si="937">R193+Q192</f>
        <v>39787890799.909073</v>
      </c>
      <c r="S192">
        <f t="shared" ref="S192" si="938">R192/100000</f>
        <v>397878.90799909073</v>
      </c>
      <c r="T192">
        <f t="shared" ref="T192:T197" si="939">S192/1000</f>
        <v>397.87890799909076</v>
      </c>
    </row>
    <row r="193" spans="1:20" x14ac:dyDescent="0.25">
      <c r="A193" s="5">
        <v>44400</v>
      </c>
      <c r="B193">
        <v>1.1857</v>
      </c>
      <c r="C193">
        <v>1.2089000000000001</v>
      </c>
      <c r="D193">
        <v>1.1465000000000001</v>
      </c>
      <c r="E193">
        <v>1.2077</v>
      </c>
      <c r="F193">
        <v>131335875.06</v>
      </c>
      <c r="G193">
        <v>1.2077</v>
      </c>
      <c r="L193" t="s">
        <v>7</v>
      </c>
      <c r="M193" t="s">
        <v>8</v>
      </c>
      <c r="N193" t="s">
        <v>7</v>
      </c>
      <c r="P193">
        <f t="shared" ref="P193" si="940">IF(C193=D193,0,((E193-D193)-(C193-E193))/(C193-D193))</f>
        <v>0.96153846153845868</v>
      </c>
      <c r="Q193">
        <f t="shared" ref="Q193" si="941">F193*P193</f>
        <v>126284495.24999963</v>
      </c>
      <c r="R193">
        <f t="shared" ref="R193" si="942">R194+Q193</f>
        <v>39732495949.142288</v>
      </c>
      <c r="S193">
        <f t="shared" ref="S193" si="943">R193/100000</f>
        <v>397324.95949142287</v>
      </c>
      <c r="T193">
        <f t="shared" si="939"/>
        <v>397.32495949142287</v>
      </c>
    </row>
    <row r="194" spans="1:20" x14ac:dyDescent="0.25">
      <c r="A194" s="5">
        <v>44399</v>
      </c>
      <c r="B194">
        <v>1.1711</v>
      </c>
      <c r="C194">
        <v>1.2081</v>
      </c>
      <c r="D194">
        <v>1.1492</v>
      </c>
      <c r="E194">
        <v>1.1856</v>
      </c>
      <c r="F194">
        <v>158912321.75999999</v>
      </c>
      <c r="G194">
        <v>1.1856</v>
      </c>
      <c r="L194" t="s">
        <v>8</v>
      </c>
      <c r="M194" t="s">
        <v>8</v>
      </c>
      <c r="N194" t="s">
        <v>7</v>
      </c>
      <c r="P194">
        <f t="shared" ref="P194" si="944">IF(C194=D194,0,((E194-D194)-(C194-E194))/(C194-D194))</f>
        <v>0.23599320882852351</v>
      </c>
      <c r="Q194">
        <f t="shared" ref="Q194" si="945">F194*P194</f>
        <v>37502228.734533198</v>
      </c>
      <c r="R194">
        <f t="shared" ref="R194" si="946">R195+Q194</f>
        <v>39606211453.892288</v>
      </c>
      <c r="S194">
        <f t="shared" ref="S194" si="947">R194/100000</f>
        <v>396062.11453892291</v>
      </c>
      <c r="T194">
        <f t="shared" si="939"/>
        <v>396.06211453892291</v>
      </c>
    </row>
    <row r="195" spans="1:20" x14ac:dyDescent="0.25">
      <c r="A195" s="5">
        <v>44398</v>
      </c>
      <c r="B195">
        <v>1.0541</v>
      </c>
      <c r="C195">
        <v>1.2222</v>
      </c>
      <c r="D195">
        <v>1.0366</v>
      </c>
      <c r="E195">
        <v>1.1711</v>
      </c>
      <c r="F195">
        <v>287296624.77999997</v>
      </c>
      <c r="G195">
        <v>1.1711</v>
      </c>
      <c r="L195" t="s">
        <v>8</v>
      </c>
      <c r="M195" t="s">
        <v>8</v>
      </c>
      <c r="N195" t="s">
        <v>7</v>
      </c>
      <c r="P195">
        <f t="shared" ref="P195" si="948">IF(C195=D195,0,((E195-D195)-(C195-E195))/(C195-D195))</f>
        <v>0.44935344827586288</v>
      </c>
      <c r="Q195">
        <f t="shared" ref="Q195" si="949">F195*P195</f>
        <v>129097729.0229097</v>
      </c>
      <c r="R195">
        <f t="shared" ref="R195" si="950">R196+Q195</f>
        <v>39568709225.157753</v>
      </c>
      <c r="S195">
        <f t="shared" ref="S195" si="951">R195/100000</f>
        <v>395687.09225157753</v>
      </c>
      <c r="T195">
        <f t="shared" si="939"/>
        <v>395.68709225157755</v>
      </c>
    </row>
    <row r="196" spans="1:20" x14ac:dyDescent="0.25">
      <c r="A196" s="5">
        <v>44397</v>
      </c>
      <c r="B196">
        <v>1.1226</v>
      </c>
      <c r="C196">
        <v>1.1362000000000001</v>
      </c>
      <c r="D196">
        <v>1.0202</v>
      </c>
      <c r="E196">
        <v>1.0539000000000001</v>
      </c>
      <c r="F196">
        <v>283618751.18000001</v>
      </c>
      <c r="G196">
        <v>1.0539000000000001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-0.41896551724137876</v>
      </c>
      <c r="Q196">
        <f t="shared" ref="Q196" si="953">F196*P196</f>
        <v>-118826476.7874826</v>
      </c>
      <c r="R196">
        <f t="shared" ref="R196" si="954">R197+Q196</f>
        <v>39439611496.134842</v>
      </c>
      <c r="S196">
        <f t="shared" ref="S196" si="955">R196/100000</f>
        <v>394396.11496134842</v>
      </c>
      <c r="T196">
        <f t="shared" si="939"/>
        <v>394.39611496134842</v>
      </c>
    </row>
    <row r="197" spans="1:20" x14ac:dyDescent="0.25">
      <c r="A197" s="5">
        <v>44396</v>
      </c>
      <c r="B197">
        <v>1.1814</v>
      </c>
      <c r="C197">
        <v>1.1920999999999999</v>
      </c>
      <c r="D197">
        <v>1.1155999999999999</v>
      </c>
      <c r="E197">
        <v>1.1225000000000001</v>
      </c>
      <c r="F197">
        <v>138646747.16999999</v>
      </c>
      <c r="G197">
        <v>-4.99</v>
      </c>
      <c r="L197" t="s">
        <v>7</v>
      </c>
      <c r="M197" t="s">
        <v>7</v>
      </c>
      <c r="N197" t="s">
        <v>8</v>
      </c>
      <c r="P197">
        <f t="shared" ref="P197" si="956">IF(C197=D197,0,((E197-D197)-(C197-E197))/(C197-D197))</f>
        <v>-0.81960784313725155</v>
      </c>
      <c r="Q197">
        <f t="shared" ref="Q197" si="957">F197*P197</f>
        <v>-113635961.40599953</v>
      </c>
      <c r="R197">
        <f t="shared" ref="R197" si="958">R198+Q197</f>
        <v>39558437972.922325</v>
      </c>
      <c r="S197">
        <f t="shared" ref="S197" si="959">R197/100000</f>
        <v>395584.37972922326</v>
      </c>
      <c r="T197">
        <f t="shared" si="939"/>
        <v>395.58437972922326</v>
      </c>
    </row>
    <row r="198" spans="1:20" x14ac:dyDescent="0.25">
      <c r="A198" s="5">
        <v>44395</v>
      </c>
      <c r="B198">
        <v>1.1720999999999999</v>
      </c>
      <c r="C198">
        <v>1.2185999999999999</v>
      </c>
      <c r="D198">
        <v>1.1666000000000001</v>
      </c>
      <c r="E198">
        <v>1.1813</v>
      </c>
      <c r="F198">
        <v>108584207.61</v>
      </c>
      <c r="G198">
        <v>0.78</v>
      </c>
      <c r="L198" t="s">
        <v>7</v>
      </c>
      <c r="M198" t="s">
        <v>7</v>
      </c>
      <c r="N198" t="s">
        <v>8</v>
      </c>
      <c r="P198">
        <f t="shared" ref="P198:P261" si="960">IF(C198=D198,0,((E198-D198)-(C198-E198))/(C198-D198))</f>
        <v>-0.43461538461538518</v>
      </c>
      <c r="Q198">
        <f t="shared" ref="Q198:Q261" si="961">F198*P198</f>
        <v>-47192367.153576985</v>
      </c>
      <c r="R198">
        <f t="shared" ref="R198:R261" si="962">R199+Q198</f>
        <v>39672073934.328323</v>
      </c>
      <c r="S198">
        <f t="shared" ref="S198:S261" si="963">R198/100000</f>
        <v>396720.73934328323</v>
      </c>
      <c r="T198">
        <f t="shared" ref="T198:T261" si="964">S198/1000</f>
        <v>396.72073934328324</v>
      </c>
    </row>
    <row r="199" spans="1:20" x14ac:dyDescent="0.25">
      <c r="A199" s="5">
        <v>44394</v>
      </c>
      <c r="B199">
        <v>1.1705000000000001</v>
      </c>
      <c r="C199">
        <v>1.1948000000000001</v>
      </c>
      <c r="D199">
        <v>1.1496999999999999</v>
      </c>
      <c r="E199">
        <v>1.1720999999999999</v>
      </c>
      <c r="F199">
        <v>124485807.09999999</v>
      </c>
      <c r="G199">
        <v>0.14000000000000001</v>
      </c>
      <c r="L199" t="s">
        <v>7</v>
      </c>
      <c r="M199" t="s">
        <v>7</v>
      </c>
      <c r="N199" t="s">
        <v>8</v>
      </c>
      <c r="P199">
        <f t="shared" si="960"/>
        <v>-6.6518847006693587E-3</v>
      </c>
      <c r="Q199">
        <f t="shared" si="961"/>
        <v>-828065.23569896701</v>
      </c>
      <c r="R199">
        <f t="shared" si="962"/>
        <v>39719266301.481903</v>
      </c>
      <c r="S199">
        <f t="shared" si="963"/>
        <v>397192.66301481903</v>
      </c>
      <c r="T199">
        <f t="shared" si="964"/>
        <v>397.192663014819</v>
      </c>
    </row>
    <row r="200" spans="1:20" x14ac:dyDescent="0.25">
      <c r="A200" s="5">
        <v>44393</v>
      </c>
      <c r="B200">
        <v>1.2258</v>
      </c>
      <c r="C200">
        <v>1.2450000000000001</v>
      </c>
      <c r="D200">
        <v>1.1655</v>
      </c>
      <c r="E200">
        <v>1.1708000000000001</v>
      </c>
      <c r="F200">
        <v>159173625.74000001</v>
      </c>
      <c r="G200">
        <v>-4.49</v>
      </c>
      <c r="L200" t="s">
        <v>7</v>
      </c>
      <c r="M200" t="s">
        <v>7</v>
      </c>
      <c r="N200" t="s">
        <v>8</v>
      </c>
      <c r="P200">
        <f t="shared" si="960"/>
        <v>-0.86666666666666481</v>
      </c>
      <c r="Q200">
        <f t="shared" si="961"/>
        <v>-137950475.64133304</v>
      </c>
      <c r="R200">
        <f t="shared" si="962"/>
        <v>39720094366.717606</v>
      </c>
      <c r="S200">
        <f t="shared" si="963"/>
        <v>397200.94366717606</v>
      </c>
      <c r="T200">
        <f t="shared" si="964"/>
        <v>397.20094366717609</v>
      </c>
    </row>
    <row r="201" spans="1:20" x14ac:dyDescent="0.25">
      <c r="A201" s="5">
        <v>44392</v>
      </c>
      <c r="B201">
        <v>1.2634000000000001</v>
      </c>
      <c r="C201">
        <v>1.29</v>
      </c>
      <c r="D201">
        <v>1.2050000000000001</v>
      </c>
      <c r="E201">
        <v>1.2258</v>
      </c>
      <c r="F201">
        <v>133685795.15000001</v>
      </c>
      <c r="G201">
        <v>-2.98</v>
      </c>
      <c r="L201" t="s">
        <v>7</v>
      </c>
      <c r="M201" t="s">
        <v>7</v>
      </c>
      <c r="N201" t="s">
        <v>8</v>
      </c>
      <c r="P201">
        <f t="shared" si="960"/>
        <v>-0.51058823529411912</v>
      </c>
      <c r="Q201">
        <f t="shared" si="961"/>
        <v>-68258394.229529604</v>
      </c>
      <c r="R201">
        <f t="shared" si="962"/>
        <v>39858044842.35894</v>
      </c>
      <c r="S201">
        <f t="shared" si="963"/>
        <v>398580.44842358941</v>
      </c>
      <c r="T201">
        <f t="shared" si="964"/>
        <v>398.58044842358942</v>
      </c>
    </row>
    <row r="202" spans="1:20" x14ac:dyDescent="0.25">
      <c r="A202" s="5">
        <v>44391</v>
      </c>
      <c r="B202">
        <v>1.2648999999999999</v>
      </c>
      <c r="C202">
        <v>1.2894000000000001</v>
      </c>
      <c r="D202">
        <v>1.198</v>
      </c>
      <c r="E202">
        <v>1.2635000000000001</v>
      </c>
      <c r="F202">
        <v>165466902.33000001</v>
      </c>
      <c r="G202">
        <v>-0.11</v>
      </c>
      <c r="L202" t="s">
        <v>7</v>
      </c>
      <c r="M202" t="s">
        <v>7</v>
      </c>
      <c r="N202" t="s">
        <v>8</v>
      </c>
      <c r="P202">
        <f t="shared" si="960"/>
        <v>0.43326039387308551</v>
      </c>
      <c r="Q202">
        <f t="shared" si="961"/>
        <v>71690255.276455179</v>
      </c>
      <c r="R202">
        <f t="shared" si="962"/>
        <v>39926303236.58847</v>
      </c>
      <c r="S202">
        <f t="shared" si="963"/>
        <v>399263.03236588469</v>
      </c>
      <c r="T202">
        <f t="shared" si="964"/>
        <v>399.26303236588467</v>
      </c>
    </row>
    <row r="203" spans="1:20" x14ac:dyDescent="0.25">
      <c r="A203" s="5">
        <v>44390</v>
      </c>
      <c r="B203">
        <v>1.3126</v>
      </c>
      <c r="C203">
        <v>1.3216000000000001</v>
      </c>
      <c r="D203">
        <v>1.25</v>
      </c>
      <c r="E203">
        <v>1.2649999999999999</v>
      </c>
      <c r="F203">
        <v>125015668.98</v>
      </c>
      <c r="G203">
        <v>-3.63</v>
      </c>
      <c r="L203" t="s">
        <v>7</v>
      </c>
      <c r="M203" t="s">
        <v>7</v>
      </c>
      <c r="N203" t="s">
        <v>8</v>
      </c>
      <c r="P203">
        <f t="shared" si="960"/>
        <v>-0.58100558659218215</v>
      </c>
      <c r="Q203">
        <f t="shared" si="961"/>
        <v>-72634802.088938966</v>
      </c>
      <c r="R203">
        <f t="shared" si="962"/>
        <v>39854612981.312012</v>
      </c>
      <c r="S203">
        <f t="shared" si="963"/>
        <v>398546.12981312012</v>
      </c>
      <c r="T203">
        <f t="shared" si="964"/>
        <v>398.5461298131201</v>
      </c>
    </row>
    <row r="204" spans="1:20" x14ac:dyDescent="0.25">
      <c r="A204" s="5">
        <v>44389</v>
      </c>
      <c r="B204">
        <v>1.3485</v>
      </c>
      <c r="C204">
        <v>1.3735999999999999</v>
      </c>
      <c r="D204">
        <v>1.2916000000000001</v>
      </c>
      <c r="E204">
        <v>1.3126</v>
      </c>
      <c r="F204">
        <v>112067630.51000001</v>
      </c>
      <c r="G204">
        <v>-2.66</v>
      </c>
      <c r="L204" t="s">
        <v>8</v>
      </c>
      <c r="M204" t="s">
        <v>8</v>
      </c>
      <c r="N204" t="s">
        <v>8</v>
      </c>
      <c r="P204">
        <f t="shared" si="960"/>
        <v>-0.48780487804878181</v>
      </c>
      <c r="Q204">
        <f t="shared" si="961"/>
        <v>-54667136.834146492</v>
      </c>
      <c r="R204">
        <f t="shared" si="962"/>
        <v>39927247783.400948</v>
      </c>
      <c r="S204">
        <f t="shared" si="963"/>
        <v>399272.47783400945</v>
      </c>
      <c r="T204">
        <f t="shared" si="964"/>
        <v>399.27247783400946</v>
      </c>
    </row>
    <row r="205" spans="1:20" x14ac:dyDescent="0.25">
      <c r="A205" s="5">
        <v>44388</v>
      </c>
      <c r="B205">
        <v>1.3355999999999999</v>
      </c>
      <c r="C205">
        <v>1.3669</v>
      </c>
      <c r="D205">
        <v>1.3230999999999999</v>
      </c>
      <c r="E205">
        <v>1.3485</v>
      </c>
      <c r="F205">
        <v>71704260.260000005</v>
      </c>
      <c r="G205">
        <v>0.97</v>
      </c>
      <c r="L205" t="s">
        <v>7</v>
      </c>
      <c r="M205" t="s">
        <v>8</v>
      </c>
      <c r="N205" t="s">
        <v>8</v>
      </c>
      <c r="P205">
        <f t="shared" si="960"/>
        <v>0.15981735159817598</v>
      </c>
      <c r="Q205">
        <f t="shared" si="961"/>
        <v>11459584.973059539</v>
      </c>
      <c r="R205">
        <f t="shared" si="962"/>
        <v>39981914920.235092</v>
      </c>
      <c r="S205">
        <f t="shared" si="963"/>
        <v>399819.14920235093</v>
      </c>
      <c r="T205">
        <f t="shared" si="964"/>
        <v>399.81914920235096</v>
      </c>
    </row>
    <row r="206" spans="1:20" x14ac:dyDescent="0.25">
      <c r="A206" s="5">
        <v>44387</v>
      </c>
      <c r="B206">
        <v>1.3504</v>
      </c>
      <c r="C206">
        <v>1.3660000000000001</v>
      </c>
      <c r="D206">
        <v>1.3158000000000001</v>
      </c>
      <c r="E206">
        <v>1.3355999999999999</v>
      </c>
      <c r="F206">
        <v>93476664.310000002</v>
      </c>
      <c r="G206">
        <v>-1.1000000000000001</v>
      </c>
      <c r="L206" t="s">
        <v>7</v>
      </c>
      <c r="M206" t="s">
        <v>8</v>
      </c>
      <c r="N206" t="s">
        <v>8</v>
      </c>
      <c r="P206">
        <f t="shared" si="960"/>
        <v>-0.21115537848606339</v>
      </c>
      <c r="Q206">
        <f t="shared" si="961"/>
        <v>-19738100.431992743</v>
      </c>
      <c r="R206">
        <f t="shared" si="962"/>
        <v>39970455335.262032</v>
      </c>
      <c r="S206">
        <f t="shared" si="963"/>
        <v>399704.55335262034</v>
      </c>
      <c r="T206">
        <f t="shared" si="964"/>
        <v>399.70455335262034</v>
      </c>
    </row>
    <row r="207" spans="1:20" x14ac:dyDescent="0.25">
      <c r="A207" s="5">
        <v>44386</v>
      </c>
      <c r="B207">
        <v>1.3268</v>
      </c>
      <c r="C207">
        <v>1.3746</v>
      </c>
      <c r="D207">
        <v>1.2859</v>
      </c>
      <c r="E207">
        <v>1.3504</v>
      </c>
      <c r="F207">
        <v>160293985.19999999</v>
      </c>
      <c r="G207">
        <v>1.78</v>
      </c>
      <c r="L207" t="s">
        <v>7</v>
      </c>
      <c r="M207" t="s">
        <v>8</v>
      </c>
      <c r="N207" t="s">
        <v>8</v>
      </c>
      <c r="P207">
        <f t="shared" si="960"/>
        <v>0.45434047350620071</v>
      </c>
      <c r="Q207">
        <f t="shared" si="961"/>
        <v>72828045.135963917</v>
      </c>
      <c r="R207">
        <f t="shared" si="962"/>
        <v>39990193435.694023</v>
      </c>
      <c r="S207">
        <f t="shared" si="963"/>
        <v>399901.93435694021</v>
      </c>
      <c r="T207">
        <f t="shared" si="964"/>
        <v>399.90193435694022</v>
      </c>
    </row>
    <row r="208" spans="1:20" x14ac:dyDescent="0.25">
      <c r="A208" s="5">
        <v>44385</v>
      </c>
      <c r="B208">
        <v>1.4039999999999999</v>
      </c>
      <c r="C208">
        <v>1.4065000000000001</v>
      </c>
      <c r="D208">
        <v>1.3193999999999999</v>
      </c>
      <c r="E208">
        <v>1.327</v>
      </c>
      <c r="F208">
        <v>175680408.72</v>
      </c>
      <c r="G208">
        <v>-5.48</v>
      </c>
      <c r="L208" t="s">
        <v>7</v>
      </c>
      <c r="M208" t="s">
        <v>8</v>
      </c>
      <c r="N208" t="s">
        <v>8</v>
      </c>
      <c r="P208">
        <f t="shared" si="960"/>
        <v>-0.82548794489092914</v>
      </c>
      <c r="Q208">
        <f t="shared" si="961"/>
        <v>-145022059.55187127</v>
      </c>
      <c r="R208">
        <f t="shared" si="962"/>
        <v>39917365390.55806</v>
      </c>
      <c r="S208">
        <f t="shared" si="963"/>
        <v>399173.65390558058</v>
      </c>
      <c r="T208">
        <f t="shared" si="964"/>
        <v>399.17365390558058</v>
      </c>
    </row>
    <row r="209" spans="1:20" x14ac:dyDescent="0.25">
      <c r="A209" s="5">
        <v>44384</v>
      </c>
      <c r="B209">
        <v>1.4156</v>
      </c>
      <c r="C209">
        <v>1.4416</v>
      </c>
      <c r="D209">
        <v>1.4</v>
      </c>
      <c r="E209">
        <v>1.4039999999999999</v>
      </c>
      <c r="F209">
        <v>125167776.95</v>
      </c>
      <c r="G209">
        <v>-0.82</v>
      </c>
      <c r="L209" t="s">
        <v>7</v>
      </c>
      <c r="M209" t="s">
        <v>8</v>
      </c>
      <c r="N209" t="s">
        <v>8</v>
      </c>
      <c r="P209">
        <f t="shared" si="960"/>
        <v>-0.80769230769230793</v>
      </c>
      <c r="Q209">
        <f t="shared" si="961"/>
        <v>-101097050.61346157</v>
      </c>
      <c r="R209">
        <f t="shared" si="962"/>
        <v>40062387450.109932</v>
      </c>
      <c r="S209">
        <f t="shared" si="963"/>
        <v>400623.87450109934</v>
      </c>
      <c r="T209">
        <f t="shared" si="964"/>
        <v>400.62387450109935</v>
      </c>
    </row>
    <row r="210" spans="1:20" x14ac:dyDescent="0.25">
      <c r="A210" s="5">
        <v>44383</v>
      </c>
      <c r="B210">
        <v>1.4038999999999999</v>
      </c>
      <c r="C210">
        <v>1.4578</v>
      </c>
      <c r="D210">
        <v>1.3888</v>
      </c>
      <c r="E210">
        <v>1.4157</v>
      </c>
      <c r="F210">
        <v>173402604.28</v>
      </c>
      <c r="G210">
        <v>0.84</v>
      </c>
      <c r="L210" t="s">
        <v>7</v>
      </c>
      <c r="M210" t="s">
        <v>8</v>
      </c>
      <c r="N210" t="s">
        <v>8</v>
      </c>
      <c r="P210">
        <f t="shared" si="960"/>
        <v>-0.2202898550724654</v>
      </c>
      <c r="Q210">
        <f t="shared" si="961"/>
        <v>-38198834.566029266</v>
      </c>
      <c r="R210">
        <f t="shared" si="962"/>
        <v>40163484500.723396</v>
      </c>
      <c r="S210">
        <f t="shared" si="963"/>
        <v>401634.84500723396</v>
      </c>
      <c r="T210">
        <f t="shared" si="964"/>
        <v>401.63484500723393</v>
      </c>
    </row>
    <row r="211" spans="1:20" x14ac:dyDescent="0.25">
      <c r="A211" s="5">
        <v>44382</v>
      </c>
      <c r="B211">
        <v>1.4615</v>
      </c>
      <c r="C211">
        <v>1.4616</v>
      </c>
      <c r="D211">
        <v>1.3764000000000001</v>
      </c>
      <c r="E211">
        <v>1.4038999999999999</v>
      </c>
      <c r="F211">
        <v>210256310.91</v>
      </c>
      <c r="G211">
        <v>-3.94</v>
      </c>
      <c r="L211" t="s">
        <v>7</v>
      </c>
      <c r="M211" t="s">
        <v>8</v>
      </c>
      <c r="N211" t="s">
        <v>8</v>
      </c>
      <c r="P211">
        <f t="shared" si="960"/>
        <v>-0.35446009389671651</v>
      </c>
      <c r="Q211">
        <f t="shared" si="961"/>
        <v>-74527471.707535818</v>
      </c>
      <c r="R211">
        <f t="shared" si="962"/>
        <v>40201683335.289429</v>
      </c>
      <c r="S211">
        <f t="shared" si="963"/>
        <v>402016.83335289429</v>
      </c>
      <c r="T211">
        <f t="shared" si="964"/>
        <v>402.01683335289431</v>
      </c>
    </row>
    <row r="212" spans="1:20" x14ac:dyDescent="0.25">
      <c r="A212" s="5">
        <v>44381</v>
      </c>
      <c r="B212">
        <v>1.4045000000000001</v>
      </c>
      <c r="C212">
        <v>1.4955000000000001</v>
      </c>
      <c r="D212">
        <v>1.3815</v>
      </c>
      <c r="E212">
        <v>1.4615</v>
      </c>
      <c r="F212">
        <v>185325977.31999999</v>
      </c>
      <c r="G212">
        <v>4.0599999999999996</v>
      </c>
      <c r="L212" t="s">
        <v>8</v>
      </c>
      <c r="M212" t="s">
        <v>8</v>
      </c>
      <c r="N212" t="s">
        <v>8</v>
      </c>
      <c r="P212">
        <f t="shared" si="960"/>
        <v>0.40350877192982454</v>
      </c>
      <c r="Q212">
        <f t="shared" si="961"/>
        <v>74780657.515087709</v>
      </c>
      <c r="R212">
        <f t="shared" si="962"/>
        <v>40276210806.996964</v>
      </c>
      <c r="S212">
        <f t="shared" si="963"/>
        <v>402762.10806996963</v>
      </c>
      <c r="T212">
        <f t="shared" si="964"/>
        <v>402.76210806996966</v>
      </c>
    </row>
    <row r="213" spans="1:20" x14ac:dyDescent="0.25">
      <c r="A213" s="5">
        <v>44380</v>
      </c>
      <c r="B213">
        <v>1.3947000000000001</v>
      </c>
      <c r="C213">
        <v>1.4443999999999999</v>
      </c>
      <c r="D213">
        <v>1.3579000000000001</v>
      </c>
      <c r="E213">
        <v>1.4045000000000001</v>
      </c>
      <c r="F213">
        <v>197443853.75999999</v>
      </c>
      <c r="G213">
        <v>0.7</v>
      </c>
      <c r="L213" t="s">
        <v>8</v>
      </c>
      <c r="M213" t="s">
        <v>8</v>
      </c>
      <c r="N213" t="s">
        <v>7</v>
      </c>
      <c r="P213">
        <f t="shared" si="960"/>
        <v>7.7456647398845849E-2</v>
      </c>
      <c r="Q213">
        <f t="shared" si="961"/>
        <v>15293338.961757604</v>
      </c>
      <c r="R213">
        <f t="shared" si="962"/>
        <v>40201430149.481873</v>
      </c>
      <c r="S213">
        <f t="shared" si="963"/>
        <v>402014.3014948187</v>
      </c>
      <c r="T213">
        <f t="shared" si="964"/>
        <v>402.01430149481871</v>
      </c>
    </row>
    <row r="214" spans="1:20" x14ac:dyDescent="0.25">
      <c r="A214" s="5">
        <v>44379</v>
      </c>
      <c r="B214">
        <v>1.3311999999999999</v>
      </c>
      <c r="C214">
        <v>1.3958999999999999</v>
      </c>
      <c r="D214">
        <v>1.2849999999999999</v>
      </c>
      <c r="E214">
        <v>1.3946000000000001</v>
      </c>
      <c r="F214">
        <v>235621261.44999999</v>
      </c>
      <c r="G214">
        <v>4.76</v>
      </c>
      <c r="L214" t="s">
        <v>7</v>
      </c>
      <c r="M214" t="s">
        <v>8</v>
      </c>
      <c r="N214" t="s">
        <v>7</v>
      </c>
      <c r="P214">
        <f t="shared" si="960"/>
        <v>0.9765554553651965</v>
      </c>
      <c r="Q214">
        <f t="shared" si="961"/>
        <v>230097228.26902676</v>
      </c>
      <c r="R214">
        <f t="shared" si="962"/>
        <v>40186136810.520119</v>
      </c>
      <c r="S214">
        <f t="shared" si="963"/>
        <v>401861.36810520117</v>
      </c>
      <c r="T214">
        <f t="shared" si="964"/>
        <v>401.86136810520117</v>
      </c>
    </row>
    <row r="215" spans="1:20" x14ac:dyDescent="0.25">
      <c r="A215" s="5">
        <v>44378</v>
      </c>
      <c r="B215">
        <v>1.3853</v>
      </c>
      <c r="C215">
        <v>1.3862000000000001</v>
      </c>
      <c r="D215">
        <v>1.302</v>
      </c>
      <c r="E215">
        <v>1.3312999999999999</v>
      </c>
      <c r="F215">
        <v>196824530.30000001</v>
      </c>
      <c r="G215">
        <v>-3.9</v>
      </c>
      <c r="L215" t="s">
        <v>8</v>
      </c>
      <c r="M215" t="s">
        <v>8</v>
      </c>
      <c r="N215" t="s">
        <v>7</v>
      </c>
      <c r="P215">
        <f t="shared" si="960"/>
        <v>-0.30403800475059706</v>
      </c>
      <c r="Q215">
        <f t="shared" si="961"/>
        <v>-59842137.478385441</v>
      </c>
      <c r="R215">
        <f t="shared" si="962"/>
        <v>39956039582.251091</v>
      </c>
      <c r="S215">
        <f t="shared" si="963"/>
        <v>399560.39582251094</v>
      </c>
      <c r="T215">
        <f t="shared" si="964"/>
        <v>399.56039582251094</v>
      </c>
    </row>
    <row r="216" spans="1:20" x14ac:dyDescent="0.25">
      <c r="A216" s="5">
        <v>44377</v>
      </c>
      <c r="B216">
        <v>1.3731</v>
      </c>
      <c r="C216">
        <v>1.3993</v>
      </c>
      <c r="D216">
        <v>1.2825</v>
      </c>
      <c r="E216">
        <v>1.3853</v>
      </c>
      <c r="F216">
        <v>263769140.47</v>
      </c>
      <c r="G216">
        <v>0.89</v>
      </c>
      <c r="L216" t="s">
        <v>7</v>
      </c>
      <c r="M216" t="s">
        <v>8</v>
      </c>
      <c r="N216" t="s">
        <v>7</v>
      </c>
      <c r="P216">
        <f t="shared" si="960"/>
        <v>0.76027397260273955</v>
      </c>
      <c r="Q216">
        <f t="shared" si="961"/>
        <v>200536812.27513695</v>
      </c>
      <c r="R216">
        <f t="shared" si="962"/>
        <v>40015881719.729477</v>
      </c>
      <c r="S216">
        <f t="shared" si="963"/>
        <v>400158.81719729479</v>
      </c>
      <c r="T216">
        <f t="shared" si="964"/>
        <v>400.15881719729481</v>
      </c>
    </row>
    <row r="217" spans="1:20" x14ac:dyDescent="0.25">
      <c r="A217" s="5">
        <v>44376</v>
      </c>
      <c r="B217">
        <v>1.3261000000000001</v>
      </c>
      <c r="C217">
        <v>1.42</v>
      </c>
      <c r="D217">
        <v>1.319</v>
      </c>
      <c r="E217">
        <v>1.373</v>
      </c>
      <c r="F217">
        <v>287571860.19999999</v>
      </c>
      <c r="G217">
        <v>3.54</v>
      </c>
      <c r="L217" t="s">
        <v>8</v>
      </c>
      <c r="M217" t="s">
        <v>8</v>
      </c>
      <c r="N217" t="s">
        <v>7</v>
      </c>
      <c r="P217">
        <f t="shared" si="960"/>
        <v>6.9306930693070479E-2</v>
      </c>
      <c r="Q217">
        <f t="shared" si="961"/>
        <v>19930722.984158751</v>
      </c>
      <c r="R217">
        <f t="shared" si="962"/>
        <v>39815344907.454338</v>
      </c>
      <c r="S217">
        <f t="shared" si="963"/>
        <v>398153.44907454337</v>
      </c>
      <c r="T217">
        <f t="shared" si="964"/>
        <v>398.15344907454335</v>
      </c>
    </row>
    <row r="218" spans="1:20" x14ac:dyDescent="0.25">
      <c r="A218" s="5">
        <v>44375</v>
      </c>
      <c r="B218">
        <v>1.3379000000000001</v>
      </c>
      <c r="C218">
        <v>1.3506</v>
      </c>
      <c r="D218">
        <v>1.3042</v>
      </c>
      <c r="E218">
        <v>1.3260000000000001</v>
      </c>
      <c r="F218">
        <v>220547816.19</v>
      </c>
      <c r="G218">
        <v>-0.89</v>
      </c>
      <c r="L218" t="s">
        <v>8</v>
      </c>
      <c r="M218" t="s">
        <v>8</v>
      </c>
      <c r="N218" t="s">
        <v>7</v>
      </c>
      <c r="P218">
        <f t="shared" si="960"/>
        <v>-6.034482758620504E-2</v>
      </c>
      <c r="Q218">
        <f t="shared" si="961"/>
        <v>-13308919.942499591</v>
      </c>
      <c r="R218">
        <f t="shared" si="962"/>
        <v>39795414184.470177</v>
      </c>
      <c r="S218">
        <f t="shared" si="963"/>
        <v>397954.14184470178</v>
      </c>
      <c r="T218">
        <f t="shared" si="964"/>
        <v>397.95414184470178</v>
      </c>
    </row>
    <row r="219" spans="1:20" x14ac:dyDescent="0.25">
      <c r="A219" s="5">
        <v>44374</v>
      </c>
      <c r="B219">
        <v>1.252</v>
      </c>
      <c r="C219">
        <v>1.3499000000000001</v>
      </c>
      <c r="D219">
        <v>1.2410000000000001</v>
      </c>
      <c r="E219">
        <v>1.3380000000000001</v>
      </c>
      <c r="F219">
        <v>242097878.28999999</v>
      </c>
      <c r="G219">
        <v>6.87</v>
      </c>
      <c r="L219" t="s">
        <v>8</v>
      </c>
      <c r="M219" t="s">
        <v>8</v>
      </c>
      <c r="N219" t="s">
        <v>7</v>
      </c>
      <c r="P219">
        <f t="shared" si="960"/>
        <v>0.78145087235996291</v>
      </c>
      <c r="Q219">
        <f t="shared" si="961"/>
        <v>189187598.18621662</v>
      </c>
      <c r="R219">
        <f t="shared" si="962"/>
        <v>39808723104.412674</v>
      </c>
      <c r="S219">
        <f t="shared" si="963"/>
        <v>398087.23104412673</v>
      </c>
      <c r="T219">
        <f t="shared" si="964"/>
        <v>398.08723104412672</v>
      </c>
    </row>
    <row r="220" spans="1:20" x14ac:dyDescent="0.25">
      <c r="A220" s="5">
        <v>44373</v>
      </c>
      <c r="B220">
        <v>1.252</v>
      </c>
      <c r="C220">
        <v>1.2923</v>
      </c>
      <c r="D220">
        <v>1.1968000000000001</v>
      </c>
      <c r="E220">
        <v>1.2521</v>
      </c>
      <c r="F220">
        <v>307404658.42000002</v>
      </c>
      <c r="G220">
        <v>0.01</v>
      </c>
      <c r="L220" t="s">
        <v>7</v>
      </c>
      <c r="M220" t="s">
        <v>8</v>
      </c>
      <c r="N220" t="s">
        <v>7</v>
      </c>
      <c r="P220">
        <f t="shared" si="960"/>
        <v>0.15811518324607229</v>
      </c>
      <c r="Q220">
        <f t="shared" si="961"/>
        <v>48605343.89677456</v>
      </c>
      <c r="R220">
        <f t="shared" si="962"/>
        <v>39619535506.226456</v>
      </c>
      <c r="S220">
        <f t="shared" si="963"/>
        <v>396195.35506226454</v>
      </c>
      <c r="T220">
        <f t="shared" si="964"/>
        <v>396.19535506226453</v>
      </c>
    </row>
    <row r="221" spans="1:20" x14ac:dyDescent="0.25">
      <c r="A221" s="5">
        <v>44372</v>
      </c>
      <c r="B221">
        <v>1.3604000000000001</v>
      </c>
      <c r="C221">
        <v>1.3971</v>
      </c>
      <c r="D221">
        <v>1.2431000000000001</v>
      </c>
      <c r="E221">
        <v>1.2521</v>
      </c>
      <c r="F221">
        <v>548380704.22000003</v>
      </c>
      <c r="G221">
        <v>-7.96</v>
      </c>
      <c r="L221" t="s">
        <v>7</v>
      </c>
      <c r="M221" t="s">
        <v>8</v>
      </c>
      <c r="N221" t="s">
        <v>7</v>
      </c>
      <c r="P221">
        <f t="shared" si="960"/>
        <v>-0.88311688311688441</v>
      </c>
      <c r="Q221">
        <f t="shared" si="961"/>
        <v>-484284258.27220851</v>
      </c>
      <c r="R221">
        <f t="shared" si="962"/>
        <v>39570930162.329681</v>
      </c>
      <c r="S221">
        <f t="shared" si="963"/>
        <v>395709.30162329681</v>
      </c>
      <c r="T221">
        <f t="shared" si="964"/>
        <v>395.70930162329682</v>
      </c>
    </row>
    <row r="222" spans="1:20" x14ac:dyDescent="0.25">
      <c r="A222" s="5">
        <v>44371</v>
      </c>
      <c r="B222">
        <v>1.2513000000000001</v>
      </c>
      <c r="C222">
        <v>1.3997999999999999</v>
      </c>
      <c r="D222">
        <v>1.2005999999999999</v>
      </c>
      <c r="E222">
        <v>1.3604000000000001</v>
      </c>
      <c r="F222">
        <v>427028527.81</v>
      </c>
      <c r="G222">
        <v>8.7200000000000006</v>
      </c>
      <c r="L222" t="s">
        <v>8</v>
      </c>
      <c r="M222" t="s">
        <v>8</v>
      </c>
      <c r="N222" t="s">
        <v>7</v>
      </c>
      <c r="P222">
        <f t="shared" si="960"/>
        <v>0.60441767068273222</v>
      </c>
      <c r="Q222">
        <f t="shared" si="961"/>
        <v>258103588.09399655</v>
      </c>
      <c r="R222">
        <f t="shared" si="962"/>
        <v>40055214420.601891</v>
      </c>
      <c r="S222">
        <f t="shared" si="963"/>
        <v>400552.14420601889</v>
      </c>
      <c r="T222">
        <f t="shared" si="964"/>
        <v>400.55214420601891</v>
      </c>
    </row>
    <row r="223" spans="1:20" x14ac:dyDescent="0.25">
      <c r="A223" s="5">
        <v>44370</v>
      </c>
      <c r="B223">
        <v>1.1563000000000001</v>
      </c>
      <c r="C223">
        <v>1.31</v>
      </c>
      <c r="D223">
        <v>1.1080000000000001</v>
      </c>
      <c r="E223">
        <v>1.2512000000000001</v>
      </c>
      <c r="F223">
        <v>490479573.30000001</v>
      </c>
      <c r="G223">
        <v>8.2100000000000009</v>
      </c>
      <c r="L223" t="s">
        <v>8</v>
      </c>
      <c r="M223" t="s">
        <v>8</v>
      </c>
      <c r="N223" t="s">
        <v>7</v>
      </c>
      <c r="P223">
        <f t="shared" si="960"/>
        <v>0.41782178217821808</v>
      </c>
      <c r="Q223">
        <f t="shared" si="961"/>
        <v>204933049.43821797</v>
      </c>
      <c r="R223">
        <f t="shared" si="962"/>
        <v>39797110832.507896</v>
      </c>
      <c r="S223">
        <f t="shared" si="963"/>
        <v>397971.10832507897</v>
      </c>
      <c r="T223">
        <f t="shared" si="964"/>
        <v>397.97110832507894</v>
      </c>
    </row>
    <row r="224" spans="1:20" x14ac:dyDescent="0.25">
      <c r="A224" s="5">
        <v>44369</v>
      </c>
      <c r="B224">
        <v>1.1738</v>
      </c>
      <c r="C224">
        <v>1.2634000000000001</v>
      </c>
      <c r="D224">
        <v>1.0001</v>
      </c>
      <c r="E224">
        <v>1.1567000000000001</v>
      </c>
      <c r="F224">
        <v>907361654.27999997</v>
      </c>
      <c r="G224">
        <v>-1.46</v>
      </c>
      <c r="L224" t="s">
        <v>7</v>
      </c>
      <c r="M224" t="s">
        <v>7</v>
      </c>
      <c r="N224" t="s">
        <v>7</v>
      </c>
      <c r="P224">
        <f t="shared" si="960"/>
        <v>0.18951766046334995</v>
      </c>
      <c r="Q224">
        <f t="shared" si="961"/>
        <v>171961057.91330054</v>
      </c>
      <c r="R224">
        <f t="shared" si="962"/>
        <v>39592177783.069679</v>
      </c>
      <c r="S224">
        <f t="shared" si="963"/>
        <v>395921.77783069678</v>
      </c>
      <c r="T224">
        <f t="shared" si="964"/>
        <v>395.92177783069678</v>
      </c>
    </row>
    <row r="225" spans="1:20" x14ac:dyDescent="0.25">
      <c r="A225" s="5">
        <v>44368</v>
      </c>
      <c r="B225">
        <v>1.4261999999999999</v>
      </c>
      <c r="C225">
        <v>1.4371</v>
      </c>
      <c r="D225">
        <v>1.1672</v>
      </c>
      <c r="E225">
        <v>1.1739999999999999</v>
      </c>
      <c r="F225">
        <v>512064782.94999999</v>
      </c>
      <c r="G225">
        <v>-17.68</v>
      </c>
      <c r="L225" t="s">
        <v>7</v>
      </c>
      <c r="M225" t="s">
        <v>7</v>
      </c>
      <c r="N225" t="s">
        <v>7</v>
      </c>
      <c r="P225">
        <f t="shared" si="960"/>
        <v>-0.94961096702482461</v>
      </c>
      <c r="Q225">
        <f t="shared" si="961"/>
        <v>-486262333.71650642</v>
      </c>
      <c r="R225">
        <f t="shared" si="962"/>
        <v>39420216725.15638</v>
      </c>
      <c r="S225">
        <f t="shared" si="963"/>
        <v>394202.16725156381</v>
      </c>
      <c r="T225">
        <f t="shared" si="964"/>
        <v>394.20216725156382</v>
      </c>
    </row>
    <row r="226" spans="1:20" x14ac:dyDescent="0.25">
      <c r="A226" s="5">
        <v>44367</v>
      </c>
      <c r="B226">
        <v>1.3839999999999999</v>
      </c>
      <c r="C226">
        <v>1.46</v>
      </c>
      <c r="D226">
        <v>1.306</v>
      </c>
      <c r="E226">
        <v>1.4262999999999999</v>
      </c>
      <c r="F226">
        <v>269372753.54000002</v>
      </c>
      <c r="G226">
        <v>3.06</v>
      </c>
      <c r="L226" t="s">
        <v>7</v>
      </c>
      <c r="M226" t="s">
        <v>7</v>
      </c>
      <c r="N226" t="s">
        <v>7</v>
      </c>
      <c r="P226">
        <f t="shared" si="960"/>
        <v>0.56233766233766125</v>
      </c>
      <c r="Q226">
        <f t="shared" si="961"/>
        <v>151478444.52314258</v>
      </c>
      <c r="R226">
        <f t="shared" si="962"/>
        <v>39906479058.872887</v>
      </c>
      <c r="S226">
        <f t="shared" si="963"/>
        <v>399064.79058872885</v>
      </c>
      <c r="T226">
        <f t="shared" si="964"/>
        <v>399.06479058872884</v>
      </c>
    </row>
    <row r="227" spans="1:20" x14ac:dyDescent="0.25">
      <c r="A227" s="5">
        <v>44366</v>
      </c>
      <c r="B227">
        <v>1.4164000000000001</v>
      </c>
      <c r="C227">
        <v>1.4411</v>
      </c>
      <c r="D227">
        <v>1.3834</v>
      </c>
      <c r="E227">
        <v>1.3838999999999999</v>
      </c>
      <c r="F227">
        <v>145492869</v>
      </c>
      <c r="G227">
        <v>-2.29</v>
      </c>
      <c r="L227" t="s">
        <v>7</v>
      </c>
      <c r="M227" t="s">
        <v>7</v>
      </c>
      <c r="N227" t="s">
        <v>8</v>
      </c>
      <c r="P227">
        <f t="shared" si="960"/>
        <v>-0.98266897746967263</v>
      </c>
      <c r="Q227">
        <f t="shared" si="961"/>
        <v>-142971328.80935904</v>
      </c>
      <c r="R227">
        <f t="shared" si="962"/>
        <v>39755000614.349747</v>
      </c>
      <c r="S227">
        <f t="shared" si="963"/>
        <v>397550.00614349748</v>
      </c>
      <c r="T227">
        <f t="shared" si="964"/>
        <v>397.55000614349746</v>
      </c>
    </row>
    <row r="228" spans="1:20" x14ac:dyDescent="0.25">
      <c r="A228" s="5">
        <v>44365</v>
      </c>
      <c r="B228">
        <v>1.4824999999999999</v>
      </c>
      <c r="C228">
        <v>1.4926999999999999</v>
      </c>
      <c r="D228">
        <v>1.3740000000000001</v>
      </c>
      <c r="E228">
        <v>1.4162999999999999</v>
      </c>
      <c r="F228">
        <v>220933715.72</v>
      </c>
      <c r="G228">
        <v>-4.47</v>
      </c>
      <c r="L228" t="s">
        <v>7</v>
      </c>
      <c r="M228" t="s">
        <v>7</v>
      </c>
      <c r="N228" t="s">
        <v>8</v>
      </c>
      <c r="P228">
        <f t="shared" si="960"/>
        <v>-0.2872788542544254</v>
      </c>
      <c r="Q228">
        <f t="shared" si="961"/>
        <v>-63469584.718214534</v>
      </c>
      <c r="R228">
        <f t="shared" si="962"/>
        <v>39897971943.159103</v>
      </c>
      <c r="S228">
        <f t="shared" si="963"/>
        <v>398979.71943159105</v>
      </c>
      <c r="T228">
        <f t="shared" si="964"/>
        <v>398.97971943159104</v>
      </c>
    </row>
    <row r="229" spans="1:20" x14ac:dyDescent="0.25">
      <c r="A229" s="5">
        <v>44364</v>
      </c>
      <c r="B229">
        <v>1.4851000000000001</v>
      </c>
      <c r="C229">
        <v>1.5387999999999999</v>
      </c>
      <c r="D229">
        <v>1.4568000000000001</v>
      </c>
      <c r="E229">
        <v>1.4825999999999999</v>
      </c>
      <c r="F229">
        <v>165078770.77000001</v>
      </c>
      <c r="G229">
        <v>-0.17</v>
      </c>
      <c r="L229" t="s">
        <v>7</v>
      </c>
      <c r="M229" t="s">
        <v>7</v>
      </c>
      <c r="N229" t="s">
        <v>8</v>
      </c>
      <c r="P229">
        <f t="shared" si="960"/>
        <v>-0.37073170731707633</v>
      </c>
      <c r="Q229">
        <f t="shared" si="961"/>
        <v>-61199934.529366381</v>
      </c>
      <c r="R229">
        <f t="shared" si="962"/>
        <v>39961441527.877319</v>
      </c>
      <c r="S229">
        <f t="shared" si="963"/>
        <v>399614.41527877317</v>
      </c>
      <c r="T229">
        <f t="shared" si="964"/>
        <v>399.61441527877315</v>
      </c>
    </row>
    <row r="230" spans="1:20" x14ac:dyDescent="0.25">
      <c r="A230" s="5">
        <v>44363</v>
      </c>
      <c r="B230">
        <v>1.5549999999999999</v>
      </c>
      <c r="C230">
        <v>1.5753999999999999</v>
      </c>
      <c r="D230">
        <v>1.474</v>
      </c>
      <c r="E230">
        <v>1.4851000000000001</v>
      </c>
      <c r="F230">
        <v>203580536.00999999</v>
      </c>
      <c r="G230">
        <v>-4.5</v>
      </c>
      <c r="L230" t="s">
        <v>7</v>
      </c>
      <c r="M230" t="s">
        <v>7</v>
      </c>
      <c r="N230" t="s">
        <v>8</v>
      </c>
      <c r="P230">
        <f t="shared" si="960"/>
        <v>-0.78106508875739411</v>
      </c>
      <c r="Q230">
        <f t="shared" si="961"/>
        <v>-159009649.42792851</v>
      </c>
      <c r="R230">
        <f t="shared" si="962"/>
        <v>40022641462.406685</v>
      </c>
      <c r="S230">
        <f t="shared" si="963"/>
        <v>400226.41462406685</v>
      </c>
      <c r="T230">
        <f t="shared" si="964"/>
        <v>400.22641462406688</v>
      </c>
    </row>
    <row r="231" spans="1:20" x14ac:dyDescent="0.25">
      <c r="A231" s="5">
        <v>44362</v>
      </c>
      <c r="B231">
        <v>1.5769</v>
      </c>
      <c r="C231">
        <v>1.6109</v>
      </c>
      <c r="D231">
        <v>1.5441</v>
      </c>
      <c r="E231">
        <v>1.5551999999999999</v>
      </c>
      <c r="F231">
        <v>216159062.78</v>
      </c>
      <c r="G231">
        <v>-1.38</v>
      </c>
      <c r="L231" t="s">
        <v>8</v>
      </c>
      <c r="M231" t="s">
        <v>7</v>
      </c>
      <c r="N231" t="s">
        <v>8</v>
      </c>
      <c r="P231">
        <f t="shared" si="960"/>
        <v>-0.66766467065868584</v>
      </c>
      <c r="Q231">
        <f t="shared" si="961"/>
        <v>-144321769.46089891</v>
      </c>
      <c r="R231">
        <f t="shared" si="962"/>
        <v>40181651111.83461</v>
      </c>
      <c r="S231">
        <f t="shared" si="963"/>
        <v>401816.51111834613</v>
      </c>
      <c r="T231">
        <f t="shared" si="964"/>
        <v>401.81651111834611</v>
      </c>
    </row>
    <row r="232" spans="1:20" x14ac:dyDescent="0.25">
      <c r="A232" s="5">
        <v>44361</v>
      </c>
      <c r="B232">
        <v>1.5563</v>
      </c>
      <c r="C232">
        <v>1.595</v>
      </c>
      <c r="D232">
        <v>1.5056</v>
      </c>
      <c r="E232">
        <v>1.5769</v>
      </c>
      <c r="F232">
        <v>280791163.74000001</v>
      </c>
      <c r="G232">
        <v>1.32</v>
      </c>
      <c r="L232" t="s">
        <v>8</v>
      </c>
      <c r="M232" t="s">
        <v>7</v>
      </c>
      <c r="N232" t="s">
        <v>8</v>
      </c>
      <c r="P232">
        <f t="shared" si="960"/>
        <v>0.5950782997762859</v>
      </c>
      <c r="Q232">
        <f t="shared" si="961"/>
        <v>167092728.31060392</v>
      </c>
      <c r="R232">
        <f t="shared" si="962"/>
        <v>40325972881.295509</v>
      </c>
      <c r="S232">
        <f t="shared" si="963"/>
        <v>403259.72881295509</v>
      </c>
      <c r="T232">
        <f t="shared" si="964"/>
        <v>403.25972881295507</v>
      </c>
    </row>
    <row r="233" spans="1:20" x14ac:dyDescent="0.25">
      <c r="A233" s="5">
        <v>44360</v>
      </c>
      <c r="B233">
        <v>1.4789000000000001</v>
      </c>
      <c r="C233">
        <v>1.58</v>
      </c>
      <c r="D233">
        <v>1.4000999999999999</v>
      </c>
      <c r="E233">
        <v>1.5566</v>
      </c>
      <c r="F233">
        <v>330722303.94</v>
      </c>
      <c r="G233">
        <v>5.25</v>
      </c>
      <c r="L233" t="s">
        <v>8</v>
      </c>
      <c r="M233" t="s">
        <v>7</v>
      </c>
      <c r="N233" t="s">
        <v>8</v>
      </c>
      <c r="P233">
        <f t="shared" si="960"/>
        <v>0.73985547526403483</v>
      </c>
      <c r="Q233">
        <f t="shared" si="961"/>
        <v>244686707.36194527</v>
      </c>
      <c r="R233">
        <f t="shared" si="962"/>
        <v>40158880152.984909</v>
      </c>
      <c r="S233">
        <f t="shared" si="963"/>
        <v>401588.80152984906</v>
      </c>
      <c r="T233">
        <f t="shared" si="964"/>
        <v>401.58880152984909</v>
      </c>
    </row>
    <row r="234" spans="1:20" x14ac:dyDescent="0.25">
      <c r="A234" s="5">
        <v>44359</v>
      </c>
      <c r="B234">
        <v>1.4368000000000001</v>
      </c>
      <c r="C234">
        <v>1.4934000000000001</v>
      </c>
      <c r="D234">
        <v>1.3562000000000001</v>
      </c>
      <c r="E234">
        <v>1.4789000000000001</v>
      </c>
      <c r="F234">
        <v>362965214.52999997</v>
      </c>
      <c r="G234">
        <v>2.93</v>
      </c>
      <c r="L234" t="s">
        <v>7</v>
      </c>
      <c r="M234" t="s">
        <v>7</v>
      </c>
      <c r="N234" t="s">
        <v>8</v>
      </c>
      <c r="P234">
        <f t="shared" si="960"/>
        <v>0.78862973760933008</v>
      </c>
      <c r="Q234">
        <f t="shared" si="961"/>
        <v>286245161.89610809</v>
      </c>
      <c r="R234">
        <f t="shared" si="962"/>
        <v>39914193445.622963</v>
      </c>
      <c r="S234">
        <f t="shared" si="963"/>
        <v>399141.93445622962</v>
      </c>
      <c r="T234">
        <f t="shared" si="964"/>
        <v>399.14193445622959</v>
      </c>
    </row>
    <row r="235" spans="1:20" x14ac:dyDescent="0.25">
      <c r="A235" s="5">
        <v>44358</v>
      </c>
      <c r="B235">
        <v>1.5327999999999999</v>
      </c>
      <c r="C235">
        <v>1.5474000000000001</v>
      </c>
      <c r="D235">
        <v>1.4192</v>
      </c>
      <c r="E235">
        <v>1.4371</v>
      </c>
      <c r="F235">
        <v>323101330</v>
      </c>
      <c r="G235">
        <v>-6.24</v>
      </c>
      <c r="L235" t="s">
        <v>7</v>
      </c>
      <c r="M235" t="s">
        <v>8</v>
      </c>
      <c r="N235" t="s">
        <v>8</v>
      </c>
      <c r="P235">
        <f t="shared" si="960"/>
        <v>-0.72074882995319789</v>
      </c>
      <c r="Q235">
        <f t="shared" si="961"/>
        <v>-232874905.55382207</v>
      </c>
      <c r="R235">
        <f t="shared" si="962"/>
        <v>39627948283.726852</v>
      </c>
      <c r="S235">
        <f t="shared" si="963"/>
        <v>396279.4828372685</v>
      </c>
      <c r="T235">
        <f t="shared" si="964"/>
        <v>396.27948283726852</v>
      </c>
    </row>
    <row r="236" spans="1:20" x14ac:dyDescent="0.25">
      <c r="A236" s="5">
        <v>44357</v>
      </c>
      <c r="B236">
        <v>1.6282000000000001</v>
      </c>
      <c r="C236">
        <v>1.6377999999999999</v>
      </c>
      <c r="D236">
        <v>1.5064</v>
      </c>
      <c r="E236">
        <v>1.5327999999999999</v>
      </c>
      <c r="F236">
        <v>312406121.42000002</v>
      </c>
      <c r="G236">
        <v>-5.86</v>
      </c>
      <c r="L236" t="s">
        <v>7</v>
      </c>
      <c r="M236" t="s">
        <v>8</v>
      </c>
      <c r="N236" t="s">
        <v>8</v>
      </c>
      <c r="P236">
        <f t="shared" si="960"/>
        <v>-0.5981735159817354</v>
      </c>
      <c r="Q236">
        <f t="shared" si="961"/>
        <v>-186873068.06401834</v>
      </c>
      <c r="R236">
        <f t="shared" si="962"/>
        <v>39860823189.280678</v>
      </c>
      <c r="S236">
        <f t="shared" si="963"/>
        <v>398608.23189280677</v>
      </c>
      <c r="T236">
        <f t="shared" si="964"/>
        <v>398.60823189280677</v>
      </c>
    </row>
    <row r="237" spans="1:20" x14ac:dyDescent="0.25">
      <c r="A237" s="5">
        <v>44356</v>
      </c>
      <c r="B237">
        <v>1.5818000000000001</v>
      </c>
      <c r="C237">
        <v>1.635</v>
      </c>
      <c r="D237">
        <v>1.4826999999999999</v>
      </c>
      <c r="E237">
        <v>1.6278999999999999</v>
      </c>
      <c r="F237">
        <v>471664344.32999998</v>
      </c>
      <c r="G237">
        <v>2.91</v>
      </c>
      <c r="L237" t="s">
        <v>8</v>
      </c>
      <c r="M237" t="s">
        <v>8</v>
      </c>
      <c r="N237" t="s">
        <v>8</v>
      </c>
      <c r="P237">
        <f t="shared" si="960"/>
        <v>0.90676296782665655</v>
      </c>
      <c r="Q237">
        <f t="shared" si="961"/>
        <v>427687760.68268484</v>
      </c>
      <c r="R237">
        <f t="shared" si="962"/>
        <v>40047696257.344696</v>
      </c>
      <c r="S237">
        <f t="shared" si="963"/>
        <v>400476.96257344697</v>
      </c>
      <c r="T237">
        <f t="shared" si="964"/>
        <v>400.476962573447</v>
      </c>
    </row>
    <row r="238" spans="1:20" x14ac:dyDescent="0.25">
      <c r="A238" s="5">
        <v>44355</v>
      </c>
      <c r="B238">
        <v>1.5659000000000001</v>
      </c>
      <c r="C238">
        <v>1.5966</v>
      </c>
      <c r="D238">
        <v>1.4</v>
      </c>
      <c r="E238">
        <v>1.5819000000000001</v>
      </c>
      <c r="F238">
        <v>612223590.99000001</v>
      </c>
      <c r="G238">
        <v>1.02</v>
      </c>
      <c r="L238" t="s">
        <v>7</v>
      </c>
      <c r="M238" t="s">
        <v>7</v>
      </c>
      <c r="N238" t="s">
        <v>8</v>
      </c>
      <c r="P238">
        <f t="shared" si="960"/>
        <v>0.8504577822990852</v>
      </c>
      <c r="Q238">
        <f t="shared" si="961"/>
        <v>520670317.46453762</v>
      </c>
      <c r="R238">
        <f t="shared" si="962"/>
        <v>39620008496.66201</v>
      </c>
      <c r="S238">
        <f t="shared" si="963"/>
        <v>396200.08496662008</v>
      </c>
      <c r="T238">
        <f t="shared" si="964"/>
        <v>396.20008496662007</v>
      </c>
    </row>
    <row r="239" spans="1:20" x14ac:dyDescent="0.25">
      <c r="A239" s="5">
        <v>44354</v>
      </c>
      <c r="B239">
        <v>1.6771</v>
      </c>
      <c r="C239">
        <v>1.7414000000000001</v>
      </c>
      <c r="D239">
        <v>1.55</v>
      </c>
      <c r="E239">
        <v>1.5659000000000001</v>
      </c>
      <c r="F239">
        <v>341267094.73000002</v>
      </c>
      <c r="G239">
        <v>-6.63</v>
      </c>
      <c r="L239" t="s">
        <v>7</v>
      </c>
      <c r="M239" t="s">
        <v>7</v>
      </c>
      <c r="N239" t="s">
        <v>8</v>
      </c>
      <c r="P239">
        <f t="shared" si="960"/>
        <v>-0.83385579937304055</v>
      </c>
      <c r="Q239">
        <f t="shared" si="961"/>
        <v>-284567546.07579935</v>
      </c>
      <c r="R239">
        <f t="shared" si="962"/>
        <v>39099338179.197472</v>
      </c>
      <c r="S239">
        <f t="shared" si="963"/>
        <v>390993.38179197471</v>
      </c>
      <c r="T239">
        <f t="shared" si="964"/>
        <v>390.99338179197468</v>
      </c>
    </row>
    <row r="240" spans="1:20" x14ac:dyDescent="0.25">
      <c r="A240" s="5">
        <v>44353</v>
      </c>
      <c r="B240">
        <v>1.6555</v>
      </c>
      <c r="C240">
        <v>1.7077</v>
      </c>
      <c r="D240">
        <v>1.6451</v>
      </c>
      <c r="E240">
        <v>1.6771</v>
      </c>
      <c r="F240">
        <v>191999153.68000001</v>
      </c>
      <c r="G240">
        <v>1.3</v>
      </c>
      <c r="L240" t="s">
        <v>7</v>
      </c>
      <c r="M240" t="s">
        <v>7</v>
      </c>
      <c r="N240" t="s">
        <v>8</v>
      </c>
      <c r="P240">
        <f t="shared" si="960"/>
        <v>2.2364217252397255E-2</v>
      </c>
      <c r="Q240">
        <f t="shared" si="961"/>
        <v>4293910.7851759279</v>
      </c>
      <c r="R240">
        <f t="shared" si="962"/>
        <v>39383905725.27327</v>
      </c>
      <c r="S240">
        <f t="shared" si="963"/>
        <v>393839.05725273269</v>
      </c>
      <c r="T240">
        <f t="shared" si="964"/>
        <v>393.83905725273269</v>
      </c>
    </row>
    <row r="241" spans="1:20" x14ac:dyDescent="0.25">
      <c r="A241" s="5">
        <v>44352</v>
      </c>
      <c r="B241">
        <v>1.708</v>
      </c>
      <c r="C241">
        <v>1.7823</v>
      </c>
      <c r="D241">
        <v>1.61</v>
      </c>
      <c r="E241">
        <v>1.6551</v>
      </c>
      <c r="F241">
        <v>369328430.60000002</v>
      </c>
      <c r="G241">
        <v>-3.1</v>
      </c>
      <c r="L241" t="s">
        <v>8</v>
      </c>
      <c r="M241" t="s">
        <v>7</v>
      </c>
      <c r="N241" t="s">
        <v>8</v>
      </c>
      <c r="P241">
        <f t="shared" si="960"/>
        <v>-0.47649448636099889</v>
      </c>
      <c r="Q241">
        <f t="shared" si="961"/>
        <v>-175982960.83726084</v>
      </c>
      <c r="R241">
        <f t="shared" si="962"/>
        <v>39379611814.488091</v>
      </c>
      <c r="S241">
        <f t="shared" si="963"/>
        <v>393796.11814488092</v>
      </c>
      <c r="T241">
        <f t="shared" si="964"/>
        <v>393.79611814488095</v>
      </c>
    </row>
    <row r="242" spans="1:20" x14ac:dyDescent="0.25">
      <c r="A242" s="5">
        <v>44351</v>
      </c>
      <c r="B242">
        <v>1.8453999999999999</v>
      </c>
      <c r="C242">
        <v>1.8480000000000001</v>
      </c>
      <c r="D242">
        <v>1.6080000000000001</v>
      </c>
      <c r="E242">
        <v>1.7077</v>
      </c>
      <c r="F242">
        <v>596433033.04999995</v>
      </c>
      <c r="G242">
        <v>-7.46</v>
      </c>
      <c r="L242" t="s">
        <v>7</v>
      </c>
      <c r="M242" t="s">
        <v>7</v>
      </c>
      <c r="N242" t="s">
        <v>8</v>
      </c>
      <c r="P242">
        <f t="shared" si="960"/>
        <v>-0.16916666666666746</v>
      </c>
      <c r="Q242">
        <f t="shared" si="961"/>
        <v>-100896588.0909588</v>
      </c>
      <c r="R242">
        <f t="shared" si="962"/>
        <v>39555594775.325348</v>
      </c>
      <c r="S242">
        <f t="shared" si="963"/>
        <v>395555.94775325345</v>
      </c>
      <c r="T242">
        <f t="shared" si="964"/>
        <v>395.55594775325346</v>
      </c>
    </row>
    <row r="243" spans="1:20" x14ac:dyDescent="0.25">
      <c r="A243" s="5">
        <v>44350</v>
      </c>
      <c r="B243">
        <v>1.7534000000000001</v>
      </c>
      <c r="C243">
        <v>1.8896999999999999</v>
      </c>
      <c r="D243">
        <v>1.7134</v>
      </c>
      <c r="E243">
        <v>1.8452999999999999</v>
      </c>
      <c r="F243">
        <v>417400945.01999998</v>
      </c>
      <c r="G243">
        <v>5.24</v>
      </c>
      <c r="L243" t="s">
        <v>8</v>
      </c>
      <c r="M243" t="s">
        <v>8</v>
      </c>
      <c r="N243" t="s">
        <v>8</v>
      </c>
      <c r="P243">
        <f t="shared" si="960"/>
        <v>0.49631310266591017</v>
      </c>
      <c r="Q243">
        <f t="shared" si="961"/>
        <v>207161558.07855919</v>
      </c>
      <c r="R243">
        <f t="shared" si="962"/>
        <v>39656491363.416306</v>
      </c>
      <c r="S243">
        <f t="shared" si="963"/>
        <v>396564.91363416304</v>
      </c>
      <c r="T243">
        <f t="shared" si="964"/>
        <v>396.56491363416302</v>
      </c>
    </row>
    <row r="244" spans="1:20" x14ac:dyDescent="0.25">
      <c r="A244" s="5">
        <v>44349</v>
      </c>
      <c r="B244">
        <v>1.7362</v>
      </c>
      <c r="C244">
        <v>1.8042</v>
      </c>
      <c r="D244">
        <v>1.7173</v>
      </c>
      <c r="E244">
        <v>1.7534000000000001</v>
      </c>
      <c r="F244">
        <v>431644801.42000002</v>
      </c>
      <c r="G244">
        <v>0.99</v>
      </c>
      <c r="L244" t="s">
        <v>8</v>
      </c>
      <c r="M244" t="s">
        <v>8</v>
      </c>
      <c r="N244" t="s">
        <v>8</v>
      </c>
      <c r="P244">
        <f t="shared" si="960"/>
        <v>-0.16915995397007985</v>
      </c>
      <c r="Q244">
        <f t="shared" si="961"/>
        <v>-73017014.739631459</v>
      </c>
      <c r="R244">
        <f t="shared" si="962"/>
        <v>39449329805.337746</v>
      </c>
      <c r="S244">
        <f t="shared" si="963"/>
        <v>394493.29805337748</v>
      </c>
      <c r="T244">
        <f t="shared" si="964"/>
        <v>394.49329805337749</v>
      </c>
    </row>
    <row r="245" spans="1:20" x14ac:dyDescent="0.25">
      <c r="A245" s="5">
        <v>44348</v>
      </c>
      <c r="B245">
        <v>1.7376</v>
      </c>
      <c r="C245">
        <v>1.7796000000000001</v>
      </c>
      <c r="D245">
        <v>1.6531</v>
      </c>
      <c r="E245">
        <v>1.7363</v>
      </c>
      <c r="F245">
        <v>530252586.94</v>
      </c>
      <c r="G245">
        <v>-7.0000000000000007E-2</v>
      </c>
      <c r="L245" t="s">
        <v>8</v>
      </c>
      <c r="M245" t="s">
        <v>8</v>
      </c>
      <c r="N245" t="s">
        <v>8</v>
      </c>
      <c r="P245">
        <f t="shared" si="960"/>
        <v>0.31541501976284431</v>
      </c>
      <c r="Q245">
        <f t="shared" si="961"/>
        <v>167249630.18897942</v>
      </c>
      <c r="R245">
        <f t="shared" si="962"/>
        <v>39522346820.077377</v>
      </c>
      <c r="S245">
        <f t="shared" si="963"/>
        <v>395223.46820077376</v>
      </c>
      <c r="T245">
        <f t="shared" si="964"/>
        <v>395.22346820077377</v>
      </c>
    </row>
    <row r="246" spans="1:20" x14ac:dyDescent="0.25">
      <c r="A246" s="5">
        <v>44347</v>
      </c>
      <c r="B246">
        <v>1.5750999999999999</v>
      </c>
      <c r="C246">
        <v>1.75</v>
      </c>
      <c r="D246">
        <v>1.5248999999999999</v>
      </c>
      <c r="E246">
        <v>1.7373000000000001</v>
      </c>
      <c r="F246">
        <v>600116070.88</v>
      </c>
      <c r="G246">
        <v>10.3</v>
      </c>
      <c r="L246" t="s">
        <v>8</v>
      </c>
      <c r="M246" t="s">
        <v>8</v>
      </c>
      <c r="N246" t="s">
        <v>8</v>
      </c>
      <c r="P246">
        <f t="shared" si="960"/>
        <v>0.88716126166148446</v>
      </c>
      <c r="Q246">
        <f t="shared" si="961"/>
        <v>532399730.58523363</v>
      </c>
      <c r="R246">
        <f t="shared" si="962"/>
        <v>39355097189.888397</v>
      </c>
      <c r="S246">
        <f t="shared" si="963"/>
        <v>393550.97189888399</v>
      </c>
      <c r="T246">
        <f t="shared" si="964"/>
        <v>393.55097189888397</v>
      </c>
    </row>
    <row r="247" spans="1:20" x14ac:dyDescent="0.25">
      <c r="A247" s="5">
        <v>44346</v>
      </c>
      <c r="B247">
        <v>1.4035</v>
      </c>
      <c r="C247">
        <v>1.7</v>
      </c>
      <c r="D247">
        <v>1.3456999999999999</v>
      </c>
      <c r="E247">
        <v>1.5750999999999999</v>
      </c>
      <c r="F247">
        <v>764079031.66999996</v>
      </c>
      <c r="G247">
        <v>12.23</v>
      </c>
      <c r="L247" t="s">
        <v>8</v>
      </c>
      <c r="M247" t="s">
        <v>8</v>
      </c>
      <c r="N247" t="s">
        <v>8</v>
      </c>
      <c r="P247">
        <f t="shared" si="960"/>
        <v>0.2949477843635338</v>
      </c>
      <c r="Q247">
        <f t="shared" si="961"/>
        <v>225363417.46970087</v>
      </c>
      <c r="R247">
        <f t="shared" si="962"/>
        <v>38822697459.303162</v>
      </c>
      <c r="S247">
        <f t="shared" si="963"/>
        <v>388226.97459303163</v>
      </c>
      <c r="T247">
        <f t="shared" si="964"/>
        <v>388.22697459303163</v>
      </c>
    </row>
    <row r="248" spans="1:20" x14ac:dyDescent="0.25">
      <c r="A248" s="5">
        <v>44345</v>
      </c>
      <c r="B248">
        <v>1.5133000000000001</v>
      </c>
      <c r="C248">
        <v>1.5624</v>
      </c>
      <c r="D248">
        <v>1.335</v>
      </c>
      <c r="E248">
        <v>1.4029</v>
      </c>
      <c r="F248">
        <v>576104659.26999998</v>
      </c>
      <c r="G248">
        <v>-7.3</v>
      </c>
      <c r="L248" t="s">
        <v>7</v>
      </c>
      <c r="M248" t="s">
        <v>7</v>
      </c>
      <c r="N248" t="s">
        <v>8</v>
      </c>
      <c r="P248">
        <f t="shared" si="960"/>
        <v>-0.40281442392260286</v>
      </c>
      <c r="Q248">
        <f t="shared" si="961"/>
        <v>-232063266.44297245</v>
      </c>
      <c r="R248">
        <f t="shared" si="962"/>
        <v>38597334041.833458</v>
      </c>
      <c r="S248">
        <f t="shared" si="963"/>
        <v>385973.34041833458</v>
      </c>
      <c r="T248">
        <f t="shared" si="964"/>
        <v>385.9733404183346</v>
      </c>
    </row>
    <row r="249" spans="1:20" x14ac:dyDescent="0.25">
      <c r="A249" s="5">
        <v>44344</v>
      </c>
      <c r="B249">
        <v>1.6552</v>
      </c>
      <c r="C249">
        <v>1.6779999999999999</v>
      </c>
      <c r="D249">
        <v>1.45</v>
      </c>
      <c r="E249">
        <v>1.5133000000000001</v>
      </c>
      <c r="F249">
        <v>817239543.15999997</v>
      </c>
      <c r="G249">
        <v>-8.57</v>
      </c>
      <c r="L249" t="s">
        <v>7</v>
      </c>
      <c r="M249" t="s">
        <v>7</v>
      </c>
      <c r="N249" t="s">
        <v>8</v>
      </c>
      <c r="P249">
        <f t="shared" si="960"/>
        <v>-0.44473684210526193</v>
      </c>
      <c r="Q249">
        <f t="shared" si="961"/>
        <v>-363456533.66852528</v>
      </c>
      <c r="R249">
        <f t="shared" si="962"/>
        <v>38829397308.276428</v>
      </c>
      <c r="S249">
        <f t="shared" si="963"/>
        <v>388293.97308276431</v>
      </c>
      <c r="T249">
        <f t="shared" si="964"/>
        <v>388.2939730827643</v>
      </c>
    </row>
    <row r="250" spans="1:20" x14ac:dyDescent="0.25">
      <c r="A250" s="5">
        <v>44343</v>
      </c>
      <c r="B250">
        <v>1.7787999999999999</v>
      </c>
      <c r="C250">
        <v>1.7885</v>
      </c>
      <c r="D250">
        <v>1.6076999999999999</v>
      </c>
      <c r="E250">
        <v>1.6552</v>
      </c>
      <c r="F250">
        <v>590119092.55999994</v>
      </c>
      <c r="G250">
        <v>-6.95</v>
      </c>
      <c r="L250" t="s">
        <v>7</v>
      </c>
      <c r="M250" t="s">
        <v>8</v>
      </c>
      <c r="N250" t="s">
        <v>8</v>
      </c>
      <c r="P250">
        <f t="shared" si="960"/>
        <v>-0.47455752212389296</v>
      </c>
      <c r="Q250">
        <f t="shared" si="961"/>
        <v>-280045454.32327384</v>
      </c>
      <c r="R250">
        <f t="shared" si="962"/>
        <v>39192853841.944954</v>
      </c>
      <c r="S250">
        <f t="shared" si="963"/>
        <v>391928.53841944953</v>
      </c>
      <c r="T250">
        <f t="shared" si="964"/>
        <v>391.92853841944952</v>
      </c>
    </row>
    <row r="251" spans="1:20" x14ac:dyDescent="0.25">
      <c r="A251" s="5">
        <v>44342</v>
      </c>
      <c r="B251">
        <v>1.5525</v>
      </c>
      <c r="C251">
        <v>1.8320000000000001</v>
      </c>
      <c r="D251">
        <v>1.552</v>
      </c>
      <c r="E251">
        <v>1.7790999999999999</v>
      </c>
      <c r="F251">
        <v>857080518.13</v>
      </c>
      <c r="G251">
        <v>14.6</v>
      </c>
      <c r="L251" t="s">
        <v>8</v>
      </c>
      <c r="M251" t="s">
        <v>8</v>
      </c>
      <c r="N251" t="s">
        <v>8</v>
      </c>
      <c r="P251">
        <f t="shared" si="960"/>
        <v>0.622142857142856</v>
      </c>
      <c r="Q251">
        <f t="shared" si="961"/>
        <v>533226522.35087758</v>
      </c>
      <c r="R251">
        <f t="shared" si="962"/>
        <v>39472899296.268227</v>
      </c>
      <c r="S251">
        <f t="shared" si="963"/>
        <v>394728.99296268227</v>
      </c>
      <c r="T251">
        <f t="shared" si="964"/>
        <v>394.7289929626823</v>
      </c>
    </row>
    <row r="252" spans="1:20" x14ac:dyDescent="0.25">
      <c r="A252" s="5">
        <v>44341</v>
      </c>
      <c r="B252">
        <v>1.5497000000000001</v>
      </c>
      <c r="C252">
        <v>1.6498999999999999</v>
      </c>
      <c r="D252">
        <v>1.4354</v>
      </c>
      <c r="E252">
        <v>1.5531999999999999</v>
      </c>
      <c r="F252">
        <v>807717267.51999998</v>
      </c>
      <c r="G252">
        <v>0.23</v>
      </c>
      <c r="L252" t="s">
        <v>8</v>
      </c>
      <c r="M252" t="s">
        <v>8</v>
      </c>
      <c r="N252" t="s">
        <v>8</v>
      </c>
      <c r="P252">
        <f t="shared" si="960"/>
        <v>9.8368298368297927E-2</v>
      </c>
      <c r="Q252">
        <f t="shared" si="961"/>
        <v>79453773.16863367</v>
      </c>
      <c r="R252">
        <f t="shared" si="962"/>
        <v>38939672773.917351</v>
      </c>
      <c r="S252">
        <f t="shared" si="963"/>
        <v>389396.72773917351</v>
      </c>
      <c r="T252">
        <f t="shared" si="964"/>
        <v>389.39672773917351</v>
      </c>
    </row>
    <row r="253" spans="1:20" x14ac:dyDescent="0.25">
      <c r="A253" s="5">
        <v>44340</v>
      </c>
      <c r="B253">
        <v>1.3134999999999999</v>
      </c>
      <c r="C253">
        <v>1.5973999999999999</v>
      </c>
      <c r="D253">
        <v>1.2476</v>
      </c>
      <c r="E253">
        <v>1.55</v>
      </c>
      <c r="F253">
        <v>1034255631.11</v>
      </c>
      <c r="G253">
        <v>18.010000000000002</v>
      </c>
      <c r="L253" t="s">
        <v>8</v>
      </c>
      <c r="M253" t="s">
        <v>8</v>
      </c>
      <c r="N253" t="s">
        <v>8</v>
      </c>
      <c r="P253">
        <f t="shared" si="960"/>
        <v>0.72898799313893714</v>
      </c>
      <c r="Q253">
        <f t="shared" si="961"/>
        <v>753959936.91552377</v>
      </c>
      <c r="R253">
        <f t="shared" si="962"/>
        <v>38860219000.748718</v>
      </c>
      <c r="S253">
        <f t="shared" si="963"/>
        <v>388602.1900074872</v>
      </c>
      <c r="T253">
        <f t="shared" si="964"/>
        <v>388.6021900074872</v>
      </c>
    </row>
    <row r="254" spans="1:20" x14ac:dyDescent="0.25">
      <c r="A254" s="5">
        <v>44339</v>
      </c>
      <c r="B254">
        <v>1.4636</v>
      </c>
      <c r="C254">
        <v>1.5397000000000001</v>
      </c>
      <c r="D254">
        <v>1.0509999999999999</v>
      </c>
      <c r="E254">
        <v>1.3139000000000001</v>
      </c>
      <c r="F254">
        <v>1461270087.3099999</v>
      </c>
      <c r="G254">
        <v>-10.23</v>
      </c>
      <c r="L254" t="s">
        <v>7</v>
      </c>
      <c r="M254" t="s">
        <v>7</v>
      </c>
      <c r="N254" t="s">
        <v>7</v>
      </c>
      <c r="P254">
        <f t="shared" si="960"/>
        <v>7.5915694700225342E-2</v>
      </c>
      <c r="Q254">
        <f t="shared" si="961"/>
        <v>110933333.82279758</v>
      </c>
      <c r="R254">
        <f t="shared" si="962"/>
        <v>38106259063.833191</v>
      </c>
      <c r="S254">
        <f t="shared" si="963"/>
        <v>381062.59063833189</v>
      </c>
      <c r="T254">
        <f t="shared" si="964"/>
        <v>381.06259063833187</v>
      </c>
    </row>
    <row r="255" spans="1:20" x14ac:dyDescent="0.25">
      <c r="A255" s="5">
        <v>44338</v>
      </c>
      <c r="B255">
        <v>1.5492999999999999</v>
      </c>
      <c r="C255">
        <v>1.6020000000000001</v>
      </c>
      <c r="D255">
        <v>1.3661000000000001</v>
      </c>
      <c r="E255">
        <v>1.4629000000000001</v>
      </c>
      <c r="F255">
        <v>800713185.45000005</v>
      </c>
      <c r="G255">
        <v>-5.58</v>
      </c>
      <c r="L255" t="s">
        <v>8</v>
      </c>
      <c r="M255" t="s">
        <v>8</v>
      </c>
      <c r="N255" t="s">
        <v>7</v>
      </c>
      <c r="P255">
        <f t="shared" si="960"/>
        <v>-0.17931326833403988</v>
      </c>
      <c r="Q255">
        <f t="shared" si="961"/>
        <v>-143578498.28119969</v>
      </c>
      <c r="R255">
        <f t="shared" si="962"/>
        <v>37995325730.010391</v>
      </c>
      <c r="S255">
        <f t="shared" si="963"/>
        <v>379953.2573001039</v>
      </c>
      <c r="T255">
        <f t="shared" si="964"/>
        <v>379.95325730010387</v>
      </c>
    </row>
    <row r="256" spans="1:20" x14ac:dyDescent="0.25">
      <c r="A256" s="5">
        <v>44337</v>
      </c>
      <c r="B256">
        <v>1.8002</v>
      </c>
      <c r="C256">
        <v>1.87</v>
      </c>
      <c r="D256">
        <v>1.32</v>
      </c>
      <c r="E256">
        <v>1.5492999999999999</v>
      </c>
      <c r="F256">
        <v>1158826530.96</v>
      </c>
      <c r="G256">
        <v>-13.94</v>
      </c>
      <c r="L256" t="s">
        <v>7</v>
      </c>
      <c r="M256" t="s">
        <v>7</v>
      </c>
      <c r="N256" t="s">
        <v>7</v>
      </c>
      <c r="P256">
        <f t="shared" si="960"/>
        <v>-0.16618181818181885</v>
      </c>
      <c r="Q256">
        <f t="shared" si="961"/>
        <v>-192575899.8722626</v>
      </c>
      <c r="R256">
        <f t="shared" si="962"/>
        <v>38138904228.291588</v>
      </c>
      <c r="S256">
        <f t="shared" si="963"/>
        <v>381389.04228291591</v>
      </c>
      <c r="T256">
        <f t="shared" si="964"/>
        <v>381.38904228291591</v>
      </c>
    </row>
    <row r="257" spans="1:20" x14ac:dyDescent="0.25">
      <c r="A257" s="5">
        <v>44336</v>
      </c>
      <c r="B257">
        <v>1.4676</v>
      </c>
      <c r="C257">
        <v>1.9487000000000001</v>
      </c>
      <c r="D257">
        <v>1.3218000000000001</v>
      </c>
      <c r="E257">
        <v>1.8006</v>
      </c>
      <c r="F257">
        <v>1331716279.01</v>
      </c>
      <c r="G257">
        <v>22.69</v>
      </c>
      <c r="L257" t="s">
        <v>8</v>
      </c>
      <c r="M257" t="s">
        <v>8</v>
      </c>
      <c r="N257" t="s">
        <v>8</v>
      </c>
      <c r="P257">
        <f t="shared" si="960"/>
        <v>0.52751635029510247</v>
      </c>
      <c r="Q257">
        <f t="shared" si="961"/>
        <v>702502111.13192952</v>
      </c>
      <c r="R257">
        <f t="shared" si="962"/>
        <v>38331480128.163849</v>
      </c>
      <c r="S257">
        <f t="shared" si="963"/>
        <v>383314.8012816385</v>
      </c>
      <c r="T257">
        <f t="shared" si="964"/>
        <v>383.31480128163849</v>
      </c>
    </row>
    <row r="258" spans="1:20" x14ac:dyDescent="0.25">
      <c r="A258" s="5">
        <v>44335</v>
      </c>
      <c r="B258">
        <v>2.0036</v>
      </c>
      <c r="C258">
        <v>2.0316999999999998</v>
      </c>
      <c r="D258">
        <v>1.01</v>
      </c>
      <c r="E258">
        <v>1.4662999999999999</v>
      </c>
      <c r="F258">
        <v>2261842102.3600001</v>
      </c>
      <c r="G258">
        <v>-26.82</v>
      </c>
      <c r="L258" t="s">
        <v>7</v>
      </c>
      <c r="M258" t="s">
        <v>7</v>
      </c>
      <c r="N258" t="s">
        <v>7</v>
      </c>
      <c r="P258">
        <f t="shared" si="960"/>
        <v>-0.10678281295879416</v>
      </c>
      <c r="Q258">
        <f t="shared" si="961"/>
        <v>-241525862.15863365</v>
      </c>
      <c r="R258">
        <f t="shared" si="962"/>
        <v>37628978017.031921</v>
      </c>
      <c r="S258">
        <f t="shared" si="963"/>
        <v>376289.78017031919</v>
      </c>
      <c r="T258">
        <f t="shared" si="964"/>
        <v>376.2897801703192</v>
      </c>
    </row>
    <row r="259" spans="1:20" x14ac:dyDescent="0.25">
      <c r="A259" s="5">
        <v>44334</v>
      </c>
      <c r="B259">
        <v>2.0301</v>
      </c>
      <c r="C259">
        <v>2.1492</v>
      </c>
      <c r="D259">
        <v>1.9712000000000001</v>
      </c>
      <c r="E259">
        <v>2.0036</v>
      </c>
      <c r="F259">
        <v>612259916.92999995</v>
      </c>
      <c r="G259">
        <v>-1.31</v>
      </c>
      <c r="L259" t="s">
        <v>8</v>
      </c>
      <c r="M259" t="s">
        <v>7</v>
      </c>
      <c r="N259" t="s">
        <v>8</v>
      </c>
      <c r="P259">
        <f t="shared" si="960"/>
        <v>-0.63595505617977532</v>
      </c>
      <c r="Q259">
        <f t="shared" si="961"/>
        <v>-389369789.86784267</v>
      </c>
      <c r="R259">
        <f t="shared" si="962"/>
        <v>37870503879.190552</v>
      </c>
      <c r="S259">
        <f t="shared" si="963"/>
        <v>378705.03879190551</v>
      </c>
      <c r="T259">
        <f t="shared" si="964"/>
        <v>378.70503879190551</v>
      </c>
    </row>
    <row r="260" spans="1:20" x14ac:dyDescent="0.25">
      <c r="A260" s="5">
        <v>44333</v>
      </c>
      <c r="B260">
        <v>2.3001999999999998</v>
      </c>
      <c r="C260">
        <v>2.3290000000000002</v>
      </c>
      <c r="D260">
        <v>1.9158999999999999</v>
      </c>
      <c r="E260">
        <v>2.0306999999999999</v>
      </c>
      <c r="F260">
        <v>1137971306.3299999</v>
      </c>
      <c r="G260">
        <v>-11.72</v>
      </c>
      <c r="L260" t="s">
        <v>7</v>
      </c>
      <c r="M260" t="s">
        <v>7</v>
      </c>
      <c r="N260" t="s">
        <v>8</v>
      </c>
      <c r="P260">
        <f t="shared" si="960"/>
        <v>-0.44420237230694776</v>
      </c>
      <c r="Q260">
        <f t="shared" si="961"/>
        <v>-505489553.88902235</v>
      </c>
      <c r="R260">
        <f t="shared" si="962"/>
        <v>38259873669.058395</v>
      </c>
      <c r="S260">
        <f t="shared" si="963"/>
        <v>382598.73669058393</v>
      </c>
      <c r="T260">
        <f t="shared" si="964"/>
        <v>382.59873669058391</v>
      </c>
    </row>
    <row r="261" spans="1:20" x14ac:dyDescent="0.25">
      <c r="A261" s="5">
        <v>44332</v>
      </c>
      <c r="B261">
        <v>2.1753999999999998</v>
      </c>
      <c r="C261">
        <v>2.4700000000000002</v>
      </c>
      <c r="D261">
        <v>2.0104000000000002</v>
      </c>
      <c r="E261">
        <v>2.3001999999999998</v>
      </c>
      <c r="F261">
        <v>1190745903.78</v>
      </c>
      <c r="G261">
        <v>5.74</v>
      </c>
      <c r="L261" t="s">
        <v>8</v>
      </c>
      <c r="M261" t="s">
        <v>8</v>
      </c>
      <c r="N261" t="s">
        <v>8</v>
      </c>
      <c r="P261">
        <f t="shared" si="960"/>
        <v>0.26109660574412363</v>
      </c>
      <c r="Q261">
        <f t="shared" si="961"/>
        <v>310899713.78067684</v>
      </c>
      <c r="R261">
        <f t="shared" si="962"/>
        <v>38765363222.947418</v>
      </c>
      <c r="S261">
        <f t="shared" si="963"/>
        <v>387653.6322294742</v>
      </c>
      <c r="T261">
        <f t="shared" si="964"/>
        <v>387.65363222947423</v>
      </c>
    </row>
    <row r="262" spans="1:20" x14ac:dyDescent="0.25">
      <c r="A262" s="5">
        <v>44331</v>
      </c>
      <c r="B262">
        <v>2.0072999999999999</v>
      </c>
      <c r="C262">
        <v>2.3788999999999998</v>
      </c>
      <c r="D262">
        <v>1.9628000000000001</v>
      </c>
      <c r="E262">
        <v>2.1743999999999999</v>
      </c>
      <c r="F262">
        <v>1376815760.8299999</v>
      </c>
      <c r="G262">
        <v>8.32</v>
      </c>
      <c r="L262" t="s">
        <v>8</v>
      </c>
      <c r="M262" t="s">
        <v>8</v>
      </c>
      <c r="N262" t="s">
        <v>8</v>
      </c>
      <c r="P262">
        <f t="shared" ref="P262:P325" si="965">IF(C262=D262,0,((E262-D262)-(C262-E262))/(C262-D262))</f>
        <v>1.7063205960105479E-2</v>
      </c>
      <c r="Q262">
        <f t="shared" ref="Q262:Q325" si="966">F262*P262</f>
        <v>23492890.896161616</v>
      </c>
      <c r="R262">
        <f t="shared" ref="R262:R325" si="967">R263+Q262</f>
        <v>38454463509.16674</v>
      </c>
      <c r="S262">
        <f t="shared" ref="S262:S325" si="968">R262/100000</f>
        <v>384544.63509166741</v>
      </c>
      <c r="T262">
        <f t="shared" ref="T262:T325" si="969">S262/1000</f>
        <v>384.54463509166743</v>
      </c>
    </row>
    <row r="263" spans="1:20" x14ac:dyDescent="0.25">
      <c r="A263" s="5">
        <v>44330</v>
      </c>
      <c r="B263">
        <v>1.9289000000000001</v>
      </c>
      <c r="C263">
        <v>2.0430000000000001</v>
      </c>
      <c r="D263">
        <v>1.8111999999999999</v>
      </c>
      <c r="E263">
        <v>2.0068999999999999</v>
      </c>
      <c r="F263">
        <v>695033070.96000004</v>
      </c>
      <c r="G263">
        <v>4.04</v>
      </c>
      <c r="L263" t="s">
        <v>8</v>
      </c>
      <c r="M263" t="s">
        <v>8</v>
      </c>
      <c r="N263" t="s">
        <v>8</v>
      </c>
      <c r="P263">
        <f t="shared" si="965"/>
        <v>0.68852459016393264</v>
      </c>
      <c r="Q263">
        <f t="shared" si="966"/>
        <v>478547360.33311355</v>
      </c>
      <c r="R263">
        <f t="shared" si="967"/>
        <v>38430970618.270576</v>
      </c>
      <c r="S263">
        <f t="shared" si="968"/>
        <v>384309.70618270576</v>
      </c>
      <c r="T263">
        <f t="shared" si="969"/>
        <v>384.30970618270578</v>
      </c>
    </row>
    <row r="264" spans="1:20" x14ac:dyDescent="0.25">
      <c r="A264" s="5">
        <v>44329</v>
      </c>
      <c r="B264">
        <v>1.5669</v>
      </c>
      <c r="C264">
        <v>1.9719</v>
      </c>
      <c r="D264">
        <v>1.5</v>
      </c>
      <c r="E264">
        <v>1.9296</v>
      </c>
      <c r="F264">
        <v>1567655289.1600001</v>
      </c>
      <c r="G264">
        <v>23.15</v>
      </c>
      <c r="L264" t="s">
        <v>8</v>
      </c>
      <c r="M264" t="s">
        <v>8</v>
      </c>
      <c r="N264" t="s">
        <v>8</v>
      </c>
      <c r="P264">
        <f t="shared" si="965"/>
        <v>0.82072472981563893</v>
      </c>
      <c r="Q264">
        <f t="shared" si="966"/>
        <v>1286613463.6398983</v>
      </c>
      <c r="R264">
        <f t="shared" si="967"/>
        <v>37952423257.937462</v>
      </c>
      <c r="S264">
        <f t="shared" si="968"/>
        <v>379524.23257937463</v>
      </c>
      <c r="T264">
        <f t="shared" si="969"/>
        <v>379.52423257937465</v>
      </c>
    </row>
    <row r="265" spans="1:20" x14ac:dyDescent="0.25">
      <c r="A265" s="5">
        <v>44328</v>
      </c>
      <c r="B265">
        <v>1.7633000000000001</v>
      </c>
      <c r="C265">
        <v>1.821</v>
      </c>
      <c r="D265">
        <v>1.5462</v>
      </c>
      <c r="E265">
        <v>1.5693999999999999</v>
      </c>
      <c r="F265">
        <v>599710080.79999995</v>
      </c>
      <c r="G265">
        <v>-11</v>
      </c>
      <c r="L265" t="s">
        <v>8</v>
      </c>
      <c r="M265" t="s">
        <v>8</v>
      </c>
      <c r="N265" t="s">
        <v>8</v>
      </c>
      <c r="P265">
        <f t="shared" si="965"/>
        <v>-0.83114992721979697</v>
      </c>
      <c r="Q265">
        <f t="shared" si="966"/>
        <v>-498448990.00989854</v>
      </c>
      <c r="R265">
        <f t="shared" si="967"/>
        <v>36665809794.297562</v>
      </c>
      <c r="S265">
        <f t="shared" si="968"/>
        <v>366658.09794297564</v>
      </c>
      <c r="T265">
        <f t="shared" si="969"/>
        <v>366.65809794297564</v>
      </c>
    </row>
    <row r="266" spans="1:20" x14ac:dyDescent="0.25">
      <c r="A266" s="5">
        <v>44327</v>
      </c>
      <c r="B266">
        <v>1.6417999999999999</v>
      </c>
      <c r="C266">
        <v>1.7790999999999999</v>
      </c>
      <c r="D266">
        <v>1.5953999999999999</v>
      </c>
      <c r="E266">
        <v>1.7632000000000001</v>
      </c>
      <c r="F266">
        <v>524326718.11000001</v>
      </c>
      <c r="G266">
        <v>7.39</v>
      </c>
      <c r="L266" t="s">
        <v>8</v>
      </c>
      <c r="M266" t="s">
        <v>7</v>
      </c>
      <c r="N266" t="s">
        <v>8</v>
      </c>
      <c r="P266">
        <f t="shared" si="965"/>
        <v>0.82689167120305052</v>
      </c>
      <c r="Q266">
        <f t="shared" si="966"/>
        <v>433561396.19438869</v>
      </c>
      <c r="R266">
        <f t="shared" si="967"/>
        <v>37164258784.307457</v>
      </c>
      <c r="S266">
        <f t="shared" si="968"/>
        <v>371642.58784307458</v>
      </c>
      <c r="T266">
        <f t="shared" si="969"/>
        <v>371.64258784307458</v>
      </c>
    </row>
    <row r="267" spans="1:20" x14ac:dyDescent="0.25">
      <c r="A267" s="5">
        <v>44326</v>
      </c>
      <c r="B267">
        <v>1.7662</v>
      </c>
      <c r="C267">
        <v>1.8243</v>
      </c>
      <c r="D267">
        <v>1.5169999999999999</v>
      </c>
      <c r="E267">
        <v>1.6423000000000001</v>
      </c>
      <c r="F267">
        <v>712304913.86000001</v>
      </c>
      <c r="G267">
        <v>-7.02</v>
      </c>
      <c r="L267" t="s">
        <v>7</v>
      </c>
      <c r="M267" t="s">
        <v>7</v>
      </c>
      <c r="N267" t="s">
        <v>8</v>
      </c>
      <c r="P267">
        <f t="shared" si="965"/>
        <v>-0.1845102505694752</v>
      </c>
      <c r="Q267">
        <f t="shared" si="966"/>
        <v>-131427558.13817705</v>
      </c>
      <c r="R267">
        <f t="shared" si="967"/>
        <v>36730697388.113068</v>
      </c>
      <c r="S267">
        <f t="shared" si="968"/>
        <v>367306.97388113069</v>
      </c>
      <c r="T267">
        <f t="shared" si="969"/>
        <v>367.30697388113072</v>
      </c>
    </row>
    <row r="268" spans="1:20" x14ac:dyDescent="0.25">
      <c r="A268" s="5">
        <v>44325</v>
      </c>
      <c r="B268">
        <v>1.6206</v>
      </c>
      <c r="C268">
        <v>1.833</v>
      </c>
      <c r="D268">
        <v>1.5726</v>
      </c>
      <c r="E268">
        <v>1.7663</v>
      </c>
      <c r="F268">
        <v>883091328.46000004</v>
      </c>
      <c r="G268">
        <v>8.99</v>
      </c>
      <c r="L268" t="s">
        <v>8</v>
      </c>
      <c r="M268" t="s">
        <v>8</v>
      </c>
      <c r="N268" t="s">
        <v>8</v>
      </c>
      <c r="P268">
        <f t="shared" si="965"/>
        <v>0.48771121351766522</v>
      </c>
      <c r="Q268">
        <f t="shared" si="966"/>
        <v>430693543.45015371</v>
      </c>
      <c r="R268">
        <f t="shared" si="967"/>
        <v>36862124946.251244</v>
      </c>
      <c r="S268">
        <f t="shared" si="968"/>
        <v>368621.24946251244</v>
      </c>
      <c r="T268">
        <f t="shared" si="969"/>
        <v>368.62124946251242</v>
      </c>
    </row>
    <row r="269" spans="1:20" x14ac:dyDescent="0.25">
      <c r="A269" s="5">
        <v>44324</v>
      </c>
      <c r="B269">
        <v>1.6529</v>
      </c>
      <c r="C269">
        <v>1.6543000000000001</v>
      </c>
      <c r="D269">
        <v>1.5610999999999999</v>
      </c>
      <c r="E269">
        <v>1.6211</v>
      </c>
      <c r="F269">
        <v>393498897.98000002</v>
      </c>
      <c r="G269">
        <v>-1.92</v>
      </c>
      <c r="L269" t="s">
        <v>7</v>
      </c>
      <c r="M269" t="s">
        <v>8</v>
      </c>
      <c r="N269" t="s">
        <v>8</v>
      </c>
      <c r="P269">
        <f t="shared" si="965"/>
        <v>0.28755364806866829</v>
      </c>
      <c r="Q269">
        <f t="shared" si="966"/>
        <v>113152043.62514973</v>
      </c>
      <c r="R269">
        <f t="shared" si="967"/>
        <v>36431431402.801086</v>
      </c>
      <c r="S269">
        <f t="shared" si="968"/>
        <v>364314.31402801088</v>
      </c>
      <c r="T269">
        <f t="shared" si="969"/>
        <v>364.31431402801087</v>
      </c>
    </row>
    <row r="270" spans="1:20" x14ac:dyDescent="0.25">
      <c r="A270" s="5">
        <v>44323</v>
      </c>
      <c r="B270">
        <v>1.6491</v>
      </c>
      <c r="C270">
        <v>1.7478</v>
      </c>
      <c r="D270">
        <v>1.526</v>
      </c>
      <c r="E270">
        <v>1.653</v>
      </c>
      <c r="F270">
        <v>789059200.98000002</v>
      </c>
      <c r="G270">
        <v>0.24</v>
      </c>
      <c r="L270" t="s">
        <v>8</v>
      </c>
      <c r="M270" t="s">
        <v>8</v>
      </c>
      <c r="N270" t="s">
        <v>8</v>
      </c>
      <c r="P270">
        <f t="shared" si="965"/>
        <v>0.14517583408476106</v>
      </c>
      <c r="Q270">
        <f t="shared" si="966"/>
        <v>114552327.64452662</v>
      </c>
      <c r="R270">
        <f t="shared" si="967"/>
        <v>36318279359.175934</v>
      </c>
      <c r="S270">
        <f t="shared" si="968"/>
        <v>363182.79359175934</v>
      </c>
      <c r="T270">
        <f t="shared" si="969"/>
        <v>363.18279359175932</v>
      </c>
    </row>
    <row r="271" spans="1:20" x14ac:dyDescent="0.25">
      <c r="A271" s="5">
        <v>44322</v>
      </c>
      <c r="B271">
        <v>1.4799</v>
      </c>
      <c r="C271">
        <v>1.7</v>
      </c>
      <c r="D271">
        <v>1.4288000000000001</v>
      </c>
      <c r="E271">
        <v>1.6491</v>
      </c>
      <c r="F271">
        <v>1342973403.72</v>
      </c>
      <c r="G271">
        <v>11.43</v>
      </c>
      <c r="L271" t="s">
        <v>8</v>
      </c>
      <c r="M271" t="s">
        <v>8</v>
      </c>
      <c r="N271" t="s">
        <v>8</v>
      </c>
      <c r="P271">
        <f t="shared" si="965"/>
        <v>0.62463126843657846</v>
      </c>
      <c r="Q271">
        <f t="shared" si="966"/>
        <v>838863180.64221275</v>
      </c>
      <c r="R271">
        <f t="shared" si="967"/>
        <v>36203727031.53141</v>
      </c>
      <c r="S271">
        <f t="shared" si="968"/>
        <v>362037.27031531412</v>
      </c>
      <c r="T271">
        <f t="shared" si="969"/>
        <v>362.03727031531412</v>
      </c>
    </row>
    <row r="272" spans="1:20" x14ac:dyDescent="0.25">
      <c r="A272" s="5">
        <v>44321</v>
      </c>
      <c r="B272">
        <v>1.2699</v>
      </c>
      <c r="C272">
        <v>1.4970000000000001</v>
      </c>
      <c r="D272">
        <v>1.2598</v>
      </c>
      <c r="E272">
        <v>1.4798</v>
      </c>
      <c r="F272">
        <v>579064616.22000003</v>
      </c>
      <c r="G272">
        <v>16.53</v>
      </c>
      <c r="L272" t="s">
        <v>8</v>
      </c>
      <c r="M272" t="s">
        <v>8</v>
      </c>
      <c r="N272" t="s">
        <v>8</v>
      </c>
      <c r="P272">
        <f t="shared" si="965"/>
        <v>0.85497470489038707</v>
      </c>
      <c r="Q272">
        <f t="shared" si="966"/>
        <v>495085599.36515975</v>
      </c>
      <c r="R272">
        <f t="shared" si="967"/>
        <v>35364863850.889198</v>
      </c>
      <c r="S272">
        <f t="shared" si="968"/>
        <v>353648.63850889198</v>
      </c>
      <c r="T272">
        <f t="shared" si="969"/>
        <v>353.64863850889196</v>
      </c>
    </row>
    <row r="273" spans="1:20" x14ac:dyDescent="0.25">
      <c r="A273" s="5">
        <v>44320</v>
      </c>
      <c r="B273">
        <v>1.3627</v>
      </c>
      <c r="C273">
        <v>1.3673</v>
      </c>
      <c r="D273">
        <v>1.2557</v>
      </c>
      <c r="E273">
        <v>1.2698</v>
      </c>
      <c r="F273">
        <v>421500877.62</v>
      </c>
      <c r="G273">
        <v>-6.82</v>
      </c>
      <c r="L273" t="s">
        <v>7</v>
      </c>
      <c r="M273" t="s">
        <v>8</v>
      </c>
      <c r="N273" t="s">
        <v>8</v>
      </c>
      <c r="P273">
        <f t="shared" si="965"/>
        <v>-0.74731182795698903</v>
      </c>
      <c r="Q273">
        <f t="shared" si="966"/>
        <v>-314992591.33967733</v>
      </c>
      <c r="R273">
        <f t="shared" si="967"/>
        <v>34869778251.52404</v>
      </c>
      <c r="S273">
        <f t="shared" si="968"/>
        <v>348697.78251524043</v>
      </c>
      <c r="T273">
        <f t="shared" si="969"/>
        <v>348.69778251524042</v>
      </c>
    </row>
    <row r="274" spans="1:20" x14ac:dyDescent="0.25">
      <c r="A274" s="5">
        <v>44319</v>
      </c>
      <c r="B274">
        <v>1.3267</v>
      </c>
      <c r="C274">
        <v>1.38</v>
      </c>
      <c r="D274">
        <v>1.3208</v>
      </c>
      <c r="E274">
        <v>1.3622000000000001</v>
      </c>
      <c r="F274">
        <v>271187623.29000002</v>
      </c>
      <c r="G274">
        <v>2.68</v>
      </c>
      <c r="L274" t="s">
        <v>8</v>
      </c>
      <c r="M274" t="s">
        <v>8</v>
      </c>
      <c r="N274" t="s">
        <v>8</v>
      </c>
      <c r="P274">
        <f t="shared" si="965"/>
        <v>0.39864864864865407</v>
      </c>
      <c r="Q274">
        <f t="shared" si="966"/>
        <v>108108579.55479878</v>
      </c>
      <c r="R274">
        <f t="shared" si="967"/>
        <v>35184770842.863716</v>
      </c>
      <c r="S274">
        <f t="shared" si="968"/>
        <v>351847.70842863718</v>
      </c>
      <c r="T274">
        <f t="shared" si="969"/>
        <v>351.84770842863719</v>
      </c>
    </row>
    <row r="275" spans="1:20" x14ac:dyDescent="0.25">
      <c r="A275" s="5">
        <v>44318</v>
      </c>
      <c r="B275">
        <v>1.3515999999999999</v>
      </c>
      <c r="C275">
        <v>1.3555999999999999</v>
      </c>
      <c r="D275">
        <v>1.2941</v>
      </c>
      <c r="E275">
        <v>1.3267</v>
      </c>
      <c r="F275">
        <v>218990273.63999999</v>
      </c>
      <c r="G275">
        <v>-1.84</v>
      </c>
      <c r="L275" t="s">
        <v>7</v>
      </c>
      <c r="M275" t="s">
        <v>8</v>
      </c>
      <c r="N275" t="s">
        <v>8</v>
      </c>
      <c r="P275">
        <f t="shared" si="965"/>
        <v>6.0162601626016964E-2</v>
      </c>
      <c r="Q275">
        <f t="shared" si="966"/>
        <v>13175024.592975764</v>
      </c>
      <c r="R275">
        <f t="shared" si="967"/>
        <v>35076662263.308914</v>
      </c>
      <c r="S275">
        <f t="shared" si="968"/>
        <v>350766.62263308914</v>
      </c>
      <c r="T275">
        <f t="shared" si="969"/>
        <v>350.76662263308913</v>
      </c>
    </row>
    <row r="276" spans="1:20" x14ac:dyDescent="0.25">
      <c r="A276" s="5">
        <v>44317</v>
      </c>
      <c r="B276">
        <v>1.353</v>
      </c>
      <c r="C276">
        <v>1.3677999999999999</v>
      </c>
      <c r="D276">
        <v>1.3128</v>
      </c>
      <c r="E276">
        <v>1.3515999999999999</v>
      </c>
      <c r="F276">
        <v>208656399.38</v>
      </c>
      <c r="G276">
        <v>-0.1</v>
      </c>
      <c r="L276" t="s">
        <v>7</v>
      </c>
      <c r="M276" t="s">
        <v>8</v>
      </c>
      <c r="N276" t="s">
        <v>8</v>
      </c>
      <c r="P276">
        <f t="shared" si="965"/>
        <v>0.4109090909090905</v>
      </c>
      <c r="Q276">
        <f t="shared" si="966"/>
        <v>85738811.381599918</v>
      </c>
      <c r="R276">
        <f t="shared" si="967"/>
        <v>35063487238.715935</v>
      </c>
      <c r="S276">
        <f t="shared" si="968"/>
        <v>350634.87238715932</v>
      </c>
      <c r="T276">
        <f t="shared" si="969"/>
        <v>350.63487238715931</v>
      </c>
    </row>
    <row r="277" spans="1:20" x14ac:dyDescent="0.25">
      <c r="A277" s="5">
        <v>44316</v>
      </c>
      <c r="B277">
        <v>1.3066</v>
      </c>
      <c r="C277">
        <v>1.3709</v>
      </c>
      <c r="D277">
        <v>1.2855000000000001</v>
      </c>
      <c r="E277">
        <v>1.3532</v>
      </c>
      <c r="F277">
        <v>308696257.76999998</v>
      </c>
      <c r="G277">
        <v>3.57</v>
      </c>
      <c r="L277" t="s">
        <v>7</v>
      </c>
      <c r="M277" t="s">
        <v>8</v>
      </c>
      <c r="N277" t="s">
        <v>8</v>
      </c>
      <c r="P277">
        <f t="shared" si="965"/>
        <v>0.58548009367681342</v>
      </c>
      <c r="Q277">
        <f t="shared" si="966"/>
        <v>180735513.91686133</v>
      </c>
      <c r="R277">
        <f t="shared" si="967"/>
        <v>34977748427.334335</v>
      </c>
      <c r="S277">
        <f t="shared" si="968"/>
        <v>349777.48427334335</v>
      </c>
      <c r="T277">
        <f t="shared" si="969"/>
        <v>349.77748427334336</v>
      </c>
    </row>
    <row r="278" spans="1:20" x14ac:dyDescent="0.25">
      <c r="A278" s="5">
        <v>44315</v>
      </c>
      <c r="B278">
        <v>1.3372999999999999</v>
      </c>
      <c r="C278">
        <v>1.4117</v>
      </c>
      <c r="D278">
        <v>1.2661</v>
      </c>
      <c r="E278">
        <v>1.3063</v>
      </c>
      <c r="F278">
        <v>578529650.82000005</v>
      </c>
      <c r="G278">
        <v>-2.3199999999999998</v>
      </c>
      <c r="L278" t="s">
        <v>8</v>
      </c>
      <c r="M278" t="s">
        <v>8</v>
      </c>
      <c r="N278" t="s">
        <v>8</v>
      </c>
      <c r="P278">
        <f t="shared" si="965"/>
        <v>-0.44780219780219743</v>
      </c>
      <c r="Q278">
        <f t="shared" si="966"/>
        <v>-259066849.13093388</v>
      </c>
      <c r="R278">
        <f t="shared" si="967"/>
        <v>34797012913.417473</v>
      </c>
      <c r="S278">
        <f t="shared" si="968"/>
        <v>347970.12913417473</v>
      </c>
      <c r="T278">
        <f t="shared" si="969"/>
        <v>347.97012913417473</v>
      </c>
    </row>
    <row r="279" spans="1:20" x14ac:dyDescent="0.25">
      <c r="A279" s="5">
        <v>44314</v>
      </c>
      <c r="B279">
        <v>1.3063</v>
      </c>
      <c r="C279">
        <v>1.3488</v>
      </c>
      <c r="D279">
        <v>1.2325999999999999</v>
      </c>
      <c r="E279">
        <v>1.3379000000000001</v>
      </c>
      <c r="F279">
        <v>388598645.06999999</v>
      </c>
      <c r="G279">
        <v>2.42</v>
      </c>
      <c r="L279" t="s">
        <v>8</v>
      </c>
      <c r="M279" t="s">
        <v>8</v>
      </c>
      <c r="N279" t="s">
        <v>8</v>
      </c>
      <c r="P279">
        <f t="shared" si="965"/>
        <v>0.81239242685025981</v>
      </c>
      <c r="Q279">
        <f t="shared" si="966"/>
        <v>315694596.33914006</v>
      </c>
      <c r="R279">
        <f t="shared" si="967"/>
        <v>35056079762.548409</v>
      </c>
      <c r="S279">
        <f t="shared" si="968"/>
        <v>350560.79762548406</v>
      </c>
      <c r="T279">
        <f t="shared" si="969"/>
        <v>350.56079762548404</v>
      </c>
    </row>
    <row r="280" spans="1:20" x14ac:dyDescent="0.25">
      <c r="A280" s="5">
        <v>44313</v>
      </c>
      <c r="B280">
        <v>1.2377</v>
      </c>
      <c r="C280">
        <v>1.3332999999999999</v>
      </c>
      <c r="D280">
        <v>1.2232000000000001</v>
      </c>
      <c r="E280">
        <v>1.3063</v>
      </c>
      <c r="F280">
        <v>392979049.06999999</v>
      </c>
      <c r="G280">
        <v>5.54</v>
      </c>
      <c r="L280" t="s">
        <v>8</v>
      </c>
      <c r="M280" t="s">
        <v>8</v>
      </c>
      <c r="N280" t="s">
        <v>8</v>
      </c>
      <c r="P280">
        <f t="shared" si="965"/>
        <v>0.50953678474114539</v>
      </c>
      <c r="Q280">
        <f t="shared" si="966"/>
        <v>200237281.1337606</v>
      </c>
      <c r="R280">
        <f t="shared" si="967"/>
        <v>34740385166.209267</v>
      </c>
      <c r="S280">
        <f t="shared" si="968"/>
        <v>347403.85166209267</v>
      </c>
      <c r="T280">
        <f t="shared" si="969"/>
        <v>347.40385166209268</v>
      </c>
    </row>
    <row r="281" spans="1:20" x14ac:dyDescent="0.25">
      <c r="A281" s="5">
        <v>44312</v>
      </c>
      <c r="B281">
        <v>1.091</v>
      </c>
      <c r="C281">
        <v>1.2508999999999999</v>
      </c>
      <c r="D281">
        <v>1.0792999999999999</v>
      </c>
      <c r="E281">
        <v>1.2375</v>
      </c>
      <c r="F281">
        <v>473369883.13</v>
      </c>
      <c r="G281">
        <v>13.43</v>
      </c>
      <c r="L281" t="s">
        <v>8</v>
      </c>
      <c r="M281" t="s">
        <v>8</v>
      </c>
      <c r="N281" t="s">
        <v>7</v>
      </c>
      <c r="P281">
        <f t="shared" si="965"/>
        <v>0.84382284382284545</v>
      </c>
      <c r="Q281">
        <f t="shared" si="966"/>
        <v>399440320.96284461</v>
      </c>
      <c r="R281">
        <f t="shared" si="967"/>
        <v>34540147885.075508</v>
      </c>
      <c r="S281">
        <f t="shared" si="968"/>
        <v>345401.47885075508</v>
      </c>
      <c r="T281">
        <f t="shared" si="969"/>
        <v>345.4014788507551</v>
      </c>
    </row>
    <row r="282" spans="1:20" x14ac:dyDescent="0.25">
      <c r="A282" s="5">
        <v>44311</v>
      </c>
      <c r="B282">
        <v>1.103</v>
      </c>
      <c r="C282">
        <v>1.1467799999999999</v>
      </c>
      <c r="D282">
        <v>1.0183</v>
      </c>
      <c r="E282">
        <v>1.0912999999999999</v>
      </c>
      <c r="F282">
        <v>305075283.55000001</v>
      </c>
      <c r="G282">
        <v>-1.06</v>
      </c>
      <c r="L282" t="s">
        <v>7</v>
      </c>
      <c r="M282" t="s">
        <v>8</v>
      </c>
      <c r="N282" t="s">
        <v>7</v>
      </c>
      <c r="P282">
        <f t="shared" si="965"/>
        <v>0.1363636363636363</v>
      </c>
      <c r="Q282">
        <f t="shared" si="966"/>
        <v>41601175.029545434</v>
      </c>
      <c r="R282">
        <f t="shared" si="967"/>
        <v>34140707564.112663</v>
      </c>
      <c r="S282">
        <f t="shared" si="968"/>
        <v>341407.0756411266</v>
      </c>
      <c r="T282">
        <f t="shared" si="969"/>
        <v>341.4070756411266</v>
      </c>
    </row>
    <row r="283" spans="1:20" x14ac:dyDescent="0.25">
      <c r="A283" s="5">
        <v>44310</v>
      </c>
      <c r="B283">
        <v>1.15872</v>
      </c>
      <c r="C283">
        <v>1.198</v>
      </c>
      <c r="D283">
        <v>1.0927</v>
      </c>
      <c r="E283">
        <v>1.10287</v>
      </c>
      <c r="F283">
        <v>434215610.39999998</v>
      </c>
      <c r="G283">
        <v>-4.82</v>
      </c>
      <c r="L283" t="s">
        <v>8</v>
      </c>
      <c r="M283" t="s">
        <v>8</v>
      </c>
      <c r="N283" t="s">
        <v>7</v>
      </c>
      <c r="P283">
        <f t="shared" si="965"/>
        <v>-0.80683760683760652</v>
      </c>
      <c r="Q283">
        <f t="shared" si="966"/>
        <v>-350341483.94666654</v>
      </c>
      <c r="R283">
        <f t="shared" si="967"/>
        <v>34099106389.083118</v>
      </c>
      <c r="S283">
        <f t="shared" si="968"/>
        <v>340991.0638908312</v>
      </c>
      <c r="T283">
        <f t="shared" si="969"/>
        <v>340.99106389083119</v>
      </c>
    </row>
    <row r="284" spans="1:20" x14ac:dyDescent="0.25">
      <c r="A284" s="5">
        <v>44309</v>
      </c>
      <c r="B284">
        <v>1.1444300000000001</v>
      </c>
      <c r="C284">
        <v>1.1689499999999999</v>
      </c>
      <c r="D284">
        <v>0.92</v>
      </c>
      <c r="E284">
        <v>1.15866</v>
      </c>
      <c r="F284">
        <v>989280841.89999998</v>
      </c>
      <c r="G284">
        <v>1.24</v>
      </c>
      <c r="L284" t="s">
        <v>7</v>
      </c>
      <c r="M284" t="s">
        <v>7</v>
      </c>
      <c r="N284" t="s">
        <v>7</v>
      </c>
      <c r="P284">
        <f t="shared" si="965"/>
        <v>0.91733279775055299</v>
      </c>
      <c r="Q284">
        <f t="shared" si="966"/>
        <v>907499762.46114945</v>
      </c>
      <c r="R284">
        <f t="shared" si="967"/>
        <v>34449447873.029785</v>
      </c>
      <c r="S284">
        <f t="shared" si="968"/>
        <v>344494.47873029788</v>
      </c>
      <c r="T284">
        <f t="shared" si="969"/>
        <v>344.49447873029789</v>
      </c>
    </row>
    <row r="285" spans="1:20" x14ac:dyDescent="0.25">
      <c r="A285" s="5">
        <v>44308</v>
      </c>
      <c r="B285">
        <v>1.20312</v>
      </c>
      <c r="C285">
        <v>1.2798400000000001</v>
      </c>
      <c r="D285">
        <v>1.1137999999999999</v>
      </c>
      <c r="E285">
        <v>1.1439999999999999</v>
      </c>
      <c r="F285">
        <v>522618869.39999998</v>
      </c>
      <c r="G285">
        <v>-4.91</v>
      </c>
      <c r="L285" t="s">
        <v>7</v>
      </c>
      <c r="M285" t="s">
        <v>8</v>
      </c>
      <c r="N285" t="s">
        <v>7</v>
      </c>
      <c r="P285">
        <f t="shared" si="965"/>
        <v>-0.63623223319682043</v>
      </c>
      <c r="Q285">
        <f t="shared" si="966"/>
        <v>-332506970.38915944</v>
      </c>
      <c r="R285">
        <f t="shared" si="967"/>
        <v>33541948110.568634</v>
      </c>
      <c r="S285">
        <f t="shared" si="968"/>
        <v>335419.48110568634</v>
      </c>
      <c r="T285">
        <f t="shared" si="969"/>
        <v>335.41948110568632</v>
      </c>
    </row>
    <row r="286" spans="1:20" x14ac:dyDescent="0.25">
      <c r="A286" s="5">
        <v>44307</v>
      </c>
      <c r="B286">
        <v>1.2666500000000001</v>
      </c>
      <c r="C286">
        <v>1.29</v>
      </c>
      <c r="D286">
        <v>1.1970400000000001</v>
      </c>
      <c r="E286">
        <v>1.2035800000000001</v>
      </c>
      <c r="F286">
        <v>404434984</v>
      </c>
      <c r="G286">
        <v>-4.9800000000000004</v>
      </c>
      <c r="L286" t="s">
        <v>8</v>
      </c>
      <c r="M286" t="s">
        <v>8</v>
      </c>
      <c r="N286" t="s">
        <v>7</v>
      </c>
      <c r="P286">
        <f t="shared" si="965"/>
        <v>-0.85929432013769369</v>
      </c>
      <c r="Q286">
        <f t="shared" si="966"/>
        <v>-347528684.61617905</v>
      </c>
      <c r="R286">
        <f t="shared" si="967"/>
        <v>33874455080.957794</v>
      </c>
      <c r="S286">
        <f t="shared" si="968"/>
        <v>338744.55080957792</v>
      </c>
      <c r="T286">
        <f t="shared" si="969"/>
        <v>338.7445508095779</v>
      </c>
    </row>
    <row r="287" spans="1:20" x14ac:dyDescent="0.25">
      <c r="A287" s="5">
        <v>44306</v>
      </c>
      <c r="B287">
        <v>1.19451</v>
      </c>
      <c r="C287">
        <v>1.28241</v>
      </c>
      <c r="D287">
        <v>1.1268499999999999</v>
      </c>
      <c r="E287">
        <v>1.2668900000000001</v>
      </c>
      <c r="F287">
        <v>470266399.19999999</v>
      </c>
      <c r="G287">
        <v>6.06</v>
      </c>
      <c r="L287" t="s">
        <v>7</v>
      </c>
      <c r="M287" t="s">
        <v>8</v>
      </c>
      <c r="N287" t="s">
        <v>7</v>
      </c>
      <c r="P287">
        <f t="shared" si="965"/>
        <v>0.80046284391874567</v>
      </c>
      <c r="Q287">
        <f t="shared" si="966"/>
        <v>376430779.30306011</v>
      </c>
      <c r="R287">
        <f t="shared" si="967"/>
        <v>34221983765.573975</v>
      </c>
      <c r="S287">
        <f t="shared" si="968"/>
        <v>342219.83765573974</v>
      </c>
      <c r="T287">
        <f t="shared" si="969"/>
        <v>342.21983765573975</v>
      </c>
    </row>
    <row r="288" spans="1:20" x14ac:dyDescent="0.25">
      <c r="A288" s="5">
        <v>44305</v>
      </c>
      <c r="B288">
        <v>1.2765500000000001</v>
      </c>
      <c r="C288">
        <v>1.32443</v>
      </c>
      <c r="D288">
        <v>1.1712199999999999</v>
      </c>
      <c r="E288">
        <v>1.1944999999999999</v>
      </c>
      <c r="F288">
        <v>477279604.89999998</v>
      </c>
      <c r="G288">
        <v>-6.43</v>
      </c>
      <c r="L288" t="s">
        <v>8</v>
      </c>
      <c r="M288" t="s">
        <v>8</v>
      </c>
      <c r="N288" t="s">
        <v>7</v>
      </c>
      <c r="P288">
        <f t="shared" si="965"/>
        <v>-0.69610338750734346</v>
      </c>
      <c r="Q288">
        <f t="shared" si="966"/>
        <v>-332235949.75905645</v>
      </c>
      <c r="R288">
        <f t="shared" si="967"/>
        <v>33845552986.270916</v>
      </c>
      <c r="S288">
        <f t="shared" si="968"/>
        <v>338455.52986270917</v>
      </c>
      <c r="T288">
        <f t="shared" si="969"/>
        <v>338.45552986270917</v>
      </c>
    </row>
    <row r="289" spans="1:20" x14ac:dyDescent="0.25">
      <c r="A289" s="5">
        <v>44304</v>
      </c>
      <c r="B289">
        <v>1.3686100000000001</v>
      </c>
      <c r="C289">
        <v>1.3865400000000001</v>
      </c>
      <c r="D289">
        <v>1.0720400000000001</v>
      </c>
      <c r="E289">
        <v>1.2769299999999999</v>
      </c>
      <c r="F289">
        <v>804838502.10000002</v>
      </c>
      <c r="G289">
        <v>-6.7</v>
      </c>
      <c r="L289" t="s">
        <v>7</v>
      </c>
      <c r="M289" t="s">
        <v>7</v>
      </c>
      <c r="N289" t="s">
        <v>7</v>
      </c>
      <c r="P289">
        <f t="shared" si="965"/>
        <v>0.3029570747217793</v>
      </c>
      <c r="Q289">
        <f t="shared" si="966"/>
        <v>243831518.21967462</v>
      </c>
      <c r="R289">
        <f t="shared" si="967"/>
        <v>34177788936.029972</v>
      </c>
      <c r="S289">
        <f t="shared" si="968"/>
        <v>341777.88936029974</v>
      </c>
      <c r="T289">
        <f t="shared" si="969"/>
        <v>341.77788936029975</v>
      </c>
    </row>
    <row r="290" spans="1:20" x14ac:dyDescent="0.25">
      <c r="A290" s="5">
        <v>44303</v>
      </c>
      <c r="B290">
        <v>1.4098900000000001</v>
      </c>
      <c r="C290">
        <v>1.4580500000000001</v>
      </c>
      <c r="D290">
        <v>1.35501</v>
      </c>
      <c r="E290">
        <v>1.36802</v>
      </c>
      <c r="F290">
        <v>323840975.10000002</v>
      </c>
      <c r="G290">
        <v>-2.97</v>
      </c>
      <c r="L290" t="s">
        <v>8</v>
      </c>
      <c r="M290" t="s">
        <v>7</v>
      </c>
      <c r="N290" t="s">
        <v>8</v>
      </c>
      <c r="P290">
        <f t="shared" si="965"/>
        <v>-0.74747670807453492</v>
      </c>
      <c r="Q290">
        <f t="shared" si="966"/>
        <v>-242063586.00739545</v>
      </c>
      <c r="R290">
        <f t="shared" si="967"/>
        <v>33933957417.810299</v>
      </c>
      <c r="S290">
        <f t="shared" si="968"/>
        <v>339339.57417810301</v>
      </c>
      <c r="T290">
        <f t="shared" si="969"/>
        <v>339.33957417810302</v>
      </c>
    </row>
    <row r="291" spans="1:20" x14ac:dyDescent="0.25">
      <c r="A291" s="5">
        <v>44302</v>
      </c>
      <c r="B291">
        <v>1.47845</v>
      </c>
      <c r="C291">
        <v>1.51915</v>
      </c>
      <c r="D291">
        <v>1.3340000000000001</v>
      </c>
      <c r="E291">
        <v>1.4098900000000001</v>
      </c>
      <c r="F291">
        <v>562141264.20000005</v>
      </c>
      <c r="G291">
        <v>-4.6399999999999997</v>
      </c>
      <c r="L291" t="s">
        <v>7</v>
      </c>
      <c r="M291" t="s">
        <v>7</v>
      </c>
      <c r="N291" t="s">
        <v>8</v>
      </c>
      <c r="P291">
        <f t="shared" si="965"/>
        <v>-0.18023224412638356</v>
      </c>
      <c r="Q291">
        <f t="shared" si="966"/>
        <v>-101315981.56280829</v>
      </c>
      <c r="R291">
        <f t="shared" si="967"/>
        <v>34176021003.817696</v>
      </c>
      <c r="S291">
        <f t="shared" si="968"/>
        <v>341760.21003817697</v>
      </c>
      <c r="T291">
        <f t="shared" si="969"/>
        <v>341.76021003817698</v>
      </c>
    </row>
    <row r="292" spans="1:20" x14ac:dyDescent="0.25">
      <c r="A292" s="5">
        <v>44301</v>
      </c>
      <c r="B292">
        <v>1.4514</v>
      </c>
      <c r="C292">
        <v>1.49539</v>
      </c>
      <c r="D292">
        <v>1.4102300000000001</v>
      </c>
      <c r="E292">
        <v>1.4782</v>
      </c>
      <c r="F292">
        <v>413204000.60000002</v>
      </c>
      <c r="G292">
        <v>1.85</v>
      </c>
      <c r="L292" t="s">
        <v>7</v>
      </c>
      <c r="M292" t="s">
        <v>8</v>
      </c>
      <c r="N292" t="s">
        <v>8</v>
      </c>
      <c r="P292">
        <f t="shared" si="965"/>
        <v>0.5962893377172368</v>
      </c>
      <c r="Q292">
        <f t="shared" si="966"/>
        <v>246389139.85988674</v>
      </c>
      <c r="R292">
        <f t="shared" si="967"/>
        <v>34277336985.380505</v>
      </c>
      <c r="S292">
        <f t="shared" si="968"/>
        <v>342773.36985380505</v>
      </c>
      <c r="T292">
        <f t="shared" si="969"/>
        <v>342.77336985380504</v>
      </c>
    </row>
    <row r="293" spans="1:20" x14ac:dyDescent="0.25">
      <c r="A293" s="5">
        <v>44300</v>
      </c>
      <c r="B293">
        <v>1.41246</v>
      </c>
      <c r="C293">
        <v>1.5584499999999999</v>
      </c>
      <c r="D293">
        <v>1.3480000000000001</v>
      </c>
      <c r="E293">
        <v>1.45092</v>
      </c>
      <c r="F293">
        <v>1053166777.6</v>
      </c>
      <c r="G293">
        <v>2.72</v>
      </c>
      <c r="L293" t="s">
        <v>8</v>
      </c>
      <c r="M293" t="s">
        <v>8</v>
      </c>
      <c r="N293" t="s">
        <v>8</v>
      </c>
      <c r="P293">
        <f t="shared" si="965"/>
        <v>-2.1905440722261856E-2</v>
      </c>
      <c r="Q293">
        <f t="shared" si="966"/>
        <v>-23070082.417372335</v>
      </c>
      <c r="R293">
        <f t="shared" si="967"/>
        <v>34030947845.520618</v>
      </c>
      <c r="S293">
        <f t="shared" si="968"/>
        <v>340309.4784552062</v>
      </c>
      <c r="T293">
        <f t="shared" si="969"/>
        <v>340.3094784552062</v>
      </c>
    </row>
    <row r="294" spans="1:20" x14ac:dyDescent="0.25">
      <c r="A294" s="5">
        <v>44299</v>
      </c>
      <c r="B294">
        <v>1.3145199999999999</v>
      </c>
      <c r="C294">
        <v>1.4378</v>
      </c>
      <c r="D294">
        <v>1.28138</v>
      </c>
      <c r="E294">
        <v>1.41246</v>
      </c>
      <c r="F294">
        <v>605026285</v>
      </c>
      <c r="G294">
        <v>7.45</v>
      </c>
      <c r="L294" t="s">
        <v>8</v>
      </c>
      <c r="M294" t="s">
        <v>8</v>
      </c>
      <c r="N294" t="s">
        <v>7</v>
      </c>
      <c r="P294">
        <f t="shared" si="965"/>
        <v>0.67600051144355044</v>
      </c>
      <c r="Q294">
        <f t="shared" si="966"/>
        <v>408998078.09679133</v>
      </c>
      <c r="R294">
        <f t="shared" si="967"/>
        <v>34054017927.937992</v>
      </c>
      <c r="S294">
        <f t="shared" si="968"/>
        <v>340540.1792793799</v>
      </c>
      <c r="T294">
        <f t="shared" si="969"/>
        <v>340.54017927937991</v>
      </c>
    </row>
    <row r="295" spans="1:20" x14ac:dyDescent="0.25">
      <c r="A295" s="5">
        <v>44298</v>
      </c>
      <c r="B295">
        <v>1.26376</v>
      </c>
      <c r="C295">
        <v>1.3480000000000001</v>
      </c>
      <c r="D295">
        <v>1.2633000000000001</v>
      </c>
      <c r="E295">
        <v>1.3143100000000001</v>
      </c>
      <c r="F295">
        <v>559487897.89999998</v>
      </c>
      <c r="G295">
        <v>4</v>
      </c>
      <c r="L295" t="s">
        <v>8</v>
      </c>
      <c r="M295" t="s">
        <v>8</v>
      </c>
      <c r="N295" t="s">
        <v>7</v>
      </c>
      <c r="P295">
        <f t="shared" si="965"/>
        <v>0.20448642266824088</v>
      </c>
      <c r="Q295">
        <f t="shared" si="966"/>
        <v>114407678.76774499</v>
      </c>
      <c r="R295">
        <f t="shared" si="967"/>
        <v>33645019849.841202</v>
      </c>
      <c r="S295">
        <f t="shared" si="968"/>
        <v>336450.19849841204</v>
      </c>
      <c r="T295">
        <f t="shared" si="969"/>
        <v>336.45019849841202</v>
      </c>
    </row>
    <row r="296" spans="1:20" x14ac:dyDescent="0.25">
      <c r="A296" s="5">
        <v>44297</v>
      </c>
      <c r="B296">
        <v>1.21753</v>
      </c>
      <c r="C296">
        <v>1.28989</v>
      </c>
      <c r="D296">
        <v>1.1990000000000001</v>
      </c>
      <c r="E296">
        <v>1.26355</v>
      </c>
      <c r="F296">
        <v>451246041.80000001</v>
      </c>
      <c r="G296">
        <v>3.78</v>
      </c>
      <c r="L296" t="s">
        <v>8</v>
      </c>
      <c r="M296" t="s">
        <v>8</v>
      </c>
      <c r="N296" t="s">
        <v>7</v>
      </c>
      <c r="P296">
        <f t="shared" si="965"/>
        <v>0.42039828363956311</v>
      </c>
      <c r="Q296">
        <f t="shared" si="966"/>
        <v>189703061.47186655</v>
      </c>
      <c r="R296">
        <f t="shared" si="967"/>
        <v>33530612171.073456</v>
      </c>
      <c r="S296">
        <f t="shared" si="968"/>
        <v>335306.12171073456</v>
      </c>
      <c r="T296">
        <f t="shared" si="969"/>
        <v>335.30612171073454</v>
      </c>
    </row>
    <row r="297" spans="1:20" x14ac:dyDescent="0.25">
      <c r="A297" s="5">
        <v>44296</v>
      </c>
      <c r="B297">
        <v>1.20201</v>
      </c>
      <c r="C297">
        <v>1.2519899999999999</v>
      </c>
      <c r="D297">
        <v>1.19157</v>
      </c>
      <c r="E297">
        <v>1.2174700000000001</v>
      </c>
      <c r="F297">
        <v>290774078</v>
      </c>
      <c r="G297">
        <v>1.29</v>
      </c>
      <c r="L297" t="s">
        <v>8</v>
      </c>
      <c r="M297" t="s">
        <v>8</v>
      </c>
      <c r="N297" t="s">
        <v>7</v>
      </c>
      <c r="P297">
        <f t="shared" si="965"/>
        <v>-0.14266799073154354</v>
      </c>
      <c r="Q297">
        <f t="shared" si="966"/>
        <v>-41484153.465077117</v>
      </c>
      <c r="R297">
        <f t="shared" si="967"/>
        <v>33340909109.601589</v>
      </c>
      <c r="S297">
        <f t="shared" si="968"/>
        <v>333409.09109601588</v>
      </c>
      <c r="T297">
        <f t="shared" si="969"/>
        <v>333.40909109601586</v>
      </c>
    </row>
    <row r="298" spans="1:20" x14ac:dyDescent="0.25">
      <c r="A298" s="5">
        <v>44295</v>
      </c>
      <c r="B298">
        <v>1.21896</v>
      </c>
      <c r="C298">
        <v>1.2290700000000001</v>
      </c>
      <c r="D298">
        <v>1.1913400000000001</v>
      </c>
      <c r="E298">
        <v>1.20201</v>
      </c>
      <c r="F298">
        <v>156767192.19999999</v>
      </c>
      <c r="G298">
        <v>-1.39</v>
      </c>
      <c r="L298" t="s">
        <v>7</v>
      </c>
      <c r="M298" t="s">
        <v>8</v>
      </c>
      <c r="N298" t="s">
        <v>7</v>
      </c>
      <c r="P298">
        <f t="shared" si="965"/>
        <v>-0.43440233236151893</v>
      </c>
      <c r="Q298">
        <f t="shared" si="966"/>
        <v>-68100033.929446518</v>
      </c>
      <c r="R298">
        <f t="shared" si="967"/>
        <v>33382393263.066666</v>
      </c>
      <c r="S298">
        <f t="shared" si="968"/>
        <v>333823.93263066665</v>
      </c>
      <c r="T298">
        <f t="shared" si="969"/>
        <v>333.82393263066666</v>
      </c>
    </row>
    <row r="299" spans="1:20" x14ac:dyDescent="0.25">
      <c r="A299" s="5">
        <v>44294</v>
      </c>
      <c r="B299">
        <v>1.1735599999999999</v>
      </c>
      <c r="C299">
        <v>1.22502</v>
      </c>
      <c r="D299">
        <v>1.1699900000000001</v>
      </c>
      <c r="E299">
        <v>1.21926</v>
      </c>
      <c r="F299">
        <v>215242842.90000001</v>
      </c>
      <c r="G299">
        <v>3.89</v>
      </c>
      <c r="L299" t="s">
        <v>7</v>
      </c>
      <c r="M299" t="s">
        <v>8</v>
      </c>
      <c r="N299" t="s">
        <v>7</v>
      </c>
      <c r="P299">
        <f t="shared" si="965"/>
        <v>0.79065964019625667</v>
      </c>
      <c r="Q299">
        <f t="shared" si="966"/>
        <v>170183828.7221334</v>
      </c>
      <c r="R299">
        <f t="shared" si="967"/>
        <v>33450493296.996113</v>
      </c>
      <c r="S299">
        <f t="shared" si="968"/>
        <v>334504.93296996114</v>
      </c>
      <c r="T299">
        <f t="shared" si="969"/>
        <v>334.50493296996115</v>
      </c>
    </row>
    <row r="300" spans="1:20" x14ac:dyDescent="0.25">
      <c r="A300" s="5">
        <v>44293</v>
      </c>
      <c r="B300">
        <v>1.25217</v>
      </c>
      <c r="C300">
        <v>1.29</v>
      </c>
      <c r="D300">
        <v>1.1588000000000001</v>
      </c>
      <c r="E300">
        <v>1.1735899999999999</v>
      </c>
      <c r="F300">
        <v>405313990</v>
      </c>
      <c r="G300">
        <v>-6.28</v>
      </c>
      <c r="L300" t="s">
        <v>7</v>
      </c>
      <c r="M300" t="s">
        <v>8</v>
      </c>
      <c r="N300" t="s">
        <v>7</v>
      </c>
      <c r="P300">
        <f t="shared" si="965"/>
        <v>-0.77454268292683137</v>
      </c>
      <c r="Q300">
        <f t="shared" si="966"/>
        <v>-313932985.24237889</v>
      </c>
      <c r="R300">
        <f t="shared" si="967"/>
        <v>33280309468.273979</v>
      </c>
      <c r="S300">
        <f t="shared" si="968"/>
        <v>332803.09468273981</v>
      </c>
      <c r="T300">
        <f t="shared" si="969"/>
        <v>332.80309468273981</v>
      </c>
    </row>
    <row r="301" spans="1:20" x14ac:dyDescent="0.25">
      <c r="A301" s="5">
        <v>44292</v>
      </c>
      <c r="B301">
        <v>1.2117199999999999</v>
      </c>
      <c r="C301">
        <v>1.3435900000000001</v>
      </c>
      <c r="D301">
        <v>1.1900999999999999</v>
      </c>
      <c r="E301">
        <v>1.252</v>
      </c>
      <c r="F301">
        <v>726926008.5</v>
      </c>
      <c r="G301">
        <v>3.32</v>
      </c>
      <c r="L301" t="s">
        <v>8</v>
      </c>
      <c r="M301" t="s">
        <v>8</v>
      </c>
      <c r="N301" t="s">
        <v>7</v>
      </c>
      <c r="P301">
        <f t="shared" si="965"/>
        <v>-0.19343279692488091</v>
      </c>
      <c r="Q301">
        <f t="shared" si="966"/>
        <v>-140611330.98159474</v>
      </c>
      <c r="R301">
        <f t="shared" si="967"/>
        <v>33594242453.516357</v>
      </c>
      <c r="S301">
        <f t="shared" si="968"/>
        <v>335942.42453516356</v>
      </c>
      <c r="T301">
        <f t="shared" si="969"/>
        <v>335.94242453516358</v>
      </c>
    </row>
    <row r="302" spans="1:20" x14ac:dyDescent="0.25">
      <c r="A302" s="5">
        <v>44291</v>
      </c>
      <c r="B302">
        <v>1.18205</v>
      </c>
      <c r="C302">
        <v>1.2264699999999999</v>
      </c>
      <c r="D302">
        <v>1.16222</v>
      </c>
      <c r="E302">
        <v>1.2118</v>
      </c>
      <c r="F302">
        <v>318801564.5</v>
      </c>
      <c r="G302">
        <v>2.52</v>
      </c>
      <c r="L302" t="s">
        <v>7</v>
      </c>
      <c r="M302" t="s">
        <v>8</v>
      </c>
      <c r="N302" t="s">
        <v>7</v>
      </c>
      <c r="P302">
        <f t="shared" si="965"/>
        <v>0.54334630350194613</v>
      </c>
      <c r="Q302">
        <f t="shared" si="966"/>
        <v>173219651.62171227</v>
      </c>
      <c r="R302">
        <f t="shared" si="967"/>
        <v>33734853784.497952</v>
      </c>
      <c r="S302">
        <f t="shared" si="968"/>
        <v>337348.5378449795</v>
      </c>
      <c r="T302">
        <f t="shared" si="969"/>
        <v>337.34853784497949</v>
      </c>
    </row>
    <row r="303" spans="1:20" x14ac:dyDescent="0.25">
      <c r="A303" s="5">
        <v>44290</v>
      </c>
      <c r="B303">
        <v>1.16245</v>
      </c>
      <c r="C303">
        <v>1.1930000000000001</v>
      </c>
      <c r="D303">
        <v>1.1519999999999999</v>
      </c>
      <c r="E303">
        <v>1.1820600000000001</v>
      </c>
      <c r="F303">
        <v>204575492.19999999</v>
      </c>
      <c r="G303">
        <v>1.69</v>
      </c>
      <c r="L303" t="s">
        <v>7</v>
      </c>
      <c r="M303" t="s">
        <v>8</v>
      </c>
      <c r="N303" t="s">
        <v>7</v>
      </c>
      <c r="P303">
        <f t="shared" si="965"/>
        <v>0.4663414634146385</v>
      </c>
      <c r="Q303">
        <f t="shared" si="966"/>
        <v>95402034.411317959</v>
      </c>
      <c r="R303">
        <f t="shared" si="967"/>
        <v>33561634132.87624</v>
      </c>
      <c r="S303">
        <f t="shared" si="968"/>
        <v>335616.34132876241</v>
      </c>
      <c r="T303">
        <f t="shared" si="969"/>
        <v>335.61634132876242</v>
      </c>
    </row>
    <row r="304" spans="1:20" x14ac:dyDescent="0.25">
      <c r="A304" s="5">
        <v>44289</v>
      </c>
      <c r="B304">
        <v>1.18998</v>
      </c>
      <c r="C304">
        <v>1.24078</v>
      </c>
      <c r="D304">
        <v>1.15977</v>
      </c>
      <c r="E304">
        <v>1.16238</v>
      </c>
      <c r="F304">
        <v>313837978.89999998</v>
      </c>
      <c r="G304">
        <v>-2.3199999999999998</v>
      </c>
      <c r="L304" t="s">
        <v>7</v>
      </c>
      <c r="M304" t="s">
        <v>8</v>
      </c>
      <c r="N304" t="s">
        <v>7</v>
      </c>
      <c r="P304">
        <f t="shared" si="965"/>
        <v>-0.93556351067769405</v>
      </c>
      <c r="Q304">
        <f t="shared" si="966"/>
        <v>-293615361.32367605</v>
      </c>
      <c r="R304">
        <f t="shared" si="967"/>
        <v>33466232098.46492</v>
      </c>
      <c r="S304">
        <f t="shared" si="968"/>
        <v>334662.32098464918</v>
      </c>
      <c r="T304">
        <f t="shared" si="969"/>
        <v>334.66232098464917</v>
      </c>
    </row>
    <row r="305" spans="1:20" x14ac:dyDescent="0.25">
      <c r="A305" s="5">
        <v>44288</v>
      </c>
      <c r="B305">
        <v>1.1833</v>
      </c>
      <c r="C305">
        <v>1.24796</v>
      </c>
      <c r="D305">
        <v>1.1802600000000001</v>
      </c>
      <c r="E305">
        <v>1.18998</v>
      </c>
      <c r="F305">
        <v>314062254.39999998</v>
      </c>
      <c r="G305">
        <v>0.56000000000000005</v>
      </c>
      <c r="L305" t="s">
        <v>8</v>
      </c>
      <c r="M305" t="s">
        <v>8</v>
      </c>
      <c r="N305" t="s">
        <v>7</v>
      </c>
      <c r="P305">
        <f t="shared" si="965"/>
        <v>-0.71285081240768189</v>
      </c>
      <c r="Q305">
        <f t="shared" si="966"/>
        <v>-223879533.19562805</v>
      </c>
      <c r="R305">
        <f t="shared" si="967"/>
        <v>33759847459.788597</v>
      </c>
      <c r="S305">
        <f t="shared" si="968"/>
        <v>337598.47459788597</v>
      </c>
      <c r="T305">
        <f t="shared" si="969"/>
        <v>337.59847459788597</v>
      </c>
    </row>
    <row r="306" spans="1:20" x14ac:dyDescent="0.25">
      <c r="A306" s="5">
        <v>44287</v>
      </c>
      <c r="B306">
        <v>1.1917199999999999</v>
      </c>
      <c r="C306">
        <v>1.2077199999999999</v>
      </c>
      <c r="D306">
        <v>1.17171</v>
      </c>
      <c r="E306">
        <v>1.18377</v>
      </c>
      <c r="F306">
        <v>212963382.59999999</v>
      </c>
      <c r="G306">
        <v>-0.67</v>
      </c>
      <c r="L306" t="s">
        <v>7</v>
      </c>
      <c r="M306" t="s">
        <v>8</v>
      </c>
      <c r="N306" t="s">
        <v>7</v>
      </c>
      <c r="P306">
        <f t="shared" si="965"/>
        <v>-0.33018605942793661</v>
      </c>
      <c r="Q306">
        <f t="shared" si="966"/>
        <v>-70317540.103138</v>
      </c>
      <c r="R306">
        <f t="shared" si="967"/>
        <v>33983726992.984226</v>
      </c>
      <c r="S306">
        <f t="shared" si="968"/>
        <v>339837.26992984227</v>
      </c>
      <c r="T306">
        <f t="shared" si="969"/>
        <v>339.83726992984225</v>
      </c>
    </row>
    <row r="307" spans="1:20" x14ac:dyDescent="0.25">
      <c r="A307" s="5">
        <v>44286</v>
      </c>
      <c r="B307">
        <v>1.212</v>
      </c>
      <c r="C307">
        <v>1.2127300000000001</v>
      </c>
      <c r="D307">
        <v>1.151</v>
      </c>
      <c r="E307">
        <v>1.19191</v>
      </c>
      <c r="F307">
        <v>302818874.60000002</v>
      </c>
      <c r="G307">
        <v>-1.66</v>
      </c>
      <c r="L307" t="s">
        <v>7</v>
      </c>
      <c r="M307" t="s">
        <v>8</v>
      </c>
      <c r="N307" t="s">
        <v>7</v>
      </c>
      <c r="P307">
        <f t="shared" si="965"/>
        <v>0.32544953831200263</v>
      </c>
      <c r="Q307">
        <f t="shared" si="966"/>
        <v>98552262.930730224</v>
      </c>
      <c r="R307">
        <f t="shared" si="967"/>
        <v>34054044533.087364</v>
      </c>
      <c r="S307">
        <f t="shared" si="968"/>
        <v>340540.44533087366</v>
      </c>
      <c r="T307">
        <f t="shared" si="969"/>
        <v>340.54044533087364</v>
      </c>
    </row>
    <row r="308" spans="1:20" x14ac:dyDescent="0.25">
      <c r="A308" s="5">
        <v>44285</v>
      </c>
      <c r="B308">
        <v>1.2023999999999999</v>
      </c>
      <c r="C308">
        <v>1.2355499999999999</v>
      </c>
      <c r="D308">
        <v>1.18909</v>
      </c>
      <c r="E308">
        <v>1.2118899999999999</v>
      </c>
      <c r="F308">
        <v>257460678.59999999</v>
      </c>
      <c r="G308">
        <v>0.79</v>
      </c>
      <c r="L308" t="s">
        <v>7</v>
      </c>
      <c r="M308" t="s">
        <v>8</v>
      </c>
      <c r="N308" t="s">
        <v>7</v>
      </c>
      <c r="P308">
        <f t="shared" si="965"/>
        <v>-1.8510546706846404E-2</v>
      </c>
      <c r="Q308">
        <f t="shared" si="966"/>
        <v>-4765737.9164016703</v>
      </c>
      <c r="R308">
        <f t="shared" si="967"/>
        <v>33955492270.156635</v>
      </c>
      <c r="S308">
        <f t="shared" si="968"/>
        <v>339554.92270156636</v>
      </c>
      <c r="T308">
        <f t="shared" si="969"/>
        <v>339.55492270156634</v>
      </c>
    </row>
    <row r="309" spans="1:20" x14ac:dyDescent="0.25">
      <c r="A309" s="5">
        <v>44284</v>
      </c>
      <c r="B309">
        <v>1.1898299999999999</v>
      </c>
      <c r="C309">
        <v>1.2297899999999999</v>
      </c>
      <c r="D309">
        <v>1.1779999999999999</v>
      </c>
      <c r="E309">
        <v>1.2023900000000001</v>
      </c>
      <c r="F309">
        <v>263071765.19999999</v>
      </c>
      <c r="G309">
        <v>1.06</v>
      </c>
      <c r="L309" t="s">
        <v>7</v>
      </c>
      <c r="M309" t="s">
        <v>8</v>
      </c>
      <c r="N309" t="s">
        <v>7</v>
      </c>
      <c r="P309">
        <f t="shared" si="965"/>
        <v>-5.8119328055604075E-2</v>
      </c>
      <c r="Q309">
        <f t="shared" si="966"/>
        <v>-15289554.223825647</v>
      </c>
      <c r="R309">
        <f t="shared" si="967"/>
        <v>33960258008.073036</v>
      </c>
      <c r="S309">
        <f t="shared" si="968"/>
        <v>339602.58008073037</v>
      </c>
      <c r="T309">
        <f t="shared" si="969"/>
        <v>339.60258008073038</v>
      </c>
    </row>
    <row r="310" spans="1:20" x14ac:dyDescent="0.25">
      <c r="A310" s="5">
        <v>44283</v>
      </c>
      <c r="B310">
        <v>1.1764600000000001</v>
      </c>
      <c r="C310">
        <v>1.22</v>
      </c>
      <c r="D310">
        <v>1.1665000000000001</v>
      </c>
      <c r="E310">
        <v>1.1898299999999999</v>
      </c>
      <c r="F310">
        <v>199736804.59999999</v>
      </c>
      <c r="G310">
        <v>1.1399999999999999</v>
      </c>
      <c r="L310" t="s">
        <v>7</v>
      </c>
      <c r="M310" t="s">
        <v>8</v>
      </c>
      <c r="N310" t="s">
        <v>7</v>
      </c>
      <c r="P310">
        <f t="shared" si="965"/>
        <v>-0.12785046728972327</v>
      </c>
      <c r="Q310">
        <f t="shared" si="966"/>
        <v>-25536443.803066146</v>
      </c>
      <c r="R310">
        <f t="shared" si="967"/>
        <v>33975547562.296864</v>
      </c>
      <c r="S310">
        <f t="shared" si="968"/>
        <v>339755.47562296863</v>
      </c>
      <c r="T310">
        <f t="shared" si="969"/>
        <v>339.75547562296862</v>
      </c>
    </row>
    <row r="311" spans="1:20" x14ac:dyDescent="0.25">
      <c r="A311" s="5">
        <v>44282</v>
      </c>
      <c r="B311">
        <v>1.2141900000000001</v>
      </c>
      <c r="C311">
        <v>1.2388999999999999</v>
      </c>
      <c r="D311">
        <v>1.1562300000000001</v>
      </c>
      <c r="E311">
        <v>1.1767799999999999</v>
      </c>
      <c r="F311">
        <v>270954337.69999999</v>
      </c>
      <c r="G311">
        <v>-3.08</v>
      </c>
      <c r="L311" t="s">
        <v>7</v>
      </c>
      <c r="M311" t="s">
        <v>8</v>
      </c>
      <c r="N311" t="s">
        <v>7</v>
      </c>
      <c r="P311">
        <f t="shared" si="965"/>
        <v>-0.50284262731341733</v>
      </c>
      <c r="Q311">
        <f t="shared" si="966"/>
        <v>-136247391.05103493</v>
      </c>
      <c r="R311">
        <f t="shared" si="967"/>
        <v>34001084006.09993</v>
      </c>
      <c r="S311">
        <f t="shared" si="968"/>
        <v>340010.84006099933</v>
      </c>
      <c r="T311">
        <f t="shared" si="969"/>
        <v>340.01084006099933</v>
      </c>
    </row>
    <row r="312" spans="1:20" x14ac:dyDescent="0.25">
      <c r="A312" s="5">
        <v>44281</v>
      </c>
      <c r="B312">
        <v>1.09596</v>
      </c>
      <c r="C312">
        <v>1.28755</v>
      </c>
      <c r="D312">
        <v>1.09426</v>
      </c>
      <c r="E312">
        <v>1.2141999999999999</v>
      </c>
      <c r="F312">
        <v>671982901</v>
      </c>
      <c r="G312">
        <v>10.79</v>
      </c>
      <c r="L312" t="s">
        <v>8</v>
      </c>
      <c r="M312" t="s">
        <v>8</v>
      </c>
      <c r="N312" t="s">
        <v>7</v>
      </c>
      <c r="P312">
        <f t="shared" si="965"/>
        <v>0.24103678410678214</v>
      </c>
      <c r="Q312">
        <f t="shared" si="966"/>
        <v>161972597.43178615</v>
      </c>
      <c r="R312">
        <f t="shared" si="967"/>
        <v>34137331397.150963</v>
      </c>
      <c r="S312">
        <f t="shared" si="968"/>
        <v>341373.31397150963</v>
      </c>
      <c r="T312">
        <f t="shared" si="969"/>
        <v>341.37331397150962</v>
      </c>
    </row>
    <row r="313" spans="1:20" x14ac:dyDescent="0.25">
      <c r="A313" s="5">
        <v>44280</v>
      </c>
      <c r="B313">
        <v>1.0687899999999999</v>
      </c>
      <c r="C313">
        <v>1.1535</v>
      </c>
      <c r="D313">
        <v>1.0458400000000001</v>
      </c>
      <c r="E313">
        <v>1.0955999999999999</v>
      </c>
      <c r="F313">
        <v>527623538.80000001</v>
      </c>
      <c r="G313">
        <v>2.5099999999999998</v>
      </c>
      <c r="L313" t="s">
        <v>8</v>
      </c>
      <c r="M313" t="s">
        <v>7</v>
      </c>
      <c r="N313" t="s">
        <v>7</v>
      </c>
      <c r="P313">
        <f t="shared" si="965"/>
        <v>-7.5608396804758199E-2</v>
      </c>
      <c r="Q313">
        <f t="shared" si="966"/>
        <v>-39892769.885121137</v>
      </c>
      <c r="R313">
        <f t="shared" si="967"/>
        <v>33975358799.719177</v>
      </c>
      <c r="S313">
        <f t="shared" si="968"/>
        <v>339753.58799719176</v>
      </c>
      <c r="T313">
        <f t="shared" si="969"/>
        <v>339.75358799719174</v>
      </c>
    </row>
    <row r="314" spans="1:20" x14ac:dyDescent="0.25">
      <c r="A314" s="5">
        <v>44279</v>
      </c>
      <c r="B314">
        <v>1.1156299999999999</v>
      </c>
      <c r="C314">
        <v>1.1638999999999999</v>
      </c>
      <c r="D314">
        <v>1.038</v>
      </c>
      <c r="E314">
        <v>1.0690200000000001</v>
      </c>
      <c r="F314">
        <v>354915791.19999999</v>
      </c>
      <c r="G314">
        <v>-4.18</v>
      </c>
      <c r="L314" t="s">
        <v>7</v>
      </c>
      <c r="M314" t="s">
        <v>7</v>
      </c>
      <c r="N314" t="s">
        <v>7</v>
      </c>
      <c r="P314">
        <f t="shared" si="965"/>
        <v>-0.50722795869737769</v>
      </c>
      <c r="Q314">
        <f t="shared" si="966"/>
        <v>-180023212.27984071</v>
      </c>
      <c r="R314">
        <f t="shared" si="967"/>
        <v>34015251569.604298</v>
      </c>
      <c r="S314">
        <f t="shared" si="968"/>
        <v>340152.51569604297</v>
      </c>
      <c r="T314">
        <f t="shared" si="969"/>
        <v>340.152515696043</v>
      </c>
    </row>
    <row r="315" spans="1:20" x14ac:dyDescent="0.25">
      <c r="A315" s="5">
        <v>44278</v>
      </c>
      <c r="B315">
        <v>1.1014999999999999</v>
      </c>
      <c r="C315">
        <v>1.1738999999999999</v>
      </c>
      <c r="D315">
        <v>1.08145</v>
      </c>
      <c r="E315">
        <v>1.11639</v>
      </c>
      <c r="F315">
        <v>371967713.80000001</v>
      </c>
      <c r="G315">
        <v>1.35</v>
      </c>
      <c r="L315" t="s">
        <v>8</v>
      </c>
      <c r="M315" t="s">
        <v>7</v>
      </c>
      <c r="N315" t="s">
        <v>7</v>
      </c>
      <c r="P315">
        <f t="shared" si="965"/>
        <v>-0.24413196322336397</v>
      </c>
      <c r="Q315">
        <f t="shared" si="966"/>
        <v>-90809208.225700378</v>
      </c>
      <c r="R315">
        <f t="shared" si="967"/>
        <v>34195274781.88414</v>
      </c>
      <c r="S315">
        <f t="shared" si="968"/>
        <v>341952.74781884142</v>
      </c>
      <c r="T315">
        <f t="shared" si="969"/>
        <v>341.95274781884143</v>
      </c>
    </row>
    <row r="316" spans="1:20" x14ac:dyDescent="0.25">
      <c r="A316" s="5">
        <v>44277</v>
      </c>
      <c r="B316">
        <v>1.1856100000000001</v>
      </c>
      <c r="C316">
        <v>1.2078199999999999</v>
      </c>
      <c r="D316">
        <v>1.0669999999999999</v>
      </c>
      <c r="E316">
        <v>1.1014999999999999</v>
      </c>
      <c r="F316">
        <v>384255570.10000002</v>
      </c>
      <c r="G316">
        <v>-7.09</v>
      </c>
      <c r="L316" t="s">
        <v>7</v>
      </c>
      <c r="M316" t="s">
        <v>7</v>
      </c>
      <c r="N316" t="s">
        <v>7</v>
      </c>
      <c r="P316">
        <f t="shared" si="965"/>
        <v>-0.51001278227524516</v>
      </c>
      <c r="Q316">
        <f t="shared" si="966"/>
        <v>-195975252.4114615</v>
      </c>
      <c r="R316">
        <f t="shared" si="967"/>
        <v>34286083990.10984</v>
      </c>
      <c r="S316">
        <f t="shared" si="968"/>
        <v>342860.8399010984</v>
      </c>
      <c r="T316">
        <f t="shared" si="969"/>
        <v>342.86083990109842</v>
      </c>
    </row>
    <row r="317" spans="1:20" x14ac:dyDescent="0.25">
      <c r="A317" s="5">
        <v>44276</v>
      </c>
      <c r="B317">
        <v>1.20048</v>
      </c>
      <c r="C317">
        <v>1.24139</v>
      </c>
      <c r="D317">
        <v>1.1599999999999999</v>
      </c>
      <c r="E317">
        <v>1.1856100000000001</v>
      </c>
      <c r="F317">
        <v>305630409.80000001</v>
      </c>
      <c r="G317">
        <v>-1.24</v>
      </c>
      <c r="L317" t="s">
        <v>7</v>
      </c>
      <c r="M317" t="s">
        <v>7</v>
      </c>
      <c r="N317" t="s">
        <v>8</v>
      </c>
      <c r="P317">
        <f t="shared" si="965"/>
        <v>-0.37068435925789139</v>
      </c>
      <c r="Q317">
        <f t="shared" si="966"/>
        <v>-113292412.62643978</v>
      </c>
      <c r="R317">
        <f t="shared" si="967"/>
        <v>34482059242.521301</v>
      </c>
      <c r="S317">
        <f t="shared" si="968"/>
        <v>344820.59242521302</v>
      </c>
      <c r="T317">
        <f t="shared" si="969"/>
        <v>344.82059242521302</v>
      </c>
    </row>
    <row r="318" spans="1:20" x14ac:dyDescent="0.25">
      <c r="A318" s="5">
        <v>44275</v>
      </c>
      <c r="B318">
        <v>1.2949900000000001</v>
      </c>
      <c r="C318">
        <v>1.3097399999999999</v>
      </c>
      <c r="D318">
        <v>1.1997800000000001</v>
      </c>
      <c r="E318">
        <v>1.2004600000000001</v>
      </c>
      <c r="F318">
        <v>401638128.10000002</v>
      </c>
      <c r="G318">
        <v>-7.3</v>
      </c>
      <c r="L318" t="s">
        <v>8</v>
      </c>
      <c r="M318" t="s">
        <v>7</v>
      </c>
      <c r="N318" t="s">
        <v>8</v>
      </c>
      <c r="P318">
        <f t="shared" si="965"/>
        <v>-0.98763186613313902</v>
      </c>
      <c r="Q318">
        <f t="shared" si="966"/>
        <v>-396670613.9656238</v>
      </c>
      <c r="R318">
        <f t="shared" si="967"/>
        <v>34595351655.147743</v>
      </c>
      <c r="S318">
        <f t="shared" si="968"/>
        <v>345953.51655147743</v>
      </c>
      <c r="T318">
        <f t="shared" si="969"/>
        <v>345.95351655147743</v>
      </c>
    </row>
    <row r="319" spans="1:20" x14ac:dyDescent="0.25">
      <c r="A319" s="5">
        <v>44274</v>
      </c>
      <c r="B319">
        <v>1.22966</v>
      </c>
      <c r="C319">
        <v>1.3428599999999999</v>
      </c>
      <c r="D319">
        <v>1.1800299999999999</v>
      </c>
      <c r="E319">
        <v>1.29474</v>
      </c>
      <c r="F319">
        <v>812311179.70000005</v>
      </c>
      <c r="G319">
        <v>5.29</v>
      </c>
      <c r="L319" t="s">
        <v>7</v>
      </c>
      <c r="M319" t="s">
        <v>7</v>
      </c>
      <c r="N319" t="s">
        <v>8</v>
      </c>
      <c r="P319">
        <f t="shared" si="965"/>
        <v>0.40895412393293701</v>
      </c>
      <c r="Q319">
        <f t="shared" si="966"/>
        <v>332198006.85514408</v>
      </c>
      <c r="R319">
        <f t="shared" si="967"/>
        <v>34992022269.113365</v>
      </c>
      <c r="S319">
        <f t="shared" si="968"/>
        <v>349920.22269113368</v>
      </c>
      <c r="T319">
        <f t="shared" si="969"/>
        <v>349.92022269113369</v>
      </c>
    </row>
    <row r="320" spans="1:20" x14ac:dyDescent="0.25">
      <c r="A320" s="5">
        <v>44273</v>
      </c>
      <c r="B320">
        <v>1.3774999999999999</v>
      </c>
      <c r="C320">
        <v>1.47299</v>
      </c>
      <c r="D320">
        <v>1.2215400000000001</v>
      </c>
      <c r="E320">
        <v>1.22925</v>
      </c>
      <c r="F320">
        <v>1446280469.0999999</v>
      </c>
      <c r="G320">
        <v>-10.76</v>
      </c>
      <c r="L320" t="s">
        <v>8</v>
      </c>
      <c r="M320" t="s">
        <v>8</v>
      </c>
      <c r="N320" t="s">
        <v>8</v>
      </c>
      <c r="P320">
        <f t="shared" si="965"/>
        <v>-0.93867568104991139</v>
      </c>
      <c r="Q320">
        <f t="shared" si="966"/>
        <v>-1357588304.3216279</v>
      </c>
      <c r="R320">
        <f t="shared" si="967"/>
        <v>34659824262.258224</v>
      </c>
      <c r="S320">
        <f t="shared" si="968"/>
        <v>346598.24262258224</v>
      </c>
      <c r="T320">
        <f t="shared" si="969"/>
        <v>346.59824262258223</v>
      </c>
    </row>
    <row r="321" spans="1:20" x14ac:dyDescent="0.25">
      <c r="A321" s="5">
        <v>44272</v>
      </c>
      <c r="B321">
        <v>1.2497400000000001</v>
      </c>
      <c r="C321">
        <v>1.43</v>
      </c>
      <c r="D321">
        <v>1.20353</v>
      </c>
      <c r="E321">
        <v>1.377</v>
      </c>
      <c r="F321">
        <v>1094860557.7</v>
      </c>
      <c r="G321">
        <v>10.18</v>
      </c>
      <c r="L321" t="s">
        <v>8</v>
      </c>
      <c r="M321" t="s">
        <v>8</v>
      </c>
      <c r="N321" t="s">
        <v>8</v>
      </c>
      <c r="P321">
        <f t="shared" si="965"/>
        <v>0.53194683622554906</v>
      </c>
      <c r="Q321">
        <f t="shared" si="966"/>
        <v>582407609.7766552</v>
      </c>
      <c r="R321">
        <f t="shared" si="967"/>
        <v>36017412566.579849</v>
      </c>
      <c r="S321">
        <f t="shared" si="968"/>
        <v>360174.12566579849</v>
      </c>
      <c r="T321">
        <f t="shared" si="969"/>
        <v>360.1741256657985</v>
      </c>
    </row>
    <row r="322" spans="1:20" x14ac:dyDescent="0.25">
      <c r="A322" s="5">
        <v>44271</v>
      </c>
      <c r="B322">
        <v>1.03071</v>
      </c>
      <c r="C322">
        <v>1.28</v>
      </c>
      <c r="D322">
        <v>1</v>
      </c>
      <c r="E322">
        <v>1.2492399999999999</v>
      </c>
      <c r="F322">
        <v>1248716359.0999999</v>
      </c>
      <c r="G322">
        <v>21.2</v>
      </c>
      <c r="L322" t="s">
        <v>8</v>
      </c>
      <c r="M322" t="s">
        <v>8</v>
      </c>
      <c r="N322" t="s">
        <v>7</v>
      </c>
      <c r="P322">
        <f t="shared" si="965"/>
        <v>0.78028571428571347</v>
      </c>
      <c r="Q322">
        <f t="shared" si="966"/>
        <v>974355536.20059896</v>
      </c>
      <c r="R322">
        <f t="shared" si="967"/>
        <v>35435004956.803192</v>
      </c>
      <c r="S322">
        <f t="shared" si="968"/>
        <v>354350.04956803191</v>
      </c>
      <c r="T322">
        <f t="shared" si="969"/>
        <v>354.35004956803192</v>
      </c>
    </row>
    <row r="323" spans="1:20" x14ac:dyDescent="0.25">
      <c r="A323" s="5">
        <v>44270</v>
      </c>
      <c r="B323">
        <v>1.0524100000000001</v>
      </c>
      <c r="C323">
        <v>1.0707800000000001</v>
      </c>
      <c r="D323">
        <v>1.0000100000000001</v>
      </c>
      <c r="E323">
        <v>1.0310299999999999</v>
      </c>
      <c r="F323">
        <v>400978353.10000002</v>
      </c>
      <c r="G323">
        <v>-2.0299999999999998</v>
      </c>
      <c r="L323" t="s">
        <v>7</v>
      </c>
      <c r="M323" t="s">
        <v>7</v>
      </c>
      <c r="N323" t="s">
        <v>7</v>
      </c>
      <c r="P323">
        <f t="shared" si="965"/>
        <v>-0.12335735481136567</v>
      </c>
      <c r="Q323">
        <f t="shared" si="966"/>
        <v>-49463628.975033768</v>
      </c>
      <c r="R323">
        <f t="shared" si="967"/>
        <v>34460649420.602592</v>
      </c>
      <c r="S323">
        <f t="shared" si="968"/>
        <v>344606.49420602591</v>
      </c>
      <c r="T323">
        <f t="shared" si="969"/>
        <v>344.6064942060259</v>
      </c>
    </row>
    <row r="324" spans="1:20" x14ac:dyDescent="0.25">
      <c r="A324" s="5">
        <v>44269</v>
      </c>
      <c r="B324">
        <v>1.10016</v>
      </c>
      <c r="C324">
        <v>1.1026499999999999</v>
      </c>
      <c r="D324">
        <v>1.0519000000000001</v>
      </c>
      <c r="E324">
        <v>1.05243</v>
      </c>
      <c r="F324">
        <v>304362465.69999999</v>
      </c>
      <c r="G324">
        <v>-4.34</v>
      </c>
      <c r="L324" t="s">
        <v>8</v>
      </c>
      <c r="M324" t="s">
        <v>7</v>
      </c>
      <c r="N324" t="s">
        <v>7</v>
      </c>
      <c r="P324">
        <f t="shared" si="965"/>
        <v>-0.97911330049261391</v>
      </c>
      <c r="Q324">
        <f t="shared" si="966"/>
        <v>-298005338.33759701</v>
      </c>
      <c r="R324">
        <f t="shared" si="967"/>
        <v>34510113049.577629</v>
      </c>
      <c r="S324">
        <f t="shared" si="968"/>
        <v>345101.13049577631</v>
      </c>
      <c r="T324">
        <f t="shared" si="969"/>
        <v>345.10113049577632</v>
      </c>
    </row>
    <row r="325" spans="1:20" x14ac:dyDescent="0.25">
      <c r="A325" s="5">
        <v>44268</v>
      </c>
      <c r="B325">
        <v>1.03207</v>
      </c>
      <c r="C325">
        <v>1.1930000000000001</v>
      </c>
      <c r="D325">
        <v>0.98499999999999999</v>
      </c>
      <c r="E325">
        <v>1.1000000000000001</v>
      </c>
      <c r="F325">
        <v>643811025.39999998</v>
      </c>
      <c r="G325">
        <v>6.58</v>
      </c>
      <c r="L325" t="s">
        <v>7</v>
      </c>
      <c r="M325" t="s">
        <v>7</v>
      </c>
      <c r="N325" t="s">
        <v>7</v>
      </c>
      <c r="P325">
        <f t="shared" si="965"/>
        <v>0.10576923076923136</v>
      </c>
      <c r="Q325">
        <f t="shared" si="966"/>
        <v>68095396.917308077</v>
      </c>
      <c r="R325">
        <f t="shared" si="967"/>
        <v>34808118387.91523</v>
      </c>
      <c r="S325">
        <f t="shared" si="968"/>
        <v>348081.18387915229</v>
      </c>
      <c r="T325">
        <f t="shared" si="969"/>
        <v>348.08118387915226</v>
      </c>
    </row>
    <row r="326" spans="1:20" x14ac:dyDescent="0.25">
      <c r="A326" s="5">
        <v>44267</v>
      </c>
      <c r="B326">
        <v>1.1241699999999999</v>
      </c>
      <c r="C326">
        <v>1.1279999999999999</v>
      </c>
      <c r="D326">
        <v>1.02</v>
      </c>
      <c r="E326">
        <v>1.03207</v>
      </c>
      <c r="F326">
        <v>423021914.39999998</v>
      </c>
      <c r="G326">
        <v>-8.19</v>
      </c>
      <c r="L326" t="s">
        <v>7</v>
      </c>
      <c r="M326" t="s">
        <v>7</v>
      </c>
      <c r="N326" t="s">
        <v>7</v>
      </c>
      <c r="P326">
        <f t="shared" ref="P326:P389" si="970">IF(C326=D326,0,((E326-D326)-(C326-E326))/(C326-D326))</f>
        <v>-0.77648148148148077</v>
      </c>
      <c r="Q326">
        <f t="shared" ref="Q326:Q389" si="971">F326*P326</f>
        <v>-328468682.79244411</v>
      </c>
      <c r="R326">
        <f t="shared" ref="R326:R389" si="972">R327+Q326</f>
        <v>34740022990.997925</v>
      </c>
      <c r="S326">
        <f t="shared" ref="S326:S389" si="973">R326/100000</f>
        <v>347400.22990997927</v>
      </c>
      <c r="T326">
        <f t="shared" ref="T326:T389" si="974">S326/1000</f>
        <v>347.40022990997926</v>
      </c>
    </row>
    <row r="327" spans="1:20" x14ac:dyDescent="0.25">
      <c r="A327" s="5">
        <v>44266</v>
      </c>
      <c r="B327">
        <v>1.13226</v>
      </c>
      <c r="C327">
        <v>1.1399999999999999</v>
      </c>
      <c r="D327">
        <v>1.1074999999999999</v>
      </c>
      <c r="E327">
        <v>1.1243000000000001</v>
      </c>
      <c r="F327">
        <v>301611714.10000002</v>
      </c>
      <c r="G327">
        <v>-0.7</v>
      </c>
      <c r="L327" t="s">
        <v>7</v>
      </c>
      <c r="M327" t="s">
        <v>8</v>
      </c>
      <c r="N327" t="s">
        <v>7</v>
      </c>
      <c r="P327">
        <f t="shared" si="970"/>
        <v>3.384615384616381E-2</v>
      </c>
      <c r="Q327">
        <f t="shared" si="971"/>
        <v>10208396.477233775</v>
      </c>
      <c r="R327">
        <f t="shared" si="972"/>
        <v>35068491673.790367</v>
      </c>
      <c r="S327">
        <f t="shared" si="973"/>
        <v>350684.91673790367</v>
      </c>
      <c r="T327">
        <f t="shared" si="974"/>
        <v>350.68491673790368</v>
      </c>
    </row>
    <row r="328" spans="1:20" x14ac:dyDescent="0.25">
      <c r="A328" s="5">
        <v>44265</v>
      </c>
      <c r="B328">
        <v>1.1973400000000001</v>
      </c>
      <c r="C328">
        <v>1.208</v>
      </c>
      <c r="D328">
        <v>1.115</v>
      </c>
      <c r="E328">
        <v>1.1326099999999999</v>
      </c>
      <c r="F328">
        <v>384497300.89999998</v>
      </c>
      <c r="G328">
        <v>-5.41</v>
      </c>
      <c r="L328" t="s">
        <v>7</v>
      </c>
      <c r="M328" t="s">
        <v>8</v>
      </c>
      <c r="N328" t="s">
        <v>7</v>
      </c>
      <c r="P328">
        <f t="shared" si="970"/>
        <v>-0.62129032258064709</v>
      </c>
      <c r="Q328">
        <f t="shared" si="971"/>
        <v>-238884452.1075491</v>
      </c>
      <c r="R328">
        <f t="shared" si="972"/>
        <v>35058283277.313133</v>
      </c>
      <c r="S328">
        <f t="shared" si="973"/>
        <v>350582.83277313132</v>
      </c>
      <c r="T328">
        <f t="shared" si="974"/>
        <v>350.58283277313132</v>
      </c>
    </row>
    <row r="329" spans="1:20" x14ac:dyDescent="0.25">
      <c r="A329" s="5">
        <v>44264</v>
      </c>
      <c r="B329">
        <v>1.11836</v>
      </c>
      <c r="C329">
        <v>1.22</v>
      </c>
      <c r="D329">
        <v>1.11083</v>
      </c>
      <c r="E329">
        <v>1.1972</v>
      </c>
      <c r="F329">
        <v>616039069.29999995</v>
      </c>
      <c r="G329">
        <v>7.05</v>
      </c>
      <c r="L329" t="s">
        <v>8</v>
      </c>
      <c r="M329" t="s">
        <v>8</v>
      </c>
      <c r="N329" t="s">
        <v>7</v>
      </c>
      <c r="P329">
        <f t="shared" si="970"/>
        <v>0.58230283044792652</v>
      </c>
      <c r="Q329">
        <f t="shared" si="971"/>
        <v>358721293.71989632</v>
      </c>
      <c r="R329">
        <f t="shared" si="972"/>
        <v>35297167729.420685</v>
      </c>
      <c r="S329">
        <f t="shared" si="973"/>
        <v>352971.67729420686</v>
      </c>
      <c r="T329">
        <f t="shared" si="974"/>
        <v>352.97167729420687</v>
      </c>
    </row>
    <row r="330" spans="1:20" x14ac:dyDescent="0.25">
      <c r="A330" s="5">
        <v>44263</v>
      </c>
      <c r="B330">
        <v>1.13073</v>
      </c>
      <c r="C330">
        <v>1.17835</v>
      </c>
      <c r="D330">
        <v>1.105</v>
      </c>
      <c r="E330">
        <v>1.1184799999999999</v>
      </c>
      <c r="F330">
        <v>398514643.5</v>
      </c>
      <c r="G330">
        <v>-1.08</v>
      </c>
      <c r="L330" t="s">
        <v>8</v>
      </c>
      <c r="M330" t="s">
        <v>7</v>
      </c>
      <c r="N330" t="s">
        <v>7</v>
      </c>
      <c r="P330">
        <f t="shared" si="970"/>
        <v>-0.63244717109747972</v>
      </c>
      <c r="Q330">
        <f t="shared" si="971"/>
        <v>-252039458.92249563</v>
      </c>
      <c r="R330">
        <f t="shared" si="972"/>
        <v>34938446435.70079</v>
      </c>
      <c r="S330">
        <f t="shared" si="973"/>
        <v>349384.46435700788</v>
      </c>
      <c r="T330">
        <f t="shared" si="974"/>
        <v>349.38446435700786</v>
      </c>
    </row>
    <row r="331" spans="1:20" x14ac:dyDescent="0.25">
      <c r="A331" s="5">
        <v>44262</v>
      </c>
      <c r="B331">
        <v>1.1290100000000001</v>
      </c>
      <c r="C331">
        <v>1.145</v>
      </c>
      <c r="D331">
        <v>1.10562</v>
      </c>
      <c r="E331">
        <v>1.13042</v>
      </c>
      <c r="F331">
        <v>324367538.89999998</v>
      </c>
      <c r="G331">
        <v>0.12</v>
      </c>
      <c r="L331" t="s">
        <v>8</v>
      </c>
      <c r="M331" t="s">
        <v>7</v>
      </c>
      <c r="N331" t="s">
        <v>7</v>
      </c>
      <c r="P331">
        <f t="shared" si="970"/>
        <v>0.25952260030472074</v>
      </c>
      <c r="Q331">
        <f t="shared" si="971"/>
        <v>84180707.149770647</v>
      </c>
      <c r="R331">
        <f t="shared" si="972"/>
        <v>35190485894.623283</v>
      </c>
      <c r="S331">
        <f t="shared" si="973"/>
        <v>351904.85894623282</v>
      </c>
      <c r="T331">
        <f t="shared" si="974"/>
        <v>351.90485894623282</v>
      </c>
    </row>
    <row r="332" spans="1:20" x14ac:dyDescent="0.25">
      <c r="A332" s="5">
        <v>44261</v>
      </c>
      <c r="B332">
        <v>1.15907</v>
      </c>
      <c r="C332">
        <v>1.1830000000000001</v>
      </c>
      <c r="D332">
        <v>1.0849299999999999</v>
      </c>
      <c r="E332">
        <v>1.129</v>
      </c>
      <c r="F332">
        <v>394799528.80000001</v>
      </c>
      <c r="G332">
        <v>-2.59</v>
      </c>
      <c r="L332" t="s">
        <v>8</v>
      </c>
      <c r="M332" t="s">
        <v>7</v>
      </c>
      <c r="N332" t="s">
        <v>7</v>
      </c>
      <c r="P332">
        <f t="shared" si="970"/>
        <v>-0.10125420617925955</v>
      </c>
      <c r="Q332">
        <f t="shared" si="971"/>
        <v>-39975112.888589717</v>
      </c>
      <c r="R332">
        <f t="shared" si="972"/>
        <v>35106305187.473511</v>
      </c>
      <c r="S332">
        <f t="shared" si="973"/>
        <v>351063.0518747351</v>
      </c>
      <c r="T332">
        <f t="shared" si="974"/>
        <v>351.06305187473509</v>
      </c>
    </row>
    <row r="333" spans="1:20" x14ac:dyDescent="0.25">
      <c r="A333" s="5">
        <v>44260</v>
      </c>
      <c r="B333">
        <v>1.1126100000000001</v>
      </c>
      <c r="C333">
        <v>1.1972</v>
      </c>
      <c r="D333">
        <v>1.0337400000000001</v>
      </c>
      <c r="E333">
        <v>1.1590800000000001</v>
      </c>
      <c r="F333">
        <v>830654685.10000002</v>
      </c>
      <c r="G333">
        <v>4.18</v>
      </c>
      <c r="L333" t="s">
        <v>7</v>
      </c>
      <c r="M333" t="s">
        <v>7</v>
      </c>
      <c r="N333" t="s">
        <v>7</v>
      </c>
      <c r="P333">
        <f t="shared" si="970"/>
        <v>0.5335861984583391</v>
      </c>
      <c r="Q333">
        <f t="shared" si="971"/>
        <v>443225875.65411776</v>
      </c>
      <c r="R333">
        <f t="shared" si="972"/>
        <v>35146280300.362099</v>
      </c>
      <c r="S333">
        <f t="shared" si="973"/>
        <v>351462.803003621</v>
      </c>
      <c r="T333">
        <f t="shared" si="974"/>
        <v>351.46280300362099</v>
      </c>
    </row>
    <row r="334" spans="1:20" x14ac:dyDescent="0.25">
      <c r="A334" s="5">
        <v>44259</v>
      </c>
      <c r="B334">
        <v>1.21315</v>
      </c>
      <c r="C334">
        <v>1.2305200000000001</v>
      </c>
      <c r="D334">
        <v>1.0669500000000001</v>
      </c>
      <c r="E334">
        <v>1.11239</v>
      </c>
      <c r="F334">
        <v>748035034.29999995</v>
      </c>
      <c r="G334">
        <v>-8.31</v>
      </c>
      <c r="L334" t="s">
        <v>7</v>
      </c>
      <c r="M334" t="s">
        <v>7</v>
      </c>
      <c r="N334" t="s">
        <v>7</v>
      </c>
      <c r="P334">
        <f t="shared" si="970"/>
        <v>-0.44439689429602097</v>
      </c>
      <c r="Q334">
        <f t="shared" si="971"/>
        <v>-332424446.06753749</v>
      </c>
      <c r="R334">
        <f t="shared" si="972"/>
        <v>34703054424.707977</v>
      </c>
      <c r="S334">
        <f t="shared" si="973"/>
        <v>347030.54424707976</v>
      </c>
      <c r="T334">
        <f t="shared" si="974"/>
        <v>347.03054424707977</v>
      </c>
    </row>
    <row r="335" spans="1:20" x14ac:dyDescent="0.25">
      <c r="A335" s="5">
        <v>44258</v>
      </c>
      <c r="B335">
        <v>1.22281</v>
      </c>
      <c r="C335">
        <v>1.2663599999999999</v>
      </c>
      <c r="D335">
        <v>1.20865</v>
      </c>
      <c r="E335">
        <v>1.2131099999999999</v>
      </c>
      <c r="F335">
        <v>454913445.30000001</v>
      </c>
      <c r="G335">
        <v>-0.79</v>
      </c>
      <c r="L335" t="s">
        <v>7</v>
      </c>
      <c r="M335" t="s">
        <v>8</v>
      </c>
      <c r="N335" t="s">
        <v>8</v>
      </c>
      <c r="P335">
        <f t="shared" si="970"/>
        <v>-0.84543406688615785</v>
      </c>
      <c r="Q335">
        <f t="shared" si="971"/>
        <v>-384599324.14117271</v>
      </c>
      <c r="R335">
        <f t="shared" si="972"/>
        <v>35035478870.775513</v>
      </c>
      <c r="S335">
        <f t="shared" si="973"/>
        <v>350354.7887077551</v>
      </c>
      <c r="T335">
        <f t="shared" si="974"/>
        <v>350.35478870775512</v>
      </c>
    </row>
    <row r="336" spans="1:20" x14ac:dyDescent="0.25">
      <c r="A336" s="5">
        <v>44257</v>
      </c>
      <c r="B336">
        <v>1.29678</v>
      </c>
      <c r="C336">
        <v>1.2999799999999999</v>
      </c>
      <c r="D336">
        <v>1.18</v>
      </c>
      <c r="E336">
        <v>1.2228000000000001</v>
      </c>
      <c r="F336">
        <v>753904502.89999998</v>
      </c>
      <c r="G336">
        <v>-5.7</v>
      </c>
      <c r="L336" t="s">
        <v>7</v>
      </c>
      <c r="M336" t="s">
        <v>8</v>
      </c>
      <c r="N336" t="s">
        <v>8</v>
      </c>
      <c r="P336">
        <f t="shared" si="970"/>
        <v>-0.28654775795965692</v>
      </c>
      <c r="Q336">
        <f t="shared" si="971"/>
        <v>-216029645.02168468</v>
      </c>
      <c r="R336">
        <f t="shared" si="972"/>
        <v>35420078194.916687</v>
      </c>
      <c r="S336">
        <f t="shared" si="973"/>
        <v>354200.78194916685</v>
      </c>
      <c r="T336">
        <f t="shared" si="974"/>
        <v>354.20078194916687</v>
      </c>
    </row>
    <row r="337" spans="1:20" x14ac:dyDescent="0.25">
      <c r="A337" s="5">
        <v>44256</v>
      </c>
      <c r="B337">
        <v>1.3127899999999999</v>
      </c>
      <c r="C337">
        <v>1.3480000000000001</v>
      </c>
      <c r="D337">
        <v>1.2313099999999999</v>
      </c>
      <c r="E337">
        <v>1.29627</v>
      </c>
      <c r="F337">
        <v>984011920.20000005</v>
      </c>
      <c r="G337">
        <v>-1.26</v>
      </c>
      <c r="L337" t="s">
        <v>8</v>
      </c>
      <c r="M337" t="s">
        <v>8</v>
      </c>
      <c r="N337" t="s">
        <v>8</v>
      </c>
      <c r="P337">
        <f t="shared" si="970"/>
        <v>0.11337732453509344</v>
      </c>
      <c r="Q337">
        <f t="shared" si="971"/>
        <v>111564638.82291588</v>
      </c>
      <c r="R337">
        <f t="shared" si="972"/>
        <v>35636107839.93837</v>
      </c>
      <c r="S337">
        <f t="shared" si="973"/>
        <v>356361.0783993837</v>
      </c>
      <c r="T337">
        <f t="shared" si="974"/>
        <v>356.3610783993837</v>
      </c>
    </row>
    <row r="338" spans="1:20" x14ac:dyDescent="0.25">
      <c r="A338" s="5">
        <v>44255</v>
      </c>
      <c r="B338">
        <v>1.3140000000000001</v>
      </c>
      <c r="C338">
        <v>1.3594999999999999</v>
      </c>
      <c r="D338">
        <v>1.1539999999999999</v>
      </c>
      <c r="E338">
        <v>1.31203</v>
      </c>
      <c r="F338">
        <v>1599172340.3</v>
      </c>
      <c r="G338">
        <v>-0.15</v>
      </c>
      <c r="L338" t="s">
        <v>7</v>
      </c>
      <c r="M338" t="s">
        <v>7</v>
      </c>
      <c r="N338" t="s">
        <v>8</v>
      </c>
      <c r="P338">
        <f t="shared" si="970"/>
        <v>0.53800486618004961</v>
      </c>
      <c r="Q338">
        <f t="shared" si="971"/>
        <v>860362500.94193828</v>
      </c>
      <c r="R338">
        <f t="shared" si="972"/>
        <v>35524543201.115456</v>
      </c>
      <c r="S338">
        <f t="shared" si="973"/>
        <v>355245.43201115454</v>
      </c>
      <c r="T338">
        <f t="shared" si="974"/>
        <v>355.24543201115455</v>
      </c>
    </row>
    <row r="339" spans="1:20" x14ac:dyDescent="0.25">
      <c r="A339" s="5">
        <v>44254</v>
      </c>
      <c r="B339">
        <v>1.24353</v>
      </c>
      <c r="C339">
        <v>1.488</v>
      </c>
      <c r="D339">
        <v>1.2271000000000001</v>
      </c>
      <c r="E339">
        <v>1.31402</v>
      </c>
      <c r="F339">
        <v>1994359638.5</v>
      </c>
      <c r="G339">
        <v>5.67</v>
      </c>
      <c r="L339" t="s">
        <v>8</v>
      </c>
      <c r="M339" t="s">
        <v>8</v>
      </c>
      <c r="N339" t="s">
        <v>8</v>
      </c>
      <c r="P339">
        <f t="shared" si="970"/>
        <v>-0.33369106937524018</v>
      </c>
      <c r="Q339">
        <f t="shared" si="971"/>
        <v>-665500000.48988247</v>
      </c>
      <c r="R339">
        <f t="shared" si="972"/>
        <v>34664180700.173515</v>
      </c>
      <c r="S339">
        <f t="shared" si="973"/>
        <v>346641.80700173514</v>
      </c>
      <c r="T339">
        <f t="shared" si="974"/>
        <v>346.64180700173512</v>
      </c>
    </row>
    <row r="340" spans="1:20" x14ac:dyDescent="0.25">
      <c r="A340" s="5">
        <v>44253</v>
      </c>
      <c r="B340">
        <v>1.0768800000000001</v>
      </c>
      <c r="C340">
        <v>1.298</v>
      </c>
      <c r="D340">
        <v>0.99</v>
      </c>
      <c r="E340">
        <v>1.2430300000000001</v>
      </c>
      <c r="F340">
        <v>1805727721.5</v>
      </c>
      <c r="G340">
        <v>15.43</v>
      </c>
      <c r="L340" t="s">
        <v>8</v>
      </c>
      <c r="M340" t="s">
        <v>8</v>
      </c>
      <c r="N340" t="s">
        <v>8</v>
      </c>
      <c r="P340">
        <f t="shared" si="970"/>
        <v>0.64305194805194832</v>
      </c>
      <c r="Q340">
        <f t="shared" si="971"/>
        <v>1161176728.9619811</v>
      </c>
      <c r="R340">
        <f t="shared" si="972"/>
        <v>35329680700.663399</v>
      </c>
      <c r="S340">
        <f t="shared" si="973"/>
        <v>353296.80700663402</v>
      </c>
      <c r="T340">
        <f t="shared" si="974"/>
        <v>353.29680700663403</v>
      </c>
    </row>
    <row r="341" spans="1:20" x14ac:dyDescent="0.25">
      <c r="A341" s="5">
        <v>44252</v>
      </c>
      <c r="B341">
        <v>1.0488299999999999</v>
      </c>
      <c r="C341">
        <v>1.177</v>
      </c>
      <c r="D341">
        <v>1.012</v>
      </c>
      <c r="E341">
        <v>1.07691</v>
      </c>
      <c r="F341">
        <v>961855836.20000005</v>
      </c>
      <c r="G341">
        <v>2.68</v>
      </c>
      <c r="L341" t="s">
        <v>8</v>
      </c>
      <c r="M341" t="s">
        <v>8</v>
      </c>
      <c r="N341" t="s">
        <v>8</v>
      </c>
      <c r="P341">
        <f t="shared" si="970"/>
        <v>-0.2132121212121211</v>
      </c>
      <c r="Q341">
        <f t="shared" si="971"/>
        <v>-205079323.13646051</v>
      </c>
      <c r="R341">
        <f t="shared" si="972"/>
        <v>34168503971.701416</v>
      </c>
      <c r="S341">
        <f t="shared" si="973"/>
        <v>341685.03971701418</v>
      </c>
      <c r="T341">
        <f t="shared" si="974"/>
        <v>341.68503971701421</v>
      </c>
    </row>
    <row r="342" spans="1:20" x14ac:dyDescent="0.25">
      <c r="A342" s="5">
        <v>44251</v>
      </c>
      <c r="B342">
        <v>0.96135999999999999</v>
      </c>
      <c r="C342">
        <v>1.077</v>
      </c>
      <c r="D342">
        <v>0.89780000000000004</v>
      </c>
      <c r="E342">
        <v>1.0490200000000001</v>
      </c>
      <c r="F342">
        <v>946049063.29999995</v>
      </c>
      <c r="G342">
        <v>9.1199999999999992</v>
      </c>
      <c r="L342" t="s">
        <v>8</v>
      </c>
      <c r="M342" t="s">
        <v>8</v>
      </c>
      <c r="N342" t="s">
        <v>7</v>
      </c>
      <c r="P342">
        <f t="shared" si="970"/>
        <v>0.68772321428571537</v>
      </c>
      <c r="Q342">
        <f t="shared" si="971"/>
        <v>650619902.68466616</v>
      </c>
      <c r="R342">
        <f t="shared" si="972"/>
        <v>34373583294.837875</v>
      </c>
      <c r="S342">
        <f t="shared" si="973"/>
        <v>343735.83294837875</v>
      </c>
      <c r="T342">
        <f t="shared" si="974"/>
        <v>343.73583294837874</v>
      </c>
    </row>
    <row r="343" spans="1:20" x14ac:dyDescent="0.25">
      <c r="A343" s="5">
        <v>44250</v>
      </c>
      <c r="B343">
        <v>1.09728</v>
      </c>
      <c r="C343">
        <v>1.1419999999999999</v>
      </c>
      <c r="D343">
        <v>0.81</v>
      </c>
      <c r="E343">
        <v>0.96196999999999999</v>
      </c>
      <c r="F343">
        <v>1625220448.7</v>
      </c>
      <c r="G343">
        <v>-12.33</v>
      </c>
      <c r="L343" t="s">
        <v>7</v>
      </c>
      <c r="M343" t="s">
        <v>7</v>
      </c>
      <c r="N343" t="s">
        <v>7</v>
      </c>
      <c r="P343">
        <f t="shared" si="970"/>
        <v>-8.4518072289156587E-2</v>
      </c>
      <c r="Q343">
        <f t="shared" si="971"/>
        <v>-137360499.3690421</v>
      </c>
      <c r="R343">
        <f t="shared" si="972"/>
        <v>33722963392.153206</v>
      </c>
      <c r="S343">
        <f t="shared" si="973"/>
        <v>337229.63392153208</v>
      </c>
      <c r="T343">
        <f t="shared" si="974"/>
        <v>337.22963392153207</v>
      </c>
    </row>
    <row r="344" spans="1:20" x14ac:dyDescent="0.25">
      <c r="A344" s="5">
        <v>44249</v>
      </c>
      <c r="B344">
        <v>1.09955</v>
      </c>
      <c r="C344">
        <v>1.1459999999999999</v>
      </c>
      <c r="D344">
        <v>0.83099999999999996</v>
      </c>
      <c r="E344">
        <v>1.0970299999999999</v>
      </c>
      <c r="F344">
        <v>1333970209.0999999</v>
      </c>
      <c r="G344">
        <v>-0.23</v>
      </c>
      <c r="L344" t="s">
        <v>7</v>
      </c>
      <c r="M344" t="s">
        <v>7</v>
      </c>
      <c r="N344" t="s">
        <v>8</v>
      </c>
      <c r="P344">
        <f t="shared" si="970"/>
        <v>0.68907936507936529</v>
      </c>
      <c r="Q344">
        <f t="shared" si="971"/>
        <v>919211344.72141612</v>
      </c>
      <c r="R344">
        <f t="shared" si="972"/>
        <v>33860323891.522247</v>
      </c>
      <c r="S344">
        <f t="shared" si="973"/>
        <v>338603.23891522246</v>
      </c>
      <c r="T344">
        <f t="shared" si="974"/>
        <v>338.60323891522245</v>
      </c>
    </row>
    <row r="345" spans="1:20" x14ac:dyDescent="0.25">
      <c r="A345" s="5">
        <v>44248</v>
      </c>
      <c r="B345">
        <v>1.1155999999999999</v>
      </c>
      <c r="C345">
        <v>1.1517200000000001</v>
      </c>
      <c r="D345">
        <v>1.0674999999999999</v>
      </c>
      <c r="E345">
        <v>1.09894</v>
      </c>
      <c r="F345">
        <v>636265765.20000005</v>
      </c>
      <c r="G345">
        <v>-1.49</v>
      </c>
      <c r="L345" t="s">
        <v>7</v>
      </c>
      <c r="M345" t="s">
        <v>8</v>
      </c>
      <c r="N345" t="s">
        <v>8</v>
      </c>
      <c r="P345">
        <f t="shared" si="970"/>
        <v>-0.25338399430063963</v>
      </c>
      <c r="Q345">
        <f t="shared" si="971"/>
        <v>-161219561.02312893</v>
      </c>
      <c r="R345">
        <f t="shared" si="972"/>
        <v>32941112546.800831</v>
      </c>
      <c r="S345">
        <f t="shared" si="973"/>
        <v>329411.12546800834</v>
      </c>
      <c r="T345">
        <f t="shared" si="974"/>
        <v>329.41112546800832</v>
      </c>
    </row>
    <row r="346" spans="1:20" x14ac:dyDescent="0.25">
      <c r="A346" s="5">
        <v>44247</v>
      </c>
      <c r="B346">
        <v>0.92596999999999996</v>
      </c>
      <c r="C346">
        <v>1.2</v>
      </c>
      <c r="D346">
        <v>0.91329000000000005</v>
      </c>
      <c r="E346">
        <v>1.11568</v>
      </c>
      <c r="F346">
        <v>1480541916.53</v>
      </c>
      <c r="G346">
        <v>20.49</v>
      </c>
      <c r="L346" t="s">
        <v>8</v>
      </c>
      <c r="M346" t="s">
        <v>8</v>
      </c>
      <c r="N346" t="s">
        <v>8</v>
      </c>
      <c r="P346">
        <f t="shared" si="970"/>
        <v>0.41180984269819693</v>
      </c>
      <c r="Q346">
        <f t="shared" si="971"/>
        <v>609701733.75430632</v>
      </c>
      <c r="R346">
        <f t="shared" si="972"/>
        <v>33102332107.823959</v>
      </c>
      <c r="S346">
        <f t="shared" si="973"/>
        <v>331023.32107823959</v>
      </c>
      <c r="T346">
        <f t="shared" si="974"/>
        <v>331.02332107823958</v>
      </c>
    </row>
    <row r="347" spans="1:20" x14ac:dyDescent="0.25">
      <c r="A347" s="5">
        <v>44246</v>
      </c>
      <c r="B347">
        <v>0.91432999999999998</v>
      </c>
      <c r="C347">
        <v>0.9456</v>
      </c>
      <c r="D347">
        <v>0.87851000000000001</v>
      </c>
      <c r="E347">
        <v>0.92581000000000002</v>
      </c>
      <c r="F347">
        <v>547803715.79999995</v>
      </c>
      <c r="G347">
        <v>1.26</v>
      </c>
      <c r="L347" t="s">
        <v>7</v>
      </c>
      <c r="M347" t="s">
        <v>8</v>
      </c>
      <c r="N347" t="s">
        <v>8</v>
      </c>
      <c r="P347">
        <f t="shared" si="970"/>
        <v>0.41004620658816576</v>
      </c>
      <c r="Q347">
        <f t="shared" si="971"/>
        <v>224624835.61869162</v>
      </c>
      <c r="R347">
        <f t="shared" si="972"/>
        <v>32492630374.069653</v>
      </c>
      <c r="S347">
        <f t="shared" si="973"/>
        <v>324926.30374069652</v>
      </c>
      <c r="T347">
        <f t="shared" si="974"/>
        <v>324.92630374069654</v>
      </c>
    </row>
    <row r="348" spans="1:20" x14ac:dyDescent="0.25">
      <c r="A348" s="5">
        <v>44245</v>
      </c>
      <c r="B348">
        <v>0.89205999999999996</v>
      </c>
      <c r="C348">
        <v>0.95779999999999998</v>
      </c>
      <c r="D348">
        <v>0.89202000000000004</v>
      </c>
      <c r="E348">
        <v>0.91442000000000001</v>
      </c>
      <c r="F348">
        <v>580074009.39999998</v>
      </c>
      <c r="G348">
        <v>2.5099999999999998</v>
      </c>
      <c r="L348" t="s">
        <v>8</v>
      </c>
      <c r="M348" t="s">
        <v>8</v>
      </c>
      <c r="N348" t="s">
        <v>8</v>
      </c>
      <c r="P348">
        <f t="shared" si="970"/>
        <v>-0.31894192763758006</v>
      </c>
      <c r="Q348">
        <f t="shared" si="971"/>
        <v>-185009922.73049572</v>
      </c>
      <c r="R348">
        <f t="shared" si="972"/>
        <v>32268005538.450962</v>
      </c>
      <c r="S348">
        <f t="shared" si="973"/>
        <v>322680.05538450961</v>
      </c>
      <c r="T348">
        <f t="shared" si="974"/>
        <v>322.68005538450961</v>
      </c>
    </row>
    <row r="349" spans="1:20" x14ac:dyDescent="0.25">
      <c r="A349" s="5">
        <v>44244</v>
      </c>
      <c r="B349">
        <v>0.86990000000000001</v>
      </c>
      <c r="C349">
        <v>0.89744999999999997</v>
      </c>
      <c r="D349">
        <v>0.82150000000000001</v>
      </c>
      <c r="E349">
        <v>0.89205999999999996</v>
      </c>
      <c r="F349">
        <v>460328636.10000002</v>
      </c>
      <c r="G349">
        <v>2.5499999999999998</v>
      </c>
      <c r="L349" t="s">
        <v>7</v>
      </c>
      <c r="M349" t="s">
        <v>8</v>
      </c>
      <c r="N349" t="s">
        <v>8</v>
      </c>
      <c r="P349">
        <f t="shared" si="970"/>
        <v>0.85806451612903201</v>
      </c>
      <c r="Q349">
        <f t="shared" si="971"/>
        <v>394991668.39548379</v>
      </c>
      <c r="R349">
        <f t="shared" si="972"/>
        <v>32453015461.181458</v>
      </c>
      <c r="S349">
        <f t="shared" si="973"/>
        <v>324530.15461181459</v>
      </c>
      <c r="T349">
        <f t="shared" si="974"/>
        <v>324.53015461181457</v>
      </c>
    </row>
    <row r="350" spans="1:20" x14ac:dyDescent="0.25">
      <c r="A350" s="5">
        <v>44243</v>
      </c>
      <c r="B350">
        <v>0.86128000000000005</v>
      </c>
      <c r="C350">
        <v>0.90590999999999999</v>
      </c>
      <c r="D350">
        <v>0.83333999999999997</v>
      </c>
      <c r="E350">
        <v>0.87</v>
      </c>
      <c r="F350">
        <v>526075390.60000002</v>
      </c>
      <c r="G350">
        <v>1.01</v>
      </c>
      <c r="L350" t="s">
        <v>8</v>
      </c>
      <c r="M350" t="s">
        <v>8</v>
      </c>
      <c r="N350" t="s">
        <v>8</v>
      </c>
      <c r="P350">
        <f t="shared" si="970"/>
        <v>1.0334849111203364E-2</v>
      </c>
      <c r="Q350">
        <f t="shared" si="971"/>
        <v>5436909.782968373</v>
      </c>
      <c r="R350">
        <f t="shared" si="972"/>
        <v>32058023792.785973</v>
      </c>
      <c r="S350">
        <f t="shared" si="973"/>
        <v>320580.23792785971</v>
      </c>
      <c r="T350">
        <f t="shared" si="974"/>
        <v>320.58023792785968</v>
      </c>
    </row>
    <row r="351" spans="1:20" x14ac:dyDescent="0.25">
      <c r="A351" s="5">
        <v>44242</v>
      </c>
      <c r="B351">
        <v>0.84287999999999996</v>
      </c>
      <c r="C351">
        <v>0.91100000000000003</v>
      </c>
      <c r="D351">
        <v>0.68559999999999999</v>
      </c>
      <c r="E351">
        <v>0.86143000000000003</v>
      </c>
      <c r="F351">
        <v>932826536.89999998</v>
      </c>
      <c r="G351">
        <v>2.2000000000000002</v>
      </c>
      <c r="L351" t="s">
        <v>7</v>
      </c>
      <c r="M351" t="s">
        <v>7</v>
      </c>
      <c r="N351" t="s">
        <v>8</v>
      </c>
      <c r="P351">
        <f t="shared" si="970"/>
        <v>0.56015971606033721</v>
      </c>
      <c r="Q351">
        <f t="shared" si="971"/>
        <v>522531848.04345167</v>
      </c>
      <c r="R351">
        <f t="shared" si="972"/>
        <v>32052586883.003006</v>
      </c>
      <c r="S351">
        <f t="shared" si="973"/>
        <v>320525.86883003009</v>
      </c>
      <c r="T351">
        <f t="shared" si="974"/>
        <v>320.52586883003011</v>
      </c>
    </row>
    <row r="352" spans="1:20" x14ac:dyDescent="0.25">
      <c r="A352" s="5">
        <v>44241</v>
      </c>
      <c r="B352">
        <v>0.91303000000000001</v>
      </c>
      <c r="C352">
        <v>0.91900000000000004</v>
      </c>
      <c r="D352">
        <v>0.80666000000000004</v>
      </c>
      <c r="E352">
        <v>0.84363999999999995</v>
      </c>
      <c r="F352">
        <v>539495015.39999998</v>
      </c>
      <c r="G352">
        <v>-7.6</v>
      </c>
      <c r="L352" t="s">
        <v>8</v>
      </c>
      <c r="M352" t="s">
        <v>7</v>
      </c>
      <c r="N352" t="s">
        <v>8</v>
      </c>
      <c r="P352">
        <f t="shared" si="970"/>
        <v>-0.34164144561153814</v>
      </c>
      <c r="Q352">
        <f t="shared" si="971"/>
        <v>-184313856.96147501</v>
      </c>
      <c r="R352">
        <f t="shared" si="972"/>
        <v>31530055034.959553</v>
      </c>
      <c r="S352">
        <f t="shared" si="973"/>
        <v>315300.55034959555</v>
      </c>
      <c r="T352">
        <f t="shared" si="974"/>
        <v>315.30055034959554</v>
      </c>
    </row>
    <row r="353" spans="1:20" x14ac:dyDescent="0.25">
      <c r="A353" s="5">
        <v>44240</v>
      </c>
      <c r="B353">
        <v>0.92418</v>
      </c>
      <c r="C353">
        <v>0.95052999999999999</v>
      </c>
      <c r="D353">
        <v>0.82</v>
      </c>
      <c r="E353">
        <v>0.91298999999999997</v>
      </c>
      <c r="F353">
        <v>586878561.29999995</v>
      </c>
      <c r="G353">
        <v>-1.21</v>
      </c>
      <c r="L353" t="s">
        <v>7</v>
      </c>
      <c r="M353" t="s">
        <v>7</v>
      </c>
      <c r="N353" t="s">
        <v>8</v>
      </c>
      <c r="P353">
        <f t="shared" si="970"/>
        <v>0.42480655787941457</v>
      </c>
      <c r="Q353">
        <f t="shared" si="971"/>
        <v>249309861.51907599</v>
      </c>
      <c r="R353">
        <f t="shared" si="972"/>
        <v>31714368891.921028</v>
      </c>
      <c r="S353">
        <f t="shared" si="973"/>
        <v>317143.68891921028</v>
      </c>
      <c r="T353">
        <f t="shared" si="974"/>
        <v>317.14368891921026</v>
      </c>
    </row>
    <row r="354" spans="1:20" x14ac:dyDescent="0.25">
      <c r="A354" s="5">
        <v>44239</v>
      </c>
      <c r="B354">
        <v>0.92810000000000004</v>
      </c>
      <c r="C354">
        <v>0.94825000000000004</v>
      </c>
      <c r="D354">
        <v>0.86599999999999999</v>
      </c>
      <c r="E354">
        <v>0.92425999999999997</v>
      </c>
      <c r="F354">
        <v>649547803.79999995</v>
      </c>
      <c r="G354">
        <v>-0.41</v>
      </c>
      <c r="L354" t="s">
        <v>7</v>
      </c>
      <c r="M354" t="s">
        <v>8</v>
      </c>
      <c r="N354" t="s">
        <v>8</v>
      </c>
      <c r="P354">
        <f t="shared" si="970"/>
        <v>0.41665653495440597</v>
      </c>
      <c r="Q354">
        <f t="shared" si="971"/>
        <v>270638337.21855229</v>
      </c>
      <c r="R354">
        <f t="shared" si="972"/>
        <v>31465059030.401951</v>
      </c>
      <c r="S354">
        <f t="shared" si="973"/>
        <v>314650.59030401951</v>
      </c>
      <c r="T354">
        <f t="shared" si="974"/>
        <v>314.65059030401949</v>
      </c>
    </row>
    <row r="355" spans="1:20" x14ac:dyDescent="0.25">
      <c r="A355" s="5">
        <v>44238</v>
      </c>
      <c r="B355">
        <v>0.94040999999999997</v>
      </c>
      <c r="C355">
        <v>0.98</v>
      </c>
      <c r="D355">
        <v>0.86512999999999995</v>
      </c>
      <c r="E355">
        <v>0.92796000000000001</v>
      </c>
      <c r="F355">
        <v>975100368.22000003</v>
      </c>
      <c r="G355">
        <v>-1.32</v>
      </c>
      <c r="L355" t="s">
        <v>8</v>
      </c>
      <c r="M355" t="s">
        <v>8</v>
      </c>
      <c r="N355" t="s">
        <v>8</v>
      </c>
      <c r="P355">
        <f t="shared" si="970"/>
        <v>9.3932271263167708E-2</v>
      </c>
      <c r="Q355">
        <f t="shared" si="971"/>
        <v>91593392.296455756</v>
      </c>
      <c r="R355">
        <f t="shared" si="972"/>
        <v>31194420693.183399</v>
      </c>
      <c r="S355">
        <f t="shared" si="973"/>
        <v>311944.20693183399</v>
      </c>
      <c r="T355">
        <f t="shared" si="974"/>
        <v>311.944206931834</v>
      </c>
    </row>
    <row r="356" spans="1:20" x14ac:dyDescent="0.25">
      <c r="A356" s="5">
        <v>44237</v>
      </c>
      <c r="B356">
        <v>0.70562000000000002</v>
      </c>
      <c r="C356">
        <v>0.95306000000000002</v>
      </c>
      <c r="D356">
        <v>0.70555000000000001</v>
      </c>
      <c r="E356">
        <v>0.93966000000000005</v>
      </c>
      <c r="F356">
        <v>1693219939.3299999</v>
      </c>
      <c r="G356">
        <v>33.17</v>
      </c>
      <c r="L356" t="s">
        <v>8</v>
      </c>
      <c r="M356" t="s">
        <v>8</v>
      </c>
      <c r="N356" t="s">
        <v>8</v>
      </c>
      <c r="P356">
        <f t="shared" si="970"/>
        <v>0.89172154660417791</v>
      </c>
      <c r="Q356">
        <f t="shared" si="971"/>
        <v>1509880703.0403798</v>
      </c>
      <c r="R356">
        <f t="shared" si="972"/>
        <v>31102827300.886944</v>
      </c>
      <c r="S356">
        <f t="shared" si="973"/>
        <v>311028.27300886944</v>
      </c>
      <c r="T356">
        <f t="shared" si="974"/>
        <v>311.02827300886946</v>
      </c>
    </row>
    <row r="357" spans="1:20" x14ac:dyDescent="0.25">
      <c r="A357" s="5">
        <v>44236</v>
      </c>
      <c r="B357">
        <v>0.67674000000000001</v>
      </c>
      <c r="C357">
        <v>0.71206000000000003</v>
      </c>
      <c r="D357">
        <v>0.66239999999999999</v>
      </c>
      <c r="E357">
        <v>0.70562000000000002</v>
      </c>
      <c r="F357">
        <v>590482327.70000005</v>
      </c>
      <c r="G357">
        <v>4.2699999999999996</v>
      </c>
      <c r="L357" t="s">
        <v>7</v>
      </c>
      <c r="M357" t="s">
        <v>8</v>
      </c>
      <c r="N357" t="s">
        <v>8</v>
      </c>
      <c r="P357">
        <f t="shared" si="970"/>
        <v>0.7406363270237617</v>
      </c>
      <c r="Q357">
        <f t="shared" si="971"/>
        <v>437332662.36016923</v>
      </c>
      <c r="R357">
        <f t="shared" si="972"/>
        <v>29592946597.846565</v>
      </c>
      <c r="S357">
        <f t="shared" si="973"/>
        <v>295929.46597846563</v>
      </c>
      <c r="T357">
        <f t="shared" si="974"/>
        <v>295.9294659784656</v>
      </c>
    </row>
    <row r="358" spans="1:20" x14ac:dyDescent="0.25">
      <c r="A358" s="5">
        <v>44235</v>
      </c>
      <c r="B358">
        <v>0.66108999999999996</v>
      </c>
      <c r="C358">
        <v>0.7238</v>
      </c>
      <c r="D358">
        <v>0.63190999999999997</v>
      </c>
      <c r="E358">
        <v>0.67637999999999998</v>
      </c>
      <c r="F358">
        <v>1008667679.66</v>
      </c>
      <c r="G358">
        <v>2.31</v>
      </c>
      <c r="L358" t="s">
        <v>8</v>
      </c>
      <c r="M358" t="s">
        <v>8</v>
      </c>
      <c r="N358" t="s">
        <v>8</v>
      </c>
      <c r="P358">
        <f t="shared" si="970"/>
        <v>-3.2103602132985173E-2</v>
      </c>
      <c r="Q358">
        <f t="shared" si="971"/>
        <v>-32381865.87220598</v>
      </c>
      <c r="R358">
        <f t="shared" si="972"/>
        <v>29155613935.486397</v>
      </c>
      <c r="S358">
        <f t="shared" si="973"/>
        <v>291556.13935486396</v>
      </c>
      <c r="T358">
        <f t="shared" si="974"/>
        <v>291.55613935486394</v>
      </c>
    </row>
    <row r="359" spans="1:20" x14ac:dyDescent="0.25">
      <c r="A359" s="5">
        <v>44234</v>
      </c>
      <c r="B359">
        <v>0.63444</v>
      </c>
      <c r="C359">
        <v>0.70887999999999995</v>
      </c>
      <c r="D359">
        <v>0.57999999999999996</v>
      </c>
      <c r="E359">
        <v>0.66108999999999996</v>
      </c>
      <c r="F359">
        <v>1596532267.5</v>
      </c>
      <c r="G359">
        <v>4.2</v>
      </c>
      <c r="L359" t="s">
        <v>8</v>
      </c>
      <c r="M359" t="s">
        <v>8</v>
      </c>
      <c r="N359" t="s">
        <v>8</v>
      </c>
      <c r="P359">
        <f t="shared" si="970"/>
        <v>0.25837988826815639</v>
      </c>
      <c r="Q359">
        <f t="shared" si="971"/>
        <v>412511828.89315635</v>
      </c>
      <c r="R359">
        <f t="shared" si="972"/>
        <v>29187995801.358604</v>
      </c>
      <c r="S359">
        <f t="shared" si="973"/>
        <v>291879.95801358606</v>
      </c>
      <c r="T359">
        <f t="shared" si="974"/>
        <v>291.87995801358608</v>
      </c>
    </row>
    <row r="360" spans="1:20" x14ac:dyDescent="0.25">
      <c r="A360" s="5">
        <v>44233</v>
      </c>
      <c r="B360">
        <v>0.53874</v>
      </c>
      <c r="C360">
        <v>0.66705999999999999</v>
      </c>
      <c r="D360">
        <v>0.51900999999999997</v>
      </c>
      <c r="E360">
        <v>0.63444</v>
      </c>
      <c r="F360">
        <v>1255504052.74</v>
      </c>
      <c r="G360">
        <v>17.760000000000002</v>
      </c>
      <c r="L360" t="s">
        <v>8</v>
      </c>
      <c r="M360" t="s">
        <v>8</v>
      </c>
      <c r="N360" t="s">
        <v>8</v>
      </c>
      <c r="P360">
        <f t="shared" si="970"/>
        <v>0.55933806146572129</v>
      </c>
      <c r="Q360">
        <f t="shared" si="971"/>
        <v>702251203.02194834</v>
      </c>
      <c r="R360">
        <f t="shared" si="972"/>
        <v>28775483972.465446</v>
      </c>
      <c r="S360">
        <f t="shared" si="973"/>
        <v>287754.83972465445</v>
      </c>
      <c r="T360">
        <f t="shared" si="974"/>
        <v>287.75483972465446</v>
      </c>
    </row>
    <row r="361" spans="1:20" x14ac:dyDescent="0.25">
      <c r="A361" s="5">
        <v>44232</v>
      </c>
      <c r="B361">
        <v>0.43902999999999998</v>
      </c>
      <c r="C361">
        <v>0.56000000000000005</v>
      </c>
      <c r="D361">
        <v>0.43637999999999999</v>
      </c>
      <c r="E361">
        <v>0.53917000000000004</v>
      </c>
      <c r="F361">
        <v>1277155737.26</v>
      </c>
      <c r="G361">
        <v>22.81</v>
      </c>
      <c r="L361" t="s">
        <v>8</v>
      </c>
      <c r="M361" t="s">
        <v>8</v>
      </c>
      <c r="N361" t="s">
        <v>8</v>
      </c>
      <c r="P361">
        <f t="shared" si="970"/>
        <v>0.66299951464164364</v>
      </c>
      <c r="Q361">
        <f t="shared" si="971"/>
        <v>846753633.92517054</v>
      </c>
      <c r="R361">
        <f t="shared" si="972"/>
        <v>28073232769.443497</v>
      </c>
      <c r="S361">
        <f t="shared" si="973"/>
        <v>280732.32769443496</v>
      </c>
      <c r="T361">
        <f t="shared" si="974"/>
        <v>280.73232769443496</v>
      </c>
    </row>
    <row r="362" spans="1:20" x14ac:dyDescent="0.25">
      <c r="A362" s="5">
        <v>44231</v>
      </c>
      <c r="B362">
        <v>0.44213000000000002</v>
      </c>
      <c r="C362">
        <v>0.45</v>
      </c>
      <c r="D362">
        <v>0.41003000000000001</v>
      </c>
      <c r="E362">
        <v>0.43934000000000001</v>
      </c>
      <c r="F362">
        <v>536142412.30000001</v>
      </c>
      <c r="G362">
        <v>-0.63</v>
      </c>
      <c r="L362" t="s">
        <v>7</v>
      </c>
      <c r="M362" t="s">
        <v>8</v>
      </c>
      <c r="N362" t="s">
        <v>8</v>
      </c>
      <c r="P362">
        <f t="shared" si="970"/>
        <v>0.46659994996247178</v>
      </c>
      <c r="Q362">
        <f t="shared" si="971"/>
        <v>250164022.75193891</v>
      </c>
      <c r="R362">
        <f t="shared" si="972"/>
        <v>27226479135.518326</v>
      </c>
      <c r="S362">
        <f t="shared" si="973"/>
        <v>272264.79135518323</v>
      </c>
      <c r="T362">
        <f t="shared" si="974"/>
        <v>272.26479135518321</v>
      </c>
    </row>
    <row r="363" spans="1:20" x14ac:dyDescent="0.25">
      <c r="A363" s="5">
        <v>44230</v>
      </c>
      <c r="B363">
        <v>0.42499999999999999</v>
      </c>
      <c r="C363">
        <v>0.44961000000000001</v>
      </c>
      <c r="D363">
        <v>0.41509000000000001</v>
      </c>
      <c r="E363">
        <v>0.44189000000000001</v>
      </c>
      <c r="F363">
        <v>541252929.39999998</v>
      </c>
      <c r="G363">
        <v>3.97</v>
      </c>
      <c r="L363" t="s">
        <v>7</v>
      </c>
      <c r="M363" t="s">
        <v>8</v>
      </c>
      <c r="N363" t="s">
        <v>8</v>
      </c>
      <c r="P363">
        <f t="shared" si="970"/>
        <v>0.55272305909617581</v>
      </c>
      <c r="Q363">
        <f t="shared" si="971"/>
        <v>299162974.88273448</v>
      </c>
      <c r="R363">
        <f t="shared" si="972"/>
        <v>26976315112.766388</v>
      </c>
      <c r="S363">
        <f t="shared" si="973"/>
        <v>269763.15112766391</v>
      </c>
      <c r="T363">
        <f t="shared" si="974"/>
        <v>269.76315112766389</v>
      </c>
    </row>
    <row r="364" spans="1:20" x14ac:dyDescent="0.25">
      <c r="A364" s="5">
        <v>44229</v>
      </c>
      <c r="B364">
        <v>0.40882000000000002</v>
      </c>
      <c r="C364">
        <v>0.45590000000000003</v>
      </c>
      <c r="D364">
        <v>0.38868000000000003</v>
      </c>
      <c r="E364">
        <v>0.42498000000000002</v>
      </c>
      <c r="F364">
        <v>1501769862.49</v>
      </c>
      <c r="G364">
        <v>3.95</v>
      </c>
      <c r="L364" t="s">
        <v>8</v>
      </c>
      <c r="M364" t="s">
        <v>8</v>
      </c>
      <c r="N364" t="s">
        <v>8</v>
      </c>
      <c r="P364">
        <f t="shared" si="970"/>
        <v>8.0035703659625049E-2</v>
      </c>
      <c r="Q364">
        <f t="shared" si="971"/>
        <v>120195207.67920551</v>
      </c>
      <c r="R364">
        <f t="shared" si="972"/>
        <v>26677152137.883652</v>
      </c>
      <c r="S364">
        <f t="shared" si="973"/>
        <v>266771.52137883654</v>
      </c>
      <c r="T364">
        <f t="shared" si="974"/>
        <v>266.77152137883655</v>
      </c>
    </row>
    <row r="365" spans="1:20" x14ac:dyDescent="0.25">
      <c r="A365" s="5">
        <v>44228</v>
      </c>
      <c r="B365">
        <v>0.34464</v>
      </c>
      <c r="C365">
        <v>0.42410999999999999</v>
      </c>
      <c r="D365">
        <v>0.33213999999999999</v>
      </c>
      <c r="E365">
        <v>0.40876000000000001</v>
      </c>
      <c r="F365">
        <v>844822325.13</v>
      </c>
      <c r="G365">
        <v>18.600000000000001</v>
      </c>
      <c r="L365" t="s">
        <v>7</v>
      </c>
      <c r="M365" t="s">
        <v>8</v>
      </c>
      <c r="N365" t="s">
        <v>8</v>
      </c>
      <c r="P365">
        <f t="shared" si="970"/>
        <v>0.66619549853213056</v>
      </c>
      <c r="Q365">
        <f t="shared" si="971"/>
        <v>562816830.06105399</v>
      </c>
      <c r="R365">
        <f t="shared" si="972"/>
        <v>26556956930.204445</v>
      </c>
      <c r="S365">
        <f t="shared" si="973"/>
        <v>265569.56930204446</v>
      </c>
      <c r="T365">
        <f t="shared" si="974"/>
        <v>265.56956930204444</v>
      </c>
    </row>
    <row r="366" spans="1:20" x14ac:dyDescent="0.25">
      <c r="A366" s="5">
        <v>44227</v>
      </c>
      <c r="B366">
        <v>0.36395</v>
      </c>
      <c r="C366">
        <v>0.37752000000000002</v>
      </c>
      <c r="D366">
        <v>0.33800000000000002</v>
      </c>
      <c r="E366">
        <v>0.34475</v>
      </c>
      <c r="F366">
        <v>399794774.89999998</v>
      </c>
      <c r="G366">
        <v>-5.28</v>
      </c>
      <c r="L366" t="s">
        <v>7</v>
      </c>
      <c r="M366" t="s">
        <v>8</v>
      </c>
      <c r="N366" t="s">
        <v>7</v>
      </c>
      <c r="P366">
        <f t="shared" si="970"/>
        <v>-0.65840080971660031</v>
      </c>
      <c r="Q366">
        <f t="shared" si="971"/>
        <v>-263225203.51462594</v>
      </c>
      <c r="R366">
        <f t="shared" si="972"/>
        <v>25994140100.143391</v>
      </c>
      <c r="S366">
        <f t="shared" si="973"/>
        <v>259941.4010014339</v>
      </c>
      <c r="T366">
        <f t="shared" si="974"/>
        <v>259.94140100143392</v>
      </c>
    </row>
    <row r="367" spans="1:20" x14ac:dyDescent="0.25">
      <c r="A367" s="5">
        <v>44226</v>
      </c>
      <c r="B367">
        <v>0.34764</v>
      </c>
      <c r="C367">
        <v>0.37694</v>
      </c>
      <c r="D367">
        <v>0.33700000000000002</v>
      </c>
      <c r="E367">
        <v>0.36399999999999999</v>
      </c>
      <c r="F367">
        <v>510716622.39999998</v>
      </c>
      <c r="G367">
        <v>4.71</v>
      </c>
      <c r="L367" t="s">
        <v>8</v>
      </c>
      <c r="M367" t="s">
        <v>8</v>
      </c>
      <c r="N367" t="s">
        <v>7</v>
      </c>
      <c r="P367">
        <f t="shared" si="970"/>
        <v>0.3520280420630939</v>
      </c>
      <c r="Q367">
        <f t="shared" si="971"/>
        <v>179786572.63254845</v>
      </c>
      <c r="R367">
        <f t="shared" si="972"/>
        <v>26257365303.658016</v>
      </c>
      <c r="S367">
        <f t="shared" si="973"/>
        <v>262573.65303658019</v>
      </c>
      <c r="T367">
        <f t="shared" si="974"/>
        <v>262.5736530365802</v>
      </c>
    </row>
    <row r="368" spans="1:20" x14ac:dyDescent="0.25">
      <c r="A368" s="5">
        <v>44225</v>
      </c>
      <c r="B368">
        <v>0.34409000000000001</v>
      </c>
      <c r="C368">
        <v>0.36836000000000002</v>
      </c>
      <c r="D368">
        <v>0.33050000000000002</v>
      </c>
      <c r="E368">
        <v>0.34752</v>
      </c>
      <c r="F368">
        <v>666472809.5</v>
      </c>
      <c r="G368">
        <v>1</v>
      </c>
      <c r="L368" t="s">
        <v>8</v>
      </c>
      <c r="M368" t="s">
        <v>8</v>
      </c>
      <c r="N368" t="s">
        <v>7</v>
      </c>
      <c r="P368">
        <f t="shared" si="970"/>
        <v>-0.10089804543053474</v>
      </c>
      <c r="Q368">
        <f t="shared" si="971"/>
        <v>-67245803.811147124</v>
      </c>
      <c r="R368">
        <f t="shared" si="972"/>
        <v>26077578731.025467</v>
      </c>
      <c r="S368">
        <f t="shared" si="973"/>
        <v>260775.78731025467</v>
      </c>
      <c r="T368">
        <f t="shared" si="974"/>
        <v>260.77578731025466</v>
      </c>
    </row>
    <row r="369" spans="1:20" x14ac:dyDescent="0.25">
      <c r="A369" s="5">
        <v>44224</v>
      </c>
      <c r="B369">
        <v>0.31141999999999997</v>
      </c>
      <c r="C369">
        <v>0.35575000000000001</v>
      </c>
      <c r="D369">
        <v>0.30431000000000002</v>
      </c>
      <c r="E369">
        <v>0.34409000000000001</v>
      </c>
      <c r="F369">
        <v>487709261.19999999</v>
      </c>
      <c r="G369">
        <v>10.49</v>
      </c>
      <c r="L369" t="s">
        <v>8</v>
      </c>
      <c r="M369" t="s">
        <v>7</v>
      </c>
      <c r="N369" t="s">
        <v>7</v>
      </c>
      <c r="P369">
        <f t="shared" si="970"/>
        <v>0.54665629860031073</v>
      </c>
      <c r="Q369">
        <f t="shared" si="971"/>
        <v>266609339.52068412</v>
      </c>
      <c r="R369">
        <f t="shared" si="972"/>
        <v>26144824534.836613</v>
      </c>
      <c r="S369">
        <f t="shared" si="973"/>
        <v>261448.24534836612</v>
      </c>
      <c r="T369">
        <f t="shared" si="974"/>
        <v>261.44824534836613</v>
      </c>
    </row>
    <row r="370" spans="1:20" x14ac:dyDescent="0.25">
      <c r="A370" s="5">
        <v>44223</v>
      </c>
      <c r="B370">
        <v>0.34342</v>
      </c>
      <c r="C370">
        <v>0.34395999999999999</v>
      </c>
      <c r="D370">
        <v>0.30403999999999998</v>
      </c>
      <c r="E370">
        <v>0.31143999999999999</v>
      </c>
      <c r="F370">
        <v>422544056.10000002</v>
      </c>
      <c r="G370">
        <v>-9.31</v>
      </c>
      <c r="L370" t="s">
        <v>7</v>
      </c>
      <c r="M370" t="s">
        <v>7</v>
      </c>
      <c r="N370" t="s">
        <v>7</v>
      </c>
      <c r="P370">
        <f t="shared" si="970"/>
        <v>-0.62925851703406732</v>
      </c>
      <c r="Q370">
        <f t="shared" si="971"/>
        <v>-265889446.12304577</v>
      </c>
      <c r="R370">
        <f t="shared" si="972"/>
        <v>25878215195.315929</v>
      </c>
      <c r="S370">
        <f t="shared" si="973"/>
        <v>258782.15195315931</v>
      </c>
      <c r="T370">
        <f t="shared" si="974"/>
        <v>258.78215195315931</v>
      </c>
    </row>
    <row r="371" spans="1:20" x14ac:dyDescent="0.25">
      <c r="A371" s="5">
        <v>44222</v>
      </c>
      <c r="B371">
        <v>0.34283999999999998</v>
      </c>
      <c r="C371">
        <v>0.35110999999999998</v>
      </c>
      <c r="D371">
        <v>0.32403999999999999</v>
      </c>
      <c r="E371">
        <v>0.34329999999999999</v>
      </c>
      <c r="F371">
        <v>354428194</v>
      </c>
      <c r="G371">
        <v>0.13</v>
      </c>
      <c r="L371" t="s">
        <v>7</v>
      </c>
      <c r="M371" t="s">
        <v>8</v>
      </c>
      <c r="N371" t="s">
        <v>7</v>
      </c>
      <c r="P371">
        <f t="shared" si="970"/>
        <v>0.42297746582933221</v>
      </c>
      <c r="Q371">
        <f t="shared" si="971"/>
        <v>149915139.31658694</v>
      </c>
      <c r="R371">
        <f t="shared" si="972"/>
        <v>26144104641.438976</v>
      </c>
      <c r="S371">
        <f t="shared" si="973"/>
        <v>261441.04641438977</v>
      </c>
      <c r="T371">
        <f t="shared" si="974"/>
        <v>261.44104641438975</v>
      </c>
    </row>
    <row r="372" spans="1:20" x14ac:dyDescent="0.25">
      <c r="A372" s="5">
        <v>44221</v>
      </c>
      <c r="B372">
        <v>0.35346</v>
      </c>
      <c r="C372">
        <v>0.36414999999999997</v>
      </c>
      <c r="D372">
        <v>0.34033999999999998</v>
      </c>
      <c r="E372">
        <v>0.34308</v>
      </c>
      <c r="F372">
        <v>407390809.5</v>
      </c>
      <c r="G372">
        <v>-2.94</v>
      </c>
      <c r="L372" t="s">
        <v>7</v>
      </c>
      <c r="M372" t="s">
        <v>8</v>
      </c>
      <c r="N372" t="s">
        <v>7</v>
      </c>
      <c r="P372">
        <f t="shared" si="970"/>
        <v>-0.76984460310793612</v>
      </c>
      <c r="Q372">
        <f t="shared" si="971"/>
        <v>-313627616.04934829</v>
      </c>
      <c r="R372">
        <f t="shared" si="972"/>
        <v>25994189502.122391</v>
      </c>
      <c r="S372">
        <f t="shared" si="973"/>
        <v>259941.8950212239</v>
      </c>
      <c r="T372">
        <f t="shared" si="974"/>
        <v>259.9418950212239</v>
      </c>
    </row>
    <row r="373" spans="1:20" x14ac:dyDescent="0.25">
      <c r="A373" s="5">
        <v>44220</v>
      </c>
      <c r="B373">
        <v>0.34575</v>
      </c>
      <c r="C373">
        <v>0.36925999999999998</v>
      </c>
      <c r="D373">
        <v>0.33612999999999998</v>
      </c>
      <c r="E373">
        <v>0.35344999999999999</v>
      </c>
      <c r="F373">
        <v>458536220.60000002</v>
      </c>
      <c r="G373">
        <v>2.23</v>
      </c>
      <c r="L373" t="s">
        <v>8</v>
      </c>
      <c r="M373" t="s">
        <v>8</v>
      </c>
      <c r="N373" t="s">
        <v>7</v>
      </c>
      <c r="P373">
        <f t="shared" si="970"/>
        <v>4.5578025958346265E-2</v>
      </c>
      <c r="Q373">
        <f t="shared" si="971"/>
        <v>20899175.765348792</v>
      </c>
      <c r="R373">
        <f t="shared" si="972"/>
        <v>26307817118.171738</v>
      </c>
      <c r="S373">
        <f t="shared" si="973"/>
        <v>263078.17118171736</v>
      </c>
      <c r="T373">
        <f t="shared" si="974"/>
        <v>263.07817118171738</v>
      </c>
    </row>
    <row r="374" spans="1:20" x14ac:dyDescent="0.25">
      <c r="A374" s="5">
        <v>44219</v>
      </c>
      <c r="B374">
        <v>0.34842000000000001</v>
      </c>
      <c r="C374">
        <v>0.35763</v>
      </c>
      <c r="D374">
        <v>0.33540999999999999</v>
      </c>
      <c r="E374">
        <v>0.34583000000000003</v>
      </c>
      <c r="F374">
        <v>418300948.69999999</v>
      </c>
      <c r="G374">
        <v>-0.74</v>
      </c>
      <c r="L374" t="s">
        <v>8</v>
      </c>
      <c r="M374" t="s">
        <v>8</v>
      </c>
      <c r="N374" t="s">
        <v>7</v>
      </c>
      <c r="P374">
        <f t="shared" si="970"/>
        <v>-6.2106210621059213E-2</v>
      </c>
      <c r="Q374">
        <f t="shared" si="971"/>
        <v>-25979086.822951086</v>
      </c>
      <c r="R374">
        <f t="shared" si="972"/>
        <v>26286917942.406387</v>
      </c>
      <c r="S374">
        <f t="shared" si="973"/>
        <v>262869.17942406388</v>
      </c>
      <c r="T374">
        <f t="shared" si="974"/>
        <v>262.86917942406387</v>
      </c>
    </row>
    <row r="375" spans="1:20" x14ac:dyDescent="0.25">
      <c r="A375" s="5">
        <v>44218</v>
      </c>
      <c r="B375">
        <v>0.30786000000000002</v>
      </c>
      <c r="C375">
        <v>0.35980000000000001</v>
      </c>
      <c r="D375">
        <v>0.28000000000000003</v>
      </c>
      <c r="E375">
        <v>0.34866999999999998</v>
      </c>
      <c r="F375">
        <v>898752288</v>
      </c>
      <c r="G375">
        <v>13.26</v>
      </c>
      <c r="L375" t="s">
        <v>7</v>
      </c>
      <c r="M375" t="s">
        <v>7</v>
      </c>
      <c r="N375" t="s">
        <v>7</v>
      </c>
      <c r="P375">
        <f t="shared" si="970"/>
        <v>0.72105263157894661</v>
      </c>
      <c r="Q375">
        <f t="shared" si="971"/>
        <v>648047702.39999926</v>
      </c>
      <c r="R375">
        <f t="shared" si="972"/>
        <v>26312897029.22934</v>
      </c>
      <c r="S375">
        <f t="shared" si="973"/>
        <v>263128.97029229341</v>
      </c>
      <c r="T375">
        <f t="shared" si="974"/>
        <v>263.12897029229339</v>
      </c>
    </row>
    <row r="376" spans="1:20" x14ac:dyDescent="0.25">
      <c r="A376" s="5">
        <v>44217</v>
      </c>
      <c r="B376">
        <v>0.37547999999999998</v>
      </c>
      <c r="C376">
        <v>0.37945000000000001</v>
      </c>
      <c r="D376">
        <v>0.3</v>
      </c>
      <c r="E376">
        <v>0.30785000000000001</v>
      </c>
      <c r="F376">
        <v>785029729.79999995</v>
      </c>
      <c r="G376">
        <v>-18.010000000000002</v>
      </c>
      <c r="L376" t="s">
        <v>7</v>
      </c>
      <c r="M376" t="s">
        <v>7</v>
      </c>
      <c r="N376" t="s">
        <v>8</v>
      </c>
      <c r="P376">
        <f t="shared" si="970"/>
        <v>-0.80239144115796046</v>
      </c>
      <c r="Q376">
        <f t="shared" si="971"/>
        <v>-629901136.24606621</v>
      </c>
      <c r="R376">
        <f t="shared" si="972"/>
        <v>25664849326.829342</v>
      </c>
      <c r="S376">
        <f t="shared" si="973"/>
        <v>256648.49326829342</v>
      </c>
      <c r="T376">
        <f t="shared" si="974"/>
        <v>256.64849326829341</v>
      </c>
    </row>
    <row r="377" spans="1:20" x14ac:dyDescent="0.25">
      <c r="A377" s="5">
        <v>44216</v>
      </c>
      <c r="B377">
        <v>0.36720000000000003</v>
      </c>
      <c r="C377">
        <v>0.37690000000000001</v>
      </c>
      <c r="D377">
        <v>0.33033000000000001</v>
      </c>
      <c r="E377">
        <v>0.37531999999999999</v>
      </c>
      <c r="F377">
        <v>656351514.5</v>
      </c>
      <c r="G377">
        <v>2.21</v>
      </c>
      <c r="L377" t="s">
        <v>7</v>
      </c>
      <c r="M377" t="s">
        <v>7</v>
      </c>
      <c r="N377" t="s">
        <v>8</v>
      </c>
      <c r="P377">
        <f t="shared" si="970"/>
        <v>0.93214515782692609</v>
      </c>
      <c r="Q377">
        <f t="shared" si="971"/>
        <v>611814886.0735445</v>
      </c>
      <c r="R377">
        <f t="shared" si="972"/>
        <v>26294750463.075409</v>
      </c>
      <c r="S377">
        <f t="shared" si="973"/>
        <v>262947.50463075406</v>
      </c>
      <c r="T377">
        <f t="shared" si="974"/>
        <v>262.94750463075405</v>
      </c>
    </row>
    <row r="378" spans="1:20" x14ac:dyDescent="0.25">
      <c r="A378" s="5">
        <v>44215</v>
      </c>
      <c r="B378">
        <v>0.37131999999999998</v>
      </c>
      <c r="C378">
        <v>0.39001000000000002</v>
      </c>
      <c r="D378">
        <v>0.36199999999999999</v>
      </c>
      <c r="E378">
        <v>0.36720000000000003</v>
      </c>
      <c r="F378">
        <v>606641543</v>
      </c>
      <c r="G378">
        <v>-1.1100000000000001</v>
      </c>
      <c r="L378" t="s">
        <v>8</v>
      </c>
      <c r="M378" t="s">
        <v>8</v>
      </c>
      <c r="N378" t="s">
        <v>8</v>
      </c>
      <c r="P378">
        <f t="shared" si="970"/>
        <v>-0.62870403427347155</v>
      </c>
      <c r="Q378">
        <f t="shared" si="971"/>
        <v>-381397985.44198364</v>
      </c>
      <c r="R378">
        <f t="shared" si="972"/>
        <v>25682935577.001865</v>
      </c>
      <c r="S378">
        <f t="shared" si="973"/>
        <v>256829.35577001865</v>
      </c>
      <c r="T378">
        <f t="shared" si="974"/>
        <v>256.82935577001865</v>
      </c>
    </row>
    <row r="379" spans="1:20" x14ac:dyDescent="0.25">
      <c r="A379" s="5">
        <v>44214</v>
      </c>
      <c r="B379">
        <v>0.38077</v>
      </c>
      <c r="C379">
        <v>0.39723999999999998</v>
      </c>
      <c r="D379">
        <v>0.36413000000000001</v>
      </c>
      <c r="E379">
        <v>0.37123</v>
      </c>
      <c r="F379">
        <v>636785470.39999998</v>
      </c>
      <c r="G379">
        <v>-2.5099999999999998</v>
      </c>
      <c r="L379" t="s">
        <v>7</v>
      </c>
      <c r="M379" t="s">
        <v>8</v>
      </c>
      <c r="N379" t="s">
        <v>8</v>
      </c>
      <c r="P379">
        <f t="shared" si="970"/>
        <v>-0.5711265478707338</v>
      </c>
      <c r="Q379">
        <f t="shared" si="971"/>
        <v>-363685087.44379336</v>
      </c>
      <c r="R379">
        <f t="shared" si="972"/>
        <v>26064333562.443848</v>
      </c>
      <c r="S379">
        <f t="shared" si="973"/>
        <v>260643.33562443848</v>
      </c>
      <c r="T379">
        <f t="shared" si="974"/>
        <v>260.64333562443846</v>
      </c>
    </row>
    <row r="380" spans="1:20" x14ac:dyDescent="0.25">
      <c r="A380" s="5">
        <v>44213</v>
      </c>
      <c r="B380">
        <v>0.35056999999999999</v>
      </c>
      <c r="C380">
        <v>0.39739999999999998</v>
      </c>
      <c r="D380">
        <v>0.34076000000000001</v>
      </c>
      <c r="E380">
        <v>0.38080999999999998</v>
      </c>
      <c r="F380">
        <v>1422650839.29</v>
      </c>
      <c r="G380">
        <v>8.6300000000000008</v>
      </c>
      <c r="L380" t="s">
        <v>8</v>
      </c>
      <c r="M380" t="s">
        <v>8</v>
      </c>
      <c r="N380" t="s">
        <v>8</v>
      </c>
      <c r="P380">
        <f t="shared" si="970"/>
        <v>0.41419491525423718</v>
      </c>
      <c r="Q380">
        <f t="shared" si="971"/>
        <v>589254743.81609094</v>
      </c>
      <c r="R380">
        <f t="shared" si="972"/>
        <v>26428018649.887642</v>
      </c>
      <c r="S380">
        <f t="shared" si="973"/>
        <v>264280.18649887643</v>
      </c>
      <c r="T380">
        <f t="shared" si="974"/>
        <v>264.28018649887645</v>
      </c>
    </row>
    <row r="381" spans="1:20" x14ac:dyDescent="0.25">
      <c r="A381" s="5">
        <v>44212</v>
      </c>
      <c r="B381">
        <v>0.30188999999999999</v>
      </c>
      <c r="C381">
        <v>0.36696000000000001</v>
      </c>
      <c r="D381">
        <v>0.30186000000000002</v>
      </c>
      <c r="E381">
        <v>0.35071000000000002</v>
      </c>
      <c r="F381">
        <v>1219589043.23</v>
      </c>
      <c r="G381">
        <v>16.170000000000002</v>
      </c>
      <c r="L381" t="s">
        <v>8</v>
      </c>
      <c r="M381" t="s">
        <v>8</v>
      </c>
      <c r="N381" t="s">
        <v>8</v>
      </c>
      <c r="P381">
        <f t="shared" si="970"/>
        <v>0.50076804915514628</v>
      </c>
      <c r="Q381">
        <f t="shared" si="971"/>
        <v>610731225.94927847</v>
      </c>
      <c r="R381">
        <f t="shared" si="972"/>
        <v>25838763906.071552</v>
      </c>
      <c r="S381">
        <f t="shared" si="973"/>
        <v>258387.63906071553</v>
      </c>
      <c r="T381">
        <f t="shared" si="974"/>
        <v>258.38763906071551</v>
      </c>
    </row>
    <row r="382" spans="1:20" x14ac:dyDescent="0.25">
      <c r="A382" s="5">
        <v>44211</v>
      </c>
      <c r="B382">
        <v>0.31202999999999997</v>
      </c>
      <c r="C382">
        <v>0.33224999999999999</v>
      </c>
      <c r="D382">
        <v>0.27739000000000003</v>
      </c>
      <c r="E382">
        <v>0.30187999999999998</v>
      </c>
      <c r="F382">
        <v>853517402.79999995</v>
      </c>
      <c r="G382">
        <v>-3.25</v>
      </c>
      <c r="L382" t="s">
        <v>8</v>
      </c>
      <c r="M382" t="s">
        <v>8</v>
      </c>
      <c r="N382" t="s">
        <v>8</v>
      </c>
      <c r="P382">
        <f t="shared" si="970"/>
        <v>-0.10718191760845891</v>
      </c>
      <c r="Q382">
        <f t="shared" si="971"/>
        <v>-91481631.944295436</v>
      </c>
      <c r="R382">
        <f t="shared" si="972"/>
        <v>25228032680.122272</v>
      </c>
      <c r="S382">
        <f t="shared" si="973"/>
        <v>252280.32680122272</v>
      </c>
      <c r="T382">
        <f t="shared" si="974"/>
        <v>252.28032680122271</v>
      </c>
    </row>
    <row r="383" spans="1:20" x14ac:dyDescent="0.25">
      <c r="A383" s="5">
        <v>44210</v>
      </c>
      <c r="B383">
        <v>0.31246000000000002</v>
      </c>
      <c r="C383">
        <v>0.32455000000000001</v>
      </c>
      <c r="D383">
        <v>0.29646</v>
      </c>
      <c r="E383">
        <v>0.31201000000000001</v>
      </c>
      <c r="F383">
        <v>656502674</v>
      </c>
      <c r="G383">
        <v>-0.14000000000000001</v>
      </c>
      <c r="L383" t="s">
        <v>8</v>
      </c>
      <c r="M383" t="s">
        <v>8</v>
      </c>
      <c r="N383" t="s">
        <v>8</v>
      </c>
      <c r="P383">
        <f t="shared" si="970"/>
        <v>0.10715557137771492</v>
      </c>
      <c r="Q383">
        <f t="shared" si="971"/>
        <v>70347919.143467709</v>
      </c>
      <c r="R383">
        <f t="shared" si="972"/>
        <v>25319514312.066566</v>
      </c>
      <c r="S383">
        <f t="shared" si="973"/>
        <v>253195.14312066566</v>
      </c>
      <c r="T383">
        <f t="shared" si="974"/>
        <v>253.19514312066565</v>
      </c>
    </row>
    <row r="384" spans="1:20" x14ac:dyDescent="0.25">
      <c r="A384" s="5">
        <v>44209</v>
      </c>
      <c r="B384">
        <v>0.28875000000000001</v>
      </c>
      <c r="C384">
        <v>0.31586999999999998</v>
      </c>
      <c r="D384">
        <v>0.27</v>
      </c>
      <c r="E384">
        <v>0.31230000000000002</v>
      </c>
      <c r="F384">
        <v>715473111.89999998</v>
      </c>
      <c r="G384">
        <v>8.16</v>
      </c>
      <c r="L384" t="s">
        <v>7</v>
      </c>
      <c r="M384" t="s">
        <v>8</v>
      </c>
      <c r="N384" t="s">
        <v>7</v>
      </c>
      <c r="P384">
        <f t="shared" si="970"/>
        <v>0.84434270765206176</v>
      </c>
      <c r="Q384">
        <f t="shared" si="971"/>
        <v>604104504.55389249</v>
      </c>
      <c r="R384">
        <f t="shared" si="972"/>
        <v>25249166392.9231</v>
      </c>
      <c r="S384">
        <f t="shared" si="973"/>
        <v>252491.663929231</v>
      </c>
      <c r="T384">
        <f t="shared" si="974"/>
        <v>252.49166392923101</v>
      </c>
    </row>
    <row r="385" spans="1:20" x14ac:dyDescent="0.25">
      <c r="A385" s="5">
        <v>44208</v>
      </c>
      <c r="B385">
        <v>0.27562999999999999</v>
      </c>
      <c r="C385">
        <v>0.31441999999999998</v>
      </c>
      <c r="D385">
        <v>0.26279999999999998</v>
      </c>
      <c r="E385">
        <v>0.28888000000000003</v>
      </c>
      <c r="F385">
        <v>1059013244.8</v>
      </c>
      <c r="G385">
        <v>4.8099999999999996</v>
      </c>
      <c r="L385" t="s">
        <v>8</v>
      </c>
      <c r="M385" t="s">
        <v>8</v>
      </c>
      <c r="N385" t="s">
        <v>7</v>
      </c>
      <c r="P385">
        <f t="shared" si="970"/>
        <v>1.0461061604031305E-2</v>
      </c>
      <c r="Q385">
        <f t="shared" si="971"/>
        <v>11078402.793337885</v>
      </c>
      <c r="R385">
        <f t="shared" si="972"/>
        <v>24645061888.369205</v>
      </c>
      <c r="S385">
        <f t="shared" si="973"/>
        <v>246450.61888369205</v>
      </c>
      <c r="T385">
        <f t="shared" si="974"/>
        <v>246.45061888369204</v>
      </c>
    </row>
    <row r="386" spans="1:20" x14ac:dyDescent="0.25">
      <c r="A386" s="5">
        <v>44207</v>
      </c>
      <c r="B386">
        <v>0.30153999999999997</v>
      </c>
      <c r="C386">
        <v>0.30397000000000002</v>
      </c>
      <c r="D386">
        <v>0.2288</v>
      </c>
      <c r="E386">
        <v>0.2757</v>
      </c>
      <c r="F386">
        <v>1530569582.3</v>
      </c>
      <c r="G386">
        <v>-8.57</v>
      </c>
      <c r="L386" t="s">
        <v>7</v>
      </c>
      <c r="M386" t="s">
        <v>7</v>
      </c>
      <c r="N386" t="s">
        <v>7</v>
      </c>
      <c r="P386">
        <f t="shared" si="970"/>
        <v>0.24783823333776742</v>
      </c>
      <c r="Q386">
        <f t="shared" si="971"/>
        <v>379333661.27775657</v>
      </c>
      <c r="R386">
        <f t="shared" si="972"/>
        <v>24633983485.575867</v>
      </c>
      <c r="S386">
        <f t="shared" si="973"/>
        <v>246339.83485575867</v>
      </c>
      <c r="T386">
        <f t="shared" si="974"/>
        <v>246.33983485575868</v>
      </c>
    </row>
    <row r="387" spans="1:20" x14ac:dyDescent="0.25">
      <c r="A387" s="5">
        <v>44206</v>
      </c>
      <c r="B387">
        <v>0.33062000000000002</v>
      </c>
      <c r="C387">
        <v>0.3412</v>
      </c>
      <c r="D387">
        <v>0.27948000000000001</v>
      </c>
      <c r="E387">
        <v>0.30153000000000002</v>
      </c>
      <c r="F387">
        <v>908667596</v>
      </c>
      <c r="G387">
        <v>-8.8000000000000007</v>
      </c>
      <c r="L387" t="s">
        <v>7</v>
      </c>
      <c r="M387" t="s">
        <v>7</v>
      </c>
      <c r="N387" t="s">
        <v>7</v>
      </c>
      <c r="P387">
        <f t="shared" si="970"/>
        <v>-0.28548282566428984</v>
      </c>
      <c r="Q387">
        <f t="shared" si="971"/>
        <v>-259408992.89565736</v>
      </c>
      <c r="R387">
        <f t="shared" si="972"/>
        <v>24254649824.298111</v>
      </c>
      <c r="S387">
        <f t="shared" si="973"/>
        <v>242546.49824298112</v>
      </c>
      <c r="T387">
        <f t="shared" si="974"/>
        <v>242.54649824298113</v>
      </c>
    </row>
    <row r="388" spans="1:20" x14ac:dyDescent="0.25">
      <c r="A388" s="5">
        <v>44205</v>
      </c>
      <c r="B388">
        <v>0.30392000000000002</v>
      </c>
      <c r="C388">
        <v>0.33850999999999998</v>
      </c>
      <c r="D388">
        <v>0.29582999999999998</v>
      </c>
      <c r="E388">
        <v>0.33062000000000002</v>
      </c>
      <c r="F388">
        <v>820267450.70000005</v>
      </c>
      <c r="G388">
        <v>8.7899999999999991</v>
      </c>
      <c r="L388" t="s">
        <v>8</v>
      </c>
      <c r="M388" t="s">
        <v>8</v>
      </c>
      <c r="N388" t="s">
        <v>7</v>
      </c>
      <c r="P388">
        <f t="shared" si="970"/>
        <v>0.63027179006560663</v>
      </c>
      <c r="Q388">
        <f t="shared" si="971"/>
        <v>516991434.48524076</v>
      </c>
      <c r="R388">
        <f t="shared" si="972"/>
        <v>24514058817.193768</v>
      </c>
      <c r="S388">
        <f t="shared" si="973"/>
        <v>245140.58817193768</v>
      </c>
      <c r="T388">
        <f t="shared" si="974"/>
        <v>245.14058817193768</v>
      </c>
    </row>
    <row r="389" spans="1:20" x14ac:dyDescent="0.25">
      <c r="A389" s="5">
        <v>44204</v>
      </c>
      <c r="B389">
        <v>0.29916999999999999</v>
      </c>
      <c r="C389">
        <v>0.32164999999999999</v>
      </c>
      <c r="D389">
        <v>0.26174999999999998</v>
      </c>
      <c r="E389">
        <v>0.30388999999999999</v>
      </c>
      <c r="F389">
        <v>1284205249.4000001</v>
      </c>
      <c r="G389">
        <v>1.58</v>
      </c>
      <c r="L389" t="s">
        <v>7</v>
      </c>
      <c r="M389" t="s">
        <v>7</v>
      </c>
      <c r="N389" t="s">
        <v>7</v>
      </c>
      <c r="P389">
        <f t="shared" si="970"/>
        <v>0.40701168614357275</v>
      </c>
      <c r="Q389">
        <f t="shared" si="971"/>
        <v>522686543.9127214</v>
      </c>
      <c r="R389">
        <f t="shared" si="972"/>
        <v>23997067382.708527</v>
      </c>
      <c r="S389">
        <f t="shared" si="973"/>
        <v>239970.67382708527</v>
      </c>
      <c r="T389">
        <f t="shared" si="974"/>
        <v>239.97067382708528</v>
      </c>
    </row>
    <row r="390" spans="1:20" x14ac:dyDescent="0.25">
      <c r="A390" s="5">
        <v>44203</v>
      </c>
      <c r="B390">
        <v>0.33311000000000002</v>
      </c>
      <c r="C390">
        <v>0.3553</v>
      </c>
      <c r="D390">
        <v>0.27850000000000003</v>
      </c>
      <c r="E390">
        <v>0.29927999999999999</v>
      </c>
      <c r="F390">
        <v>1411321698.55</v>
      </c>
      <c r="G390">
        <v>-10.16</v>
      </c>
      <c r="L390" t="s">
        <v>8</v>
      </c>
      <c r="M390" t="s">
        <v>7</v>
      </c>
      <c r="N390" t="s">
        <v>8</v>
      </c>
      <c r="P390">
        <f t="shared" ref="P390:P453" si="975">IF(C390=D390,0,((E390-D390)-(C390-E390))/(C390-D390))</f>
        <v>-0.45885416666666745</v>
      </c>
      <c r="Q390">
        <f t="shared" ref="Q390:Q453" si="976">F390*P390</f>
        <v>-647590841.88674593</v>
      </c>
      <c r="R390">
        <f t="shared" ref="R390:R453" si="977">R391+Q390</f>
        <v>23474380838.795807</v>
      </c>
      <c r="S390">
        <f t="shared" ref="S390:S453" si="978">R390/100000</f>
        <v>234743.80838795807</v>
      </c>
      <c r="T390">
        <f t="shared" ref="T390:T453" si="979">S390/1000</f>
        <v>234.74380838795807</v>
      </c>
    </row>
    <row r="391" spans="1:20" x14ac:dyDescent="0.25">
      <c r="A391" s="5">
        <v>44202</v>
      </c>
      <c r="B391">
        <v>0.25889000000000001</v>
      </c>
      <c r="C391">
        <v>0.34771999999999997</v>
      </c>
      <c r="D391">
        <v>0.25346999999999997</v>
      </c>
      <c r="E391">
        <v>0.33309</v>
      </c>
      <c r="F391">
        <v>2059110042.76</v>
      </c>
      <c r="G391">
        <v>28.66</v>
      </c>
      <c r="L391" t="s">
        <v>8</v>
      </c>
      <c r="M391" t="s">
        <v>8</v>
      </c>
      <c r="N391" t="s">
        <v>8</v>
      </c>
      <c r="P391">
        <f t="shared" si="975"/>
        <v>0.68954907161803769</v>
      </c>
      <c r="Q391">
        <f t="shared" si="976"/>
        <v>1419857418.3445358</v>
      </c>
      <c r="R391">
        <f t="shared" si="977"/>
        <v>24121971680.682552</v>
      </c>
      <c r="S391">
        <f t="shared" si="978"/>
        <v>241219.71680682551</v>
      </c>
      <c r="T391">
        <f t="shared" si="979"/>
        <v>241.21971680682552</v>
      </c>
    </row>
    <row r="392" spans="1:20" x14ac:dyDescent="0.25">
      <c r="A392" s="5">
        <v>44201</v>
      </c>
      <c r="B392">
        <v>0.22517999999999999</v>
      </c>
      <c r="C392">
        <v>0.26429000000000002</v>
      </c>
      <c r="D392">
        <v>0.20696000000000001</v>
      </c>
      <c r="E392">
        <v>0.25873000000000002</v>
      </c>
      <c r="F392">
        <v>1478887679.3299999</v>
      </c>
      <c r="G392">
        <v>14.9</v>
      </c>
      <c r="L392" t="s">
        <v>8</v>
      </c>
      <c r="M392" t="s">
        <v>8</v>
      </c>
      <c r="N392" t="s">
        <v>8</v>
      </c>
      <c r="P392">
        <f t="shared" si="975"/>
        <v>0.80603523460666293</v>
      </c>
      <c r="Q392">
        <f t="shared" si="976"/>
        <v>1192035577.5656598</v>
      </c>
      <c r="R392">
        <f t="shared" si="977"/>
        <v>22702114262.338017</v>
      </c>
      <c r="S392">
        <f t="shared" si="978"/>
        <v>227021.14262338018</v>
      </c>
      <c r="T392">
        <f t="shared" si="979"/>
        <v>227.02114262338017</v>
      </c>
    </row>
    <row r="393" spans="1:20" x14ac:dyDescent="0.25">
      <c r="A393" s="5">
        <v>44200</v>
      </c>
      <c r="B393">
        <v>0.20624999999999999</v>
      </c>
      <c r="C393">
        <v>0.23991999999999999</v>
      </c>
      <c r="D393">
        <v>0.19203000000000001</v>
      </c>
      <c r="E393">
        <v>0.22528000000000001</v>
      </c>
      <c r="F393">
        <v>1463415575.5999999</v>
      </c>
      <c r="G393">
        <v>9.23</v>
      </c>
      <c r="L393" t="s">
        <v>8</v>
      </c>
      <c r="M393" t="s">
        <v>8</v>
      </c>
      <c r="N393" t="s">
        <v>8</v>
      </c>
      <c r="P393">
        <f t="shared" si="975"/>
        <v>0.38859887241595364</v>
      </c>
      <c r="Q393">
        <f t="shared" si="976"/>
        <v>568681642.55410373</v>
      </c>
      <c r="R393">
        <f t="shared" si="977"/>
        <v>21510078684.772358</v>
      </c>
      <c r="S393">
        <f t="shared" si="978"/>
        <v>215100.78684772359</v>
      </c>
      <c r="T393">
        <f t="shared" si="979"/>
        <v>215.10078684772358</v>
      </c>
    </row>
    <row r="394" spans="1:20" x14ac:dyDescent="0.25">
      <c r="A394" s="5">
        <v>44199</v>
      </c>
      <c r="B394">
        <v>0.1774</v>
      </c>
      <c r="C394">
        <v>0.20960000000000001</v>
      </c>
      <c r="D394">
        <v>0.17255000000000001</v>
      </c>
      <c r="E394">
        <v>0.20615</v>
      </c>
      <c r="F394">
        <v>1201451449.3</v>
      </c>
      <c r="G394">
        <v>16.21</v>
      </c>
      <c r="L394" t="s">
        <v>8</v>
      </c>
      <c r="M394" t="s">
        <v>8</v>
      </c>
      <c r="N394" t="s">
        <v>8</v>
      </c>
      <c r="P394">
        <f t="shared" si="975"/>
        <v>0.81376518218623439</v>
      </c>
      <c r="Q394">
        <f t="shared" si="976"/>
        <v>977699357.52752984</v>
      </c>
      <c r="R394">
        <f t="shared" si="977"/>
        <v>20941397042.218254</v>
      </c>
      <c r="S394">
        <f t="shared" si="978"/>
        <v>209413.97042218255</v>
      </c>
      <c r="T394">
        <f t="shared" si="979"/>
        <v>209.41397042218256</v>
      </c>
    </row>
    <row r="395" spans="1:20" x14ac:dyDescent="0.25">
      <c r="A395" s="5">
        <v>44198</v>
      </c>
      <c r="B395">
        <v>0.17505000000000001</v>
      </c>
      <c r="C395">
        <v>0.18457000000000001</v>
      </c>
      <c r="D395">
        <v>0.16793</v>
      </c>
      <c r="E395">
        <v>0.17741999999999999</v>
      </c>
      <c r="F395">
        <v>660303281.20000005</v>
      </c>
      <c r="G395">
        <v>1.35</v>
      </c>
      <c r="L395" t="s">
        <v>7</v>
      </c>
      <c r="M395" t="s">
        <v>8</v>
      </c>
      <c r="N395" t="s">
        <v>8</v>
      </c>
      <c r="P395">
        <f t="shared" si="975"/>
        <v>0.14062499999999872</v>
      </c>
      <c r="Q395">
        <f t="shared" si="976"/>
        <v>92855148.918749169</v>
      </c>
      <c r="R395">
        <f t="shared" si="977"/>
        <v>19963697684.690723</v>
      </c>
      <c r="S395">
        <f t="shared" si="978"/>
        <v>199636.97684690723</v>
      </c>
      <c r="T395">
        <f t="shared" si="979"/>
        <v>199.63697684690723</v>
      </c>
    </row>
    <row r="396" spans="1:20" x14ac:dyDescent="0.25">
      <c r="A396" s="5">
        <v>44197</v>
      </c>
      <c r="B396">
        <v>0.18134</v>
      </c>
      <c r="C396">
        <v>0.18473000000000001</v>
      </c>
      <c r="D396">
        <v>0.17</v>
      </c>
      <c r="E396">
        <v>0.17509</v>
      </c>
      <c r="F396">
        <v>462201570.89999998</v>
      </c>
      <c r="G396">
        <v>-3.45</v>
      </c>
      <c r="L396" t="s">
        <v>7</v>
      </c>
      <c r="M396" t="s">
        <v>8</v>
      </c>
      <c r="N396" t="s">
        <v>8</v>
      </c>
      <c r="P396">
        <f t="shared" si="975"/>
        <v>-0.30889341479973037</v>
      </c>
      <c r="Q396">
        <f t="shared" si="976"/>
        <v>-142771021.56110069</v>
      </c>
      <c r="R396">
        <f t="shared" si="977"/>
        <v>19870842535.771973</v>
      </c>
      <c r="S396">
        <f t="shared" si="978"/>
        <v>198708.42535771974</v>
      </c>
      <c r="T396">
        <f t="shared" si="979"/>
        <v>198.70842535771973</v>
      </c>
    </row>
    <row r="397" spans="1:20" x14ac:dyDescent="0.25">
      <c r="A397" s="5">
        <v>44196</v>
      </c>
      <c r="B397">
        <v>0.18389</v>
      </c>
      <c r="C397">
        <v>0.18640000000000001</v>
      </c>
      <c r="D397">
        <v>0.17443</v>
      </c>
      <c r="E397">
        <v>0.18134</v>
      </c>
      <c r="F397">
        <v>447672619.80000001</v>
      </c>
      <c r="G397">
        <v>-1.39</v>
      </c>
      <c r="L397" t="s">
        <v>7</v>
      </c>
      <c r="M397" t="s">
        <v>8</v>
      </c>
      <c r="N397" t="s">
        <v>8</v>
      </c>
      <c r="P397">
        <f t="shared" si="975"/>
        <v>0.1545530492898905</v>
      </c>
      <c r="Q397">
        <f t="shared" si="976"/>
        <v>69189168.473683804</v>
      </c>
      <c r="R397">
        <f t="shared" si="977"/>
        <v>20013613557.333073</v>
      </c>
      <c r="S397">
        <f t="shared" si="978"/>
        <v>200136.13557333071</v>
      </c>
      <c r="T397">
        <f t="shared" si="979"/>
        <v>200.13613557333071</v>
      </c>
    </row>
    <row r="398" spans="1:20" x14ac:dyDescent="0.25">
      <c r="A398" s="5">
        <v>44195</v>
      </c>
      <c r="B398">
        <v>0.19069</v>
      </c>
      <c r="C398">
        <v>0.19389000000000001</v>
      </c>
      <c r="D398">
        <v>0.17510999999999999</v>
      </c>
      <c r="E398">
        <v>0.18389</v>
      </c>
      <c r="F398">
        <v>670221026.79999995</v>
      </c>
      <c r="G398">
        <v>-3.57</v>
      </c>
      <c r="L398" t="s">
        <v>7</v>
      </c>
      <c r="M398" t="s">
        <v>8</v>
      </c>
      <c r="N398" t="s">
        <v>8</v>
      </c>
      <c r="P398">
        <f t="shared" si="975"/>
        <v>-6.4962726304579207E-2</v>
      </c>
      <c r="Q398">
        <f t="shared" si="976"/>
        <v>-43539385.127582446</v>
      </c>
      <c r="R398">
        <f t="shared" si="977"/>
        <v>19944424388.85939</v>
      </c>
      <c r="S398">
        <f t="shared" si="978"/>
        <v>199444.24388859389</v>
      </c>
      <c r="T398">
        <f t="shared" si="979"/>
        <v>199.44424388859389</v>
      </c>
    </row>
    <row r="399" spans="1:20" x14ac:dyDescent="0.25">
      <c r="A399" s="5">
        <v>44194</v>
      </c>
      <c r="B399">
        <v>0.17630000000000001</v>
      </c>
      <c r="C399">
        <v>0.19725000000000001</v>
      </c>
      <c r="D399">
        <v>0.17304</v>
      </c>
      <c r="E399">
        <v>0.19067000000000001</v>
      </c>
      <c r="F399">
        <v>1475500719.5</v>
      </c>
      <c r="G399">
        <v>8.15</v>
      </c>
      <c r="L399" t="s">
        <v>8</v>
      </c>
      <c r="M399" t="s">
        <v>8</v>
      </c>
      <c r="N399" t="s">
        <v>8</v>
      </c>
      <c r="P399">
        <f t="shared" si="975"/>
        <v>0.45642296571664603</v>
      </c>
      <c r="Q399">
        <f t="shared" si="976"/>
        <v>673452414.31123507</v>
      </c>
      <c r="R399">
        <f t="shared" si="977"/>
        <v>19987963773.986973</v>
      </c>
      <c r="S399">
        <f t="shared" si="978"/>
        <v>199879.63773986974</v>
      </c>
      <c r="T399">
        <f t="shared" si="979"/>
        <v>199.87963773986974</v>
      </c>
    </row>
    <row r="400" spans="1:20" x14ac:dyDescent="0.25">
      <c r="A400" s="5">
        <v>44193</v>
      </c>
      <c r="B400">
        <v>0.15467</v>
      </c>
      <c r="C400">
        <v>0.18057000000000001</v>
      </c>
      <c r="D400">
        <v>0.15279999999999999</v>
      </c>
      <c r="E400">
        <v>0.17627000000000001</v>
      </c>
      <c r="F400">
        <v>881547663.5</v>
      </c>
      <c r="G400">
        <v>13.97</v>
      </c>
      <c r="L400" t="s">
        <v>8</v>
      </c>
      <c r="M400" t="s">
        <v>8</v>
      </c>
      <c r="N400" t="s">
        <v>8</v>
      </c>
      <c r="P400">
        <f t="shared" si="975"/>
        <v>0.69031328772056211</v>
      </c>
      <c r="Q400">
        <f t="shared" si="976"/>
        <v>608544065.87306476</v>
      </c>
      <c r="R400">
        <f t="shared" si="977"/>
        <v>19314511359.675739</v>
      </c>
      <c r="S400">
        <f t="shared" si="978"/>
        <v>193145.11359675738</v>
      </c>
      <c r="T400">
        <f t="shared" si="979"/>
        <v>193.14511359675737</v>
      </c>
    </row>
    <row r="401" spans="1:20" x14ac:dyDescent="0.25">
      <c r="A401" s="5">
        <v>44192</v>
      </c>
      <c r="B401">
        <v>0.15839</v>
      </c>
      <c r="C401">
        <v>0.16642000000000001</v>
      </c>
      <c r="D401">
        <v>0.14935999999999999</v>
      </c>
      <c r="E401">
        <v>0.15467</v>
      </c>
      <c r="F401">
        <v>798134617.20000005</v>
      </c>
      <c r="G401">
        <v>-2.35</v>
      </c>
      <c r="L401" t="s">
        <v>8</v>
      </c>
      <c r="M401" t="s">
        <v>8</v>
      </c>
      <c r="N401" t="s">
        <v>8</v>
      </c>
      <c r="P401">
        <f t="shared" si="975"/>
        <v>-0.37749120750293047</v>
      </c>
      <c r="Q401">
        <f t="shared" si="976"/>
        <v>-301288800.39671719</v>
      </c>
      <c r="R401">
        <f t="shared" si="977"/>
        <v>18705967293.802673</v>
      </c>
      <c r="S401">
        <f t="shared" si="978"/>
        <v>187059.67293802672</v>
      </c>
      <c r="T401">
        <f t="shared" si="979"/>
        <v>187.05967293802672</v>
      </c>
    </row>
    <row r="402" spans="1:20" x14ac:dyDescent="0.25">
      <c r="A402" s="5">
        <v>44191</v>
      </c>
      <c r="B402">
        <v>0.15762999999999999</v>
      </c>
      <c r="C402">
        <v>0.16242000000000001</v>
      </c>
      <c r="D402">
        <v>0.14879999999999999</v>
      </c>
      <c r="E402">
        <v>0.15839</v>
      </c>
      <c r="F402">
        <v>563232604.10000002</v>
      </c>
      <c r="G402">
        <v>0.48</v>
      </c>
      <c r="L402" t="s">
        <v>7</v>
      </c>
      <c r="M402" t="s">
        <v>8</v>
      </c>
      <c r="N402" t="s">
        <v>8</v>
      </c>
      <c r="P402">
        <f t="shared" si="975"/>
        <v>0.40822320117474309</v>
      </c>
      <c r="Q402">
        <f t="shared" si="976"/>
        <v>229924616.65168872</v>
      </c>
      <c r="R402">
        <f t="shared" si="977"/>
        <v>19007256094.19939</v>
      </c>
      <c r="S402">
        <f t="shared" si="978"/>
        <v>190072.5609419939</v>
      </c>
      <c r="T402">
        <f t="shared" si="979"/>
        <v>190.07256094199391</v>
      </c>
    </row>
    <row r="403" spans="1:20" x14ac:dyDescent="0.25">
      <c r="A403" s="5">
        <v>44190</v>
      </c>
      <c r="B403">
        <v>0.15304999999999999</v>
      </c>
      <c r="C403">
        <v>0.16700000000000001</v>
      </c>
      <c r="D403">
        <v>0.15006</v>
      </c>
      <c r="E403">
        <v>0.15761</v>
      </c>
      <c r="F403">
        <v>589176673.79999995</v>
      </c>
      <c r="G403">
        <v>2.98</v>
      </c>
      <c r="L403" t="s">
        <v>8</v>
      </c>
      <c r="M403" t="s">
        <v>8</v>
      </c>
      <c r="N403" t="s">
        <v>8</v>
      </c>
      <c r="P403">
        <f t="shared" si="975"/>
        <v>-0.10861865407319996</v>
      </c>
      <c r="Q403">
        <f t="shared" si="976"/>
        <v>-63995577.319480769</v>
      </c>
      <c r="R403">
        <f t="shared" si="977"/>
        <v>18777331477.547703</v>
      </c>
      <c r="S403">
        <f t="shared" si="978"/>
        <v>187773.31477547702</v>
      </c>
      <c r="T403">
        <f t="shared" si="979"/>
        <v>187.77331477547702</v>
      </c>
    </row>
    <row r="404" spans="1:20" x14ac:dyDescent="0.25">
      <c r="A404" s="5">
        <v>44189</v>
      </c>
      <c r="B404">
        <v>0.13630999999999999</v>
      </c>
      <c r="C404">
        <v>0.15476999999999999</v>
      </c>
      <c r="D404">
        <v>0.13131999999999999</v>
      </c>
      <c r="E404">
        <v>0.15304000000000001</v>
      </c>
      <c r="F404">
        <v>738995663.20000005</v>
      </c>
      <c r="G404">
        <v>12.27</v>
      </c>
      <c r="L404" t="s">
        <v>8</v>
      </c>
      <c r="M404" t="s">
        <v>8</v>
      </c>
      <c r="N404" t="s">
        <v>8</v>
      </c>
      <c r="P404">
        <f t="shared" si="975"/>
        <v>0.85245202558635547</v>
      </c>
      <c r="Q404">
        <f t="shared" si="976"/>
        <v>629958349.99437213</v>
      </c>
      <c r="R404">
        <f t="shared" si="977"/>
        <v>18841327054.867184</v>
      </c>
      <c r="S404">
        <f t="shared" si="978"/>
        <v>188413.27054867183</v>
      </c>
      <c r="T404">
        <f t="shared" si="979"/>
        <v>188.41327054867185</v>
      </c>
    </row>
    <row r="405" spans="1:20" x14ac:dyDescent="0.25">
      <c r="A405" s="5">
        <v>44188</v>
      </c>
      <c r="B405">
        <v>0.15645000000000001</v>
      </c>
      <c r="C405">
        <v>0.15786</v>
      </c>
      <c r="D405">
        <v>0.1263</v>
      </c>
      <c r="E405">
        <v>0.13635</v>
      </c>
      <c r="F405">
        <v>818577125.10000002</v>
      </c>
      <c r="G405">
        <v>-12.85</v>
      </c>
      <c r="L405" t="s">
        <v>7</v>
      </c>
      <c r="M405" t="s">
        <v>7</v>
      </c>
      <c r="N405" t="s">
        <v>8</v>
      </c>
      <c r="P405">
        <f t="shared" si="975"/>
        <v>-0.36311787072243334</v>
      </c>
      <c r="Q405">
        <f t="shared" si="976"/>
        <v>-297239982.68840295</v>
      </c>
      <c r="R405">
        <f t="shared" si="977"/>
        <v>18211368704.87281</v>
      </c>
      <c r="S405">
        <f t="shared" si="978"/>
        <v>182113.68704872811</v>
      </c>
      <c r="T405">
        <f t="shared" si="979"/>
        <v>182.11368704872811</v>
      </c>
    </row>
    <row r="406" spans="1:20" x14ac:dyDescent="0.25">
      <c r="A406" s="5">
        <v>44187</v>
      </c>
      <c r="B406">
        <v>0.15279000000000001</v>
      </c>
      <c r="C406">
        <v>0.16123999999999999</v>
      </c>
      <c r="D406">
        <v>0.14879000000000001</v>
      </c>
      <c r="E406">
        <v>0.15645999999999999</v>
      </c>
      <c r="F406">
        <v>472974503.19999999</v>
      </c>
      <c r="G406">
        <v>2.4</v>
      </c>
      <c r="L406" t="s">
        <v>8</v>
      </c>
      <c r="M406" t="s">
        <v>7</v>
      </c>
      <c r="N406" t="s">
        <v>8</v>
      </c>
      <c r="P406">
        <f t="shared" si="975"/>
        <v>0.23212851405622317</v>
      </c>
      <c r="Q406">
        <f t="shared" si="976"/>
        <v>109790868.61429638</v>
      </c>
      <c r="R406">
        <f t="shared" si="977"/>
        <v>18508608687.561214</v>
      </c>
      <c r="S406">
        <f t="shared" si="978"/>
        <v>185086.08687561215</v>
      </c>
      <c r="T406">
        <f t="shared" si="979"/>
        <v>185.08608687561215</v>
      </c>
    </row>
    <row r="407" spans="1:20" x14ac:dyDescent="0.25">
      <c r="A407" s="5">
        <v>44186</v>
      </c>
      <c r="B407">
        <v>0.16195999999999999</v>
      </c>
      <c r="C407">
        <v>0.16714000000000001</v>
      </c>
      <c r="D407">
        <v>0.14680000000000001</v>
      </c>
      <c r="E407">
        <v>0.15278</v>
      </c>
      <c r="F407">
        <v>430322921</v>
      </c>
      <c r="G407">
        <v>-5.67</v>
      </c>
      <c r="L407" t="s">
        <v>7</v>
      </c>
      <c r="M407" t="s">
        <v>7</v>
      </c>
      <c r="N407" t="s">
        <v>8</v>
      </c>
      <c r="P407">
        <f t="shared" si="975"/>
        <v>-0.41199606686332485</v>
      </c>
      <c r="Q407">
        <f t="shared" si="976"/>
        <v>-177291350.93313727</v>
      </c>
      <c r="R407">
        <f t="shared" si="977"/>
        <v>18398817818.946918</v>
      </c>
      <c r="S407">
        <f t="shared" si="978"/>
        <v>183988.17818946918</v>
      </c>
      <c r="T407">
        <f t="shared" si="979"/>
        <v>183.98817818946918</v>
      </c>
    </row>
    <row r="408" spans="1:20" x14ac:dyDescent="0.25">
      <c r="A408" s="5">
        <v>44185</v>
      </c>
      <c r="B408">
        <v>0.16420999999999999</v>
      </c>
      <c r="C408">
        <v>0.16900000000000001</v>
      </c>
      <c r="D408">
        <v>0.156</v>
      </c>
      <c r="E408">
        <v>0.16200999999999999</v>
      </c>
      <c r="F408">
        <v>336692485.19999999</v>
      </c>
      <c r="G408">
        <v>-1.34</v>
      </c>
      <c r="L408" t="s">
        <v>7</v>
      </c>
      <c r="M408" t="s">
        <v>8</v>
      </c>
      <c r="N408" t="s">
        <v>8</v>
      </c>
      <c r="P408">
        <f t="shared" si="975"/>
        <v>-7.5384615384618117E-2</v>
      </c>
      <c r="Q408">
        <f t="shared" si="976"/>
        <v>-25381433.499693226</v>
      </c>
      <c r="R408">
        <f t="shared" si="977"/>
        <v>18576109169.880054</v>
      </c>
      <c r="S408">
        <f t="shared" si="978"/>
        <v>185761.09169880053</v>
      </c>
      <c r="T408">
        <f t="shared" si="979"/>
        <v>185.76109169880053</v>
      </c>
    </row>
    <row r="409" spans="1:20" x14ac:dyDescent="0.25">
      <c r="A409" s="5">
        <v>44184</v>
      </c>
      <c r="B409">
        <v>0.16502</v>
      </c>
      <c r="C409">
        <v>0.17082</v>
      </c>
      <c r="D409">
        <v>0.16286</v>
      </c>
      <c r="E409">
        <v>0.16433</v>
      </c>
      <c r="F409">
        <v>342041141.89999998</v>
      </c>
      <c r="G409">
        <v>-0.42</v>
      </c>
      <c r="L409" t="s">
        <v>8</v>
      </c>
      <c r="M409" t="s">
        <v>8</v>
      </c>
      <c r="N409" t="s">
        <v>8</v>
      </c>
      <c r="P409">
        <f t="shared" si="975"/>
        <v>-0.6306532663316583</v>
      </c>
      <c r="Q409">
        <f t="shared" si="976"/>
        <v>-215709363.35904521</v>
      </c>
      <c r="R409">
        <f t="shared" si="977"/>
        <v>18601490603.379749</v>
      </c>
      <c r="S409">
        <f t="shared" si="978"/>
        <v>186014.90603379748</v>
      </c>
      <c r="T409">
        <f t="shared" si="979"/>
        <v>186.01490603379747</v>
      </c>
    </row>
    <row r="410" spans="1:20" x14ac:dyDescent="0.25">
      <c r="A410" s="5">
        <v>44183</v>
      </c>
      <c r="B410">
        <v>0.16339000000000001</v>
      </c>
      <c r="C410">
        <v>0.16941999999999999</v>
      </c>
      <c r="D410">
        <v>0.15820999999999999</v>
      </c>
      <c r="E410">
        <v>0.16502</v>
      </c>
      <c r="F410">
        <v>404588707</v>
      </c>
      <c r="G410">
        <v>1</v>
      </c>
      <c r="L410" t="s">
        <v>7</v>
      </c>
      <c r="M410" t="s">
        <v>8</v>
      </c>
      <c r="N410" t="s">
        <v>8</v>
      </c>
      <c r="P410">
        <f t="shared" si="975"/>
        <v>0.21498661909010025</v>
      </c>
      <c r="Q410">
        <f t="shared" si="976"/>
        <v>86981158.239965171</v>
      </c>
      <c r="R410">
        <f t="shared" si="977"/>
        <v>18817199966.738796</v>
      </c>
      <c r="S410">
        <f t="shared" si="978"/>
        <v>188171.99966738795</v>
      </c>
      <c r="T410">
        <f t="shared" si="979"/>
        <v>188.17199966738795</v>
      </c>
    </row>
    <row r="411" spans="1:20" x14ac:dyDescent="0.25">
      <c r="A411" s="5">
        <v>44182</v>
      </c>
      <c r="B411">
        <v>0.16805999999999999</v>
      </c>
      <c r="C411">
        <v>0.17627999999999999</v>
      </c>
      <c r="D411">
        <v>0.16052</v>
      </c>
      <c r="E411">
        <v>0.16336000000000001</v>
      </c>
      <c r="F411">
        <v>770340713.89999998</v>
      </c>
      <c r="G411">
        <v>-2.8</v>
      </c>
      <c r="L411" t="s">
        <v>8</v>
      </c>
      <c r="M411" t="s">
        <v>8</v>
      </c>
      <c r="N411" t="s">
        <v>8</v>
      </c>
      <c r="P411">
        <f t="shared" si="975"/>
        <v>-0.63959390862944032</v>
      </c>
      <c r="Q411">
        <f t="shared" si="976"/>
        <v>-492705228.17969441</v>
      </c>
      <c r="R411">
        <f t="shared" si="977"/>
        <v>18730218808.498833</v>
      </c>
      <c r="S411">
        <f t="shared" si="978"/>
        <v>187302.18808498833</v>
      </c>
      <c r="T411">
        <f t="shared" si="979"/>
        <v>187.30218808498833</v>
      </c>
    </row>
    <row r="412" spans="1:20" x14ac:dyDescent="0.25">
      <c r="A412" s="5">
        <v>44181</v>
      </c>
      <c r="B412">
        <v>0.15384999999999999</v>
      </c>
      <c r="C412">
        <v>0.16844000000000001</v>
      </c>
      <c r="D412">
        <v>0.14903</v>
      </c>
      <c r="E412">
        <v>0.16814000000000001</v>
      </c>
      <c r="F412">
        <v>496276026.69999999</v>
      </c>
      <c r="G412">
        <v>9.2899999999999991</v>
      </c>
      <c r="L412" t="s">
        <v>8</v>
      </c>
      <c r="M412" t="s">
        <v>8</v>
      </c>
      <c r="N412" t="s">
        <v>8</v>
      </c>
      <c r="P412">
        <f t="shared" si="975"/>
        <v>0.96908809891808401</v>
      </c>
      <c r="Q412">
        <f t="shared" si="976"/>
        <v>480935191.25332332</v>
      </c>
      <c r="R412">
        <f t="shared" si="977"/>
        <v>19222924036.678528</v>
      </c>
      <c r="S412">
        <f t="shared" si="978"/>
        <v>192229.24036678529</v>
      </c>
      <c r="T412">
        <f t="shared" si="979"/>
        <v>192.22924036678529</v>
      </c>
    </row>
    <row r="413" spans="1:20" x14ac:dyDescent="0.25">
      <c r="A413" s="5">
        <v>44180</v>
      </c>
      <c r="B413">
        <v>0.15876999999999999</v>
      </c>
      <c r="C413">
        <v>0.16</v>
      </c>
      <c r="D413">
        <v>0.15261</v>
      </c>
      <c r="E413">
        <v>0.15381</v>
      </c>
      <c r="F413">
        <v>272831838.60000002</v>
      </c>
      <c r="G413">
        <v>-3.12</v>
      </c>
      <c r="L413" t="s">
        <v>8</v>
      </c>
      <c r="M413" t="s">
        <v>8</v>
      </c>
      <c r="N413" t="s">
        <v>8</v>
      </c>
      <c r="P413">
        <f t="shared" si="975"/>
        <v>-0.67523680649526241</v>
      </c>
      <c r="Q413">
        <f t="shared" si="976"/>
        <v>-184226099.40649489</v>
      </c>
      <c r="R413">
        <f t="shared" si="977"/>
        <v>18741988845.425205</v>
      </c>
      <c r="S413">
        <f t="shared" si="978"/>
        <v>187419.88845425204</v>
      </c>
      <c r="T413">
        <f t="shared" si="979"/>
        <v>187.41988845425203</v>
      </c>
    </row>
    <row r="414" spans="1:20" x14ac:dyDescent="0.25">
      <c r="A414" s="5">
        <v>44179</v>
      </c>
      <c r="B414">
        <v>0.15404000000000001</v>
      </c>
      <c r="C414">
        <v>0.1588</v>
      </c>
      <c r="D414">
        <v>0.14953</v>
      </c>
      <c r="E414">
        <v>0.15876999999999999</v>
      </c>
      <c r="F414">
        <v>267003605</v>
      </c>
      <c r="G414">
        <v>3.07</v>
      </c>
      <c r="L414" t="s">
        <v>8</v>
      </c>
      <c r="M414" t="s">
        <v>8</v>
      </c>
      <c r="N414" t="s">
        <v>8</v>
      </c>
      <c r="P414">
        <f t="shared" si="975"/>
        <v>0.99352750809061441</v>
      </c>
      <c r="Q414">
        <f t="shared" si="976"/>
        <v>265275426.32686073</v>
      </c>
      <c r="R414">
        <f t="shared" si="977"/>
        <v>18926214944.831699</v>
      </c>
      <c r="S414">
        <f t="shared" si="978"/>
        <v>189262.14944831698</v>
      </c>
      <c r="T414">
        <f t="shared" si="979"/>
        <v>189.26214944831699</v>
      </c>
    </row>
    <row r="415" spans="1:20" x14ac:dyDescent="0.25">
      <c r="A415" s="5">
        <v>44178</v>
      </c>
      <c r="B415">
        <v>0.14438999999999999</v>
      </c>
      <c r="C415">
        <v>0.15669</v>
      </c>
      <c r="D415">
        <v>0.1429</v>
      </c>
      <c r="E415">
        <v>0.15406</v>
      </c>
      <c r="F415">
        <v>327839004.5</v>
      </c>
      <c r="G415">
        <v>6.7</v>
      </c>
      <c r="L415" t="s">
        <v>8</v>
      </c>
      <c r="M415" t="s">
        <v>8</v>
      </c>
      <c r="N415" t="s">
        <v>8</v>
      </c>
      <c r="P415">
        <f t="shared" si="975"/>
        <v>0.61856417693981236</v>
      </c>
      <c r="Q415">
        <f t="shared" si="976"/>
        <v>202789463.98730993</v>
      </c>
      <c r="R415">
        <f t="shared" si="977"/>
        <v>18660939518.504837</v>
      </c>
      <c r="S415">
        <f t="shared" si="978"/>
        <v>186609.39518504837</v>
      </c>
      <c r="T415">
        <f t="shared" si="979"/>
        <v>186.60939518504838</v>
      </c>
    </row>
    <row r="416" spans="1:20" x14ac:dyDescent="0.25">
      <c r="A416" s="5">
        <v>44177</v>
      </c>
      <c r="B416">
        <v>0.13927</v>
      </c>
      <c r="C416">
        <v>0.14735999999999999</v>
      </c>
      <c r="D416">
        <v>0.13875999999999999</v>
      </c>
      <c r="E416">
        <v>0.14438000000000001</v>
      </c>
      <c r="F416">
        <v>236440057.40000001</v>
      </c>
      <c r="G416">
        <v>3.67</v>
      </c>
      <c r="L416" t="s">
        <v>8</v>
      </c>
      <c r="M416" t="s">
        <v>7</v>
      </c>
      <c r="N416" t="s">
        <v>8</v>
      </c>
      <c r="P416">
        <f t="shared" si="975"/>
        <v>0.30697674418605025</v>
      </c>
      <c r="Q416">
        <f t="shared" si="976"/>
        <v>72581599.015814841</v>
      </c>
      <c r="R416">
        <f t="shared" si="977"/>
        <v>18458150054.517529</v>
      </c>
      <c r="S416">
        <f t="shared" si="978"/>
        <v>184581.50054517528</v>
      </c>
      <c r="T416">
        <f t="shared" si="979"/>
        <v>184.58150054517529</v>
      </c>
    </row>
    <row r="417" spans="1:20" x14ac:dyDescent="0.25">
      <c r="A417" s="5">
        <v>44176</v>
      </c>
      <c r="B417">
        <v>0.14188000000000001</v>
      </c>
      <c r="C417">
        <v>0.14291000000000001</v>
      </c>
      <c r="D417">
        <v>0.13472999999999999</v>
      </c>
      <c r="E417">
        <v>0.13925999999999999</v>
      </c>
      <c r="F417">
        <v>299140983.69999999</v>
      </c>
      <c r="G417">
        <v>-1.85</v>
      </c>
      <c r="L417" t="s">
        <v>7</v>
      </c>
      <c r="M417" t="s">
        <v>7</v>
      </c>
      <c r="N417" t="s">
        <v>8</v>
      </c>
      <c r="P417">
        <f t="shared" si="975"/>
        <v>0.10757946210268822</v>
      </c>
      <c r="Q417">
        <f t="shared" si="976"/>
        <v>32181426.119315024</v>
      </c>
      <c r="R417">
        <f t="shared" si="977"/>
        <v>18385568455.501713</v>
      </c>
      <c r="S417">
        <f t="shared" si="978"/>
        <v>183855.68455501713</v>
      </c>
      <c r="T417">
        <f t="shared" si="979"/>
        <v>183.85568455501712</v>
      </c>
    </row>
    <row r="418" spans="1:20" x14ac:dyDescent="0.25">
      <c r="A418" s="5">
        <v>44175</v>
      </c>
      <c r="B418">
        <v>0.14796000000000001</v>
      </c>
      <c r="C418">
        <v>0.14865</v>
      </c>
      <c r="D418">
        <v>0.13905999999999999</v>
      </c>
      <c r="E418">
        <v>0.14188000000000001</v>
      </c>
      <c r="F418">
        <v>282799496.30000001</v>
      </c>
      <c r="G418">
        <v>-4.1100000000000003</v>
      </c>
      <c r="L418" t="s">
        <v>8</v>
      </c>
      <c r="M418" t="s">
        <v>7</v>
      </c>
      <c r="N418" t="s">
        <v>8</v>
      </c>
      <c r="P418">
        <f t="shared" si="975"/>
        <v>-0.41188738269029979</v>
      </c>
      <c r="Q418">
        <f t="shared" si="976"/>
        <v>-116481544.35714212</v>
      </c>
      <c r="R418">
        <f t="shared" si="977"/>
        <v>18353387029.382397</v>
      </c>
      <c r="S418">
        <f t="shared" si="978"/>
        <v>183533.87029382397</v>
      </c>
      <c r="T418">
        <f t="shared" si="979"/>
        <v>183.53387029382398</v>
      </c>
    </row>
    <row r="419" spans="1:20" x14ac:dyDescent="0.25">
      <c r="A419" s="5">
        <v>44174</v>
      </c>
      <c r="B419">
        <v>0.14116999999999999</v>
      </c>
      <c r="C419">
        <v>0.15024999999999999</v>
      </c>
      <c r="D419">
        <v>0.12923999999999999</v>
      </c>
      <c r="E419">
        <v>0.14796000000000001</v>
      </c>
      <c r="F419">
        <v>538859167.10000002</v>
      </c>
      <c r="G419">
        <v>4.8099999999999996</v>
      </c>
      <c r="L419" t="s">
        <v>7</v>
      </c>
      <c r="M419" t="s">
        <v>7</v>
      </c>
      <c r="N419" t="s">
        <v>8</v>
      </c>
      <c r="P419">
        <f t="shared" si="975"/>
        <v>0.7820085673488828</v>
      </c>
      <c r="Q419">
        <f t="shared" si="976"/>
        <v>421392485.26668328</v>
      </c>
      <c r="R419">
        <f t="shared" si="977"/>
        <v>18469868573.73954</v>
      </c>
      <c r="S419">
        <f t="shared" si="978"/>
        <v>184698.6857373954</v>
      </c>
      <c r="T419">
        <f t="shared" si="979"/>
        <v>184.69868573739541</v>
      </c>
    </row>
    <row r="420" spans="1:20" x14ac:dyDescent="0.25">
      <c r="A420" s="5">
        <v>44173</v>
      </c>
      <c r="B420">
        <v>0.15401000000000001</v>
      </c>
      <c r="C420">
        <v>0.1552</v>
      </c>
      <c r="D420">
        <v>0.13755999999999999</v>
      </c>
      <c r="E420">
        <v>0.14119999999999999</v>
      </c>
      <c r="F420">
        <v>431926292.30000001</v>
      </c>
      <c r="G420">
        <v>-8.32</v>
      </c>
      <c r="L420" t="s">
        <v>7</v>
      </c>
      <c r="M420" t="s">
        <v>7</v>
      </c>
      <c r="N420" t="s">
        <v>8</v>
      </c>
      <c r="P420">
        <f t="shared" si="975"/>
        <v>-0.58730158730158721</v>
      </c>
      <c r="Q420">
        <f t="shared" si="976"/>
        <v>-253670997.06507933</v>
      </c>
      <c r="R420">
        <f t="shared" si="977"/>
        <v>18048476088.472858</v>
      </c>
      <c r="S420">
        <f t="shared" si="978"/>
        <v>180484.76088472857</v>
      </c>
      <c r="T420">
        <f t="shared" si="979"/>
        <v>180.48476088472859</v>
      </c>
    </row>
    <row r="421" spans="1:20" x14ac:dyDescent="0.25">
      <c r="A421" s="5">
        <v>44172</v>
      </c>
      <c r="B421">
        <v>0.15875</v>
      </c>
      <c r="C421">
        <v>0.15906000000000001</v>
      </c>
      <c r="D421">
        <v>0.15132000000000001</v>
      </c>
      <c r="E421">
        <v>0.15401000000000001</v>
      </c>
      <c r="F421">
        <v>213173504.19999999</v>
      </c>
      <c r="G421">
        <v>-2.99</v>
      </c>
      <c r="L421" t="s">
        <v>7</v>
      </c>
      <c r="M421" t="s">
        <v>8</v>
      </c>
      <c r="N421" t="s">
        <v>8</v>
      </c>
      <c r="P421">
        <f t="shared" si="975"/>
        <v>-0.30490956072351444</v>
      </c>
      <c r="Q421">
        <f t="shared" si="976"/>
        <v>-64998639.523514256</v>
      </c>
      <c r="R421">
        <f t="shared" si="977"/>
        <v>18302147085.537937</v>
      </c>
      <c r="S421">
        <f t="shared" si="978"/>
        <v>183021.47085537936</v>
      </c>
      <c r="T421">
        <f t="shared" si="979"/>
        <v>183.02147085537936</v>
      </c>
    </row>
    <row r="422" spans="1:20" x14ac:dyDescent="0.25">
      <c r="A422" s="5">
        <v>44171</v>
      </c>
      <c r="B422">
        <v>0.15995999999999999</v>
      </c>
      <c r="C422">
        <v>0.16288</v>
      </c>
      <c r="D422">
        <v>0.15301000000000001</v>
      </c>
      <c r="E422">
        <v>0.15873000000000001</v>
      </c>
      <c r="F422">
        <v>290105225.60000002</v>
      </c>
      <c r="G422">
        <v>-0.77</v>
      </c>
      <c r="L422" t="s">
        <v>8</v>
      </c>
      <c r="M422" t="s">
        <v>8</v>
      </c>
      <c r="N422" t="s">
        <v>8</v>
      </c>
      <c r="P422">
        <f t="shared" si="975"/>
        <v>0.15906788247213957</v>
      </c>
      <c r="Q422">
        <f t="shared" si="976"/>
        <v>46146423.930294342</v>
      </c>
      <c r="R422">
        <f t="shared" si="977"/>
        <v>18367145725.061451</v>
      </c>
      <c r="S422">
        <f t="shared" si="978"/>
        <v>183671.45725061451</v>
      </c>
      <c r="T422">
        <f t="shared" si="979"/>
        <v>183.67145725061451</v>
      </c>
    </row>
    <row r="423" spans="1:20" x14ac:dyDescent="0.25">
      <c r="A423" s="5">
        <v>44170</v>
      </c>
      <c r="B423">
        <v>0.14779</v>
      </c>
      <c r="C423">
        <v>0.16198000000000001</v>
      </c>
      <c r="D423">
        <v>0.14607999999999999</v>
      </c>
      <c r="E423">
        <v>0.15992999999999999</v>
      </c>
      <c r="F423">
        <v>350995852.10000002</v>
      </c>
      <c r="G423">
        <v>8.2100000000000009</v>
      </c>
      <c r="L423" t="s">
        <v>8</v>
      </c>
      <c r="M423" t="s">
        <v>8</v>
      </c>
      <c r="N423" t="s">
        <v>8</v>
      </c>
      <c r="P423">
        <f t="shared" si="975"/>
        <v>0.74213836477987161</v>
      </c>
      <c r="Q423">
        <f t="shared" si="976"/>
        <v>260487487.72201169</v>
      </c>
      <c r="R423">
        <f t="shared" si="977"/>
        <v>18320999301.131157</v>
      </c>
      <c r="S423">
        <f t="shared" si="978"/>
        <v>183209.99301131157</v>
      </c>
      <c r="T423">
        <f t="shared" si="979"/>
        <v>183.20999301131158</v>
      </c>
    </row>
    <row r="424" spans="1:20" x14ac:dyDescent="0.25">
      <c r="A424" s="5">
        <v>44169</v>
      </c>
      <c r="B424">
        <v>0.16395000000000001</v>
      </c>
      <c r="C424">
        <v>0.16464000000000001</v>
      </c>
      <c r="D424">
        <v>0.14599999999999999</v>
      </c>
      <c r="E424">
        <v>0.14781</v>
      </c>
      <c r="F424">
        <v>466897814.69999999</v>
      </c>
      <c r="G424">
        <v>-9.84</v>
      </c>
      <c r="L424" t="s">
        <v>7</v>
      </c>
      <c r="M424" t="s">
        <v>8</v>
      </c>
      <c r="N424" t="s">
        <v>8</v>
      </c>
      <c r="P424">
        <f t="shared" si="975"/>
        <v>-0.80579399141630859</v>
      </c>
      <c r="Q424">
        <f t="shared" si="976"/>
        <v>-376223453.69066501</v>
      </c>
      <c r="R424">
        <f t="shared" si="977"/>
        <v>18060511813.409145</v>
      </c>
      <c r="S424">
        <f t="shared" si="978"/>
        <v>180605.11813409146</v>
      </c>
      <c r="T424">
        <f t="shared" si="979"/>
        <v>180.60511813409147</v>
      </c>
    </row>
    <row r="425" spans="1:20" x14ac:dyDescent="0.25">
      <c r="A425" s="5">
        <v>44168</v>
      </c>
      <c r="B425">
        <v>0.15841</v>
      </c>
      <c r="C425">
        <v>0.16841999999999999</v>
      </c>
      <c r="D425">
        <v>0.15532000000000001</v>
      </c>
      <c r="E425">
        <v>0.16397999999999999</v>
      </c>
      <c r="F425">
        <v>413504395.19999999</v>
      </c>
      <c r="G425">
        <v>3.52</v>
      </c>
      <c r="L425" t="s">
        <v>8</v>
      </c>
      <c r="M425" t="s">
        <v>8</v>
      </c>
      <c r="N425" t="s">
        <v>8</v>
      </c>
      <c r="P425">
        <f t="shared" si="975"/>
        <v>0.32213740458015133</v>
      </c>
      <c r="Q425">
        <f t="shared" si="976"/>
        <v>133205232.65221319</v>
      </c>
      <c r="R425">
        <f t="shared" si="977"/>
        <v>18436735267.099812</v>
      </c>
      <c r="S425">
        <f t="shared" si="978"/>
        <v>184367.35267099811</v>
      </c>
      <c r="T425">
        <f t="shared" si="979"/>
        <v>184.36735267099812</v>
      </c>
    </row>
    <row r="426" spans="1:20" x14ac:dyDescent="0.25">
      <c r="A426" s="5">
        <v>44167</v>
      </c>
      <c r="B426">
        <v>0.15554000000000001</v>
      </c>
      <c r="C426">
        <v>0.15997</v>
      </c>
      <c r="D426">
        <v>0.15065000000000001</v>
      </c>
      <c r="E426">
        <v>0.15845000000000001</v>
      </c>
      <c r="F426">
        <v>435020305.60000002</v>
      </c>
      <c r="G426">
        <v>1.87</v>
      </c>
      <c r="L426" t="s">
        <v>8</v>
      </c>
      <c r="M426" t="s">
        <v>7</v>
      </c>
      <c r="N426" t="s">
        <v>8</v>
      </c>
      <c r="P426">
        <f t="shared" si="975"/>
        <v>0.67381974248927157</v>
      </c>
      <c r="Q426">
        <f t="shared" si="976"/>
        <v>293125270.29699624</v>
      </c>
      <c r="R426">
        <f t="shared" si="977"/>
        <v>18303530034.447598</v>
      </c>
      <c r="S426">
        <f t="shared" si="978"/>
        <v>183035.30034447598</v>
      </c>
      <c r="T426">
        <f t="shared" si="979"/>
        <v>183.03530034447598</v>
      </c>
    </row>
    <row r="427" spans="1:20" x14ac:dyDescent="0.25">
      <c r="A427" s="5">
        <v>44166</v>
      </c>
      <c r="B427">
        <v>0.17207</v>
      </c>
      <c r="C427">
        <v>0.17455999999999999</v>
      </c>
      <c r="D427">
        <v>0.14132</v>
      </c>
      <c r="E427">
        <v>0.15562000000000001</v>
      </c>
      <c r="F427">
        <v>1039771812.1</v>
      </c>
      <c r="G427">
        <v>-9.56</v>
      </c>
      <c r="L427" t="s">
        <v>7</v>
      </c>
      <c r="M427" t="s">
        <v>7</v>
      </c>
      <c r="N427" t="s">
        <v>8</v>
      </c>
      <c r="P427">
        <f t="shared" si="975"/>
        <v>-0.13959085439229779</v>
      </c>
      <c r="Q427">
        <f t="shared" si="976"/>
        <v>-145142635.62406671</v>
      </c>
      <c r="R427">
        <f t="shared" si="977"/>
        <v>18010404764.1506</v>
      </c>
      <c r="S427">
        <f t="shared" si="978"/>
        <v>180104.04764150601</v>
      </c>
      <c r="T427">
        <f t="shared" si="979"/>
        <v>180.10404764150601</v>
      </c>
    </row>
    <row r="428" spans="1:20" x14ac:dyDescent="0.25">
      <c r="A428" s="5">
        <v>44165</v>
      </c>
      <c r="B428">
        <v>0.16666</v>
      </c>
      <c r="C428">
        <v>0.17399000000000001</v>
      </c>
      <c r="D428">
        <v>0.16011</v>
      </c>
      <c r="E428">
        <v>0.17204</v>
      </c>
      <c r="F428">
        <v>810673450.79999995</v>
      </c>
      <c r="G428">
        <v>3.23</v>
      </c>
      <c r="L428" t="s">
        <v>8</v>
      </c>
      <c r="M428" t="s">
        <v>8</v>
      </c>
      <c r="N428" t="s">
        <v>8</v>
      </c>
      <c r="P428">
        <f t="shared" si="975"/>
        <v>0.71902017291066189</v>
      </c>
      <c r="Q428">
        <f t="shared" si="976"/>
        <v>582890564.76829886</v>
      </c>
      <c r="R428">
        <f t="shared" si="977"/>
        <v>18155547399.774666</v>
      </c>
      <c r="S428">
        <f t="shared" si="978"/>
        <v>181555.47399774665</v>
      </c>
      <c r="T428">
        <f t="shared" si="979"/>
        <v>181.55547399774665</v>
      </c>
    </row>
    <row r="429" spans="1:20" x14ac:dyDescent="0.25">
      <c r="A429" s="5">
        <v>44164</v>
      </c>
      <c r="B429">
        <v>0.16486999999999999</v>
      </c>
      <c r="C429">
        <v>0.17136000000000001</v>
      </c>
      <c r="D429">
        <v>0.15712000000000001</v>
      </c>
      <c r="E429">
        <v>0.16663</v>
      </c>
      <c r="F429">
        <v>764061575.29999995</v>
      </c>
      <c r="G429">
        <v>1.07</v>
      </c>
      <c r="L429" t="s">
        <v>7</v>
      </c>
      <c r="M429" t="s">
        <v>8</v>
      </c>
      <c r="N429" t="s">
        <v>8</v>
      </c>
      <c r="P429">
        <f t="shared" si="975"/>
        <v>0.33567415730336925</v>
      </c>
      <c r="Q429">
        <f t="shared" si="976"/>
        <v>256475725.41671228</v>
      </c>
      <c r="R429">
        <f t="shared" si="977"/>
        <v>17572656835.006367</v>
      </c>
      <c r="S429">
        <f t="shared" si="978"/>
        <v>175726.56835006367</v>
      </c>
      <c r="T429">
        <f t="shared" si="979"/>
        <v>175.72656835006367</v>
      </c>
    </row>
    <row r="430" spans="1:20" x14ac:dyDescent="0.25">
      <c r="A430" s="5">
        <v>44163</v>
      </c>
      <c r="B430">
        <v>0.14177999999999999</v>
      </c>
      <c r="C430">
        <v>0.17233000000000001</v>
      </c>
      <c r="D430">
        <v>0.13877999999999999</v>
      </c>
      <c r="E430">
        <v>0.16489000000000001</v>
      </c>
      <c r="F430">
        <v>1087688653.5</v>
      </c>
      <c r="G430">
        <v>16.3</v>
      </c>
      <c r="L430" t="s">
        <v>8</v>
      </c>
      <c r="M430" t="s">
        <v>8</v>
      </c>
      <c r="N430" t="s">
        <v>8</v>
      </c>
      <c r="P430">
        <f t="shared" si="975"/>
        <v>0.55648286140089442</v>
      </c>
      <c r="Q430">
        <f t="shared" si="976"/>
        <v>605280094.21296597</v>
      </c>
      <c r="R430">
        <f t="shared" si="977"/>
        <v>17316181109.589653</v>
      </c>
      <c r="S430">
        <f t="shared" si="978"/>
        <v>173161.81109589653</v>
      </c>
      <c r="T430">
        <f t="shared" si="979"/>
        <v>173.16181109589652</v>
      </c>
    </row>
    <row r="431" spans="1:20" x14ac:dyDescent="0.25">
      <c r="A431" s="5">
        <v>44162</v>
      </c>
      <c r="B431">
        <v>0.13835</v>
      </c>
      <c r="C431">
        <v>0.14559</v>
      </c>
      <c r="D431">
        <v>0.13070000000000001</v>
      </c>
      <c r="E431">
        <v>0.14177999999999999</v>
      </c>
      <c r="F431">
        <v>714401286.70000005</v>
      </c>
      <c r="G431">
        <v>2.48</v>
      </c>
      <c r="L431" t="s">
        <v>8</v>
      </c>
      <c r="M431" t="s">
        <v>8</v>
      </c>
      <c r="N431" t="s">
        <v>7</v>
      </c>
      <c r="P431">
        <f t="shared" si="975"/>
        <v>0.48824714573539135</v>
      </c>
      <c r="Q431">
        <f t="shared" si="976"/>
        <v>348804389.140966</v>
      </c>
      <c r="R431">
        <f t="shared" si="977"/>
        <v>16710901015.376688</v>
      </c>
      <c r="S431">
        <f t="shared" si="978"/>
        <v>167109.01015376687</v>
      </c>
      <c r="T431">
        <f t="shared" si="979"/>
        <v>167.10901015376686</v>
      </c>
    </row>
    <row r="432" spans="1:20" x14ac:dyDescent="0.25">
      <c r="A432" s="5">
        <v>44161</v>
      </c>
      <c r="B432">
        <v>0.15473999999999999</v>
      </c>
      <c r="C432">
        <v>0.16084999999999999</v>
      </c>
      <c r="D432">
        <v>0.1123</v>
      </c>
      <c r="E432">
        <v>0.13843</v>
      </c>
      <c r="F432">
        <v>1645992625.9000001</v>
      </c>
      <c r="G432">
        <v>-10.54</v>
      </c>
      <c r="L432" t="s">
        <v>7</v>
      </c>
      <c r="M432" t="s">
        <v>7</v>
      </c>
      <c r="N432" t="s">
        <v>7</v>
      </c>
      <c r="P432">
        <f t="shared" si="975"/>
        <v>7.6416065911431616E-2</v>
      </c>
      <c r="Q432">
        <f t="shared" si="976"/>
        <v>125780280.99050482</v>
      </c>
      <c r="R432">
        <f t="shared" si="977"/>
        <v>16362096626.235722</v>
      </c>
      <c r="S432">
        <f t="shared" si="978"/>
        <v>163620.96626235722</v>
      </c>
      <c r="T432">
        <f t="shared" si="979"/>
        <v>163.62096626235723</v>
      </c>
    </row>
    <row r="433" spans="1:20" x14ac:dyDescent="0.25">
      <c r="A433" s="5">
        <v>44160</v>
      </c>
      <c r="B433">
        <v>0.16722000000000001</v>
      </c>
      <c r="C433">
        <v>0.17549000000000001</v>
      </c>
      <c r="D433">
        <v>0.14702000000000001</v>
      </c>
      <c r="E433">
        <v>0.15473000000000001</v>
      </c>
      <c r="F433">
        <v>1078036852.7</v>
      </c>
      <c r="G433">
        <v>-7.47</v>
      </c>
      <c r="L433" t="s">
        <v>7</v>
      </c>
      <c r="M433" t="s">
        <v>7</v>
      </c>
      <c r="N433" t="s">
        <v>8</v>
      </c>
      <c r="P433">
        <f t="shared" si="975"/>
        <v>-0.45837723919915729</v>
      </c>
      <c r="Q433">
        <f t="shared" si="976"/>
        <v>-494147556.29557461</v>
      </c>
      <c r="R433">
        <f t="shared" si="977"/>
        <v>16236316345.245216</v>
      </c>
      <c r="S433">
        <f t="shared" si="978"/>
        <v>162363.16345245217</v>
      </c>
      <c r="T433">
        <f t="shared" si="979"/>
        <v>162.36316345245217</v>
      </c>
    </row>
    <row r="434" spans="1:20" x14ac:dyDescent="0.25">
      <c r="A434" s="5">
        <v>44159</v>
      </c>
      <c r="B434">
        <v>0.15451000000000001</v>
      </c>
      <c r="C434">
        <v>0.183</v>
      </c>
      <c r="D434">
        <v>0.15</v>
      </c>
      <c r="E434">
        <v>0.16721</v>
      </c>
      <c r="F434">
        <v>1689043010.0999999</v>
      </c>
      <c r="G434">
        <v>8.2200000000000006</v>
      </c>
      <c r="L434" t="s">
        <v>8</v>
      </c>
      <c r="M434" t="s">
        <v>8</v>
      </c>
      <c r="N434" t="s">
        <v>8</v>
      </c>
      <c r="P434">
        <f t="shared" si="975"/>
        <v>4.3030303030303169E-2</v>
      </c>
      <c r="Q434">
        <f t="shared" si="976"/>
        <v>72680032.555818409</v>
      </c>
      <c r="R434">
        <f t="shared" si="977"/>
        <v>16730463901.540791</v>
      </c>
      <c r="S434">
        <f t="shared" si="978"/>
        <v>167304.63901540791</v>
      </c>
      <c r="T434">
        <f t="shared" si="979"/>
        <v>167.3046390154079</v>
      </c>
    </row>
    <row r="435" spans="1:20" x14ac:dyDescent="0.25">
      <c r="A435" s="5">
        <v>44158</v>
      </c>
      <c r="B435">
        <v>0.14593</v>
      </c>
      <c r="C435">
        <v>0.15925</v>
      </c>
      <c r="D435">
        <v>0.14099999999999999</v>
      </c>
      <c r="E435">
        <v>0.15445</v>
      </c>
      <c r="F435">
        <v>1389843989.7</v>
      </c>
      <c r="G435">
        <v>5.84</v>
      </c>
      <c r="L435" t="s">
        <v>8</v>
      </c>
      <c r="M435" t="s">
        <v>8</v>
      </c>
      <c r="N435" t="s">
        <v>8</v>
      </c>
      <c r="P435">
        <f t="shared" si="975"/>
        <v>0.47397260273972663</v>
      </c>
      <c r="Q435">
        <f t="shared" si="976"/>
        <v>658747973.20027483</v>
      </c>
      <c r="R435">
        <f t="shared" si="977"/>
        <v>16657783868.984972</v>
      </c>
      <c r="S435">
        <f t="shared" si="978"/>
        <v>166577.83868984971</v>
      </c>
      <c r="T435">
        <f t="shared" si="979"/>
        <v>166.5778386898497</v>
      </c>
    </row>
    <row r="436" spans="1:20" x14ac:dyDescent="0.25">
      <c r="A436" s="5">
        <v>44157</v>
      </c>
      <c r="B436">
        <v>0.13335</v>
      </c>
      <c r="C436">
        <v>0.15351999999999999</v>
      </c>
      <c r="D436">
        <v>0.12</v>
      </c>
      <c r="E436">
        <v>0.14599000000000001</v>
      </c>
      <c r="F436">
        <v>1960688777.5</v>
      </c>
      <c r="G436">
        <v>9.48</v>
      </c>
      <c r="L436" t="s">
        <v>8</v>
      </c>
      <c r="M436" t="s">
        <v>8</v>
      </c>
      <c r="N436" t="s">
        <v>8</v>
      </c>
      <c r="P436">
        <f t="shared" si="975"/>
        <v>0.55071599045346165</v>
      </c>
      <c r="Q436">
        <f t="shared" si="976"/>
        <v>1079782662.0718994</v>
      </c>
      <c r="R436">
        <f t="shared" si="977"/>
        <v>15999035895.784697</v>
      </c>
      <c r="S436">
        <f t="shared" si="978"/>
        <v>159990.35895784697</v>
      </c>
      <c r="T436">
        <f t="shared" si="979"/>
        <v>159.99035895784698</v>
      </c>
    </row>
    <row r="437" spans="1:20" x14ac:dyDescent="0.25">
      <c r="A437" s="5">
        <v>44156</v>
      </c>
      <c r="B437">
        <v>0.11826</v>
      </c>
      <c r="C437">
        <v>0.13472000000000001</v>
      </c>
      <c r="D437">
        <v>0.11605</v>
      </c>
      <c r="E437">
        <v>0.13333999999999999</v>
      </c>
      <c r="F437">
        <v>1071722949.3</v>
      </c>
      <c r="G437">
        <v>12.75</v>
      </c>
      <c r="L437" t="s">
        <v>8</v>
      </c>
      <c r="M437" t="s">
        <v>8</v>
      </c>
      <c r="N437" t="s">
        <v>8</v>
      </c>
      <c r="P437">
        <f t="shared" si="975"/>
        <v>0.85216925549008893</v>
      </c>
      <c r="Q437">
        <f t="shared" si="976"/>
        <v>913289347.79662323</v>
      </c>
      <c r="R437">
        <f t="shared" si="977"/>
        <v>14919253233.712797</v>
      </c>
      <c r="S437">
        <f t="shared" si="978"/>
        <v>149192.53233712798</v>
      </c>
      <c r="T437">
        <f t="shared" si="979"/>
        <v>149.19253233712797</v>
      </c>
    </row>
    <row r="438" spans="1:20" x14ac:dyDescent="0.25">
      <c r="A438" s="5">
        <v>44155</v>
      </c>
      <c r="B438">
        <v>0.10589999999999999</v>
      </c>
      <c r="C438">
        <v>0.11899999999999999</v>
      </c>
      <c r="D438">
        <v>0.10549</v>
      </c>
      <c r="E438">
        <v>0.11828</v>
      </c>
      <c r="F438">
        <v>437634200.69999999</v>
      </c>
      <c r="G438">
        <v>11.69</v>
      </c>
      <c r="L438" t="s">
        <v>8</v>
      </c>
      <c r="M438" t="s">
        <v>8</v>
      </c>
      <c r="N438" t="s">
        <v>8</v>
      </c>
      <c r="P438">
        <f t="shared" si="975"/>
        <v>0.89341228719467081</v>
      </c>
      <c r="Q438">
        <f t="shared" si="976"/>
        <v>390987772.20199859</v>
      </c>
      <c r="R438">
        <f t="shared" si="977"/>
        <v>14005963885.916174</v>
      </c>
      <c r="S438">
        <f t="shared" si="978"/>
        <v>140059.63885916173</v>
      </c>
      <c r="T438">
        <f t="shared" si="979"/>
        <v>140.05963885916174</v>
      </c>
    </row>
    <row r="439" spans="1:20" x14ac:dyDescent="0.25">
      <c r="A439" s="5">
        <v>44154</v>
      </c>
      <c r="B439">
        <v>0.10662000000000001</v>
      </c>
      <c r="C439">
        <v>0.10816000000000001</v>
      </c>
      <c r="D439">
        <v>0.10435</v>
      </c>
      <c r="E439">
        <v>0.10589999999999999</v>
      </c>
      <c r="F439">
        <v>237807123</v>
      </c>
      <c r="G439">
        <v>-0.68</v>
      </c>
      <c r="L439" t="s">
        <v>7</v>
      </c>
      <c r="M439" t="s">
        <v>8</v>
      </c>
      <c r="N439" t="s">
        <v>8</v>
      </c>
      <c r="P439">
        <f t="shared" si="975"/>
        <v>-0.18635170603674928</v>
      </c>
      <c r="Q439">
        <f t="shared" si="976"/>
        <v>-44315763.078741081</v>
      </c>
      <c r="R439">
        <f t="shared" si="977"/>
        <v>13614976113.714176</v>
      </c>
      <c r="S439">
        <f t="shared" si="978"/>
        <v>136149.76113714176</v>
      </c>
      <c r="T439">
        <f t="shared" si="979"/>
        <v>136.14976113714175</v>
      </c>
    </row>
    <row r="440" spans="1:20" x14ac:dyDescent="0.25">
      <c r="A440" s="5">
        <v>44153</v>
      </c>
      <c r="B440">
        <v>0.10944</v>
      </c>
      <c r="C440">
        <v>0.11161</v>
      </c>
      <c r="D440">
        <v>0.10170999999999999</v>
      </c>
      <c r="E440">
        <v>0.10657999999999999</v>
      </c>
      <c r="F440">
        <v>434138632.19999999</v>
      </c>
      <c r="G440">
        <v>-2.61</v>
      </c>
      <c r="L440" t="s">
        <v>7</v>
      </c>
      <c r="M440" t="s">
        <v>8</v>
      </c>
      <c r="N440" t="s">
        <v>8</v>
      </c>
      <c r="P440">
        <f t="shared" si="975"/>
        <v>-1.6161616161616894E-2</v>
      </c>
      <c r="Q440">
        <f t="shared" si="976"/>
        <v>-7016381.9345457722</v>
      </c>
      <c r="R440">
        <f t="shared" si="977"/>
        <v>13659291876.792917</v>
      </c>
      <c r="S440">
        <f t="shared" si="978"/>
        <v>136592.91876792916</v>
      </c>
      <c r="T440">
        <f t="shared" si="979"/>
        <v>136.59291876792918</v>
      </c>
    </row>
    <row r="441" spans="1:20" x14ac:dyDescent="0.25">
      <c r="A441" s="5">
        <v>44152</v>
      </c>
      <c r="B441">
        <v>0.10387</v>
      </c>
      <c r="C441">
        <v>0.11246</v>
      </c>
      <c r="D441">
        <v>0.10353999999999999</v>
      </c>
      <c r="E441">
        <v>0.10947</v>
      </c>
      <c r="F441">
        <v>422358548.5</v>
      </c>
      <c r="G441">
        <v>5.39</v>
      </c>
      <c r="L441" t="s">
        <v>8</v>
      </c>
      <c r="M441" t="s">
        <v>8</v>
      </c>
      <c r="N441" t="s">
        <v>8</v>
      </c>
      <c r="P441">
        <f t="shared" si="975"/>
        <v>0.32959641255605321</v>
      </c>
      <c r="Q441">
        <f t="shared" si="976"/>
        <v>139207862.39798182</v>
      </c>
      <c r="R441">
        <f t="shared" si="977"/>
        <v>13666308258.727463</v>
      </c>
      <c r="S441">
        <f t="shared" si="978"/>
        <v>136663.08258727464</v>
      </c>
      <c r="T441">
        <f t="shared" si="979"/>
        <v>136.66308258727463</v>
      </c>
    </row>
    <row r="442" spans="1:20" x14ac:dyDescent="0.25">
      <c r="A442" s="5">
        <v>44151</v>
      </c>
      <c r="B442">
        <v>0.10045</v>
      </c>
      <c r="C442">
        <v>0.10499</v>
      </c>
      <c r="D442">
        <v>9.9500000000000005E-2</v>
      </c>
      <c r="E442">
        <v>0.10387</v>
      </c>
      <c r="F442">
        <v>215990529.69999999</v>
      </c>
      <c r="G442">
        <v>3.4</v>
      </c>
      <c r="L442" t="s">
        <v>8</v>
      </c>
      <c r="M442" t="s">
        <v>8</v>
      </c>
      <c r="N442" t="s">
        <v>8</v>
      </c>
      <c r="P442">
        <f t="shared" si="975"/>
        <v>0.59198542805100285</v>
      </c>
      <c r="Q442">
        <f t="shared" si="976"/>
        <v>127863246.17941734</v>
      </c>
      <c r="R442">
        <f t="shared" si="977"/>
        <v>13527100396.329481</v>
      </c>
      <c r="S442">
        <f t="shared" si="978"/>
        <v>135271.00396329482</v>
      </c>
      <c r="T442">
        <f t="shared" si="979"/>
        <v>135.27100396329482</v>
      </c>
    </row>
    <row r="443" spans="1:20" x14ac:dyDescent="0.25">
      <c r="A443" s="5">
        <v>44150</v>
      </c>
      <c r="B443">
        <v>0.10410999999999999</v>
      </c>
      <c r="C443">
        <v>0.10527</v>
      </c>
      <c r="D443">
        <v>9.8500000000000004E-2</v>
      </c>
      <c r="E443">
        <v>0.10045999999999999</v>
      </c>
      <c r="F443">
        <v>201375366.59999999</v>
      </c>
      <c r="G443">
        <v>-3.51</v>
      </c>
      <c r="L443" t="s">
        <v>7</v>
      </c>
      <c r="M443" t="s">
        <v>8</v>
      </c>
      <c r="N443" t="s">
        <v>8</v>
      </c>
      <c r="P443">
        <f t="shared" si="975"/>
        <v>-0.42097488921713738</v>
      </c>
      <c r="Q443">
        <f t="shared" si="976"/>
        <v>-84773972.64549543</v>
      </c>
      <c r="R443">
        <f t="shared" si="977"/>
        <v>13399237150.150064</v>
      </c>
      <c r="S443">
        <f t="shared" si="978"/>
        <v>133992.37150150063</v>
      </c>
      <c r="T443">
        <f t="shared" si="979"/>
        <v>133.99237150150063</v>
      </c>
    </row>
    <row r="444" spans="1:20" x14ac:dyDescent="0.25">
      <c r="A444" s="5">
        <v>44149</v>
      </c>
      <c r="B444">
        <v>0.10632999999999999</v>
      </c>
      <c r="C444">
        <v>0.10730000000000001</v>
      </c>
      <c r="D444">
        <v>0.10142</v>
      </c>
      <c r="E444">
        <v>0.10410999999999999</v>
      </c>
      <c r="F444">
        <v>228682972</v>
      </c>
      <c r="G444">
        <v>-2.09</v>
      </c>
      <c r="L444" t="s">
        <v>7</v>
      </c>
      <c r="M444" t="s">
        <v>8</v>
      </c>
      <c r="N444" t="s">
        <v>8</v>
      </c>
      <c r="P444">
        <f t="shared" si="975"/>
        <v>-8.5034013605444464E-2</v>
      </c>
      <c r="Q444">
        <f t="shared" si="976"/>
        <v>-19445830.952381477</v>
      </c>
      <c r="R444">
        <f t="shared" si="977"/>
        <v>13484011122.795561</v>
      </c>
      <c r="S444">
        <f t="shared" si="978"/>
        <v>134840.11122795561</v>
      </c>
      <c r="T444">
        <f t="shared" si="979"/>
        <v>134.84011122795562</v>
      </c>
    </row>
    <row r="445" spans="1:20" x14ac:dyDescent="0.25">
      <c r="A445" s="5">
        <v>44148</v>
      </c>
      <c r="B445">
        <v>0.10462</v>
      </c>
      <c r="C445">
        <v>0.10798000000000001</v>
      </c>
      <c r="D445">
        <v>0.10401000000000001</v>
      </c>
      <c r="E445">
        <v>0.10629</v>
      </c>
      <c r="F445">
        <v>237407048.5</v>
      </c>
      <c r="G445">
        <v>1.6</v>
      </c>
      <c r="L445" t="s">
        <v>7</v>
      </c>
      <c r="M445" t="s">
        <v>8</v>
      </c>
      <c r="N445" t="s">
        <v>8</v>
      </c>
      <c r="P445">
        <f t="shared" si="975"/>
        <v>0.14861460957178318</v>
      </c>
      <c r="Q445">
        <f t="shared" si="976"/>
        <v>35282155.822416894</v>
      </c>
      <c r="R445">
        <f t="shared" si="977"/>
        <v>13503456953.747942</v>
      </c>
      <c r="S445">
        <f t="shared" si="978"/>
        <v>135034.56953747943</v>
      </c>
      <c r="T445">
        <f t="shared" si="979"/>
        <v>135.03456953747943</v>
      </c>
    </row>
    <row r="446" spans="1:20" x14ac:dyDescent="0.25">
      <c r="A446" s="5">
        <v>44147</v>
      </c>
      <c r="B446">
        <v>0.10596999999999999</v>
      </c>
      <c r="C446">
        <v>0.10667</v>
      </c>
      <c r="D446">
        <v>0.10254000000000001</v>
      </c>
      <c r="E446">
        <v>0.1046</v>
      </c>
      <c r="F446">
        <v>223674122.09999999</v>
      </c>
      <c r="G446">
        <v>-1.29</v>
      </c>
      <c r="L446" t="s">
        <v>7</v>
      </c>
      <c r="M446" t="s">
        <v>8</v>
      </c>
      <c r="N446" t="s">
        <v>8</v>
      </c>
      <c r="P446">
        <f t="shared" si="975"/>
        <v>-2.4213075060556932E-3</v>
      </c>
      <c r="Q446">
        <f t="shared" si="976"/>
        <v>-541583.83075114759</v>
      </c>
      <c r="R446">
        <f t="shared" si="977"/>
        <v>13468174797.925526</v>
      </c>
      <c r="S446">
        <f t="shared" si="978"/>
        <v>134681.74797925525</v>
      </c>
      <c r="T446">
        <f t="shared" si="979"/>
        <v>134.68174797925525</v>
      </c>
    </row>
    <row r="447" spans="1:20" x14ac:dyDescent="0.25">
      <c r="A447" s="5">
        <v>44146</v>
      </c>
      <c r="B447">
        <v>0.10589999999999999</v>
      </c>
      <c r="C447">
        <v>0.1089</v>
      </c>
      <c r="D447">
        <v>0.10541</v>
      </c>
      <c r="E447">
        <v>0.10599</v>
      </c>
      <c r="F447">
        <v>251231387.09999999</v>
      </c>
      <c r="G447">
        <v>0.08</v>
      </c>
      <c r="L447" t="s">
        <v>8</v>
      </c>
      <c r="M447" t="s">
        <v>8</v>
      </c>
      <c r="N447" t="s">
        <v>8</v>
      </c>
      <c r="P447">
        <f t="shared" si="975"/>
        <v>-0.66762177650429899</v>
      </c>
      <c r="Q447">
        <f t="shared" si="976"/>
        <v>-167727544.96934122</v>
      </c>
      <c r="R447">
        <f t="shared" si="977"/>
        <v>13468716381.756277</v>
      </c>
      <c r="S447">
        <f t="shared" si="978"/>
        <v>134687.16381756277</v>
      </c>
      <c r="T447">
        <f t="shared" si="979"/>
        <v>134.68716381756278</v>
      </c>
    </row>
    <row r="448" spans="1:20" x14ac:dyDescent="0.25">
      <c r="A448" s="5">
        <v>44145</v>
      </c>
      <c r="B448">
        <v>0.10555</v>
      </c>
      <c r="C448">
        <v>0.10915</v>
      </c>
      <c r="D448">
        <v>0.10355</v>
      </c>
      <c r="E448">
        <v>0.10589999999999999</v>
      </c>
      <c r="F448">
        <v>303777358.80000001</v>
      </c>
      <c r="G448">
        <v>0.33</v>
      </c>
      <c r="L448" t="s">
        <v>8</v>
      </c>
      <c r="M448" t="s">
        <v>8</v>
      </c>
      <c r="N448" t="s">
        <v>8</v>
      </c>
      <c r="P448">
        <f t="shared" si="975"/>
        <v>-0.160714285714288</v>
      </c>
      <c r="Q448">
        <f t="shared" si="976"/>
        <v>-48821361.235714979</v>
      </c>
      <c r="R448">
        <f t="shared" si="977"/>
        <v>13636443926.725618</v>
      </c>
      <c r="S448">
        <f t="shared" si="978"/>
        <v>136364.43926725618</v>
      </c>
      <c r="T448">
        <f t="shared" si="979"/>
        <v>136.36443926725619</v>
      </c>
    </row>
    <row r="449" spans="1:20" x14ac:dyDescent="0.25">
      <c r="A449" s="5">
        <v>44144</v>
      </c>
      <c r="B449">
        <v>0.10652</v>
      </c>
      <c r="C449">
        <v>0.10799</v>
      </c>
      <c r="D449">
        <v>0.10113999999999999</v>
      </c>
      <c r="E449">
        <v>0.10561</v>
      </c>
      <c r="F449">
        <v>310077984.39999998</v>
      </c>
      <c r="G449">
        <v>-0.85</v>
      </c>
      <c r="L449" t="s">
        <v>8</v>
      </c>
      <c r="M449" t="s">
        <v>8</v>
      </c>
      <c r="N449" t="s">
        <v>8</v>
      </c>
      <c r="P449">
        <f t="shared" si="975"/>
        <v>0.3051094890510937</v>
      </c>
      <c r="Q449">
        <f t="shared" si="976"/>
        <v>94607735.38627699</v>
      </c>
      <c r="R449">
        <f t="shared" si="977"/>
        <v>13685265287.961334</v>
      </c>
      <c r="S449">
        <f t="shared" si="978"/>
        <v>136852.65287961334</v>
      </c>
      <c r="T449">
        <f t="shared" si="979"/>
        <v>136.85265287961334</v>
      </c>
    </row>
    <row r="450" spans="1:20" x14ac:dyDescent="0.25">
      <c r="A450" s="5">
        <v>44143</v>
      </c>
      <c r="B450">
        <v>0.10131</v>
      </c>
      <c r="C450">
        <v>0.10832</v>
      </c>
      <c r="D450">
        <v>9.9699999999999997E-2</v>
      </c>
      <c r="E450">
        <v>0.10655000000000001</v>
      </c>
      <c r="F450">
        <v>270595831</v>
      </c>
      <c r="G450">
        <v>5.17</v>
      </c>
      <c r="L450" t="s">
        <v>7</v>
      </c>
      <c r="M450" t="s">
        <v>8</v>
      </c>
      <c r="N450" t="s">
        <v>8</v>
      </c>
      <c r="P450">
        <f t="shared" si="975"/>
        <v>0.58932714617169535</v>
      </c>
      <c r="Q450">
        <f t="shared" si="976"/>
        <v>159469468.84918836</v>
      </c>
      <c r="R450">
        <f t="shared" si="977"/>
        <v>13590657552.575058</v>
      </c>
      <c r="S450">
        <f t="shared" si="978"/>
        <v>135906.57552575058</v>
      </c>
      <c r="T450">
        <f t="shared" si="979"/>
        <v>135.90657552575058</v>
      </c>
    </row>
    <row r="451" spans="1:20" x14ac:dyDescent="0.25">
      <c r="A451" s="5">
        <v>44142</v>
      </c>
      <c r="B451">
        <v>0.10911999999999999</v>
      </c>
      <c r="C451">
        <v>0.11387</v>
      </c>
      <c r="D451">
        <v>9.8610000000000003E-2</v>
      </c>
      <c r="E451">
        <v>0.10128</v>
      </c>
      <c r="F451">
        <v>647454529.20000005</v>
      </c>
      <c r="G451">
        <v>-7.18</v>
      </c>
      <c r="L451" t="s">
        <v>8</v>
      </c>
      <c r="M451" t="s">
        <v>8</v>
      </c>
      <c r="N451" t="s">
        <v>8</v>
      </c>
      <c r="P451">
        <f t="shared" si="975"/>
        <v>-0.65006553079947671</v>
      </c>
      <c r="Q451">
        <f t="shared" si="976"/>
        <v>-420887872.19292331</v>
      </c>
      <c r="R451">
        <f t="shared" si="977"/>
        <v>13431188083.72587</v>
      </c>
      <c r="S451">
        <f t="shared" si="978"/>
        <v>134311.88083725871</v>
      </c>
      <c r="T451">
        <f t="shared" si="979"/>
        <v>134.31188083725871</v>
      </c>
    </row>
    <row r="452" spans="1:20" x14ac:dyDescent="0.25">
      <c r="A452" s="5">
        <v>44141</v>
      </c>
      <c r="B452">
        <v>9.7489999999999993E-2</v>
      </c>
      <c r="C452">
        <v>0.11</v>
      </c>
      <c r="D452">
        <v>9.7059999999999994E-2</v>
      </c>
      <c r="E452">
        <v>0.1091</v>
      </c>
      <c r="F452">
        <v>451716971.60000002</v>
      </c>
      <c r="G452">
        <v>11.91</v>
      </c>
      <c r="L452" t="s">
        <v>8</v>
      </c>
      <c r="M452" t="s">
        <v>8</v>
      </c>
      <c r="N452" t="s">
        <v>8</v>
      </c>
      <c r="P452">
        <f t="shared" si="975"/>
        <v>0.86089644513137598</v>
      </c>
      <c r="Q452">
        <f t="shared" si="976"/>
        <v>388881535.05595076</v>
      </c>
      <c r="R452">
        <f t="shared" si="977"/>
        <v>13852075955.918793</v>
      </c>
      <c r="S452">
        <f t="shared" si="978"/>
        <v>138520.75955918792</v>
      </c>
      <c r="T452">
        <f t="shared" si="979"/>
        <v>138.52075955918792</v>
      </c>
    </row>
    <row r="453" spans="1:20" x14ac:dyDescent="0.25">
      <c r="A453" s="5">
        <v>44140</v>
      </c>
      <c r="B453">
        <v>9.5530000000000004E-2</v>
      </c>
      <c r="C453">
        <v>9.8100000000000007E-2</v>
      </c>
      <c r="D453">
        <v>9.2069999999999999E-2</v>
      </c>
      <c r="E453">
        <v>9.7519999999999996E-2</v>
      </c>
      <c r="F453">
        <v>332802061.69999999</v>
      </c>
      <c r="G453">
        <v>2.08</v>
      </c>
      <c r="L453" t="s">
        <v>8</v>
      </c>
      <c r="M453" t="s">
        <v>7</v>
      </c>
      <c r="N453" t="s">
        <v>8</v>
      </c>
      <c r="P453">
        <f t="shared" si="975"/>
        <v>0.80762852404643104</v>
      </c>
      <c r="Q453">
        <f t="shared" si="976"/>
        <v>268780437.89038026</v>
      </c>
      <c r="R453">
        <f t="shared" si="977"/>
        <v>13463194420.862843</v>
      </c>
      <c r="S453">
        <f t="shared" si="978"/>
        <v>134631.94420862844</v>
      </c>
      <c r="T453">
        <f t="shared" si="979"/>
        <v>134.63194420862845</v>
      </c>
    </row>
    <row r="454" spans="1:20" x14ac:dyDescent="0.25">
      <c r="A454" s="5">
        <v>44139</v>
      </c>
      <c r="B454">
        <v>9.3600000000000003E-2</v>
      </c>
      <c r="C454">
        <v>9.6280000000000004E-2</v>
      </c>
      <c r="D454">
        <v>9.1550000000000006E-2</v>
      </c>
      <c r="E454">
        <v>9.5500000000000002E-2</v>
      </c>
      <c r="F454">
        <v>256317711.90000001</v>
      </c>
      <c r="G454">
        <v>2.0299999999999998</v>
      </c>
      <c r="L454" t="s">
        <v>8</v>
      </c>
      <c r="M454" t="s">
        <v>7</v>
      </c>
      <c r="N454" t="s">
        <v>8</v>
      </c>
      <c r="P454">
        <f t="shared" ref="P454:P517" si="980">IF(C454=D454,0,((E454-D454)-(C454-E454))/(C454-D454))</f>
        <v>0.67019027484143623</v>
      </c>
      <c r="Q454">
        <f t="shared" ref="Q454:Q517" si="981">F454*P454</f>
        <v>171781637.78498906</v>
      </c>
      <c r="R454">
        <f t="shared" ref="R454:R517" si="982">R455+Q454</f>
        <v>13194413982.972462</v>
      </c>
      <c r="S454">
        <f t="shared" ref="S454:S517" si="983">R454/100000</f>
        <v>131944.13982972462</v>
      </c>
      <c r="T454">
        <f t="shared" ref="T454:T517" si="984">S454/1000</f>
        <v>131.94413982972463</v>
      </c>
    </row>
    <row r="455" spans="1:20" x14ac:dyDescent="0.25">
      <c r="A455" s="5">
        <v>44138</v>
      </c>
      <c r="B455">
        <v>9.2219999999999996E-2</v>
      </c>
      <c r="C455">
        <v>9.4170000000000004E-2</v>
      </c>
      <c r="D455">
        <v>8.7929999999999994E-2</v>
      </c>
      <c r="E455">
        <v>9.357E-2</v>
      </c>
      <c r="F455">
        <v>244514002.69999999</v>
      </c>
      <c r="G455">
        <v>1.46</v>
      </c>
      <c r="L455" t="s">
        <v>7</v>
      </c>
      <c r="M455" t="s">
        <v>7</v>
      </c>
      <c r="N455" t="s">
        <v>8</v>
      </c>
      <c r="P455">
        <f t="shared" si="980"/>
        <v>0.80769230769230693</v>
      </c>
      <c r="Q455">
        <f t="shared" si="981"/>
        <v>197492079.10384595</v>
      </c>
      <c r="R455">
        <f t="shared" si="982"/>
        <v>13022632345.187473</v>
      </c>
      <c r="S455">
        <f t="shared" si="983"/>
        <v>130226.32345187473</v>
      </c>
      <c r="T455">
        <f t="shared" si="984"/>
        <v>130.22632345187475</v>
      </c>
    </row>
    <row r="456" spans="1:20" x14ac:dyDescent="0.25">
      <c r="A456" s="5">
        <v>44137</v>
      </c>
      <c r="B456">
        <v>9.8269999999999996E-2</v>
      </c>
      <c r="C456">
        <v>0.10004</v>
      </c>
      <c r="D456">
        <v>9.1509999999999994E-2</v>
      </c>
      <c r="E456">
        <v>9.221E-2</v>
      </c>
      <c r="F456">
        <v>250365831.59999999</v>
      </c>
      <c r="G456">
        <v>-6.17</v>
      </c>
      <c r="L456" t="s">
        <v>7</v>
      </c>
      <c r="M456" t="s">
        <v>7</v>
      </c>
      <c r="N456" t="s">
        <v>8</v>
      </c>
      <c r="P456">
        <f t="shared" si="980"/>
        <v>-0.83587338804220268</v>
      </c>
      <c r="Q456">
        <f t="shared" si="981"/>
        <v>-209274135.90949556</v>
      </c>
      <c r="R456">
        <f t="shared" si="982"/>
        <v>12825140266.083628</v>
      </c>
      <c r="S456">
        <f t="shared" si="983"/>
        <v>128251.40266083628</v>
      </c>
      <c r="T456">
        <f t="shared" si="984"/>
        <v>128.25140266083628</v>
      </c>
    </row>
    <row r="457" spans="1:20" x14ac:dyDescent="0.25">
      <c r="A457" s="5">
        <v>44136</v>
      </c>
      <c r="B457">
        <v>9.2960000000000001E-2</v>
      </c>
      <c r="C457">
        <v>9.8680000000000004E-2</v>
      </c>
      <c r="D457">
        <v>9.2410000000000006E-2</v>
      </c>
      <c r="E457">
        <v>9.8269999999999996E-2</v>
      </c>
      <c r="F457">
        <v>138991316.09999999</v>
      </c>
      <c r="G457">
        <v>5.71</v>
      </c>
      <c r="L457" t="s">
        <v>8</v>
      </c>
      <c r="M457" t="s">
        <v>7</v>
      </c>
      <c r="N457" t="s">
        <v>8</v>
      </c>
      <c r="P457">
        <f t="shared" si="980"/>
        <v>0.86921850079744567</v>
      </c>
      <c r="Q457">
        <f t="shared" si="981"/>
        <v>120813823.40430588</v>
      </c>
      <c r="R457">
        <f t="shared" si="982"/>
        <v>13034414401.993124</v>
      </c>
      <c r="S457">
        <f t="shared" si="983"/>
        <v>130344.14401993123</v>
      </c>
      <c r="T457">
        <f t="shared" si="984"/>
        <v>130.34414401993124</v>
      </c>
    </row>
    <row r="458" spans="1:20" x14ac:dyDescent="0.25">
      <c r="A458" s="5">
        <v>44135</v>
      </c>
      <c r="B458">
        <v>9.3259999999999996E-2</v>
      </c>
      <c r="C458">
        <v>9.5549999999999996E-2</v>
      </c>
      <c r="D458">
        <v>9.196E-2</v>
      </c>
      <c r="E458">
        <v>9.2999999999999999E-2</v>
      </c>
      <c r="F458">
        <v>165418867.69999999</v>
      </c>
      <c r="G458">
        <v>-0.28000000000000003</v>
      </c>
      <c r="L458" t="s">
        <v>8</v>
      </c>
      <c r="M458" t="s">
        <v>7</v>
      </c>
      <c r="N458" t="s">
        <v>8</v>
      </c>
      <c r="P458">
        <f t="shared" si="980"/>
        <v>-0.42061281337047329</v>
      </c>
      <c r="Q458">
        <f t="shared" si="981"/>
        <v>-69577295.32785511</v>
      </c>
      <c r="R458">
        <f t="shared" si="982"/>
        <v>12913600578.588818</v>
      </c>
      <c r="S458">
        <f t="shared" si="983"/>
        <v>129136.00578588818</v>
      </c>
      <c r="T458">
        <f t="shared" si="984"/>
        <v>129.13600578588819</v>
      </c>
    </row>
    <row r="459" spans="1:20" x14ac:dyDescent="0.25">
      <c r="A459" s="5">
        <v>44134</v>
      </c>
      <c r="B459">
        <v>9.5269999999999994E-2</v>
      </c>
      <c r="C459">
        <v>9.5689999999999997E-2</v>
      </c>
      <c r="D459">
        <v>8.9149999999999993E-2</v>
      </c>
      <c r="E459">
        <v>9.3299999999999994E-2</v>
      </c>
      <c r="F459">
        <v>278450826</v>
      </c>
      <c r="G459">
        <v>-2.0699999999999998</v>
      </c>
      <c r="L459" t="s">
        <v>7</v>
      </c>
      <c r="M459" t="s">
        <v>7</v>
      </c>
      <c r="N459" t="s">
        <v>8</v>
      </c>
      <c r="P459">
        <f t="shared" si="980"/>
        <v>0.26911314984709428</v>
      </c>
      <c r="Q459">
        <f t="shared" si="981"/>
        <v>74934778.862385169</v>
      </c>
      <c r="R459">
        <f t="shared" si="982"/>
        <v>12983177873.916674</v>
      </c>
      <c r="S459">
        <f t="shared" si="983"/>
        <v>129831.77873916674</v>
      </c>
      <c r="T459">
        <f t="shared" si="984"/>
        <v>129.83177873916674</v>
      </c>
    </row>
    <row r="460" spans="1:20" x14ac:dyDescent="0.25">
      <c r="A460" s="5">
        <v>44133</v>
      </c>
      <c r="B460">
        <v>9.8720000000000002E-2</v>
      </c>
      <c r="C460">
        <v>0.10082000000000001</v>
      </c>
      <c r="D460">
        <v>9.4839999999999994E-2</v>
      </c>
      <c r="E460">
        <v>9.5310000000000006E-2</v>
      </c>
      <c r="F460">
        <v>257269193.80000001</v>
      </c>
      <c r="G460">
        <v>-3.45</v>
      </c>
      <c r="L460" t="s">
        <v>7</v>
      </c>
      <c r="M460" t="s">
        <v>7</v>
      </c>
      <c r="N460" t="s">
        <v>8</v>
      </c>
      <c r="P460">
        <f t="shared" si="980"/>
        <v>-0.84280936454849131</v>
      </c>
      <c r="Q460">
        <f t="shared" si="981"/>
        <v>-216828885.74448067</v>
      </c>
      <c r="R460">
        <f t="shared" si="982"/>
        <v>12908243095.054289</v>
      </c>
      <c r="S460">
        <f t="shared" si="983"/>
        <v>129082.43095054288</v>
      </c>
      <c r="T460">
        <f t="shared" si="984"/>
        <v>129.08243095054289</v>
      </c>
    </row>
    <row r="461" spans="1:20" x14ac:dyDescent="0.25">
      <c r="A461" s="5">
        <v>44132</v>
      </c>
      <c r="B461">
        <v>0.10254000000000001</v>
      </c>
      <c r="C461">
        <v>0.10331</v>
      </c>
      <c r="D461">
        <v>9.5009999999999997E-2</v>
      </c>
      <c r="E461">
        <v>9.869E-2</v>
      </c>
      <c r="F461">
        <v>282164120.80000001</v>
      </c>
      <c r="G461">
        <v>-3.75</v>
      </c>
      <c r="L461" t="s">
        <v>7</v>
      </c>
      <c r="M461" t="s">
        <v>7</v>
      </c>
      <c r="N461" t="s">
        <v>8</v>
      </c>
      <c r="P461">
        <f t="shared" si="980"/>
        <v>-0.11325301204819231</v>
      </c>
      <c r="Q461">
        <f t="shared" si="981"/>
        <v>-31955936.572529994</v>
      </c>
      <c r="R461">
        <f t="shared" si="982"/>
        <v>13125071980.798769</v>
      </c>
      <c r="S461">
        <f t="shared" si="983"/>
        <v>131250.71980798768</v>
      </c>
      <c r="T461">
        <f t="shared" si="984"/>
        <v>131.25071980798768</v>
      </c>
    </row>
    <row r="462" spans="1:20" x14ac:dyDescent="0.25">
      <c r="A462" s="5">
        <v>44131</v>
      </c>
      <c r="B462">
        <v>0.10299999999999999</v>
      </c>
      <c r="C462">
        <v>0.10568</v>
      </c>
      <c r="D462">
        <v>0.10178</v>
      </c>
      <c r="E462">
        <v>0.10256</v>
      </c>
      <c r="F462">
        <v>184291093.80000001</v>
      </c>
      <c r="G462">
        <v>-0.43</v>
      </c>
      <c r="L462" t="s">
        <v>7</v>
      </c>
      <c r="M462" t="s">
        <v>8</v>
      </c>
      <c r="N462" t="s">
        <v>8</v>
      </c>
      <c r="P462">
        <f t="shared" si="980"/>
        <v>-0.59999999999999853</v>
      </c>
      <c r="Q462">
        <f t="shared" si="981"/>
        <v>-110574656.27999973</v>
      </c>
      <c r="R462">
        <f t="shared" si="982"/>
        <v>13157027917.3713</v>
      </c>
      <c r="S462">
        <f t="shared" si="983"/>
        <v>131570.279173713</v>
      </c>
      <c r="T462">
        <f t="shared" si="984"/>
        <v>131.570279173713</v>
      </c>
    </row>
    <row r="463" spans="1:20" x14ac:dyDescent="0.25">
      <c r="A463" s="5">
        <v>44130</v>
      </c>
      <c r="B463">
        <v>0.10639999999999999</v>
      </c>
      <c r="C463">
        <v>0.1076</v>
      </c>
      <c r="D463">
        <v>9.8919999999999994E-2</v>
      </c>
      <c r="E463">
        <v>0.10306</v>
      </c>
      <c r="F463">
        <v>225727480.59999999</v>
      </c>
      <c r="G463">
        <v>-3.14</v>
      </c>
      <c r="L463" t="s">
        <v>7</v>
      </c>
      <c r="M463" t="s">
        <v>8</v>
      </c>
      <c r="N463" t="s">
        <v>8</v>
      </c>
      <c r="P463">
        <f t="shared" si="980"/>
        <v>-4.6082949308755443E-2</v>
      </c>
      <c r="Q463">
        <f t="shared" si="981"/>
        <v>-10402188.046082877</v>
      </c>
      <c r="R463">
        <f t="shared" si="982"/>
        <v>13267602573.6513</v>
      </c>
      <c r="S463">
        <f t="shared" si="983"/>
        <v>132676.02573651299</v>
      </c>
      <c r="T463">
        <f t="shared" si="984"/>
        <v>132.676025736513</v>
      </c>
    </row>
    <row r="464" spans="1:20" x14ac:dyDescent="0.25">
      <c r="A464" s="5">
        <v>44129</v>
      </c>
      <c r="B464">
        <v>0.10795</v>
      </c>
      <c r="C464">
        <v>0.10879</v>
      </c>
      <c r="D464">
        <v>0.10603</v>
      </c>
      <c r="E464">
        <v>0.10639</v>
      </c>
      <c r="F464">
        <v>112506426.2</v>
      </c>
      <c r="G464">
        <v>-1.45</v>
      </c>
      <c r="L464" t="s">
        <v>8</v>
      </c>
      <c r="M464" t="s">
        <v>8</v>
      </c>
      <c r="N464" t="s">
        <v>8</v>
      </c>
      <c r="P464">
        <f t="shared" si="980"/>
        <v>-0.73913043478260909</v>
      </c>
      <c r="Q464">
        <f t="shared" si="981"/>
        <v>-83156923.713043526</v>
      </c>
      <c r="R464">
        <f t="shared" si="982"/>
        <v>13278004761.697384</v>
      </c>
      <c r="S464">
        <f t="shared" si="983"/>
        <v>132780.04761697384</v>
      </c>
      <c r="T464">
        <f t="shared" si="984"/>
        <v>132.78004761697383</v>
      </c>
    </row>
    <row r="465" spans="1:20" x14ac:dyDescent="0.25">
      <c r="A465" s="5">
        <v>44128</v>
      </c>
      <c r="B465">
        <v>0.10800999999999999</v>
      </c>
      <c r="C465">
        <v>0.1099</v>
      </c>
      <c r="D465">
        <v>0.10725999999999999</v>
      </c>
      <c r="E465">
        <v>0.10797</v>
      </c>
      <c r="F465">
        <v>148170659.59999999</v>
      </c>
      <c r="G465">
        <v>-0.04</v>
      </c>
      <c r="L465" t="s">
        <v>8</v>
      </c>
      <c r="M465" t="s">
        <v>8</v>
      </c>
      <c r="N465" t="s">
        <v>8</v>
      </c>
      <c r="P465">
        <f t="shared" si="980"/>
        <v>-0.4621212121212111</v>
      </c>
      <c r="Q465">
        <f t="shared" si="981"/>
        <v>-68472804.815151364</v>
      </c>
      <c r="R465">
        <f t="shared" si="982"/>
        <v>13361161685.410427</v>
      </c>
      <c r="S465">
        <f t="shared" si="983"/>
        <v>133611.61685410427</v>
      </c>
      <c r="T465">
        <f t="shared" si="984"/>
        <v>133.61161685410428</v>
      </c>
    </row>
    <row r="466" spans="1:20" x14ac:dyDescent="0.25">
      <c r="A466" s="5">
        <v>44127</v>
      </c>
      <c r="B466">
        <v>0.11075</v>
      </c>
      <c r="C466">
        <v>0.11228</v>
      </c>
      <c r="D466">
        <v>0.10514999999999999</v>
      </c>
      <c r="E466">
        <v>0.10804999999999999</v>
      </c>
      <c r="F466">
        <v>229349167.09999999</v>
      </c>
      <c r="G466">
        <v>-2.44</v>
      </c>
      <c r="L466" t="s">
        <v>8</v>
      </c>
      <c r="M466" t="s">
        <v>8</v>
      </c>
      <c r="N466" t="s">
        <v>8</v>
      </c>
      <c r="P466">
        <f t="shared" si="980"/>
        <v>-0.18653576437587793</v>
      </c>
      <c r="Q466">
        <f t="shared" si="981"/>
        <v>-42781822.193969451</v>
      </c>
      <c r="R466">
        <f t="shared" si="982"/>
        <v>13429634490.225578</v>
      </c>
      <c r="S466">
        <f t="shared" si="983"/>
        <v>134296.34490225578</v>
      </c>
      <c r="T466">
        <f t="shared" si="984"/>
        <v>134.29634490225578</v>
      </c>
    </row>
    <row r="467" spans="1:20" x14ac:dyDescent="0.25">
      <c r="A467" s="5">
        <v>44126</v>
      </c>
      <c r="B467">
        <v>0.10585</v>
      </c>
      <c r="C467">
        <v>0.11279</v>
      </c>
      <c r="D467">
        <v>0.10507</v>
      </c>
      <c r="E467">
        <v>0.11076999999999999</v>
      </c>
      <c r="F467">
        <v>253146949.90000001</v>
      </c>
      <c r="G467">
        <v>4.6500000000000004</v>
      </c>
      <c r="L467" t="s">
        <v>8</v>
      </c>
      <c r="M467" t="s">
        <v>8</v>
      </c>
      <c r="N467" t="s">
        <v>8</v>
      </c>
      <c r="P467">
        <f t="shared" si="980"/>
        <v>0.47668393782383245</v>
      </c>
      <c r="Q467">
        <f t="shared" si="981"/>
        <v>120671084.92642443</v>
      </c>
      <c r="R467">
        <f t="shared" si="982"/>
        <v>13472416312.419548</v>
      </c>
      <c r="S467">
        <f t="shared" si="983"/>
        <v>134724.16312419547</v>
      </c>
      <c r="T467">
        <f t="shared" si="984"/>
        <v>134.72416312419548</v>
      </c>
    </row>
    <row r="468" spans="1:20" x14ac:dyDescent="0.25">
      <c r="A468" s="5">
        <v>44125</v>
      </c>
      <c r="B468">
        <v>0.10237</v>
      </c>
      <c r="C468">
        <v>0.10858</v>
      </c>
      <c r="D468">
        <v>0.10128</v>
      </c>
      <c r="E468">
        <v>0.10589</v>
      </c>
      <c r="F468">
        <v>266714219.19999999</v>
      </c>
      <c r="G468">
        <v>3.44</v>
      </c>
      <c r="L468" t="s">
        <v>7</v>
      </c>
      <c r="M468" t="s">
        <v>8</v>
      </c>
      <c r="N468" t="s">
        <v>8</v>
      </c>
      <c r="P468">
        <f t="shared" si="980"/>
        <v>0.26301369863013763</v>
      </c>
      <c r="Q468">
        <f t="shared" si="981"/>
        <v>70149493.26904127</v>
      </c>
      <c r="R468">
        <f t="shared" si="982"/>
        <v>13351745227.493124</v>
      </c>
      <c r="S468">
        <f t="shared" si="983"/>
        <v>133517.45227493125</v>
      </c>
      <c r="T468">
        <f t="shared" si="984"/>
        <v>133.51745227493126</v>
      </c>
    </row>
    <row r="469" spans="1:20" x14ac:dyDescent="0.25">
      <c r="A469" s="5">
        <v>44124</v>
      </c>
      <c r="B469">
        <v>0.10856</v>
      </c>
      <c r="C469">
        <v>0.10883</v>
      </c>
      <c r="D469">
        <v>0.10058</v>
      </c>
      <c r="E469">
        <v>0.10238</v>
      </c>
      <c r="F469">
        <v>336559707.30000001</v>
      </c>
      <c r="G469">
        <v>-5.69</v>
      </c>
      <c r="L469" t="s">
        <v>7</v>
      </c>
      <c r="M469" t="s">
        <v>8</v>
      </c>
      <c r="N469" t="s">
        <v>8</v>
      </c>
      <c r="P469">
        <f t="shared" si="980"/>
        <v>-0.56363636363636427</v>
      </c>
      <c r="Q469">
        <f t="shared" si="981"/>
        <v>-189697289.56909114</v>
      </c>
      <c r="R469">
        <f t="shared" si="982"/>
        <v>13281595734.224083</v>
      </c>
      <c r="S469">
        <f t="shared" si="983"/>
        <v>132815.95734224084</v>
      </c>
      <c r="T469">
        <f t="shared" si="984"/>
        <v>132.81595734224084</v>
      </c>
    </row>
    <row r="470" spans="1:20" x14ac:dyDescent="0.25">
      <c r="A470" s="5">
        <v>44123</v>
      </c>
      <c r="B470">
        <v>0.10736999999999999</v>
      </c>
      <c r="C470">
        <v>0.1111</v>
      </c>
      <c r="D470">
        <v>0.10598</v>
      </c>
      <c r="E470">
        <v>0.10859000000000001</v>
      </c>
      <c r="F470">
        <v>229437127</v>
      </c>
      <c r="G470">
        <v>1.1399999999999999</v>
      </c>
      <c r="L470" t="s">
        <v>8</v>
      </c>
      <c r="M470" t="s">
        <v>8</v>
      </c>
      <c r="N470" t="s">
        <v>8</v>
      </c>
      <c r="P470">
        <f t="shared" si="980"/>
        <v>1.9531250000000562E-2</v>
      </c>
      <c r="Q470">
        <f t="shared" si="981"/>
        <v>4481193.8867188785</v>
      </c>
      <c r="R470">
        <f t="shared" si="982"/>
        <v>13471293023.793175</v>
      </c>
      <c r="S470">
        <f t="shared" si="983"/>
        <v>134712.93023793175</v>
      </c>
      <c r="T470">
        <f t="shared" si="984"/>
        <v>134.71293023793174</v>
      </c>
    </row>
    <row r="471" spans="1:20" x14ac:dyDescent="0.25">
      <c r="A471" s="5">
        <v>44122</v>
      </c>
      <c r="B471">
        <v>0.10589</v>
      </c>
      <c r="C471">
        <v>0.10761</v>
      </c>
      <c r="D471">
        <v>0.10501000000000001</v>
      </c>
      <c r="E471">
        <v>0.10735</v>
      </c>
      <c r="F471">
        <v>110005980.3</v>
      </c>
      <c r="G471">
        <v>1.38</v>
      </c>
      <c r="L471" t="s">
        <v>7</v>
      </c>
      <c r="M471" t="s">
        <v>8</v>
      </c>
      <c r="N471" t="s">
        <v>8</v>
      </c>
      <c r="P471">
        <f t="shared" si="980"/>
        <v>0.80000000000000215</v>
      </c>
      <c r="Q471">
        <f t="shared" si="981"/>
        <v>88004784.240000233</v>
      </c>
      <c r="R471">
        <f t="shared" si="982"/>
        <v>13466811829.906456</v>
      </c>
      <c r="S471">
        <f t="shared" si="983"/>
        <v>134668.11829906455</v>
      </c>
      <c r="T471">
        <f t="shared" si="984"/>
        <v>134.66811829906456</v>
      </c>
    </row>
    <row r="472" spans="1:20" x14ac:dyDescent="0.25">
      <c r="A472" s="5">
        <v>44121</v>
      </c>
      <c r="B472">
        <v>0.10415000000000001</v>
      </c>
      <c r="C472">
        <v>0.10739</v>
      </c>
      <c r="D472">
        <v>0.10316</v>
      </c>
      <c r="E472">
        <v>0.10598</v>
      </c>
      <c r="F472">
        <v>159726089.30000001</v>
      </c>
      <c r="G472">
        <v>1.76</v>
      </c>
      <c r="L472" t="s">
        <v>7</v>
      </c>
      <c r="M472" t="s">
        <v>8</v>
      </c>
      <c r="N472" t="s">
        <v>8</v>
      </c>
      <c r="P472">
        <f t="shared" si="980"/>
        <v>0.33333333333333554</v>
      </c>
      <c r="Q472">
        <f t="shared" si="981"/>
        <v>53242029.766667023</v>
      </c>
      <c r="R472">
        <f t="shared" si="982"/>
        <v>13378807045.666456</v>
      </c>
      <c r="S472">
        <f t="shared" si="983"/>
        <v>133788.07045666457</v>
      </c>
      <c r="T472">
        <f t="shared" si="984"/>
        <v>133.78807045666457</v>
      </c>
    </row>
    <row r="473" spans="1:20" x14ac:dyDescent="0.25">
      <c r="A473" s="5">
        <v>44120</v>
      </c>
      <c r="B473">
        <v>0.10664</v>
      </c>
      <c r="C473">
        <v>0.10732999999999999</v>
      </c>
      <c r="D473">
        <v>0.10218000000000001</v>
      </c>
      <c r="E473">
        <v>0.10414</v>
      </c>
      <c r="F473">
        <v>224603403.30000001</v>
      </c>
      <c r="G473">
        <v>-2.34</v>
      </c>
      <c r="L473" t="s">
        <v>7</v>
      </c>
      <c r="M473" t="s">
        <v>8</v>
      </c>
      <c r="N473" t="s">
        <v>8</v>
      </c>
      <c r="P473">
        <f t="shared" si="980"/>
        <v>-0.23883495145631295</v>
      </c>
      <c r="Q473">
        <f t="shared" si="981"/>
        <v>-53643142.924078181</v>
      </c>
      <c r="R473">
        <f t="shared" si="982"/>
        <v>13325565015.89979</v>
      </c>
      <c r="S473">
        <f t="shared" si="983"/>
        <v>133255.65015899789</v>
      </c>
      <c r="T473">
        <f t="shared" si="984"/>
        <v>133.2556501589979</v>
      </c>
    </row>
    <row r="474" spans="1:20" x14ac:dyDescent="0.25">
      <c r="A474" s="5">
        <v>44119</v>
      </c>
      <c r="B474">
        <v>0.10703</v>
      </c>
      <c r="C474">
        <v>0.10782</v>
      </c>
      <c r="D474">
        <v>0.10441</v>
      </c>
      <c r="E474">
        <v>0.10666</v>
      </c>
      <c r="F474">
        <v>221158995.5</v>
      </c>
      <c r="G474">
        <v>-0.35</v>
      </c>
      <c r="L474" t="s">
        <v>7</v>
      </c>
      <c r="M474" t="s">
        <v>8</v>
      </c>
      <c r="N474" t="s">
        <v>8</v>
      </c>
      <c r="P474">
        <f t="shared" si="980"/>
        <v>0.31964809384164483</v>
      </c>
      <c r="Q474">
        <f t="shared" si="981"/>
        <v>70693051.347507909</v>
      </c>
      <c r="R474">
        <f t="shared" si="982"/>
        <v>13379208158.823868</v>
      </c>
      <c r="S474">
        <f t="shared" si="983"/>
        <v>133792.08158823868</v>
      </c>
      <c r="T474">
        <f t="shared" si="984"/>
        <v>133.79208158823869</v>
      </c>
    </row>
    <row r="475" spans="1:20" x14ac:dyDescent="0.25">
      <c r="A475" s="5">
        <v>44118</v>
      </c>
      <c r="B475">
        <v>0.10927000000000001</v>
      </c>
      <c r="C475">
        <v>0.11237999999999999</v>
      </c>
      <c r="D475">
        <v>0.10519000000000001</v>
      </c>
      <c r="E475">
        <v>0.10703</v>
      </c>
      <c r="F475">
        <v>336699622.60000002</v>
      </c>
      <c r="G475">
        <v>-2.0499999999999998</v>
      </c>
      <c r="L475" t="s">
        <v>7</v>
      </c>
      <c r="M475" t="s">
        <v>8</v>
      </c>
      <c r="N475" t="s">
        <v>8</v>
      </c>
      <c r="P475">
        <f t="shared" si="980"/>
        <v>-0.4881780250347712</v>
      </c>
      <c r="Q475">
        <f t="shared" si="981"/>
        <v>-164369356.79082084</v>
      </c>
      <c r="R475">
        <f t="shared" si="982"/>
        <v>13308515107.47636</v>
      </c>
      <c r="S475">
        <f t="shared" si="983"/>
        <v>133085.15107476359</v>
      </c>
      <c r="T475">
        <f t="shared" si="984"/>
        <v>133.08515107476359</v>
      </c>
    </row>
    <row r="476" spans="1:20" x14ac:dyDescent="0.25">
      <c r="A476" s="5">
        <v>44117</v>
      </c>
      <c r="B476">
        <v>0.10951</v>
      </c>
      <c r="C476">
        <v>0.11428000000000001</v>
      </c>
      <c r="D476">
        <v>0.10750999999999999</v>
      </c>
      <c r="E476">
        <v>0.10925</v>
      </c>
      <c r="F476">
        <v>399840888.69999999</v>
      </c>
      <c r="G476">
        <v>-0.24</v>
      </c>
      <c r="L476" t="s">
        <v>8</v>
      </c>
      <c r="M476" t="s">
        <v>8</v>
      </c>
      <c r="N476" t="s">
        <v>8</v>
      </c>
      <c r="P476">
        <f t="shared" si="980"/>
        <v>-0.48596750369276148</v>
      </c>
      <c r="Q476">
        <f t="shared" si="981"/>
        <v>-194309678.55583426</v>
      </c>
      <c r="R476">
        <f t="shared" si="982"/>
        <v>13472884464.267181</v>
      </c>
      <c r="S476">
        <f t="shared" si="983"/>
        <v>134728.84464267181</v>
      </c>
      <c r="T476">
        <f t="shared" si="984"/>
        <v>134.72884464267182</v>
      </c>
    </row>
    <row r="477" spans="1:20" x14ac:dyDescent="0.25">
      <c r="A477" s="5">
        <v>44116</v>
      </c>
      <c r="B477">
        <v>0.10652</v>
      </c>
      <c r="C477">
        <v>0.11369</v>
      </c>
      <c r="D477">
        <v>0.10216</v>
      </c>
      <c r="E477">
        <v>0.10945000000000001</v>
      </c>
      <c r="F477">
        <v>436930732</v>
      </c>
      <c r="G477">
        <v>2.75</v>
      </c>
      <c r="L477" t="s">
        <v>7</v>
      </c>
      <c r="M477" t="s">
        <v>8</v>
      </c>
      <c r="N477" t="s">
        <v>8</v>
      </c>
      <c r="P477">
        <f t="shared" si="980"/>
        <v>0.26452732003469309</v>
      </c>
      <c r="Q477">
        <f t="shared" si="981"/>
        <v>115580115.57675672</v>
      </c>
      <c r="R477">
        <f t="shared" si="982"/>
        <v>13667194142.823015</v>
      </c>
      <c r="S477">
        <f t="shared" si="983"/>
        <v>136671.94142823014</v>
      </c>
      <c r="T477">
        <f t="shared" si="984"/>
        <v>136.67194142823016</v>
      </c>
    </row>
    <row r="478" spans="1:20" x14ac:dyDescent="0.25">
      <c r="A478" s="5">
        <v>44115</v>
      </c>
      <c r="B478">
        <v>0.10488</v>
      </c>
      <c r="C478">
        <v>0.10899</v>
      </c>
      <c r="D478">
        <v>0.10415000000000001</v>
      </c>
      <c r="E478">
        <v>0.10648000000000001</v>
      </c>
      <c r="F478">
        <v>313077154.19999999</v>
      </c>
      <c r="G478">
        <v>1.53</v>
      </c>
      <c r="L478" t="s">
        <v>7</v>
      </c>
      <c r="M478" t="s">
        <v>8</v>
      </c>
      <c r="N478" t="s">
        <v>8</v>
      </c>
      <c r="P478">
        <f t="shared" si="980"/>
        <v>-3.7190082644628038E-2</v>
      </c>
      <c r="Q478">
        <f t="shared" si="981"/>
        <v>-11643365.238842955</v>
      </c>
      <c r="R478">
        <f t="shared" si="982"/>
        <v>13551614027.246258</v>
      </c>
      <c r="S478">
        <f t="shared" si="983"/>
        <v>135516.14027246257</v>
      </c>
      <c r="T478">
        <f t="shared" si="984"/>
        <v>135.51614027246256</v>
      </c>
    </row>
    <row r="479" spans="1:20" x14ac:dyDescent="0.25">
      <c r="A479" s="5">
        <v>44114</v>
      </c>
      <c r="B479">
        <v>0.10133</v>
      </c>
      <c r="C479">
        <v>0.11151</v>
      </c>
      <c r="D479">
        <v>0.10133</v>
      </c>
      <c r="E479">
        <v>0.10493</v>
      </c>
      <c r="F479">
        <v>507111063.69999999</v>
      </c>
      <c r="G479">
        <v>3.55</v>
      </c>
      <c r="L479" t="s">
        <v>8</v>
      </c>
      <c r="M479" t="s">
        <v>8</v>
      </c>
      <c r="N479" t="s">
        <v>8</v>
      </c>
      <c r="P479">
        <f t="shared" si="980"/>
        <v>-0.29273084479371436</v>
      </c>
      <c r="Q479">
        <f t="shared" si="981"/>
        <v>-148447050.0811401</v>
      </c>
      <c r="R479">
        <f t="shared" si="982"/>
        <v>13563257392.4851</v>
      </c>
      <c r="S479">
        <f t="shared" si="983"/>
        <v>135632.57392485099</v>
      </c>
      <c r="T479">
        <f t="shared" si="984"/>
        <v>135.63257392485099</v>
      </c>
    </row>
    <row r="480" spans="1:20" x14ac:dyDescent="0.25">
      <c r="A480" s="5">
        <v>44113</v>
      </c>
      <c r="B480">
        <v>9.6320000000000003E-2</v>
      </c>
      <c r="C480">
        <v>0.10255</v>
      </c>
      <c r="D480">
        <v>9.4850000000000004E-2</v>
      </c>
      <c r="E480">
        <v>0.10129000000000001</v>
      </c>
      <c r="F480">
        <v>310310117.30000001</v>
      </c>
      <c r="G480">
        <v>5.16</v>
      </c>
      <c r="L480" t="s">
        <v>8</v>
      </c>
      <c r="M480" t="s">
        <v>7</v>
      </c>
      <c r="N480" t="s">
        <v>8</v>
      </c>
      <c r="P480">
        <f t="shared" si="980"/>
        <v>0.6727272727272734</v>
      </c>
      <c r="Q480">
        <f t="shared" si="981"/>
        <v>208754078.9109093</v>
      </c>
      <c r="R480">
        <f t="shared" si="982"/>
        <v>13711704442.56624</v>
      </c>
      <c r="S480">
        <f t="shared" si="983"/>
        <v>137117.0444256624</v>
      </c>
      <c r="T480">
        <f t="shared" si="984"/>
        <v>137.11704442566241</v>
      </c>
    </row>
    <row r="481" spans="1:20" x14ac:dyDescent="0.25">
      <c r="A481" s="5">
        <v>44112</v>
      </c>
      <c r="B481">
        <v>9.3719999999999998E-2</v>
      </c>
      <c r="C481">
        <v>9.7309999999999994E-2</v>
      </c>
      <c r="D481">
        <v>8.9749999999999996E-2</v>
      </c>
      <c r="E481">
        <v>9.6320000000000003E-2</v>
      </c>
      <c r="F481">
        <v>252697885.80000001</v>
      </c>
      <c r="G481">
        <v>2.77</v>
      </c>
      <c r="L481" t="s">
        <v>8</v>
      </c>
      <c r="M481" t="s">
        <v>7</v>
      </c>
      <c r="N481" t="s">
        <v>8</v>
      </c>
      <c r="P481">
        <f t="shared" si="980"/>
        <v>0.73809523809524036</v>
      </c>
      <c r="Q481">
        <f t="shared" si="981"/>
        <v>186515106.18571487</v>
      </c>
      <c r="R481">
        <f t="shared" si="982"/>
        <v>13502950363.655331</v>
      </c>
      <c r="S481">
        <f t="shared" si="983"/>
        <v>135029.5036365533</v>
      </c>
      <c r="T481">
        <f t="shared" si="984"/>
        <v>135.0295036365533</v>
      </c>
    </row>
    <row r="482" spans="1:20" x14ac:dyDescent="0.25">
      <c r="A482" s="5">
        <v>44111</v>
      </c>
      <c r="B482">
        <v>9.2869999999999994E-2</v>
      </c>
      <c r="C482">
        <v>9.4490000000000005E-2</v>
      </c>
      <c r="D482">
        <v>8.9340000000000003E-2</v>
      </c>
      <c r="E482">
        <v>9.3740000000000004E-2</v>
      </c>
      <c r="F482">
        <v>156895883.19999999</v>
      </c>
      <c r="G482">
        <v>0.94</v>
      </c>
      <c r="L482" t="s">
        <v>7</v>
      </c>
      <c r="M482" t="s">
        <v>7</v>
      </c>
      <c r="N482" t="s">
        <v>8</v>
      </c>
      <c r="P482">
        <f t="shared" si="980"/>
        <v>0.7087378640776697</v>
      </c>
      <c r="Q482">
        <f t="shared" si="981"/>
        <v>111198053.14174753</v>
      </c>
      <c r="R482">
        <f t="shared" si="982"/>
        <v>13316435257.469616</v>
      </c>
      <c r="S482">
        <f t="shared" si="983"/>
        <v>133164.35257469615</v>
      </c>
      <c r="T482">
        <f t="shared" si="984"/>
        <v>133.16435257469615</v>
      </c>
    </row>
    <row r="483" spans="1:20" x14ac:dyDescent="0.25">
      <c r="A483" s="5">
        <v>44110</v>
      </c>
      <c r="B483">
        <v>9.74E-2</v>
      </c>
      <c r="C483">
        <v>9.8640000000000005E-2</v>
      </c>
      <c r="D483">
        <v>9.1219999999999996E-2</v>
      </c>
      <c r="E483">
        <v>9.289E-2</v>
      </c>
      <c r="F483">
        <v>279075645.89999998</v>
      </c>
      <c r="G483">
        <v>-4.63</v>
      </c>
      <c r="L483" t="s">
        <v>7</v>
      </c>
      <c r="M483" t="s">
        <v>7</v>
      </c>
      <c r="N483" t="s">
        <v>8</v>
      </c>
      <c r="P483">
        <f t="shared" si="980"/>
        <v>-0.54986522911051139</v>
      </c>
      <c r="Q483">
        <f t="shared" si="981"/>
        <v>-153453993.97196743</v>
      </c>
      <c r="R483">
        <f t="shared" si="982"/>
        <v>13205237204.327868</v>
      </c>
      <c r="S483">
        <f t="shared" si="983"/>
        <v>132052.37204327868</v>
      </c>
      <c r="T483">
        <f t="shared" si="984"/>
        <v>132.05237204327867</v>
      </c>
    </row>
    <row r="484" spans="1:20" x14ac:dyDescent="0.25">
      <c r="A484" s="5">
        <v>44109</v>
      </c>
      <c r="B484">
        <v>9.6839999999999996E-2</v>
      </c>
      <c r="C484">
        <v>9.9479999999999999E-2</v>
      </c>
      <c r="D484">
        <v>9.5850000000000005E-2</v>
      </c>
      <c r="E484">
        <v>9.7379999999999994E-2</v>
      </c>
      <c r="F484">
        <v>181150337.09999999</v>
      </c>
      <c r="G484">
        <v>0.56000000000000005</v>
      </c>
      <c r="L484" t="s">
        <v>8</v>
      </c>
      <c r="M484" t="s">
        <v>7</v>
      </c>
      <c r="N484" t="s">
        <v>8</v>
      </c>
      <c r="P484">
        <f t="shared" si="980"/>
        <v>-0.15702479338843411</v>
      </c>
      <c r="Q484">
        <f t="shared" si="981"/>
        <v>-28445094.255372692</v>
      </c>
      <c r="R484">
        <f t="shared" si="982"/>
        <v>13358691198.299835</v>
      </c>
      <c r="S484">
        <f t="shared" si="983"/>
        <v>133586.91198299834</v>
      </c>
      <c r="T484">
        <f t="shared" si="984"/>
        <v>133.58691198299834</v>
      </c>
    </row>
    <row r="485" spans="1:20" x14ac:dyDescent="0.25">
      <c r="A485" s="5">
        <v>44108</v>
      </c>
      <c r="B485">
        <v>9.332E-2</v>
      </c>
      <c r="C485">
        <v>9.8040000000000002E-2</v>
      </c>
      <c r="D485">
        <v>9.2050000000000007E-2</v>
      </c>
      <c r="E485">
        <v>9.6860000000000002E-2</v>
      </c>
      <c r="F485">
        <v>171939943.5</v>
      </c>
      <c r="G485">
        <v>3.79</v>
      </c>
      <c r="L485" t="s">
        <v>8</v>
      </c>
      <c r="M485" t="s">
        <v>7</v>
      </c>
      <c r="N485" t="s">
        <v>8</v>
      </c>
      <c r="P485">
        <f t="shared" si="980"/>
        <v>0.60601001669449039</v>
      </c>
      <c r="Q485">
        <f t="shared" si="981"/>
        <v>104197328.03088473</v>
      </c>
      <c r="R485">
        <f t="shared" si="982"/>
        <v>13387136292.555208</v>
      </c>
      <c r="S485">
        <f t="shared" si="983"/>
        <v>133871.36292555209</v>
      </c>
      <c r="T485">
        <f t="shared" si="984"/>
        <v>133.87136292555209</v>
      </c>
    </row>
    <row r="486" spans="1:20" x14ac:dyDescent="0.25">
      <c r="A486" s="5">
        <v>44107</v>
      </c>
      <c r="B486">
        <v>9.2850000000000002E-2</v>
      </c>
      <c r="C486">
        <v>9.5320000000000002E-2</v>
      </c>
      <c r="D486">
        <v>9.2079999999999995E-2</v>
      </c>
      <c r="E486">
        <v>9.3280000000000002E-2</v>
      </c>
      <c r="F486">
        <v>157830982.09999999</v>
      </c>
      <c r="G486">
        <v>0.46</v>
      </c>
      <c r="L486" t="s">
        <v>7</v>
      </c>
      <c r="M486" t="s">
        <v>7</v>
      </c>
      <c r="N486" t="s">
        <v>8</v>
      </c>
      <c r="P486">
        <f t="shared" si="980"/>
        <v>-0.25925925925925675</v>
      </c>
      <c r="Q486">
        <f t="shared" si="981"/>
        <v>-40919143.50740701</v>
      </c>
      <c r="R486">
        <f t="shared" si="982"/>
        <v>13282938964.524324</v>
      </c>
      <c r="S486">
        <f t="shared" si="983"/>
        <v>132829.38964524324</v>
      </c>
      <c r="T486">
        <f t="shared" si="984"/>
        <v>132.82938964524323</v>
      </c>
    </row>
    <row r="487" spans="1:20" x14ac:dyDescent="0.25">
      <c r="A487" s="5">
        <v>44106</v>
      </c>
      <c r="B487">
        <v>9.8030000000000006E-2</v>
      </c>
      <c r="C487">
        <v>0.1004</v>
      </c>
      <c r="D487">
        <v>8.967E-2</v>
      </c>
      <c r="E487">
        <v>9.2859999999999998E-2</v>
      </c>
      <c r="F487">
        <v>399944267.60000002</v>
      </c>
      <c r="G487">
        <v>-5.27</v>
      </c>
      <c r="L487" t="s">
        <v>7</v>
      </c>
      <c r="M487" t="s">
        <v>7</v>
      </c>
      <c r="N487" t="s">
        <v>8</v>
      </c>
      <c r="P487">
        <f t="shared" si="980"/>
        <v>-0.40540540540540587</v>
      </c>
      <c r="Q487">
        <f t="shared" si="981"/>
        <v>-162139567.94594616</v>
      </c>
      <c r="R487">
        <f t="shared" si="982"/>
        <v>13323858108.031731</v>
      </c>
      <c r="S487">
        <f t="shared" si="983"/>
        <v>133238.58108031729</v>
      </c>
      <c r="T487">
        <f t="shared" si="984"/>
        <v>133.23858108031729</v>
      </c>
    </row>
    <row r="488" spans="1:20" x14ac:dyDescent="0.25">
      <c r="A488" s="5">
        <v>44105</v>
      </c>
      <c r="B488">
        <v>0.10136000000000001</v>
      </c>
      <c r="C488">
        <v>0.10465000000000001</v>
      </c>
      <c r="D488">
        <v>9.4579999999999997E-2</v>
      </c>
      <c r="E488">
        <v>9.8040000000000002E-2</v>
      </c>
      <c r="F488">
        <v>336851341.10000002</v>
      </c>
      <c r="G488">
        <v>-3.28</v>
      </c>
      <c r="L488" t="s">
        <v>7</v>
      </c>
      <c r="M488" t="s">
        <v>8</v>
      </c>
      <c r="N488" t="s">
        <v>8</v>
      </c>
      <c r="P488">
        <f t="shared" si="980"/>
        <v>-0.31281032770605732</v>
      </c>
      <c r="Q488">
        <f t="shared" si="981"/>
        <v>-105370578.3977159</v>
      </c>
      <c r="R488">
        <f t="shared" si="982"/>
        <v>13485997675.977676</v>
      </c>
      <c r="S488">
        <f t="shared" si="983"/>
        <v>134859.97675977676</v>
      </c>
      <c r="T488">
        <f t="shared" si="984"/>
        <v>134.85997675977677</v>
      </c>
    </row>
    <row r="489" spans="1:20" x14ac:dyDescent="0.25">
      <c r="A489" s="5">
        <v>44104</v>
      </c>
      <c r="B489">
        <v>0.1011</v>
      </c>
      <c r="C489">
        <v>0.10174999999999999</v>
      </c>
      <c r="D489">
        <v>9.6619999999999998E-2</v>
      </c>
      <c r="E489">
        <v>0.10136000000000001</v>
      </c>
      <c r="F489">
        <v>284886992.39999998</v>
      </c>
      <c r="G489">
        <v>0.26</v>
      </c>
      <c r="L489" t="s">
        <v>7</v>
      </c>
      <c r="M489" t="s">
        <v>8</v>
      </c>
      <c r="N489" t="s">
        <v>8</v>
      </c>
      <c r="P489">
        <f t="shared" si="980"/>
        <v>0.84795321637427368</v>
      </c>
      <c r="Q489">
        <f t="shared" si="981"/>
        <v>241570841.50877324</v>
      </c>
      <c r="R489">
        <f t="shared" si="982"/>
        <v>13591368254.375393</v>
      </c>
      <c r="S489">
        <f t="shared" si="983"/>
        <v>135913.68254375394</v>
      </c>
      <c r="T489">
        <f t="shared" si="984"/>
        <v>135.91368254375394</v>
      </c>
    </row>
    <row r="490" spans="1:20" x14ac:dyDescent="0.25">
      <c r="A490" s="5">
        <v>44103</v>
      </c>
      <c r="B490">
        <v>0.10026</v>
      </c>
      <c r="C490">
        <v>0.1036</v>
      </c>
      <c r="D490">
        <v>9.7350000000000006E-2</v>
      </c>
      <c r="E490">
        <v>0.1011</v>
      </c>
      <c r="F490">
        <v>324750297.30000001</v>
      </c>
      <c r="G490">
        <v>0.84</v>
      </c>
      <c r="L490" t="s">
        <v>7</v>
      </c>
      <c r="M490" t="s">
        <v>8</v>
      </c>
      <c r="N490" t="s">
        <v>8</v>
      </c>
      <c r="P490">
        <f t="shared" si="980"/>
        <v>0.19999999999999823</v>
      </c>
      <c r="Q490">
        <f t="shared" si="981"/>
        <v>64950059.459999427</v>
      </c>
      <c r="R490">
        <f t="shared" si="982"/>
        <v>13349797412.866619</v>
      </c>
      <c r="S490">
        <f t="shared" si="983"/>
        <v>133497.97412866619</v>
      </c>
      <c r="T490">
        <f t="shared" si="984"/>
        <v>133.49797412866619</v>
      </c>
    </row>
    <row r="491" spans="1:20" x14ac:dyDescent="0.25">
      <c r="A491" s="5">
        <v>44102</v>
      </c>
      <c r="B491">
        <v>0.10131999999999999</v>
      </c>
      <c r="C491">
        <v>0.10671</v>
      </c>
      <c r="D491">
        <v>9.9570000000000006E-2</v>
      </c>
      <c r="E491">
        <v>0.1003</v>
      </c>
      <c r="F491">
        <v>444510434.10000002</v>
      </c>
      <c r="G491">
        <v>-1.01</v>
      </c>
      <c r="L491" t="s">
        <v>8</v>
      </c>
      <c r="M491" t="s">
        <v>8</v>
      </c>
      <c r="N491" t="s">
        <v>8</v>
      </c>
      <c r="P491">
        <f t="shared" si="980"/>
        <v>-0.79551820728291456</v>
      </c>
      <c r="Q491">
        <f t="shared" si="981"/>
        <v>-353616143.65378213</v>
      </c>
      <c r="R491">
        <f t="shared" si="982"/>
        <v>13284847353.40662</v>
      </c>
      <c r="S491">
        <f t="shared" si="983"/>
        <v>132848.4735340662</v>
      </c>
      <c r="T491">
        <f t="shared" si="984"/>
        <v>132.84847353406619</v>
      </c>
    </row>
    <row r="492" spans="1:20" x14ac:dyDescent="0.25">
      <c r="A492" s="5">
        <v>44101</v>
      </c>
      <c r="B492">
        <v>9.5409999999999995E-2</v>
      </c>
      <c r="C492">
        <v>0.10273</v>
      </c>
      <c r="D492">
        <v>9.4189999999999996E-2</v>
      </c>
      <c r="E492">
        <v>0.1013</v>
      </c>
      <c r="F492">
        <v>425402605.39999998</v>
      </c>
      <c r="G492">
        <v>6.17</v>
      </c>
      <c r="L492" t="s">
        <v>8</v>
      </c>
      <c r="M492" t="s">
        <v>8</v>
      </c>
      <c r="N492" t="s">
        <v>8</v>
      </c>
      <c r="P492">
        <f t="shared" si="980"/>
        <v>0.6651053864168619</v>
      </c>
      <c r="Q492">
        <f t="shared" si="981"/>
        <v>282937564.24730682</v>
      </c>
      <c r="R492">
        <f t="shared" si="982"/>
        <v>13638463497.060402</v>
      </c>
      <c r="S492">
        <f t="shared" si="983"/>
        <v>136384.63497060401</v>
      </c>
      <c r="T492">
        <f t="shared" si="984"/>
        <v>136.384634970604</v>
      </c>
    </row>
    <row r="493" spans="1:20" x14ac:dyDescent="0.25">
      <c r="A493" s="5">
        <v>44100</v>
      </c>
      <c r="B493">
        <v>9.6909999999999996E-2</v>
      </c>
      <c r="C493">
        <v>9.9970000000000003E-2</v>
      </c>
      <c r="D493">
        <v>9.2259999999999995E-2</v>
      </c>
      <c r="E493">
        <v>9.5469999999999999E-2</v>
      </c>
      <c r="F493">
        <v>350666632.30000001</v>
      </c>
      <c r="G493">
        <v>-1.49</v>
      </c>
      <c r="L493" t="s">
        <v>7</v>
      </c>
      <c r="M493" t="s">
        <v>8</v>
      </c>
      <c r="N493" t="s">
        <v>7</v>
      </c>
      <c r="P493">
        <f t="shared" si="980"/>
        <v>-0.167315175097276</v>
      </c>
      <c r="Q493">
        <f t="shared" si="981"/>
        <v>-58671848.984046601</v>
      </c>
      <c r="R493">
        <f t="shared" si="982"/>
        <v>13355525932.813095</v>
      </c>
      <c r="S493">
        <f t="shared" si="983"/>
        <v>133555.25932813095</v>
      </c>
      <c r="T493">
        <f t="shared" si="984"/>
        <v>133.55525932813094</v>
      </c>
    </row>
    <row r="494" spans="1:20" x14ac:dyDescent="0.25">
      <c r="A494" s="5">
        <v>44099</v>
      </c>
      <c r="B494">
        <v>8.2540000000000002E-2</v>
      </c>
      <c r="C494">
        <v>9.8669999999999994E-2</v>
      </c>
      <c r="D494">
        <v>8.233E-2</v>
      </c>
      <c r="E494">
        <v>9.6930000000000002E-2</v>
      </c>
      <c r="F494">
        <v>761770099.39999998</v>
      </c>
      <c r="G494">
        <v>17.43</v>
      </c>
      <c r="L494" t="s">
        <v>8</v>
      </c>
      <c r="M494" t="s">
        <v>8</v>
      </c>
      <c r="N494" t="s">
        <v>7</v>
      </c>
      <c r="P494">
        <f t="shared" si="980"/>
        <v>0.78702570379437065</v>
      </c>
      <c r="Q494">
        <f t="shared" si="981"/>
        <v>599532648.60979271</v>
      </c>
      <c r="R494">
        <f t="shared" si="982"/>
        <v>13414197781.797142</v>
      </c>
      <c r="S494">
        <f t="shared" si="983"/>
        <v>134141.97781797143</v>
      </c>
      <c r="T494">
        <f t="shared" si="984"/>
        <v>134.14197781797142</v>
      </c>
    </row>
    <row r="495" spans="1:20" x14ac:dyDescent="0.25">
      <c r="A495" s="5">
        <v>44098</v>
      </c>
      <c r="B495">
        <v>7.6630000000000004E-2</v>
      </c>
      <c r="C495">
        <v>8.3760000000000001E-2</v>
      </c>
      <c r="D495">
        <v>7.5490000000000002E-2</v>
      </c>
      <c r="E495">
        <v>8.2540000000000002E-2</v>
      </c>
      <c r="F495">
        <v>416112902.60000002</v>
      </c>
      <c r="G495">
        <v>7.71</v>
      </c>
      <c r="L495" t="s">
        <v>8</v>
      </c>
      <c r="M495" t="s">
        <v>7</v>
      </c>
      <c r="N495" t="s">
        <v>7</v>
      </c>
      <c r="P495">
        <f t="shared" si="980"/>
        <v>0.70495767835550205</v>
      </c>
      <c r="Q495">
        <f t="shared" si="981"/>
        <v>293341985.75066519</v>
      </c>
      <c r="R495">
        <f t="shared" si="982"/>
        <v>12814665133.187349</v>
      </c>
      <c r="S495">
        <f t="shared" si="983"/>
        <v>128146.65133187349</v>
      </c>
      <c r="T495">
        <f t="shared" si="984"/>
        <v>128.1466513318735</v>
      </c>
    </row>
    <row r="496" spans="1:20" x14ac:dyDescent="0.25">
      <c r="A496" s="5">
        <v>44097</v>
      </c>
      <c r="B496">
        <v>8.1479999999999997E-2</v>
      </c>
      <c r="C496">
        <v>8.2799999999999999E-2</v>
      </c>
      <c r="D496">
        <v>7.5450000000000003E-2</v>
      </c>
      <c r="E496">
        <v>7.6630000000000004E-2</v>
      </c>
      <c r="F496">
        <v>288788652.5</v>
      </c>
      <c r="G496">
        <v>-5.95</v>
      </c>
      <c r="L496" t="s">
        <v>7</v>
      </c>
      <c r="M496" t="s">
        <v>7</v>
      </c>
      <c r="N496" t="s">
        <v>7</v>
      </c>
      <c r="P496">
        <f t="shared" si="980"/>
        <v>-0.67891156462585001</v>
      </c>
      <c r="Q496">
        <f t="shared" si="981"/>
        <v>-196061955.9149659</v>
      </c>
      <c r="R496">
        <f t="shared" si="982"/>
        <v>12521323147.436684</v>
      </c>
      <c r="S496">
        <f t="shared" si="983"/>
        <v>125213.23147436684</v>
      </c>
      <c r="T496">
        <f t="shared" si="984"/>
        <v>125.21323147436684</v>
      </c>
    </row>
    <row r="497" spans="1:20" x14ac:dyDescent="0.25">
      <c r="A497" s="5">
        <v>44096</v>
      </c>
      <c r="B497">
        <v>7.9890000000000003E-2</v>
      </c>
      <c r="C497">
        <v>8.3349999999999994E-2</v>
      </c>
      <c r="D497">
        <v>7.9060000000000005E-2</v>
      </c>
      <c r="E497">
        <v>8.1460000000000005E-2</v>
      </c>
      <c r="F497">
        <v>312840807.60000002</v>
      </c>
      <c r="G497">
        <v>1.97</v>
      </c>
      <c r="L497" t="s">
        <v>8</v>
      </c>
      <c r="M497" t="s">
        <v>7</v>
      </c>
      <c r="N497" t="s">
        <v>7</v>
      </c>
      <c r="P497">
        <f t="shared" si="980"/>
        <v>0.11888111888112164</v>
      </c>
      <c r="Q497">
        <f t="shared" si="981"/>
        <v>37190865.239161707</v>
      </c>
      <c r="R497">
        <f t="shared" si="982"/>
        <v>12717385103.35165</v>
      </c>
      <c r="S497">
        <f t="shared" si="983"/>
        <v>127173.8510335165</v>
      </c>
      <c r="T497">
        <f t="shared" si="984"/>
        <v>127.1738510335165</v>
      </c>
    </row>
    <row r="498" spans="1:20" x14ac:dyDescent="0.25">
      <c r="A498" s="5">
        <v>44095</v>
      </c>
      <c r="B498">
        <v>8.9359999999999995E-2</v>
      </c>
      <c r="C498">
        <v>9.017E-2</v>
      </c>
      <c r="D498">
        <v>7.6999999999999999E-2</v>
      </c>
      <c r="E498">
        <v>7.9829999999999998E-2</v>
      </c>
      <c r="F498">
        <v>492053125.10000002</v>
      </c>
      <c r="G498">
        <v>-10.66</v>
      </c>
      <c r="L498" t="s">
        <v>7</v>
      </c>
      <c r="M498" t="s">
        <v>7</v>
      </c>
      <c r="N498" t="s">
        <v>7</v>
      </c>
      <c r="P498">
        <f t="shared" si="980"/>
        <v>-0.57023538344722868</v>
      </c>
      <c r="Q498">
        <f t="shared" si="981"/>
        <v>-280586102.46780568</v>
      </c>
      <c r="R498">
        <f t="shared" si="982"/>
        <v>12680194238.112488</v>
      </c>
      <c r="S498">
        <f t="shared" si="983"/>
        <v>126801.94238112487</v>
      </c>
      <c r="T498">
        <f t="shared" si="984"/>
        <v>126.80194238112487</v>
      </c>
    </row>
    <row r="499" spans="1:20" x14ac:dyDescent="0.25">
      <c r="A499" s="5">
        <v>44094</v>
      </c>
      <c r="B499">
        <v>9.1389999999999999E-2</v>
      </c>
      <c r="C499">
        <v>9.2230000000000006E-2</v>
      </c>
      <c r="D499">
        <v>8.7510000000000004E-2</v>
      </c>
      <c r="E499">
        <v>8.9359999999999995E-2</v>
      </c>
      <c r="F499">
        <v>178387120.69999999</v>
      </c>
      <c r="G499">
        <v>-2.2200000000000002</v>
      </c>
      <c r="L499" t="s">
        <v>7</v>
      </c>
      <c r="M499" t="s">
        <v>7</v>
      </c>
      <c r="N499" t="s">
        <v>7</v>
      </c>
      <c r="P499">
        <f t="shared" si="980"/>
        <v>-0.21610169491525857</v>
      </c>
      <c r="Q499">
        <f t="shared" si="981"/>
        <v>-38549759.134322807</v>
      </c>
      <c r="R499">
        <f t="shared" si="982"/>
        <v>12960780340.580294</v>
      </c>
      <c r="S499">
        <f t="shared" si="983"/>
        <v>129607.80340580293</v>
      </c>
      <c r="T499">
        <f t="shared" si="984"/>
        <v>129.60780340580294</v>
      </c>
    </row>
    <row r="500" spans="1:20" x14ac:dyDescent="0.25">
      <c r="A500" s="5">
        <v>44093</v>
      </c>
      <c r="B500">
        <v>9.0920000000000001E-2</v>
      </c>
      <c r="C500">
        <v>9.325E-2</v>
      </c>
      <c r="D500">
        <v>9.0440000000000006E-2</v>
      </c>
      <c r="E500">
        <v>9.1410000000000005E-2</v>
      </c>
      <c r="F500">
        <v>146210080.5</v>
      </c>
      <c r="G500">
        <v>0.54</v>
      </c>
      <c r="L500" t="s">
        <v>7</v>
      </c>
      <c r="M500" t="s">
        <v>7</v>
      </c>
      <c r="N500" t="s">
        <v>7</v>
      </c>
      <c r="P500">
        <f t="shared" si="980"/>
        <v>-0.30960854092526618</v>
      </c>
      <c r="Q500">
        <f t="shared" si="981"/>
        <v>-45267889.692170717</v>
      </c>
      <c r="R500">
        <f t="shared" si="982"/>
        <v>12999330099.714617</v>
      </c>
      <c r="S500">
        <f t="shared" si="983"/>
        <v>129993.30099714617</v>
      </c>
      <c r="T500">
        <f t="shared" si="984"/>
        <v>129.99330099714618</v>
      </c>
    </row>
    <row r="501" spans="1:20" x14ac:dyDescent="0.25">
      <c r="A501" s="5">
        <v>44092</v>
      </c>
      <c r="B501">
        <v>9.4049999999999995E-2</v>
      </c>
      <c r="C501">
        <v>9.4149999999999998E-2</v>
      </c>
      <c r="D501">
        <v>8.9630000000000001E-2</v>
      </c>
      <c r="E501">
        <v>9.0929999999999997E-2</v>
      </c>
      <c r="F501">
        <v>216397448.69999999</v>
      </c>
      <c r="G501">
        <v>-3.32</v>
      </c>
      <c r="L501" t="s">
        <v>7</v>
      </c>
      <c r="M501" t="s">
        <v>7</v>
      </c>
      <c r="N501" t="s">
        <v>7</v>
      </c>
      <c r="P501">
        <f t="shared" si="980"/>
        <v>-0.4247787610619484</v>
      </c>
      <c r="Q501">
        <f t="shared" si="981"/>
        <v>-91921040.155752525</v>
      </c>
      <c r="R501">
        <f t="shared" si="982"/>
        <v>13044597989.406788</v>
      </c>
      <c r="S501">
        <f t="shared" si="983"/>
        <v>130445.97989406787</v>
      </c>
      <c r="T501">
        <f t="shared" si="984"/>
        <v>130.44597989406788</v>
      </c>
    </row>
    <row r="502" spans="1:20" x14ac:dyDescent="0.25">
      <c r="A502" s="5">
        <v>44091</v>
      </c>
      <c r="B502">
        <v>9.1509999999999994E-2</v>
      </c>
      <c r="C502">
        <v>9.4750000000000001E-2</v>
      </c>
      <c r="D502">
        <v>9.0749999999999997E-2</v>
      </c>
      <c r="E502">
        <v>9.4079999999999997E-2</v>
      </c>
      <c r="F502">
        <v>233366881.90000001</v>
      </c>
      <c r="G502">
        <v>2.81</v>
      </c>
      <c r="L502" t="s">
        <v>7</v>
      </c>
      <c r="M502" t="s">
        <v>7</v>
      </c>
      <c r="N502" t="s">
        <v>7</v>
      </c>
      <c r="P502">
        <f t="shared" si="980"/>
        <v>0.66499999999999837</v>
      </c>
      <c r="Q502">
        <f t="shared" si="981"/>
        <v>155188976.46349964</v>
      </c>
      <c r="R502">
        <f t="shared" si="982"/>
        <v>13136519029.56254</v>
      </c>
      <c r="S502">
        <f t="shared" si="983"/>
        <v>131365.19029562539</v>
      </c>
      <c r="T502">
        <f t="shared" si="984"/>
        <v>131.36519029562538</v>
      </c>
    </row>
    <row r="503" spans="1:20" x14ac:dyDescent="0.25">
      <c r="A503" s="5">
        <v>44090</v>
      </c>
      <c r="B503">
        <v>9.3090000000000006E-2</v>
      </c>
      <c r="C503">
        <v>9.3340000000000006E-2</v>
      </c>
      <c r="D503">
        <v>8.9510000000000006E-2</v>
      </c>
      <c r="E503">
        <v>9.1509999999999994E-2</v>
      </c>
      <c r="F503">
        <v>274183427.80000001</v>
      </c>
      <c r="G503">
        <v>-1.7</v>
      </c>
      <c r="L503" t="s">
        <v>7</v>
      </c>
      <c r="M503" t="s">
        <v>7</v>
      </c>
      <c r="N503" t="s">
        <v>7</v>
      </c>
      <c r="P503">
        <f t="shared" si="980"/>
        <v>4.438642297649497E-2</v>
      </c>
      <c r="Q503">
        <f t="shared" si="981"/>
        <v>12170021.599476071</v>
      </c>
      <c r="R503">
        <f t="shared" si="982"/>
        <v>12981330053.099041</v>
      </c>
      <c r="S503">
        <f t="shared" si="983"/>
        <v>129813.30053099041</v>
      </c>
      <c r="T503">
        <f t="shared" si="984"/>
        <v>129.8133005309904</v>
      </c>
    </row>
    <row r="504" spans="1:20" x14ac:dyDescent="0.25">
      <c r="A504" s="5">
        <v>44089</v>
      </c>
      <c r="B504">
        <v>9.6589999999999995E-2</v>
      </c>
      <c r="C504">
        <v>9.8040000000000002E-2</v>
      </c>
      <c r="D504">
        <v>9.2859999999999998E-2</v>
      </c>
      <c r="E504">
        <v>9.3130000000000004E-2</v>
      </c>
      <c r="F504">
        <v>228893108.69999999</v>
      </c>
      <c r="G504">
        <v>-3.58</v>
      </c>
      <c r="L504" t="s">
        <v>7</v>
      </c>
      <c r="M504" t="s">
        <v>7</v>
      </c>
      <c r="N504" t="s">
        <v>7</v>
      </c>
      <c r="P504">
        <f t="shared" si="980"/>
        <v>-0.89575289575289341</v>
      </c>
      <c r="Q504">
        <f t="shared" si="981"/>
        <v>-205031664.9359068</v>
      </c>
      <c r="R504">
        <f t="shared" si="982"/>
        <v>12969160031.499565</v>
      </c>
      <c r="S504">
        <f t="shared" si="983"/>
        <v>129691.60031499565</v>
      </c>
      <c r="T504">
        <f t="shared" si="984"/>
        <v>129.69160031499564</v>
      </c>
    </row>
    <row r="505" spans="1:20" x14ac:dyDescent="0.25">
      <c r="A505" s="5">
        <v>44088</v>
      </c>
      <c r="B505">
        <v>9.5089999999999994E-2</v>
      </c>
      <c r="C505">
        <v>9.7869999999999999E-2</v>
      </c>
      <c r="D505">
        <v>9.2929999999999999E-2</v>
      </c>
      <c r="E505">
        <v>9.6629999999999994E-2</v>
      </c>
      <c r="F505">
        <v>222916155.5</v>
      </c>
      <c r="G505">
        <v>1.62</v>
      </c>
      <c r="L505" t="s">
        <v>7</v>
      </c>
      <c r="M505" t="s">
        <v>7</v>
      </c>
      <c r="N505" t="s">
        <v>7</v>
      </c>
      <c r="P505">
        <f t="shared" si="980"/>
        <v>0.49797570850202227</v>
      </c>
      <c r="Q505">
        <f t="shared" si="981"/>
        <v>111006830.47165947</v>
      </c>
      <c r="R505">
        <f t="shared" si="982"/>
        <v>13174191696.435472</v>
      </c>
      <c r="S505">
        <f t="shared" si="983"/>
        <v>131741.91696435472</v>
      </c>
      <c r="T505">
        <f t="shared" si="984"/>
        <v>131.74191696435471</v>
      </c>
    </row>
    <row r="506" spans="1:20" x14ac:dyDescent="0.25">
      <c r="A506" s="5">
        <v>44087</v>
      </c>
      <c r="B506">
        <v>9.7689999999999999E-2</v>
      </c>
      <c r="C506">
        <v>9.9809999999999996E-2</v>
      </c>
      <c r="D506">
        <v>9.2340000000000005E-2</v>
      </c>
      <c r="E506">
        <v>9.5070000000000002E-2</v>
      </c>
      <c r="F506">
        <v>241551462.90000001</v>
      </c>
      <c r="G506">
        <v>-2.68</v>
      </c>
      <c r="L506" t="s">
        <v>7</v>
      </c>
      <c r="M506" t="s">
        <v>7</v>
      </c>
      <c r="N506" t="s">
        <v>7</v>
      </c>
      <c r="P506">
        <f t="shared" si="980"/>
        <v>-0.2690763052208836</v>
      </c>
      <c r="Q506">
        <f t="shared" si="981"/>
        <v>-64995775.157831341</v>
      </c>
      <c r="R506">
        <f t="shared" si="982"/>
        <v>13063184865.963814</v>
      </c>
      <c r="S506">
        <f t="shared" si="983"/>
        <v>130631.84865963814</v>
      </c>
      <c r="T506">
        <f t="shared" si="984"/>
        <v>130.63184865963814</v>
      </c>
    </row>
    <row r="507" spans="1:20" x14ac:dyDescent="0.25">
      <c r="A507" s="5">
        <v>44086</v>
      </c>
      <c r="B507">
        <v>9.6960000000000005E-2</v>
      </c>
      <c r="C507">
        <v>9.8500000000000004E-2</v>
      </c>
      <c r="D507">
        <v>9.4460000000000002E-2</v>
      </c>
      <c r="E507">
        <v>9.7710000000000005E-2</v>
      </c>
      <c r="F507">
        <v>171314687.5</v>
      </c>
      <c r="G507">
        <v>0.77</v>
      </c>
      <c r="L507" t="s">
        <v>8</v>
      </c>
      <c r="M507" t="s">
        <v>7</v>
      </c>
      <c r="N507" t="s">
        <v>7</v>
      </c>
      <c r="P507">
        <f t="shared" si="980"/>
        <v>0.60891089108910956</v>
      </c>
      <c r="Q507">
        <f t="shared" si="981"/>
        <v>104315379.02227734</v>
      </c>
      <c r="R507">
        <f t="shared" si="982"/>
        <v>13128180641.121645</v>
      </c>
      <c r="S507">
        <f t="shared" si="983"/>
        <v>131281.80641121644</v>
      </c>
      <c r="T507">
        <f t="shared" si="984"/>
        <v>131.28180641121645</v>
      </c>
    </row>
    <row r="508" spans="1:20" x14ac:dyDescent="0.25">
      <c r="A508" s="5">
        <v>44085</v>
      </c>
      <c r="B508">
        <v>9.7040000000000001E-2</v>
      </c>
      <c r="C508">
        <v>9.7549999999999998E-2</v>
      </c>
      <c r="D508">
        <v>9.3079999999999996E-2</v>
      </c>
      <c r="E508">
        <v>9.7009999999999999E-2</v>
      </c>
      <c r="F508">
        <v>221511294</v>
      </c>
      <c r="G508">
        <v>-0.03</v>
      </c>
      <c r="L508" t="s">
        <v>8</v>
      </c>
      <c r="M508" t="s">
        <v>7</v>
      </c>
      <c r="N508" t="s">
        <v>7</v>
      </c>
      <c r="P508">
        <f t="shared" si="980"/>
        <v>0.75838926174496701</v>
      </c>
      <c r="Q508">
        <f t="shared" si="981"/>
        <v>167991786.72483236</v>
      </c>
      <c r="R508">
        <f t="shared" si="982"/>
        <v>13023865262.099367</v>
      </c>
      <c r="S508">
        <f t="shared" si="983"/>
        <v>130238.65262099367</v>
      </c>
      <c r="T508">
        <f t="shared" si="984"/>
        <v>130.23865262099366</v>
      </c>
    </row>
    <row r="509" spans="1:20" x14ac:dyDescent="0.25">
      <c r="A509" s="5">
        <v>44084</v>
      </c>
      <c r="B509">
        <v>9.3289999999999998E-2</v>
      </c>
      <c r="C509">
        <v>9.9500000000000005E-2</v>
      </c>
      <c r="D509">
        <v>9.3179999999999999E-2</v>
      </c>
      <c r="E509">
        <v>9.7089999999999996E-2</v>
      </c>
      <c r="F509">
        <v>318516552.89999998</v>
      </c>
      <c r="G509">
        <v>4.07</v>
      </c>
      <c r="L509" t="s">
        <v>8</v>
      </c>
      <c r="M509" t="s">
        <v>7</v>
      </c>
      <c r="N509" t="s">
        <v>7</v>
      </c>
      <c r="P509">
        <f t="shared" si="980"/>
        <v>0.23734177215189653</v>
      </c>
      <c r="Q509">
        <f t="shared" si="981"/>
        <v>75597283.124999285</v>
      </c>
      <c r="R509">
        <f t="shared" si="982"/>
        <v>12855873475.374535</v>
      </c>
      <c r="S509">
        <f t="shared" si="983"/>
        <v>128558.73475374535</v>
      </c>
      <c r="T509">
        <f t="shared" si="984"/>
        <v>128.55873475374534</v>
      </c>
    </row>
    <row r="510" spans="1:20" x14ac:dyDescent="0.25">
      <c r="A510" s="5">
        <v>44083</v>
      </c>
      <c r="B510">
        <v>9.1050000000000006E-2</v>
      </c>
      <c r="C510">
        <v>9.5750000000000002E-2</v>
      </c>
      <c r="D510">
        <v>8.9249999999999996E-2</v>
      </c>
      <c r="E510">
        <v>9.3310000000000004E-2</v>
      </c>
      <c r="F510">
        <v>239528985.19999999</v>
      </c>
      <c r="G510">
        <v>2.48</v>
      </c>
      <c r="L510" t="s">
        <v>7</v>
      </c>
      <c r="M510" t="s">
        <v>7</v>
      </c>
      <c r="N510" t="s">
        <v>7</v>
      </c>
      <c r="P510">
        <f t="shared" si="980"/>
        <v>0.24923076923077059</v>
      </c>
      <c r="Q510">
        <f t="shared" si="981"/>
        <v>59697993.234461859</v>
      </c>
      <c r="R510">
        <f t="shared" si="982"/>
        <v>12780276192.249535</v>
      </c>
      <c r="S510">
        <f t="shared" si="983"/>
        <v>127802.76192249535</v>
      </c>
      <c r="T510">
        <f t="shared" si="984"/>
        <v>127.80276192249535</v>
      </c>
    </row>
    <row r="511" spans="1:20" x14ac:dyDescent="0.25">
      <c r="A511" s="5">
        <v>44082</v>
      </c>
      <c r="B511">
        <v>9.3649999999999997E-2</v>
      </c>
      <c r="C511">
        <v>9.6990000000000007E-2</v>
      </c>
      <c r="D511">
        <v>8.8450000000000001E-2</v>
      </c>
      <c r="E511">
        <v>9.1009999999999994E-2</v>
      </c>
      <c r="F511">
        <v>413411592.30000001</v>
      </c>
      <c r="G511">
        <v>-2.82</v>
      </c>
      <c r="L511" t="s">
        <v>8</v>
      </c>
      <c r="M511" t="s">
        <v>7</v>
      </c>
      <c r="N511" t="s">
        <v>7</v>
      </c>
      <c r="P511">
        <f t="shared" si="980"/>
        <v>-0.40046838407494356</v>
      </c>
      <c r="Q511">
        <f t="shared" si="981"/>
        <v>-165558272.32623038</v>
      </c>
      <c r="R511">
        <f t="shared" si="982"/>
        <v>12720578199.015072</v>
      </c>
      <c r="S511">
        <f t="shared" si="983"/>
        <v>127205.78199015072</v>
      </c>
      <c r="T511">
        <f t="shared" si="984"/>
        <v>127.20578199015071</v>
      </c>
    </row>
    <row r="512" spans="1:20" x14ac:dyDescent="0.25">
      <c r="A512" s="5">
        <v>44081</v>
      </c>
      <c r="B512">
        <v>9.2660000000000006E-2</v>
      </c>
      <c r="C512">
        <v>9.4210000000000002E-2</v>
      </c>
      <c r="D512">
        <v>8.6029999999999995E-2</v>
      </c>
      <c r="E512">
        <v>9.3600000000000003E-2</v>
      </c>
      <c r="F512">
        <v>382261960.19999999</v>
      </c>
      <c r="G512">
        <v>1.01</v>
      </c>
      <c r="L512" t="s">
        <v>7</v>
      </c>
      <c r="M512" t="s">
        <v>7</v>
      </c>
      <c r="N512" t="s">
        <v>7</v>
      </c>
      <c r="P512">
        <f t="shared" si="980"/>
        <v>0.85085574572127165</v>
      </c>
      <c r="Q512">
        <f t="shared" si="981"/>
        <v>325249785.20684606</v>
      </c>
      <c r="R512">
        <f t="shared" si="982"/>
        <v>12886136471.341303</v>
      </c>
      <c r="S512">
        <f t="shared" si="983"/>
        <v>128861.36471341303</v>
      </c>
      <c r="T512">
        <f t="shared" si="984"/>
        <v>128.86136471341302</v>
      </c>
    </row>
    <row r="513" spans="1:20" x14ac:dyDescent="0.25">
      <c r="A513" s="5">
        <v>44080</v>
      </c>
      <c r="B513">
        <v>8.9980000000000004E-2</v>
      </c>
      <c r="C513">
        <v>9.6140000000000003E-2</v>
      </c>
      <c r="D513">
        <v>8.5500000000000007E-2</v>
      </c>
      <c r="E513">
        <v>9.2600000000000002E-2</v>
      </c>
      <c r="F513">
        <v>391668905.19999999</v>
      </c>
      <c r="G513">
        <v>2.91</v>
      </c>
      <c r="L513" t="s">
        <v>8</v>
      </c>
      <c r="M513" t="s">
        <v>7</v>
      </c>
      <c r="N513" t="s">
        <v>7</v>
      </c>
      <c r="P513">
        <f t="shared" si="980"/>
        <v>0.33458646616541304</v>
      </c>
      <c r="Q513">
        <f t="shared" si="981"/>
        <v>131047114.89774416</v>
      </c>
      <c r="R513">
        <f t="shared" si="982"/>
        <v>12560886686.134457</v>
      </c>
      <c r="S513">
        <f t="shared" si="983"/>
        <v>125608.86686134456</v>
      </c>
      <c r="T513">
        <f t="shared" si="984"/>
        <v>125.60886686134457</v>
      </c>
    </row>
    <row r="514" spans="1:20" x14ac:dyDescent="0.25">
      <c r="A514" s="5">
        <v>44079</v>
      </c>
      <c r="B514">
        <v>0.1016</v>
      </c>
      <c r="C514">
        <v>0.10398</v>
      </c>
      <c r="D514">
        <v>8.5400000000000004E-2</v>
      </c>
      <c r="E514">
        <v>0.09</v>
      </c>
      <c r="F514">
        <v>648238071.39999998</v>
      </c>
      <c r="G514">
        <v>-11.42</v>
      </c>
      <c r="L514" t="s">
        <v>7</v>
      </c>
      <c r="M514" t="s">
        <v>7</v>
      </c>
      <c r="N514" t="s">
        <v>7</v>
      </c>
      <c r="P514">
        <f t="shared" si="980"/>
        <v>-0.50484391819160457</v>
      </c>
      <c r="Q514">
        <f t="shared" si="981"/>
        <v>-327259047.88654512</v>
      </c>
      <c r="R514">
        <f t="shared" si="982"/>
        <v>12429839571.236713</v>
      </c>
      <c r="S514">
        <f t="shared" si="983"/>
        <v>124298.39571236713</v>
      </c>
      <c r="T514">
        <f t="shared" si="984"/>
        <v>124.29839571236712</v>
      </c>
    </row>
    <row r="515" spans="1:20" x14ac:dyDescent="0.25">
      <c r="A515" s="5">
        <v>44078</v>
      </c>
      <c r="B515">
        <v>9.4479999999999995E-2</v>
      </c>
      <c r="C515">
        <v>0.10399</v>
      </c>
      <c r="D515">
        <v>9.2149999999999996E-2</v>
      </c>
      <c r="E515">
        <v>0.10156</v>
      </c>
      <c r="F515">
        <v>764723646.70000005</v>
      </c>
      <c r="G515">
        <v>7.49</v>
      </c>
      <c r="L515" t="s">
        <v>8</v>
      </c>
      <c r="M515" t="s">
        <v>7</v>
      </c>
      <c r="N515" t="s">
        <v>7</v>
      </c>
      <c r="P515">
        <f t="shared" si="980"/>
        <v>0.58952702702702686</v>
      </c>
      <c r="Q515">
        <f t="shared" si="981"/>
        <v>450825257.93631744</v>
      </c>
      <c r="R515">
        <f t="shared" si="982"/>
        <v>12757098619.123259</v>
      </c>
      <c r="S515">
        <f t="shared" si="983"/>
        <v>127570.98619123259</v>
      </c>
      <c r="T515">
        <f t="shared" si="984"/>
        <v>127.57098619123259</v>
      </c>
    </row>
    <row r="516" spans="1:20" x14ac:dyDescent="0.25">
      <c r="A516" s="5">
        <v>44077</v>
      </c>
      <c r="B516">
        <v>0.1149</v>
      </c>
      <c r="C516">
        <v>0.11693000000000001</v>
      </c>
      <c r="D516">
        <v>9.2219999999999996E-2</v>
      </c>
      <c r="E516">
        <v>9.4460000000000002E-2</v>
      </c>
      <c r="F516">
        <v>621880720.20000005</v>
      </c>
      <c r="G516">
        <v>-17.79</v>
      </c>
      <c r="L516" t="s">
        <v>7</v>
      </c>
      <c r="M516" t="s">
        <v>7</v>
      </c>
      <c r="N516" t="s">
        <v>7</v>
      </c>
      <c r="P516">
        <f t="shared" si="980"/>
        <v>-0.81869688385269079</v>
      </c>
      <c r="Q516">
        <f t="shared" si="981"/>
        <v>-509131807.75580716</v>
      </c>
      <c r="R516">
        <f t="shared" si="982"/>
        <v>12306273361.186941</v>
      </c>
      <c r="S516">
        <f t="shared" si="983"/>
        <v>123062.73361186941</v>
      </c>
      <c r="T516">
        <f t="shared" si="984"/>
        <v>123.0627336118694</v>
      </c>
    </row>
    <row r="517" spans="1:20" x14ac:dyDescent="0.25">
      <c r="A517" s="5">
        <v>44076</v>
      </c>
      <c r="B517">
        <v>0.12444</v>
      </c>
      <c r="C517">
        <v>0.12642</v>
      </c>
      <c r="D517">
        <v>0.11031000000000001</v>
      </c>
      <c r="E517">
        <v>0.11489000000000001</v>
      </c>
      <c r="F517">
        <v>399997912.30000001</v>
      </c>
      <c r="G517">
        <v>-7.67</v>
      </c>
      <c r="L517" t="s">
        <v>7</v>
      </c>
      <c r="M517" t="s">
        <v>8</v>
      </c>
      <c r="N517" t="s">
        <v>7</v>
      </c>
      <c r="P517">
        <f t="shared" si="980"/>
        <v>-0.43140906269397877</v>
      </c>
      <c r="Q517">
        <f t="shared" si="981"/>
        <v>-172562724.42489132</v>
      </c>
      <c r="R517">
        <f t="shared" si="982"/>
        <v>12815405168.942749</v>
      </c>
      <c r="S517">
        <f t="shared" si="983"/>
        <v>128154.05168942749</v>
      </c>
      <c r="T517">
        <f t="shared" si="984"/>
        <v>128.15405168942749</v>
      </c>
    </row>
    <row r="518" spans="1:20" x14ac:dyDescent="0.25">
      <c r="A518" s="5">
        <v>44075</v>
      </c>
      <c r="B518">
        <v>0.1225</v>
      </c>
      <c r="C518">
        <v>0.12812000000000001</v>
      </c>
      <c r="D518">
        <v>0.11896</v>
      </c>
      <c r="E518">
        <v>0.12445000000000001</v>
      </c>
      <c r="F518">
        <v>330906806.89999998</v>
      </c>
      <c r="G518">
        <v>1.59</v>
      </c>
      <c r="L518" t="s">
        <v>8</v>
      </c>
      <c r="M518" t="s">
        <v>8</v>
      </c>
      <c r="N518" t="s">
        <v>7</v>
      </c>
      <c r="P518">
        <f t="shared" ref="P518:P581" si="985">IF(C518=D518,0,((E518-D518)-(C518-E518))/(C518-D518))</f>
        <v>0.19868995633187764</v>
      </c>
      <c r="Q518">
        <f t="shared" ref="Q518:Q581" si="986">F518*P518</f>
        <v>65747859.012882061</v>
      </c>
      <c r="R518">
        <f t="shared" ref="R518:R581" si="987">R519+Q518</f>
        <v>12987967893.36764</v>
      </c>
      <c r="S518">
        <f t="shared" ref="S518:S581" si="988">R518/100000</f>
        <v>129879.67893367639</v>
      </c>
      <c r="T518">
        <f t="shared" ref="T518:T581" si="989">S518/1000</f>
        <v>129.87967893367639</v>
      </c>
    </row>
    <row r="519" spans="1:20" x14ac:dyDescent="0.25">
      <c r="A519" s="5">
        <v>44074</v>
      </c>
      <c r="B519">
        <v>0.11742</v>
      </c>
      <c r="C519">
        <v>0.1268</v>
      </c>
      <c r="D519">
        <v>0.11296</v>
      </c>
      <c r="E519">
        <v>0.12253</v>
      </c>
      <c r="F519">
        <v>459272450.5</v>
      </c>
      <c r="G519">
        <v>4.3499999999999996</v>
      </c>
      <c r="L519" t="s">
        <v>8</v>
      </c>
      <c r="M519" t="s">
        <v>8</v>
      </c>
      <c r="N519" t="s">
        <v>7</v>
      </c>
      <c r="P519">
        <f t="shared" si="985"/>
        <v>0.38294797687861287</v>
      </c>
      <c r="Q519">
        <f t="shared" si="986"/>
        <v>175877455.75505787</v>
      </c>
      <c r="R519">
        <f t="shared" si="987"/>
        <v>12922220034.354757</v>
      </c>
      <c r="S519">
        <f t="shared" si="988"/>
        <v>129222.20034354758</v>
      </c>
      <c r="T519">
        <f t="shared" si="989"/>
        <v>129.22220034354757</v>
      </c>
    </row>
    <row r="520" spans="1:20" x14ac:dyDescent="0.25">
      <c r="A520" s="5">
        <v>44073</v>
      </c>
      <c r="B520">
        <v>0.11624</v>
      </c>
      <c r="C520">
        <v>0.11879000000000001</v>
      </c>
      <c r="D520">
        <v>0.11369</v>
      </c>
      <c r="E520">
        <v>0.11747</v>
      </c>
      <c r="F520">
        <v>208755018</v>
      </c>
      <c r="G520">
        <v>1.06</v>
      </c>
      <c r="L520" t="s">
        <v>8</v>
      </c>
      <c r="M520" t="s">
        <v>7</v>
      </c>
      <c r="N520" t="s">
        <v>7</v>
      </c>
      <c r="P520">
        <f t="shared" si="985"/>
        <v>0.48235294117647065</v>
      </c>
      <c r="Q520">
        <f t="shared" si="986"/>
        <v>100693596.91764708</v>
      </c>
      <c r="R520">
        <f t="shared" si="987"/>
        <v>12746342578.599699</v>
      </c>
      <c r="S520">
        <f t="shared" si="988"/>
        <v>127463.42578599699</v>
      </c>
      <c r="T520">
        <f t="shared" si="989"/>
        <v>127.46342578599699</v>
      </c>
    </row>
    <row r="521" spans="1:20" x14ac:dyDescent="0.25">
      <c r="A521" s="5">
        <v>44072</v>
      </c>
      <c r="B521">
        <v>0.10926</v>
      </c>
      <c r="C521">
        <v>0.11796</v>
      </c>
      <c r="D521">
        <v>0.10799</v>
      </c>
      <c r="E521">
        <v>0.11623</v>
      </c>
      <c r="F521">
        <v>219865981.90000001</v>
      </c>
      <c r="G521">
        <v>6.38</v>
      </c>
      <c r="L521" t="s">
        <v>8</v>
      </c>
      <c r="M521" t="s">
        <v>7</v>
      </c>
      <c r="N521" t="s">
        <v>7</v>
      </c>
      <c r="P521">
        <f t="shared" si="985"/>
        <v>0.65295887662989038</v>
      </c>
      <c r="Q521">
        <f t="shared" si="986"/>
        <v>143563444.5505518</v>
      </c>
      <c r="R521">
        <f t="shared" si="987"/>
        <v>12645648981.682053</v>
      </c>
      <c r="S521">
        <f t="shared" si="988"/>
        <v>126456.48981682053</v>
      </c>
      <c r="T521">
        <f t="shared" si="989"/>
        <v>126.45648981682052</v>
      </c>
    </row>
    <row r="522" spans="1:20" x14ac:dyDescent="0.25">
      <c r="A522" s="5">
        <v>44071</v>
      </c>
      <c r="B522">
        <v>0.10725999999999999</v>
      </c>
      <c r="C522">
        <v>0.11166</v>
      </c>
      <c r="D522">
        <v>0.10602</v>
      </c>
      <c r="E522">
        <v>0.10927000000000001</v>
      </c>
      <c r="F522">
        <v>254837464.59999999</v>
      </c>
      <c r="G522">
        <v>1.87</v>
      </c>
      <c r="L522" t="s">
        <v>8</v>
      </c>
      <c r="M522" t="s">
        <v>7</v>
      </c>
      <c r="N522" t="s">
        <v>7</v>
      </c>
      <c r="P522">
        <f t="shared" si="985"/>
        <v>0.15248226950354871</v>
      </c>
      <c r="Q522">
        <f t="shared" si="986"/>
        <v>38858194.956738248</v>
      </c>
      <c r="R522">
        <f t="shared" si="987"/>
        <v>12502085537.1315</v>
      </c>
      <c r="S522">
        <f t="shared" si="988"/>
        <v>125020.855371315</v>
      </c>
      <c r="T522">
        <f t="shared" si="989"/>
        <v>125.02085537131501</v>
      </c>
    </row>
    <row r="523" spans="1:20" x14ac:dyDescent="0.25">
      <c r="A523" s="5">
        <v>44070</v>
      </c>
      <c r="B523">
        <v>0.11430999999999999</v>
      </c>
      <c r="C523">
        <v>0.11583</v>
      </c>
      <c r="D523">
        <v>0.10211000000000001</v>
      </c>
      <c r="E523">
        <v>0.10725</v>
      </c>
      <c r="F523">
        <v>397313718.19999999</v>
      </c>
      <c r="G523">
        <v>-6.18</v>
      </c>
      <c r="L523" t="s">
        <v>7</v>
      </c>
      <c r="M523" t="s">
        <v>7</v>
      </c>
      <c r="N523" t="s">
        <v>7</v>
      </c>
      <c r="P523">
        <f t="shared" si="985"/>
        <v>-0.2507288629737619</v>
      </c>
      <c r="Q523">
        <f t="shared" si="986"/>
        <v>-99618016.808163643</v>
      </c>
      <c r="R523">
        <f t="shared" si="987"/>
        <v>12463227342.174763</v>
      </c>
      <c r="S523">
        <f t="shared" si="988"/>
        <v>124632.27342174762</v>
      </c>
      <c r="T523">
        <f t="shared" si="989"/>
        <v>124.63227342174763</v>
      </c>
    </row>
    <row r="524" spans="1:20" x14ac:dyDescent="0.25">
      <c r="A524" s="5">
        <v>44069</v>
      </c>
      <c r="B524">
        <v>0.11239</v>
      </c>
      <c r="C524">
        <v>0.11819</v>
      </c>
      <c r="D524">
        <v>0.11019</v>
      </c>
      <c r="E524">
        <v>0.11434999999999999</v>
      </c>
      <c r="F524">
        <v>291146015.69999999</v>
      </c>
      <c r="G524">
        <v>1.74</v>
      </c>
      <c r="L524" t="s">
        <v>8</v>
      </c>
      <c r="M524" t="s">
        <v>7</v>
      </c>
      <c r="N524" t="s">
        <v>7</v>
      </c>
      <c r="P524">
        <f t="shared" si="985"/>
        <v>3.9999999999998335E-2</v>
      </c>
      <c r="Q524">
        <f t="shared" si="986"/>
        <v>11645840.627999514</v>
      </c>
      <c r="R524">
        <f t="shared" si="987"/>
        <v>12562845358.982927</v>
      </c>
      <c r="S524">
        <f t="shared" si="988"/>
        <v>125628.45358982927</v>
      </c>
      <c r="T524">
        <f t="shared" si="989"/>
        <v>125.62845358982926</v>
      </c>
    </row>
    <row r="525" spans="1:20" x14ac:dyDescent="0.25">
      <c r="A525" s="5">
        <v>44068</v>
      </c>
      <c r="B525">
        <v>0.12359000000000001</v>
      </c>
      <c r="C525">
        <v>0.12395</v>
      </c>
      <c r="D525">
        <v>0.10485</v>
      </c>
      <c r="E525">
        <v>0.11239</v>
      </c>
      <c r="F525">
        <v>538469253</v>
      </c>
      <c r="G525">
        <v>-9.06</v>
      </c>
      <c r="L525" t="s">
        <v>7</v>
      </c>
      <c r="M525" t="s">
        <v>7</v>
      </c>
      <c r="N525" t="s">
        <v>7</v>
      </c>
      <c r="P525">
        <f t="shared" si="985"/>
        <v>-0.21047120418848139</v>
      </c>
      <c r="Q525">
        <f t="shared" si="986"/>
        <v>-113332272.09738205</v>
      </c>
      <c r="R525">
        <f t="shared" si="987"/>
        <v>12551199518.354927</v>
      </c>
      <c r="S525">
        <f t="shared" si="988"/>
        <v>125511.99518354927</v>
      </c>
      <c r="T525">
        <f t="shared" si="989"/>
        <v>125.51199518354927</v>
      </c>
    </row>
    <row r="526" spans="1:20" x14ac:dyDescent="0.25">
      <c r="A526" s="5">
        <v>44067</v>
      </c>
      <c r="B526">
        <v>0.12146</v>
      </c>
      <c r="C526">
        <v>0.12706999999999999</v>
      </c>
      <c r="D526">
        <v>0.12</v>
      </c>
      <c r="E526">
        <v>0.12361</v>
      </c>
      <c r="F526">
        <v>192049653.59999999</v>
      </c>
      <c r="G526">
        <v>1.77</v>
      </c>
      <c r="L526" t="s">
        <v>7</v>
      </c>
      <c r="M526" t="s">
        <v>7</v>
      </c>
      <c r="N526" t="s">
        <v>8</v>
      </c>
      <c r="P526">
        <f t="shared" si="985"/>
        <v>2.1216407355022827E-2</v>
      </c>
      <c r="Q526">
        <f t="shared" si="986"/>
        <v>4074603.6831686259</v>
      </c>
      <c r="R526">
        <f t="shared" si="987"/>
        <v>12664531790.452309</v>
      </c>
      <c r="S526">
        <f t="shared" si="988"/>
        <v>126645.31790452309</v>
      </c>
      <c r="T526">
        <f t="shared" si="989"/>
        <v>126.6453179045231</v>
      </c>
    </row>
    <row r="527" spans="1:20" x14ac:dyDescent="0.25">
      <c r="A527" s="5">
        <v>44066</v>
      </c>
      <c r="B527">
        <v>0.12515999999999999</v>
      </c>
      <c r="C527">
        <v>0.12590000000000001</v>
      </c>
      <c r="D527">
        <v>0.11928999999999999</v>
      </c>
      <c r="E527">
        <v>0.12141</v>
      </c>
      <c r="F527">
        <v>176404681.90000001</v>
      </c>
      <c r="G527">
        <v>-3</v>
      </c>
      <c r="L527" t="s">
        <v>7</v>
      </c>
      <c r="M527" t="s">
        <v>7</v>
      </c>
      <c r="N527" t="s">
        <v>8</v>
      </c>
      <c r="P527">
        <f t="shared" si="985"/>
        <v>-0.35854765506807723</v>
      </c>
      <c r="Q527">
        <f t="shared" si="986"/>
        <v>-63249485.038275085</v>
      </c>
      <c r="R527">
        <f t="shared" si="987"/>
        <v>12660457186.76914</v>
      </c>
      <c r="S527">
        <f t="shared" si="988"/>
        <v>126604.5718676914</v>
      </c>
      <c r="T527">
        <f t="shared" si="989"/>
        <v>126.60457186769139</v>
      </c>
    </row>
    <row r="528" spans="1:20" x14ac:dyDescent="0.25">
      <c r="A528" s="5">
        <v>44065</v>
      </c>
      <c r="B528">
        <v>0.12314</v>
      </c>
      <c r="C528">
        <v>0.12617999999999999</v>
      </c>
      <c r="D528">
        <v>0.1182</v>
      </c>
      <c r="E528">
        <v>0.12515000000000001</v>
      </c>
      <c r="F528">
        <v>239238199.5</v>
      </c>
      <c r="G528">
        <v>1.63</v>
      </c>
      <c r="L528" t="s">
        <v>7</v>
      </c>
      <c r="M528" t="s">
        <v>7</v>
      </c>
      <c r="N528" t="s">
        <v>8</v>
      </c>
      <c r="P528">
        <f t="shared" si="985"/>
        <v>0.74185463659148443</v>
      </c>
      <c r="Q528">
        <f t="shared" si="986"/>
        <v>177479967.54887354</v>
      </c>
      <c r="R528">
        <f t="shared" si="987"/>
        <v>12723706671.807415</v>
      </c>
      <c r="S528">
        <f t="shared" si="988"/>
        <v>127237.06671807414</v>
      </c>
      <c r="T528">
        <f t="shared" si="989"/>
        <v>127.23706671807415</v>
      </c>
    </row>
    <row r="529" spans="1:20" x14ac:dyDescent="0.25">
      <c r="A529" s="5">
        <v>44064</v>
      </c>
      <c r="B529">
        <v>0.13420000000000001</v>
      </c>
      <c r="C529">
        <v>0.13436000000000001</v>
      </c>
      <c r="D529">
        <v>0.12139999999999999</v>
      </c>
      <c r="E529">
        <v>0.12315</v>
      </c>
      <c r="F529">
        <v>325572514.69999999</v>
      </c>
      <c r="G529">
        <v>-8.23</v>
      </c>
      <c r="L529" t="s">
        <v>7</v>
      </c>
      <c r="M529" t="s">
        <v>7</v>
      </c>
      <c r="N529" t="s">
        <v>8</v>
      </c>
      <c r="P529">
        <f t="shared" si="985"/>
        <v>-0.72993827160493829</v>
      </c>
      <c r="Q529">
        <f t="shared" si="986"/>
        <v>-237647838.66219136</v>
      </c>
      <c r="R529">
        <f t="shared" si="987"/>
        <v>12546226704.258541</v>
      </c>
      <c r="S529">
        <f t="shared" si="988"/>
        <v>125462.26704258542</v>
      </c>
      <c r="T529">
        <f t="shared" si="989"/>
        <v>125.46226704258541</v>
      </c>
    </row>
    <row r="530" spans="1:20" x14ac:dyDescent="0.25">
      <c r="A530" s="5">
        <v>44063</v>
      </c>
      <c r="B530">
        <v>0.12964000000000001</v>
      </c>
      <c r="C530">
        <v>0.13453000000000001</v>
      </c>
      <c r="D530">
        <v>0.12605</v>
      </c>
      <c r="E530">
        <v>0.13413</v>
      </c>
      <c r="F530">
        <v>243493668.90000001</v>
      </c>
      <c r="G530">
        <v>3.46</v>
      </c>
      <c r="L530" t="s">
        <v>7</v>
      </c>
      <c r="M530" t="s">
        <v>7</v>
      </c>
      <c r="N530" t="s">
        <v>8</v>
      </c>
      <c r="P530">
        <f t="shared" si="985"/>
        <v>0.90566037735848803</v>
      </c>
      <c r="Q530">
        <f t="shared" si="986"/>
        <v>220522568.06037673</v>
      </c>
      <c r="R530">
        <f t="shared" si="987"/>
        <v>12783874542.920732</v>
      </c>
      <c r="S530">
        <f t="shared" si="988"/>
        <v>127838.74542920732</v>
      </c>
      <c r="T530">
        <f t="shared" si="989"/>
        <v>127.83874542920732</v>
      </c>
    </row>
    <row r="531" spans="1:20" x14ac:dyDescent="0.25">
      <c r="A531" s="5">
        <v>44062</v>
      </c>
      <c r="B531">
        <v>0.13686000000000001</v>
      </c>
      <c r="C531">
        <v>0.13832</v>
      </c>
      <c r="D531">
        <v>0.1258</v>
      </c>
      <c r="E531">
        <v>0.12966</v>
      </c>
      <c r="F531">
        <v>344298320.30000001</v>
      </c>
      <c r="G531">
        <v>-5.26</v>
      </c>
      <c r="L531" t="s">
        <v>7</v>
      </c>
      <c r="M531" t="s">
        <v>7</v>
      </c>
      <c r="N531" t="s">
        <v>8</v>
      </c>
      <c r="P531">
        <f t="shared" si="985"/>
        <v>-0.38338658146964838</v>
      </c>
      <c r="Q531">
        <f t="shared" si="986"/>
        <v>-131999356.02555905</v>
      </c>
      <c r="R531">
        <f t="shared" si="987"/>
        <v>12563351974.860355</v>
      </c>
      <c r="S531">
        <f t="shared" si="988"/>
        <v>125633.51974860355</v>
      </c>
      <c r="T531">
        <f t="shared" si="989"/>
        <v>125.63351974860355</v>
      </c>
    </row>
    <row r="532" spans="1:20" x14ac:dyDescent="0.25">
      <c r="A532" s="5">
        <v>44061</v>
      </c>
      <c r="B532">
        <v>0.14038999999999999</v>
      </c>
      <c r="C532">
        <v>0.14399999999999999</v>
      </c>
      <c r="D532">
        <v>0.13374</v>
      </c>
      <c r="E532">
        <v>0.13691</v>
      </c>
      <c r="F532">
        <v>265797226.30000001</v>
      </c>
      <c r="G532">
        <v>-2.48</v>
      </c>
      <c r="L532" t="s">
        <v>7</v>
      </c>
      <c r="M532" t="s">
        <v>7</v>
      </c>
      <c r="N532" t="s">
        <v>8</v>
      </c>
      <c r="P532">
        <f t="shared" si="985"/>
        <v>-0.38206627680311717</v>
      </c>
      <c r="Q532">
        <f t="shared" si="986"/>
        <v>-101552156.63703658</v>
      </c>
      <c r="R532">
        <f t="shared" si="987"/>
        <v>12695351330.885914</v>
      </c>
      <c r="S532">
        <f t="shared" si="988"/>
        <v>126953.51330885914</v>
      </c>
      <c r="T532">
        <f t="shared" si="989"/>
        <v>126.95351330885914</v>
      </c>
    </row>
    <row r="533" spans="1:20" x14ac:dyDescent="0.25">
      <c r="A533" s="5">
        <v>44060</v>
      </c>
      <c r="B533">
        <v>0.13882</v>
      </c>
      <c r="C533">
        <v>0.14484</v>
      </c>
      <c r="D533">
        <v>0.13730999999999999</v>
      </c>
      <c r="E533">
        <v>0.14038999999999999</v>
      </c>
      <c r="F533">
        <v>385519511.69999999</v>
      </c>
      <c r="G533">
        <v>1.1299999999999999</v>
      </c>
      <c r="L533" t="s">
        <v>8</v>
      </c>
      <c r="M533" t="s">
        <v>7</v>
      </c>
      <c r="N533" t="s">
        <v>8</v>
      </c>
      <c r="P533">
        <f t="shared" si="985"/>
        <v>-0.18193891102257748</v>
      </c>
      <c r="Q533">
        <f t="shared" si="986"/>
        <v>-70141000.136653811</v>
      </c>
      <c r="R533">
        <f t="shared" si="987"/>
        <v>12796903487.522951</v>
      </c>
      <c r="S533">
        <f t="shared" si="988"/>
        <v>127969.03487522951</v>
      </c>
      <c r="T533">
        <f t="shared" si="989"/>
        <v>127.96903487522951</v>
      </c>
    </row>
    <row r="534" spans="1:20" x14ac:dyDescent="0.25">
      <c r="A534" s="5">
        <v>44059</v>
      </c>
      <c r="B534">
        <v>0.13838</v>
      </c>
      <c r="C534">
        <v>0.13961000000000001</v>
      </c>
      <c r="D534">
        <v>0.13483000000000001</v>
      </c>
      <c r="E534">
        <v>0.13882</v>
      </c>
      <c r="F534">
        <v>208158137.09999999</v>
      </c>
      <c r="G534">
        <v>0.32</v>
      </c>
      <c r="L534" t="s">
        <v>8</v>
      </c>
      <c r="M534" t="s">
        <v>7</v>
      </c>
      <c r="N534" t="s">
        <v>8</v>
      </c>
      <c r="P534">
        <f t="shared" si="985"/>
        <v>0.66945606694560178</v>
      </c>
      <c r="Q534">
        <f t="shared" si="986"/>
        <v>139352727.76568934</v>
      </c>
      <c r="R534">
        <f t="shared" si="987"/>
        <v>12867044487.659605</v>
      </c>
      <c r="S534">
        <f t="shared" si="988"/>
        <v>128670.44487659606</v>
      </c>
      <c r="T534">
        <f t="shared" si="989"/>
        <v>128.67044487659606</v>
      </c>
    </row>
    <row r="535" spans="1:20" x14ac:dyDescent="0.25">
      <c r="A535" s="5">
        <v>44058</v>
      </c>
      <c r="B535">
        <v>0.13825999999999999</v>
      </c>
      <c r="C535">
        <v>0.14180000000000001</v>
      </c>
      <c r="D535">
        <v>0.13619999999999999</v>
      </c>
      <c r="E535">
        <v>0.13836999999999999</v>
      </c>
      <c r="F535">
        <v>278280169.39999998</v>
      </c>
      <c r="G535">
        <v>0.08</v>
      </c>
      <c r="L535" t="s">
        <v>8</v>
      </c>
      <c r="M535" t="s">
        <v>7</v>
      </c>
      <c r="N535" t="s">
        <v>8</v>
      </c>
      <c r="P535">
        <f t="shared" si="985"/>
        <v>-0.22500000000000112</v>
      </c>
      <c r="Q535">
        <f t="shared" si="986"/>
        <v>-62613038.115000308</v>
      </c>
      <c r="R535">
        <f t="shared" si="987"/>
        <v>12727691759.893915</v>
      </c>
      <c r="S535">
        <f t="shared" si="988"/>
        <v>127276.91759893915</v>
      </c>
      <c r="T535">
        <f t="shared" si="989"/>
        <v>127.27691759893915</v>
      </c>
    </row>
    <row r="536" spans="1:20" x14ac:dyDescent="0.25">
      <c r="A536" s="5">
        <v>44057</v>
      </c>
      <c r="B536">
        <v>0.13943</v>
      </c>
      <c r="C536">
        <v>0.14116999999999999</v>
      </c>
      <c r="D536">
        <v>0.13739000000000001</v>
      </c>
      <c r="E536">
        <v>0.13825999999999999</v>
      </c>
      <c r="F536">
        <v>236113113.09999999</v>
      </c>
      <c r="G536">
        <v>-0.84</v>
      </c>
      <c r="L536" t="s">
        <v>8</v>
      </c>
      <c r="M536" t="s">
        <v>7</v>
      </c>
      <c r="N536" t="s">
        <v>8</v>
      </c>
      <c r="P536">
        <f t="shared" si="985"/>
        <v>-0.53968253968254654</v>
      </c>
      <c r="Q536">
        <f t="shared" si="986"/>
        <v>-127426124.53016034</v>
      </c>
      <c r="R536">
        <f t="shared" si="987"/>
        <v>12790304798.008915</v>
      </c>
      <c r="S536">
        <f t="shared" si="988"/>
        <v>127903.04798008915</v>
      </c>
      <c r="T536">
        <f t="shared" si="989"/>
        <v>127.90304798008914</v>
      </c>
    </row>
    <row r="537" spans="1:20" x14ac:dyDescent="0.25">
      <c r="A537" s="5">
        <v>44056</v>
      </c>
      <c r="B537">
        <v>0.13669999999999999</v>
      </c>
      <c r="C537">
        <v>0.14212</v>
      </c>
      <c r="D537">
        <v>0.13161</v>
      </c>
      <c r="E537">
        <v>0.13944000000000001</v>
      </c>
      <c r="F537">
        <v>370696719.39999998</v>
      </c>
      <c r="G537">
        <v>2</v>
      </c>
      <c r="L537" t="s">
        <v>8</v>
      </c>
      <c r="M537" t="s">
        <v>7</v>
      </c>
      <c r="N537" t="s">
        <v>8</v>
      </c>
      <c r="P537">
        <f t="shared" si="985"/>
        <v>0.49000951474786109</v>
      </c>
      <c r="Q537">
        <f t="shared" si="986"/>
        <v>181644919.591818</v>
      </c>
      <c r="R537">
        <f t="shared" si="987"/>
        <v>12917730922.539076</v>
      </c>
      <c r="S537">
        <f t="shared" si="988"/>
        <v>129177.30922539075</v>
      </c>
      <c r="T537">
        <f t="shared" si="989"/>
        <v>129.17730922539076</v>
      </c>
    </row>
    <row r="538" spans="1:20" x14ac:dyDescent="0.25">
      <c r="A538" s="5">
        <v>44055</v>
      </c>
      <c r="B538">
        <v>0.13685</v>
      </c>
      <c r="C538">
        <v>0.13786999999999999</v>
      </c>
      <c r="D538">
        <v>0.12336</v>
      </c>
      <c r="E538">
        <v>0.13669999999999999</v>
      </c>
      <c r="F538">
        <v>409416032.19999999</v>
      </c>
      <c r="G538">
        <v>-0.11</v>
      </c>
      <c r="L538" t="s">
        <v>7</v>
      </c>
      <c r="M538" t="s">
        <v>7</v>
      </c>
      <c r="N538" t="s">
        <v>8</v>
      </c>
      <c r="P538">
        <f t="shared" si="985"/>
        <v>0.83873190902825567</v>
      </c>
      <c r="Q538">
        <f t="shared" si="986"/>
        <v>343390290.27387977</v>
      </c>
      <c r="R538">
        <f t="shared" si="987"/>
        <v>12736086002.947258</v>
      </c>
      <c r="S538">
        <f t="shared" si="988"/>
        <v>127360.86002947258</v>
      </c>
      <c r="T538">
        <f t="shared" si="989"/>
        <v>127.36086002947258</v>
      </c>
    </row>
    <row r="539" spans="1:20" x14ac:dyDescent="0.25">
      <c r="A539" s="5">
        <v>44054</v>
      </c>
      <c r="B539">
        <v>0.14376</v>
      </c>
      <c r="C539">
        <v>0.14449999999999999</v>
      </c>
      <c r="D539">
        <v>0.13131000000000001</v>
      </c>
      <c r="E539">
        <v>0.13685</v>
      </c>
      <c r="F539">
        <v>335301733.60000002</v>
      </c>
      <c r="G539">
        <v>-4.8099999999999996</v>
      </c>
      <c r="L539" t="s">
        <v>7</v>
      </c>
      <c r="M539" t="s">
        <v>8</v>
      </c>
      <c r="N539" t="s">
        <v>8</v>
      </c>
      <c r="P539">
        <f t="shared" si="985"/>
        <v>-0.15996967399545139</v>
      </c>
      <c r="Q539">
        <f t="shared" si="986"/>
        <v>-53638109.014101692</v>
      </c>
      <c r="R539">
        <f t="shared" si="987"/>
        <v>12392695712.673378</v>
      </c>
      <c r="S539">
        <f t="shared" si="988"/>
        <v>123926.95712673377</v>
      </c>
      <c r="T539">
        <f t="shared" si="989"/>
        <v>123.92695712673377</v>
      </c>
    </row>
    <row r="540" spans="1:20" x14ac:dyDescent="0.25">
      <c r="A540" s="5">
        <v>44053</v>
      </c>
      <c r="B540">
        <v>0.14512</v>
      </c>
      <c r="C540">
        <v>0.14652999999999999</v>
      </c>
      <c r="D540">
        <v>0.14162</v>
      </c>
      <c r="E540">
        <v>0.14383000000000001</v>
      </c>
      <c r="F540">
        <v>338241373.89999998</v>
      </c>
      <c r="G540">
        <v>-0.89</v>
      </c>
      <c r="L540" t="s">
        <v>8</v>
      </c>
      <c r="M540" t="s">
        <v>8</v>
      </c>
      <c r="N540" t="s">
        <v>8</v>
      </c>
      <c r="P540">
        <f t="shared" si="985"/>
        <v>-9.9796334012212412E-2</v>
      </c>
      <c r="Q540">
        <f t="shared" si="986"/>
        <v>-33755249.126474023</v>
      </c>
      <c r="R540">
        <f t="shared" si="987"/>
        <v>12446333821.687479</v>
      </c>
      <c r="S540">
        <f t="shared" si="988"/>
        <v>124463.33821687479</v>
      </c>
      <c r="T540">
        <f t="shared" si="989"/>
        <v>124.46333821687479</v>
      </c>
    </row>
    <row r="541" spans="1:20" x14ac:dyDescent="0.25">
      <c r="A541" s="5">
        <v>44052</v>
      </c>
      <c r="B541">
        <v>0.14695</v>
      </c>
      <c r="C541">
        <v>0.15229999999999999</v>
      </c>
      <c r="D541">
        <v>0.14199999999999999</v>
      </c>
      <c r="E541">
        <v>0.14512</v>
      </c>
      <c r="F541">
        <v>404020544.5</v>
      </c>
      <c r="G541">
        <v>-1.25</v>
      </c>
      <c r="L541" t="s">
        <v>8</v>
      </c>
      <c r="M541" t="s">
        <v>8</v>
      </c>
      <c r="N541" t="s">
        <v>8</v>
      </c>
      <c r="P541">
        <f t="shared" si="985"/>
        <v>-0.39417475728155132</v>
      </c>
      <c r="Q541">
        <f t="shared" si="986"/>
        <v>-159254700.06504771</v>
      </c>
      <c r="R541">
        <f t="shared" si="987"/>
        <v>12480089070.813953</v>
      </c>
      <c r="S541">
        <f t="shared" si="988"/>
        <v>124800.89070813953</v>
      </c>
      <c r="T541">
        <f t="shared" si="989"/>
        <v>124.80089070813953</v>
      </c>
    </row>
    <row r="542" spans="1:20" x14ac:dyDescent="0.25">
      <c r="A542" s="5">
        <v>44051</v>
      </c>
      <c r="B542">
        <v>0.13891000000000001</v>
      </c>
      <c r="C542">
        <v>0.14788000000000001</v>
      </c>
      <c r="D542">
        <v>0.13722999999999999</v>
      </c>
      <c r="E542">
        <v>0.14696000000000001</v>
      </c>
      <c r="F542">
        <v>300085230.69999999</v>
      </c>
      <c r="G542">
        <v>5.8</v>
      </c>
      <c r="L542" t="s">
        <v>8</v>
      </c>
      <c r="M542" t="s">
        <v>7</v>
      </c>
      <c r="N542" t="s">
        <v>8</v>
      </c>
      <c r="P542">
        <f t="shared" si="985"/>
        <v>0.82723004694835633</v>
      </c>
      <c r="Q542">
        <f t="shared" si="986"/>
        <v>248239519.48046935</v>
      </c>
      <c r="R542">
        <f t="shared" si="987"/>
        <v>12639343770.879002</v>
      </c>
      <c r="S542">
        <f t="shared" si="988"/>
        <v>126393.43770879002</v>
      </c>
      <c r="T542">
        <f t="shared" si="989"/>
        <v>126.39343770879002</v>
      </c>
    </row>
    <row r="543" spans="1:20" x14ac:dyDescent="0.25">
      <c r="A543" s="5">
        <v>44050</v>
      </c>
      <c r="B543">
        <v>0.14441000000000001</v>
      </c>
      <c r="C543">
        <v>0.14746000000000001</v>
      </c>
      <c r="D543">
        <v>0.13270000000000001</v>
      </c>
      <c r="E543">
        <v>0.13888</v>
      </c>
      <c r="F543">
        <v>335277998.80000001</v>
      </c>
      <c r="G543">
        <v>-3.83</v>
      </c>
      <c r="L543" t="s">
        <v>7</v>
      </c>
      <c r="M543" t="s">
        <v>7</v>
      </c>
      <c r="N543" t="s">
        <v>8</v>
      </c>
      <c r="P543">
        <f t="shared" si="985"/>
        <v>-0.1626016260162611</v>
      </c>
      <c r="Q543">
        <f t="shared" si="986"/>
        <v>-54516747.772358038</v>
      </c>
      <c r="R543">
        <f t="shared" si="987"/>
        <v>12391104251.398533</v>
      </c>
      <c r="S543">
        <f t="shared" si="988"/>
        <v>123911.04251398533</v>
      </c>
      <c r="T543">
        <f t="shared" si="989"/>
        <v>123.91104251398534</v>
      </c>
    </row>
    <row r="544" spans="1:20" x14ac:dyDescent="0.25">
      <c r="A544" s="5">
        <v>44049</v>
      </c>
      <c r="B544">
        <v>0.14229</v>
      </c>
      <c r="C544">
        <v>0.14585000000000001</v>
      </c>
      <c r="D544">
        <v>0.13986000000000001</v>
      </c>
      <c r="E544">
        <v>0.14444000000000001</v>
      </c>
      <c r="F544">
        <v>279832944.89999998</v>
      </c>
      <c r="G544">
        <v>1.51</v>
      </c>
      <c r="L544" t="s">
        <v>8</v>
      </c>
      <c r="M544" t="s">
        <v>7</v>
      </c>
      <c r="N544" t="s">
        <v>8</v>
      </c>
      <c r="P544">
        <f t="shared" si="985"/>
        <v>0.52921535893155403</v>
      </c>
      <c r="Q544">
        <f t="shared" si="986"/>
        <v>148091892.37612727</v>
      </c>
      <c r="R544">
        <f t="shared" si="987"/>
        <v>12445620999.170891</v>
      </c>
      <c r="S544">
        <f t="shared" si="988"/>
        <v>124456.20999170891</v>
      </c>
      <c r="T544">
        <f t="shared" si="989"/>
        <v>124.4562099917089</v>
      </c>
    </row>
    <row r="545" spans="1:20" x14ac:dyDescent="0.25">
      <c r="A545" s="5">
        <v>44048</v>
      </c>
      <c r="B545">
        <v>0.14333000000000001</v>
      </c>
      <c r="C545">
        <v>0.14532999999999999</v>
      </c>
      <c r="D545">
        <v>0.13969999999999999</v>
      </c>
      <c r="E545">
        <v>0.14227000000000001</v>
      </c>
      <c r="F545">
        <v>247854513.30000001</v>
      </c>
      <c r="G545">
        <v>-0.74</v>
      </c>
      <c r="L545" t="s">
        <v>8</v>
      </c>
      <c r="M545" t="s">
        <v>7</v>
      </c>
      <c r="N545" t="s">
        <v>8</v>
      </c>
      <c r="P545">
        <f t="shared" si="985"/>
        <v>-8.7033747779744763E-2</v>
      </c>
      <c r="Q545">
        <f t="shared" si="986"/>
        <v>-21571707.196623594</v>
      </c>
      <c r="R545">
        <f t="shared" si="987"/>
        <v>12297529106.794764</v>
      </c>
      <c r="S545">
        <f t="shared" si="988"/>
        <v>122975.29106794763</v>
      </c>
      <c r="T545">
        <f t="shared" si="989"/>
        <v>122.97529106794764</v>
      </c>
    </row>
    <row r="546" spans="1:20" x14ac:dyDescent="0.25">
      <c r="A546" s="5">
        <v>44047</v>
      </c>
      <c r="B546">
        <v>0.13735</v>
      </c>
      <c r="C546">
        <v>0.14824999999999999</v>
      </c>
      <c r="D546">
        <v>0.13611000000000001</v>
      </c>
      <c r="E546">
        <v>0.14335000000000001</v>
      </c>
      <c r="F546">
        <v>405429691.80000001</v>
      </c>
      <c r="G546">
        <v>4.37</v>
      </c>
      <c r="L546" t="s">
        <v>8</v>
      </c>
      <c r="M546" t="s">
        <v>7</v>
      </c>
      <c r="N546" t="s">
        <v>8</v>
      </c>
      <c r="P546">
        <f t="shared" si="985"/>
        <v>0.19275123558484447</v>
      </c>
      <c r="Q546">
        <f t="shared" si="986"/>
        <v>78147074.037232682</v>
      </c>
      <c r="R546">
        <f t="shared" si="987"/>
        <v>12319100813.991386</v>
      </c>
      <c r="S546">
        <f t="shared" si="988"/>
        <v>123191.00813991386</v>
      </c>
      <c r="T546">
        <f t="shared" si="989"/>
        <v>123.19100813991386</v>
      </c>
    </row>
    <row r="547" spans="1:20" x14ac:dyDescent="0.25">
      <c r="A547" s="5">
        <v>44046</v>
      </c>
      <c r="B547">
        <v>0.13381000000000001</v>
      </c>
      <c r="C547">
        <v>0.13930000000000001</v>
      </c>
      <c r="D547">
        <v>0.13200000000000001</v>
      </c>
      <c r="E547">
        <v>0.13730000000000001</v>
      </c>
      <c r="F547">
        <v>255391275.30000001</v>
      </c>
      <c r="G547">
        <v>2.61</v>
      </c>
      <c r="L547" t="s">
        <v>8</v>
      </c>
      <c r="M547" t="s">
        <v>7</v>
      </c>
      <c r="N547" t="s">
        <v>8</v>
      </c>
      <c r="P547">
        <f t="shared" si="985"/>
        <v>0.45205479452054753</v>
      </c>
      <c r="Q547">
        <f t="shared" si="986"/>
        <v>115450850.47808209</v>
      </c>
      <c r="R547">
        <f t="shared" si="987"/>
        <v>12240953739.954153</v>
      </c>
      <c r="S547">
        <f t="shared" si="988"/>
        <v>122409.53739954153</v>
      </c>
      <c r="T547">
        <f t="shared" si="989"/>
        <v>122.40953739954153</v>
      </c>
    </row>
    <row r="548" spans="1:20" x14ac:dyDescent="0.25">
      <c r="A548" s="5">
        <v>44045</v>
      </c>
      <c r="B548">
        <v>0.14415</v>
      </c>
      <c r="C548">
        <v>0.14849999999999999</v>
      </c>
      <c r="D548">
        <v>0.1258</v>
      </c>
      <c r="E548">
        <v>0.13375000000000001</v>
      </c>
      <c r="F548">
        <v>557443813.29999995</v>
      </c>
      <c r="G548">
        <v>-7.21</v>
      </c>
      <c r="L548" t="s">
        <v>7</v>
      </c>
      <c r="M548" t="s">
        <v>7</v>
      </c>
      <c r="N548" t="s">
        <v>8</v>
      </c>
      <c r="P548">
        <f t="shared" si="985"/>
        <v>-0.2995594713656376</v>
      </c>
      <c r="Q548">
        <f t="shared" si="986"/>
        <v>-166987574.02819318</v>
      </c>
      <c r="R548">
        <f t="shared" si="987"/>
        <v>12125502889.47607</v>
      </c>
      <c r="S548">
        <f t="shared" si="988"/>
        <v>121255.0288947607</v>
      </c>
      <c r="T548">
        <f t="shared" si="989"/>
        <v>121.2550288947607</v>
      </c>
    </row>
    <row r="549" spans="1:20" x14ac:dyDescent="0.25">
      <c r="A549" s="5">
        <v>44044</v>
      </c>
      <c r="B549">
        <v>0.13875999999999999</v>
      </c>
      <c r="C549">
        <v>0.14691000000000001</v>
      </c>
      <c r="D549">
        <v>0.13814000000000001</v>
      </c>
      <c r="E549">
        <v>0.14410000000000001</v>
      </c>
      <c r="F549">
        <v>428476131</v>
      </c>
      <c r="G549">
        <v>3.85</v>
      </c>
      <c r="L549" t="s">
        <v>8</v>
      </c>
      <c r="M549" t="s">
        <v>8</v>
      </c>
      <c r="N549" t="s">
        <v>8</v>
      </c>
      <c r="P549">
        <f t="shared" si="985"/>
        <v>0.35917901938426294</v>
      </c>
      <c r="Q549">
        <f t="shared" si="986"/>
        <v>153899636.562143</v>
      </c>
      <c r="R549">
        <f t="shared" si="987"/>
        <v>12292490463.504263</v>
      </c>
      <c r="S549">
        <f t="shared" si="988"/>
        <v>122924.90463504264</v>
      </c>
      <c r="T549">
        <f t="shared" si="989"/>
        <v>122.92490463504264</v>
      </c>
    </row>
    <row r="550" spans="1:20" x14ac:dyDescent="0.25">
      <c r="A550" s="5">
        <v>44043</v>
      </c>
      <c r="B550">
        <v>0.14055999999999999</v>
      </c>
      <c r="C550">
        <v>0.14133000000000001</v>
      </c>
      <c r="D550">
        <v>0.13552</v>
      </c>
      <c r="E550">
        <v>0.13877999999999999</v>
      </c>
      <c r="F550">
        <v>257426976.69999999</v>
      </c>
      <c r="G550">
        <v>-1.27</v>
      </c>
      <c r="L550" t="s">
        <v>7</v>
      </c>
      <c r="M550" t="s">
        <v>8</v>
      </c>
      <c r="N550" t="s">
        <v>8</v>
      </c>
      <c r="P550">
        <f t="shared" si="985"/>
        <v>0.1222030981067056</v>
      </c>
      <c r="Q550">
        <f t="shared" si="986"/>
        <v>31458374.088982716</v>
      </c>
      <c r="R550">
        <f t="shared" si="987"/>
        <v>12138590826.94212</v>
      </c>
      <c r="S550">
        <f t="shared" si="988"/>
        <v>121385.9082694212</v>
      </c>
      <c r="T550">
        <f t="shared" si="989"/>
        <v>121.38590826942119</v>
      </c>
    </row>
    <row r="551" spans="1:20" x14ac:dyDescent="0.25">
      <c r="A551" s="5">
        <v>44042</v>
      </c>
      <c r="B551">
        <v>0.13976</v>
      </c>
      <c r="C551">
        <v>0.1426</v>
      </c>
      <c r="D551">
        <v>0.13686999999999999</v>
      </c>
      <c r="E551">
        <v>0.1406</v>
      </c>
      <c r="F551">
        <v>320531544.89999998</v>
      </c>
      <c r="G551">
        <v>0.6</v>
      </c>
      <c r="L551" t="s">
        <v>7</v>
      </c>
      <c r="M551" t="s">
        <v>8</v>
      </c>
      <c r="N551" t="s">
        <v>8</v>
      </c>
      <c r="P551">
        <f t="shared" si="985"/>
        <v>0.30191972076788925</v>
      </c>
      <c r="Q551">
        <f t="shared" si="986"/>
        <v>96774794.533508152</v>
      </c>
      <c r="R551">
        <f t="shared" si="987"/>
        <v>12107132452.853136</v>
      </c>
      <c r="S551">
        <f t="shared" si="988"/>
        <v>121071.32452853136</v>
      </c>
      <c r="T551">
        <f t="shared" si="989"/>
        <v>121.07132452853136</v>
      </c>
    </row>
    <row r="552" spans="1:20" x14ac:dyDescent="0.25">
      <c r="A552" s="5">
        <v>44041</v>
      </c>
      <c r="B552">
        <v>0.14904000000000001</v>
      </c>
      <c r="C552">
        <v>0.14998</v>
      </c>
      <c r="D552">
        <v>0.13800000000000001</v>
      </c>
      <c r="E552">
        <v>0.13972000000000001</v>
      </c>
      <c r="F552">
        <v>537845004.20000005</v>
      </c>
      <c r="G552">
        <v>-6.25</v>
      </c>
      <c r="L552" t="s">
        <v>7</v>
      </c>
      <c r="M552" t="s">
        <v>8</v>
      </c>
      <c r="N552" t="s">
        <v>8</v>
      </c>
      <c r="P552">
        <f t="shared" si="985"/>
        <v>-0.71285475792988306</v>
      </c>
      <c r="Q552">
        <f t="shared" si="986"/>
        <v>-383405370.27278799</v>
      </c>
      <c r="R552">
        <f t="shared" si="987"/>
        <v>12010357658.319628</v>
      </c>
      <c r="S552">
        <f t="shared" si="988"/>
        <v>120103.57658319628</v>
      </c>
      <c r="T552">
        <f t="shared" si="989"/>
        <v>120.10357658319627</v>
      </c>
    </row>
    <row r="553" spans="1:20" x14ac:dyDescent="0.25">
      <c r="A553" s="5">
        <v>44040</v>
      </c>
      <c r="B553">
        <v>0.13861000000000001</v>
      </c>
      <c r="C553">
        <v>0.15101000000000001</v>
      </c>
      <c r="D553">
        <v>0.13399</v>
      </c>
      <c r="E553">
        <v>0.14904000000000001</v>
      </c>
      <c r="F553">
        <v>715760829</v>
      </c>
      <c r="G553">
        <v>7.52</v>
      </c>
      <c r="L553" t="s">
        <v>8</v>
      </c>
      <c r="M553" t="s">
        <v>8</v>
      </c>
      <c r="N553" t="s">
        <v>8</v>
      </c>
      <c r="P553">
        <f t="shared" si="985"/>
        <v>0.7685076380728556</v>
      </c>
      <c r="Q553">
        <f t="shared" si="986"/>
        <v>550067664.1198591</v>
      </c>
      <c r="R553">
        <f t="shared" si="987"/>
        <v>12393763028.592415</v>
      </c>
      <c r="S553">
        <f t="shared" si="988"/>
        <v>123937.63028592416</v>
      </c>
      <c r="T553">
        <f t="shared" si="989"/>
        <v>123.93763028592416</v>
      </c>
    </row>
    <row r="554" spans="1:20" x14ac:dyDescent="0.25">
      <c r="A554" s="5">
        <v>44039</v>
      </c>
      <c r="B554">
        <v>0.14846999999999999</v>
      </c>
      <c r="C554">
        <v>0.14982999999999999</v>
      </c>
      <c r="D554">
        <v>0.13</v>
      </c>
      <c r="E554">
        <v>0.13858999999999999</v>
      </c>
      <c r="F554">
        <v>1006112609.6</v>
      </c>
      <c r="G554">
        <v>-6.65</v>
      </c>
      <c r="L554" t="s">
        <v>7</v>
      </c>
      <c r="M554" t="s">
        <v>8</v>
      </c>
      <c r="N554" t="s">
        <v>8</v>
      </c>
      <c r="P554">
        <f t="shared" si="985"/>
        <v>-0.13363590519415106</v>
      </c>
      <c r="Q554">
        <f t="shared" si="986"/>
        <v>-134452769.31114551</v>
      </c>
      <c r="R554">
        <f t="shared" si="987"/>
        <v>11843695364.472555</v>
      </c>
      <c r="S554">
        <f t="shared" si="988"/>
        <v>118436.95364472555</v>
      </c>
      <c r="T554">
        <f t="shared" si="989"/>
        <v>118.43695364472555</v>
      </c>
    </row>
    <row r="555" spans="1:20" x14ac:dyDescent="0.25">
      <c r="A555" s="5">
        <v>44038</v>
      </c>
      <c r="B555">
        <v>0.14368</v>
      </c>
      <c r="C555">
        <v>0.15464</v>
      </c>
      <c r="D555">
        <v>0.14130999999999999</v>
      </c>
      <c r="E555">
        <v>0.14849000000000001</v>
      </c>
      <c r="F555">
        <v>971402952.60000002</v>
      </c>
      <c r="G555">
        <v>3.35</v>
      </c>
      <c r="L555" t="s">
        <v>8</v>
      </c>
      <c r="M555" t="s">
        <v>8</v>
      </c>
      <c r="N555" t="s">
        <v>8</v>
      </c>
      <c r="P555">
        <f t="shared" si="985"/>
        <v>7.7269317329334605E-2</v>
      </c>
      <c r="Q555">
        <f t="shared" si="986"/>
        <v>75059642.999101982</v>
      </c>
      <c r="R555">
        <f t="shared" si="987"/>
        <v>11978148133.783701</v>
      </c>
      <c r="S555">
        <f t="shared" si="988"/>
        <v>119781.48133783702</v>
      </c>
      <c r="T555">
        <f t="shared" si="989"/>
        <v>119.78148133783702</v>
      </c>
    </row>
    <row r="556" spans="1:20" x14ac:dyDescent="0.25">
      <c r="A556" s="5">
        <v>44037</v>
      </c>
      <c r="B556">
        <v>0.122</v>
      </c>
      <c r="C556">
        <v>0.14588000000000001</v>
      </c>
      <c r="D556">
        <v>0.12195</v>
      </c>
      <c r="E556">
        <v>0.14362</v>
      </c>
      <c r="F556">
        <v>851485004.5</v>
      </c>
      <c r="G556">
        <v>17.72</v>
      </c>
      <c r="L556" t="s">
        <v>8</v>
      </c>
      <c r="M556" t="s">
        <v>8</v>
      </c>
      <c r="N556" t="s">
        <v>8</v>
      </c>
      <c r="P556">
        <f t="shared" si="985"/>
        <v>0.81111575428332539</v>
      </c>
      <c r="Q556">
        <f t="shared" si="986"/>
        <v>690652901.68595827</v>
      </c>
      <c r="R556">
        <f t="shared" si="987"/>
        <v>11903088490.784599</v>
      </c>
      <c r="S556">
        <f t="shared" si="988"/>
        <v>119030.88490784599</v>
      </c>
      <c r="T556">
        <f t="shared" si="989"/>
        <v>119.03088490784599</v>
      </c>
    </row>
    <row r="557" spans="1:20" x14ac:dyDescent="0.25">
      <c r="A557" s="5">
        <v>44036</v>
      </c>
      <c r="B557">
        <v>0.1242</v>
      </c>
      <c r="C557">
        <v>0.12436999999999999</v>
      </c>
      <c r="D557">
        <v>0.12053</v>
      </c>
      <c r="E557">
        <v>0.12197</v>
      </c>
      <c r="F557">
        <v>185179301.19999999</v>
      </c>
      <c r="G557">
        <v>-1.8</v>
      </c>
      <c r="L557" t="s">
        <v>8</v>
      </c>
      <c r="M557" t="s">
        <v>7</v>
      </c>
      <c r="N557" t="s">
        <v>8</v>
      </c>
      <c r="P557">
        <f t="shared" si="985"/>
        <v>-0.25000000000000089</v>
      </c>
      <c r="Q557">
        <f t="shared" si="986"/>
        <v>-46294825.300000161</v>
      </c>
      <c r="R557">
        <f t="shared" si="987"/>
        <v>11212435589.09864</v>
      </c>
      <c r="S557">
        <f t="shared" si="988"/>
        <v>112124.35589098641</v>
      </c>
      <c r="T557">
        <f t="shared" si="989"/>
        <v>112.12435589098641</v>
      </c>
    </row>
    <row r="558" spans="1:20" x14ac:dyDescent="0.25">
      <c r="A558" s="5">
        <v>44035</v>
      </c>
      <c r="B558">
        <v>0.12385</v>
      </c>
      <c r="C558">
        <v>0.12606999999999999</v>
      </c>
      <c r="D558">
        <v>0.12333</v>
      </c>
      <c r="E558">
        <v>0.12422</v>
      </c>
      <c r="F558">
        <v>233344422.59999999</v>
      </c>
      <c r="G558">
        <v>0.3</v>
      </c>
      <c r="L558" t="s">
        <v>8</v>
      </c>
      <c r="M558" t="s">
        <v>7</v>
      </c>
      <c r="N558" t="s">
        <v>8</v>
      </c>
      <c r="P558">
        <f t="shared" si="985"/>
        <v>-0.35036496350364643</v>
      </c>
      <c r="Q558">
        <f t="shared" si="986"/>
        <v>-81755710.108028442</v>
      </c>
      <c r="R558">
        <f t="shared" si="987"/>
        <v>11258730414.39864</v>
      </c>
      <c r="S558">
        <f t="shared" si="988"/>
        <v>112587.3041439864</v>
      </c>
      <c r="T558">
        <f t="shared" si="989"/>
        <v>112.5873041439864</v>
      </c>
    </row>
    <row r="559" spans="1:20" x14ac:dyDescent="0.25">
      <c r="A559" s="5">
        <v>44034</v>
      </c>
      <c r="B559">
        <v>0.1232</v>
      </c>
      <c r="C559">
        <v>0.12466000000000001</v>
      </c>
      <c r="D559">
        <v>0.12032</v>
      </c>
      <c r="E559">
        <v>0.12379999999999999</v>
      </c>
      <c r="F559">
        <v>167277837.90000001</v>
      </c>
      <c r="G559">
        <v>0.49</v>
      </c>
      <c r="L559" t="s">
        <v>8</v>
      </c>
      <c r="M559" t="s">
        <v>7</v>
      </c>
      <c r="N559" t="s">
        <v>8</v>
      </c>
      <c r="P559">
        <f t="shared" si="985"/>
        <v>0.60368663594469518</v>
      </c>
      <c r="Q559">
        <f t="shared" si="986"/>
        <v>100983395.22995304</v>
      </c>
      <c r="R559">
        <f t="shared" si="987"/>
        <v>11340486124.506668</v>
      </c>
      <c r="S559">
        <f t="shared" si="988"/>
        <v>113404.86124506668</v>
      </c>
      <c r="T559">
        <f t="shared" si="989"/>
        <v>113.40486124506668</v>
      </c>
    </row>
    <row r="560" spans="1:20" x14ac:dyDescent="0.25">
      <c r="A560" s="5">
        <v>44033</v>
      </c>
      <c r="B560">
        <v>0.11772000000000001</v>
      </c>
      <c r="C560">
        <v>0.12468</v>
      </c>
      <c r="D560">
        <v>0.11670999999999999</v>
      </c>
      <c r="E560">
        <v>0.12321</v>
      </c>
      <c r="F560">
        <v>260880715.5</v>
      </c>
      <c r="G560">
        <v>4.66</v>
      </c>
      <c r="L560" t="s">
        <v>8</v>
      </c>
      <c r="M560" t="s">
        <v>7</v>
      </c>
      <c r="N560" t="s">
        <v>8</v>
      </c>
      <c r="P560">
        <f t="shared" si="985"/>
        <v>0.63111668757841954</v>
      </c>
      <c r="Q560">
        <f t="shared" si="986"/>
        <v>164646173.01944804</v>
      </c>
      <c r="R560">
        <f t="shared" si="987"/>
        <v>11239502729.276714</v>
      </c>
      <c r="S560">
        <f t="shared" si="988"/>
        <v>112395.02729276715</v>
      </c>
      <c r="T560">
        <f t="shared" si="989"/>
        <v>112.39502729276715</v>
      </c>
    </row>
    <row r="561" spans="1:104" x14ac:dyDescent="0.25">
      <c r="A561" s="5">
        <v>44032</v>
      </c>
      <c r="B561">
        <v>0.12401</v>
      </c>
      <c r="C561">
        <v>0.12431</v>
      </c>
      <c r="D561">
        <v>0.11465</v>
      </c>
      <c r="E561">
        <v>0.11771</v>
      </c>
      <c r="F561">
        <v>253190451.19999999</v>
      </c>
      <c r="G561">
        <v>-5.08</v>
      </c>
      <c r="L561" t="s">
        <v>7</v>
      </c>
      <c r="M561" t="s">
        <v>7</v>
      </c>
      <c r="N561" t="s">
        <v>8</v>
      </c>
      <c r="P561">
        <f t="shared" si="985"/>
        <v>-0.36645962732919407</v>
      </c>
      <c r="Q561">
        <f t="shared" si="986"/>
        <v>-92784078.390062496</v>
      </c>
      <c r="R561">
        <f t="shared" si="987"/>
        <v>11074856556.257267</v>
      </c>
      <c r="S561">
        <f t="shared" si="988"/>
        <v>110748.56556257266</v>
      </c>
      <c r="T561">
        <f t="shared" si="989"/>
        <v>110.74856556257267</v>
      </c>
      <c r="CZ561" t="s">
        <v>7</v>
      </c>
    </row>
    <row r="562" spans="1:104" x14ac:dyDescent="0.25">
      <c r="A562" s="5">
        <v>44031</v>
      </c>
      <c r="B562">
        <v>0.12267</v>
      </c>
      <c r="C562">
        <v>0.12475</v>
      </c>
      <c r="D562">
        <v>0.12113</v>
      </c>
      <c r="E562">
        <v>0.12402000000000001</v>
      </c>
      <c r="F562">
        <v>172079009.80000001</v>
      </c>
      <c r="G562">
        <v>1.1000000000000001</v>
      </c>
      <c r="L562" t="s">
        <v>7</v>
      </c>
      <c r="M562" t="s">
        <v>8</v>
      </c>
      <c r="N562" t="s">
        <v>8</v>
      </c>
      <c r="P562">
        <f t="shared" si="985"/>
        <v>0.59668508287293098</v>
      </c>
      <c r="Q562">
        <f t="shared" si="986"/>
        <v>102676978.22320491</v>
      </c>
      <c r="R562">
        <f t="shared" si="987"/>
        <v>11167640634.647329</v>
      </c>
      <c r="S562">
        <f t="shared" si="988"/>
        <v>111676.40634647329</v>
      </c>
      <c r="T562">
        <f t="shared" si="989"/>
        <v>111.67640634647329</v>
      </c>
      <c r="CZ562" t="s">
        <v>7</v>
      </c>
    </row>
    <row r="563" spans="1:104" x14ac:dyDescent="0.25">
      <c r="A563" s="5">
        <v>44030</v>
      </c>
      <c r="B563">
        <v>0.12224</v>
      </c>
      <c r="C563">
        <v>0.12475</v>
      </c>
      <c r="D563">
        <v>0.11823</v>
      </c>
      <c r="E563">
        <v>0.1227</v>
      </c>
      <c r="F563">
        <v>275326072.19999999</v>
      </c>
      <c r="G563">
        <v>0.38</v>
      </c>
      <c r="L563" t="s">
        <v>7</v>
      </c>
      <c r="M563" t="s">
        <v>8</v>
      </c>
      <c r="N563" t="s">
        <v>8</v>
      </c>
      <c r="P563">
        <f t="shared" si="985"/>
        <v>0.37116564417178011</v>
      </c>
      <c r="Q563">
        <f t="shared" si="986"/>
        <v>102191578.94539903</v>
      </c>
      <c r="R563">
        <f t="shared" si="987"/>
        <v>11064963656.424124</v>
      </c>
      <c r="S563">
        <f t="shared" si="988"/>
        <v>110649.63656424124</v>
      </c>
      <c r="T563">
        <f t="shared" si="989"/>
        <v>110.64963656424125</v>
      </c>
      <c r="CZ563" t="s">
        <v>7</v>
      </c>
    </row>
    <row r="564" spans="1:104" x14ac:dyDescent="0.25">
      <c r="A564" s="5">
        <v>44029</v>
      </c>
      <c r="B564">
        <v>0.12605</v>
      </c>
      <c r="C564">
        <v>0.12670999999999999</v>
      </c>
      <c r="D564">
        <v>0.12163</v>
      </c>
      <c r="E564">
        <v>0.12224</v>
      </c>
      <c r="F564">
        <v>269816299.80000001</v>
      </c>
      <c r="G564">
        <v>-3.02</v>
      </c>
      <c r="L564" t="s">
        <v>7</v>
      </c>
      <c r="M564" t="s">
        <v>8</v>
      </c>
      <c r="N564" t="s">
        <v>8</v>
      </c>
      <c r="P564">
        <f t="shared" si="985"/>
        <v>-0.75984251968503902</v>
      </c>
      <c r="Q564">
        <f t="shared" si="986"/>
        <v>-205017897.09212589</v>
      </c>
      <c r="R564">
        <f t="shared" si="987"/>
        <v>10962772077.478725</v>
      </c>
      <c r="S564">
        <f t="shared" si="988"/>
        <v>109627.72077478726</v>
      </c>
      <c r="T564">
        <f t="shared" si="989"/>
        <v>109.62772077478726</v>
      </c>
    </row>
    <row r="565" spans="1:104" x14ac:dyDescent="0.25">
      <c r="A565" s="5">
        <v>44028</v>
      </c>
      <c r="B565">
        <v>0.13070999999999999</v>
      </c>
      <c r="C565">
        <v>0.13333</v>
      </c>
      <c r="D565">
        <v>0.11829000000000001</v>
      </c>
      <c r="E565">
        <v>0.12601999999999999</v>
      </c>
      <c r="F565">
        <v>607317645.20000005</v>
      </c>
      <c r="G565">
        <v>-3.59</v>
      </c>
      <c r="L565" t="s">
        <v>7</v>
      </c>
      <c r="M565" t="s">
        <v>8</v>
      </c>
      <c r="N565" t="s">
        <v>8</v>
      </c>
      <c r="P565">
        <f t="shared" si="985"/>
        <v>2.7925531914892023E-2</v>
      </c>
      <c r="Q565">
        <f t="shared" si="986"/>
        <v>16959668.283509672</v>
      </c>
      <c r="R565">
        <f t="shared" si="987"/>
        <v>11167789974.57085</v>
      </c>
      <c r="S565">
        <f t="shared" si="988"/>
        <v>111677.89974570851</v>
      </c>
      <c r="T565">
        <f t="shared" si="989"/>
        <v>111.6778997457085</v>
      </c>
    </row>
    <row r="566" spans="1:104" x14ac:dyDescent="0.25">
      <c r="A566" s="5">
        <v>44027</v>
      </c>
      <c r="B566">
        <v>0.13253999999999999</v>
      </c>
      <c r="C566">
        <v>0.13283</v>
      </c>
      <c r="D566">
        <v>0.12731999999999999</v>
      </c>
      <c r="E566">
        <v>0.13069</v>
      </c>
      <c r="F566">
        <v>370682346.19999999</v>
      </c>
      <c r="G566">
        <v>-1.4</v>
      </c>
      <c r="L566" t="s">
        <v>8</v>
      </c>
      <c r="M566" t="s">
        <v>8</v>
      </c>
      <c r="N566" t="s">
        <v>8</v>
      </c>
      <c r="P566">
        <f t="shared" si="985"/>
        <v>0.22323049001814982</v>
      </c>
      <c r="Q566">
        <f t="shared" si="986"/>
        <v>82747601.783303455</v>
      </c>
      <c r="R566">
        <f t="shared" si="987"/>
        <v>11150830306.28734</v>
      </c>
      <c r="S566">
        <f t="shared" si="988"/>
        <v>111508.3030628734</v>
      </c>
      <c r="T566">
        <f t="shared" si="989"/>
        <v>111.5083030628734</v>
      </c>
    </row>
    <row r="567" spans="1:104" x14ac:dyDescent="0.25">
      <c r="A567" s="5">
        <v>44026</v>
      </c>
      <c r="B567">
        <v>0.12426</v>
      </c>
      <c r="C567">
        <v>0.13500000000000001</v>
      </c>
      <c r="D567">
        <v>0.1208</v>
      </c>
      <c r="E567">
        <v>0.13256000000000001</v>
      </c>
      <c r="F567">
        <v>573751827.39999998</v>
      </c>
      <c r="G567">
        <v>6.68</v>
      </c>
      <c r="L567" t="s">
        <v>7</v>
      </c>
      <c r="M567" t="s">
        <v>8</v>
      </c>
      <c r="N567" t="s">
        <v>8</v>
      </c>
      <c r="P567">
        <f t="shared" si="985"/>
        <v>0.65633802816901454</v>
      </c>
      <c r="Q567">
        <f t="shared" si="986"/>
        <v>376575143.05408478</v>
      </c>
      <c r="R567">
        <f t="shared" si="987"/>
        <v>11068082704.504036</v>
      </c>
      <c r="S567">
        <f t="shared" si="988"/>
        <v>110680.82704504037</v>
      </c>
      <c r="T567">
        <f t="shared" si="989"/>
        <v>110.68082704504036</v>
      </c>
    </row>
    <row r="568" spans="1:104" x14ac:dyDescent="0.25">
      <c r="A568" s="5">
        <v>44025</v>
      </c>
      <c r="B568">
        <v>0.12689</v>
      </c>
      <c r="C568">
        <v>0.13600000000000001</v>
      </c>
      <c r="D568">
        <v>0.12078</v>
      </c>
      <c r="E568">
        <v>0.12427000000000001</v>
      </c>
      <c r="F568">
        <v>688293154.10000002</v>
      </c>
      <c r="G568">
        <v>-2.06</v>
      </c>
      <c r="L568" t="s">
        <v>8</v>
      </c>
      <c r="M568" t="s">
        <v>8</v>
      </c>
      <c r="N568" t="s">
        <v>8</v>
      </c>
      <c r="P568">
        <f t="shared" si="985"/>
        <v>-0.54139290407358676</v>
      </c>
      <c r="Q568">
        <f t="shared" si="986"/>
        <v>-372637029.55216777</v>
      </c>
      <c r="R568">
        <f t="shared" si="987"/>
        <v>10691507561.449951</v>
      </c>
      <c r="S568">
        <f t="shared" si="988"/>
        <v>106915.07561449951</v>
      </c>
      <c r="T568">
        <f t="shared" si="989"/>
        <v>106.91507561449951</v>
      </c>
    </row>
    <row r="569" spans="1:104" x14ac:dyDescent="0.25">
      <c r="A569" s="5">
        <v>44024</v>
      </c>
      <c r="B569">
        <v>0.12519</v>
      </c>
      <c r="C569">
        <v>0.12848999999999999</v>
      </c>
      <c r="D569">
        <v>0.12035999999999999</v>
      </c>
      <c r="E569">
        <v>0.12684999999999999</v>
      </c>
      <c r="F569">
        <v>416611565.89999998</v>
      </c>
      <c r="G569">
        <v>1.33</v>
      </c>
      <c r="L569" t="s">
        <v>8</v>
      </c>
      <c r="M569" t="s">
        <v>7</v>
      </c>
      <c r="N569" t="s">
        <v>8</v>
      </c>
      <c r="P569">
        <f t="shared" si="985"/>
        <v>0.59655596555965484</v>
      </c>
      <c r="Q569">
        <f t="shared" si="986"/>
        <v>248532114.95879427</v>
      </c>
      <c r="R569">
        <f t="shared" si="987"/>
        <v>11064144591.002119</v>
      </c>
      <c r="S569">
        <f t="shared" si="988"/>
        <v>110641.4459100212</v>
      </c>
      <c r="T569">
        <f t="shared" si="989"/>
        <v>110.64144591002119</v>
      </c>
    </row>
    <row r="570" spans="1:104" x14ac:dyDescent="0.25">
      <c r="A570" s="5">
        <v>44023</v>
      </c>
      <c r="B570">
        <v>0.11842999999999999</v>
      </c>
      <c r="C570">
        <v>0.12726000000000001</v>
      </c>
      <c r="D570">
        <v>0.11767</v>
      </c>
      <c r="E570">
        <v>0.12523000000000001</v>
      </c>
      <c r="F570">
        <v>460447487.69999999</v>
      </c>
      <c r="G570">
        <v>5.74</v>
      </c>
      <c r="L570" t="s">
        <v>8</v>
      </c>
      <c r="M570" t="s">
        <v>7</v>
      </c>
      <c r="N570" t="s">
        <v>8</v>
      </c>
      <c r="P570">
        <f t="shared" si="985"/>
        <v>0.57664233576642321</v>
      </c>
      <c r="Q570">
        <f t="shared" si="986"/>
        <v>265513514.80510941</v>
      </c>
      <c r="R570">
        <f t="shared" si="987"/>
        <v>10815612476.043325</v>
      </c>
      <c r="S570">
        <f t="shared" si="988"/>
        <v>108156.12476043326</v>
      </c>
      <c r="T570">
        <f t="shared" si="989"/>
        <v>108.15612476043326</v>
      </c>
    </row>
    <row r="571" spans="1:104" x14ac:dyDescent="0.25">
      <c r="A571" s="5">
        <v>44022</v>
      </c>
      <c r="B571">
        <v>0.12401</v>
      </c>
      <c r="C571">
        <v>0.12428</v>
      </c>
      <c r="D571">
        <v>0.11026</v>
      </c>
      <c r="E571">
        <v>0.11846</v>
      </c>
      <c r="F571">
        <v>808057758.10000002</v>
      </c>
      <c r="G571">
        <v>-4.4800000000000004</v>
      </c>
      <c r="L571" t="s">
        <v>7</v>
      </c>
      <c r="M571" t="s">
        <v>7</v>
      </c>
      <c r="N571" t="s">
        <v>8</v>
      </c>
      <c r="P571">
        <f t="shared" si="985"/>
        <v>0.16975748930099804</v>
      </c>
      <c r="Q571">
        <f t="shared" si="986"/>
        <v>137173856.22524923</v>
      </c>
      <c r="R571">
        <f t="shared" si="987"/>
        <v>10550098961.238216</v>
      </c>
      <c r="S571">
        <f t="shared" si="988"/>
        <v>105500.98961238217</v>
      </c>
      <c r="T571">
        <f t="shared" si="989"/>
        <v>105.50098961238217</v>
      </c>
    </row>
    <row r="572" spans="1:104" x14ac:dyDescent="0.25">
      <c r="A572" s="5">
        <v>44021</v>
      </c>
      <c r="B572">
        <v>0.12992000000000001</v>
      </c>
      <c r="C572">
        <v>0.12992999999999999</v>
      </c>
      <c r="D572">
        <v>0.11744</v>
      </c>
      <c r="E572">
        <v>0.12403</v>
      </c>
      <c r="F572">
        <v>893825632.20000005</v>
      </c>
      <c r="G572">
        <v>-4.53</v>
      </c>
      <c r="L572" t="s">
        <v>7</v>
      </c>
      <c r="M572" t="s">
        <v>8</v>
      </c>
      <c r="N572" t="s">
        <v>8</v>
      </c>
      <c r="P572">
        <f t="shared" si="985"/>
        <v>5.5244195356285893E-2</v>
      </c>
      <c r="Q572">
        <f t="shared" si="986"/>
        <v>49378677.839712545</v>
      </c>
      <c r="R572">
        <f t="shared" si="987"/>
        <v>10412925105.012968</v>
      </c>
      <c r="S572">
        <f t="shared" si="988"/>
        <v>104129.25105012968</v>
      </c>
      <c r="T572">
        <f t="shared" si="989"/>
        <v>104.12925105012968</v>
      </c>
    </row>
    <row r="573" spans="1:104" x14ac:dyDescent="0.25">
      <c r="A573" s="5">
        <v>44020</v>
      </c>
      <c r="B573">
        <v>0.11763999999999999</v>
      </c>
      <c r="C573">
        <v>0.13877</v>
      </c>
      <c r="D573">
        <v>0.1147</v>
      </c>
      <c r="E573">
        <v>0.12992999999999999</v>
      </c>
      <c r="F573">
        <v>1587749613.0999999</v>
      </c>
      <c r="G573">
        <v>10.45</v>
      </c>
      <c r="L573" t="s">
        <v>8</v>
      </c>
      <c r="M573" t="s">
        <v>8</v>
      </c>
      <c r="N573" t="s">
        <v>8</v>
      </c>
      <c r="P573">
        <f t="shared" si="985"/>
        <v>0.26547569588699532</v>
      </c>
      <c r="Q573">
        <f t="shared" si="986"/>
        <v>421508933.43203008</v>
      </c>
      <c r="R573">
        <f t="shared" si="987"/>
        <v>10363546427.173256</v>
      </c>
      <c r="S573">
        <f t="shared" si="988"/>
        <v>103635.46427173256</v>
      </c>
      <c r="T573">
        <f t="shared" si="989"/>
        <v>103.63546427173256</v>
      </c>
    </row>
    <row r="574" spans="1:104" x14ac:dyDescent="0.25">
      <c r="A574" s="5">
        <v>44019</v>
      </c>
      <c r="B574">
        <v>0.10512000000000001</v>
      </c>
      <c r="C574">
        <v>0.11916</v>
      </c>
      <c r="D574">
        <v>0.10289</v>
      </c>
      <c r="E574">
        <v>0.11763999999999999</v>
      </c>
      <c r="F574">
        <v>775869735</v>
      </c>
      <c r="G574">
        <v>11.91</v>
      </c>
      <c r="L574" t="s">
        <v>8</v>
      </c>
      <c r="M574" t="s">
        <v>8</v>
      </c>
      <c r="N574" t="s">
        <v>8</v>
      </c>
      <c r="P574">
        <f t="shared" si="985"/>
        <v>0.8131530424093415</v>
      </c>
      <c r="Q574">
        <f t="shared" si="986"/>
        <v>630900835.52857959</v>
      </c>
      <c r="R574">
        <f t="shared" si="987"/>
        <v>9942037493.7412262</v>
      </c>
      <c r="S574">
        <f t="shared" si="988"/>
        <v>99420.374937412256</v>
      </c>
      <c r="T574">
        <f t="shared" si="989"/>
        <v>99.420374937412262</v>
      </c>
    </row>
    <row r="575" spans="1:104" x14ac:dyDescent="0.25">
      <c r="A575" s="5">
        <v>44018</v>
      </c>
      <c r="B575">
        <v>9.8150000000000001E-2</v>
      </c>
      <c r="C575">
        <v>0.10675999999999999</v>
      </c>
      <c r="D575">
        <v>9.7220000000000001E-2</v>
      </c>
      <c r="E575">
        <v>0.10512000000000001</v>
      </c>
      <c r="F575">
        <v>473375192.5</v>
      </c>
      <c r="G575">
        <v>7.1</v>
      </c>
      <c r="L575" t="s">
        <v>8</v>
      </c>
      <c r="M575" t="s">
        <v>8</v>
      </c>
      <c r="N575" t="s">
        <v>8</v>
      </c>
      <c r="P575">
        <f t="shared" si="985"/>
        <v>0.65618448637316773</v>
      </c>
      <c r="Q575">
        <f t="shared" si="986"/>
        <v>310621457.55241191</v>
      </c>
      <c r="R575">
        <f t="shared" si="987"/>
        <v>9311136658.2126465</v>
      </c>
      <c r="S575">
        <f t="shared" si="988"/>
        <v>93111.366582126459</v>
      </c>
      <c r="T575">
        <f t="shared" si="989"/>
        <v>93.111366582126465</v>
      </c>
    </row>
    <row r="576" spans="1:104" x14ac:dyDescent="0.25">
      <c r="A576" s="5">
        <v>44017</v>
      </c>
      <c r="B576">
        <v>0.10005</v>
      </c>
      <c r="C576">
        <v>0.10005</v>
      </c>
      <c r="D576">
        <v>9.4200000000000006E-2</v>
      </c>
      <c r="E576">
        <v>9.8129999999999995E-2</v>
      </c>
      <c r="F576">
        <v>397913451.89999998</v>
      </c>
      <c r="G576">
        <v>-1.92</v>
      </c>
      <c r="L576" t="s">
        <v>7</v>
      </c>
      <c r="M576" t="s">
        <v>8</v>
      </c>
      <c r="N576" t="s">
        <v>8</v>
      </c>
      <c r="P576">
        <f t="shared" si="985"/>
        <v>0.3435897435897412</v>
      </c>
      <c r="Q576">
        <f t="shared" si="986"/>
        <v>136718980.90922982</v>
      </c>
      <c r="R576">
        <f t="shared" si="987"/>
        <v>9000515200.6602345</v>
      </c>
      <c r="S576">
        <f t="shared" si="988"/>
        <v>90005.152006602351</v>
      </c>
      <c r="T576">
        <f t="shared" si="989"/>
        <v>90.005152006602344</v>
      </c>
    </row>
    <row r="577" spans="1:20" x14ac:dyDescent="0.25">
      <c r="A577" s="5">
        <v>44016</v>
      </c>
      <c r="B577">
        <v>9.6519999999999995E-2</v>
      </c>
      <c r="C577">
        <v>0.10118000000000001</v>
      </c>
      <c r="D577">
        <v>9.5909999999999995E-2</v>
      </c>
      <c r="E577">
        <v>0.10005</v>
      </c>
      <c r="F577">
        <v>490805389.10000002</v>
      </c>
      <c r="G577">
        <v>3.66</v>
      </c>
      <c r="L577" t="s">
        <v>8</v>
      </c>
      <c r="M577" t="s">
        <v>8</v>
      </c>
      <c r="N577" t="s">
        <v>8</v>
      </c>
      <c r="P577">
        <f t="shared" si="985"/>
        <v>0.57115749525616555</v>
      </c>
      <c r="Q577">
        <f t="shared" si="986"/>
        <v>280327176.69658375</v>
      </c>
      <c r="R577">
        <f t="shared" si="987"/>
        <v>8863796219.7510052</v>
      </c>
      <c r="S577">
        <f t="shared" si="988"/>
        <v>88637.962197510045</v>
      </c>
      <c r="T577">
        <f t="shared" si="989"/>
        <v>88.637962197510049</v>
      </c>
    </row>
    <row r="578" spans="1:20" x14ac:dyDescent="0.25">
      <c r="A578" s="5">
        <v>44015</v>
      </c>
      <c r="B578">
        <v>9.2910000000000006E-2</v>
      </c>
      <c r="C578">
        <v>0.1021</v>
      </c>
      <c r="D578">
        <v>9.221E-2</v>
      </c>
      <c r="E578">
        <v>9.6549999999999997E-2</v>
      </c>
      <c r="F578">
        <v>690799829.5</v>
      </c>
      <c r="G578">
        <v>3.92</v>
      </c>
      <c r="L578" t="s">
        <v>8</v>
      </c>
      <c r="M578" t="s">
        <v>8</v>
      </c>
      <c r="N578" t="s">
        <v>8</v>
      </c>
      <c r="P578">
        <f t="shared" si="985"/>
        <v>-0.12234580384226525</v>
      </c>
      <c r="Q578">
        <f t="shared" si="986"/>
        <v>-84516460.434277281</v>
      </c>
      <c r="R578">
        <f t="shared" si="987"/>
        <v>8583469043.0544214</v>
      </c>
      <c r="S578">
        <f t="shared" si="988"/>
        <v>85834.690430544215</v>
      </c>
      <c r="T578">
        <f t="shared" si="989"/>
        <v>85.834690430544214</v>
      </c>
    </row>
    <row r="579" spans="1:20" x14ac:dyDescent="0.25">
      <c r="A579" s="5">
        <v>44014</v>
      </c>
      <c r="B579">
        <v>9.6850000000000006E-2</v>
      </c>
      <c r="C579">
        <v>9.6850000000000006E-2</v>
      </c>
      <c r="D579">
        <v>8.7419999999999998E-2</v>
      </c>
      <c r="E579">
        <v>9.2910000000000006E-2</v>
      </c>
      <c r="F579">
        <v>745942280.79999995</v>
      </c>
      <c r="G579">
        <v>-4.07</v>
      </c>
      <c r="L579" t="s">
        <v>7</v>
      </c>
      <c r="M579" t="s">
        <v>8</v>
      </c>
      <c r="N579" t="s">
        <v>8</v>
      </c>
      <c r="P579">
        <f t="shared" si="985"/>
        <v>0.16436903499469865</v>
      </c>
      <c r="Q579">
        <f t="shared" si="986"/>
        <v>122609812.85684052</v>
      </c>
      <c r="R579">
        <f t="shared" si="987"/>
        <v>8667985503.488699</v>
      </c>
      <c r="S579">
        <f t="shared" si="988"/>
        <v>86679.85503488699</v>
      </c>
      <c r="T579">
        <f t="shared" si="989"/>
        <v>86.679855034886984</v>
      </c>
    </row>
    <row r="580" spans="1:20" x14ac:dyDescent="0.25">
      <c r="A580" s="5">
        <v>44013</v>
      </c>
      <c r="B580">
        <v>8.3000000000000004E-2</v>
      </c>
      <c r="C580">
        <v>9.708E-2</v>
      </c>
      <c r="D580">
        <v>8.2400000000000001E-2</v>
      </c>
      <c r="E580">
        <v>9.6809999999999993E-2</v>
      </c>
      <c r="F580">
        <v>627920438.89999998</v>
      </c>
      <c r="G580">
        <v>16.64</v>
      </c>
      <c r="L580" t="s">
        <v>8</v>
      </c>
      <c r="M580" t="s">
        <v>8</v>
      </c>
      <c r="N580" t="s">
        <v>8</v>
      </c>
      <c r="P580">
        <f t="shared" si="985"/>
        <v>0.96321525885558501</v>
      </c>
      <c r="Q580">
        <f t="shared" si="986"/>
        <v>604822548.09577608</v>
      </c>
      <c r="R580">
        <f t="shared" si="987"/>
        <v>8545375690.6318588</v>
      </c>
      <c r="S580">
        <f t="shared" si="988"/>
        <v>85453.756906318595</v>
      </c>
      <c r="T580">
        <f t="shared" si="989"/>
        <v>85.453756906318588</v>
      </c>
    </row>
    <row r="581" spans="1:20" x14ac:dyDescent="0.25">
      <c r="A581" s="5">
        <v>44012</v>
      </c>
      <c r="B581">
        <v>8.3940000000000001E-2</v>
      </c>
      <c r="C581">
        <v>8.4699999999999998E-2</v>
      </c>
      <c r="D581">
        <v>8.1809999999999994E-2</v>
      </c>
      <c r="E581">
        <v>8.2989999999999994E-2</v>
      </c>
      <c r="F581">
        <v>196547531.09999999</v>
      </c>
      <c r="G581">
        <v>-1.1299999999999999</v>
      </c>
      <c r="L581" t="s">
        <v>8</v>
      </c>
      <c r="M581" t="s">
        <v>7</v>
      </c>
      <c r="N581" t="s">
        <v>8</v>
      </c>
      <c r="P581">
        <f t="shared" si="985"/>
        <v>-0.18339100346020831</v>
      </c>
      <c r="Q581">
        <f t="shared" si="986"/>
        <v>-36045048.9560555</v>
      </c>
      <c r="R581">
        <f t="shared" si="987"/>
        <v>7940553142.5360832</v>
      </c>
      <c r="S581">
        <f t="shared" si="988"/>
        <v>79405.531425360838</v>
      </c>
      <c r="T581">
        <f t="shared" si="989"/>
        <v>79.405531425360834</v>
      </c>
    </row>
    <row r="582" spans="1:20" x14ac:dyDescent="0.25">
      <c r="A582" s="5">
        <v>44011</v>
      </c>
      <c r="B582">
        <v>8.0259999999999998E-2</v>
      </c>
      <c r="C582">
        <v>8.4440000000000001E-2</v>
      </c>
      <c r="D582">
        <v>8.0259999999999998E-2</v>
      </c>
      <c r="E582">
        <v>8.3919999999999995E-2</v>
      </c>
      <c r="F582">
        <v>322000901.69999999</v>
      </c>
      <c r="G582">
        <v>4.5599999999999996</v>
      </c>
      <c r="L582" t="s">
        <v>8</v>
      </c>
      <c r="M582" t="s">
        <v>7</v>
      </c>
      <c r="N582" t="s">
        <v>8</v>
      </c>
      <c r="P582">
        <f t="shared" ref="P582:P645" si="990">IF(C582=D582,0,((E582-D582)-(C582-E582))/(C582-D582))</f>
        <v>0.75119617224880086</v>
      </c>
      <c r="Q582">
        <f t="shared" ref="Q582:Q645" si="991">F582*P582</f>
        <v>241885844.81770238</v>
      </c>
      <c r="R582">
        <f t="shared" ref="R582:R645" si="992">R583+Q582</f>
        <v>7976598191.4921389</v>
      </c>
      <c r="S582">
        <f t="shared" ref="S582:S645" si="993">R582/100000</f>
        <v>79765.981914921387</v>
      </c>
      <c r="T582">
        <f t="shared" ref="T582:T645" si="994">S582/1000</f>
        <v>79.765981914921383</v>
      </c>
    </row>
    <row r="583" spans="1:20" x14ac:dyDescent="0.25">
      <c r="A583" s="5">
        <v>44010</v>
      </c>
      <c r="B583">
        <v>7.7380000000000004E-2</v>
      </c>
      <c r="C583">
        <v>8.1089999999999995E-2</v>
      </c>
      <c r="D583">
        <v>7.6200000000000004E-2</v>
      </c>
      <c r="E583">
        <v>8.0280000000000004E-2</v>
      </c>
      <c r="F583">
        <v>230373628.40000001</v>
      </c>
      <c r="G583">
        <v>3.75</v>
      </c>
      <c r="L583" t="s">
        <v>8</v>
      </c>
      <c r="M583" t="s">
        <v>7</v>
      </c>
      <c r="N583" t="s">
        <v>8</v>
      </c>
      <c r="P583">
        <f t="shared" si="990"/>
        <v>0.66871165644172081</v>
      </c>
      <c r="Q583">
        <f t="shared" si="991"/>
        <v>154053530.64785346</v>
      </c>
      <c r="R583">
        <f t="shared" si="992"/>
        <v>7734712346.6744366</v>
      </c>
      <c r="S583">
        <f t="shared" si="993"/>
        <v>77347.123466744364</v>
      </c>
      <c r="T583">
        <f t="shared" si="994"/>
        <v>77.347123466744364</v>
      </c>
    </row>
    <row r="584" spans="1:20" x14ac:dyDescent="0.25">
      <c r="A584" s="5">
        <v>44009</v>
      </c>
      <c r="B584">
        <v>8.0629999999999993E-2</v>
      </c>
      <c r="C584">
        <v>8.1000000000000003E-2</v>
      </c>
      <c r="D584">
        <v>7.4529999999999999E-2</v>
      </c>
      <c r="E584">
        <v>7.7380000000000004E-2</v>
      </c>
      <c r="F584">
        <v>239980469.30000001</v>
      </c>
      <c r="G584">
        <v>-4.03</v>
      </c>
      <c r="L584" t="s">
        <v>7</v>
      </c>
      <c r="M584" t="s">
        <v>7</v>
      </c>
      <c r="N584" t="s">
        <v>8</v>
      </c>
      <c r="P584">
        <f t="shared" si="990"/>
        <v>-0.11901081916537751</v>
      </c>
      <c r="Q584">
        <f t="shared" si="991"/>
        <v>-28560272.235084731</v>
      </c>
      <c r="R584">
        <f t="shared" si="992"/>
        <v>7580658816.0265827</v>
      </c>
      <c r="S584">
        <f t="shared" si="993"/>
        <v>75806.588160265834</v>
      </c>
      <c r="T584">
        <f t="shared" si="994"/>
        <v>75.806588160265832</v>
      </c>
    </row>
    <row r="585" spans="1:20" x14ac:dyDescent="0.25">
      <c r="A585" s="5">
        <v>44008</v>
      </c>
      <c r="B585">
        <v>8.1659999999999996E-2</v>
      </c>
      <c r="C585">
        <v>8.1809999999999994E-2</v>
      </c>
      <c r="D585">
        <v>7.9339999999999994E-2</v>
      </c>
      <c r="E585">
        <v>8.0619999999999997E-2</v>
      </c>
      <c r="F585">
        <v>189443293.90000001</v>
      </c>
      <c r="G585">
        <v>-1.27</v>
      </c>
      <c r="L585" t="s">
        <v>7</v>
      </c>
      <c r="M585" t="s">
        <v>8</v>
      </c>
      <c r="N585" t="s">
        <v>8</v>
      </c>
      <c r="P585">
        <f t="shared" si="990"/>
        <v>3.6437246963565484E-2</v>
      </c>
      <c r="Q585">
        <f t="shared" si="991"/>
        <v>6902792.085425619</v>
      </c>
      <c r="R585">
        <f t="shared" si="992"/>
        <v>7609219088.2616673</v>
      </c>
      <c r="S585">
        <f t="shared" si="993"/>
        <v>76092.190882616676</v>
      </c>
      <c r="T585">
        <f t="shared" si="994"/>
        <v>76.092190882616677</v>
      </c>
    </row>
    <row r="586" spans="1:20" x14ac:dyDescent="0.25">
      <c r="A586" s="5">
        <v>44007</v>
      </c>
      <c r="B586">
        <v>8.251E-2</v>
      </c>
      <c r="C586">
        <v>8.3510000000000001E-2</v>
      </c>
      <c r="D586">
        <v>7.8630000000000005E-2</v>
      </c>
      <c r="E586">
        <v>8.1670000000000006E-2</v>
      </c>
      <c r="F586">
        <v>256346389.90000001</v>
      </c>
      <c r="G586">
        <v>-1.02</v>
      </c>
      <c r="L586" t="s">
        <v>7</v>
      </c>
      <c r="M586" t="s">
        <v>8</v>
      </c>
      <c r="N586" t="s">
        <v>8</v>
      </c>
      <c r="P586">
        <f t="shared" si="990"/>
        <v>0.24590163934426387</v>
      </c>
      <c r="Q586">
        <f t="shared" si="991"/>
        <v>63035997.516393848</v>
      </c>
      <c r="R586">
        <f t="shared" si="992"/>
        <v>7602316296.1762419</v>
      </c>
      <c r="S586">
        <f t="shared" si="993"/>
        <v>76023.162961762413</v>
      </c>
      <c r="T586">
        <f t="shared" si="994"/>
        <v>76.023162961762409</v>
      </c>
    </row>
    <row r="587" spans="1:20" x14ac:dyDescent="0.25">
      <c r="A587" s="5">
        <v>44006</v>
      </c>
      <c r="B587">
        <v>8.2780000000000006E-2</v>
      </c>
      <c r="C587">
        <v>8.7230000000000002E-2</v>
      </c>
      <c r="D587">
        <v>7.9949999999999993E-2</v>
      </c>
      <c r="E587">
        <v>8.2540000000000002E-2</v>
      </c>
      <c r="F587">
        <v>431553648</v>
      </c>
      <c r="G587">
        <v>-0.28999999999999998</v>
      </c>
      <c r="L587" t="s">
        <v>8</v>
      </c>
      <c r="M587" t="s">
        <v>8</v>
      </c>
      <c r="N587" t="s">
        <v>8</v>
      </c>
      <c r="P587">
        <f t="shared" si="990"/>
        <v>-0.28846153846153683</v>
      </c>
      <c r="Q587">
        <f t="shared" si="991"/>
        <v>-124486629.23076853</v>
      </c>
      <c r="R587">
        <f t="shared" si="992"/>
        <v>7539280298.6598482</v>
      </c>
      <c r="S587">
        <f t="shared" si="993"/>
        <v>75392.802986598486</v>
      </c>
      <c r="T587">
        <f t="shared" si="994"/>
        <v>75.392802986598483</v>
      </c>
    </row>
    <row r="588" spans="1:20" x14ac:dyDescent="0.25">
      <c r="A588" s="5">
        <v>44005</v>
      </c>
      <c r="B588">
        <v>8.3589999999999998E-2</v>
      </c>
      <c r="C588">
        <v>8.4449999999999997E-2</v>
      </c>
      <c r="D588">
        <v>8.1519999999999995E-2</v>
      </c>
      <c r="E588">
        <v>8.276E-2</v>
      </c>
      <c r="F588">
        <v>173136119.40000001</v>
      </c>
      <c r="G588">
        <v>-0.99</v>
      </c>
      <c r="L588" t="s">
        <v>8</v>
      </c>
      <c r="M588" t="s">
        <v>8</v>
      </c>
      <c r="N588" t="s">
        <v>8</v>
      </c>
      <c r="P588">
        <f t="shared" si="990"/>
        <v>-0.15358361774743745</v>
      </c>
      <c r="Q588">
        <f t="shared" si="991"/>
        <v>-26590871.580204289</v>
      </c>
      <c r="R588">
        <f t="shared" si="992"/>
        <v>7663766927.8906164</v>
      </c>
      <c r="S588">
        <f t="shared" si="993"/>
        <v>76637.669278906164</v>
      </c>
      <c r="T588">
        <f t="shared" si="994"/>
        <v>76.637669278906159</v>
      </c>
    </row>
    <row r="589" spans="1:20" x14ac:dyDescent="0.25">
      <c r="A589" s="5">
        <v>44004</v>
      </c>
      <c r="B589">
        <v>7.8390000000000001E-2</v>
      </c>
      <c r="C589">
        <v>8.3960000000000007E-2</v>
      </c>
      <c r="D589">
        <v>7.8210000000000002E-2</v>
      </c>
      <c r="E589">
        <v>8.3549999999999999E-2</v>
      </c>
      <c r="F589">
        <v>236593766.90000001</v>
      </c>
      <c r="G589">
        <v>6.58</v>
      </c>
      <c r="L589" t="s">
        <v>8</v>
      </c>
      <c r="M589" t="s">
        <v>8</v>
      </c>
      <c r="N589" t="s">
        <v>8</v>
      </c>
      <c r="P589">
        <f t="shared" si="990"/>
        <v>0.85739130434782362</v>
      </c>
      <c r="Q589">
        <f t="shared" si="991"/>
        <v>202853438.40295595</v>
      </c>
      <c r="R589">
        <f t="shared" si="992"/>
        <v>7690357799.4708204</v>
      </c>
      <c r="S589">
        <f t="shared" si="993"/>
        <v>76903.577994708205</v>
      </c>
      <c r="T589">
        <f t="shared" si="994"/>
        <v>76.903577994708201</v>
      </c>
    </row>
    <row r="590" spans="1:20" x14ac:dyDescent="0.25">
      <c r="A590" s="5">
        <v>44003</v>
      </c>
      <c r="B590">
        <v>7.9560000000000006E-2</v>
      </c>
      <c r="C590">
        <v>8.0990000000000006E-2</v>
      </c>
      <c r="D590">
        <v>7.8140000000000001E-2</v>
      </c>
      <c r="E590">
        <v>7.8409999999999994E-2</v>
      </c>
      <c r="F590">
        <v>150318561.80000001</v>
      </c>
      <c r="G590">
        <v>-1.45</v>
      </c>
      <c r="L590" t="s">
        <v>7</v>
      </c>
      <c r="M590" t="s">
        <v>8</v>
      </c>
      <c r="N590" t="s">
        <v>8</v>
      </c>
      <c r="P590">
        <f t="shared" si="990"/>
        <v>-0.81052631578947931</v>
      </c>
      <c r="Q590">
        <f t="shared" si="991"/>
        <v>-121837150.09052718</v>
      </c>
      <c r="R590">
        <f t="shared" si="992"/>
        <v>7487504361.0678644</v>
      </c>
      <c r="S590">
        <f t="shared" si="993"/>
        <v>74875.043610678651</v>
      </c>
      <c r="T590">
        <f t="shared" si="994"/>
        <v>74.875043610678645</v>
      </c>
    </row>
    <row r="591" spans="1:20" x14ac:dyDescent="0.25">
      <c r="A591" s="5">
        <v>44002</v>
      </c>
      <c r="B591">
        <v>7.9930000000000001E-2</v>
      </c>
      <c r="C591">
        <v>8.0229999999999996E-2</v>
      </c>
      <c r="D591">
        <v>7.6999999999999999E-2</v>
      </c>
      <c r="E591">
        <v>7.9530000000000003E-2</v>
      </c>
      <c r="F591">
        <v>152661332.80000001</v>
      </c>
      <c r="G591">
        <v>-0.5</v>
      </c>
      <c r="L591" t="s">
        <v>7</v>
      </c>
      <c r="M591" t="s">
        <v>8</v>
      </c>
      <c r="N591" t="s">
        <v>8</v>
      </c>
      <c r="P591">
        <f t="shared" si="990"/>
        <v>0.56656346749226438</v>
      </c>
      <c r="Q591">
        <f t="shared" si="991"/>
        <v>86492334.063158557</v>
      </c>
      <c r="R591">
        <f t="shared" si="992"/>
        <v>7609341511.158392</v>
      </c>
      <c r="S591">
        <f t="shared" si="993"/>
        <v>76093.415111583919</v>
      </c>
      <c r="T591">
        <f t="shared" si="994"/>
        <v>76.093415111583923</v>
      </c>
    </row>
    <row r="592" spans="1:20" x14ac:dyDescent="0.25">
      <c r="A592" s="5">
        <v>44001</v>
      </c>
      <c r="B592">
        <v>8.1769999999999995E-2</v>
      </c>
      <c r="C592">
        <v>8.1900000000000001E-2</v>
      </c>
      <c r="D592">
        <v>7.8439999999999996E-2</v>
      </c>
      <c r="E592">
        <v>7.9869999999999997E-2</v>
      </c>
      <c r="F592">
        <v>273185135.5</v>
      </c>
      <c r="G592">
        <v>-2.3199999999999998</v>
      </c>
      <c r="L592" t="s">
        <v>7</v>
      </c>
      <c r="M592" t="s">
        <v>8</v>
      </c>
      <c r="N592" t="s">
        <v>8</v>
      </c>
      <c r="P592">
        <f t="shared" si="990"/>
        <v>-0.17341040462427817</v>
      </c>
      <c r="Q592">
        <f t="shared" si="991"/>
        <v>-47373144.88439326</v>
      </c>
      <c r="R592">
        <f t="shared" si="992"/>
        <v>7522849177.095233</v>
      </c>
      <c r="S592">
        <f t="shared" si="993"/>
        <v>75228.491770952329</v>
      </c>
      <c r="T592">
        <f t="shared" si="994"/>
        <v>75.228491770952331</v>
      </c>
    </row>
    <row r="593" spans="1:20" x14ac:dyDescent="0.25">
      <c r="A593" s="5">
        <v>44000</v>
      </c>
      <c r="B593">
        <v>8.3500000000000005E-2</v>
      </c>
      <c r="C593">
        <v>8.4540000000000004E-2</v>
      </c>
      <c r="D593">
        <v>8.0009999999999998E-2</v>
      </c>
      <c r="E593">
        <v>8.1759999999999999E-2</v>
      </c>
      <c r="F593">
        <v>316838158.30000001</v>
      </c>
      <c r="G593">
        <v>-2.08</v>
      </c>
      <c r="L593" t="s">
        <v>8</v>
      </c>
      <c r="M593" t="s">
        <v>8</v>
      </c>
      <c r="N593" t="s">
        <v>8</v>
      </c>
      <c r="P593">
        <f t="shared" si="990"/>
        <v>-0.22737306843267147</v>
      </c>
      <c r="Q593">
        <f t="shared" si="991"/>
        <v>-72040464.249227494</v>
      </c>
      <c r="R593">
        <f t="shared" si="992"/>
        <v>7570222321.9796267</v>
      </c>
      <c r="S593">
        <f t="shared" si="993"/>
        <v>75702.223219796273</v>
      </c>
      <c r="T593">
        <f t="shared" si="994"/>
        <v>75.702223219796267</v>
      </c>
    </row>
    <row r="594" spans="1:20" x14ac:dyDescent="0.25">
      <c r="A594" s="5">
        <v>43999</v>
      </c>
      <c r="B594">
        <v>7.9250000000000001E-2</v>
      </c>
      <c r="C594">
        <v>8.3979999999999999E-2</v>
      </c>
      <c r="D594">
        <v>7.7289999999999998E-2</v>
      </c>
      <c r="E594">
        <v>8.3489999999999995E-2</v>
      </c>
      <c r="F594">
        <v>470477521.39999998</v>
      </c>
      <c r="G594">
        <v>5.35</v>
      </c>
      <c r="L594" t="s">
        <v>8</v>
      </c>
      <c r="M594" t="s">
        <v>8</v>
      </c>
      <c r="N594" t="s">
        <v>8</v>
      </c>
      <c r="P594">
        <f t="shared" si="990"/>
        <v>0.85351270553064151</v>
      </c>
      <c r="Q594">
        <f t="shared" si="991"/>
        <v>401558542.18146425</v>
      </c>
      <c r="R594">
        <f t="shared" si="992"/>
        <v>7642262786.2288542</v>
      </c>
      <c r="S594">
        <f t="shared" si="993"/>
        <v>76422.627862288544</v>
      </c>
      <c r="T594">
        <f t="shared" si="994"/>
        <v>76.42262786228855</v>
      </c>
    </row>
    <row r="595" spans="1:20" x14ac:dyDescent="0.25">
      <c r="A595" s="5">
        <v>43998</v>
      </c>
      <c r="B595">
        <v>7.8219999999999998E-2</v>
      </c>
      <c r="C595">
        <v>7.9780000000000004E-2</v>
      </c>
      <c r="D595">
        <v>7.6560000000000003E-2</v>
      </c>
      <c r="E595">
        <v>7.9250000000000001E-2</v>
      </c>
      <c r="F595">
        <v>292089259</v>
      </c>
      <c r="G595">
        <v>1.32</v>
      </c>
      <c r="L595" t="s">
        <v>8</v>
      </c>
      <c r="M595" t="s">
        <v>7</v>
      </c>
      <c r="N595" t="s">
        <v>8</v>
      </c>
      <c r="P595">
        <f t="shared" si="990"/>
        <v>0.67080745341614745</v>
      </c>
      <c r="Q595">
        <f t="shared" si="991"/>
        <v>195935651.99999952</v>
      </c>
      <c r="R595">
        <f t="shared" si="992"/>
        <v>7240704244.04739</v>
      </c>
      <c r="S595">
        <f t="shared" si="993"/>
        <v>72407.042440473902</v>
      </c>
      <c r="T595">
        <f t="shared" si="994"/>
        <v>72.407042440473901</v>
      </c>
    </row>
    <row r="596" spans="1:20" x14ac:dyDescent="0.25">
      <c r="A596" s="5">
        <v>43997</v>
      </c>
      <c r="B596">
        <v>7.6439999999999994E-2</v>
      </c>
      <c r="C596">
        <v>7.9839999999999994E-2</v>
      </c>
      <c r="D596">
        <v>6.93E-2</v>
      </c>
      <c r="E596">
        <v>7.8240000000000004E-2</v>
      </c>
      <c r="F596">
        <v>618344226</v>
      </c>
      <c r="G596">
        <v>2.35</v>
      </c>
      <c r="L596" t="s">
        <v>7</v>
      </c>
      <c r="M596" t="s">
        <v>7</v>
      </c>
      <c r="N596" t="s">
        <v>8</v>
      </c>
      <c r="P596">
        <f t="shared" si="990"/>
        <v>0.69639468690702255</v>
      </c>
      <c r="Q596">
        <f t="shared" si="991"/>
        <v>430611633.66603518</v>
      </c>
      <c r="R596">
        <f t="shared" si="992"/>
        <v>7044768592.04739</v>
      </c>
      <c r="S596">
        <f t="shared" si="993"/>
        <v>70447.685920473901</v>
      </c>
      <c r="T596">
        <f t="shared" si="994"/>
        <v>70.447685920473901</v>
      </c>
    </row>
    <row r="597" spans="1:20" x14ac:dyDescent="0.25">
      <c r="A597" s="5">
        <v>43996</v>
      </c>
      <c r="B597">
        <v>7.9089999999999994E-2</v>
      </c>
      <c r="C597">
        <v>7.918E-2</v>
      </c>
      <c r="D597">
        <v>7.5609999999999997E-2</v>
      </c>
      <c r="E597">
        <v>7.6420000000000002E-2</v>
      </c>
      <c r="F597">
        <v>135355914.59999999</v>
      </c>
      <c r="G597">
        <v>-3.38</v>
      </c>
      <c r="L597" t="s">
        <v>7</v>
      </c>
      <c r="M597" t="s">
        <v>7</v>
      </c>
      <c r="N597" t="s">
        <v>8</v>
      </c>
      <c r="P597">
        <f t="shared" si="990"/>
        <v>-0.5462184873949556</v>
      </c>
      <c r="Q597">
        <f t="shared" si="991"/>
        <v>-73933902.932772785</v>
      </c>
      <c r="R597">
        <f t="shared" si="992"/>
        <v>6614156958.3813543</v>
      </c>
      <c r="S597">
        <f t="shared" si="993"/>
        <v>66141.569583813543</v>
      </c>
      <c r="T597">
        <f t="shared" si="994"/>
        <v>66.141569583813549</v>
      </c>
    </row>
    <row r="598" spans="1:20" x14ac:dyDescent="0.25">
      <c r="A598" s="5">
        <v>43995</v>
      </c>
      <c r="B598">
        <v>7.9479999999999995E-2</v>
      </c>
      <c r="C598">
        <v>7.9589999999999994E-2</v>
      </c>
      <c r="D598">
        <v>7.6999999999999999E-2</v>
      </c>
      <c r="E598">
        <v>7.9060000000000005E-2</v>
      </c>
      <c r="F598">
        <v>161240000.69999999</v>
      </c>
      <c r="G598">
        <v>-0.53</v>
      </c>
      <c r="L598" t="s">
        <v>8</v>
      </c>
      <c r="M598" t="s">
        <v>7</v>
      </c>
      <c r="N598" t="s">
        <v>8</v>
      </c>
      <c r="P598">
        <f t="shared" si="990"/>
        <v>0.59073359073359855</v>
      </c>
      <c r="Q598">
        <f t="shared" si="991"/>
        <v>95249884.583398938</v>
      </c>
      <c r="R598">
        <f t="shared" si="992"/>
        <v>6688090861.314127</v>
      </c>
      <c r="S598">
        <f t="shared" si="993"/>
        <v>66880.908613141277</v>
      </c>
      <c r="T598">
        <f t="shared" si="994"/>
        <v>66.880908613141273</v>
      </c>
    </row>
    <row r="599" spans="1:20" x14ac:dyDescent="0.25">
      <c r="A599" s="5">
        <v>43994</v>
      </c>
      <c r="B599">
        <v>7.5270000000000004E-2</v>
      </c>
      <c r="C599">
        <v>8.09E-2</v>
      </c>
      <c r="D599">
        <v>7.4969999999999995E-2</v>
      </c>
      <c r="E599">
        <v>7.9479999999999995E-2</v>
      </c>
      <c r="F599">
        <v>323950725</v>
      </c>
      <c r="G599">
        <v>5.59</v>
      </c>
      <c r="L599" t="s">
        <v>8</v>
      </c>
      <c r="M599" t="s">
        <v>7</v>
      </c>
      <c r="N599" t="s">
        <v>8</v>
      </c>
      <c r="P599">
        <f t="shared" si="990"/>
        <v>0.5210792580101169</v>
      </c>
      <c r="Q599">
        <f t="shared" si="991"/>
        <v>168804003.41483942</v>
      </c>
      <c r="R599">
        <f t="shared" si="992"/>
        <v>6592840976.7307281</v>
      </c>
      <c r="S599">
        <f t="shared" si="993"/>
        <v>65928.409767307283</v>
      </c>
      <c r="T599">
        <f t="shared" si="994"/>
        <v>65.928409767307286</v>
      </c>
    </row>
    <row r="600" spans="1:20" x14ac:dyDescent="0.25">
      <c r="A600" s="5">
        <v>43993</v>
      </c>
      <c r="B600">
        <v>8.3599999999999994E-2</v>
      </c>
      <c r="C600">
        <v>8.5120000000000001E-2</v>
      </c>
      <c r="D600">
        <v>7.2999999999999995E-2</v>
      </c>
      <c r="E600">
        <v>7.5270000000000004E-2</v>
      </c>
      <c r="F600">
        <v>523976380</v>
      </c>
      <c r="G600">
        <v>-9.9600000000000009</v>
      </c>
      <c r="L600" t="s">
        <v>7</v>
      </c>
      <c r="M600" t="s">
        <v>7</v>
      </c>
      <c r="N600" t="s">
        <v>8</v>
      </c>
      <c r="P600">
        <f t="shared" si="990"/>
        <v>-0.62541254125412427</v>
      </c>
      <c r="Q600">
        <f t="shared" si="991"/>
        <v>-327701399.37293667</v>
      </c>
      <c r="R600">
        <f t="shared" si="992"/>
        <v>6424036973.3158884</v>
      </c>
      <c r="S600">
        <f t="shared" si="993"/>
        <v>64240.369733158885</v>
      </c>
      <c r="T600">
        <f t="shared" si="994"/>
        <v>64.240369733158886</v>
      </c>
    </row>
    <row r="601" spans="1:20" x14ac:dyDescent="0.25">
      <c r="A601" s="5">
        <v>43992</v>
      </c>
      <c r="B601">
        <v>8.2919999999999994E-2</v>
      </c>
      <c r="C601">
        <v>8.3989999999999995E-2</v>
      </c>
      <c r="D601">
        <v>7.9380000000000006E-2</v>
      </c>
      <c r="E601">
        <v>8.3599999999999994E-2</v>
      </c>
      <c r="F601">
        <v>447331679.69999999</v>
      </c>
      <c r="G601">
        <v>0.82</v>
      </c>
      <c r="L601" t="s">
        <v>7</v>
      </c>
      <c r="M601" t="s">
        <v>8</v>
      </c>
      <c r="N601" t="s">
        <v>8</v>
      </c>
      <c r="P601">
        <f t="shared" si="990"/>
        <v>0.83080260303687536</v>
      </c>
      <c r="Q601">
        <f t="shared" si="991"/>
        <v>371644323.91561776</v>
      </c>
      <c r="R601">
        <f t="shared" si="992"/>
        <v>6751738372.6888247</v>
      </c>
      <c r="S601">
        <f t="shared" si="993"/>
        <v>67517.383726888249</v>
      </c>
      <c r="T601">
        <f t="shared" si="994"/>
        <v>67.517383726888255</v>
      </c>
    </row>
    <row r="602" spans="1:20" x14ac:dyDescent="0.25">
      <c r="A602" s="5">
        <v>43991</v>
      </c>
      <c r="B602">
        <v>8.6489999999999997E-2</v>
      </c>
      <c r="C602">
        <v>8.6779999999999996E-2</v>
      </c>
      <c r="D602">
        <v>8.2839999999999997E-2</v>
      </c>
      <c r="E602">
        <v>8.2909999999999998E-2</v>
      </c>
      <c r="F602">
        <v>228581184.80000001</v>
      </c>
      <c r="G602">
        <v>-4.1399999999999997</v>
      </c>
      <c r="L602" t="s">
        <v>7</v>
      </c>
      <c r="M602" t="s">
        <v>8</v>
      </c>
      <c r="N602" t="s">
        <v>8</v>
      </c>
      <c r="P602">
        <f t="shared" si="990"/>
        <v>-0.9644670050761418</v>
      </c>
      <c r="Q602">
        <f t="shared" si="991"/>
        <v>-220459010.72081211</v>
      </c>
      <c r="R602">
        <f t="shared" si="992"/>
        <v>6380094048.7732067</v>
      </c>
      <c r="S602">
        <f t="shared" si="993"/>
        <v>63800.94048773207</v>
      </c>
      <c r="T602">
        <f t="shared" si="994"/>
        <v>63.80094048773207</v>
      </c>
    </row>
    <row r="603" spans="1:20" x14ac:dyDescent="0.25">
      <c r="A603" s="5">
        <v>43990</v>
      </c>
      <c r="B603">
        <v>8.6550000000000002E-2</v>
      </c>
      <c r="C603">
        <v>8.695E-2</v>
      </c>
      <c r="D603">
        <v>8.4580000000000002E-2</v>
      </c>
      <c r="E603">
        <v>8.6480000000000001E-2</v>
      </c>
      <c r="F603">
        <v>216779869.40000001</v>
      </c>
      <c r="G603">
        <v>-0.08</v>
      </c>
      <c r="L603" t="s">
        <v>7</v>
      </c>
      <c r="M603" t="s">
        <v>8</v>
      </c>
      <c r="N603" t="s">
        <v>8</v>
      </c>
      <c r="P603">
        <f t="shared" si="990"/>
        <v>0.60337552742616141</v>
      </c>
      <c r="Q603">
        <f t="shared" si="991"/>
        <v>130799668.03459939</v>
      </c>
      <c r="R603">
        <f t="shared" si="992"/>
        <v>6600553059.4940186</v>
      </c>
      <c r="S603">
        <f t="shared" si="993"/>
        <v>66005.530594940181</v>
      </c>
      <c r="T603">
        <f t="shared" si="994"/>
        <v>66.005530594940183</v>
      </c>
    </row>
    <row r="604" spans="1:20" x14ac:dyDescent="0.25">
      <c r="A604" s="5">
        <v>43989</v>
      </c>
      <c r="B604">
        <v>8.616E-2</v>
      </c>
      <c r="C604">
        <v>8.8669999999999999E-2</v>
      </c>
      <c r="D604">
        <v>8.2500000000000004E-2</v>
      </c>
      <c r="E604">
        <v>8.6569999999999994E-2</v>
      </c>
      <c r="F604">
        <v>470802696.69999999</v>
      </c>
      <c r="G604">
        <v>0.48</v>
      </c>
      <c r="L604" t="s">
        <v>7</v>
      </c>
      <c r="M604" t="s">
        <v>8</v>
      </c>
      <c r="N604" t="s">
        <v>8</v>
      </c>
      <c r="P604">
        <f t="shared" si="990"/>
        <v>0.31928687196110006</v>
      </c>
      <c r="Q604">
        <f t="shared" si="991"/>
        <v>150321120.34019351</v>
      </c>
      <c r="R604">
        <f t="shared" si="992"/>
        <v>6469753391.4594193</v>
      </c>
      <c r="S604">
        <f t="shared" si="993"/>
        <v>64697.533914594191</v>
      </c>
      <c r="T604">
        <f t="shared" si="994"/>
        <v>64.697533914594189</v>
      </c>
    </row>
    <row r="605" spans="1:20" x14ac:dyDescent="0.25">
      <c r="A605" s="5">
        <v>43988</v>
      </c>
      <c r="B605">
        <v>8.5190000000000002E-2</v>
      </c>
      <c r="C605">
        <v>8.7300000000000003E-2</v>
      </c>
      <c r="D605">
        <v>8.4750000000000006E-2</v>
      </c>
      <c r="E605">
        <v>8.6139999999999994E-2</v>
      </c>
      <c r="F605">
        <v>274342754.60000002</v>
      </c>
      <c r="G605">
        <v>1.1200000000000001</v>
      </c>
      <c r="L605" t="s">
        <v>7</v>
      </c>
      <c r="M605" t="s">
        <v>8</v>
      </c>
      <c r="N605" t="s">
        <v>8</v>
      </c>
      <c r="P605">
        <f t="shared" si="990"/>
        <v>9.0196078431364915E-2</v>
      </c>
      <c r="Q605">
        <f t="shared" si="991"/>
        <v>24744640.610978302</v>
      </c>
      <c r="R605">
        <f t="shared" si="992"/>
        <v>6319432271.1192255</v>
      </c>
      <c r="S605">
        <f t="shared" si="993"/>
        <v>63194.322711192253</v>
      </c>
      <c r="T605">
        <f t="shared" si="994"/>
        <v>63.194322711192257</v>
      </c>
    </row>
    <row r="606" spans="1:20" x14ac:dyDescent="0.25">
      <c r="A606" s="5">
        <v>43987</v>
      </c>
      <c r="B606">
        <v>8.8819999999999996E-2</v>
      </c>
      <c r="C606">
        <v>8.9139999999999997E-2</v>
      </c>
      <c r="D606">
        <v>8.3930000000000005E-2</v>
      </c>
      <c r="E606">
        <v>8.5169999999999996E-2</v>
      </c>
      <c r="F606">
        <v>480984869.19999999</v>
      </c>
      <c r="G606">
        <v>-4.1100000000000003</v>
      </c>
      <c r="L606" t="s">
        <v>7</v>
      </c>
      <c r="M606" t="s">
        <v>8</v>
      </c>
      <c r="N606" t="s">
        <v>8</v>
      </c>
      <c r="P606">
        <f t="shared" si="990"/>
        <v>-0.52399232245681659</v>
      </c>
      <c r="Q606">
        <f t="shared" si="991"/>
        <v>-252032378.67869616</v>
      </c>
      <c r="R606">
        <f t="shared" si="992"/>
        <v>6294687630.5082474</v>
      </c>
      <c r="S606">
        <f t="shared" si="993"/>
        <v>62946.876305082471</v>
      </c>
      <c r="T606">
        <f t="shared" si="994"/>
        <v>62.946876305082469</v>
      </c>
    </row>
    <row r="607" spans="1:20" x14ac:dyDescent="0.25">
      <c r="A607" s="5">
        <v>43986</v>
      </c>
      <c r="B607">
        <v>8.5580000000000003E-2</v>
      </c>
      <c r="C607">
        <v>9.0389999999999998E-2</v>
      </c>
      <c r="D607">
        <v>8.3419999999999994E-2</v>
      </c>
      <c r="E607">
        <v>8.8819999999999996E-2</v>
      </c>
      <c r="F607">
        <v>876595811.39999998</v>
      </c>
      <c r="G607">
        <v>3.79</v>
      </c>
      <c r="L607" t="s">
        <v>8</v>
      </c>
      <c r="M607" t="s">
        <v>8</v>
      </c>
      <c r="N607" t="s">
        <v>8</v>
      </c>
      <c r="P607">
        <f t="shared" si="990"/>
        <v>0.54949784791965539</v>
      </c>
      <c r="Q607">
        <f t="shared" si="991"/>
        <v>481687511.85968411</v>
      </c>
      <c r="R607">
        <f t="shared" si="992"/>
        <v>6546720009.1869431</v>
      </c>
      <c r="S607">
        <f t="shared" si="993"/>
        <v>65467.200091869432</v>
      </c>
      <c r="T607">
        <f t="shared" si="994"/>
        <v>65.467200091869429</v>
      </c>
    </row>
    <row r="608" spans="1:20" x14ac:dyDescent="0.25">
      <c r="A608" s="5">
        <v>43985</v>
      </c>
      <c r="B608">
        <v>7.8719999999999998E-2</v>
      </c>
      <c r="C608">
        <v>8.6099999999999996E-2</v>
      </c>
      <c r="D608">
        <v>7.707E-2</v>
      </c>
      <c r="E608">
        <v>8.5580000000000003E-2</v>
      </c>
      <c r="F608">
        <v>746675602.89999998</v>
      </c>
      <c r="G608">
        <v>8.7100000000000009</v>
      </c>
      <c r="L608" t="s">
        <v>8</v>
      </c>
      <c r="M608" t="s">
        <v>8</v>
      </c>
      <c r="N608" t="s">
        <v>8</v>
      </c>
      <c r="P608">
        <f t="shared" si="990"/>
        <v>0.88482834994463055</v>
      </c>
      <c r="Q608">
        <f t="shared" si="991"/>
        <v>660679741.65791917</v>
      </c>
      <c r="R608">
        <f t="shared" si="992"/>
        <v>6065032497.3272591</v>
      </c>
      <c r="S608">
        <f t="shared" si="993"/>
        <v>60650.324973272589</v>
      </c>
      <c r="T608">
        <f t="shared" si="994"/>
        <v>60.650324973272589</v>
      </c>
    </row>
    <row r="609" spans="1:20" x14ac:dyDescent="0.25">
      <c r="A609" s="5">
        <v>43984</v>
      </c>
      <c r="B609">
        <v>8.0960000000000004E-2</v>
      </c>
      <c r="C609">
        <v>8.2479999999999998E-2</v>
      </c>
      <c r="D609">
        <v>7.0800000000000002E-2</v>
      </c>
      <c r="E609">
        <v>7.8719999999999998E-2</v>
      </c>
      <c r="F609">
        <v>807890970.29999995</v>
      </c>
      <c r="G609">
        <v>-2.77</v>
      </c>
      <c r="L609" t="s">
        <v>7</v>
      </c>
      <c r="M609" t="s">
        <v>7</v>
      </c>
      <c r="N609" t="s">
        <v>8</v>
      </c>
      <c r="P609">
        <f t="shared" si="990"/>
        <v>0.3561643835616437</v>
      </c>
      <c r="Q609">
        <f t="shared" si="991"/>
        <v>287741989.42191768</v>
      </c>
      <c r="R609">
        <f t="shared" si="992"/>
        <v>5404352755.6693401</v>
      </c>
      <c r="S609">
        <f t="shared" si="993"/>
        <v>54043.5275566934</v>
      </c>
      <c r="T609">
        <f t="shared" si="994"/>
        <v>54.043527556693398</v>
      </c>
    </row>
    <row r="610" spans="1:20" x14ac:dyDescent="0.25">
      <c r="A610" s="5">
        <v>43983</v>
      </c>
      <c r="B610">
        <v>7.3910000000000003E-2</v>
      </c>
      <c r="C610">
        <v>8.3059999999999995E-2</v>
      </c>
      <c r="D610">
        <v>7.3469999999999994E-2</v>
      </c>
      <c r="E610">
        <v>8.0930000000000002E-2</v>
      </c>
      <c r="F610">
        <v>1059683218.6</v>
      </c>
      <c r="G610">
        <v>9.5</v>
      </c>
      <c r="L610" t="s">
        <v>7</v>
      </c>
      <c r="M610" t="s">
        <v>8</v>
      </c>
      <c r="N610" t="s">
        <v>8</v>
      </c>
      <c r="P610">
        <f t="shared" si="990"/>
        <v>0.55578727841501718</v>
      </c>
      <c r="Q610">
        <f t="shared" si="991"/>
        <v>588958452.04775977</v>
      </c>
      <c r="R610">
        <f t="shared" si="992"/>
        <v>5116610766.2474222</v>
      </c>
      <c r="S610">
        <f t="shared" si="993"/>
        <v>51166.10766247422</v>
      </c>
      <c r="T610">
        <f t="shared" si="994"/>
        <v>51.166107662474218</v>
      </c>
    </row>
    <row r="611" spans="1:20" x14ac:dyDescent="0.25">
      <c r="A611" s="5">
        <v>43982</v>
      </c>
      <c r="B611">
        <v>7.6880000000000004E-2</v>
      </c>
      <c r="C611">
        <v>8.6499999999999994E-2</v>
      </c>
      <c r="D611">
        <v>7.1999999999999995E-2</v>
      </c>
      <c r="E611">
        <v>7.3899999999999993E-2</v>
      </c>
      <c r="F611">
        <v>1611428374.3</v>
      </c>
      <c r="G611">
        <v>-3.88</v>
      </c>
      <c r="L611" t="s">
        <v>8</v>
      </c>
      <c r="M611" t="s">
        <v>8</v>
      </c>
      <c r="N611" t="s">
        <v>8</v>
      </c>
      <c r="P611">
        <f t="shared" si="990"/>
        <v>-0.73793103448275876</v>
      </c>
      <c r="Q611">
        <f t="shared" si="991"/>
        <v>-1189123007.2420692</v>
      </c>
      <c r="R611">
        <f t="shared" si="992"/>
        <v>4527652314.1996622</v>
      </c>
      <c r="S611">
        <f t="shared" si="993"/>
        <v>45276.523141996622</v>
      </c>
      <c r="T611">
        <f t="shared" si="994"/>
        <v>45.27652314199662</v>
      </c>
    </row>
    <row r="612" spans="1:20" x14ac:dyDescent="0.25">
      <c r="A612" s="5">
        <v>43981</v>
      </c>
      <c r="B612">
        <v>6.4689999999999998E-2</v>
      </c>
      <c r="C612">
        <v>7.7479999999999993E-2</v>
      </c>
      <c r="D612">
        <v>6.3729999999999995E-2</v>
      </c>
      <c r="E612">
        <v>7.6910000000000006E-2</v>
      </c>
      <c r="F612">
        <v>1038874975.1</v>
      </c>
      <c r="G612">
        <v>18.89</v>
      </c>
      <c r="L612" t="s">
        <v>8</v>
      </c>
      <c r="M612" t="s">
        <v>8</v>
      </c>
      <c r="N612" t="s">
        <v>8</v>
      </c>
      <c r="P612">
        <f t="shared" si="990"/>
        <v>0.91709090909091096</v>
      </c>
      <c r="Q612">
        <f t="shared" si="991"/>
        <v>952742795.34625649</v>
      </c>
      <c r="R612">
        <f t="shared" si="992"/>
        <v>5716775321.4417315</v>
      </c>
      <c r="S612">
        <f t="shared" si="993"/>
        <v>57167.753214417316</v>
      </c>
      <c r="T612">
        <f t="shared" si="994"/>
        <v>57.167753214417317</v>
      </c>
    </row>
    <row r="613" spans="1:20" x14ac:dyDescent="0.25">
      <c r="A613" s="5">
        <v>43980</v>
      </c>
      <c r="B613">
        <v>6.4949999999999994E-2</v>
      </c>
      <c r="C613">
        <v>6.6669999999999993E-2</v>
      </c>
      <c r="D613">
        <v>6.2520000000000006E-2</v>
      </c>
      <c r="E613">
        <v>6.4689999999999998E-2</v>
      </c>
      <c r="F613">
        <v>591929034.20000005</v>
      </c>
      <c r="G613">
        <v>-0.4</v>
      </c>
      <c r="L613" t="s">
        <v>8</v>
      </c>
      <c r="M613" t="s">
        <v>8</v>
      </c>
      <c r="N613" t="s">
        <v>8</v>
      </c>
      <c r="P613">
        <f t="shared" si="990"/>
        <v>4.5783132530119598E-2</v>
      </c>
      <c r="Q613">
        <f t="shared" si="991"/>
        <v>27100365.421204299</v>
      </c>
      <c r="R613">
        <f t="shared" si="992"/>
        <v>4764032526.0954752</v>
      </c>
      <c r="S613">
        <f t="shared" si="993"/>
        <v>47640.325260954749</v>
      </c>
      <c r="T613">
        <f t="shared" si="994"/>
        <v>47.640325260954747</v>
      </c>
    </row>
    <row r="614" spans="1:20" x14ac:dyDescent="0.25">
      <c r="A614" s="5">
        <v>43979</v>
      </c>
      <c r="B614">
        <v>5.5120000000000002E-2</v>
      </c>
      <c r="C614">
        <v>6.7659999999999998E-2</v>
      </c>
      <c r="D614">
        <v>5.4870000000000002E-2</v>
      </c>
      <c r="E614">
        <v>6.5019999999999994E-2</v>
      </c>
      <c r="F614">
        <v>714718749.89999998</v>
      </c>
      <c r="G614">
        <v>17.96</v>
      </c>
      <c r="L614" t="s">
        <v>8</v>
      </c>
      <c r="M614" t="s">
        <v>8</v>
      </c>
      <c r="N614" t="s">
        <v>8</v>
      </c>
      <c r="P614">
        <f t="shared" si="990"/>
        <v>0.58717748240813072</v>
      </c>
      <c r="Q614">
        <f t="shared" si="991"/>
        <v>419666756.19616842</v>
      </c>
      <c r="R614">
        <f t="shared" si="992"/>
        <v>4736932160.6742706</v>
      </c>
      <c r="S614">
        <f t="shared" si="993"/>
        <v>47369.321606742706</v>
      </c>
      <c r="T614">
        <f t="shared" si="994"/>
        <v>47.369321606742709</v>
      </c>
    </row>
    <row r="615" spans="1:20" x14ac:dyDescent="0.25">
      <c r="A615" s="5">
        <v>43978</v>
      </c>
      <c r="B615">
        <v>5.3560000000000003E-2</v>
      </c>
      <c r="C615">
        <v>5.595E-2</v>
      </c>
      <c r="D615">
        <v>5.3019999999999998E-2</v>
      </c>
      <c r="E615">
        <v>5.5129999999999998E-2</v>
      </c>
      <c r="F615">
        <v>270628151.10000002</v>
      </c>
      <c r="G615">
        <v>2.93</v>
      </c>
      <c r="L615" t="s">
        <v>8</v>
      </c>
      <c r="M615" t="s">
        <v>8</v>
      </c>
      <c r="N615" t="s">
        <v>8</v>
      </c>
      <c r="P615">
        <f t="shared" si="990"/>
        <v>0.44027303754266162</v>
      </c>
      <c r="Q615">
        <f t="shared" si="991"/>
        <v>119150278.12935141</v>
      </c>
      <c r="R615">
        <f t="shared" si="992"/>
        <v>4317265404.4781027</v>
      </c>
      <c r="S615">
        <f t="shared" si="993"/>
        <v>43172.654044781026</v>
      </c>
      <c r="T615">
        <f t="shared" si="994"/>
        <v>43.172654044781027</v>
      </c>
    </row>
    <row r="616" spans="1:20" x14ac:dyDescent="0.25">
      <c r="A616" s="5">
        <v>43977</v>
      </c>
      <c r="B616">
        <v>5.3940000000000002E-2</v>
      </c>
      <c r="C616">
        <v>5.4170000000000003E-2</v>
      </c>
      <c r="D616">
        <v>5.1889999999999999E-2</v>
      </c>
      <c r="E616">
        <v>5.355E-2</v>
      </c>
      <c r="F616">
        <v>218137958.80000001</v>
      </c>
      <c r="G616">
        <v>-0.72</v>
      </c>
      <c r="L616" t="s">
        <v>7</v>
      </c>
      <c r="M616" t="s">
        <v>8</v>
      </c>
      <c r="N616" t="s">
        <v>8</v>
      </c>
      <c r="P616">
        <f t="shared" si="990"/>
        <v>0.45614035087719179</v>
      </c>
      <c r="Q616">
        <f t="shared" si="991"/>
        <v>99501525.066666409</v>
      </c>
      <c r="R616">
        <f t="shared" si="992"/>
        <v>4198115126.3487515</v>
      </c>
      <c r="S616">
        <f t="shared" si="993"/>
        <v>41981.151263487518</v>
      </c>
      <c r="T616">
        <f t="shared" si="994"/>
        <v>41.981151263487519</v>
      </c>
    </row>
    <row r="617" spans="1:20" x14ac:dyDescent="0.25">
      <c r="A617" s="5">
        <v>43976</v>
      </c>
      <c r="B617">
        <v>5.1290000000000002E-2</v>
      </c>
      <c r="C617">
        <v>5.4339999999999999E-2</v>
      </c>
      <c r="D617">
        <v>5.1020000000000003E-2</v>
      </c>
      <c r="E617">
        <v>5.3900000000000003E-2</v>
      </c>
      <c r="F617">
        <v>282415963.30000001</v>
      </c>
      <c r="G617">
        <v>5.09</v>
      </c>
      <c r="L617" t="s">
        <v>7</v>
      </c>
      <c r="M617" t="s">
        <v>8</v>
      </c>
      <c r="N617" t="s">
        <v>8</v>
      </c>
      <c r="P617">
        <f t="shared" si="990"/>
        <v>0.73493975903614672</v>
      </c>
      <c r="Q617">
        <f t="shared" si="991"/>
        <v>207558720.01566327</v>
      </c>
      <c r="R617">
        <f t="shared" si="992"/>
        <v>4098613601.2820849</v>
      </c>
      <c r="S617">
        <f t="shared" si="993"/>
        <v>40986.136012820847</v>
      </c>
      <c r="T617">
        <f t="shared" si="994"/>
        <v>40.98613601282085</v>
      </c>
    </row>
    <row r="618" spans="1:20" x14ac:dyDescent="0.25">
      <c r="A618" s="5">
        <v>43975</v>
      </c>
      <c r="B618">
        <v>5.4899999999999997E-2</v>
      </c>
      <c r="C618">
        <v>5.6160000000000002E-2</v>
      </c>
      <c r="D618">
        <v>5.1200000000000002E-2</v>
      </c>
      <c r="E618">
        <v>5.1249999999999997E-2</v>
      </c>
      <c r="F618">
        <v>246978557.40000001</v>
      </c>
      <c r="G618">
        <v>-6.65</v>
      </c>
      <c r="L618" t="s">
        <v>7</v>
      </c>
      <c r="M618" t="s">
        <v>8</v>
      </c>
      <c r="N618" t="s">
        <v>8</v>
      </c>
      <c r="P618">
        <f t="shared" si="990"/>
        <v>-0.97983870967742159</v>
      </c>
      <c r="Q618">
        <f t="shared" si="991"/>
        <v>-241999151.00080702</v>
      </c>
      <c r="R618">
        <f t="shared" si="992"/>
        <v>3891054881.2664218</v>
      </c>
      <c r="S618">
        <f t="shared" si="993"/>
        <v>38910.548812664216</v>
      </c>
      <c r="T618">
        <f t="shared" si="994"/>
        <v>38.910548812664217</v>
      </c>
    </row>
    <row r="619" spans="1:20" x14ac:dyDescent="0.25">
      <c r="A619" s="5">
        <v>43974</v>
      </c>
      <c r="B619">
        <v>5.5759999999999997E-2</v>
      </c>
      <c r="C619">
        <v>5.6480000000000002E-2</v>
      </c>
      <c r="D619">
        <v>5.4199999999999998E-2</v>
      </c>
      <c r="E619">
        <v>5.4899999999999997E-2</v>
      </c>
      <c r="F619">
        <v>204914013.19999999</v>
      </c>
      <c r="G619">
        <v>-1.54</v>
      </c>
      <c r="L619" t="s">
        <v>8</v>
      </c>
      <c r="M619" t="s">
        <v>8</v>
      </c>
      <c r="N619" t="s">
        <v>8</v>
      </c>
      <c r="P619">
        <f t="shared" si="990"/>
        <v>-0.38596491228070356</v>
      </c>
      <c r="Q619">
        <f t="shared" si="991"/>
        <v>-79089619.129824921</v>
      </c>
      <c r="R619">
        <f t="shared" si="992"/>
        <v>4133054032.2672286</v>
      </c>
      <c r="S619">
        <f t="shared" si="993"/>
        <v>41330.540322672285</v>
      </c>
      <c r="T619">
        <f t="shared" si="994"/>
        <v>41.330540322672285</v>
      </c>
    </row>
    <row r="620" spans="1:20" x14ac:dyDescent="0.25">
      <c r="A620" s="5">
        <v>43973</v>
      </c>
      <c r="B620">
        <v>5.21E-2</v>
      </c>
      <c r="C620">
        <v>5.7000000000000002E-2</v>
      </c>
      <c r="D620">
        <v>5.1330000000000001E-2</v>
      </c>
      <c r="E620">
        <v>5.5759999999999997E-2</v>
      </c>
      <c r="F620">
        <v>358164957.60000002</v>
      </c>
      <c r="G620">
        <v>7.02</v>
      </c>
      <c r="L620" t="s">
        <v>8</v>
      </c>
      <c r="M620" t="s">
        <v>8</v>
      </c>
      <c r="N620" t="s">
        <v>8</v>
      </c>
      <c r="P620">
        <f t="shared" si="990"/>
        <v>0.5626102292768943</v>
      </c>
      <c r="Q620">
        <f t="shared" si="991"/>
        <v>201507268.91428515</v>
      </c>
      <c r="R620">
        <f t="shared" si="992"/>
        <v>4212143651.3970537</v>
      </c>
      <c r="S620">
        <f t="shared" si="993"/>
        <v>42121.436513970541</v>
      </c>
      <c r="T620">
        <f t="shared" si="994"/>
        <v>42.121436513970544</v>
      </c>
    </row>
    <row r="621" spans="1:20" x14ac:dyDescent="0.25">
      <c r="A621" s="5">
        <v>43972</v>
      </c>
      <c r="B621">
        <v>5.6860000000000001E-2</v>
      </c>
      <c r="C621">
        <v>5.7599999999999998E-2</v>
      </c>
      <c r="D621">
        <v>5.0229999999999997E-2</v>
      </c>
      <c r="E621">
        <v>5.2069999999999998E-2</v>
      </c>
      <c r="F621">
        <v>410702686.80000001</v>
      </c>
      <c r="G621">
        <v>-8.42</v>
      </c>
      <c r="L621" t="s">
        <v>7</v>
      </c>
      <c r="M621" t="s">
        <v>8</v>
      </c>
      <c r="N621" t="s">
        <v>8</v>
      </c>
      <c r="P621">
        <f t="shared" si="990"/>
        <v>-0.5006784260515601</v>
      </c>
      <c r="Q621">
        <f t="shared" si="991"/>
        <v>-205629974.80217084</v>
      </c>
      <c r="R621">
        <f t="shared" si="992"/>
        <v>4010636382.4827685</v>
      </c>
      <c r="S621">
        <f t="shared" si="993"/>
        <v>40106.363824827684</v>
      </c>
      <c r="T621">
        <f t="shared" si="994"/>
        <v>40.106363824827682</v>
      </c>
    </row>
    <row r="622" spans="1:20" x14ac:dyDescent="0.25">
      <c r="A622" s="5">
        <v>43971</v>
      </c>
      <c r="B622">
        <v>5.6750000000000002E-2</v>
      </c>
      <c r="C622">
        <v>5.7599999999999998E-2</v>
      </c>
      <c r="D622">
        <v>5.382E-2</v>
      </c>
      <c r="E622">
        <v>5.6890000000000003E-2</v>
      </c>
      <c r="F622">
        <v>327189992.80000001</v>
      </c>
      <c r="G622">
        <v>0.25</v>
      </c>
      <c r="L622" t="s">
        <v>8</v>
      </c>
      <c r="M622" t="s">
        <v>8</v>
      </c>
      <c r="N622" t="s">
        <v>8</v>
      </c>
      <c r="P622">
        <f t="shared" si="990"/>
        <v>0.62433862433862664</v>
      </c>
      <c r="Q622">
        <f t="shared" si="991"/>
        <v>204277350.00211716</v>
      </c>
      <c r="R622">
        <f t="shared" si="992"/>
        <v>4216266357.2849393</v>
      </c>
      <c r="S622">
        <f t="shared" si="993"/>
        <v>42162.663572849393</v>
      </c>
      <c r="T622">
        <f t="shared" si="994"/>
        <v>42.162663572849389</v>
      </c>
    </row>
    <row r="623" spans="1:20" x14ac:dyDescent="0.25">
      <c r="A623" s="5">
        <v>43970</v>
      </c>
      <c r="B623">
        <v>5.4330000000000003E-2</v>
      </c>
      <c r="C623">
        <v>5.7000000000000002E-2</v>
      </c>
      <c r="D623">
        <v>5.2549999999999999E-2</v>
      </c>
      <c r="E623">
        <v>5.6770000000000001E-2</v>
      </c>
      <c r="F623">
        <v>294210864.5</v>
      </c>
      <c r="G623">
        <v>4.49</v>
      </c>
      <c r="L623" t="s">
        <v>8</v>
      </c>
      <c r="M623" t="s">
        <v>8</v>
      </c>
      <c r="N623" t="s">
        <v>8</v>
      </c>
      <c r="P623">
        <f t="shared" si="990"/>
        <v>0.89662921348314562</v>
      </c>
      <c r="Q623">
        <f t="shared" si="991"/>
        <v>263798056.03483132</v>
      </c>
      <c r="R623">
        <f t="shared" si="992"/>
        <v>4011989007.2828221</v>
      </c>
      <c r="S623">
        <f t="shared" si="993"/>
        <v>40119.890072828224</v>
      </c>
      <c r="T623">
        <f t="shared" si="994"/>
        <v>40.119890072828227</v>
      </c>
    </row>
    <row r="624" spans="1:20" x14ac:dyDescent="0.25">
      <c r="A624" s="5">
        <v>43969</v>
      </c>
      <c r="B624">
        <v>5.1279999999999999E-2</v>
      </c>
      <c r="C624">
        <v>5.5E-2</v>
      </c>
      <c r="D624">
        <v>5.1130000000000002E-2</v>
      </c>
      <c r="E624">
        <v>5.4339999999999999E-2</v>
      </c>
      <c r="F624">
        <v>359909268.80000001</v>
      </c>
      <c r="G624">
        <v>5.97</v>
      </c>
      <c r="L624" t="s">
        <v>8</v>
      </c>
      <c r="M624" t="s">
        <v>8</v>
      </c>
      <c r="N624" t="s">
        <v>8</v>
      </c>
      <c r="P624">
        <f t="shared" si="990"/>
        <v>0.65891472868216994</v>
      </c>
      <c r="Q624">
        <f t="shared" si="991"/>
        <v>237149518.20155019</v>
      </c>
      <c r="R624">
        <f t="shared" si="992"/>
        <v>3748190951.2479906</v>
      </c>
      <c r="S624">
        <f t="shared" si="993"/>
        <v>37481.909512479906</v>
      </c>
      <c r="T624">
        <f t="shared" si="994"/>
        <v>37.481909512479909</v>
      </c>
    </row>
    <row r="625" spans="1:20" x14ac:dyDescent="0.25">
      <c r="A625" s="5">
        <v>43968</v>
      </c>
      <c r="B625">
        <v>5.0999999999999997E-2</v>
      </c>
      <c r="C625">
        <v>5.2249999999999998E-2</v>
      </c>
      <c r="D625">
        <v>5.0889999999999998E-2</v>
      </c>
      <c r="E625">
        <v>5.1290000000000002E-2</v>
      </c>
      <c r="F625">
        <v>132874193.59999999</v>
      </c>
      <c r="G625">
        <v>0.56999999999999995</v>
      </c>
      <c r="L625" t="s">
        <v>8</v>
      </c>
      <c r="M625" t="s">
        <v>8</v>
      </c>
      <c r="N625" t="s">
        <v>8</v>
      </c>
      <c r="P625">
        <f t="shared" si="990"/>
        <v>-0.41176470588234632</v>
      </c>
      <c r="Q625">
        <f t="shared" si="991"/>
        <v>-54712903.247057937</v>
      </c>
      <c r="R625">
        <f t="shared" si="992"/>
        <v>3511041433.0464406</v>
      </c>
      <c r="S625">
        <f t="shared" si="993"/>
        <v>35110.414330464409</v>
      </c>
      <c r="T625">
        <f t="shared" si="994"/>
        <v>35.110414330464408</v>
      </c>
    </row>
    <row r="626" spans="1:20" x14ac:dyDescent="0.25">
      <c r="A626" s="5">
        <v>43967</v>
      </c>
      <c r="B626">
        <v>5.0310000000000001E-2</v>
      </c>
      <c r="C626">
        <v>5.1409999999999997E-2</v>
      </c>
      <c r="D626">
        <v>4.9889999999999997E-2</v>
      </c>
      <c r="E626">
        <v>5.0999999999999997E-2</v>
      </c>
      <c r="F626">
        <v>161901812.69999999</v>
      </c>
      <c r="G626">
        <v>1.37</v>
      </c>
      <c r="L626" t="s">
        <v>8</v>
      </c>
      <c r="M626" t="s">
        <v>8</v>
      </c>
      <c r="N626" t="s">
        <v>8</v>
      </c>
      <c r="P626">
        <f t="shared" si="990"/>
        <v>0.46052631578947301</v>
      </c>
      <c r="Q626">
        <f t="shared" si="991"/>
        <v>74560045.322368309</v>
      </c>
      <c r="R626">
        <f t="shared" si="992"/>
        <v>3565754336.2934985</v>
      </c>
      <c r="S626">
        <f t="shared" si="993"/>
        <v>35657.543362934986</v>
      </c>
      <c r="T626">
        <f t="shared" si="994"/>
        <v>35.657543362934987</v>
      </c>
    </row>
    <row r="627" spans="1:20" x14ac:dyDescent="0.25">
      <c r="A627" s="5">
        <v>43966</v>
      </c>
      <c r="B627">
        <v>5.0979999999999998E-2</v>
      </c>
      <c r="C627">
        <v>5.1970000000000002E-2</v>
      </c>
      <c r="D627">
        <v>4.9509999999999998E-2</v>
      </c>
      <c r="E627">
        <v>5.0259999999999999E-2</v>
      </c>
      <c r="F627">
        <v>254093483.59999999</v>
      </c>
      <c r="G627">
        <v>-1.41</v>
      </c>
      <c r="L627" t="s">
        <v>8</v>
      </c>
      <c r="M627" t="s">
        <v>8</v>
      </c>
      <c r="N627" t="s">
        <v>8</v>
      </c>
      <c r="P627">
        <f t="shared" si="990"/>
        <v>-0.39024390243902479</v>
      </c>
      <c r="Q627">
        <f t="shared" si="991"/>
        <v>-99158432.624390349</v>
      </c>
      <c r="R627">
        <f t="shared" si="992"/>
        <v>3491194290.9711304</v>
      </c>
      <c r="S627">
        <f t="shared" si="993"/>
        <v>34911.942909711302</v>
      </c>
      <c r="T627">
        <f t="shared" si="994"/>
        <v>34.9119429097113</v>
      </c>
    </row>
    <row r="628" spans="1:20" x14ac:dyDescent="0.25">
      <c r="A628" s="5">
        <v>43965</v>
      </c>
      <c r="B628">
        <v>5.1470000000000002E-2</v>
      </c>
      <c r="C628">
        <v>5.1999999999999998E-2</v>
      </c>
      <c r="D628">
        <v>5.0389999999999997E-2</v>
      </c>
      <c r="E628">
        <v>5.0979999999999998E-2</v>
      </c>
      <c r="F628">
        <v>275887080.30000001</v>
      </c>
      <c r="G628">
        <v>-0.95</v>
      </c>
      <c r="L628" t="s">
        <v>8</v>
      </c>
      <c r="M628" t="s">
        <v>8</v>
      </c>
      <c r="N628" t="s">
        <v>8</v>
      </c>
      <c r="P628">
        <f t="shared" si="990"/>
        <v>-0.26708074534161474</v>
      </c>
      <c r="Q628">
        <f t="shared" si="991"/>
        <v>-73684127.036645919</v>
      </c>
      <c r="R628">
        <f t="shared" si="992"/>
        <v>3590352723.5955205</v>
      </c>
      <c r="S628">
        <f t="shared" si="993"/>
        <v>35903.527235955204</v>
      </c>
      <c r="T628">
        <f t="shared" si="994"/>
        <v>35.903527235955202</v>
      </c>
    </row>
    <row r="629" spans="1:20" x14ac:dyDescent="0.25">
      <c r="A629" s="5">
        <v>43964</v>
      </c>
      <c r="B629">
        <v>5.0430000000000003E-2</v>
      </c>
      <c r="C629">
        <v>5.2269999999999997E-2</v>
      </c>
      <c r="D629">
        <v>4.9599999999999998E-2</v>
      </c>
      <c r="E629">
        <v>5.1470000000000002E-2</v>
      </c>
      <c r="F629">
        <v>277659878.39999998</v>
      </c>
      <c r="G629">
        <v>2.06</v>
      </c>
      <c r="L629" t="s">
        <v>8</v>
      </c>
      <c r="M629" t="s">
        <v>8</v>
      </c>
      <c r="N629" t="s">
        <v>8</v>
      </c>
      <c r="P629">
        <f t="shared" si="990"/>
        <v>0.40074906367041535</v>
      </c>
      <c r="Q629">
        <f t="shared" si="991"/>
        <v>111271936.28764138</v>
      </c>
      <c r="R629">
        <f t="shared" si="992"/>
        <v>3664036850.6321664</v>
      </c>
      <c r="S629">
        <f t="shared" si="993"/>
        <v>36640.368506321662</v>
      </c>
      <c r="T629">
        <f t="shared" si="994"/>
        <v>36.640368506321664</v>
      </c>
    </row>
    <row r="630" spans="1:20" x14ac:dyDescent="0.25">
      <c r="A630" s="5">
        <v>43963</v>
      </c>
      <c r="B630">
        <v>4.7780000000000003E-2</v>
      </c>
      <c r="C630">
        <v>5.1180000000000003E-2</v>
      </c>
      <c r="D630">
        <v>4.7719999999999999E-2</v>
      </c>
      <c r="E630">
        <v>5.0430000000000003E-2</v>
      </c>
      <c r="F630">
        <v>371485429</v>
      </c>
      <c r="G630">
        <v>5.55</v>
      </c>
      <c r="L630" t="s">
        <v>8</v>
      </c>
      <c r="M630" t="s">
        <v>8</v>
      </c>
      <c r="N630" t="s">
        <v>8</v>
      </c>
      <c r="P630">
        <f t="shared" si="990"/>
        <v>0.56647398843930652</v>
      </c>
      <c r="Q630">
        <f t="shared" si="991"/>
        <v>210436832.61271682</v>
      </c>
      <c r="R630">
        <f t="shared" si="992"/>
        <v>3552764914.3445249</v>
      </c>
      <c r="S630">
        <f t="shared" si="993"/>
        <v>35527.649143445247</v>
      </c>
      <c r="T630">
        <f t="shared" si="994"/>
        <v>35.527649143445245</v>
      </c>
    </row>
    <row r="631" spans="1:20" x14ac:dyDescent="0.25">
      <c r="A631" s="5">
        <v>43962</v>
      </c>
      <c r="B631">
        <v>4.7579999999999997E-2</v>
      </c>
      <c r="C631">
        <v>0.05</v>
      </c>
      <c r="D631">
        <v>4.4850000000000001E-2</v>
      </c>
      <c r="E631">
        <v>4.7789999999999999E-2</v>
      </c>
      <c r="F631">
        <v>535212969</v>
      </c>
      <c r="G631">
        <v>0.44</v>
      </c>
      <c r="L631" t="s">
        <v>8</v>
      </c>
      <c r="M631" t="s">
        <v>7</v>
      </c>
      <c r="N631" t="s">
        <v>8</v>
      </c>
      <c r="P631">
        <f t="shared" si="990"/>
        <v>0.14174757281553288</v>
      </c>
      <c r="Q631">
        <f t="shared" si="991"/>
        <v>75865139.295145035</v>
      </c>
      <c r="R631">
        <f t="shared" si="992"/>
        <v>3342328081.7318082</v>
      </c>
      <c r="S631">
        <f t="shared" si="993"/>
        <v>33423.280817318082</v>
      </c>
      <c r="T631">
        <f t="shared" si="994"/>
        <v>33.42328081731808</v>
      </c>
    </row>
    <row r="632" spans="1:20" x14ac:dyDescent="0.25">
      <c r="A632" s="5">
        <v>43961</v>
      </c>
      <c r="B632">
        <v>5.1450000000000003E-2</v>
      </c>
      <c r="C632">
        <v>5.1560000000000002E-2</v>
      </c>
      <c r="D632">
        <v>4.2500000000000003E-2</v>
      </c>
      <c r="E632">
        <v>4.7550000000000002E-2</v>
      </c>
      <c r="F632">
        <v>632824777.89999998</v>
      </c>
      <c r="G632">
        <v>-7.58</v>
      </c>
      <c r="L632" t="s">
        <v>7</v>
      </c>
      <c r="M632" t="s">
        <v>7</v>
      </c>
      <c r="N632" t="s">
        <v>8</v>
      </c>
      <c r="P632">
        <f t="shared" si="990"/>
        <v>0.11479028697571737</v>
      </c>
      <c r="Q632">
        <f t="shared" si="991"/>
        <v>72642137.860485613</v>
      </c>
      <c r="R632">
        <f t="shared" si="992"/>
        <v>3266462942.4366632</v>
      </c>
      <c r="S632">
        <f t="shared" si="993"/>
        <v>32664.629424366631</v>
      </c>
      <c r="T632">
        <f t="shared" si="994"/>
        <v>32.66462942436663</v>
      </c>
    </row>
    <row r="633" spans="1:20" x14ac:dyDescent="0.25">
      <c r="A633" s="5">
        <v>43960</v>
      </c>
      <c r="B633">
        <v>5.2010000000000001E-2</v>
      </c>
      <c r="C633">
        <v>5.3080000000000002E-2</v>
      </c>
      <c r="D633">
        <v>5.1209999999999999E-2</v>
      </c>
      <c r="E633">
        <v>5.1450000000000003E-2</v>
      </c>
      <c r="F633">
        <v>229723152.59999999</v>
      </c>
      <c r="G633">
        <v>-1.08</v>
      </c>
      <c r="L633" t="s">
        <v>8</v>
      </c>
      <c r="M633" t="s">
        <v>8</v>
      </c>
      <c r="N633" t="s">
        <v>8</v>
      </c>
      <c r="P633">
        <f t="shared" si="990"/>
        <v>-0.74331550802138646</v>
      </c>
      <c r="Q633">
        <f t="shared" si="991"/>
        <v>-170756781.87914348</v>
      </c>
      <c r="R633">
        <f t="shared" si="992"/>
        <v>3193820804.5761776</v>
      </c>
      <c r="S633">
        <f t="shared" si="993"/>
        <v>31938.208045761778</v>
      </c>
      <c r="T633">
        <f t="shared" si="994"/>
        <v>31.938208045761776</v>
      </c>
    </row>
    <row r="634" spans="1:20" x14ac:dyDescent="0.25">
      <c r="A634" s="5">
        <v>43959</v>
      </c>
      <c r="B634">
        <v>5.1209999999999999E-2</v>
      </c>
      <c r="C634">
        <v>5.3760000000000002E-2</v>
      </c>
      <c r="D634">
        <v>5.0880000000000002E-2</v>
      </c>
      <c r="E634">
        <v>5.2010000000000001E-2</v>
      </c>
      <c r="F634">
        <v>338982968.30000001</v>
      </c>
      <c r="G634">
        <v>1.56</v>
      </c>
      <c r="L634" t="s">
        <v>8</v>
      </c>
      <c r="M634" t="s">
        <v>8</v>
      </c>
      <c r="N634" t="s">
        <v>8</v>
      </c>
      <c r="P634">
        <f t="shared" si="990"/>
        <v>-0.2152777777777786</v>
      </c>
      <c r="Q634">
        <f t="shared" si="991"/>
        <v>-72975500.120139167</v>
      </c>
      <c r="R634">
        <f t="shared" si="992"/>
        <v>3364577586.4553213</v>
      </c>
      <c r="S634">
        <f t="shared" si="993"/>
        <v>33645.775864553216</v>
      </c>
      <c r="T634">
        <f t="shared" si="994"/>
        <v>33.645775864553215</v>
      </c>
    </row>
    <row r="635" spans="1:20" x14ac:dyDescent="0.25">
      <c r="A635" s="5">
        <v>43958</v>
      </c>
      <c r="B635">
        <v>4.8899999999999999E-2</v>
      </c>
      <c r="C635">
        <v>5.1580000000000001E-2</v>
      </c>
      <c r="D635">
        <v>4.8259999999999997E-2</v>
      </c>
      <c r="E635">
        <v>5.1229999999999998E-2</v>
      </c>
      <c r="F635">
        <v>301296887.80000001</v>
      </c>
      <c r="G635">
        <v>4.76</v>
      </c>
      <c r="L635" t="s">
        <v>8</v>
      </c>
      <c r="M635" t="s">
        <v>7</v>
      </c>
      <c r="N635" t="s">
        <v>8</v>
      </c>
      <c r="P635">
        <f t="shared" si="990"/>
        <v>0.78915662650602247</v>
      </c>
      <c r="Q635">
        <f t="shared" si="991"/>
        <v>237770435.55301157</v>
      </c>
      <c r="R635">
        <f t="shared" si="992"/>
        <v>3437553086.5754604</v>
      </c>
      <c r="S635">
        <f t="shared" si="993"/>
        <v>34375.530865754605</v>
      </c>
      <c r="T635">
        <f t="shared" si="994"/>
        <v>34.375530865754605</v>
      </c>
    </row>
    <row r="636" spans="1:20" x14ac:dyDescent="0.25">
      <c r="A636" s="5">
        <v>43957</v>
      </c>
      <c r="B636">
        <v>4.9489999999999999E-2</v>
      </c>
      <c r="C636">
        <v>5.1189999999999999E-2</v>
      </c>
      <c r="D636">
        <v>4.863E-2</v>
      </c>
      <c r="E636">
        <v>4.8890000000000003E-2</v>
      </c>
      <c r="F636">
        <v>263316401.30000001</v>
      </c>
      <c r="G636">
        <v>-1.21</v>
      </c>
      <c r="L636" t="s">
        <v>8</v>
      </c>
      <c r="M636" t="s">
        <v>7</v>
      </c>
      <c r="N636" t="s">
        <v>8</v>
      </c>
      <c r="P636">
        <f t="shared" si="990"/>
        <v>-0.79687499999999745</v>
      </c>
      <c r="Q636">
        <f t="shared" si="991"/>
        <v>-209830257.28593683</v>
      </c>
      <c r="R636">
        <f t="shared" si="992"/>
        <v>3199782651.022449</v>
      </c>
      <c r="S636">
        <f t="shared" si="993"/>
        <v>31997.826510224491</v>
      </c>
      <c r="T636">
        <f t="shared" si="994"/>
        <v>31.997826510224492</v>
      </c>
    </row>
    <row r="637" spans="1:20" x14ac:dyDescent="0.25">
      <c r="A637" s="5">
        <v>43956</v>
      </c>
      <c r="B637">
        <v>4.9430000000000002E-2</v>
      </c>
      <c r="C637">
        <v>5.0599999999999999E-2</v>
      </c>
      <c r="D637">
        <v>4.8669999999999998E-2</v>
      </c>
      <c r="E637">
        <v>4.9450000000000001E-2</v>
      </c>
      <c r="F637">
        <v>277355071.69999999</v>
      </c>
      <c r="G637">
        <v>0.04</v>
      </c>
      <c r="L637" t="s">
        <v>8</v>
      </c>
      <c r="M637" t="s">
        <v>7</v>
      </c>
      <c r="N637" t="s">
        <v>8</v>
      </c>
      <c r="P637">
        <f t="shared" si="990"/>
        <v>-0.19170984455958295</v>
      </c>
      <c r="Q637">
        <f t="shared" si="991"/>
        <v>-53171697.683418982</v>
      </c>
      <c r="R637">
        <f t="shared" si="992"/>
        <v>3409612908.3083858</v>
      </c>
      <c r="S637">
        <f t="shared" si="993"/>
        <v>34096.129083083855</v>
      </c>
      <c r="T637">
        <f t="shared" si="994"/>
        <v>34.096129083083852</v>
      </c>
    </row>
    <row r="638" spans="1:20" x14ac:dyDescent="0.25">
      <c r="A638" s="5">
        <v>43955</v>
      </c>
      <c r="B638">
        <v>4.897E-2</v>
      </c>
      <c r="C638">
        <v>5.0270000000000002E-2</v>
      </c>
      <c r="D638">
        <v>4.6120000000000001E-2</v>
      </c>
      <c r="E638">
        <v>4.9419999999999999E-2</v>
      </c>
      <c r="F638">
        <v>485261752.5</v>
      </c>
      <c r="G638">
        <v>0.92</v>
      </c>
      <c r="L638" t="s">
        <v>7</v>
      </c>
      <c r="M638" t="s">
        <v>7</v>
      </c>
      <c r="N638" t="s">
        <v>8</v>
      </c>
      <c r="P638">
        <f t="shared" si="990"/>
        <v>0.59036144578313088</v>
      </c>
      <c r="Q638">
        <f t="shared" si="991"/>
        <v>286479829.78915584</v>
      </c>
      <c r="R638">
        <f t="shared" si="992"/>
        <v>3462784605.9918046</v>
      </c>
      <c r="S638">
        <f t="shared" si="993"/>
        <v>34627.846059918047</v>
      </c>
      <c r="T638">
        <f t="shared" si="994"/>
        <v>34.627846059918049</v>
      </c>
    </row>
    <row r="639" spans="1:20" x14ac:dyDescent="0.25">
      <c r="A639" s="5">
        <v>43954</v>
      </c>
      <c r="B639">
        <v>5.0950000000000002E-2</v>
      </c>
      <c r="C639">
        <v>5.169E-2</v>
      </c>
      <c r="D639">
        <v>4.7539999999999999E-2</v>
      </c>
      <c r="E639">
        <v>4.8980000000000003E-2</v>
      </c>
      <c r="F639">
        <v>302715186.39999998</v>
      </c>
      <c r="G639">
        <v>-3.87</v>
      </c>
      <c r="L639" t="s">
        <v>7</v>
      </c>
      <c r="M639" t="s">
        <v>8</v>
      </c>
      <c r="N639" t="s">
        <v>8</v>
      </c>
      <c r="P639">
        <f t="shared" si="990"/>
        <v>-0.30602409638554051</v>
      </c>
      <c r="Q639">
        <f t="shared" si="991"/>
        <v>-92638141.380240455</v>
      </c>
      <c r="R639">
        <f t="shared" si="992"/>
        <v>3176304776.2026486</v>
      </c>
      <c r="S639">
        <f t="shared" si="993"/>
        <v>31763.047762026486</v>
      </c>
      <c r="T639">
        <f t="shared" si="994"/>
        <v>31.763047762026485</v>
      </c>
    </row>
    <row r="640" spans="1:20" x14ac:dyDescent="0.25">
      <c r="A640" s="5">
        <v>43953</v>
      </c>
      <c r="B640">
        <v>5.092E-2</v>
      </c>
      <c r="C640">
        <v>5.1470000000000002E-2</v>
      </c>
      <c r="D640">
        <v>4.9410000000000003E-2</v>
      </c>
      <c r="E640">
        <v>5.0900000000000001E-2</v>
      </c>
      <c r="F640">
        <v>241926532.40000001</v>
      </c>
      <c r="G640">
        <v>-0.04</v>
      </c>
      <c r="L640" t="s">
        <v>8</v>
      </c>
      <c r="M640" t="s">
        <v>8</v>
      </c>
      <c r="N640" t="s">
        <v>8</v>
      </c>
      <c r="P640">
        <f t="shared" si="990"/>
        <v>0.44660194174757162</v>
      </c>
      <c r="Q640">
        <f t="shared" si="991"/>
        <v>108044859.13009679</v>
      </c>
      <c r="R640">
        <f t="shared" si="992"/>
        <v>3268942917.5828891</v>
      </c>
      <c r="S640">
        <f t="shared" si="993"/>
        <v>32689.429175828889</v>
      </c>
      <c r="T640">
        <f t="shared" si="994"/>
        <v>32.689429175828892</v>
      </c>
    </row>
    <row r="641" spans="1:20" x14ac:dyDescent="0.25">
      <c r="A641" s="5">
        <v>43952</v>
      </c>
      <c r="B641">
        <v>4.7509999999999997E-2</v>
      </c>
      <c r="C641">
        <v>5.1869999999999999E-2</v>
      </c>
      <c r="D641">
        <v>4.7440000000000003E-2</v>
      </c>
      <c r="E641">
        <v>5.0909999999999997E-2</v>
      </c>
      <c r="F641">
        <v>348040876.5</v>
      </c>
      <c r="G641">
        <v>7.16</v>
      </c>
      <c r="L641" t="s">
        <v>7</v>
      </c>
      <c r="M641" t="s">
        <v>8</v>
      </c>
      <c r="N641" t="s">
        <v>8</v>
      </c>
      <c r="P641">
        <f t="shared" si="990"/>
        <v>0.56659142212189473</v>
      </c>
      <c r="Q641">
        <f t="shared" si="991"/>
        <v>197196975.17268574</v>
      </c>
      <c r="R641">
        <f t="shared" si="992"/>
        <v>3160898058.4527922</v>
      </c>
      <c r="S641">
        <f t="shared" si="993"/>
        <v>31608.980584527922</v>
      </c>
      <c r="T641">
        <f t="shared" si="994"/>
        <v>31.608980584527924</v>
      </c>
    </row>
    <row r="642" spans="1:20" x14ac:dyDescent="0.25">
      <c r="A642" s="5">
        <v>43951</v>
      </c>
      <c r="B642">
        <v>5.1479999999999998E-2</v>
      </c>
      <c r="C642">
        <v>5.4390000000000001E-2</v>
      </c>
      <c r="D642">
        <v>4.7010000000000003E-2</v>
      </c>
      <c r="E642">
        <v>4.752E-2</v>
      </c>
      <c r="F642">
        <v>776031320.10000002</v>
      </c>
      <c r="G642">
        <v>-7.69</v>
      </c>
      <c r="L642" t="s">
        <v>8</v>
      </c>
      <c r="M642" t="s">
        <v>8</v>
      </c>
      <c r="N642" t="s">
        <v>8</v>
      </c>
      <c r="P642">
        <f t="shared" si="990"/>
        <v>-0.86178861788617978</v>
      </c>
      <c r="Q642">
        <f t="shared" si="991"/>
        <v>-668774958.78536654</v>
      </c>
      <c r="R642">
        <f t="shared" si="992"/>
        <v>2963701083.2801065</v>
      </c>
      <c r="S642">
        <f t="shared" si="993"/>
        <v>29637.010832801065</v>
      </c>
      <c r="T642">
        <f t="shared" si="994"/>
        <v>29.637010832801064</v>
      </c>
    </row>
    <row r="643" spans="1:20" x14ac:dyDescent="0.25">
      <c r="A643" s="5">
        <v>43950</v>
      </c>
      <c r="B643">
        <v>4.6789999999999998E-2</v>
      </c>
      <c r="C643">
        <v>5.1999999999999998E-2</v>
      </c>
      <c r="D643">
        <v>4.6780000000000002E-2</v>
      </c>
      <c r="E643">
        <v>5.1459999999999999E-2</v>
      </c>
      <c r="F643">
        <v>514603520</v>
      </c>
      <c r="G643">
        <v>9.98</v>
      </c>
      <c r="L643" t="s">
        <v>8</v>
      </c>
      <c r="M643" t="s">
        <v>8</v>
      </c>
      <c r="N643" t="s">
        <v>8</v>
      </c>
      <c r="P643">
        <f t="shared" si="990"/>
        <v>0.79310344827586232</v>
      </c>
      <c r="Q643">
        <f t="shared" si="991"/>
        <v>408133826.20689666</v>
      </c>
      <c r="R643">
        <f t="shared" si="992"/>
        <v>3632476042.0654731</v>
      </c>
      <c r="S643">
        <f t="shared" si="993"/>
        <v>36324.760420654733</v>
      </c>
      <c r="T643">
        <f t="shared" si="994"/>
        <v>36.324760420654734</v>
      </c>
    </row>
    <row r="644" spans="1:20" x14ac:dyDescent="0.25">
      <c r="A644" s="5">
        <v>43949</v>
      </c>
      <c r="B644">
        <v>4.6460000000000001E-2</v>
      </c>
      <c r="C644">
        <v>4.8099999999999997E-2</v>
      </c>
      <c r="D644">
        <v>4.5949999999999998E-2</v>
      </c>
      <c r="E644">
        <v>4.6789999999999998E-2</v>
      </c>
      <c r="F644">
        <v>323250547.89999998</v>
      </c>
      <c r="G644">
        <v>0.71</v>
      </c>
      <c r="L644" t="s">
        <v>8</v>
      </c>
      <c r="M644" t="s">
        <v>8</v>
      </c>
      <c r="N644" t="s">
        <v>8</v>
      </c>
      <c r="P644">
        <f t="shared" si="990"/>
        <v>-0.21860465116278996</v>
      </c>
      <c r="Q644">
        <f t="shared" si="991"/>
        <v>-70664073.261860222</v>
      </c>
      <c r="R644">
        <f t="shared" si="992"/>
        <v>3224342215.8585763</v>
      </c>
      <c r="S644">
        <f t="shared" si="993"/>
        <v>32243.422158585763</v>
      </c>
      <c r="T644">
        <f t="shared" si="994"/>
        <v>32.243422158585766</v>
      </c>
    </row>
    <row r="645" spans="1:20" x14ac:dyDescent="0.25">
      <c r="A645" s="5">
        <v>43948</v>
      </c>
      <c r="B645">
        <v>4.5940000000000002E-2</v>
      </c>
      <c r="C645">
        <v>4.7649999999999998E-2</v>
      </c>
      <c r="D645">
        <v>4.4150000000000002E-2</v>
      </c>
      <c r="E645">
        <v>4.648E-2</v>
      </c>
      <c r="F645">
        <v>477381231.69999999</v>
      </c>
      <c r="G645">
        <v>1.18</v>
      </c>
      <c r="L645" t="s">
        <v>8</v>
      </c>
      <c r="M645" t="s">
        <v>8</v>
      </c>
      <c r="N645" t="s">
        <v>8</v>
      </c>
      <c r="P645">
        <f t="shared" si="990"/>
        <v>0.33142857142857218</v>
      </c>
      <c r="Q645">
        <f t="shared" si="991"/>
        <v>158217779.64914322</v>
      </c>
      <c r="R645">
        <f t="shared" si="992"/>
        <v>3295006289.1204367</v>
      </c>
      <c r="S645">
        <f t="shared" si="993"/>
        <v>32950.062891204368</v>
      </c>
      <c r="T645">
        <f t="shared" si="994"/>
        <v>32.950062891204368</v>
      </c>
    </row>
    <row r="646" spans="1:20" x14ac:dyDescent="0.25">
      <c r="A646" s="5">
        <v>43947</v>
      </c>
      <c r="B646">
        <v>4.2220000000000001E-2</v>
      </c>
      <c r="C646">
        <v>4.616E-2</v>
      </c>
      <c r="D646">
        <v>4.1849999999999998E-2</v>
      </c>
      <c r="E646">
        <v>4.5929999999999999E-2</v>
      </c>
      <c r="F646">
        <v>409361864.30000001</v>
      </c>
      <c r="G646">
        <v>8.7899999999999991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0.89327146171693694</v>
      </c>
      <c r="Q646">
        <f t="shared" ref="Q646:Q709" si="996">F646*P646</f>
        <v>365671270.89443141</v>
      </c>
      <c r="R646">
        <f t="shared" ref="R646:R709" si="997">R647+Q646</f>
        <v>3136788509.4712934</v>
      </c>
      <c r="S646">
        <f t="shared" ref="S646:S709" si="998">R646/100000</f>
        <v>31367.885094712936</v>
      </c>
      <c r="T646">
        <f t="shared" ref="T646:T709" si="999">S646/1000</f>
        <v>31.367885094712936</v>
      </c>
    </row>
    <row r="647" spans="1:20" x14ac:dyDescent="0.25">
      <c r="A647" s="5">
        <v>43946</v>
      </c>
      <c r="B647">
        <v>4.165E-2</v>
      </c>
      <c r="C647">
        <v>4.3580000000000001E-2</v>
      </c>
      <c r="D647">
        <v>4.1020000000000001E-2</v>
      </c>
      <c r="E647">
        <v>4.2220000000000001E-2</v>
      </c>
      <c r="F647">
        <v>205580959</v>
      </c>
      <c r="G647">
        <v>1.37</v>
      </c>
      <c r="L647" t="s">
        <v>7</v>
      </c>
      <c r="M647" t="s">
        <v>8</v>
      </c>
      <c r="N647" t="s">
        <v>8</v>
      </c>
      <c r="P647">
        <f t="shared" si="995"/>
        <v>-6.2500000000000167E-2</v>
      </c>
      <c r="Q647">
        <f t="shared" si="996"/>
        <v>-12848809.937500034</v>
      </c>
      <c r="R647">
        <f t="shared" si="997"/>
        <v>2771117238.5768619</v>
      </c>
      <c r="S647">
        <f t="shared" si="998"/>
        <v>27711.172385768619</v>
      </c>
      <c r="T647">
        <f t="shared" si="999"/>
        <v>27.71117238576862</v>
      </c>
    </row>
    <row r="648" spans="1:20" x14ac:dyDescent="0.25">
      <c r="A648" s="5">
        <v>43945</v>
      </c>
      <c r="B648">
        <v>4.086E-2</v>
      </c>
      <c r="C648">
        <v>4.4729999999999999E-2</v>
      </c>
      <c r="D648">
        <v>4.0840000000000001E-2</v>
      </c>
      <c r="E648">
        <v>4.165E-2</v>
      </c>
      <c r="F648">
        <v>503750365</v>
      </c>
      <c r="G648">
        <v>1.93</v>
      </c>
      <c r="L648" t="s">
        <v>8</v>
      </c>
      <c r="M648" t="s">
        <v>8</v>
      </c>
      <c r="N648" t="s">
        <v>8</v>
      </c>
      <c r="P648">
        <f t="shared" si="995"/>
        <v>-0.58354755784061763</v>
      </c>
      <c r="Q648">
        <f t="shared" si="996"/>
        <v>-293962295.25706977</v>
      </c>
      <c r="R648">
        <f t="shared" si="997"/>
        <v>2783966048.5143619</v>
      </c>
      <c r="S648">
        <f t="shared" si="998"/>
        <v>27839.660485143617</v>
      </c>
      <c r="T648">
        <f t="shared" si="999"/>
        <v>27.839660485143618</v>
      </c>
    </row>
    <row r="649" spans="1:20" x14ac:dyDescent="0.25">
      <c r="A649" s="5">
        <v>43944</v>
      </c>
      <c r="B649">
        <v>3.6630000000000003E-2</v>
      </c>
      <c r="C649">
        <v>4.2569999999999997E-2</v>
      </c>
      <c r="D649">
        <v>3.644E-2</v>
      </c>
      <c r="E649">
        <v>4.088E-2</v>
      </c>
      <c r="F649">
        <v>531657372.69999999</v>
      </c>
      <c r="G649">
        <v>11.6</v>
      </c>
      <c r="L649" t="s">
        <v>8</v>
      </c>
      <c r="M649" t="s">
        <v>8</v>
      </c>
      <c r="N649" t="s">
        <v>8</v>
      </c>
      <c r="P649">
        <f t="shared" si="995"/>
        <v>0.44861337683523717</v>
      </c>
      <c r="Q649">
        <f t="shared" si="996"/>
        <v>238508609.28629723</v>
      </c>
      <c r="R649">
        <f t="shared" si="997"/>
        <v>3077928343.7714314</v>
      </c>
      <c r="S649">
        <f t="shared" si="998"/>
        <v>30779.283437714315</v>
      </c>
      <c r="T649">
        <f t="shared" si="999"/>
        <v>30.779283437714316</v>
      </c>
    </row>
    <row r="650" spans="1:20" x14ac:dyDescent="0.25">
      <c r="A650" s="5">
        <v>43943</v>
      </c>
      <c r="B650">
        <v>3.4509999999999999E-2</v>
      </c>
      <c r="C650">
        <v>3.6679999999999997E-2</v>
      </c>
      <c r="D650">
        <v>3.4360000000000002E-2</v>
      </c>
      <c r="E650">
        <v>3.6639999999999999E-2</v>
      </c>
      <c r="F650">
        <v>130950861.40000001</v>
      </c>
      <c r="G650">
        <v>6.17</v>
      </c>
      <c r="L650" t="s">
        <v>8</v>
      </c>
      <c r="M650" t="s">
        <v>8</v>
      </c>
      <c r="N650" t="s">
        <v>8</v>
      </c>
      <c r="P650">
        <f t="shared" si="995"/>
        <v>0.96551724137931172</v>
      </c>
      <c r="Q650">
        <f t="shared" si="996"/>
        <v>126435314.4551726</v>
      </c>
      <c r="R650">
        <f t="shared" si="997"/>
        <v>2839419734.4851341</v>
      </c>
      <c r="S650">
        <f t="shared" si="998"/>
        <v>28394.197344851342</v>
      </c>
      <c r="T650">
        <f t="shared" si="999"/>
        <v>28.394197344851342</v>
      </c>
    </row>
    <row r="651" spans="1:20" x14ac:dyDescent="0.25">
      <c r="A651" s="5">
        <v>43942</v>
      </c>
      <c r="B651">
        <v>3.39E-2</v>
      </c>
      <c r="C651">
        <v>3.5000000000000003E-2</v>
      </c>
      <c r="D651">
        <v>3.3700000000000001E-2</v>
      </c>
      <c r="E651">
        <v>3.4540000000000001E-2</v>
      </c>
      <c r="F651">
        <v>167833883.30000001</v>
      </c>
      <c r="G651">
        <v>1.89</v>
      </c>
      <c r="L651" t="s">
        <v>7</v>
      </c>
      <c r="M651" t="s">
        <v>8</v>
      </c>
      <c r="N651" t="s">
        <v>8</v>
      </c>
      <c r="P651">
        <f t="shared" si="995"/>
        <v>0.29230769230769049</v>
      </c>
      <c r="Q651">
        <f t="shared" si="996"/>
        <v>49059135.118461236</v>
      </c>
      <c r="R651">
        <f t="shared" si="997"/>
        <v>2712984420.0299616</v>
      </c>
      <c r="S651">
        <f t="shared" si="998"/>
        <v>27129.844200299616</v>
      </c>
      <c r="T651">
        <f t="shared" si="999"/>
        <v>27.129844200299615</v>
      </c>
    </row>
    <row r="652" spans="1:20" x14ac:dyDescent="0.25">
      <c r="A652" s="5">
        <v>43941</v>
      </c>
      <c r="B652">
        <v>3.5490000000000001E-2</v>
      </c>
      <c r="C652">
        <v>3.6600000000000001E-2</v>
      </c>
      <c r="D652">
        <v>3.3820000000000003E-2</v>
      </c>
      <c r="E652">
        <v>3.3910000000000003E-2</v>
      </c>
      <c r="F652">
        <v>276214656</v>
      </c>
      <c r="G652">
        <v>-4.45</v>
      </c>
      <c r="L652" t="s">
        <v>7</v>
      </c>
      <c r="M652" t="s">
        <v>8</v>
      </c>
      <c r="N652" t="s">
        <v>8</v>
      </c>
      <c r="P652">
        <f t="shared" si="995"/>
        <v>-0.93525179856115115</v>
      </c>
      <c r="Q652">
        <f t="shared" si="996"/>
        <v>-258330253.81294966</v>
      </c>
      <c r="R652">
        <f t="shared" si="997"/>
        <v>2663925284.9115005</v>
      </c>
      <c r="S652">
        <f t="shared" si="998"/>
        <v>26639.252849115004</v>
      </c>
      <c r="T652">
        <f t="shared" si="999"/>
        <v>26.639252849115003</v>
      </c>
    </row>
    <row r="653" spans="1:20" x14ac:dyDescent="0.25">
      <c r="A653" s="5">
        <v>43940</v>
      </c>
      <c r="B653">
        <v>3.6569999999999998E-2</v>
      </c>
      <c r="C653">
        <v>3.6749999999999998E-2</v>
      </c>
      <c r="D653">
        <v>3.5060000000000001E-2</v>
      </c>
      <c r="E653">
        <v>3.5490000000000001E-2</v>
      </c>
      <c r="F653">
        <v>207612256.69999999</v>
      </c>
      <c r="G653">
        <v>-2.95</v>
      </c>
      <c r="L653" t="s">
        <v>8</v>
      </c>
      <c r="M653" t="s">
        <v>8</v>
      </c>
      <c r="N653" t="s">
        <v>8</v>
      </c>
      <c r="P653">
        <f t="shared" si="995"/>
        <v>-0.49112426035502893</v>
      </c>
      <c r="Q653">
        <f t="shared" si="996"/>
        <v>-101963416.0124259</v>
      </c>
      <c r="R653">
        <f t="shared" si="997"/>
        <v>2922255538.7244501</v>
      </c>
      <c r="S653">
        <f t="shared" si="998"/>
        <v>29222.555387244502</v>
      </c>
      <c r="T653">
        <f t="shared" si="999"/>
        <v>29.222555387244501</v>
      </c>
    </row>
    <row r="654" spans="1:20" x14ac:dyDescent="0.25">
      <c r="A654" s="5">
        <v>43939</v>
      </c>
      <c r="B654">
        <v>3.4320000000000003E-2</v>
      </c>
      <c r="C654">
        <v>3.6999999999999998E-2</v>
      </c>
      <c r="D654">
        <v>3.431E-2</v>
      </c>
      <c r="E654">
        <v>3.6540000000000003E-2</v>
      </c>
      <c r="F654">
        <v>171038904.30000001</v>
      </c>
      <c r="G654">
        <v>6.47</v>
      </c>
      <c r="L654" t="s">
        <v>8</v>
      </c>
      <c r="M654" t="s">
        <v>8</v>
      </c>
      <c r="N654" t="s">
        <v>8</v>
      </c>
      <c r="P654">
        <f t="shared" si="995"/>
        <v>0.65799256505576542</v>
      </c>
      <c r="Q654">
        <f t="shared" si="996"/>
        <v>112542327.3646846</v>
      </c>
      <c r="R654">
        <f t="shared" si="997"/>
        <v>3024218954.736876</v>
      </c>
      <c r="S654">
        <f t="shared" si="998"/>
        <v>30242.189547368762</v>
      </c>
      <c r="T654">
        <f t="shared" si="999"/>
        <v>30.242189547368763</v>
      </c>
    </row>
    <row r="655" spans="1:20" x14ac:dyDescent="0.25">
      <c r="A655" s="5">
        <v>43938</v>
      </c>
      <c r="B655">
        <v>3.4450000000000001E-2</v>
      </c>
      <c r="C655">
        <v>3.4939999999999999E-2</v>
      </c>
      <c r="D655">
        <v>3.4029999999999998E-2</v>
      </c>
      <c r="E655">
        <v>3.4320000000000003E-2</v>
      </c>
      <c r="F655">
        <v>127554039.59999999</v>
      </c>
      <c r="G655">
        <v>-0.38</v>
      </c>
      <c r="L655" t="s">
        <v>8</v>
      </c>
      <c r="M655" t="s">
        <v>7</v>
      </c>
      <c r="N655" t="s">
        <v>8</v>
      </c>
      <c r="P655">
        <f t="shared" si="995"/>
        <v>-0.36263736263735125</v>
      </c>
      <c r="Q655">
        <f t="shared" si="996"/>
        <v>-46255860.514284261</v>
      </c>
      <c r="R655">
        <f t="shared" si="997"/>
        <v>2911676627.3721914</v>
      </c>
      <c r="S655">
        <f t="shared" si="998"/>
        <v>29116.766273721914</v>
      </c>
      <c r="T655">
        <f t="shared" si="999"/>
        <v>29.116766273721915</v>
      </c>
    </row>
    <row r="656" spans="1:20" x14ac:dyDescent="0.25">
      <c r="A656" s="5">
        <v>43937</v>
      </c>
      <c r="B656">
        <v>3.184E-2</v>
      </c>
      <c r="C656">
        <v>3.5000000000000003E-2</v>
      </c>
      <c r="D656">
        <v>3.0890000000000001E-2</v>
      </c>
      <c r="E656">
        <v>3.4459999999999998E-2</v>
      </c>
      <c r="F656">
        <v>322667204.89999998</v>
      </c>
      <c r="G656">
        <v>8.23</v>
      </c>
      <c r="L656" t="s">
        <v>7</v>
      </c>
      <c r="M656" t="s">
        <v>7</v>
      </c>
      <c r="N656" t="s">
        <v>8</v>
      </c>
      <c r="P656">
        <f t="shared" si="995"/>
        <v>0.7372262773722601</v>
      </c>
      <c r="Q656">
        <f t="shared" si="996"/>
        <v>237878742.29853925</v>
      </c>
      <c r="R656">
        <f t="shared" si="997"/>
        <v>2957932487.8864756</v>
      </c>
      <c r="S656">
        <f t="shared" si="998"/>
        <v>29579.324878864754</v>
      </c>
      <c r="T656">
        <f t="shared" si="999"/>
        <v>29.579324878864753</v>
      </c>
    </row>
    <row r="657" spans="1:20" x14ac:dyDescent="0.25">
      <c r="A657" s="5">
        <v>43936</v>
      </c>
      <c r="B657">
        <v>3.3110000000000001E-2</v>
      </c>
      <c r="C657">
        <v>3.3700000000000001E-2</v>
      </c>
      <c r="D657">
        <v>3.177E-2</v>
      </c>
      <c r="E657">
        <v>3.1850000000000003E-2</v>
      </c>
      <c r="F657">
        <v>132455165.59999999</v>
      </c>
      <c r="G657">
        <v>-3.81</v>
      </c>
      <c r="L657" t="s">
        <v>7</v>
      </c>
      <c r="M657" t="s">
        <v>8</v>
      </c>
      <c r="N657" t="s">
        <v>8</v>
      </c>
      <c r="P657">
        <f t="shared" si="995"/>
        <v>-0.91709844559585119</v>
      </c>
      <c r="Q657">
        <f t="shared" si="996"/>
        <v>-121474426.48290105</v>
      </c>
      <c r="R657">
        <f t="shared" si="997"/>
        <v>2720053745.5879364</v>
      </c>
      <c r="S657">
        <f t="shared" si="998"/>
        <v>27200.537455879363</v>
      </c>
      <c r="T657">
        <f t="shared" si="999"/>
        <v>27.200537455879363</v>
      </c>
    </row>
    <row r="658" spans="1:20" x14ac:dyDescent="0.25">
      <c r="A658" s="5">
        <v>43935</v>
      </c>
      <c r="B658">
        <v>3.3110000000000001E-2</v>
      </c>
      <c r="C658">
        <v>3.3759999999999998E-2</v>
      </c>
      <c r="D658">
        <v>3.2680000000000001E-2</v>
      </c>
      <c r="E658">
        <v>3.3119999999999997E-2</v>
      </c>
      <c r="F658">
        <v>133269260.5</v>
      </c>
      <c r="G658">
        <v>0.03</v>
      </c>
      <c r="L658" t="s">
        <v>7</v>
      </c>
      <c r="M658" t="s">
        <v>8</v>
      </c>
      <c r="N658" t="s">
        <v>8</v>
      </c>
      <c r="P658">
        <f t="shared" si="995"/>
        <v>-0.18518518518519089</v>
      </c>
      <c r="Q658">
        <f t="shared" si="996"/>
        <v>-24679492.685185947</v>
      </c>
      <c r="R658">
        <f t="shared" si="997"/>
        <v>2841528172.0708375</v>
      </c>
      <c r="S658">
        <f t="shared" si="998"/>
        <v>28415.281720708375</v>
      </c>
      <c r="T658">
        <f t="shared" si="999"/>
        <v>28.415281720708375</v>
      </c>
    </row>
    <row r="659" spans="1:20" x14ac:dyDescent="0.25">
      <c r="A659" s="5">
        <v>43934</v>
      </c>
      <c r="B659">
        <v>3.3450000000000001E-2</v>
      </c>
      <c r="C659">
        <v>3.3529999999999997E-2</v>
      </c>
      <c r="D659">
        <v>3.1890000000000002E-2</v>
      </c>
      <c r="E659">
        <v>3.3110000000000001E-2</v>
      </c>
      <c r="F659">
        <v>235859753.59999999</v>
      </c>
      <c r="G659">
        <v>-1.02</v>
      </c>
      <c r="L659" t="s">
        <v>7</v>
      </c>
      <c r="M659" t="s">
        <v>8</v>
      </c>
      <c r="N659" t="s">
        <v>8</v>
      </c>
      <c r="P659">
        <f t="shared" si="995"/>
        <v>0.48780487804878309</v>
      </c>
      <c r="Q659">
        <f t="shared" si="996"/>
        <v>115053538.34146403</v>
      </c>
      <c r="R659">
        <f t="shared" si="997"/>
        <v>2866207664.7560234</v>
      </c>
      <c r="S659">
        <f t="shared" si="998"/>
        <v>28662.076647560236</v>
      </c>
      <c r="T659">
        <f t="shared" si="999"/>
        <v>28.662076647560237</v>
      </c>
    </row>
    <row r="660" spans="1:20" x14ac:dyDescent="0.25">
      <c r="A660" s="5">
        <v>43933</v>
      </c>
      <c r="B660">
        <v>3.3410000000000002E-2</v>
      </c>
      <c r="C660">
        <v>3.4889999999999997E-2</v>
      </c>
      <c r="D660">
        <v>3.2899999999999999E-2</v>
      </c>
      <c r="E660">
        <v>3.347E-2</v>
      </c>
      <c r="F660">
        <v>160185105.5</v>
      </c>
      <c r="G660">
        <v>0.18</v>
      </c>
      <c r="L660" t="s">
        <v>8</v>
      </c>
      <c r="M660" t="s">
        <v>8</v>
      </c>
      <c r="N660" t="s">
        <v>8</v>
      </c>
      <c r="P660">
        <f t="shared" si="995"/>
        <v>-0.42713567839195837</v>
      </c>
      <c r="Q660">
        <f t="shared" si="996"/>
        <v>-68420773.706029922</v>
      </c>
      <c r="R660">
        <f t="shared" si="997"/>
        <v>2751154126.4145594</v>
      </c>
      <c r="S660">
        <f t="shared" si="998"/>
        <v>27511.541264145595</v>
      </c>
      <c r="T660">
        <f t="shared" si="999"/>
        <v>27.511541264145595</v>
      </c>
    </row>
    <row r="661" spans="1:20" x14ac:dyDescent="0.25">
      <c r="A661" s="5">
        <v>43932</v>
      </c>
      <c r="B661">
        <v>3.322E-2</v>
      </c>
      <c r="C661">
        <v>3.4099999999999998E-2</v>
      </c>
      <c r="D661">
        <v>3.261E-2</v>
      </c>
      <c r="E661">
        <v>3.3430000000000001E-2</v>
      </c>
      <c r="F661">
        <v>169064114.5</v>
      </c>
      <c r="G661">
        <v>0.63</v>
      </c>
      <c r="L661" t="s">
        <v>7</v>
      </c>
      <c r="M661" t="s">
        <v>8</v>
      </c>
      <c r="N661" t="s">
        <v>8</v>
      </c>
      <c r="P661">
        <f t="shared" si="995"/>
        <v>0.10067114093960032</v>
      </c>
      <c r="Q661">
        <f t="shared" si="996"/>
        <v>17019877.298658226</v>
      </c>
      <c r="R661">
        <f t="shared" si="997"/>
        <v>2819574900.1205893</v>
      </c>
      <c r="S661">
        <f t="shared" si="998"/>
        <v>28195.749001205892</v>
      </c>
      <c r="T661">
        <f t="shared" si="999"/>
        <v>28.19574900120589</v>
      </c>
    </row>
    <row r="662" spans="1:20" x14ac:dyDescent="0.25">
      <c r="A662" s="5">
        <v>43931</v>
      </c>
      <c r="B662">
        <v>3.6089999999999997E-2</v>
      </c>
      <c r="C662">
        <v>3.6200000000000003E-2</v>
      </c>
      <c r="D662">
        <v>3.2149999999999998E-2</v>
      </c>
      <c r="E662">
        <v>3.3210000000000003E-2</v>
      </c>
      <c r="F662">
        <v>297588582.10000002</v>
      </c>
      <c r="G662">
        <v>-7.98</v>
      </c>
      <c r="L662" t="s">
        <v>7</v>
      </c>
      <c r="M662" t="s">
        <v>8</v>
      </c>
      <c r="N662" t="s">
        <v>8</v>
      </c>
      <c r="P662">
        <f t="shared" si="995"/>
        <v>-0.4765432098765412</v>
      </c>
      <c r="Q662">
        <f t="shared" si="996"/>
        <v>-141813818.13654262</v>
      </c>
      <c r="R662">
        <f t="shared" si="997"/>
        <v>2802555022.8219309</v>
      </c>
      <c r="S662">
        <f t="shared" si="998"/>
        <v>28025.550228219308</v>
      </c>
      <c r="T662">
        <f t="shared" si="999"/>
        <v>28.025550228219309</v>
      </c>
    </row>
    <row r="663" spans="1:20" x14ac:dyDescent="0.25">
      <c r="A663" s="5">
        <v>43930</v>
      </c>
      <c r="B663">
        <v>3.6380000000000003E-2</v>
      </c>
      <c r="C663">
        <v>3.6600000000000001E-2</v>
      </c>
      <c r="D663">
        <v>3.5180000000000003E-2</v>
      </c>
      <c r="E663">
        <v>3.6069999999999998E-2</v>
      </c>
      <c r="F663">
        <v>158350204.80000001</v>
      </c>
      <c r="G663">
        <v>-0.85</v>
      </c>
      <c r="L663" t="s">
        <v>8</v>
      </c>
      <c r="M663" t="s">
        <v>8</v>
      </c>
      <c r="N663" t="s">
        <v>8</v>
      </c>
      <c r="P663">
        <f t="shared" si="995"/>
        <v>0.25352112676055838</v>
      </c>
      <c r="Q663">
        <f t="shared" si="996"/>
        <v>40145122.343661182</v>
      </c>
      <c r="R663">
        <f t="shared" si="997"/>
        <v>2944368840.9584737</v>
      </c>
      <c r="S663">
        <f t="shared" si="998"/>
        <v>29443.688409584738</v>
      </c>
      <c r="T663">
        <f t="shared" si="999"/>
        <v>29.443688409584738</v>
      </c>
    </row>
    <row r="664" spans="1:20" x14ac:dyDescent="0.25">
      <c r="A664" s="5">
        <v>43929</v>
      </c>
      <c r="B664">
        <v>3.5279999999999999E-2</v>
      </c>
      <c r="C664">
        <v>3.6830000000000002E-2</v>
      </c>
      <c r="D664">
        <v>3.5220000000000001E-2</v>
      </c>
      <c r="E664">
        <v>3.6389999999999999E-2</v>
      </c>
      <c r="F664">
        <v>220316016.69999999</v>
      </c>
      <c r="G664">
        <v>3.15</v>
      </c>
      <c r="L664" t="s">
        <v>8</v>
      </c>
      <c r="M664" t="s">
        <v>8</v>
      </c>
      <c r="N664" t="s">
        <v>8</v>
      </c>
      <c r="P664">
        <f t="shared" si="995"/>
        <v>0.45341614906831951</v>
      </c>
      <c r="Q664">
        <f t="shared" si="996"/>
        <v>99894839.870185569</v>
      </c>
      <c r="R664">
        <f t="shared" si="997"/>
        <v>2904223718.6148124</v>
      </c>
      <c r="S664">
        <f t="shared" si="998"/>
        <v>29042.237186148122</v>
      </c>
      <c r="T664">
        <f t="shared" si="999"/>
        <v>29.042237186148121</v>
      </c>
    </row>
    <row r="665" spans="1:20" x14ac:dyDescent="0.25">
      <c r="A665" s="5">
        <v>43928</v>
      </c>
      <c r="B665">
        <v>3.5909999999999997E-2</v>
      </c>
      <c r="C665">
        <v>3.6949999999999997E-2</v>
      </c>
      <c r="D665">
        <v>3.4500000000000003E-2</v>
      </c>
      <c r="E665">
        <v>3.5249999999999997E-2</v>
      </c>
      <c r="F665">
        <v>338110789.5</v>
      </c>
      <c r="G665">
        <v>-1.84</v>
      </c>
      <c r="L665" t="s">
        <v>8</v>
      </c>
      <c r="M665" t="s">
        <v>8</v>
      </c>
      <c r="N665" t="s">
        <v>8</v>
      </c>
      <c r="P665">
        <f t="shared" si="995"/>
        <v>-0.38775510204081992</v>
      </c>
      <c r="Q665">
        <f t="shared" si="996"/>
        <v>-131104183.68367468</v>
      </c>
      <c r="R665">
        <f t="shared" si="997"/>
        <v>2804328878.744627</v>
      </c>
      <c r="S665">
        <f t="shared" si="998"/>
        <v>28043.288787446269</v>
      </c>
      <c r="T665">
        <f t="shared" si="999"/>
        <v>28.043288787446269</v>
      </c>
    </row>
    <row r="666" spans="1:20" x14ac:dyDescent="0.25">
      <c r="A666" s="5">
        <v>43927</v>
      </c>
      <c r="B666">
        <v>3.1910000000000001E-2</v>
      </c>
      <c r="C666">
        <v>3.6110000000000003E-2</v>
      </c>
      <c r="D666">
        <v>3.1899999999999998E-2</v>
      </c>
      <c r="E666">
        <v>3.5920000000000001E-2</v>
      </c>
      <c r="F666">
        <v>350807966.80000001</v>
      </c>
      <c r="G666">
        <v>12.57</v>
      </c>
      <c r="L666" t="s">
        <v>8</v>
      </c>
      <c r="M666" t="s">
        <v>8</v>
      </c>
      <c r="N666" t="s">
        <v>8</v>
      </c>
      <c r="P666">
        <f t="shared" si="995"/>
        <v>0.90973871733966627</v>
      </c>
      <c r="Q666">
        <f t="shared" si="996"/>
        <v>319143589.74916822</v>
      </c>
      <c r="R666">
        <f t="shared" si="997"/>
        <v>2935433062.4283018</v>
      </c>
      <c r="S666">
        <f t="shared" si="998"/>
        <v>29354.330624283019</v>
      </c>
      <c r="T666">
        <f t="shared" si="999"/>
        <v>29.354330624283019</v>
      </c>
    </row>
    <row r="667" spans="1:20" x14ac:dyDescent="0.25">
      <c r="A667" s="5">
        <v>43926</v>
      </c>
      <c r="B667">
        <v>3.2439999999999997E-2</v>
      </c>
      <c r="C667">
        <v>3.2559999999999999E-2</v>
      </c>
      <c r="D667">
        <v>3.159E-2</v>
      </c>
      <c r="E667">
        <v>3.1899999999999998E-2</v>
      </c>
      <c r="F667">
        <v>103731278.3</v>
      </c>
      <c r="G667">
        <v>-1.66</v>
      </c>
      <c r="L667" t="s">
        <v>8</v>
      </c>
      <c r="M667" t="s">
        <v>8</v>
      </c>
      <c r="N667" t="s">
        <v>8</v>
      </c>
      <c r="P667">
        <f t="shared" si="995"/>
        <v>-0.36082474226804495</v>
      </c>
      <c r="Q667">
        <f t="shared" si="996"/>
        <v>-37428811.757732347</v>
      </c>
      <c r="R667">
        <f t="shared" si="997"/>
        <v>2616289472.6791334</v>
      </c>
      <c r="S667">
        <f t="shared" si="998"/>
        <v>26162.894726791335</v>
      </c>
      <c r="T667">
        <f t="shared" si="999"/>
        <v>26.162894726791336</v>
      </c>
    </row>
    <row r="668" spans="1:20" x14ac:dyDescent="0.25">
      <c r="A668" s="5">
        <v>43925</v>
      </c>
      <c r="B668">
        <v>3.2309999999999998E-2</v>
      </c>
      <c r="C668">
        <v>3.2719999999999999E-2</v>
      </c>
      <c r="D668">
        <v>3.1699999999999999E-2</v>
      </c>
      <c r="E668">
        <v>3.2439999999999997E-2</v>
      </c>
      <c r="F668">
        <v>185229786.80000001</v>
      </c>
      <c r="G668">
        <v>0.4</v>
      </c>
      <c r="L668" t="s">
        <v>8</v>
      </c>
      <c r="M668" t="s">
        <v>8</v>
      </c>
      <c r="N668" t="s">
        <v>8</v>
      </c>
      <c r="P668">
        <f t="shared" si="995"/>
        <v>0.45098039215685792</v>
      </c>
      <c r="Q668">
        <f t="shared" si="996"/>
        <v>83535001.890195191</v>
      </c>
      <c r="R668">
        <f t="shared" si="997"/>
        <v>2653718284.4368658</v>
      </c>
      <c r="S668">
        <f t="shared" si="998"/>
        <v>26537.182844368657</v>
      </c>
      <c r="T668">
        <f t="shared" si="999"/>
        <v>26.537182844368658</v>
      </c>
    </row>
    <row r="669" spans="1:20" x14ac:dyDescent="0.25">
      <c r="A669" s="5">
        <v>43924</v>
      </c>
      <c r="B669">
        <v>3.1870000000000002E-2</v>
      </c>
      <c r="C669">
        <v>3.2719999999999999E-2</v>
      </c>
      <c r="D669">
        <v>3.1559999999999998E-2</v>
      </c>
      <c r="E669">
        <v>3.2309999999999998E-2</v>
      </c>
      <c r="F669">
        <v>212823616.19999999</v>
      </c>
      <c r="G669">
        <v>1.38</v>
      </c>
      <c r="L669" t="s">
        <v>8</v>
      </c>
      <c r="M669" t="s">
        <v>8</v>
      </c>
      <c r="N669" t="s">
        <v>8</v>
      </c>
      <c r="P669">
        <f t="shared" si="995"/>
        <v>0.29310344827586177</v>
      </c>
      <c r="Q669">
        <f t="shared" si="996"/>
        <v>62379335.782758556</v>
      </c>
      <c r="R669">
        <f t="shared" si="997"/>
        <v>2570183282.5466704</v>
      </c>
      <c r="S669">
        <f t="shared" si="998"/>
        <v>25701.832825466703</v>
      </c>
      <c r="T669">
        <f t="shared" si="999"/>
        <v>25.701832825466703</v>
      </c>
    </row>
    <row r="670" spans="1:20" x14ac:dyDescent="0.25">
      <c r="A670" s="5">
        <v>43923</v>
      </c>
      <c r="B670">
        <v>3.0970000000000001E-2</v>
      </c>
      <c r="C670">
        <v>3.3520000000000001E-2</v>
      </c>
      <c r="D670">
        <v>3.0700000000000002E-2</v>
      </c>
      <c r="E670">
        <v>3.1879999999999999E-2</v>
      </c>
      <c r="F670">
        <v>297957908.5</v>
      </c>
      <c r="G670">
        <v>2.94</v>
      </c>
      <c r="L670" t="s">
        <v>8</v>
      </c>
      <c r="M670" t="s">
        <v>8</v>
      </c>
      <c r="N670" t="s">
        <v>8</v>
      </c>
      <c r="P670">
        <f t="shared" si="995"/>
        <v>-0.16312056737588851</v>
      </c>
      <c r="Q670">
        <f t="shared" si="996"/>
        <v>-48603063.088653073</v>
      </c>
      <c r="R670">
        <f t="shared" si="997"/>
        <v>2507803946.7639117</v>
      </c>
      <c r="S670">
        <f t="shared" si="998"/>
        <v>25078.039467639119</v>
      </c>
      <c r="T670">
        <f t="shared" si="999"/>
        <v>25.078039467639119</v>
      </c>
    </row>
    <row r="671" spans="1:20" x14ac:dyDescent="0.25">
      <c r="A671" s="5">
        <v>43922</v>
      </c>
      <c r="B671">
        <v>3.0450000000000001E-2</v>
      </c>
      <c r="C671">
        <v>3.0970000000000001E-2</v>
      </c>
      <c r="D671">
        <v>2.9420000000000002E-2</v>
      </c>
      <c r="E671">
        <v>3.0970000000000001E-2</v>
      </c>
      <c r="F671">
        <v>245444045.59999999</v>
      </c>
      <c r="G671">
        <v>1.71</v>
      </c>
      <c r="L671" t="s">
        <v>8</v>
      </c>
      <c r="M671" t="s">
        <v>8</v>
      </c>
      <c r="N671" t="s">
        <v>8</v>
      </c>
      <c r="P671">
        <f t="shared" si="995"/>
        <v>1</v>
      </c>
      <c r="Q671">
        <f t="shared" si="996"/>
        <v>245444045.59999999</v>
      </c>
      <c r="R671">
        <f t="shared" si="997"/>
        <v>2556407009.8525648</v>
      </c>
      <c r="S671">
        <f t="shared" si="998"/>
        <v>25564.070098525648</v>
      </c>
      <c r="T671">
        <f t="shared" si="999"/>
        <v>25.564070098525647</v>
      </c>
    </row>
    <row r="672" spans="1:20" x14ac:dyDescent="0.25">
      <c r="A672" s="5">
        <v>43921</v>
      </c>
      <c r="B672">
        <v>2.9649999999999999E-2</v>
      </c>
      <c r="C672">
        <v>3.0669999999999999E-2</v>
      </c>
      <c r="D672">
        <v>2.9499999999999998E-2</v>
      </c>
      <c r="E672">
        <v>3.0450000000000001E-2</v>
      </c>
      <c r="F672">
        <v>166957955</v>
      </c>
      <c r="G672">
        <v>2.7</v>
      </c>
      <c r="L672" t="s">
        <v>8</v>
      </c>
      <c r="M672" t="s">
        <v>8</v>
      </c>
      <c r="N672" t="s">
        <v>8</v>
      </c>
      <c r="P672">
        <f t="shared" si="995"/>
        <v>0.62393162393162771</v>
      </c>
      <c r="Q672">
        <f t="shared" si="996"/>
        <v>104170347.99145362</v>
      </c>
      <c r="R672">
        <f t="shared" si="997"/>
        <v>2310962964.2525649</v>
      </c>
      <c r="S672">
        <f t="shared" si="998"/>
        <v>23109.629642525648</v>
      </c>
      <c r="T672">
        <f t="shared" si="999"/>
        <v>23.109629642525647</v>
      </c>
    </row>
    <row r="673" spans="1:20" x14ac:dyDescent="0.25">
      <c r="A673" s="5">
        <v>43920</v>
      </c>
      <c r="B673">
        <v>2.8080000000000001E-2</v>
      </c>
      <c r="C673">
        <v>3.0439999999999998E-2</v>
      </c>
      <c r="D673">
        <v>2.801E-2</v>
      </c>
      <c r="E673">
        <v>2.9649999999999999E-2</v>
      </c>
      <c r="F673">
        <v>224863601.5</v>
      </c>
      <c r="G673">
        <v>5.59</v>
      </c>
      <c r="L673" t="s">
        <v>8</v>
      </c>
      <c r="M673" t="s">
        <v>8</v>
      </c>
      <c r="N673" t="s">
        <v>8</v>
      </c>
      <c r="P673">
        <f t="shared" si="995"/>
        <v>0.34979423868312787</v>
      </c>
      <c r="Q673">
        <f t="shared" si="996"/>
        <v>78655992.294238746</v>
      </c>
      <c r="R673">
        <f t="shared" si="997"/>
        <v>2206792616.2611113</v>
      </c>
      <c r="S673">
        <f t="shared" si="998"/>
        <v>22067.926162611111</v>
      </c>
      <c r="T673">
        <f t="shared" si="999"/>
        <v>22.067926162611112</v>
      </c>
    </row>
    <row r="674" spans="1:20" x14ac:dyDescent="0.25">
      <c r="A674" s="5">
        <v>43919</v>
      </c>
      <c r="B674">
        <v>2.9790000000000001E-2</v>
      </c>
      <c r="C674">
        <v>2.9989999999999999E-2</v>
      </c>
      <c r="D674">
        <v>2.8029999999999999E-2</v>
      </c>
      <c r="E674">
        <v>2.8060000000000002E-2</v>
      </c>
      <c r="F674">
        <v>189145475.09999999</v>
      </c>
      <c r="G674">
        <v>-5.81</v>
      </c>
      <c r="L674" t="s">
        <v>7</v>
      </c>
      <c r="M674" t="s">
        <v>8</v>
      </c>
      <c r="N674" t="s">
        <v>8</v>
      </c>
      <c r="P674">
        <f t="shared" si="995"/>
        <v>-0.96938775510203856</v>
      </c>
      <c r="Q674">
        <f t="shared" si="996"/>
        <v>-183355307.49489751</v>
      </c>
      <c r="R674">
        <f t="shared" si="997"/>
        <v>2128136623.9668725</v>
      </c>
      <c r="S674">
        <f t="shared" si="998"/>
        <v>21281.366239668725</v>
      </c>
      <c r="T674">
        <f t="shared" si="999"/>
        <v>21.281366239668724</v>
      </c>
    </row>
    <row r="675" spans="1:20" x14ac:dyDescent="0.25">
      <c r="A675" s="5">
        <v>43918</v>
      </c>
      <c r="B675">
        <v>2.8819999999999998E-2</v>
      </c>
      <c r="C675">
        <v>2.998E-2</v>
      </c>
      <c r="D675">
        <v>2.7799999999999998E-2</v>
      </c>
      <c r="E675">
        <v>2.9749999999999999E-2</v>
      </c>
      <c r="F675">
        <v>289141133</v>
      </c>
      <c r="G675">
        <v>3.23</v>
      </c>
      <c r="L675" t="s">
        <v>7</v>
      </c>
      <c r="M675" t="s">
        <v>8</v>
      </c>
      <c r="N675" t="s">
        <v>8</v>
      </c>
      <c r="P675">
        <f t="shared" si="995"/>
        <v>0.78899082568807255</v>
      </c>
      <c r="Q675">
        <f t="shared" si="996"/>
        <v>228129701.26605481</v>
      </c>
      <c r="R675">
        <f t="shared" si="997"/>
        <v>2311491931.4617701</v>
      </c>
      <c r="S675">
        <f t="shared" si="998"/>
        <v>23114.919314617702</v>
      </c>
      <c r="T675">
        <f t="shared" si="999"/>
        <v>23.114919314617701</v>
      </c>
    </row>
    <row r="676" spans="1:20" x14ac:dyDescent="0.25">
      <c r="A676" s="5">
        <v>43917</v>
      </c>
      <c r="B676">
        <v>3.0849999999999999E-2</v>
      </c>
      <c r="C676">
        <v>3.143E-2</v>
      </c>
      <c r="D676">
        <v>2.828E-2</v>
      </c>
      <c r="E676">
        <v>2.8819999999999998E-2</v>
      </c>
      <c r="F676">
        <v>255624968.40000001</v>
      </c>
      <c r="G676">
        <v>-6.58</v>
      </c>
      <c r="L676" t="s">
        <v>8</v>
      </c>
      <c r="M676" t="s">
        <v>8</v>
      </c>
      <c r="N676" t="s">
        <v>8</v>
      </c>
      <c r="P676">
        <f t="shared" si="995"/>
        <v>-0.65714285714285792</v>
      </c>
      <c r="Q676">
        <f t="shared" si="996"/>
        <v>-167982122.09142879</v>
      </c>
      <c r="R676">
        <f t="shared" si="997"/>
        <v>2083362230.1957154</v>
      </c>
      <c r="S676">
        <f t="shared" si="998"/>
        <v>20833.622301957155</v>
      </c>
      <c r="T676">
        <f t="shared" si="999"/>
        <v>20.833622301957156</v>
      </c>
    </row>
    <row r="677" spans="1:20" x14ac:dyDescent="0.25">
      <c r="A677" s="5">
        <v>43916</v>
      </c>
      <c r="B677">
        <v>2.947E-2</v>
      </c>
      <c r="C677">
        <v>3.1019999999999999E-2</v>
      </c>
      <c r="D677">
        <v>2.9229999999999999E-2</v>
      </c>
      <c r="E677">
        <v>3.0859999999999999E-2</v>
      </c>
      <c r="F677">
        <v>211454985.40000001</v>
      </c>
      <c r="G677">
        <v>4.72</v>
      </c>
      <c r="L677" t="s">
        <v>8</v>
      </c>
      <c r="M677" t="s">
        <v>7</v>
      </c>
      <c r="N677" t="s">
        <v>8</v>
      </c>
      <c r="P677">
        <f t="shared" si="995"/>
        <v>0.82122905027932913</v>
      </c>
      <c r="Q677">
        <f t="shared" si="996"/>
        <v>173652976.83687142</v>
      </c>
      <c r="R677">
        <f t="shared" si="997"/>
        <v>2251344352.2871442</v>
      </c>
      <c r="S677">
        <f t="shared" si="998"/>
        <v>22513.443522871443</v>
      </c>
      <c r="T677">
        <f t="shared" si="999"/>
        <v>22.513443522871444</v>
      </c>
    </row>
    <row r="678" spans="1:20" x14ac:dyDescent="0.25">
      <c r="A678" s="5">
        <v>43915</v>
      </c>
      <c r="B678">
        <v>3.0249999999999999E-2</v>
      </c>
      <c r="C678">
        <v>3.0429999999999999E-2</v>
      </c>
      <c r="D678">
        <v>2.8719999999999999E-2</v>
      </c>
      <c r="E678">
        <v>2.945E-2</v>
      </c>
      <c r="F678">
        <v>251249333.69999999</v>
      </c>
      <c r="G678">
        <v>-2.64</v>
      </c>
      <c r="L678" t="s">
        <v>8</v>
      </c>
      <c r="M678" t="s">
        <v>7</v>
      </c>
      <c r="N678" t="s">
        <v>8</v>
      </c>
      <c r="P678">
        <f t="shared" si="995"/>
        <v>-0.14619883040935486</v>
      </c>
      <c r="Q678">
        <f t="shared" si="996"/>
        <v>-36732358.728069708</v>
      </c>
      <c r="R678">
        <f t="shared" si="997"/>
        <v>2077691375.4502726</v>
      </c>
      <c r="S678">
        <f t="shared" si="998"/>
        <v>20776.913754502726</v>
      </c>
      <c r="T678">
        <f t="shared" si="999"/>
        <v>20.776913754502726</v>
      </c>
    </row>
    <row r="679" spans="1:20" x14ac:dyDescent="0.25">
      <c r="A679" s="5">
        <v>43914</v>
      </c>
      <c r="B679">
        <v>2.9229999999999999E-2</v>
      </c>
      <c r="C679">
        <v>3.041E-2</v>
      </c>
      <c r="D679">
        <v>2.8740000000000002E-2</v>
      </c>
      <c r="E679">
        <v>3.023E-2</v>
      </c>
      <c r="F679">
        <v>283748059.10000002</v>
      </c>
      <c r="G679">
        <v>3.42</v>
      </c>
      <c r="L679" t="s">
        <v>8</v>
      </c>
      <c r="M679" t="s">
        <v>7</v>
      </c>
      <c r="N679" t="s">
        <v>8</v>
      </c>
      <c r="P679">
        <f t="shared" si="995"/>
        <v>0.78443113772455109</v>
      </c>
      <c r="Q679">
        <f t="shared" si="996"/>
        <v>222580812.82694617</v>
      </c>
      <c r="R679">
        <f t="shared" si="997"/>
        <v>2114423734.1783423</v>
      </c>
      <c r="S679">
        <f t="shared" si="998"/>
        <v>21144.237341783424</v>
      </c>
      <c r="T679">
        <f t="shared" si="999"/>
        <v>21.144237341783423</v>
      </c>
    </row>
    <row r="680" spans="1:20" x14ac:dyDescent="0.25">
      <c r="A680" s="5">
        <v>43913</v>
      </c>
      <c r="B680">
        <v>2.7040000000000002E-2</v>
      </c>
      <c r="C680">
        <v>2.9929999999999998E-2</v>
      </c>
      <c r="D680">
        <v>2.6599999999999999E-2</v>
      </c>
      <c r="E680">
        <v>2.9250000000000002E-2</v>
      </c>
      <c r="F680">
        <v>352778439.10000002</v>
      </c>
      <c r="G680">
        <v>8.17</v>
      </c>
      <c r="L680" t="s">
        <v>7</v>
      </c>
      <c r="M680" t="s">
        <v>7</v>
      </c>
      <c r="N680" t="s">
        <v>8</v>
      </c>
      <c r="P680">
        <f t="shared" si="995"/>
        <v>0.59159159159159358</v>
      </c>
      <c r="Q680">
        <f t="shared" si="996"/>
        <v>208700758.26636708</v>
      </c>
      <c r="R680">
        <f t="shared" si="997"/>
        <v>1891842921.3513961</v>
      </c>
      <c r="S680">
        <f t="shared" si="998"/>
        <v>18918.429213513962</v>
      </c>
      <c r="T680">
        <f t="shared" si="999"/>
        <v>18.918429213513964</v>
      </c>
    </row>
    <row r="681" spans="1:20" x14ac:dyDescent="0.25">
      <c r="A681" s="5">
        <v>43912</v>
      </c>
      <c r="B681">
        <v>2.945E-2</v>
      </c>
      <c r="C681">
        <v>3.0439999999999998E-2</v>
      </c>
      <c r="D681">
        <v>2.6790000000000001E-2</v>
      </c>
      <c r="E681">
        <v>2.7029999999999998E-2</v>
      </c>
      <c r="F681">
        <v>320971901.89999998</v>
      </c>
      <c r="G681">
        <v>-8.2200000000000006</v>
      </c>
      <c r="L681" t="s">
        <v>7</v>
      </c>
      <c r="M681" t="s">
        <v>7</v>
      </c>
      <c r="N681" t="s">
        <v>8</v>
      </c>
      <c r="P681">
        <f t="shared" si="995"/>
        <v>-0.86849315068493294</v>
      </c>
      <c r="Q681">
        <f t="shared" si="996"/>
        <v>-278761898.36246622</v>
      </c>
      <c r="R681">
        <f t="shared" si="997"/>
        <v>1683142163.0850291</v>
      </c>
      <c r="S681">
        <f t="shared" si="998"/>
        <v>16831.421630850291</v>
      </c>
      <c r="T681">
        <f t="shared" si="999"/>
        <v>16.83142163085029</v>
      </c>
    </row>
    <row r="682" spans="1:20" x14ac:dyDescent="0.25">
      <c r="A682" s="5">
        <v>43911</v>
      </c>
      <c r="B682">
        <v>2.945E-2</v>
      </c>
      <c r="C682">
        <v>3.0669999999999999E-2</v>
      </c>
      <c r="D682">
        <v>2.7900000000000001E-2</v>
      </c>
      <c r="E682">
        <v>2.9479999999999999E-2</v>
      </c>
      <c r="F682">
        <v>373674370.30000001</v>
      </c>
      <c r="G682">
        <v>0.1</v>
      </c>
      <c r="L682" t="s">
        <v>7</v>
      </c>
      <c r="M682" t="s">
        <v>7</v>
      </c>
      <c r="N682" t="s">
        <v>8</v>
      </c>
      <c r="P682">
        <f t="shared" si="995"/>
        <v>0.14079422382671417</v>
      </c>
      <c r="Q682">
        <f t="shared" si="996"/>
        <v>52611192.930324674</v>
      </c>
      <c r="R682">
        <f t="shared" si="997"/>
        <v>1961904061.4474955</v>
      </c>
      <c r="S682">
        <f t="shared" si="998"/>
        <v>19619.040614474954</v>
      </c>
      <c r="T682">
        <f t="shared" si="999"/>
        <v>19.619040614474955</v>
      </c>
    </row>
    <row r="683" spans="1:20" x14ac:dyDescent="0.25">
      <c r="A683" s="5">
        <v>43910</v>
      </c>
      <c r="B683">
        <v>3.0290000000000001E-2</v>
      </c>
      <c r="C683">
        <v>3.3959999999999997E-2</v>
      </c>
      <c r="D683">
        <v>2.6589999999999999E-2</v>
      </c>
      <c r="E683">
        <v>2.946E-2</v>
      </c>
      <c r="F683">
        <v>685475524.70000005</v>
      </c>
      <c r="G683">
        <v>-2.74</v>
      </c>
      <c r="L683" t="s">
        <v>8</v>
      </c>
      <c r="M683" t="s">
        <v>8</v>
      </c>
      <c r="N683" t="s">
        <v>8</v>
      </c>
      <c r="P683">
        <f t="shared" si="995"/>
        <v>-0.22116689280868337</v>
      </c>
      <c r="Q683">
        <f t="shared" si="996"/>
        <v>-151604491.89430091</v>
      </c>
      <c r="R683">
        <f t="shared" si="997"/>
        <v>1909292868.5171709</v>
      </c>
      <c r="S683">
        <f t="shared" si="998"/>
        <v>19092.928685171708</v>
      </c>
      <c r="T683">
        <f t="shared" si="999"/>
        <v>19.092928685171707</v>
      </c>
    </row>
    <row r="684" spans="1:20" x14ac:dyDescent="0.25">
      <c r="A684" s="5">
        <v>43909</v>
      </c>
      <c r="B684">
        <v>2.6079999999999999E-2</v>
      </c>
      <c r="C684">
        <v>3.1980000000000001E-2</v>
      </c>
      <c r="D684">
        <v>2.58E-2</v>
      </c>
      <c r="E684">
        <v>3.0300000000000001E-2</v>
      </c>
      <c r="F684">
        <v>509780641.30000001</v>
      </c>
      <c r="G684">
        <v>16.18</v>
      </c>
      <c r="L684" t="s">
        <v>8</v>
      </c>
      <c r="M684" t="s">
        <v>8</v>
      </c>
      <c r="N684" t="s">
        <v>8</v>
      </c>
      <c r="P684">
        <f t="shared" si="995"/>
        <v>0.45631067961165034</v>
      </c>
      <c r="Q684">
        <f t="shared" si="996"/>
        <v>232618350.88446596</v>
      </c>
      <c r="R684">
        <f t="shared" si="997"/>
        <v>2060897360.4114718</v>
      </c>
      <c r="S684">
        <f t="shared" si="998"/>
        <v>20608.973604114719</v>
      </c>
      <c r="T684">
        <f t="shared" si="999"/>
        <v>20.60897360411472</v>
      </c>
    </row>
    <row r="685" spans="1:20" x14ac:dyDescent="0.25">
      <c r="A685" s="5">
        <v>43908</v>
      </c>
      <c r="B685">
        <v>2.5729999999999999E-2</v>
      </c>
      <c r="C685">
        <v>2.6530000000000001E-2</v>
      </c>
      <c r="D685">
        <v>2.4279999999999999E-2</v>
      </c>
      <c r="E685">
        <v>2.6069999999999999E-2</v>
      </c>
      <c r="F685">
        <v>302852175.10000002</v>
      </c>
      <c r="G685">
        <v>1.32</v>
      </c>
      <c r="L685" t="s">
        <v>7</v>
      </c>
      <c r="M685" t="s">
        <v>8</v>
      </c>
      <c r="N685" t="s">
        <v>8</v>
      </c>
      <c r="P685">
        <f t="shared" si="995"/>
        <v>0.59111111111110959</v>
      </c>
      <c r="Q685">
        <f t="shared" si="996"/>
        <v>179019285.72577733</v>
      </c>
      <c r="R685">
        <f t="shared" si="997"/>
        <v>1828279009.5270059</v>
      </c>
      <c r="S685">
        <f t="shared" si="998"/>
        <v>18282.790095270058</v>
      </c>
      <c r="T685">
        <f t="shared" si="999"/>
        <v>18.282790095270059</v>
      </c>
    </row>
    <row r="686" spans="1:20" x14ac:dyDescent="0.25">
      <c r="A686" s="5">
        <v>43907</v>
      </c>
      <c r="B686">
        <v>2.4240000000000001E-2</v>
      </c>
      <c r="C686">
        <v>2.6499999999999999E-2</v>
      </c>
      <c r="D686">
        <v>2.3859999999999999E-2</v>
      </c>
      <c r="E686">
        <v>2.5749999999999999E-2</v>
      </c>
      <c r="F686">
        <v>389737125.19999999</v>
      </c>
      <c r="G686">
        <v>6.23</v>
      </c>
      <c r="L686" t="s">
        <v>8</v>
      </c>
      <c r="M686" t="s">
        <v>8</v>
      </c>
      <c r="N686" t="s">
        <v>8</v>
      </c>
      <c r="P686">
        <f t="shared" si="995"/>
        <v>0.43181818181818132</v>
      </c>
      <c r="Q686">
        <f t="shared" si="996"/>
        <v>168295576.7909089</v>
      </c>
      <c r="R686">
        <f t="shared" si="997"/>
        <v>1649259723.8012285</v>
      </c>
      <c r="S686">
        <f t="shared" si="998"/>
        <v>16492.597238012284</v>
      </c>
      <c r="T686">
        <f t="shared" si="999"/>
        <v>16.492597238012284</v>
      </c>
    </row>
    <row r="687" spans="1:20" x14ac:dyDescent="0.25">
      <c r="A687" s="5">
        <v>43906</v>
      </c>
      <c r="B687">
        <v>2.6919999999999999E-2</v>
      </c>
      <c r="C687">
        <v>2.6970000000000001E-2</v>
      </c>
      <c r="D687">
        <v>2.1559999999999999E-2</v>
      </c>
      <c r="E687">
        <v>2.4230000000000002E-2</v>
      </c>
      <c r="F687">
        <v>695930389.60000002</v>
      </c>
      <c r="G687">
        <v>-9.99</v>
      </c>
      <c r="L687" t="s">
        <v>7</v>
      </c>
      <c r="M687" t="s">
        <v>7</v>
      </c>
      <c r="N687" t="s">
        <v>8</v>
      </c>
      <c r="P687">
        <f t="shared" si="995"/>
        <v>-1.2939001848428304E-2</v>
      </c>
      <c r="Q687">
        <f t="shared" si="996"/>
        <v>-9004644.59741183</v>
      </c>
      <c r="R687">
        <f t="shared" si="997"/>
        <v>1480964147.0103197</v>
      </c>
      <c r="S687">
        <f t="shared" si="998"/>
        <v>14809.641470103197</v>
      </c>
      <c r="T687">
        <f t="shared" si="999"/>
        <v>14.809641470103196</v>
      </c>
    </row>
    <row r="688" spans="1:20" x14ac:dyDescent="0.25">
      <c r="A688" s="5">
        <v>43905</v>
      </c>
      <c r="B688">
        <v>2.5770000000000001E-2</v>
      </c>
      <c r="C688">
        <v>2.904E-2</v>
      </c>
      <c r="D688">
        <v>2.546E-2</v>
      </c>
      <c r="E688">
        <v>2.6929999999999999E-2</v>
      </c>
      <c r="F688">
        <v>364886224.30000001</v>
      </c>
      <c r="G688">
        <v>4.5</v>
      </c>
      <c r="L688" t="s">
        <v>7</v>
      </c>
      <c r="M688" t="s">
        <v>8</v>
      </c>
      <c r="N688" t="s">
        <v>8</v>
      </c>
      <c r="P688">
        <f t="shared" si="995"/>
        <v>-0.17877094972067087</v>
      </c>
      <c r="Q688">
        <f t="shared" si="996"/>
        <v>-65231056.858100735</v>
      </c>
      <c r="R688">
        <f t="shared" si="997"/>
        <v>1489968791.6077316</v>
      </c>
      <c r="S688">
        <f t="shared" si="998"/>
        <v>14899.687916077315</v>
      </c>
      <c r="T688">
        <f t="shared" si="999"/>
        <v>14.899687916077315</v>
      </c>
    </row>
    <row r="689" spans="1:20" x14ac:dyDescent="0.25">
      <c r="A689" s="5">
        <v>43904</v>
      </c>
      <c r="B689">
        <v>2.844E-2</v>
      </c>
      <c r="C689">
        <v>2.8899999999999999E-2</v>
      </c>
      <c r="D689">
        <v>2.529E-2</v>
      </c>
      <c r="E689">
        <v>2.5819999999999999E-2</v>
      </c>
      <c r="F689">
        <v>381841598.39999998</v>
      </c>
      <c r="G689">
        <v>-9.2100000000000009</v>
      </c>
      <c r="L689" t="s">
        <v>8</v>
      </c>
      <c r="M689" t="s">
        <v>8</v>
      </c>
      <c r="N689" t="s">
        <v>8</v>
      </c>
      <c r="P689">
        <f t="shared" si="995"/>
        <v>-0.70637119113573443</v>
      </c>
      <c r="Q689">
        <f t="shared" si="996"/>
        <v>-269721904.68698072</v>
      </c>
      <c r="R689">
        <f t="shared" si="997"/>
        <v>1555199848.4658322</v>
      </c>
      <c r="S689">
        <f t="shared" si="998"/>
        <v>15551.998484658323</v>
      </c>
      <c r="T689">
        <f t="shared" si="999"/>
        <v>15.551998484658323</v>
      </c>
    </row>
    <row r="690" spans="1:20" x14ac:dyDescent="0.25">
      <c r="A690" s="5">
        <v>43903</v>
      </c>
      <c r="B690">
        <v>2.332E-2</v>
      </c>
      <c r="C690">
        <v>2.938E-2</v>
      </c>
      <c r="D690">
        <v>1.7649999999999999E-2</v>
      </c>
      <c r="E690">
        <v>2.843E-2</v>
      </c>
      <c r="F690">
        <v>1313130187.5</v>
      </c>
      <c r="G690">
        <v>21.91</v>
      </c>
      <c r="L690" t="s">
        <v>7</v>
      </c>
      <c r="M690" t="s">
        <v>7</v>
      </c>
      <c r="N690" t="s">
        <v>7</v>
      </c>
      <c r="P690">
        <f t="shared" si="995"/>
        <v>0.83802216538789442</v>
      </c>
      <c r="Q690">
        <f t="shared" si="996"/>
        <v>1100432203.1649618</v>
      </c>
      <c r="R690">
        <f t="shared" si="997"/>
        <v>1824921753.152813</v>
      </c>
      <c r="S690">
        <f t="shared" si="998"/>
        <v>18249.217531528131</v>
      </c>
      <c r="T690">
        <f t="shared" si="999"/>
        <v>18.249217531528132</v>
      </c>
    </row>
    <row r="691" spans="1:20" x14ac:dyDescent="0.25">
      <c r="A691" s="5">
        <v>43902</v>
      </c>
      <c r="B691">
        <v>3.9699999999999999E-2</v>
      </c>
      <c r="C691">
        <v>3.9829999999999997E-2</v>
      </c>
      <c r="D691">
        <v>2.1909999999999999E-2</v>
      </c>
      <c r="E691">
        <v>2.3290000000000002E-2</v>
      </c>
      <c r="F691">
        <v>1182129732.4000001</v>
      </c>
      <c r="G691">
        <v>-41.34</v>
      </c>
      <c r="L691" t="s">
        <v>7</v>
      </c>
      <c r="M691" t="s">
        <v>7</v>
      </c>
      <c r="N691" t="s">
        <v>7</v>
      </c>
      <c r="P691">
        <f t="shared" si="995"/>
        <v>-0.84598214285714257</v>
      </c>
      <c r="Q691">
        <f t="shared" si="996"/>
        <v>-1000060644.1508926</v>
      </c>
      <c r="R691">
        <f t="shared" si="997"/>
        <v>724489549.98785126</v>
      </c>
      <c r="S691">
        <f t="shared" si="998"/>
        <v>7244.895499878513</v>
      </c>
      <c r="T691">
        <f t="shared" si="999"/>
        <v>7.2448954998785133</v>
      </c>
    </row>
    <row r="692" spans="1:20" x14ac:dyDescent="0.25">
      <c r="A692" s="5">
        <v>43901</v>
      </c>
      <c r="B692">
        <v>4.1450000000000001E-2</v>
      </c>
      <c r="C692">
        <v>4.1820000000000003E-2</v>
      </c>
      <c r="D692">
        <v>3.7289999999999997E-2</v>
      </c>
      <c r="E692">
        <v>3.9690000000000003E-2</v>
      </c>
      <c r="F692">
        <v>370400639.30000001</v>
      </c>
      <c r="G692">
        <v>-4.25</v>
      </c>
      <c r="L692" t="s">
        <v>7</v>
      </c>
      <c r="M692" t="s">
        <v>7</v>
      </c>
      <c r="N692" t="s">
        <v>7</v>
      </c>
      <c r="P692">
        <f t="shared" si="995"/>
        <v>5.9602649006623834E-2</v>
      </c>
      <c r="Q692">
        <f t="shared" si="996"/>
        <v>22076859.296026979</v>
      </c>
      <c r="R692">
        <f t="shared" si="997"/>
        <v>1724550194.1387439</v>
      </c>
      <c r="S692">
        <f t="shared" si="998"/>
        <v>17245.50194138744</v>
      </c>
      <c r="T692">
        <f t="shared" si="999"/>
        <v>17.245501941387438</v>
      </c>
    </row>
    <row r="693" spans="1:20" x14ac:dyDescent="0.25">
      <c r="A693" s="5">
        <v>43900</v>
      </c>
      <c r="B693">
        <v>4.1509999999999998E-2</v>
      </c>
      <c r="C693">
        <v>4.299E-2</v>
      </c>
      <c r="D693">
        <v>4.0320000000000002E-2</v>
      </c>
      <c r="E693">
        <v>4.1459999999999997E-2</v>
      </c>
      <c r="F693">
        <v>362267320.89999998</v>
      </c>
      <c r="G693">
        <v>-0.12</v>
      </c>
      <c r="L693" t="s">
        <v>8</v>
      </c>
      <c r="M693" t="s">
        <v>7</v>
      </c>
      <c r="N693" t="s">
        <v>7</v>
      </c>
      <c r="P693">
        <f t="shared" si="995"/>
        <v>-0.14606741573034029</v>
      </c>
      <c r="Q693">
        <f t="shared" si="996"/>
        <v>-52915451.367416888</v>
      </c>
      <c r="R693">
        <f t="shared" si="997"/>
        <v>1702473334.8427169</v>
      </c>
      <c r="S693">
        <f t="shared" si="998"/>
        <v>17024.733348427169</v>
      </c>
      <c r="T693">
        <f t="shared" si="999"/>
        <v>17.024733348427169</v>
      </c>
    </row>
    <row r="694" spans="1:20" x14ac:dyDescent="0.25">
      <c r="A694" s="5">
        <v>43899</v>
      </c>
      <c r="B694">
        <v>4.2909999999999997E-2</v>
      </c>
      <c r="C694">
        <v>4.3999999999999997E-2</v>
      </c>
      <c r="D694">
        <v>3.8949999999999999E-2</v>
      </c>
      <c r="E694">
        <v>4.156E-2</v>
      </c>
      <c r="F694">
        <v>453024388.69999999</v>
      </c>
      <c r="G694">
        <v>-3.15</v>
      </c>
      <c r="L694" t="s">
        <v>7</v>
      </c>
      <c r="M694" t="s">
        <v>7</v>
      </c>
      <c r="N694" t="s">
        <v>7</v>
      </c>
      <c r="P694">
        <f t="shared" si="995"/>
        <v>3.3663366336634359E-2</v>
      </c>
      <c r="Q694">
        <f t="shared" si="996"/>
        <v>15250325.956237938</v>
      </c>
      <c r="R694">
        <f t="shared" si="997"/>
        <v>1755388786.2101338</v>
      </c>
      <c r="S694">
        <f t="shared" si="998"/>
        <v>17553.887862101339</v>
      </c>
      <c r="T694">
        <f t="shared" si="999"/>
        <v>17.553887862101337</v>
      </c>
    </row>
    <row r="695" spans="1:20" x14ac:dyDescent="0.25">
      <c r="A695" s="5">
        <v>43898</v>
      </c>
      <c r="B695">
        <v>4.8759999999999998E-2</v>
      </c>
      <c r="C695">
        <v>4.8759999999999998E-2</v>
      </c>
      <c r="D695">
        <v>4.2320000000000003E-2</v>
      </c>
      <c r="E695">
        <v>4.2909999999999997E-2</v>
      </c>
      <c r="F695">
        <v>338062171.80000001</v>
      </c>
      <c r="G695">
        <v>-12</v>
      </c>
      <c r="L695" t="s">
        <v>7</v>
      </c>
      <c r="M695" t="s">
        <v>7</v>
      </c>
      <c r="N695" t="s">
        <v>7</v>
      </c>
      <c r="P695">
        <f t="shared" si="995"/>
        <v>-0.81677018633540566</v>
      </c>
      <c r="Q695">
        <f t="shared" si="996"/>
        <v>-276119103.05403793</v>
      </c>
      <c r="R695">
        <f t="shared" si="997"/>
        <v>1740138460.2538958</v>
      </c>
      <c r="S695">
        <f t="shared" si="998"/>
        <v>17401.384602538958</v>
      </c>
      <c r="T695">
        <f t="shared" si="999"/>
        <v>17.401384602538958</v>
      </c>
    </row>
    <row r="696" spans="1:20" x14ac:dyDescent="0.25">
      <c r="A696" s="5">
        <v>43897</v>
      </c>
      <c r="B696">
        <v>5.1709999999999999E-2</v>
      </c>
      <c r="C696">
        <v>5.1860000000000003E-2</v>
      </c>
      <c r="D696">
        <v>4.8149999999999998E-2</v>
      </c>
      <c r="E696">
        <v>4.879E-2</v>
      </c>
      <c r="F696">
        <v>159048525.40000001</v>
      </c>
      <c r="G696">
        <v>-5.65</v>
      </c>
      <c r="L696" t="s">
        <v>7</v>
      </c>
      <c r="M696" t="s">
        <v>7</v>
      </c>
      <c r="N696" t="s">
        <v>7</v>
      </c>
      <c r="P696">
        <f t="shared" si="995"/>
        <v>-0.65498652291105075</v>
      </c>
      <c r="Q696">
        <f t="shared" si="996"/>
        <v>-104174640.62587593</v>
      </c>
      <c r="R696">
        <f t="shared" si="997"/>
        <v>2016257563.3079338</v>
      </c>
      <c r="S696">
        <f t="shared" si="998"/>
        <v>20162.575633079337</v>
      </c>
      <c r="T696">
        <f t="shared" si="999"/>
        <v>20.162575633079339</v>
      </c>
    </row>
    <row r="697" spans="1:20" x14ac:dyDescent="0.25">
      <c r="A697" s="5">
        <v>43896</v>
      </c>
      <c r="B697">
        <v>5.0959999999999998E-2</v>
      </c>
      <c r="C697">
        <v>5.1740000000000001E-2</v>
      </c>
      <c r="D697">
        <v>4.9820000000000003E-2</v>
      </c>
      <c r="E697">
        <v>5.1740000000000001E-2</v>
      </c>
      <c r="F697">
        <v>166677789.30000001</v>
      </c>
      <c r="G697">
        <v>1.53</v>
      </c>
      <c r="L697" t="s">
        <v>8</v>
      </c>
      <c r="M697" t="s">
        <v>7</v>
      </c>
      <c r="N697" t="s">
        <v>7</v>
      </c>
      <c r="P697">
        <f t="shared" si="995"/>
        <v>1</v>
      </c>
      <c r="Q697">
        <f t="shared" si="996"/>
        <v>166677789.30000001</v>
      </c>
      <c r="R697">
        <f t="shared" si="997"/>
        <v>2120432203.9338098</v>
      </c>
      <c r="S697">
        <f t="shared" si="998"/>
        <v>21204.322039338098</v>
      </c>
      <c r="T697">
        <f t="shared" si="999"/>
        <v>21.204322039338098</v>
      </c>
    </row>
    <row r="698" spans="1:20" x14ac:dyDescent="0.25">
      <c r="A698" s="5">
        <v>43895</v>
      </c>
      <c r="B698">
        <v>4.8980000000000003E-2</v>
      </c>
      <c r="C698">
        <v>5.2290000000000003E-2</v>
      </c>
      <c r="D698">
        <v>4.8980000000000003E-2</v>
      </c>
      <c r="E698">
        <v>5.0959999999999998E-2</v>
      </c>
      <c r="F698">
        <v>239400269</v>
      </c>
      <c r="G698">
        <v>4.04</v>
      </c>
      <c r="L698" t="s">
        <v>8</v>
      </c>
      <c r="M698" t="s">
        <v>7</v>
      </c>
      <c r="N698" t="s">
        <v>7</v>
      </c>
      <c r="P698">
        <f t="shared" si="995"/>
        <v>0.1963746223564927</v>
      </c>
      <c r="Q698">
        <f t="shared" si="996"/>
        <v>47012137.416917764</v>
      </c>
      <c r="R698">
        <f t="shared" si="997"/>
        <v>1953754414.6338098</v>
      </c>
      <c r="S698">
        <f t="shared" si="998"/>
        <v>19537.544146338099</v>
      </c>
      <c r="T698">
        <f t="shared" si="999"/>
        <v>19.537544146338099</v>
      </c>
    </row>
    <row r="699" spans="1:20" x14ac:dyDescent="0.25">
      <c r="A699" s="5">
        <v>43894</v>
      </c>
      <c r="B699">
        <v>4.8680000000000001E-2</v>
      </c>
      <c r="C699">
        <v>5.0340000000000003E-2</v>
      </c>
      <c r="D699">
        <v>4.7890000000000002E-2</v>
      </c>
      <c r="E699">
        <v>4.8980000000000003E-2</v>
      </c>
      <c r="F699">
        <v>212432446.69999999</v>
      </c>
      <c r="G699">
        <v>0.62</v>
      </c>
      <c r="L699" t="s">
        <v>8</v>
      </c>
      <c r="M699" t="s">
        <v>7</v>
      </c>
      <c r="N699" t="s">
        <v>7</v>
      </c>
      <c r="P699">
        <f t="shared" si="995"/>
        <v>-0.11020408163265279</v>
      </c>
      <c r="Q699">
        <f t="shared" si="996"/>
        <v>-23410922.69755096</v>
      </c>
      <c r="R699">
        <f t="shared" si="997"/>
        <v>1906742277.216892</v>
      </c>
      <c r="S699">
        <f t="shared" si="998"/>
        <v>19067.42277216892</v>
      </c>
      <c r="T699">
        <f t="shared" si="999"/>
        <v>19.067422772168921</v>
      </c>
    </row>
    <row r="700" spans="1:20" x14ac:dyDescent="0.25">
      <c r="A700" s="5">
        <v>43893</v>
      </c>
      <c r="B700">
        <v>4.922E-2</v>
      </c>
      <c r="C700">
        <v>4.9410000000000003E-2</v>
      </c>
      <c r="D700">
        <v>4.743E-2</v>
      </c>
      <c r="E700">
        <v>4.8660000000000002E-2</v>
      </c>
      <c r="F700">
        <v>210562458</v>
      </c>
      <c r="G700">
        <v>-1.1399999999999999</v>
      </c>
      <c r="L700" t="s">
        <v>8</v>
      </c>
      <c r="M700" t="s">
        <v>7</v>
      </c>
      <c r="N700" t="s">
        <v>7</v>
      </c>
      <c r="P700">
        <f t="shared" si="995"/>
        <v>0.24242424242424274</v>
      </c>
      <c r="Q700">
        <f t="shared" si="996"/>
        <v>51045444.363636427</v>
      </c>
      <c r="R700">
        <f t="shared" si="997"/>
        <v>1930153199.914443</v>
      </c>
      <c r="S700">
        <f t="shared" si="998"/>
        <v>19301.53199914443</v>
      </c>
      <c r="T700">
        <f t="shared" si="999"/>
        <v>19.30153199914443</v>
      </c>
    </row>
    <row r="701" spans="1:20" x14ac:dyDescent="0.25">
      <c r="A701" s="5">
        <v>43892</v>
      </c>
      <c r="B701">
        <v>4.5589999999999999E-2</v>
      </c>
      <c r="C701">
        <v>4.9799999999999997E-2</v>
      </c>
      <c r="D701">
        <v>4.5440000000000001E-2</v>
      </c>
      <c r="E701">
        <v>4.9230000000000003E-2</v>
      </c>
      <c r="F701">
        <v>245027392.90000001</v>
      </c>
      <c r="G701">
        <v>7.98</v>
      </c>
      <c r="L701" t="s">
        <v>8</v>
      </c>
      <c r="M701" t="s">
        <v>7</v>
      </c>
      <c r="N701" t="s">
        <v>7</v>
      </c>
      <c r="P701">
        <f t="shared" si="995"/>
        <v>0.73853211009174557</v>
      </c>
      <c r="Q701">
        <f t="shared" si="996"/>
        <v>180960597.5087162</v>
      </c>
      <c r="R701">
        <f t="shared" si="997"/>
        <v>1879107755.5508065</v>
      </c>
      <c r="S701">
        <f t="shared" si="998"/>
        <v>18791.077555508065</v>
      </c>
      <c r="T701">
        <f t="shared" si="999"/>
        <v>18.791077555508064</v>
      </c>
    </row>
    <row r="702" spans="1:20" x14ac:dyDescent="0.25">
      <c r="A702" s="5">
        <v>43891</v>
      </c>
      <c r="B702">
        <v>4.7059999999999998E-2</v>
      </c>
      <c r="C702">
        <v>4.8309999999999999E-2</v>
      </c>
      <c r="D702">
        <v>4.5060000000000003E-2</v>
      </c>
      <c r="E702">
        <v>4.5609999999999998E-2</v>
      </c>
      <c r="F702">
        <v>289344971.60000002</v>
      </c>
      <c r="G702">
        <v>-3.08</v>
      </c>
      <c r="L702" t="s">
        <v>7</v>
      </c>
      <c r="M702" t="s">
        <v>7</v>
      </c>
      <c r="N702" t="s">
        <v>7</v>
      </c>
      <c r="P702">
        <f t="shared" si="995"/>
        <v>-0.66153846153846418</v>
      </c>
      <c r="Q702">
        <f t="shared" si="996"/>
        <v>-191412827.36615464</v>
      </c>
      <c r="R702">
        <f t="shared" si="997"/>
        <v>1698147158.0420904</v>
      </c>
      <c r="S702">
        <f t="shared" si="998"/>
        <v>16981.471580420905</v>
      </c>
      <c r="T702">
        <f t="shared" si="999"/>
        <v>16.981471580420905</v>
      </c>
    </row>
    <row r="703" spans="1:20" x14ac:dyDescent="0.25">
      <c r="A703" s="5">
        <v>43890</v>
      </c>
      <c r="B703">
        <v>4.888E-2</v>
      </c>
      <c r="C703">
        <v>0.05</v>
      </c>
      <c r="D703">
        <v>4.7070000000000001E-2</v>
      </c>
      <c r="E703">
        <v>4.7100000000000003E-2</v>
      </c>
      <c r="F703">
        <v>219715834</v>
      </c>
      <c r="G703">
        <v>-3.64</v>
      </c>
      <c r="L703" t="s">
        <v>7</v>
      </c>
      <c r="M703" t="s">
        <v>7</v>
      </c>
      <c r="N703" t="s">
        <v>7</v>
      </c>
      <c r="P703">
        <f t="shared" si="995"/>
        <v>-0.97952218430033977</v>
      </c>
      <c r="Q703">
        <f t="shared" si="996"/>
        <v>-215216533.64505085</v>
      </c>
      <c r="R703">
        <f t="shared" si="997"/>
        <v>1889559985.4082451</v>
      </c>
      <c r="S703">
        <f t="shared" si="998"/>
        <v>18895.599854082451</v>
      </c>
      <c r="T703">
        <f t="shared" si="999"/>
        <v>18.895599854082452</v>
      </c>
    </row>
    <row r="704" spans="1:20" x14ac:dyDescent="0.25">
      <c r="A704" s="5">
        <v>43889</v>
      </c>
      <c r="B704">
        <v>4.9849999999999998E-2</v>
      </c>
      <c r="C704">
        <v>5.1339999999999997E-2</v>
      </c>
      <c r="D704">
        <v>4.65E-2</v>
      </c>
      <c r="E704">
        <v>4.8849999999999998E-2</v>
      </c>
      <c r="F704">
        <v>341622382.60000002</v>
      </c>
      <c r="G704">
        <v>-2.0099999999999998</v>
      </c>
      <c r="L704" t="s">
        <v>8</v>
      </c>
      <c r="M704" t="s">
        <v>7</v>
      </c>
      <c r="N704" t="s">
        <v>7</v>
      </c>
      <c r="P704">
        <f t="shared" si="995"/>
        <v>-2.8925619834711015E-2</v>
      </c>
      <c r="Q704">
        <f t="shared" si="996"/>
        <v>-9881639.1661157962</v>
      </c>
      <c r="R704">
        <f t="shared" si="997"/>
        <v>2104776519.0532959</v>
      </c>
      <c r="S704">
        <f t="shared" si="998"/>
        <v>21047.765190532959</v>
      </c>
      <c r="T704">
        <f t="shared" si="999"/>
        <v>21.04776519053296</v>
      </c>
    </row>
    <row r="705" spans="1:20" x14ac:dyDescent="0.25">
      <c r="A705" s="5">
        <v>43888</v>
      </c>
      <c r="B705">
        <v>4.9149999999999999E-2</v>
      </c>
      <c r="C705">
        <v>5.2170000000000001E-2</v>
      </c>
      <c r="D705">
        <v>4.6199999999999998E-2</v>
      </c>
      <c r="E705">
        <v>4.9860000000000002E-2</v>
      </c>
      <c r="F705">
        <v>396151349.89999998</v>
      </c>
      <c r="G705">
        <v>1.44</v>
      </c>
      <c r="L705" t="s">
        <v>7</v>
      </c>
      <c r="M705" t="s">
        <v>7</v>
      </c>
      <c r="N705" t="s">
        <v>7</v>
      </c>
      <c r="P705">
        <f t="shared" si="995"/>
        <v>0.22613065326633222</v>
      </c>
      <c r="Q705">
        <f t="shared" si="996"/>
        <v>89581963.54522635</v>
      </c>
      <c r="R705">
        <f t="shared" si="997"/>
        <v>2114658158.2194116</v>
      </c>
      <c r="S705">
        <f t="shared" si="998"/>
        <v>21146.581582194118</v>
      </c>
      <c r="T705">
        <f t="shared" si="999"/>
        <v>21.146581582194116</v>
      </c>
    </row>
    <row r="706" spans="1:20" x14ac:dyDescent="0.25">
      <c r="A706" s="5">
        <v>43887</v>
      </c>
      <c r="B706">
        <v>5.6030000000000003E-2</v>
      </c>
      <c r="C706">
        <v>5.6669999999999998E-2</v>
      </c>
      <c r="D706">
        <v>4.6539999999999998E-2</v>
      </c>
      <c r="E706">
        <v>4.9149999999999999E-2</v>
      </c>
      <c r="F706">
        <v>628740635.60000002</v>
      </c>
      <c r="G706">
        <v>-12.28</v>
      </c>
      <c r="L706" t="s">
        <v>7</v>
      </c>
      <c r="M706" t="s">
        <v>7</v>
      </c>
      <c r="N706" t="s">
        <v>7</v>
      </c>
      <c r="P706">
        <f t="shared" si="995"/>
        <v>-0.48469891411648547</v>
      </c>
      <c r="Q706">
        <f t="shared" si="996"/>
        <v>-304749903.33622891</v>
      </c>
      <c r="R706">
        <f t="shared" si="997"/>
        <v>2025076194.6741853</v>
      </c>
      <c r="S706">
        <f t="shared" si="998"/>
        <v>20250.761946741852</v>
      </c>
      <c r="T706">
        <f t="shared" si="999"/>
        <v>20.25076194674185</v>
      </c>
    </row>
    <row r="707" spans="1:20" x14ac:dyDescent="0.25">
      <c r="A707" s="5">
        <v>43886</v>
      </c>
      <c r="B707">
        <v>5.9060000000000001E-2</v>
      </c>
      <c r="C707">
        <v>5.9159999999999997E-2</v>
      </c>
      <c r="D707">
        <v>5.5849999999999997E-2</v>
      </c>
      <c r="E707">
        <v>5.6030000000000003E-2</v>
      </c>
      <c r="F707">
        <v>252035011.90000001</v>
      </c>
      <c r="G707">
        <v>-5.13</v>
      </c>
      <c r="L707" t="s">
        <v>7</v>
      </c>
      <c r="M707" t="s">
        <v>7</v>
      </c>
      <c r="N707" t="s">
        <v>8</v>
      </c>
      <c r="P707">
        <f t="shared" si="995"/>
        <v>-0.89123867069486007</v>
      </c>
      <c r="Q707">
        <f t="shared" si="996"/>
        <v>-224623348.97431925</v>
      </c>
      <c r="R707">
        <f t="shared" si="997"/>
        <v>2329826098.0104141</v>
      </c>
      <c r="S707">
        <f t="shared" si="998"/>
        <v>23298.26098010414</v>
      </c>
      <c r="T707">
        <f t="shared" si="999"/>
        <v>23.298260980104139</v>
      </c>
    </row>
    <row r="708" spans="1:20" x14ac:dyDescent="0.25">
      <c r="A708" s="5">
        <v>43885</v>
      </c>
      <c r="B708">
        <v>6.1429999999999998E-2</v>
      </c>
      <c r="C708">
        <v>6.1800000000000001E-2</v>
      </c>
      <c r="D708">
        <v>5.7290000000000001E-2</v>
      </c>
      <c r="E708">
        <v>5.9060000000000001E-2</v>
      </c>
      <c r="F708">
        <v>239584286.30000001</v>
      </c>
      <c r="G708">
        <v>-3.86</v>
      </c>
      <c r="L708" t="s">
        <v>7</v>
      </c>
      <c r="M708" t="s">
        <v>7</v>
      </c>
      <c r="N708" t="s">
        <v>8</v>
      </c>
      <c r="P708">
        <f t="shared" si="995"/>
        <v>-0.21507760532150746</v>
      </c>
      <c r="Q708">
        <f t="shared" si="996"/>
        <v>-51529214.570066452</v>
      </c>
      <c r="R708">
        <f t="shared" si="997"/>
        <v>2554449446.9847336</v>
      </c>
      <c r="S708">
        <f t="shared" si="998"/>
        <v>25544.494469847337</v>
      </c>
      <c r="T708">
        <f t="shared" si="999"/>
        <v>25.544494469847336</v>
      </c>
    </row>
    <row r="709" spans="1:20" x14ac:dyDescent="0.25">
      <c r="A709" s="5">
        <v>43884</v>
      </c>
      <c r="B709">
        <v>5.8189999999999999E-2</v>
      </c>
      <c r="C709">
        <v>6.2E-2</v>
      </c>
      <c r="D709">
        <v>5.8099999999999999E-2</v>
      </c>
      <c r="E709">
        <v>6.1449999999999998E-2</v>
      </c>
      <c r="F709">
        <v>182144312</v>
      </c>
      <c r="G709">
        <v>5.6</v>
      </c>
      <c r="L709" t="s">
        <v>8</v>
      </c>
      <c r="M709" t="s">
        <v>7</v>
      </c>
      <c r="N709" t="s">
        <v>8</v>
      </c>
      <c r="P709">
        <f t="shared" si="995"/>
        <v>0.71794871794871706</v>
      </c>
      <c r="Q709">
        <f t="shared" si="996"/>
        <v>130770275.28205112</v>
      </c>
      <c r="R709">
        <f t="shared" si="997"/>
        <v>2605978661.5548</v>
      </c>
      <c r="S709">
        <f t="shared" si="998"/>
        <v>26059.786615548001</v>
      </c>
      <c r="T709">
        <f t="shared" si="999"/>
        <v>26.059786615547999</v>
      </c>
    </row>
    <row r="710" spans="1:20" x14ac:dyDescent="0.25">
      <c r="A710" s="5">
        <v>43883</v>
      </c>
      <c r="B710">
        <v>5.8560000000000001E-2</v>
      </c>
      <c r="C710">
        <v>5.9089999999999997E-2</v>
      </c>
      <c r="D710">
        <v>5.6959999999999997E-2</v>
      </c>
      <c r="E710">
        <v>5.8250000000000003E-2</v>
      </c>
      <c r="F710">
        <v>137773571.5</v>
      </c>
      <c r="G710">
        <v>-0.53</v>
      </c>
      <c r="L710" t="s">
        <v>8</v>
      </c>
      <c r="M710" t="s">
        <v>7</v>
      </c>
      <c r="N710" t="s">
        <v>8</v>
      </c>
      <c r="P710">
        <f t="shared" ref="P710:P766" si="1000">IF(C710=D710,0,((E710-D710)-(C710-E710))/(C710-D710))</f>
        <v>0.21126760563380886</v>
      </c>
      <c r="Q710">
        <f t="shared" ref="Q710:Q766" si="1001">F710*P710</f>
        <v>29107092.570423368</v>
      </c>
      <c r="R710">
        <f t="shared" ref="R710:R766" si="1002">R711+Q710</f>
        <v>2475208386.2727489</v>
      </c>
      <c r="S710">
        <f t="shared" ref="S710:S766" si="1003">R710/100000</f>
        <v>24752.08386272749</v>
      </c>
      <c r="T710">
        <f t="shared" ref="T710:T766" si="1004">S710/1000</f>
        <v>24.752083862727488</v>
      </c>
    </row>
    <row r="711" spans="1:20" x14ac:dyDescent="0.25">
      <c r="A711" s="5">
        <v>43882</v>
      </c>
      <c r="B711">
        <v>5.8169999999999999E-2</v>
      </c>
      <c r="C711">
        <v>0.06</v>
      </c>
      <c r="D711">
        <v>5.738E-2</v>
      </c>
      <c r="E711">
        <v>5.8529999999999999E-2</v>
      </c>
      <c r="F711">
        <v>207696100.5</v>
      </c>
      <c r="G711">
        <v>0.62</v>
      </c>
      <c r="L711" t="s">
        <v>8</v>
      </c>
      <c r="M711" t="s">
        <v>7</v>
      </c>
      <c r="N711" t="s">
        <v>8</v>
      </c>
      <c r="P711">
        <f t="shared" si="1000"/>
        <v>-0.12213740458015311</v>
      </c>
      <c r="Q711">
        <f t="shared" si="1001"/>
        <v>-25367462.656488642</v>
      </c>
      <c r="R711">
        <f t="shared" si="1002"/>
        <v>2446101293.7023253</v>
      </c>
      <c r="S711">
        <f t="shared" si="1003"/>
        <v>24461.012937023253</v>
      </c>
      <c r="T711">
        <f t="shared" si="1004"/>
        <v>24.461012937023252</v>
      </c>
    </row>
    <row r="712" spans="1:20" x14ac:dyDescent="0.25">
      <c r="A712" s="5">
        <v>43881</v>
      </c>
      <c r="B712">
        <v>5.731E-2</v>
      </c>
      <c r="C712">
        <v>5.8939999999999999E-2</v>
      </c>
      <c r="D712">
        <v>5.5149999999999998E-2</v>
      </c>
      <c r="E712">
        <v>5.815E-2</v>
      </c>
      <c r="F712">
        <v>307618869.89999998</v>
      </c>
      <c r="G712">
        <v>1.47</v>
      </c>
      <c r="L712" t="s">
        <v>7</v>
      </c>
      <c r="M712" t="s">
        <v>7</v>
      </c>
      <c r="N712" t="s">
        <v>8</v>
      </c>
      <c r="P712">
        <f t="shared" si="1000"/>
        <v>0.58311345646438062</v>
      </c>
      <c r="Q712">
        <f t="shared" si="1001"/>
        <v>179376702.5010556</v>
      </c>
      <c r="R712">
        <f t="shared" si="1002"/>
        <v>2471468756.3588138</v>
      </c>
      <c r="S712">
        <f t="shared" si="1003"/>
        <v>24714.687563588137</v>
      </c>
      <c r="T712">
        <f t="shared" si="1004"/>
        <v>24.714687563588136</v>
      </c>
    </row>
    <row r="713" spans="1:20" x14ac:dyDescent="0.25">
      <c r="A713" s="5">
        <v>43880</v>
      </c>
      <c r="B713">
        <v>6.2789999999999999E-2</v>
      </c>
      <c r="C713">
        <v>6.3E-2</v>
      </c>
      <c r="D713">
        <v>5.6520000000000001E-2</v>
      </c>
      <c r="E713">
        <v>5.7369999999999997E-2</v>
      </c>
      <c r="F713">
        <v>243037174.09999999</v>
      </c>
      <c r="G713">
        <v>-8.6300000000000008</v>
      </c>
      <c r="L713" t="s">
        <v>7</v>
      </c>
      <c r="M713" t="s">
        <v>7</v>
      </c>
      <c r="N713" t="s">
        <v>8</v>
      </c>
      <c r="P713">
        <f t="shared" si="1000"/>
        <v>-0.73765432098765538</v>
      </c>
      <c r="Q713">
        <f t="shared" si="1001"/>
        <v>-179277421.63549408</v>
      </c>
      <c r="R713">
        <f t="shared" si="1002"/>
        <v>2292092053.857758</v>
      </c>
      <c r="S713">
        <f t="shared" si="1003"/>
        <v>22920.920538577582</v>
      </c>
      <c r="T713">
        <f t="shared" si="1004"/>
        <v>22.920920538577583</v>
      </c>
    </row>
    <row r="714" spans="1:20" x14ac:dyDescent="0.25">
      <c r="A714" s="5">
        <v>43879</v>
      </c>
      <c r="B714">
        <v>6.0199999999999997E-2</v>
      </c>
      <c r="C714">
        <v>6.3729999999999995E-2</v>
      </c>
      <c r="D714">
        <v>5.7709999999999997E-2</v>
      </c>
      <c r="E714">
        <v>6.2740000000000004E-2</v>
      </c>
      <c r="F714">
        <v>397628983.69999999</v>
      </c>
      <c r="G714">
        <v>4.22</v>
      </c>
      <c r="L714" t="s">
        <v>8</v>
      </c>
      <c r="M714" t="s">
        <v>7</v>
      </c>
      <c r="N714" t="s">
        <v>8</v>
      </c>
      <c r="P714">
        <f t="shared" si="1000"/>
        <v>0.67109634551495301</v>
      </c>
      <c r="Q714">
        <f t="shared" si="1001"/>
        <v>266847357.83189481</v>
      </c>
      <c r="R714">
        <f t="shared" si="1002"/>
        <v>2471369475.4932523</v>
      </c>
      <c r="S714">
        <f t="shared" si="1003"/>
        <v>24713.694754932523</v>
      </c>
      <c r="T714">
        <f t="shared" si="1004"/>
        <v>24.713694754932522</v>
      </c>
    </row>
    <row r="715" spans="1:20" x14ac:dyDescent="0.25">
      <c r="A715" s="5">
        <v>43878</v>
      </c>
      <c r="B715">
        <v>6.1449999999999998E-2</v>
      </c>
      <c r="C715">
        <v>6.2700000000000006E-2</v>
      </c>
      <c r="D715">
        <v>5.5719999999999999E-2</v>
      </c>
      <c r="E715">
        <v>6.019E-2</v>
      </c>
      <c r="F715">
        <v>444539698.10000002</v>
      </c>
      <c r="G715">
        <v>-2.0499999999999998</v>
      </c>
      <c r="L715" t="s">
        <v>7</v>
      </c>
      <c r="M715" t="s">
        <v>7</v>
      </c>
      <c r="N715" t="s">
        <v>8</v>
      </c>
      <c r="P715">
        <f t="shared" si="1000"/>
        <v>0.28080229226360953</v>
      </c>
      <c r="Q715">
        <f t="shared" si="1001"/>
        <v>124827766.22865295</v>
      </c>
      <c r="R715">
        <f t="shared" si="1002"/>
        <v>2204522117.6613574</v>
      </c>
      <c r="S715">
        <f t="shared" si="1003"/>
        <v>22045.221176613573</v>
      </c>
      <c r="T715">
        <f t="shared" si="1004"/>
        <v>22.045221176613573</v>
      </c>
    </row>
    <row r="716" spans="1:20" x14ac:dyDescent="0.25">
      <c r="A716" s="5">
        <v>43877</v>
      </c>
      <c r="B716">
        <v>6.4229999999999995E-2</v>
      </c>
      <c r="C716">
        <v>6.7129999999999995E-2</v>
      </c>
      <c r="D716">
        <v>5.6689999999999997E-2</v>
      </c>
      <c r="E716">
        <v>6.1460000000000001E-2</v>
      </c>
      <c r="F716">
        <v>475885586.60000002</v>
      </c>
      <c r="G716">
        <v>-4.3099999999999996</v>
      </c>
      <c r="L716" t="s">
        <v>7</v>
      </c>
      <c r="M716" t="s">
        <v>7</v>
      </c>
      <c r="N716" t="s">
        <v>8</v>
      </c>
      <c r="P716">
        <f t="shared" si="1000"/>
        <v>-8.6206896551723297E-2</v>
      </c>
      <c r="Q716">
        <f t="shared" si="1001"/>
        <v>-41024619.53448236</v>
      </c>
      <c r="R716">
        <f t="shared" si="1002"/>
        <v>2079694351.4327044</v>
      </c>
      <c r="S716">
        <f t="shared" si="1003"/>
        <v>20796.943514327046</v>
      </c>
      <c r="T716">
        <f t="shared" si="1004"/>
        <v>20.796943514327047</v>
      </c>
    </row>
    <row r="717" spans="1:20" x14ac:dyDescent="0.25">
      <c r="A717" s="5">
        <v>43876</v>
      </c>
      <c r="B717">
        <v>7.0709999999999995E-2</v>
      </c>
      <c r="C717">
        <v>7.1360000000000007E-2</v>
      </c>
      <c r="D717">
        <v>6.234E-2</v>
      </c>
      <c r="E717">
        <v>6.4259999999999998E-2</v>
      </c>
      <c r="F717">
        <v>397183062.69999999</v>
      </c>
      <c r="G717">
        <v>-9.1199999999999992</v>
      </c>
      <c r="L717" t="s">
        <v>7</v>
      </c>
      <c r="M717" t="s">
        <v>8</v>
      </c>
      <c r="N717" t="s">
        <v>8</v>
      </c>
      <c r="P717">
        <f t="shared" si="1000"/>
        <v>-0.57427937915742866</v>
      </c>
      <c r="Q717">
        <f t="shared" si="1001"/>
        <v>-228094042.65920204</v>
      </c>
      <c r="R717">
        <f t="shared" si="1002"/>
        <v>2120718970.9671869</v>
      </c>
      <c r="S717">
        <f t="shared" si="1003"/>
        <v>21207.189709671868</v>
      </c>
      <c r="T717">
        <f t="shared" si="1004"/>
        <v>21.207189709671869</v>
      </c>
    </row>
    <row r="718" spans="1:20" x14ac:dyDescent="0.25">
      <c r="A718" s="5">
        <v>43875</v>
      </c>
      <c r="B718">
        <v>6.8680000000000005E-2</v>
      </c>
      <c r="C718">
        <v>7.127E-2</v>
      </c>
      <c r="D718">
        <v>6.7119999999999999E-2</v>
      </c>
      <c r="E718">
        <v>7.0739999999999997E-2</v>
      </c>
      <c r="F718">
        <v>299318987.89999998</v>
      </c>
      <c r="G718">
        <v>3</v>
      </c>
      <c r="L718" t="s">
        <v>7</v>
      </c>
      <c r="M718" t="s">
        <v>8</v>
      </c>
      <c r="N718" t="s">
        <v>8</v>
      </c>
      <c r="P718">
        <f t="shared" si="1000"/>
        <v>0.74457831325301083</v>
      </c>
      <c r="Q718">
        <f t="shared" si="1001"/>
        <v>222866427.13518035</v>
      </c>
      <c r="R718">
        <f t="shared" si="1002"/>
        <v>2348813013.626389</v>
      </c>
      <c r="S718">
        <f t="shared" si="1003"/>
        <v>23488.130136263891</v>
      </c>
      <c r="T718">
        <f t="shared" si="1004"/>
        <v>23.488130136263891</v>
      </c>
    </row>
    <row r="719" spans="1:20" x14ac:dyDescent="0.25">
      <c r="A719" s="5">
        <v>43874</v>
      </c>
      <c r="B719">
        <v>6.8199999999999997E-2</v>
      </c>
      <c r="C719">
        <v>7.2309999999999999E-2</v>
      </c>
      <c r="D719">
        <v>6.4810000000000006E-2</v>
      </c>
      <c r="E719">
        <v>6.8669999999999995E-2</v>
      </c>
      <c r="F719">
        <v>517671388.60000002</v>
      </c>
      <c r="G719">
        <v>0.69</v>
      </c>
      <c r="L719" t="s">
        <v>8</v>
      </c>
      <c r="M719" t="s">
        <v>8</v>
      </c>
      <c r="N719" t="s">
        <v>8</v>
      </c>
      <c r="P719">
        <f t="shared" si="1000"/>
        <v>2.9333333333331241E-2</v>
      </c>
      <c r="Q719">
        <f t="shared" si="1001"/>
        <v>15185027.39893225</v>
      </c>
      <c r="R719">
        <f t="shared" si="1002"/>
        <v>2125946586.4912088</v>
      </c>
      <c r="S719">
        <f t="shared" si="1003"/>
        <v>21259.465864912087</v>
      </c>
      <c r="T719">
        <f t="shared" si="1004"/>
        <v>21.259465864912087</v>
      </c>
    </row>
    <row r="720" spans="1:20" x14ac:dyDescent="0.25">
      <c r="A720" s="5">
        <v>43873</v>
      </c>
      <c r="B720">
        <v>6.3390000000000002E-2</v>
      </c>
      <c r="C720">
        <v>7.034E-2</v>
      </c>
      <c r="D720">
        <v>6.336E-2</v>
      </c>
      <c r="E720">
        <v>6.8169999999999994E-2</v>
      </c>
      <c r="F720">
        <v>457749344.80000001</v>
      </c>
      <c r="G720">
        <v>7.54</v>
      </c>
      <c r="L720" t="s">
        <v>8</v>
      </c>
      <c r="M720" t="s">
        <v>8</v>
      </c>
      <c r="N720" t="s">
        <v>8</v>
      </c>
      <c r="P720">
        <f t="shared" si="1000"/>
        <v>0.37822349570200425</v>
      </c>
      <c r="Q720">
        <f t="shared" si="1001"/>
        <v>173131557.34555808</v>
      </c>
      <c r="R720">
        <f t="shared" si="1002"/>
        <v>2110761559.0922766</v>
      </c>
      <c r="S720">
        <f t="shared" si="1003"/>
        <v>21107.615590922767</v>
      </c>
      <c r="T720">
        <f t="shared" si="1004"/>
        <v>21.107615590922766</v>
      </c>
    </row>
    <row r="721" spans="1:20" x14ac:dyDescent="0.25">
      <c r="A721" s="5">
        <v>43872</v>
      </c>
      <c r="B721">
        <v>6.0269999999999997E-2</v>
      </c>
      <c r="C721">
        <v>6.3500000000000001E-2</v>
      </c>
      <c r="D721">
        <v>5.8900000000000001E-2</v>
      </c>
      <c r="E721">
        <v>6.3350000000000004E-2</v>
      </c>
      <c r="F721">
        <v>272124502.19999999</v>
      </c>
      <c r="G721">
        <v>5.1100000000000003</v>
      </c>
      <c r="L721" t="s">
        <v>8</v>
      </c>
      <c r="M721" t="s">
        <v>8</v>
      </c>
      <c r="N721" t="s">
        <v>8</v>
      </c>
      <c r="P721">
        <f t="shared" si="1000"/>
        <v>0.93478260869565333</v>
      </c>
      <c r="Q721">
        <f t="shared" si="1001"/>
        <v>254377252.05652204</v>
      </c>
      <c r="R721">
        <f t="shared" si="1002"/>
        <v>1937630001.7467184</v>
      </c>
      <c r="S721">
        <f t="shared" si="1003"/>
        <v>19376.300017467183</v>
      </c>
      <c r="T721">
        <f t="shared" si="1004"/>
        <v>19.376300017467184</v>
      </c>
    </row>
    <row r="722" spans="1:20" x14ac:dyDescent="0.25">
      <c r="A722" s="5">
        <v>43871</v>
      </c>
      <c r="B722">
        <v>6.1879999999999998E-2</v>
      </c>
      <c r="C722">
        <v>6.2100000000000002E-2</v>
      </c>
      <c r="D722">
        <v>5.8400000000000001E-2</v>
      </c>
      <c r="E722">
        <v>6.0290000000000003E-2</v>
      </c>
      <c r="F722">
        <v>261446204.59999999</v>
      </c>
      <c r="G722">
        <v>-2.57</v>
      </c>
      <c r="L722" t="s">
        <v>8</v>
      </c>
      <c r="M722" t="s">
        <v>8</v>
      </c>
      <c r="N722" t="s">
        <v>8</v>
      </c>
      <c r="P722">
        <f t="shared" si="1000"/>
        <v>2.1621621621622605E-2</v>
      </c>
      <c r="Q722">
        <f t="shared" si="1001"/>
        <v>5652890.910270527</v>
      </c>
      <c r="R722">
        <f t="shared" si="1002"/>
        <v>1683252749.6901963</v>
      </c>
      <c r="S722">
        <f t="shared" si="1003"/>
        <v>16832.527496901963</v>
      </c>
      <c r="T722">
        <f t="shared" si="1004"/>
        <v>16.832527496901964</v>
      </c>
    </row>
    <row r="723" spans="1:20" x14ac:dyDescent="0.25">
      <c r="A723" s="5">
        <v>43870</v>
      </c>
      <c r="B723">
        <v>6.0010000000000001E-2</v>
      </c>
      <c r="C723">
        <v>6.2399999999999997E-2</v>
      </c>
      <c r="D723">
        <v>5.9970000000000002E-2</v>
      </c>
      <c r="E723">
        <v>6.1879999999999998E-2</v>
      </c>
      <c r="F723">
        <v>200981732.09999999</v>
      </c>
      <c r="G723">
        <v>3.12</v>
      </c>
      <c r="L723" t="s">
        <v>8</v>
      </c>
      <c r="M723" t="s">
        <v>8</v>
      </c>
      <c r="N723" t="s">
        <v>8</v>
      </c>
      <c r="P723">
        <f t="shared" si="1000"/>
        <v>0.57201646090534919</v>
      </c>
      <c r="Q723">
        <f t="shared" si="1001"/>
        <v>114964859.10246901</v>
      </c>
      <c r="R723">
        <f t="shared" si="1002"/>
        <v>1677599858.7799258</v>
      </c>
      <c r="S723">
        <f t="shared" si="1003"/>
        <v>16775.998587799259</v>
      </c>
      <c r="T723">
        <f t="shared" si="1004"/>
        <v>16.775998587799258</v>
      </c>
    </row>
    <row r="724" spans="1:20" x14ac:dyDescent="0.25">
      <c r="A724" s="5">
        <v>43869</v>
      </c>
      <c r="B724">
        <v>5.987E-2</v>
      </c>
      <c r="C724">
        <v>6.1350000000000002E-2</v>
      </c>
      <c r="D724">
        <v>5.7029999999999997E-2</v>
      </c>
      <c r="E724">
        <v>6.0019999999999997E-2</v>
      </c>
      <c r="F724">
        <v>244212016.19999999</v>
      </c>
      <c r="G724">
        <v>0.25</v>
      </c>
      <c r="L724" t="s">
        <v>7</v>
      </c>
      <c r="M724" t="s">
        <v>8</v>
      </c>
      <c r="N724" t="s">
        <v>8</v>
      </c>
      <c r="P724">
        <f t="shared" si="1000"/>
        <v>0.38425925925925769</v>
      </c>
      <c r="Q724">
        <f t="shared" si="1001"/>
        <v>93840728.44722183</v>
      </c>
      <c r="R724">
        <f t="shared" si="1002"/>
        <v>1562634999.6774569</v>
      </c>
      <c r="S724">
        <f t="shared" si="1003"/>
        <v>15626.349996774568</v>
      </c>
      <c r="T724">
        <f t="shared" si="1004"/>
        <v>15.626349996774568</v>
      </c>
    </row>
    <row r="725" spans="1:20" x14ac:dyDescent="0.25">
      <c r="A725" s="5">
        <v>43868</v>
      </c>
      <c r="B725">
        <v>6.0109999999999997E-2</v>
      </c>
      <c r="C725">
        <v>6.2789999999999999E-2</v>
      </c>
      <c r="D725">
        <v>5.9400000000000001E-2</v>
      </c>
      <c r="E725">
        <v>5.987E-2</v>
      </c>
      <c r="F725">
        <v>291231933</v>
      </c>
      <c r="G725">
        <v>-0.4</v>
      </c>
      <c r="L725" t="s">
        <v>8</v>
      </c>
      <c r="M725" t="s">
        <v>8</v>
      </c>
      <c r="N725" t="s">
        <v>8</v>
      </c>
      <c r="P725">
        <f t="shared" si="1000"/>
        <v>-0.72271386430678553</v>
      </c>
      <c r="Q725">
        <f t="shared" si="1001"/>
        <v>-210477355.70796487</v>
      </c>
      <c r="R725">
        <f t="shared" si="1002"/>
        <v>1468794271.2302351</v>
      </c>
      <c r="S725">
        <f t="shared" si="1003"/>
        <v>14687.942712302351</v>
      </c>
      <c r="T725">
        <f t="shared" si="1004"/>
        <v>14.68794271230235</v>
      </c>
    </row>
    <row r="726" spans="1:20" x14ac:dyDescent="0.25">
      <c r="A726" s="5">
        <v>43867</v>
      </c>
      <c r="B726">
        <v>5.9310000000000002E-2</v>
      </c>
      <c r="C726">
        <v>6.0879999999999997E-2</v>
      </c>
      <c r="D726">
        <v>5.7950000000000002E-2</v>
      </c>
      <c r="E726">
        <v>6.0080000000000001E-2</v>
      </c>
      <c r="F726">
        <v>349428025.19999999</v>
      </c>
      <c r="G726">
        <v>1.3</v>
      </c>
      <c r="L726" t="s">
        <v>8</v>
      </c>
      <c r="M726" t="s">
        <v>8</v>
      </c>
      <c r="N726" t="s">
        <v>8</v>
      </c>
      <c r="P726">
        <f t="shared" si="1000"/>
        <v>0.45392491467577029</v>
      </c>
      <c r="Q726">
        <f t="shared" si="1001"/>
        <v>158614086.52423289</v>
      </c>
      <c r="R726">
        <f t="shared" si="1002"/>
        <v>1679271626.9382</v>
      </c>
      <c r="S726">
        <f t="shared" si="1003"/>
        <v>16792.716269381999</v>
      </c>
      <c r="T726">
        <f t="shared" si="1004"/>
        <v>16.792716269381998</v>
      </c>
    </row>
    <row r="727" spans="1:20" x14ac:dyDescent="0.25">
      <c r="A727" s="5">
        <v>43866</v>
      </c>
      <c r="B727">
        <v>5.6009999999999997E-2</v>
      </c>
      <c r="C727">
        <v>6.019E-2</v>
      </c>
      <c r="D727">
        <v>5.561E-2</v>
      </c>
      <c r="E727">
        <v>5.9330000000000001E-2</v>
      </c>
      <c r="F727">
        <v>340602221.60000002</v>
      </c>
      <c r="G727">
        <v>5.93</v>
      </c>
      <c r="L727" t="s">
        <v>8</v>
      </c>
      <c r="M727" t="s">
        <v>8</v>
      </c>
      <c r="N727" t="s">
        <v>8</v>
      </c>
      <c r="P727">
        <f t="shared" si="1000"/>
        <v>0.62445414847161596</v>
      </c>
      <c r="Q727">
        <f t="shared" si="1001"/>
        <v>212690470.25676864</v>
      </c>
      <c r="R727">
        <f t="shared" si="1002"/>
        <v>1520657540.4139671</v>
      </c>
      <c r="S727">
        <f t="shared" si="1003"/>
        <v>15206.575404139672</v>
      </c>
      <c r="T727">
        <f t="shared" si="1004"/>
        <v>15.206575404139672</v>
      </c>
    </row>
    <row r="728" spans="1:20" x14ac:dyDescent="0.25">
      <c r="A728" s="5">
        <v>43865</v>
      </c>
      <c r="B728">
        <v>5.6980000000000003E-2</v>
      </c>
      <c r="C728">
        <v>5.7880000000000001E-2</v>
      </c>
      <c r="D728">
        <v>5.3949999999999998E-2</v>
      </c>
      <c r="E728">
        <v>5.6009999999999997E-2</v>
      </c>
      <c r="F728">
        <v>290866580.69999999</v>
      </c>
      <c r="G728">
        <v>-1.7</v>
      </c>
      <c r="L728" t="s">
        <v>7</v>
      </c>
      <c r="M728" t="s">
        <v>8</v>
      </c>
      <c r="N728" t="s">
        <v>8</v>
      </c>
      <c r="P728">
        <f t="shared" si="1000"/>
        <v>4.8346055979642644E-2</v>
      </c>
      <c r="Q728">
        <f t="shared" si="1001"/>
        <v>14062251.993129443</v>
      </c>
      <c r="R728">
        <f t="shared" si="1002"/>
        <v>1307967070.1571984</v>
      </c>
      <c r="S728">
        <f t="shared" si="1003"/>
        <v>13079.670701571984</v>
      </c>
      <c r="T728">
        <f t="shared" si="1004"/>
        <v>13.079670701571985</v>
      </c>
    </row>
    <row r="729" spans="1:20" x14ac:dyDescent="0.25">
      <c r="A729" s="5">
        <v>43864</v>
      </c>
      <c r="B729">
        <v>5.5719999999999999E-2</v>
      </c>
      <c r="C729">
        <v>5.7849999999999999E-2</v>
      </c>
      <c r="D729">
        <v>5.5280000000000003E-2</v>
      </c>
      <c r="E729">
        <v>5.6959999999999997E-2</v>
      </c>
      <c r="F729">
        <v>293324470.89999998</v>
      </c>
      <c r="G729">
        <v>2.23</v>
      </c>
      <c r="L729" t="s">
        <v>8</v>
      </c>
      <c r="M729" t="s">
        <v>8</v>
      </c>
      <c r="N729" t="s">
        <v>8</v>
      </c>
      <c r="P729">
        <f t="shared" si="1000"/>
        <v>0.30739299610894683</v>
      </c>
      <c r="Q729">
        <f t="shared" si="1001"/>
        <v>90165887.942022577</v>
      </c>
      <c r="R729">
        <f t="shared" si="1002"/>
        <v>1293904818.1640689</v>
      </c>
      <c r="S729">
        <f t="shared" si="1003"/>
        <v>12939.04818164069</v>
      </c>
      <c r="T729">
        <f t="shared" si="1004"/>
        <v>12.93904818164069</v>
      </c>
    </row>
    <row r="730" spans="1:20" x14ac:dyDescent="0.25">
      <c r="A730" s="5">
        <v>43863</v>
      </c>
      <c r="B730">
        <v>5.6079999999999998E-2</v>
      </c>
      <c r="C730">
        <v>5.8700000000000002E-2</v>
      </c>
      <c r="D730">
        <v>5.4890000000000001E-2</v>
      </c>
      <c r="E730">
        <v>5.57E-2</v>
      </c>
      <c r="F730">
        <v>534062511.39999998</v>
      </c>
      <c r="G730">
        <v>-0.68</v>
      </c>
      <c r="L730" t="s">
        <v>8</v>
      </c>
      <c r="M730" t="s">
        <v>8</v>
      </c>
      <c r="N730" t="s">
        <v>8</v>
      </c>
      <c r="P730">
        <f t="shared" si="1000"/>
        <v>-0.57480314960630019</v>
      </c>
      <c r="Q730">
        <f t="shared" si="1001"/>
        <v>-306980813.63937056</v>
      </c>
      <c r="R730">
        <f t="shared" si="1002"/>
        <v>1203738930.2220464</v>
      </c>
      <c r="S730">
        <f t="shared" si="1003"/>
        <v>12037.389302220463</v>
      </c>
      <c r="T730">
        <f t="shared" si="1004"/>
        <v>12.037389302220463</v>
      </c>
    </row>
    <row r="731" spans="1:20" x14ac:dyDescent="0.25">
      <c r="A731" s="5">
        <v>43862</v>
      </c>
      <c r="B731">
        <v>5.3900000000000003E-2</v>
      </c>
      <c r="C731">
        <v>5.7230000000000003E-2</v>
      </c>
      <c r="D731">
        <v>5.3120000000000001E-2</v>
      </c>
      <c r="E731">
        <v>5.6099999999999997E-2</v>
      </c>
      <c r="F731">
        <v>316991127.69999999</v>
      </c>
      <c r="G731">
        <v>4.08</v>
      </c>
      <c r="L731" t="s">
        <v>7</v>
      </c>
      <c r="M731" t="s">
        <v>8</v>
      </c>
      <c r="N731" t="s">
        <v>8</v>
      </c>
      <c r="P731">
        <f t="shared" si="1000"/>
        <v>0.45012165450121394</v>
      </c>
      <c r="Q731">
        <f t="shared" si="1001"/>
        <v>142684570.86252958</v>
      </c>
      <c r="R731">
        <f t="shared" si="1002"/>
        <v>1510719743.8614168</v>
      </c>
      <c r="S731">
        <f t="shared" si="1003"/>
        <v>15107.197438614168</v>
      </c>
      <c r="T731">
        <f t="shared" si="1004"/>
        <v>15.107197438614168</v>
      </c>
    </row>
    <row r="732" spans="1:20" x14ac:dyDescent="0.25">
      <c r="A732" s="5">
        <v>43861</v>
      </c>
      <c r="B732">
        <v>5.6140000000000002E-2</v>
      </c>
      <c r="C732">
        <v>5.6800000000000003E-2</v>
      </c>
      <c r="D732">
        <v>5.2150000000000002E-2</v>
      </c>
      <c r="E732">
        <v>5.3900000000000003E-2</v>
      </c>
      <c r="F732">
        <v>433767507</v>
      </c>
      <c r="G732">
        <v>-3.99</v>
      </c>
      <c r="L732" t="s">
        <v>8</v>
      </c>
      <c r="M732" t="s">
        <v>8</v>
      </c>
      <c r="N732" t="s">
        <v>8</v>
      </c>
      <c r="P732">
        <f t="shared" si="1000"/>
        <v>-0.24731182795698881</v>
      </c>
      <c r="Q732">
        <f t="shared" si="1001"/>
        <v>-107275835.06451593</v>
      </c>
      <c r="R732">
        <f t="shared" si="1002"/>
        <v>1368035172.9988873</v>
      </c>
      <c r="S732">
        <f t="shared" si="1003"/>
        <v>13680.351729988874</v>
      </c>
      <c r="T732">
        <f t="shared" si="1004"/>
        <v>13.680351729988873</v>
      </c>
    </row>
    <row r="733" spans="1:20" x14ac:dyDescent="0.25">
      <c r="A733" s="5">
        <v>43860</v>
      </c>
      <c r="B733">
        <v>5.33E-2</v>
      </c>
      <c r="C733">
        <v>5.7299999999999997E-2</v>
      </c>
      <c r="D733">
        <v>5.2179999999999997E-2</v>
      </c>
      <c r="E733">
        <v>5.6140000000000002E-2</v>
      </c>
      <c r="F733">
        <v>440823391.80000001</v>
      </c>
      <c r="G733">
        <v>5.33</v>
      </c>
      <c r="L733" t="s">
        <v>7</v>
      </c>
      <c r="M733" t="s">
        <v>8</v>
      </c>
      <c r="N733" t="s">
        <v>8</v>
      </c>
      <c r="P733">
        <f t="shared" si="1000"/>
        <v>0.54687500000000211</v>
      </c>
      <c r="Q733">
        <f t="shared" si="1001"/>
        <v>241075292.39062592</v>
      </c>
      <c r="R733">
        <f t="shared" si="1002"/>
        <v>1475311008.0634031</v>
      </c>
      <c r="S733">
        <f t="shared" si="1003"/>
        <v>14753.110080634031</v>
      </c>
      <c r="T733">
        <f t="shared" si="1004"/>
        <v>14.753110080634031</v>
      </c>
    </row>
    <row r="734" spans="1:20" x14ac:dyDescent="0.25">
      <c r="A734" s="5">
        <v>43859</v>
      </c>
      <c r="B734">
        <v>5.2909999999999999E-2</v>
      </c>
      <c r="C734">
        <v>5.7709999999999997E-2</v>
      </c>
      <c r="D734">
        <v>5.2600000000000001E-2</v>
      </c>
      <c r="E734">
        <v>5.3289999999999997E-2</v>
      </c>
      <c r="F734">
        <v>549284133.20000005</v>
      </c>
      <c r="G734">
        <v>0.72</v>
      </c>
      <c r="L734" t="s">
        <v>8</v>
      </c>
      <c r="M734" t="s">
        <v>8</v>
      </c>
      <c r="N734" t="s">
        <v>8</v>
      </c>
      <c r="P734">
        <f t="shared" si="1000"/>
        <v>-0.72994129158512855</v>
      </c>
      <c r="Q734">
        <f t="shared" si="1001"/>
        <v>-400945169.63522583</v>
      </c>
      <c r="R734">
        <f t="shared" si="1002"/>
        <v>1234235715.6727772</v>
      </c>
      <c r="S734">
        <f t="shared" si="1003"/>
        <v>12342.357156727772</v>
      </c>
      <c r="T734">
        <f t="shared" si="1004"/>
        <v>12.342357156727772</v>
      </c>
    </row>
    <row r="735" spans="1:20" x14ac:dyDescent="0.25">
      <c r="A735" s="5">
        <v>43858</v>
      </c>
      <c r="B735">
        <v>4.8000000000000001E-2</v>
      </c>
      <c r="C735">
        <v>5.4710000000000002E-2</v>
      </c>
      <c r="D735">
        <v>4.7489999999999997E-2</v>
      </c>
      <c r="E735">
        <v>5.2900000000000003E-2</v>
      </c>
      <c r="F735">
        <v>720874424</v>
      </c>
      <c r="G735">
        <v>10.210000000000001</v>
      </c>
      <c r="L735" t="s">
        <v>8</v>
      </c>
      <c r="M735" t="s">
        <v>8</v>
      </c>
      <c r="N735" t="s">
        <v>8</v>
      </c>
      <c r="P735">
        <f t="shared" si="1000"/>
        <v>0.49861495844875398</v>
      </c>
      <c r="Q735">
        <f t="shared" si="1001"/>
        <v>359438770.96952945</v>
      </c>
      <c r="R735">
        <f t="shared" si="1002"/>
        <v>1635180885.3080029</v>
      </c>
      <c r="S735">
        <f t="shared" si="1003"/>
        <v>16351.808853080029</v>
      </c>
      <c r="T735">
        <f t="shared" si="1004"/>
        <v>16.35180885308003</v>
      </c>
    </row>
    <row r="736" spans="1:20" x14ac:dyDescent="0.25">
      <c r="A736" s="5">
        <v>43857</v>
      </c>
      <c r="B736">
        <v>4.4790000000000003E-2</v>
      </c>
      <c r="C736">
        <v>4.9029999999999997E-2</v>
      </c>
      <c r="D736">
        <v>4.3999999999999997E-2</v>
      </c>
      <c r="E736">
        <v>4.7960000000000003E-2</v>
      </c>
      <c r="F736">
        <v>301036037.10000002</v>
      </c>
      <c r="G736">
        <v>7.08</v>
      </c>
      <c r="L736" t="s">
        <v>8</v>
      </c>
      <c r="M736" t="s">
        <v>8</v>
      </c>
      <c r="N736" t="s">
        <v>8</v>
      </c>
      <c r="P736">
        <f t="shared" si="1000"/>
        <v>0.5745526838966224</v>
      </c>
      <c r="Q736">
        <f t="shared" si="1001"/>
        <v>172961063.0654082</v>
      </c>
      <c r="R736">
        <f t="shared" si="1002"/>
        <v>1275742114.3384736</v>
      </c>
      <c r="S736">
        <f t="shared" si="1003"/>
        <v>12757.421143384736</v>
      </c>
      <c r="T736">
        <f t="shared" si="1004"/>
        <v>12.757421143384736</v>
      </c>
    </row>
    <row r="737" spans="1:20" x14ac:dyDescent="0.25">
      <c r="A737" s="5">
        <v>43856</v>
      </c>
      <c r="B737">
        <v>4.3139999999999998E-2</v>
      </c>
      <c r="C737">
        <v>4.478E-2</v>
      </c>
      <c r="D737">
        <v>4.2869999999999998E-2</v>
      </c>
      <c r="E737">
        <v>4.4769999999999997E-2</v>
      </c>
      <c r="F737">
        <v>146166010.5</v>
      </c>
      <c r="G737">
        <v>3.78</v>
      </c>
      <c r="L737" t="s">
        <v>8</v>
      </c>
      <c r="M737" t="s">
        <v>8</v>
      </c>
      <c r="N737" t="s">
        <v>8</v>
      </c>
      <c r="P737">
        <f t="shared" si="1000"/>
        <v>0.98952879581151509</v>
      </c>
      <c r="Q737">
        <f t="shared" si="1001"/>
        <v>144635476.35863826</v>
      </c>
      <c r="R737">
        <f t="shared" si="1002"/>
        <v>1102781051.2730653</v>
      </c>
      <c r="S737">
        <f t="shared" si="1003"/>
        <v>11027.810512730653</v>
      </c>
      <c r="T737">
        <f t="shared" si="1004"/>
        <v>11.027810512730653</v>
      </c>
    </row>
    <row r="738" spans="1:20" x14ac:dyDescent="0.25">
      <c r="A738" s="5">
        <v>43855</v>
      </c>
      <c r="B738">
        <v>4.4929999999999998E-2</v>
      </c>
      <c r="C738">
        <v>4.5249999999999999E-2</v>
      </c>
      <c r="D738">
        <v>4.2889999999999998E-2</v>
      </c>
      <c r="E738">
        <v>4.3139999999999998E-2</v>
      </c>
      <c r="F738">
        <v>121509453.8</v>
      </c>
      <c r="G738">
        <v>-3.98</v>
      </c>
      <c r="L738" t="s">
        <v>8</v>
      </c>
      <c r="M738" t="s">
        <v>8</v>
      </c>
      <c r="N738" t="s">
        <v>8</v>
      </c>
      <c r="P738">
        <f t="shared" si="1000"/>
        <v>-0.78813559322033888</v>
      </c>
      <c r="Q738">
        <f t="shared" si="1001"/>
        <v>-95765925.452542365</v>
      </c>
      <c r="R738">
        <f t="shared" si="1002"/>
        <v>958145574.91442704</v>
      </c>
      <c r="S738">
        <f t="shared" si="1003"/>
        <v>9581.4557491442702</v>
      </c>
      <c r="T738">
        <f t="shared" si="1004"/>
        <v>9.5814557491442702</v>
      </c>
    </row>
    <row r="739" spans="1:20" x14ac:dyDescent="0.25">
      <c r="A739" s="5">
        <v>43854</v>
      </c>
      <c r="B739">
        <v>4.3189999999999999E-2</v>
      </c>
      <c r="C739">
        <v>4.539E-2</v>
      </c>
      <c r="D739">
        <v>4.1349999999999998E-2</v>
      </c>
      <c r="E739">
        <v>4.4949999999999997E-2</v>
      </c>
      <c r="F739">
        <v>208401165.59999999</v>
      </c>
      <c r="G739">
        <v>4.08</v>
      </c>
      <c r="L739" t="s">
        <v>7</v>
      </c>
      <c r="M739" t="s">
        <v>8</v>
      </c>
      <c r="N739" t="s">
        <v>8</v>
      </c>
      <c r="P739">
        <f t="shared" si="1000"/>
        <v>0.78217821782178087</v>
      </c>
      <c r="Q739">
        <f t="shared" si="1001"/>
        <v>163006852.30098984</v>
      </c>
      <c r="R739">
        <f t="shared" si="1002"/>
        <v>1053911500.3669693</v>
      </c>
      <c r="S739">
        <f t="shared" si="1003"/>
        <v>10539.115003669693</v>
      </c>
      <c r="T739">
        <f t="shared" si="1004"/>
        <v>10.539115003669693</v>
      </c>
    </row>
    <row r="740" spans="1:20" x14ac:dyDescent="0.25">
      <c r="A740" s="5">
        <v>43853</v>
      </c>
      <c r="B740">
        <v>4.5749999999999999E-2</v>
      </c>
      <c r="C740">
        <v>4.5900000000000003E-2</v>
      </c>
      <c r="D740">
        <v>4.2099999999999999E-2</v>
      </c>
      <c r="E740">
        <v>4.3180000000000003E-2</v>
      </c>
      <c r="F740">
        <v>196962912.5</v>
      </c>
      <c r="G740">
        <v>-5.62</v>
      </c>
      <c r="L740" t="s">
        <v>7</v>
      </c>
      <c r="M740" t="s">
        <v>8</v>
      </c>
      <c r="N740" t="s">
        <v>8</v>
      </c>
      <c r="P740">
        <f t="shared" si="1000"/>
        <v>-0.43157894736841934</v>
      </c>
      <c r="Q740">
        <f t="shared" si="1001"/>
        <v>-85005046.447368085</v>
      </c>
      <c r="R740">
        <f t="shared" si="1002"/>
        <v>890904648.06597948</v>
      </c>
      <c r="S740">
        <f t="shared" si="1003"/>
        <v>8909.0464806597956</v>
      </c>
      <c r="T740">
        <f t="shared" si="1004"/>
        <v>8.9090464806597964</v>
      </c>
    </row>
    <row r="741" spans="1:20" x14ac:dyDescent="0.25">
      <c r="A741" s="5">
        <v>43852</v>
      </c>
      <c r="B741">
        <v>4.6039999999999998E-2</v>
      </c>
      <c r="C741">
        <v>4.6550000000000001E-2</v>
      </c>
      <c r="D741">
        <v>4.5199999999999997E-2</v>
      </c>
      <c r="E741">
        <v>4.5749999999999999E-2</v>
      </c>
      <c r="F741">
        <v>130329910.90000001</v>
      </c>
      <c r="G741">
        <v>-0.63</v>
      </c>
      <c r="L741" t="s">
        <v>8</v>
      </c>
      <c r="M741" t="s">
        <v>8</v>
      </c>
      <c r="N741" t="s">
        <v>8</v>
      </c>
      <c r="P741">
        <f t="shared" si="1000"/>
        <v>-0.18518518518518481</v>
      </c>
      <c r="Q741">
        <f t="shared" si="1001"/>
        <v>-24135168.685185138</v>
      </c>
      <c r="R741">
        <f t="shared" si="1002"/>
        <v>975909694.51334763</v>
      </c>
      <c r="S741">
        <f t="shared" si="1003"/>
        <v>9759.0969451334768</v>
      </c>
      <c r="T741">
        <f t="shared" si="1004"/>
        <v>9.7590969451334768</v>
      </c>
    </row>
    <row r="742" spans="1:20" x14ac:dyDescent="0.25">
      <c r="A742" s="5">
        <v>43851</v>
      </c>
      <c r="B742">
        <v>4.3790000000000003E-2</v>
      </c>
      <c r="C742">
        <v>4.684E-2</v>
      </c>
      <c r="D742">
        <v>4.3450000000000003E-2</v>
      </c>
      <c r="E742">
        <v>4.6019999999999998E-2</v>
      </c>
      <c r="F742">
        <v>276447719.30000001</v>
      </c>
      <c r="G742">
        <v>5.09</v>
      </c>
      <c r="L742" t="s">
        <v>8</v>
      </c>
      <c r="M742" t="s">
        <v>8</v>
      </c>
      <c r="N742" t="s">
        <v>8</v>
      </c>
      <c r="P742">
        <f t="shared" si="1000"/>
        <v>0.51622418879055931</v>
      </c>
      <c r="Q742">
        <f t="shared" si="1001"/>
        <v>142708999.63864276</v>
      </c>
      <c r="R742">
        <f t="shared" si="1002"/>
        <v>1000044863.1985328</v>
      </c>
      <c r="S742">
        <f t="shared" si="1003"/>
        <v>10000.448631985328</v>
      </c>
      <c r="T742">
        <f t="shared" si="1004"/>
        <v>10.000448631985329</v>
      </c>
    </row>
    <row r="743" spans="1:20" x14ac:dyDescent="0.25">
      <c r="A743" s="5">
        <v>43850</v>
      </c>
      <c r="B743">
        <v>4.2000000000000003E-2</v>
      </c>
      <c r="C743">
        <v>4.4350000000000001E-2</v>
      </c>
      <c r="D743">
        <v>4.197E-2</v>
      </c>
      <c r="E743">
        <v>4.3779999999999999E-2</v>
      </c>
      <c r="F743">
        <v>168161777.90000001</v>
      </c>
      <c r="G743">
        <v>4.24</v>
      </c>
      <c r="L743" t="s">
        <v>7</v>
      </c>
      <c r="M743" t="s">
        <v>8</v>
      </c>
      <c r="N743" t="s">
        <v>8</v>
      </c>
      <c r="P743">
        <f t="shared" si="1000"/>
        <v>0.52100840336134369</v>
      </c>
      <c r="Q743">
        <f t="shared" si="1001"/>
        <v>87613699.41008389</v>
      </c>
      <c r="R743">
        <f t="shared" si="1002"/>
        <v>857335863.55989003</v>
      </c>
      <c r="S743">
        <f t="shared" si="1003"/>
        <v>8573.3586355989009</v>
      </c>
      <c r="T743">
        <f t="shared" si="1004"/>
        <v>8.5733586355989004</v>
      </c>
    </row>
    <row r="744" spans="1:20" x14ac:dyDescent="0.25">
      <c r="A744" s="5">
        <v>43849</v>
      </c>
      <c r="B744">
        <v>4.4889999999999999E-2</v>
      </c>
      <c r="C744">
        <v>4.5999999999999999E-2</v>
      </c>
      <c r="D744">
        <v>4.129E-2</v>
      </c>
      <c r="E744">
        <v>4.2000000000000003E-2</v>
      </c>
      <c r="F744">
        <v>255673670.80000001</v>
      </c>
      <c r="G744">
        <v>-6.44</v>
      </c>
      <c r="L744" t="s">
        <v>7</v>
      </c>
      <c r="M744" t="s">
        <v>8</v>
      </c>
      <c r="N744" t="s">
        <v>8</v>
      </c>
      <c r="P744">
        <f t="shared" si="1000"/>
        <v>-0.69851380042462741</v>
      </c>
      <c r="Q744">
        <f t="shared" si="1001"/>
        <v>-178591587.45902309</v>
      </c>
      <c r="R744">
        <f t="shared" si="1002"/>
        <v>769722164.14980614</v>
      </c>
      <c r="S744">
        <f t="shared" si="1003"/>
        <v>7697.2216414980612</v>
      </c>
      <c r="T744">
        <f t="shared" si="1004"/>
        <v>7.6972216414980617</v>
      </c>
    </row>
    <row r="745" spans="1:20" x14ac:dyDescent="0.25">
      <c r="A745" s="5">
        <v>43848</v>
      </c>
      <c r="B745">
        <v>4.4880000000000003E-2</v>
      </c>
      <c r="C745">
        <v>4.5830000000000003E-2</v>
      </c>
      <c r="D745">
        <v>4.3110000000000002E-2</v>
      </c>
      <c r="E745">
        <v>4.4889999999999999E-2</v>
      </c>
      <c r="F745">
        <v>235080675.30000001</v>
      </c>
      <c r="G745">
        <v>0.02</v>
      </c>
      <c r="L745" t="s">
        <v>8</v>
      </c>
      <c r="M745" t="s">
        <v>8</v>
      </c>
      <c r="N745" t="s">
        <v>8</v>
      </c>
      <c r="P745">
        <f t="shared" si="1000"/>
        <v>0.30882352941176233</v>
      </c>
      <c r="Q745">
        <f t="shared" si="1001"/>
        <v>72598443.842646509</v>
      </c>
      <c r="R745">
        <f t="shared" si="1002"/>
        <v>948313751.60882926</v>
      </c>
      <c r="S745">
        <f t="shared" si="1003"/>
        <v>9483.1375160882926</v>
      </c>
      <c r="T745">
        <f t="shared" si="1004"/>
        <v>9.4831375160882931</v>
      </c>
    </row>
    <row r="746" spans="1:20" x14ac:dyDescent="0.25">
      <c r="A746" s="5">
        <v>43847</v>
      </c>
      <c r="B746">
        <v>4.1689999999999998E-2</v>
      </c>
      <c r="C746">
        <v>4.5949999999999998E-2</v>
      </c>
      <c r="D746">
        <v>4.1140000000000003E-2</v>
      </c>
      <c r="E746">
        <v>4.4900000000000002E-2</v>
      </c>
      <c r="F746">
        <v>352746229.39999998</v>
      </c>
      <c r="G746">
        <v>7.7</v>
      </c>
      <c r="L746" t="s">
        <v>8</v>
      </c>
      <c r="M746" t="s">
        <v>8</v>
      </c>
      <c r="N746" t="s">
        <v>8</v>
      </c>
      <c r="P746">
        <f t="shared" si="1000"/>
        <v>0.56340956340956483</v>
      </c>
      <c r="Q746">
        <f t="shared" si="1001"/>
        <v>198740599.10062417</v>
      </c>
      <c r="R746">
        <f t="shared" si="1002"/>
        <v>875715307.76618278</v>
      </c>
      <c r="S746">
        <f t="shared" si="1003"/>
        <v>8757.1530776618274</v>
      </c>
      <c r="T746">
        <f t="shared" si="1004"/>
        <v>8.7571530776618278</v>
      </c>
    </row>
    <row r="747" spans="1:20" x14ac:dyDescent="0.25">
      <c r="A747" s="5">
        <v>43846</v>
      </c>
      <c r="B747">
        <v>4.2770000000000002E-2</v>
      </c>
      <c r="C747">
        <v>4.3299999999999998E-2</v>
      </c>
      <c r="D747">
        <v>4.0169999999999997E-2</v>
      </c>
      <c r="E747">
        <v>4.1680000000000002E-2</v>
      </c>
      <c r="F747">
        <v>167386728.80000001</v>
      </c>
      <c r="G747">
        <v>-2.5499999999999998</v>
      </c>
      <c r="L747" t="s">
        <v>7</v>
      </c>
      <c r="M747" t="s">
        <v>8</v>
      </c>
      <c r="N747" t="s">
        <v>8</v>
      </c>
      <c r="P747">
        <f t="shared" si="1000"/>
        <v>-3.514376996804857E-2</v>
      </c>
      <c r="Q747">
        <f t="shared" si="1001"/>
        <v>-5882600.6926513314</v>
      </c>
      <c r="R747">
        <f t="shared" si="1002"/>
        <v>676974708.66555858</v>
      </c>
      <c r="S747">
        <f t="shared" si="1003"/>
        <v>6769.7470866555859</v>
      </c>
      <c r="T747">
        <f t="shared" si="1004"/>
        <v>6.7697470866555856</v>
      </c>
    </row>
    <row r="748" spans="1:20" x14ac:dyDescent="0.25">
      <c r="A748" s="5">
        <v>43845</v>
      </c>
      <c r="B748">
        <v>4.1610000000000001E-2</v>
      </c>
      <c r="C748">
        <v>4.3240000000000001E-2</v>
      </c>
      <c r="D748">
        <v>4.0009999999999997E-2</v>
      </c>
      <c r="E748">
        <v>4.2750000000000003E-2</v>
      </c>
      <c r="F748">
        <v>317415252.69999999</v>
      </c>
      <c r="G748">
        <v>2.74</v>
      </c>
      <c r="L748" t="s">
        <v>8</v>
      </c>
      <c r="M748" t="s">
        <v>8</v>
      </c>
      <c r="N748" t="s">
        <v>8</v>
      </c>
      <c r="P748">
        <f t="shared" si="1000"/>
        <v>0.69659442724458398</v>
      </c>
      <c r="Q748">
        <f t="shared" si="1001"/>
        <v>221109696.15325138</v>
      </c>
      <c r="R748">
        <f t="shared" si="1002"/>
        <v>682857309.35820997</v>
      </c>
      <c r="S748">
        <f t="shared" si="1003"/>
        <v>6828.5730935820993</v>
      </c>
      <c r="T748">
        <f t="shared" si="1004"/>
        <v>6.828573093582099</v>
      </c>
    </row>
    <row r="749" spans="1:20" x14ac:dyDescent="0.25">
      <c r="A749" s="5">
        <v>43844</v>
      </c>
      <c r="B749">
        <v>3.6819999999999999E-2</v>
      </c>
      <c r="C749">
        <v>4.2770000000000002E-2</v>
      </c>
      <c r="D749">
        <v>3.6810000000000002E-2</v>
      </c>
      <c r="E749">
        <v>4.1610000000000001E-2</v>
      </c>
      <c r="F749">
        <v>436406174.39999998</v>
      </c>
      <c r="G749">
        <v>13.01</v>
      </c>
      <c r="L749" t="s">
        <v>8</v>
      </c>
      <c r="M749" t="s">
        <v>8</v>
      </c>
      <c r="N749" t="s">
        <v>7</v>
      </c>
      <c r="P749">
        <f t="shared" si="1000"/>
        <v>0.61073825503355661</v>
      </c>
      <c r="Q749">
        <f t="shared" si="1001"/>
        <v>266529945.43892598</v>
      </c>
      <c r="R749">
        <f t="shared" si="1002"/>
        <v>461747613.20495856</v>
      </c>
      <c r="S749">
        <f t="shared" si="1003"/>
        <v>4617.4761320495854</v>
      </c>
      <c r="T749">
        <f t="shared" si="1004"/>
        <v>4.6174761320495854</v>
      </c>
    </row>
    <row r="750" spans="1:20" x14ac:dyDescent="0.25">
      <c r="A750" s="5">
        <v>43843</v>
      </c>
      <c r="B750">
        <v>3.7879999999999997E-2</v>
      </c>
      <c r="C750">
        <v>3.7949999999999998E-2</v>
      </c>
      <c r="D750">
        <v>3.6700000000000003E-2</v>
      </c>
      <c r="E750">
        <v>3.6819999999999999E-2</v>
      </c>
      <c r="F750">
        <v>48213285.100000001</v>
      </c>
      <c r="G750">
        <v>-2.8</v>
      </c>
      <c r="L750" t="s">
        <v>8</v>
      </c>
      <c r="M750" t="s">
        <v>8</v>
      </c>
      <c r="N750" t="s">
        <v>7</v>
      </c>
      <c r="P750">
        <f t="shared" si="1000"/>
        <v>-0.80800000000000693</v>
      </c>
      <c r="Q750">
        <f t="shared" si="1001"/>
        <v>-38956334.360800333</v>
      </c>
      <c r="R750">
        <f t="shared" si="1002"/>
        <v>195217667.76603261</v>
      </c>
      <c r="S750">
        <f t="shared" si="1003"/>
        <v>1952.176677660326</v>
      </c>
      <c r="T750">
        <f t="shared" si="1004"/>
        <v>1.952176677660326</v>
      </c>
    </row>
    <row r="751" spans="1:20" x14ac:dyDescent="0.25">
      <c r="A751" s="5">
        <v>43842</v>
      </c>
      <c r="B751">
        <v>3.6729999999999999E-2</v>
      </c>
      <c r="C751">
        <v>3.7920000000000002E-2</v>
      </c>
      <c r="D751">
        <v>3.653E-2</v>
      </c>
      <c r="E751">
        <v>3.7920000000000002E-2</v>
      </c>
      <c r="F751">
        <v>74412951.5</v>
      </c>
      <c r="G751">
        <v>3.24</v>
      </c>
      <c r="L751" t="s">
        <v>8</v>
      </c>
      <c r="M751" t="s">
        <v>8</v>
      </c>
      <c r="N751" t="s">
        <v>7</v>
      </c>
      <c r="P751">
        <f t="shared" si="1000"/>
        <v>1</v>
      </c>
      <c r="Q751">
        <f t="shared" si="1001"/>
        <v>74412951.5</v>
      </c>
      <c r="R751">
        <f t="shared" si="1002"/>
        <v>234174002.12683293</v>
      </c>
      <c r="S751">
        <f t="shared" si="1003"/>
        <v>2341.7400212683292</v>
      </c>
      <c r="T751">
        <f t="shared" si="1004"/>
        <v>2.341740021268329</v>
      </c>
    </row>
    <row r="752" spans="1:20" x14ac:dyDescent="0.25">
      <c r="A752" s="5">
        <v>43841</v>
      </c>
      <c r="B752">
        <v>3.6929999999999998E-2</v>
      </c>
      <c r="C752">
        <v>3.78E-2</v>
      </c>
      <c r="D752">
        <v>3.6409999999999998E-2</v>
      </c>
      <c r="E752">
        <v>3.678E-2</v>
      </c>
      <c r="F752">
        <v>82682827.299999997</v>
      </c>
      <c r="G752">
        <v>-0.41</v>
      </c>
      <c r="L752" t="s">
        <v>8</v>
      </c>
      <c r="M752" t="s">
        <v>8</v>
      </c>
      <c r="N752" t="s">
        <v>7</v>
      </c>
      <c r="P752">
        <f t="shared" si="1000"/>
        <v>-0.46762589928057319</v>
      </c>
      <c r="Q752">
        <f t="shared" si="1001"/>
        <v>-38664631.471222825</v>
      </c>
      <c r="R752">
        <f t="shared" si="1002"/>
        <v>159761050.62683293</v>
      </c>
      <c r="S752">
        <f t="shared" si="1003"/>
        <v>1597.6105062683293</v>
      </c>
      <c r="T752">
        <f t="shared" si="1004"/>
        <v>1.5976105062683295</v>
      </c>
    </row>
    <row r="753" spans="1:20" x14ac:dyDescent="0.25">
      <c r="A753" s="5">
        <v>43840</v>
      </c>
      <c r="B753">
        <v>3.6159999999999998E-2</v>
      </c>
      <c r="C753">
        <v>3.7089999999999998E-2</v>
      </c>
      <c r="D753">
        <v>3.4680000000000002E-2</v>
      </c>
      <c r="E753">
        <v>3.6929999999999998E-2</v>
      </c>
      <c r="F753">
        <v>160265699.09999999</v>
      </c>
      <c r="G753">
        <v>2.13</v>
      </c>
      <c r="L753" t="s">
        <v>7</v>
      </c>
      <c r="M753" t="s">
        <v>8</v>
      </c>
      <c r="N753" t="s">
        <v>7</v>
      </c>
      <c r="P753">
        <f t="shared" si="1000"/>
        <v>0.86721991701244749</v>
      </c>
      <c r="Q753">
        <f t="shared" si="1001"/>
        <v>138985606.27344388</v>
      </c>
      <c r="R753">
        <f t="shared" si="1002"/>
        <v>198425682.09805575</v>
      </c>
      <c r="S753">
        <f t="shared" si="1003"/>
        <v>1984.2568209805574</v>
      </c>
      <c r="T753">
        <f t="shared" si="1004"/>
        <v>1.9842568209805576</v>
      </c>
    </row>
    <row r="754" spans="1:20" x14ac:dyDescent="0.25">
      <c r="A754" s="5">
        <v>43839</v>
      </c>
      <c r="B754">
        <v>3.6299999999999999E-2</v>
      </c>
      <c r="C754">
        <v>3.637E-2</v>
      </c>
      <c r="D754">
        <v>3.5479999999999998E-2</v>
      </c>
      <c r="E754">
        <v>3.6159999999999998E-2</v>
      </c>
      <c r="F754">
        <v>86372611.299999997</v>
      </c>
      <c r="G754">
        <v>-0.39</v>
      </c>
      <c r="L754" t="s">
        <v>7</v>
      </c>
      <c r="M754" t="s">
        <v>8</v>
      </c>
      <c r="N754" t="s">
        <v>7</v>
      </c>
      <c r="P754">
        <f t="shared" si="1000"/>
        <v>0.52808988764044629</v>
      </c>
      <c r="Q754">
        <f t="shared" si="1001"/>
        <v>45612502.596628942</v>
      </c>
      <c r="R754">
        <f t="shared" si="1002"/>
        <v>59440075.82461188</v>
      </c>
      <c r="S754">
        <f t="shared" si="1003"/>
        <v>594.40075824611881</v>
      </c>
      <c r="T754">
        <f t="shared" si="1004"/>
        <v>0.59440075824611882</v>
      </c>
    </row>
    <row r="755" spans="1:20" x14ac:dyDescent="0.25">
      <c r="A755" s="5">
        <v>43838</v>
      </c>
      <c r="B755">
        <v>3.696E-2</v>
      </c>
      <c r="C755">
        <v>3.875E-2</v>
      </c>
      <c r="D755">
        <v>3.5799999999999998E-2</v>
      </c>
      <c r="E755">
        <v>3.6310000000000002E-2</v>
      </c>
      <c r="F755">
        <v>228408557.19999999</v>
      </c>
      <c r="G755">
        <v>-1.76</v>
      </c>
      <c r="L755" t="s">
        <v>8</v>
      </c>
      <c r="M755" t="s">
        <v>8</v>
      </c>
      <c r="N755" t="s">
        <v>7</v>
      </c>
      <c r="P755">
        <f t="shared" si="1000"/>
        <v>-0.65423728813559101</v>
      </c>
      <c r="Q755">
        <f t="shared" si="1001"/>
        <v>-149433395.04949102</v>
      </c>
      <c r="R755">
        <f t="shared" si="1002"/>
        <v>13827573.227982938</v>
      </c>
      <c r="S755">
        <f t="shared" si="1003"/>
        <v>138.27573227982938</v>
      </c>
      <c r="T755">
        <f t="shared" si="1004"/>
        <v>0.13827573227982939</v>
      </c>
    </row>
    <row r="756" spans="1:20" x14ac:dyDescent="0.25">
      <c r="A756" s="5">
        <v>43837</v>
      </c>
      <c r="B756">
        <v>3.7319999999999999E-2</v>
      </c>
      <c r="C756">
        <v>3.8080000000000003E-2</v>
      </c>
      <c r="D756">
        <v>3.6380000000000003E-2</v>
      </c>
      <c r="E756">
        <v>3.6999999999999998E-2</v>
      </c>
      <c r="F756">
        <v>210380672.5</v>
      </c>
      <c r="G756">
        <v>-0.86</v>
      </c>
      <c r="L756" t="s">
        <v>8</v>
      </c>
      <c r="M756" t="s">
        <v>8</v>
      </c>
      <c r="N756" t="s">
        <v>7</v>
      </c>
      <c r="P756">
        <f t="shared" si="1000"/>
        <v>-0.2705882352941229</v>
      </c>
      <c r="Q756">
        <f t="shared" si="1001"/>
        <v>-56926534.911765814</v>
      </c>
      <c r="R756">
        <f t="shared" si="1002"/>
        <v>163260968.27747396</v>
      </c>
      <c r="S756">
        <f t="shared" si="1003"/>
        <v>1632.6096827747397</v>
      </c>
      <c r="T756">
        <f t="shared" si="1004"/>
        <v>1.6326096827747396</v>
      </c>
    </row>
    <row r="757" spans="1:20" x14ac:dyDescent="0.25">
      <c r="A757" s="5">
        <v>43836</v>
      </c>
      <c r="B757">
        <v>3.4610000000000002E-2</v>
      </c>
      <c r="C757">
        <v>3.7359999999999997E-2</v>
      </c>
      <c r="D757">
        <v>3.4389999999999997E-2</v>
      </c>
      <c r="E757">
        <v>3.7319999999999999E-2</v>
      </c>
      <c r="F757">
        <v>131688800.5</v>
      </c>
      <c r="G757">
        <v>7.83</v>
      </c>
      <c r="L757" t="s">
        <v>8</v>
      </c>
      <c r="M757" t="s">
        <v>7</v>
      </c>
      <c r="N757" t="s">
        <v>7</v>
      </c>
      <c r="P757">
        <f t="shared" si="1000"/>
        <v>0.97306397306397419</v>
      </c>
      <c r="Q757">
        <f t="shared" si="1001"/>
        <v>128141627.42255907</v>
      </c>
      <c r="R757">
        <f t="shared" si="1002"/>
        <v>220187503.18923977</v>
      </c>
      <c r="S757">
        <f t="shared" si="1003"/>
        <v>2201.8750318923976</v>
      </c>
      <c r="T757">
        <f t="shared" si="1004"/>
        <v>2.2018750318923974</v>
      </c>
    </row>
    <row r="758" spans="1:20" x14ac:dyDescent="0.25">
      <c r="A758" s="5">
        <v>43835</v>
      </c>
      <c r="B758">
        <v>3.4360000000000002E-2</v>
      </c>
      <c r="C758">
        <v>3.5270000000000003E-2</v>
      </c>
      <c r="D758">
        <v>3.4189999999999998E-2</v>
      </c>
      <c r="E758">
        <v>3.4599999999999999E-2</v>
      </c>
      <c r="F758">
        <v>71815282.099999994</v>
      </c>
      <c r="G758">
        <v>0.7</v>
      </c>
      <c r="L758" t="s">
        <v>8</v>
      </c>
      <c r="M758" t="s">
        <v>7</v>
      </c>
      <c r="N758" t="s">
        <v>7</v>
      </c>
      <c r="P758">
        <f t="shared" si="1000"/>
        <v>-0.24074074074074275</v>
      </c>
      <c r="Q758">
        <f t="shared" si="1001"/>
        <v>-17288864.209259402</v>
      </c>
      <c r="R758">
        <f t="shared" si="1002"/>
        <v>92045875.766680703</v>
      </c>
      <c r="S758">
        <f t="shared" si="1003"/>
        <v>920.45875766680706</v>
      </c>
      <c r="T758">
        <f t="shared" si="1004"/>
        <v>0.92045875766680707</v>
      </c>
    </row>
    <row r="759" spans="1:20" x14ac:dyDescent="0.25">
      <c r="A759" s="5">
        <v>43834</v>
      </c>
      <c r="B759">
        <v>3.4169999999999999E-2</v>
      </c>
      <c r="C759">
        <v>3.4500000000000003E-2</v>
      </c>
      <c r="D759">
        <v>3.3750000000000002E-2</v>
      </c>
      <c r="E759">
        <v>3.4340000000000002E-2</v>
      </c>
      <c r="F759">
        <v>55528746.399999999</v>
      </c>
      <c r="G759">
        <v>0.5</v>
      </c>
      <c r="L759" t="s">
        <v>7</v>
      </c>
      <c r="M759" t="s">
        <v>7</v>
      </c>
      <c r="N759" t="s">
        <v>7</v>
      </c>
      <c r="P759">
        <f t="shared" si="1000"/>
        <v>0.57333333333333258</v>
      </c>
      <c r="Q759">
        <f t="shared" si="1001"/>
        <v>31836481.269333292</v>
      </c>
      <c r="R759">
        <f t="shared" si="1002"/>
        <v>109334739.97594011</v>
      </c>
      <c r="S759">
        <f t="shared" si="1003"/>
        <v>1093.347399759401</v>
      </c>
      <c r="T759">
        <f t="shared" si="1004"/>
        <v>1.093347399759401</v>
      </c>
    </row>
    <row r="760" spans="1:20" x14ac:dyDescent="0.25">
      <c r="A760" s="5">
        <v>43833</v>
      </c>
      <c r="B760">
        <v>3.2689999999999997E-2</v>
      </c>
      <c r="C760">
        <v>3.4459999999999998E-2</v>
      </c>
      <c r="D760">
        <v>3.236E-2</v>
      </c>
      <c r="E760">
        <v>3.4169999999999999E-2</v>
      </c>
      <c r="F760">
        <v>102581046.7</v>
      </c>
      <c r="G760">
        <v>4.53</v>
      </c>
      <c r="L760" t="s">
        <v>7</v>
      </c>
      <c r="M760" t="s">
        <v>7</v>
      </c>
      <c r="N760" t="s">
        <v>7</v>
      </c>
      <c r="P760">
        <f t="shared" si="1000"/>
        <v>0.7238095238095249</v>
      </c>
      <c r="Q760">
        <f t="shared" si="1001"/>
        <v>74249138.563809633</v>
      </c>
      <c r="R760">
        <f t="shared" si="1002"/>
        <v>77498258.70660682</v>
      </c>
      <c r="S760">
        <f t="shared" si="1003"/>
        <v>774.98258706606816</v>
      </c>
      <c r="T760">
        <f t="shared" si="1004"/>
        <v>0.77498258706606815</v>
      </c>
    </row>
    <row r="761" spans="1:20" x14ac:dyDescent="0.25">
      <c r="A761" s="5">
        <v>43832</v>
      </c>
      <c r="B761">
        <v>3.3450000000000001E-2</v>
      </c>
      <c r="C761">
        <v>3.3480000000000003E-2</v>
      </c>
      <c r="D761">
        <v>3.218E-2</v>
      </c>
      <c r="E761">
        <v>3.2689999999999997E-2</v>
      </c>
      <c r="F761">
        <v>42826456.100000001</v>
      </c>
      <c r="G761">
        <v>-2.27</v>
      </c>
      <c r="L761" t="s">
        <v>7</v>
      </c>
      <c r="M761" t="s">
        <v>7</v>
      </c>
      <c r="N761" t="s">
        <v>7</v>
      </c>
      <c r="P761">
        <f t="shared" si="1000"/>
        <v>-0.2153846153846222</v>
      </c>
      <c r="Q761">
        <f t="shared" si="1001"/>
        <v>-9224159.7753849067</v>
      </c>
      <c r="R761">
        <f t="shared" si="1002"/>
        <v>3249120.1427971926</v>
      </c>
      <c r="S761">
        <f t="shared" si="1003"/>
        <v>32.491201427971923</v>
      </c>
      <c r="T761">
        <f t="shared" si="1004"/>
        <v>3.2491201427971926E-2</v>
      </c>
    </row>
    <row r="762" spans="1:20" x14ac:dyDescent="0.25">
      <c r="A762" s="5">
        <v>43831</v>
      </c>
      <c r="B762">
        <v>3.2849999999999997E-2</v>
      </c>
      <c r="C762">
        <v>3.3799999999999997E-2</v>
      </c>
      <c r="D762">
        <v>3.27E-2</v>
      </c>
      <c r="E762">
        <v>3.3480000000000003E-2</v>
      </c>
      <c r="F762">
        <v>29827408.5</v>
      </c>
      <c r="G762">
        <v>1.92</v>
      </c>
      <c r="P762">
        <f t="shared" si="1000"/>
        <v>0.41818181818182759</v>
      </c>
      <c r="Q762">
        <f t="shared" si="1001"/>
        <v>12473279.918182099</v>
      </c>
      <c r="R762">
        <f t="shared" si="1002"/>
        <v>12473279.918182099</v>
      </c>
      <c r="S762">
        <f t="shared" si="1003"/>
        <v>124.73279918182099</v>
      </c>
      <c r="T762">
        <f t="shared" si="1004"/>
        <v>0.12473279918182099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543" zoomScale="90" zoomScaleNormal="90" workbookViewId="0">
      <pane xSplit="4" topLeftCell="GL1" activePane="topRight" state="frozen"/>
      <selection activeCell="A109" sqref="A109"/>
      <selection pane="topRight" activeCell="LL585" sqref="LL58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$A$584</v>
      </c>
      <c r="D111" s="1" t="str">
        <f>ADDRESS(C121-1,D121,1,1)</f>
        <v>$LL$584</v>
      </c>
      <c r="E111"/>
    </row>
    <row r="112" spans="1:5" x14ac:dyDescent="0.25">
      <c r="A112" s="7">
        <v>12164.144957890772</v>
      </c>
      <c r="C112" s="1" t="str">
        <f>ADDRESS(C121,1,1,1)</f>
        <v>$A$585</v>
      </c>
      <c r="D112" s="1" t="str">
        <f>ADDRESS(C121,D121-1,1,1)</f>
        <v>$LK$585</v>
      </c>
      <c r="E112"/>
    </row>
    <row r="113" spans="1:5" x14ac:dyDescent="0.25">
      <c r="A113" s="7">
        <v>11925.63231165762</v>
      </c>
      <c r="C113" s="1" t="str">
        <f>ADDRESS(C121+1,1,1,1)</f>
        <v>$A$586</v>
      </c>
      <c r="D113" s="1" t="str">
        <f>ADDRESS(C121-1,D121+1,1,1)</f>
        <v>$LM$584</v>
      </c>
    </row>
    <row r="114" spans="1:5" x14ac:dyDescent="0.25">
      <c r="A114" s="7">
        <v>11691.796383978059</v>
      </c>
      <c r="C114" s="1" t="str">
        <f>ADDRESS(C121,D121,1,1)</f>
        <v>$LL$585</v>
      </c>
      <c r="D114" s="1" t="str">
        <f>ADDRESS(C121+1,D121+1,1,1)</f>
        <v>$LM$586</v>
      </c>
    </row>
    <row r="115" spans="1:5" x14ac:dyDescent="0.25">
      <c r="A115" s="7">
        <v>11462.545474488292</v>
      </c>
      <c r="C115" s="1" t="str">
        <f>ADDRESS(C121+1,D121,1,1)</f>
        <v>$LL$586</v>
      </c>
    </row>
    <row r="116" spans="1:5" x14ac:dyDescent="0.25">
      <c r="A116" s="7">
        <v>11237.789680870874</v>
      </c>
      <c r="C116" s="1">
        <f>C117-1</f>
        <v>584</v>
      </c>
    </row>
    <row r="117" spans="1:5" x14ac:dyDescent="0.25">
      <c r="A117" s="7">
        <v>11017.440863598895</v>
      </c>
      <c r="C117" s="1">
        <f>C121</f>
        <v>585</v>
      </c>
      <c r="D117" s="1">
        <f>D121</f>
        <v>324</v>
      </c>
    </row>
    <row r="118" spans="1:5" x14ac:dyDescent="0.25">
      <c r="A118" s="7">
        <v>10801.412611371465</v>
      </c>
      <c r="C118" s="1">
        <f>C117+1</f>
        <v>586</v>
      </c>
      <c r="D118" s="1">
        <f>D117+1</f>
        <v>325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585</v>
      </c>
      <c r="D121" s="19">
        <v>324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R585</v>
      </c>
      <c r="D123" s="1" t="str">
        <f>"C"&amp;D121</f>
        <v>C324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1.0404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287" x14ac:dyDescent="0.25">
      <c r="A529" s="7">
        <v>3.1536243640574906</v>
      </c>
      <c r="B529"/>
      <c r="C529"/>
      <c r="D529"/>
      <c r="E529"/>
    </row>
    <row r="530" spans="1:287" x14ac:dyDescent="0.25">
      <c r="A530" s="7">
        <v>3.0917885922132262</v>
      </c>
      <c r="B530"/>
      <c r="C530"/>
      <c r="D530"/>
      <c r="E530"/>
      <c r="JE530" s="27" t="s">
        <v>8</v>
      </c>
    </row>
    <row r="531" spans="1:287" x14ac:dyDescent="0.25">
      <c r="A531" s="7">
        <v>3.0311652864835552</v>
      </c>
      <c r="B531"/>
      <c r="C531"/>
      <c r="D531"/>
      <c r="E531"/>
      <c r="JE531" s="27" t="s">
        <v>8</v>
      </c>
      <c r="JF531" s="27" t="s">
        <v>7</v>
      </c>
    </row>
    <row r="532" spans="1:287" x14ac:dyDescent="0.25">
      <c r="A532" s="7">
        <v>2.9717306730230932</v>
      </c>
      <c r="B532"/>
      <c r="C532"/>
      <c r="D532"/>
      <c r="E532"/>
      <c r="JA532" s="27" t="s">
        <v>8</v>
      </c>
      <c r="JE532" s="27" t="s">
        <v>8</v>
      </c>
      <c r="JF532" s="27" t="s">
        <v>7</v>
      </c>
    </row>
    <row r="533" spans="1:287" x14ac:dyDescent="0.25">
      <c r="A533" s="7">
        <v>2.9134614441402875</v>
      </c>
      <c r="B533"/>
      <c r="C533"/>
      <c r="D533"/>
      <c r="E533"/>
      <c r="JA533" s="27" t="s">
        <v>8</v>
      </c>
      <c r="JB533" s="27" t="s">
        <v>7</v>
      </c>
      <c r="JC533" s="27" t="s">
        <v>8</v>
      </c>
      <c r="JE533" s="27" t="s">
        <v>8</v>
      </c>
      <c r="JF533" s="27" t="s">
        <v>7</v>
      </c>
    </row>
    <row r="534" spans="1:287" x14ac:dyDescent="0.25">
      <c r="A534" s="7">
        <v>2.8563347491571447</v>
      </c>
      <c r="B534"/>
      <c r="C534"/>
      <c r="D534"/>
      <c r="E534"/>
      <c r="JA534" s="27" t="s">
        <v>8</v>
      </c>
      <c r="JB534" s="27" t="s">
        <v>7</v>
      </c>
      <c r="JC534" s="27" t="s">
        <v>8</v>
      </c>
      <c r="JD534" s="27" t="s">
        <v>7</v>
      </c>
      <c r="JE534" s="27" t="s">
        <v>8</v>
      </c>
      <c r="JF534" s="27" t="s">
        <v>7</v>
      </c>
    </row>
    <row r="535" spans="1:287" x14ac:dyDescent="0.25">
      <c r="A535" s="7">
        <v>2.8003281854481812</v>
      </c>
      <c r="B535"/>
      <c r="C535"/>
      <c r="D535"/>
      <c r="E535"/>
      <c r="JA535" s="27" t="s">
        <v>8</v>
      </c>
      <c r="JB535" s="27" t="s">
        <v>7</v>
      </c>
      <c r="JC535" s="27" t="s">
        <v>8</v>
      </c>
      <c r="JD535" s="27" t="s">
        <v>7</v>
      </c>
      <c r="JE535" s="27" t="s">
        <v>8</v>
      </c>
      <c r="JF535" s="27" t="s">
        <v>7</v>
      </c>
    </row>
    <row r="536" spans="1:287" x14ac:dyDescent="0.25">
      <c r="A536" s="7">
        <v>2.7454197896550796</v>
      </c>
      <c r="B536"/>
      <c r="C536"/>
      <c r="D536"/>
      <c r="E536"/>
      <c r="JA536" s="27" t="s">
        <v>8</v>
      </c>
      <c r="JB536" s="27" t="s">
        <v>7</v>
      </c>
      <c r="JC536" s="27" t="s">
        <v>8</v>
      </c>
      <c r="JD536" s="27" t="s">
        <v>7</v>
      </c>
      <c r="JF536" s="27" t="s">
        <v>7</v>
      </c>
      <c r="JI536" s="27" t="s">
        <v>8</v>
      </c>
    </row>
    <row r="537" spans="1:287" x14ac:dyDescent="0.25">
      <c r="A537" s="7">
        <v>2.6915880290736074</v>
      </c>
      <c r="B537"/>
      <c r="C537"/>
      <c r="D537"/>
      <c r="E537"/>
      <c r="JA537" s="27" t="s">
        <v>8</v>
      </c>
      <c r="JB537" s="27" t="s">
        <v>7</v>
      </c>
      <c r="JC537" s="27" t="s">
        <v>8</v>
      </c>
      <c r="JF537" s="27" t="s">
        <v>7</v>
      </c>
      <c r="JI537" s="27" t="s">
        <v>8</v>
      </c>
      <c r="JJ537" s="27" t="s">
        <v>7</v>
      </c>
    </row>
    <row r="538" spans="1:287" x14ac:dyDescent="0.25">
      <c r="A538" s="7">
        <v>2.6388117932094191</v>
      </c>
      <c r="B538"/>
      <c r="C538"/>
      <c r="D538"/>
      <c r="E538"/>
      <c r="JA538" s="27" t="s">
        <v>8</v>
      </c>
      <c r="JB538" s="27" t="s">
        <v>7</v>
      </c>
      <c r="JC538" s="27" t="s">
        <v>8</v>
      </c>
      <c r="JF538" s="27" t="s">
        <v>7</v>
      </c>
      <c r="JI538" s="27" t="s">
        <v>8</v>
      </c>
      <c r="JJ538" s="27" t="s">
        <v>7</v>
      </c>
    </row>
    <row r="539" spans="1:287" x14ac:dyDescent="0.25">
      <c r="A539" s="7">
        <v>2.5870703854994304</v>
      </c>
      <c r="B539"/>
      <c r="C539"/>
      <c r="D539"/>
      <c r="E539"/>
      <c r="JA539" s="27" t="s">
        <v>8</v>
      </c>
      <c r="JB539" s="27" t="s">
        <v>7</v>
      </c>
      <c r="JC539" s="27" t="s">
        <v>8</v>
      </c>
      <c r="JF539" s="27" t="s">
        <v>7</v>
      </c>
      <c r="JG539" s="27" t="s">
        <v>8</v>
      </c>
      <c r="JI539" s="27" t="s">
        <v>8</v>
      </c>
      <c r="JJ539" s="27" t="s">
        <v>7</v>
      </c>
    </row>
    <row r="540" spans="1:287" x14ac:dyDescent="0.25">
      <c r="A540" s="7">
        <v>2.53634351519552</v>
      </c>
      <c r="B540"/>
      <c r="C540"/>
      <c r="D540"/>
      <c r="E540"/>
      <c r="IY540" s="27" t="s">
        <v>8</v>
      </c>
      <c r="JA540" s="27" t="s">
        <v>8</v>
      </c>
      <c r="JB540" s="27" t="s">
        <v>7</v>
      </c>
      <c r="JC540" s="27" t="s">
        <v>8</v>
      </c>
      <c r="JF540" s="27" t="s">
        <v>7</v>
      </c>
      <c r="JG540" s="27" t="s">
        <v>8</v>
      </c>
      <c r="JH540" s="27" t="s">
        <v>7</v>
      </c>
      <c r="JI540" s="27" t="s">
        <v>8</v>
      </c>
      <c r="JJ540" s="27" t="s">
        <v>7</v>
      </c>
      <c r="JK540" s="27" t="s">
        <v>8</v>
      </c>
    </row>
    <row r="541" spans="1:287" x14ac:dyDescent="0.25">
      <c r="A541" s="7">
        <v>2.4866112894073726</v>
      </c>
      <c r="B541"/>
      <c r="C541"/>
      <c r="D541"/>
      <c r="E541"/>
      <c r="IY541" s="27" t="s">
        <v>8</v>
      </c>
      <c r="IZ541" s="27" t="s">
        <v>7</v>
      </c>
      <c r="JA541" s="27" t="s">
        <v>8</v>
      </c>
      <c r="JB541" s="27" t="s">
        <v>7</v>
      </c>
      <c r="JF541" s="27" t="s">
        <v>7</v>
      </c>
      <c r="JG541" s="27" t="s">
        <v>8</v>
      </c>
      <c r="JH541" s="27" t="s">
        <v>7</v>
      </c>
      <c r="JI541" s="27" t="s">
        <v>8</v>
      </c>
      <c r="JJ541" s="27" t="s">
        <v>7</v>
      </c>
      <c r="JK541" s="27" t="s">
        <v>8</v>
      </c>
      <c r="JL541" s="27" t="s">
        <v>7</v>
      </c>
    </row>
    <row r="542" spans="1:287" x14ac:dyDescent="0.25">
      <c r="A542" s="7">
        <v>2.4378542053013459</v>
      </c>
      <c r="B542"/>
      <c r="C542"/>
      <c r="D542"/>
      <c r="E542"/>
      <c r="HI542" s="31" t="s">
        <v>8</v>
      </c>
      <c r="IY542" s="27" t="s">
        <v>8</v>
      </c>
      <c r="IZ542" s="27" t="s">
        <v>7</v>
      </c>
      <c r="JA542" s="27" t="s">
        <v>8</v>
      </c>
      <c r="JF542" s="27" t="s">
        <v>7</v>
      </c>
      <c r="JG542" s="27" t="s">
        <v>8</v>
      </c>
      <c r="JH542" s="27" t="s">
        <v>7</v>
      </c>
      <c r="JI542" s="27" t="s">
        <v>8</v>
      </c>
      <c r="JJ542" s="27" t="s">
        <v>7</v>
      </c>
      <c r="JK542" s="27" t="s">
        <v>8</v>
      </c>
      <c r="JL542" s="27" t="s">
        <v>7</v>
      </c>
      <c r="JO542" s="27" t="s">
        <v>8</v>
      </c>
    </row>
    <row r="543" spans="1:287" x14ac:dyDescent="0.25">
      <c r="A543" s="7">
        <v>2.3900531424522997</v>
      </c>
      <c r="B543"/>
      <c r="C543"/>
      <c r="D543"/>
      <c r="E543"/>
      <c r="HI543" s="27" t="s">
        <v>8</v>
      </c>
      <c r="HJ543" s="31" t="s">
        <v>7</v>
      </c>
      <c r="IY543" s="27" t="s">
        <v>8</v>
      </c>
      <c r="IZ543" s="27" t="s">
        <v>7</v>
      </c>
      <c r="JF543" s="27" t="s">
        <v>7</v>
      </c>
      <c r="JG543" s="27" t="s">
        <v>8</v>
      </c>
      <c r="JH543" s="27" t="s">
        <v>7</v>
      </c>
      <c r="JI543" s="27" t="s">
        <v>8</v>
      </c>
      <c r="JJ543" s="27" t="s">
        <v>7</v>
      </c>
      <c r="JK543" s="27" t="s">
        <v>8</v>
      </c>
      <c r="JL543" s="27" t="s">
        <v>7</v>
      </c>
      <c r="JO543" s="27" t="s">
        <v>8</v>
      </c>
      <c r="JP543" s="27" t="s">
        <v>7</v>
      </c>
    </row>
    <row r="544" spans="1:287" x14ac:dyDescent="0.25">
      <c r="A544" s="7">
        <v>2.343189355345392</v>
      </c>
      <c r="B544"/>
      <c r="C544"/>
      <c r="D544"/>
      <c r="E544"/>
      <c r="HI544" s="27" t="s">
        <v>8</v>
      </c>
      <c r="HJ544" s="27" t="s">
        <v>7</v>
      </c>
      <c r="HK544" s="31"/>
      <c r="IY544" s="27" t="s">
        <v>8</v>
      </c>
      <c r="JF544" s="27" t="s">
        <v>7</v>
      </c>
      <c r="JG544" s="27" t="s">
        <v>8</v>
      </c>
      <c r="JH544" s="27" t="s">
        <v>7</v>
      </c>
      <c r="JI544" s="27" t="s">
        <v>8</v>
      </c>
      <c r="JJ544" s="27" t="s">
        <v>7</v>
      </c>
      <c r="JL544" s="27" t="s">
        <v>7</v>
      </c>
      <c r="JM544" s="27" t="s">
        <v>8</v>
      </c>
      <c r="JO544" s="27" t="s">
        <v>8</v>
      </c>
      <c r="JP544" s="27" t="s">
        <v>7</v>
      </c>
      <c r="JS544" s="27" t="s">
        <v>8</v>
      </c>
      <c r="KA544" s="27" t="s">
        <v>8</v>
      </c>
    </row>
    <row r="545" spans="1:296" x14ac:dyDescent="0.25">
      <c r="A545" s="7">
        <v>2.2972444660248938</v>
      </c>
      <c r="B545"/>
      <c r="C545"/>
      <c r="D545"/>
      <c r="E545"/>
      <c r="HI545" s="27" t="s">
        <v>8</v>
      </c>
      <c r="HJ545" s="27" t="s">
        <v>7</v>
      </c>
      <c r="HL545" s="31"/>
      <c r="IY545" s="27" t="s">
        <v>8</v>
      </c>
      <c r="JF545" s="27" t="s">
        <v>7</v>
      </c>
      <c r="JG545" s="27" t="s">
        <v>8</v>
      </c>
      <c r="JH545" s="27" t="s">
        <v>7</v>
      </c>
      <c r="JL545" s="27" t="s">
        <v>7</v>
      </c>
      <c r="JM545" s="27" t="s">
        <v>8</v>
      </c>
      <c r="JN545" s="27" t="s">
        <v>7</v>
      </c>
      <c r="JO545" s="27" t="s">
        <v>8</v>
      </c>
      <c r="JP545" s="27" t="s">
        <v>7</v>
      </c>
      <c r="JQ545" s="27" t="s">
        <v>8</v>
      </c>
      <c r="JS545" s="27" t="s">
        <v>8</v>
      </c>
      <c r="JT545" s="27" t="s">
        <v>7</v>
      </c>
      <c r="JU545" s="27" t="s">
        <v>8</v>
      </c>
      <c r="KA545" s="27" t="s">
        <v>8</v>
      </c>
      <c r="KB545" s="27" t="s">
        <v>7</v>
      </c>
    </row>
    <row r="546" spans="1:296" x14ac:dyDescent="0.25">
      <c r="A546" s="7">
        <v>2.252200456887151</v>
      </c>
      <c r="B546"/>
      <c r="C546"/>
      <c r="D546"/>
      <c r="E546"/>
      <c r="HI546" s="27" t="s">
        <v>8</v>
      </c>
      <c r="HJ546" s="27" t="s">
        <v>7</v>
      </c>
      <c r="HM546" s="31"/>
      <c r="IY546" s="27" t="s">
        <v>8</v>
      </c>
      <c r="JF546" s="27" t="s">
        <v>7</v>
      </c>
      <c r="JG546" s="27" t="s">
        <v>8</v>
      </c>
      <c r="JL546" s="27" t="s">
        <v>7</v>
      </c>
      <c r="JM546" s="27" t="s">
        <v>8</v>
      </c>
      <c r="JN546" s="27" t="s">
        <v>7</v>
      </c>
      <c r="JO546" s="27" t="s">
        <v>8</v>
      </c>
      <c r="JP546" s="27" t="s">
        <v>7</v>
      </c>
      <c r="JQ546" s="27" t="s">
        <v>8</v>
      </c>
      <c r="JR546" s="27" t="s">
        <v>7</v>
      </c>
      <c r="JS546" s="27" t="s">
        <v>8</v>
      </c>
      <c r="JT546" s="27" t="s">
        <v>7</v>
      </c>
      <c r="JU546" s="27" t="s">
        <v>8</v>
      </c>
      <c r="JV546" s="27" t="s">
        <v>7</v>
      </c>
      <c r="KA546" s="27" t="s">
        <v>8</v>
      </c>
      <c r="KB546" s="27" t="s">
        <v>7</v>
      </c>
    </row>
    <row r="547" spans="1:296" x14ac:dyDescent="0.25">
      <c r="A547" s="7">
        <v>2.208039663614854</v>
      </c>
      <c r="B547"/>
      <c r="C547"/>
      <c r="D547"/>
      <c r="E547"/>
      <c r="HI547" s="27" t="s">
        <v>8</v>
      </c>
      <c r="HJ547" s="27" t="s">
        <v>7</v>
      </c>
      <c r="HN547" s="31"/>
      <c r="IU547" s="27" t="s">
        <v>8</v>
      </c>
      <c r="IY547" s="27" t="s">
        <v>8</v>
      </c>
      <c r="JF547" s="27" t="s">
        <v>7</v>
      </c>
      <c r="JG547" s="27" t="s">
        <v>8</v>
      </c>
      <c r="JL547" s="27" t="s">
        <v>7</v>
      </c>
      <c r="JM547" s="27" t="s">
        <v>8</v>
      </c>
      <c r="JN547" s="27" t="s">
        <v>7</v>
      </c>
      <c r="JO547" s="27" t="s">
        <v>8</v>
      </c>
      <c r="JP547" s="27" t="s">
        <v>7</v>
      </c>
      <c r="JQ547" s="27" t="s">
        <v>8</v>
      </c>
      <c r="JR547" s="27" t="s">
        <v>7</v>
      </c>
      <c r="JS547" s="27" t="s">
        <v>8</v>
      </c>
      <c r="JT547" s="27" t="s">
        <v>7</v>
      </c>
      <c r="JU547" s="27" t="s">
        <v>8</v>
      </c>
      <c r="JV547" s="27" t="s">
        <v>7</v>
      </c>
      <c r="KA547" s="27" t="s">
        <v>8</v>
      </c>
      <c r="KB547" s="27" t="s">
        <v>7</v>
      </c>
    </row>
    <row r="548" spans="1:296" x14ac:dyDescent="0.25">
      <c r="A548" s="7">
        <v>2.1647447682498568</v>
      </c>
      <c r="B548"/>
      <c r="C548"/>
      <c r="D548"/>
      <c r="E548"/>
      <c r="HI548" s="27" t="s">
        <v>8</v>
      </c>
      <c r="HJ548" s="27" t="s">
        <v>7</v>
      </c>
      <c r="HO548" s="31"/>
      <c r="IU548" s="27" t="s">
        <v>8</v>
      </c>
      <c r="IV548" s="27" t="s">
        <v>7</v>
      </c>
      <c r="IW548" s="27" t="s">
        <v>8</v>
      </c>
      <c r="IY548" s="27" t="s">
        <v>8</v>
      </c>
      <c r="JF548" s="27" t="s">
        <v>7</v>
      </c>
      <c r="JG548" s="27" t="s">
        <v>8</v>
      </c>
      <c r="JL548" s="27" t="s">
        <v>7</v>
      </c>
      <c r="JM548" s="27" t="s">
        <v>8</v>
      </c>
      <c r="JN548" s="27" t="s">
        <v>7</v>
      </c>
      <c r="JO548" s="27" t="s">
        <v>8</v>
      </c>
      <c r="JP548" s="27" t="s">
        <v>7</v>
      </c>
      <c r="JQ548" s="27" t="s">
        <v>8</v>
      </c>
      <c r="JR548" s="27" t="s">
        <v>7</v>
      </c>
      <c r="JS548" s="27" t="s">
        <v>8</v>
      </c>
      <c r="JT548" s="27" t="s">
        <v>7</v>
      </c>
      <c r="JU548" s="27" t="s">
        <v>8</v>
      </c>
      <c r="JV548" s="27" t="s">
        <v>7</v>
      </c>
      <c r="KA548" s="27" t="s">
        <v>8</v>
      </c>
      <c r="KB548" s="27" t="s">
        <v>7</v>
      </c>
    </row>
    <row r="549" spans="1:296" x14ac:dyDescent="0.25">
      <c r="A549" s="7">
        <v>2.1222987924018204</v>
      </c>
      <c r="B549"/>
      <c r="C549"/>
      <c r="D549"/>
      <c r="E549"/>
      <c r="HI549" s="27" t="s">
        <v>8</v>
      </c>
      <c r="HJ549" s="27" t="s">
        <v>7</v>
      </c>
      <c r="HK549" s="27" t="s">
        <v>8</v>
      </c>
      <c r="HP549" s="31"/>
      <c r="IU549" s="27" t="s">
        <v>8</v>
      </c>
      <c r="IV549" s="27" t="s">
        <v>7</v>
      </c>
      <c r="IW549" s="27" t="s">
        <v>8</v>
      </c>
      <c r="IX549" s="27" t="s">
        <v>7</v>
      </c>
      <c r="IY549" s="27" t="s">
        <v>8</v>
      </c>
      <c r="JF549" s="27" t="s">
        <v>7</v>
      </c>
      <c r="JG549" s="27" t="s">
        <v>8</v>
      </c>
      <c r="JL549" s="27" t="s">
        <v>7</v>
      </c>
      <c r="JM549" s="27" t="s">
        <v>8</v>
      </c>
      <c r="JN549" s="27" t="s">
        <v>7</v>
      </c>
      <c r="JO549" s="27" t="s">
        <v>8</v>
      </c>
      <c r="JP549" s="27" t="s">
        <v>7</v>
      </c>
      <c r="JQ549" s="27" t="s">
        <v>8</v>
      </c>
      <c r="JR549" s="27" t="s">
        <v>7</v>
      </c>
      <c r="JT549" s="27" t="s">
        <v>7</v>
      </c>
      <c r="JU549" s="27" t="s">
        <v>8</v>
      </c>
      <c r="JV549" s="27" t="s">
        <v>7</v>
      </c>
      <c r="JY549" s="27" t="s">
        <v>8</v>
      </c>
      <c r="KA549" s="27" t="s">
        <v>8</v>
      </c>
      <c r="KB549" s="27" t="s">
        <v>7</v>
      </c>
      <c r="KC549" s="27" t="s">
        <v>8</v>
      </c>
    </row>
    <row r="550" spans="1:296" x14ac:dyDescent="0.25">
      <c r="A550" s="7">
        <v>2.0806850905900198</v>
      </c>
      <c r="B550"/>
      <c r="C550"/>
      <c r="D550"/>
      <c r="E550"/>
      <c r="HI550" s="27" t="s">
        <v>8</v>
      </c>
      <c r="HJ550" s="27" t="s">
        <v>7</v>
      </c>
      <c r="HK550" s="27" t="s">
        <v>8</v>
      </c>
      <c r="HL550" s="27" t="s">
        <v>7</v>
      </c>
      <c r="HQ550" s="31"/>
      <c r="IU550" s="27" t="s">
        <v>8</v>
      </c>
      <c r="IV550" s="27" t="s">
        <v>7</v>
      </c>
      <c r="IW550" s="27" t="s">
        <v>8</v>
      </c>
      <c r="IX550" s="27" t="s">
        <v>7</v>
      </c>
      <c r="IY550" s="27" t="s">
        <v>8</v>
      </c>
      <c r="JF550" s="27" t="s">
        <v>7</v>
      </c>
      <c r="JG550" s="27" t="s">
        <v>8</v>
      </c>
      <c r="JL550" s="27" t="s">
        <v>7</v>
      </c>
      <c r="JM550" s="27" t="s">
        <v>8</v>
      </c>
      <c r="JN550" s="27" t="s">
        <v>7</v>
      </c>
      <c r="JP550" s="27" t="s">
        <v>7</v>
      </c>
      <c r="JQ550" s="27" t="s">
        <v>8</v>
      </c>
      <c r="JT550" s="27" t="s">
        <v>7</v>
      </c>
      <c r="JV550" s="27" t="s">
        <v>7</v>
      </c>
      <c r="JY550" s="27" t="s">
        <v>8</v>
      </c>
      <c r="JZ550" s="27" t="s">
        <v>7</v>
      </c>
      <c r="KA550" s="27" t="s">
        <v>8</v>
      </c>
      <c r="KB550" s="27" t="s">
        <v>7</v>
      </c>
      <c r="KC550" s="27" t="s">
        <v>8</v>
      </c>
      <c r="KD550" s="27" t="s">
        <v>7</v>
      </c>
    </row>
    <row r="551" spans="1:296" x14ac:dyDescent="0.25">
      <c r="A551" s="7">
        <v>2.0398873437157055</v>
      </c>
      <c r="B551"/>
      <c r="C551"/>
      <c r="D551"/>
      <c r="E551"/>
      <c r="HI551" s="27" t="s">
        <v>8</v>
      </c>
      <c r="HJ551" s="27" t="s">
        <v>7</v>
      </c>
      <c r="HK551" s="27" t="s">
        <v>8</v>
      </c>
      <c r="HL551" s="27" t="s">
        <v>7</v>
      </c>
      <c r="HR551" s="31"/>
      <c r="IU551" s="27" t="s">
        <v>8</v>
      </c>
      <c r="IV551" s="27" t="s">
        <v>7</v>
      </c>
      <c r="IX551" s="27" t="s">
        <v>7</v>
      </c>
      <c r="IY551" s="27" t="s">
        <v>8</v>
      </c>
      <c r="JF551" s="27" t="s">
        <v>7</v>
      </c>
      <c r="JL551" s="27" t="s">
        <v>7</v>
      </c>
      <c r="JM551" s="27" t="s">
        <v>8</v>
      </c>
      <c r="JP551" s="27" t="s">
        <v>7</v>
      </c>
      <c r="JV551" s="27" t="s">
        <v>7</v>
      </c>
      <c r="JW551" s="27" t="s">
        <v>8</v>
      </c>
      <c r="JY551" s="27" t="s">
        <v>8</v>
      </c>
      <c r="JZ551" s="27" t="s">
        <v>7</v>
      </c>
      <c r="KA551" s="27" t="s">
        <v>8</v>
      </c>
      <c r="KB551" s="27" t="s">
        <v>7</v>
      </c>
      <c r="KC551" s="27" t="s">
        <v>8</v>
      </c>
      <c r="KD551" s="27" t="s">
        <v>7</v>
      </c>
    </row>
    <row r="552" spans="1:296" x14ac:dyDescent="0.25">
      <c r="A552" s="7">
        <v>1.9998895526624565</v>
      </c>
      <c r="B552"/>
      <c r="C552"/>
      <c r="D552"/>
      <c r="E552"/>
      <c r="HI552" s="27" t="s">
        <v>8</v>
      </c>
      <c r="HJ552" s="27" t="s">
        <v>7</v>
      </c>
      <c r="HK552" s="27" t="s">
        <v>8</v>
      </c>
      <c r="HL552" s="27" t="s">
        <v>7</v>
      </c>
      <c r="HS552" s="31"/>
      <c r="IU552" s="27" t="s">
        <v>8</v>
      </c>
      <c r="IX552" s="27" t="s">
        <v>7</v>
      </c>
      <c r="IY552" s="27" t="s">
        <v>8</v>
      </c>
      <c r="JL552" s="27" t="s">
        <v>7</v>
      </c>
      <c r="JM552" s="27" t="s">
        <v>8</v>
      </c>
      <c r="JV552" s="27" t="s">
        <v>7</v>
      </c>
      <c r="JW552" s="27" t="s">
        <v>8</v>
      </c>
      <c r="JX552" s="27" t="s">
        <v>7</v>
      </c>
      <c r="JY552" s="27" t="s">
        <v>8</v>
      </c>
      <c r="JZ552" s="27" t="s">
        <v>7</v>
      </c>
      <c r="KA552" s="27" t="s">
        <v>8</v>
      </c>
      <c r="KB552" s="27" t="s">
        <v>7</v>
      </c>
      <c r="KC552" s="27" t="s">
        <v>8</v>
      </c>
      <c r="KD552" s="27" t="s">
        <v>7</v>
      </c>
    </row>
    <row r="553" spans="1:296" x14ac:dyDescent="0.25">
      <c r="A553" s="7">
        <v>1.9606760320220162</v>
      </c>
      <c r="B553"/>
      <c r="C553"/>
      <c r="D553"/>
      <c r="E553"/>
      <c r="HI553" s="27" t="s">
        <v>8</v>
      </c>
      <c r="HJ553" s="27" t="s">
        <v>7</v>
      </c>
      <c r="HK553" s="27" t="s">
        <v>8</v>
      </c>
      <c r="HL553" s="27" t="s">
        <v>7</v>
      </c>
      <c r="HT553" s="31"/>
      <c r="IU553" s="27" t="s">
        <v>8</v>
      </c>
      <c r="IX553" s="27" t="s">
        <v>7</v>
      </c>
      <c r="IY553" s="27" t="s">
        <v>8</v>
      </c>
      <c r="JL553" s="27" t="s">
        <v>7</v>
      </c>
      <c r="JM553" s="27" t="s">
        <v>8</v>
      </c>
      <c r="JV553" s="27" t="s">
        <v>7</v>
      </c>
      <c r="JW553" s="27" t="s">
        <v>8</v>
      </c>
      <c r="JX553" s="27" t="s">
        <v>7</v>
      </c>
      <c r="JY553" s="27" t="s">
        <v>8</v>
      </c>
      <c r="JZ553" s="27" t="s">
        <v>7</v>
      </c>
      <c r="KB553" s="27" t="s">
        <v>7</v>
      </c>
      <c r="KD553" s="27" t="s">
        <v>7</v>
      </c>
    </row>
    <row r="554" spans="1:296" x14ac:dyDescent="0.25">
      <c r="A554" s="7">
        <v>1.9222314039431532</v>
      </c>
      <c r="B554"/>
      <c r="C554"/>
      <c r="D554"/>
      <c r="E554"/>
      <c r="HI554" s="27" t="s">
        <v>8</v>
      </c>
      <c r="HJ554" s="27" t="s">
        <v>7</v>
      </c>
      <c r="HL554" s="27" t="s">
        <v>7</v>
      </c>
      <c r="HM554" s="27" t="s">
        <v>8</v>
      </c>
      <c r="HU554" s="31"/>
      <c r="IU554" s="27" t="s">
        <v>8</v>
      </c>
      <c r="IX554" s="27" t="s">
        <v>7</v>
      </c>
      <c r="IY554" s="27" t="s">
        <v>8</v>
      </c>
      <c r="JL554" s="27" t="s">
        <v>7</v>
      </c>
      <c r="JV554" s="27" t="s">
        <v>7</v>
      </c>
      <c r="JW554" s="27" t="s">
        <v>8</v>
      </c>
      <c r="JX554" s="27" t="s">
        <v>7</v>
      </c>
      <c r="KD554" s="27" t="s">
        <v>7</v>
      </c>
      <c r="KG554" s="27" t="s">
        <v>8</v>
      </c>
    </row>
    <row r="555" spans="1:296" x14ac:dyDescent="0.25">
      <c r="A555" s="7">
        <v>1.8845405921011305</v>
      </c>
      <c r="B555"/>
      <c r="C555"/>
      <c r="D555"/>
      <c r="E555"/>
      <c r="HI555" s="27" t="s">
        <v>8</v>
      </c>
      <c r="HL555" s="34" t="s">
        <v>7</v>
      </c>
      <c r="HM555" s="27" t="s">
        <v>8</v>
      </c>
      <c r="HN555" s="27" t="s">
        <v>7</v>
      </c>
      <c r="HS555" s="27" t="s">
        <v>8</v>
      </c>
      <c r="HV555" s="31"/>
      <c r="IS555" s="27" t="s">
        <v>8</v>
      </c>
      <c r="IU555" s="27" t="s">
        <v>8</v>
      </c>
      <c r="IX555" s="27" t="s">
        <v>7</v>
      </c>
      <c r="JV555" s="27" t="s">
        <v>7</v>
      </c>
      <c r="JW555" s="27" t="s">
        <v>8</v>
      </c>
      <c r="KD555" s="27" t="s">
        <v>7</v>
      </c>
      <c r="KE555" s="27" t="s">
        <v>8</v>
      </c>
      <c r="KG555" s="27" t="s">
        <v>8</v>
      </c>
      <c r="KH555" s="27" t="s">
        <v>7</v>
      </c>
    </row>
    <row r="556" spans="1:296" x14ac:dyDescent="0.25">
      <c r="A556" s="7">
        <v>1.8475888157854219</v>
      </c>
      <c r="B556"/>
      <c r="C556"/>
      <c r="D556"/>
      <c r="E556"/>
      <c r="HI556" s="33" t="s">
        <v>8</v>
      </c>
      <c r="HL556" s="27" t="s">
        <v>7</v>
      </c>
      <c r="HM556" s="27" t="s">
        <v>8</v>
      </c>
      <c r="HN556" s="27" t="s">
        <v>7</v>
      </c>
      <c r="HS556" s="27" t="s">
        <v>8</v>
      </c>
      <c r="HT556" s="27" t="s">
        <v>7</v>
      </c>
      <c r="HW556" s="31"/>
      <c r="IS556" s="27" t="s">
        <v>8</v>
      </c>
      <c r="IT556" s="27" t="s">
        <v>7</v>
      </c>
      <c r="IU556" s="27" t="s">
        <v>8</v>
      </c>
      <c r="JV556" s="27" t="s">
        <v>7</v>
      </c>
      <c r="JW556" s="27" t="s">
        <v>8</v>
      </c>
      <c r="KD556" s="27" t="s">
        <v>7</v>
      </c>
      <c r="KE556" s="27" t="s">
        <v>8</v>
      </c>
      <c r="KF556" s="27" t="s">
        <v>7</v>
      </c>
      <c r="KG556" s="27" t="s">
        <v>8</v>
      </c>
      <c r="KH556" s="27" t="s">
        <v>7</v>
      </c>
    </row>
    <row r="557" spans="1:296" x14ac:dyDescent="0.25">
      <c r="A557" s="7">
        <v>1.8113615841033548</v>
      </c>
      <c r="B557"/>
      <c r="C557"/>
      <c r="D557"/>
      <c r="E557"/>
      <c r="HG557" s="27" t="s">
        <v>8</v>
      </c>
      <c r="HI557" s="27" t="s">
        <v>8</v>
      </c>
      <c r="HL557" s="27" t="s">
        <v>7</v>
      </c>
      <c r="HM557" s="27" t="s">
        <v>8</v>
      </c>
      <c r="HN557" s="27" t="s">
        <v>7</v>
      </c>
      <c r="HQ557" s="27" t="s">
        <v>8</v>
      </c>
      <c r="HS557" s="27" t="s">
        <v>8</v>
      </c>
      <c r="HT557" s="27" t="s">
        <v>7</v>
      </c>
      <c r="HX557" s="31"/>
      <c r="IS557" s="27" t="s">
        <v>8</v>
      </c>
      <c r="IT557" s="27" t="s">
        <v>7</v>
      </c>
      <c r="IU557" s="27" t="s">
        <v>8</v>
      </c>
      <c r="JV557" s="27" t="s">
        <v>7</v>
      </c>
      <c r="KD557" s="27" t="s">
        <v>7</v>
      </c>
      <c r="KE557" s="27" t="s">
        <v>8</v>
      </c>
      <c r="KF557" s="27" t="s">
        <v>7</v>
      </c>
      <c r="KG557" s="27" t="s">
        <v>8</v>
      </c>
      <c r="KH557" s="27" t="s">
        <v>7</v>
      </c>
    </row>
    <row r="558" spans="1:296" x14ac:dyDescent="0.25">
      <c r="A558" s="7">
        <v>1.7758446902974065</v>
      </c>
      <c r="B558"/>
      <c r="C558"/>
      <c r="D558"/>
      <c r="E558"/>
      <c r="HG558" s="27" t="s">
        <v>8</v>
      </c>
      <c r="HH558" s="27" t="s">
        <v>7</v>
      </c>
      <c r="HI558" s="27" t="s">
        <v>8</v>
      </c>
      <c r="HL558" s="27" t="s">
        <v>7</v>
      </c>
      <c r="HM558" s="27" t="s">
        <v>8</v>
      </c>
      <c r="HN558" s="27" t="s">
        <v>7</v>
      </c>
      <c r="HQ558" s="27" t="s">
        <v>8</v>
      </c>
      <c r="HR558" s="27" t="s">
        <v>7</v>
      </c>
      <c r="HS558" s="27" t="s">
        <v>8</v>
      </c>
      <c r="HT558" s="27" t="s">
        <v>7</v>
      </c>
      <c r="HU558" s="27" t="s">
        <v>8</v>
      </c>
      <c r="HY558" s="31"/>
      <c r="IS558" s="27" t="s">
        <v>8</v>
      </c>
      <c r="IT558" s="27" t="s">
        <v>7</v>
      </c>
      <c r="IU558" s="27" t="s">
        <v>8</v>
      </c>
      <c r="KD558" s="27" t="s">
        <v>7</v>
      </c>
      <c r="KF558" s="27" t="s">
        <v>7</v>
      </c>
      <c r="KG558" s="27" t="s">
        <v>8</v>
      </c>
      <c r="KH558" s="27" t="s">
        <v>7</v>
      </c>
    </row>
    <row r="559" spans="1:296" x14ac:dyDescent="0.25">
      <c r="A559" s="7">
        <v>1.7410242061739281</v>
      </c>
      <c r="B559"/>
      <c r="C559"/>
      <c r="D559"/>
      <c r="E559"/>
      <c r="HE559" s="27" t="s">
        <v>8</v>
      </c>
      <c r="HG559" s="27" t="s">
        <v>8</v>
      </c>
      <c r="HH559" s="27" t="s">
        <v>7</v>
      </c>
      <c r="HI559" s="27" t="s">
        <v>8</v>
      </c>
      <c r="HL559" s="27" t="s">
        <v>7</v>
      </c>
      <c r="HM559" s="27" t="s">
        <v>8</v>
      </c>
      <c r="HN559" s="27" t="s">
        <v>7</v>
      </c>
      <c r="HQ559" s="27" t="s">
        <v>8</v>
      </c>
      <c r="HR559" s="27" t="s">
        <v>7</v>
      </c>
      <c r="HS559" s="27" t="s">
        <v>8</v>
      </c>
      <c r="HT559" s="27" t="s">
        <v>7</v>
      </c>
      <c r="HU559" s="27" t="s">
        <v>8</v>
      </c>
      <c r="HV559" s="27" t="s">
        <v>7</v>
      </c>
      <c r="HZ559" s="31"/>
      <c r="IS559" s="27" t="s">
        <v>8</v>
      </c>
      <c r="IT559" s="27" t="s">
        <v>7</v>
      </c>
      <c r="IU559" s="27" t="s">
        <v>8</v>
      </c>
      <c r="KF559" s="27" t="s">
        <v>7</v>
      </c>
      <c r="KG559" s="27" t="s">
        <v>8</v>
      </c>
      <c r="KH559" s="27" t="s">
        <v>7</v>
      </c>
      <c r="KI559" s="27" t="s">
        <v>8</v>
      </c>
    </row>
    <row r="560" spans="1:296" x14ac:dyDescent="0.25">
      <c r="A560" s="7">
        <v>1.7068864766411058</v>
      </c>
      <c r="B560"/>
      <c r="C560"/>
      <c r="D560"/>
      <c r="E560"/>
      <c r="HE560" s="27" t="s">
        <v>8</v>
      </c>
      <c r="HF560" s="27" t="s">
        <v>7</v>
      </c>
      <c r="HG560" s="27" t="s">
        <v>8</v>
      </c>
      <c r="HH560" s="27" t="s">
        <v>7</v>
      </c>
      <c r="HI560" s="27" t="s">
        <v>8</v>
      </c>
      <c r="HL560" s="27" t="s">
        <v>7</v>
      </c>
      <c r="HM560" s="27" t="s">
        <v>8</v>
      </c>
      <c r="HN560" s="27" t="s">
        <v>7</v>
      </c>
      <c r="HQ560" s="27" t="s">
        <v>8</v>
      </c>
      <c r="HR560" s="27" t="s">
        <v>7</v>
      </c>
      <c r="HS560" s="27" t="s">
        <v>8</v>
      </c>
      <c r="HT560" s="27" t="s">
        <v>7</v>
      </c>
      <c r="HU560" s="27" t="s">
        <v>8</v>
      </c>
      <c r="HV560" s="27" t="s">
        <v>7</v>
      </c>
      <c r="IA560" s="31"/>
      <c r="IS560" s="27" t="s">
        <v>8</v>
      </c>
      <c r="IT560" s="27" t="s">
        <v>7</v>
      </c>
      <c r="KF560" s="27" t="s">
        <v>7</v>
      </c>
      <c r="KH560" s="27" t="s">
        <v>7</v>
      </c>
      <c r="KI560" s="27" t="s">
        <v>8</v>
      </c>
      <c r="KJ560" s="27" t="s">
        <v>7</v>
      </c>
    </row>
    <row r="561" spans="1:320" x14ac:dyDescent="0.25">
      <c r="A561" s="7">
        <v>1.6734181143540252</v>
      </c>
      <c r="B561"/>
      <c r="C561"/>
      <c r="D561"/>
      <c r="E561"/>
      <c r="HE561" s="27" t="s">
        <v>8</v>
      </c>
      <c r="HF561" s="27" t="s">
        <v>7</v>
      </c>
      <c r="HG561" s="27" t="s">
        <v>8</v>
      </c>
      <c r="HH561" s="27" t="s">
        <v>7</v>
      </c>
      <c r="HI561" s="27" t="s">
        <v>8</v>
      </c>
      <c r="HL561" s="27" t="s">
        <v>7</v>
      </c>
      <c r="HM561" s="27" t="s">
        <v>8</v>
      </c>
      <c r="HN561" s="27" t="s">
        <v>7</v>
      </c>
      <c r="HQ561" s="27" t="s">
        <v>8</v>
      </c>
      <c r="HR561" s="27" t="s">
        <v>7</v>
      </c>
      <c r="HS561" s="27" t="s">
        <v>8</v>
      </c>
      <c r="HT561" s="27" t="s">
        <v>7</v>
      </c>
      <c r="HU561" s="27" t="s">
        <v>8</v>
      </c>
      <c r="HV561" s="27" t="s">
        <v>7</v>
      </c>
      <c r="IB561" s="31"/>
      <c r="IS561" s="27" t="s">
        <v>8</v>
      </c>
      <c r="KH561" s="27" t="s">
        <v>7</v>
      </c>
      <c r="KI561" s="27" t="s">
        <v>8</v>
      </c>
      <c r="KJ561" s="27" t="s">
        <v>7</v>
      </c>
    </row>
    <row r="562" spans="1:320" x14ac:dyDescent="0.25">
      <c r="A562" s="7">
        <v>1.6406059944647307</v>
      </c>
      <c r="B562"/>
      <c r="C562"/>
      <c r="D562"/>
      <c r="E562"/>
      <c r="HE562" s="27" t="s">
        <v>8</v>
      </c>
      <c r="HF562" s="27" t="s">
        <v>7</v>
      </c>
      <c r="HG562" s="27" t="s">
        <v>8</v>
      </c>
      <c r="HH562" s="27" t="s">
        <v>7</v>
      </c>
      <c r="HI562" s="27" t="s">
        <v>8</v>
      </c>
      <c r="HL562" s="27" t="s">
        <v>7</v>
      </c>
      <c r="HM562" s="27" t="s">
        <v>8</v>
      </c>
      <c r="HN562" s="27" t="s">
        <v>7</v>
      </c>
      <c r="HQ562" s="27" t="s">
        <v>8</v>
      </c>
      <c r="HR562" s="27" t="s">
        <v>7</v>
      </c>
      <c r="HS562" s="27" t="s">
        <v>8</v>
      </c>
      <c r="HT562" s="27" t="s">
        <v>7</v>
      </c>
      <c r="HU562" s="27" t="s">
        <v>8</v>
      </c>
      <c r="HV562" s="27" t="s">
        <v>7</v>
      </c>
      <c r="IC562" s="31"/>
      <c r="IS562" s="27" t="s">
        <v>8</v>
      </c>
      <c r="KH562" s="27" t="s">
        <v>7</v>
      </c>
      <c r="KI562" s="27" t="s">
        <v>8</v>
      </c>
      <c r="KJ562" s="27" t="s">
        <v>7</v>
      </c>
    </row>
    <row r="563" spans="1:320" x14ac:dyDescent="0.25">
      <c r="A563" s="7">
        <v>1.6084372494752261</v>
      </c>
      <c r="B563"/>
      <c r="C563"/>
      <c r="D563"/>
      <c r="E563"/>
      <c r="HE563" s="27" t="s">
        <v>8</v>
      </c>
      <c r="HF563" s="27" t="s">
        <v>7</v>
      </c>
      <c r="HG563" s="27" t="s">
        <v>8</v>
      </c>
      <c r="HH563" s="27" t="s">
        <v>7</v>
      </c>
      <c r="HI563" s="27" t="s">
        <v>8</v>
      </c>
      <c r="HL563" s="27" t="s">
        <v>7</v>
      </c>
      <c r="HM563" s="27" t="s">
        <v>8</v>
      </c>
      <c r="HN563" s="27" t="s">
        <v>7</v>
      </c>
      <c r="HQ563" s="33" t="s">
        <v>8</v>
      </c>
      <c r="HR563" s="27" t="s">
        <v>7</v>
      </c>
      <c r="HS563" s="27" t="s">
        <v>8</v>
      </c>
      <c r="HT563" s="27" t="s">
        <v>7</v>
      </c>
      <c r="HV563" s="27" t="s">
        <v>7</v>
      </c>
      <c r="HW563" s="32" t="s">
        <v>8</v>
      </c>
      <c r="HY563" s="32" t="s">
        <v>8</v>
      </c>
      <c r="ID563" s="31"/>
      <c r="IS563" s="27" t="s">
        <v>8</v>
      </c>
      <c r="KH563" s="27" t="s">
        <v>7</v>
      </c>
      <c r="KI563" s="27" t="s">
        <v>8</v>
      </c>
      <c r="KJ563" s="27" t="s">
        <v>7</v>
      </c>
      <c r="LG563" s="27" t="s">
        <v>8</v>
      </c>
    </row>
    <row r="564" spans="1:320" x14ac:dyDescent="0.25">
      <c r="A564" s="7">
        <v>1.5768992641913981</v>
      </c>
      <c r="B564"/>
      <c r="C564"/>
      <c r="D564"/>
      <c r="E564"/>
      <c r="HE564" s="27" t="s">
        <v>8</v>
      </c>
      <c r="HF564" s="27" t="s">
        <v>7</v>
      </c>
      <c r="HH564" s="27" t="s">
        <v>7</v>
      </c>
      <c r="HI564" s="27" t="s">
        <v>8</v>
      </c>
      <c r="HL564" s="27" t="s">
        <v>7</v>
      </c>
      <c r="HM564" s="27" t="s">
        <v>8</v>
      </c>
      <c r="HN564" s="27" t="s">
        <v>7</v>
      </c>
      <c r="HO564" s="27" t="s">
        <v>8</v>
      </c>
      <c r="HQ564" s="27" t="s">
        <v>8</v>
      </c>
      <c r="HR564" s="27" t="s">
        <v>7</v>
      </c>
      <c r="HS564" s="27" t="s">
        <v>8</v>
      </c>
      <c r="HV564" s="34" t="s">
        <v>7</v>
      </c>
      <c r="HW564" s="27" t="s">
        <v>8</v>
      </c>
      <c r="HX564" s="27" t="s">
        <v>7</v>
      </c>
      <c r="HY564" s="27" t="s">
        <v>8</v>
      </c>
      <c r="HZ564" s="27" t="s">
        <v>7</v>
      </c>
      <c r="IE564" s="31"/>
      <c r="IS564" s="27" t="s">
        <v>8</v>
      </c>
      <c r="KH564" s="27" t="s">
        <v>7</v>
      </c>
      <c r="KI564" s="27" t="s">
        <v>8</v>
      </c>
      <c r="KJ564" s="27" t="s">
        <v>7</v>
      </c>
      <c r="KW564" s="27" t="s">
        <v>8</v>
      </c>
      <c r="LG564" s="27" t="s">
        <v>8</v>
      </c>
      <c r="LH564" s="27" t="s">
        <v>7</v>
      </c>
    </row>
    <row r="565" spans="1:320" x14ac:dyDescent="0.25">
      <c r="A565" s="7">
        <v>1.5459796707758806</v>
      </c>
      <c r="B565"/>
      <c r="C565"/>
      <c r="D565"/>
      <c r="E565"/>
      <c r="GQ565" s="27" t="s">
        <v>8</v>
      </c>
      <c r="HE565" s="27" t="s">
        <v>8</v>
      </c>
      <c r="HH565" s="34" t="s">
        <v>7</v>
      </c>
      <c r="HL565" s="27" t="s">
        <v>7</v>
      </c>
      <c r="HM565" s="27" t="s">
        <v>8</v>
      </c>
      <c r="HN565" s="27" t="s">
        <v>7</v>
      </c>
      <c r="HO565" s="27" t="s">
        <v>8</v>
      </c>
      <c r="HP565" s="27" t="s">
        <v>7</v>
      </c>
      <c r="HQ565" s="27" t="s">
        <v>8</v>
      </c>
      <c r="HR565" s="27" t="s">
        <v>7</v>
      </c>
      <c r="HS565" s="27" t="s">
        <v>8</v>
      </c>
      <c r="HV565" s="27" t="s">
        <v>7</v>
      </c>
      <c r="HW565" s="27" t="s">
        <v>8</v>
      </c>
      <c r="HX565" s="27" t="s">
        <v>7</v>
      </c>
      <c r="HY565" s="27" t="s">
        <v>8</v>
      </c>
      <c r="HZ565" s="27" t="s">
        <v>7</v>
      </c>
      <c r="IF565" s="31"/>
      <c r="IS565" s="27" t="s">
        <v>8</v>
      </c>
      <c r="KH565" s="27" t="s">
        <v>7</v>
      </c>
      <c r="KI565" s="27" t="s">
        <v>8</v>
      </c>
      <c r="KJ565" s="27" t="s">
        <v>7</v>
      </c>
      <c r="KW565" s="27" t="s">
        <v>8</v>
      </c>
      <c r="KX565" s="27" t="s">
        <v>7</v>
      </c>
      <c r="LG565" s="27" t="s">
        <v>8</v>
      </c>
      <c r="LH565" s="27" t="s">
        <v>7</v>
      </c>
    </row>
    <row r="566" spans="1:320" x14ac:dyDescent="0.25">
      <c r="A566" s="7">
        <v>1.5156663438979221</v>
      </c>
      <c r="B566"/>
      <c r="C566"/>
      <c r="D566"/>
      <c r="E566"/>
      <c r="GQ566" s="27" t="s">
        <v>8</v>
      </c>
      <c r="GR566" s="27" t="s">
        <v>7</v>
      </c>
      <c r="HE566" s="27" t="s">
        <v>8</v>
      </c>
      <c r="HL566" s="27" t="s">
        <v>7</v>
      </c>
      <c r="HM566" s="27" t="s">
        <v>8</v>
      </c>
      <c r="HN566" s="27" t="s">
        <v>7</v>
      </c>
      <c r="HO566" s="27" t="s">
        <v>8</v>
      </c>
      <c r="HP566" s="27" t="s">
        <v>7</v>
      </c>
      <c r="HQ566" s="27" t="s">
        <v>8</v>
      </c>
      <c r="HR566" s="27" t="s">
        <v>7</v>
      </c>
      <c r="HS566" s="27" t="s">
        <v>8</v>
      </c>
      <c r="HV566" s="27" t="s">
        <v>7</v>
      </c>
      <c r="HW566" s="27" t="s">
        <v>8</v>
      </c>
      <c r="HX566" s="27" t="s">
        <v>7</v>
      </c>
      <c r="HY566" s="27" t="s">
        <v>8</v>
      </c>
      <c r="HZ566" s="27" t="s">
        <v>7</v>
      </c>
      <c r="IG566" s="31"/>
      <c r="IS566" s="27" t="s">
        <v>8</v>
      </c>
      <c r="KH566" s="27" t="s">
        <v>7</v>
      </c>
      <c r="KI566" s="27" t="s">
        <v>8</v>
      </c>
      <c r="KJ566" s="27" t="s">
        <v>7</v>
      </c>
      <c r="KW566" s="27" t="s">
        <v>8</v>
      </c>
      <c r="KX566" s="27" t="s">
        <v>7</v>
      </c>
      <c r="LG566" s="27" t="s">
        <v>8</v>
      </c>
      <c r="LH566" s="27" t="s">
        <v>7</v>
      </c>
    </row>
    <row r="567" spans="1:320" x14ac:dyDescent="0.25">
      <c r="A567" s="7">
        <v>1.4859473959783549</v>
      </c>
      <c r="B567"/>
      <c r="C567"/>
      <c r="D567"/>
      <c r="E567"/>
      <c r="FW567" s="27" t="s">
        <v>8</v>
      </c>
      <c r="GQ567" s="27" t="s">
        <v>8</v>
      </c>
      <c r="GR567" s="27" t="s">
        <v>7</v>
      </c>
      <c r="HE567" s="27" t="s">
        <v>8</v>
      </c>
      <c r="HL567" s="27" t="s">
        <v>7</v>
      </c>
      <c r="HM567" s="27" t="s">
        <v>8</v>
      </c>
      <c r="HN567" s="27" t="s">
        <v>7</v>
      </c>
      <c r="HO567" s="27" t="s">
        <v>8</v>
      </c>
      <c r="HP567" s="27" t="s">
        <v>7</v>
      </c>
      <c r="HQ567" s="27" t="s">
        <v>8</v>
      </c>
      <c r="HR567" s="27" t="s">
        <v>7</v>
      </c>
      <c r="HS567" s="27" t="s">
        <v>8</v>
      </c>
      <c r="HV567" s="27" t="s">
        <v>7</v>
      </c>
      <c r="HW567" s="27" t="s">
        <v>8</v>
      </c>
      <c r="HX567" s="27" t="s">
        <v>7</v>
      </c>
      <c r="HY567" s="27" t="s">
        <v>8</v>
      </c>
      <c r="HZ567" s="27" t="s">
        <v>7</v>
      </c>
      <c r="IG567" s="27" t="s">
        <v>8</v>
      </c>
      <c r="IH567" s="31"/>
      <c r="IQ567" s="27" t="s">
        <v>8</v>
      </c>
      <c r="IS567" s="27" t="s">
        <v>8</v>
      </c>
      <c r="KH567" s="27" t="s">
        <v>7</v>
      </c>
      <c r="KI567" s="27" t="s">
        <v>8</v>
      </c>
      <c r="KJ567" s="27" t="s">
        <v>7</v>
      </c>
      <c r="KU567" s="27" t="s">
        <v>8</v>
      </c>
      <c r="KW567" s="27" t="s">
        <v>8</v>
      </c>
      <c r="KX567" s="27" t="s">
        <v>7</v>
      </c>
      <c r="LG567" s="27" t="s">
        <v>8</v>
      </c>
      <c r="LH567" s="27" t="s">
        <v>7</v>
      </c>
    </row>
    <row r="568" spans="1:320" x14ac:dyDescent="0.25">
      <c r="A568" s="7">
        <v>1.4568111725277988</v>
      </c>
      <c r="B568"/>
      <c r="C568"/>
      <c r="D568"/>
      <c r="E568"/>
      <c r="FW568" s="27" t="s">
        <v>8</v>
      </c>
      <c r="FX568" s="27" t="s">
        <v>7</v>
      </c>
      <c r="GE568" s="27" t="s">
        <v>8</v>
      </c>
      <c r="GQ568" s="27" t="s">
        <v>8</v>
      </c>
      <c r="GR568" s="27" t="s">
        <v>7</v>
      </c>
      <c r="GS568" s="27" t="s">
        <v>8</v>
      </c>
      <c r="HE568" s="27" t="s">
        <v>8</v>
      </c>
      <c r="HL568" s="27" t="s">
        <v>7</v>
      </c>
      <c r="HM568" s="27" t="s">
        <v>8</v>
      </c>
      <c r="HN568" s="27" t="s">
        <v>7</v>
      </c>
      <c r="HO568" s="27" t="s">
        <v>8</v>
      </c>
      <c r="HP568" s="27" t="s">
        <v>7</v>
      </c>
      <c r="HQ568" s="27" t="s">
        <v>8</v>
      </c>
      <c r="HR568" s="27" t="s">
        <v>7</v>
      </c>
      <c r="HS568" s="27" t="s">
        <v>8</v>
      </c>
      <c r="HV568" s="27" t="s">
        <v>7</v>
      </c>
      <c r="HW568" s="27" t="s">
        <v>8</v>
      </c>
      <c r="HX568" s="27" t="s">
        <v>7</v>
      </c>
      <c r="HY568" s="27" t="s">
        <v>8</v>
      </c>
      <c r="HZ568" s="27" t="s">
        <v>7</v>
      </c>
      <c r="IG568" s="27" t="s">
        <v>8</v>
      </c>
      <c r="IH568" s="27" t="s">
        <v>7</v>
      </c>
      <c r="II568" s="31"/>
      <c r="IQ568" s="27" t="s">
        <v>8</v>
      </c>
      <c r="IR568" s="27" t="s">
        <v>7</v>
      </c>
      <c r="IS568" s="27" t="s">
        <v>8</v>
      </c>
      <c r="KH568" s="27" t="s">
        <v>7</v>
      </c>
      <c r="KI568" s="27" t="s">
        <v>8</v>
      </c>
      <c r="KJ568" s="27" t="s">
        <v>7</v>
      </c>
      <c r="KM568" s="27" t="s">
        <v>8</v>
      </c>
      <c r="KU568" s="27" t="s">
        <v>8</v>
      </c>
      <c r="KV568" s="27" t="s">
        <v>7</v>
      </c>
      <c r="KW568" s="27" t="s">
        <v>8</v>
      </c>
      <c r="KX568" s="27" t="s">
        <v>7</v>
      </c>
      <c r="LG568" s="27" t="s">
        <v>8</v>
      </c>
      <c r="LH568" s="27" t="s">
        <v>7</v>
      </c>
    </row>
    <row r="569" spans="1:320" x14ac:dyDescent="0.25">
      <c r="A569" s="7">
        <v>1.4282462475762734</v>
      </c>
      <c r="B569"/>
      <c r="C569"/>
      <c r="D569"/>
      <c r="E569"/>
      <c r="FW569" s="27" t="s">
        <v>8</v>
      </c>
      <c r="FX569" s="27" t="s">
        <v>7</v>
      </c>
      <c r="GE569" s="27" t="s">
        <v>8</v>
      </c>
      <c r="GF569" s="27" t="s">
        <v>7</v>
      </c>
      <c r="GQ569" s="27" t="s">
        <v>8</v>
      </c>
      <c r="GR569" s="27" t="s">
        <v>7</v>
      </c>
      <c r="GS569" s="27" t="s">
        <v>8</v>
      </c>
      <c r="GT569" s="27" t="s">
        <v>7</v>
      </c>
      <c r="HE569" s="27" t="s">
        <v>8</v>
      </c>
      <c r="HL569" s="27" t="s">
        <v>7</v>
      </c>
      <c r="HM569" s="27" t="s">
        <v>8</v>
      </c>
      <c r="HN569" s="27" t="s">
        <v>7</v>
      </c>
      <c r="HO569" s="27" t="s">
        <v>8</v>
      </c>
      <c r="HP569" s="27" t="s">
        <v>7</v>
      </c>
      <c r="HQ569" s="27" t="s">
        <v>8</v>
      </c>
      <c r="HR569" s="27" t="s">
        <v>7</v>
      </c>
      <c r="HS569" s="27" t="s">
        <v>8</v>
      </c>
      <c r="HV569" s="27" t="s">
        <v>7</v>
      </c>
      <c r="HW569" s="27" t="s">
        <v>8</v>
      </c>
      <c r="HX569" s="27" t="s">
        <v>7</v>
      </c>
      <c r="HY569" s="27" t="s">
        <v>8</v>
      </c>
      <c r="HZ569" s="27" t="s">
        <v>7</v>
      </c>
      <c r="IG569" s="27" t="s">
        <v>8</v>
      </c>
      <c r="IH569" s="27" t="s">
        <v>7</v>
      </c>
      <c r="IJ569" s="31"/>
      <c r="IQ569" s="27" t="s">
        <v>8</v>
      </c>
      <c r="IR569" s="27" t="s">
        <v>7</v>
      </c>
      <c r="IS569" s="27" t="s">
        <v>8</v>
      </c>
      <c r="KH569" s="27" t="s">
        <v>7</v>
      </c>
      <c r="KJ569" s="27" t="s">
        <v>7</v>
      </c>
      <c r="KK569" s="27" t="s">
        <v>8</v>
      </c>
      <c r="KM569" s="27" t="s">
        <v>8</v>
      </c>
      <c r="KN569" s="27" t="s">
        <v>7</v>
      </c>
      <c r="KU569" s="27" t="s">
        <v>8</v>
      </c>
      <c r="KV569" s="27" t="s">
        <v>7</v>
      </c>
      <c r="KW569" s="27" t="s">
        <v>8</v>
      </c>
      <c r="KX569" s="27" t="s">
        <v>7</v>
      </c>
      <c r="LG569" s="27" t="s">
        <v>8</v>
      </c>
      <c r="LH569" s="27" t="s">
        <v>7</v>
      </c>
    </row>
    <row r="570" spans="1:320" x14ac:dyDescent="0.25">
      <c r="A570" s="7">
        <v>1.4002414191924248</v>
      </c>
      <c r="B570"/>
      <c r="C570"/>
      <c r="D570"/>
      <c r="E570"/>
      <c r="FW570" s="27" t="s">
        <v>8</v>
      </c>
      <c r="FX570" s="27" t="s">
        <v>7</v>
      </c>
      <c r="GE570" s="27" t="s">
        <v>8</v>
      </c>
      <c r="GF570" s="27" t="s">
        <v>7</v>
      </c>
      <c r="GQ570" s="27" t="s">
        <v>8</v>
      </c>
      <c r="GR570" s="27" t="s">
        <v>7</v>
      </c>
      <c r="GS570" s="27" t="s">
        <v>8</v>
      </c>
      <c r="GT570" s="27" t="s">
        <v>7</v>
      </c>
      <c r="HA570" s="27" t="s">
        <v>8</v>
      </c>
      <c r="HE570" s="33" t="s">
        <v>8</v>
      </c>
      <c r="HL570" s="27" t="s">
        <v>7</v>
      </c>
      <c r="HM570" s="27" t="s">
        <v>8</v>
      </c>
      <c r="HN570" s="27" t="s">
        <v>7</v>
      </c>
      <c r="HO570" s="27" t="s">
        <v>8</v>
      </c>
      <c r="HP570" s="27" t="s">
        <v>7</v>
      </c>
      <c r="HQ570" s="27" t="s">
        <v>8</v>
      </c>
      <c r="HR570" s="27" t="s">
        <v>7</v>
      </c>
      <c r="HS570" s="27" t="s">
        <v>8</v>
      </c>
      <c r="HV570" s="27" t="s">
        <v>7</v>
      </c>
      <c r="HX570" s="27" t="s">
        <v>7</v>
      </c>
      <c r="HY570" s="27" t="s">
        <v>8</v>
      </c>
      <c r="HZ570" s="27" t="s">
        <v>7</v>
      </c>
      <c r="IC570" s="33" t="s">
        <v>8</v>
      </c>
      <c r="IG570" s="27" t="s">
        <v>8</v>
      </c>
      <c r="IH570" s="27" t="s">
        <v>7</v>
      </c>
      <c r="IK570" s="31"/>
      <c r="IQ570" s="27" t="s">
        <v>8</v>
      </c>
      <c r="IR570" s="27" t="s">
        <v>7</v>
      </c>
      <c r="KJ570" s="27" t="s">
        <v>7</v>
      </c>
      <c r="KK570" s="27" t="s">
        <v>8</v>
      </c>
      <c r="KL570" s="27" t="s">
        <v>7</v>
      </c>
      <c r="KM570" s="27" t="s">
        <v>8</v>
      </c>
      <c r="KN570" s="27" t="s">
        <v>7</v>
      </c>
      <c r="KO570" s="27" t="s">
        <v>8</v>
      </c>
      <c r="KU570" s="27" t="s">
        <v>8</v>
      </c>
      <c r="KV570" s="27" t="s">
        <v>7</v>
      </c>
      <c r="KX570" s="27" t="s">
        <v>7</v>
      </c>
      <c r="LG570" s="27" t="s">
        <v>8</v>
      </c>
      <c r="LH570" s="27" t="s">
        <v>7</v>
      </c>
    </row>
    <row r="571" spans="1:320" x14ac:dyDescent="0.25">
      <c r="A571" s="7">
        <v>1.3727857050906125</v>
      </c>
      <c r="B571"/>
      <c r="C571"/>
      <c r="D571"/>
      <c r="E571"/>
      <c r="FW571" s="27" t="s">
        <v>8</v>
      </c>
      <c r="FX571" s="27" t="s">
        <v>7</v>
      </c>
      <c r="GE571" s="27" t="s">
        <v>8</v>
      </c>
      <c r="GF571" s="27" t="s">
        <v>7</v>
      </c>
      <c r="GQ571" s="27" t="s">
        <v>8</v>
      </c>
      <c r="GR571" s="27" t="s">
        <v>7</v>
      </c>
      <c r="GS571" s="27" t="s">
        <v>8</v>
      </c>
      <c r="GT571" s="27" t="s">
        <v>7</v>
      </c>
      <c r="HA571" s="27" t="s">
        <v>8</v>
      </c>
      <c r="HB571" s="27" t="s">
        <v>7</v>
      </c>
      <c r="HC571" s="27" t="s">
        <v>8</v>
      </c>
      <c r="HE571" s="27" t="s">
        <v>8</v>
      </c>
      <c r="HL571" s="27" t="s">
        <v>7</v>
      </c>
      <c r="HM571" s="27" t="s">
        <v>8</v>
      </c>
      <c r="HN571" s="27" t="s">
        <v>7</v>
      </c>
      <c r="HO571" s="27" t="s">
        <v>8</v>
      </c>
      <c r="HP571" s="27" t="s">
        <v>7</v>
      </c>
      <c r="HQ571" s="27" t="s">
        <v>8</v>
      </c>
      <c r="HR571" s="27" t="s">
        <v>7</v>
      </c>
      <c r="HS571" s="27" t="s">
        <v>8</v>
      </c>
      <c r="HX571" s="27" t="s">
        <v>7</v>
      </c>
      <c r="HZ571" s="27" t="s">
        <v>7</v>
      </c>
      <c r="IA571" s="27" t="s">
        <v>8</v>
      </c>
      <c r="IC571" s="27" t="s">
        <v>8</v>
      </c>
      <c r="ID571" s="27" t="s">
        <v>7</v>
      </c>
      <c r="IE571" s="27" t="s">
        <v>8</v>
      </c>
      <c r="IG571" s="27" t="s">
        <v>8</v>
      </c>
      <c r="IH571" s="27" t="s">
        <v>7</v>
      </c>
      <c r="II571" s="27" t="s">
        <v>8</v>
      </c>
      <c r="IL571" s="31"/>
      <c r="IM571" s="27" t="s">
        <v>8</v>
      </c>
      <c r="IO571" s="27" t="s">
        <v>8</v>
      </c>
      <c r="IQ571" s="27" t="s">
        <v>8</v>
      </c>
      <c r="KJ571" s="27" t="s">
        <v>7</v>
      </c>
      <c r="KK571" s="27" t="s">
        <v>8</v>
      </c>
      <c r="KL571" s="27" t="s">
        <v>7</v>
      </c>
      <c r="KM571" s="27" t="s">
        <v>8</v>
      </c>
      <c r="KN571" s="27" t="s">
        <v>7</v>
      </c>
      <c r="KO571" s="27" t="s">
        <v>8</v>
      </c>
      <c r="KP571" s="27" t="s">
        <v>7</v>
      </c>
      <c r="KU571" s="27" t="s">
        <v>8</v>
      </c>
      <c r="KX571" s="27" t="s">
        <v>7</v>
      </c>
      <c r="KY571" s="27" t="s">
        <v>8</v>
      </c>
      <c r="LG571" s="27" t="s">
        <v>8</v>
      </c>
      <c r="LH571" s="27" t="s">
        <v>7</v>
      </c>
    </row>
    <row r="572" spans="1:320" x14ac:dyDescent="0.25">
      <c r="A572" s="7">
        <v>1.3458683383241299</v>
      </c>
      <c r="B572"/>
      <c r="C572"/>
      <c r="D572"/>
      <c r="E572"/>
      <c r="FW572" s="27" t="s">
        <v>8</v>
      </c>
      <c r="FX572" s="27" t="s">
        <v>7</v>
      </c>
      <c r="FY572" s="27" t="s">
        <v>8</v>
      </c>
      <c r="GE572" s="27" t="s">
        <v>8</v>
      </c>
      <c r="GF572" s="27" t="s">
        <v>7</v>
      </c>
      <c r="GQ572" s="27" t="s">
        <v>8</v>
      </c>
      <c r="GR572" s="27" t="s">
        <v>7</v>
      </c>
      <c r="GT572" s="27" t="s">
        <v>7</v>
      </c>
      <c r="HA572" s="27" t="s">
        <v>8</v>
      </c>
      <c r="HB572" s="27" t="s">
        <v>7</v>
      </c>
      <c r="HC572" s="27" t="s">
        <v>8</v>
      </c>
      <c r="HD572" s="27" t="s">
        <v>7</v>
      </c>
      <c r="HE572" s="27" t="s">
        <v>8</v>
      </c>
      <c r="HL572" s="27" t="s">
        <v>7</v>
      </c>
      <c r="HM572" s="27" t="s">
        <v>8</v>
      </c>
      <c r="HN572" s="27" t="s">
        <v>7</v>
      </c>
      <c r="HP572" s="27" t="s">
        <v>7</v>
      </c>
      <c r="HQ572" s="27" t="s">
        <v>8</v>
      </c>
      <c r="HR572" s="27" t="s">
        <v>7</v>
      </c>
      <c r="HZ572" s="27" t="s">
        <v>7</v>
      </c>
      <c r="IA572" s="27" t="s">
        <v>8</v>
      </c>
      <c r="IB572" s="27" t="s">
        <v>7</v>
      </c>
      <c r="IC572" s="27" t="s">
        <v>8</v>
      </c>
      <c r="ID572" s="27" t="s">
        <v>7</v>
      </c>
      <c r="IE572" s="27" t="s">
        <v>8</v>
      </c>
      <c r="IF572" s="27" t="s">
        <v>7</v>
      </c>
      <c r="IG572" s="27" t="s">
        <v>8</v>
      </c>
      <c r="IH572" s="27" t="s">
        <v>7</v>
      </c>
      <c r="II572" s="27" t="s">
        <v>8</v>
      </c>
      <c r="IJ572" s="27" t="s">
        <v>7</v>
      </c>
      <c r="IM572" s="31" t="s">
        <v>8</v>
      </c>
      <c r="IN572" s="27" t="s">
        <v>7</v>
      </c>
      <c r="IO572" s="27" t="s">
        <v>8</v>
      </c>
      <c r="IP572" s="27" t="s">
        <v>7</v>
      </c>
      <c r="IQ572" s="27" t="s">
        <v>8</v>
      </c>
      <c r="KJ572" s="27" t="s">
        <v>7</v>
      </c>
      <c r="KK572" s="27" t="s">
        <v>8</v>
      </c>
      <c r="KL572" s="27" t="s">
        <v>7</v>
      </c>
      <c r="KM572" s="27" t="s">
        <v>8</v>
      </c>
      <c r="KN572" s="27" t="s">
        <v>7</v>
      </c>
      <c r="KO572" s="27" t="s">
        <v>8</v>
      </c>
      <c r="KP572" s="27" t="s">
        <v>7</v>
      </c>
      <c r="KU572" s="27" t="s">
        <v>8</v>
      </c>
      <c r="KX572" s="27" t="s">
        <v>7</v>
      </c>
      <c r="KY572" s="27" t="s">
        <v>8</v>
      </c>
      <c r="KZ572" s="27" t="s">
        <v>7</v>
      </c>
      <c r="LE572" s="27" t="s">
        <v>8</v>
      </c>
      <c r="LG572" s="27" t="s">
        <v>8</v>
      </c>
      <c r="LH572" s="27" t="s">
        <v>7</v>
      </c>
    </row>
    <row r="573" spans="1:320" x14ac:dyDescent="0.25">
      <c r="A573" s="7">
        <v>1.3194787630628724</v>
      </c>
      <c r="B573"/>
      <c r="C573"/>
      <c r="D573"/>
      <c r="E573"/>
      <c r="FW573" s="27" t="s">
        <v>8</v>
      </c>
      <c r="FX573" s="27" t="s">
        <v>7</v>
      </c>
      <c r="FY573" s="27" t="s">
        <v>8</v>
      </c>
      <c r="FZ573" s="27" t="s">
        <v>7</v>
      </c>
      <c r="GE573" s="27" t="s">
        <v>8</v>
      </c>
      <c r="GF573" s="27" t="s">
        <v>7</v>
      </c>
      <c r="GO573" s="27" t="s">
        <v>8</v>
      </c>
      <c r="GQ573" s="27" t="s">
        <v>8</v>
      </c>
      <c r="GT573" s="27" t="s">
        <v>7</v>
      </c>
      <c r="GU573" s="27" t="s">
        <v>8</v>
      </c>
      <c r="HA573" s="27" t="s">
        <v>8</v>
      </c>
      <c r="HB573" s="27" t="s">
        <v>7</v>
      </c>
      <c r="HC573" s="27" t="s">
        <v>8</v>
      </c>
      <c r="HD573" s="27" t="s">
        <v>7</v>
      </c>
      <c r="HE573" s="27" t="s">
        <v>8</v>
      </c>
      <c r="HL573" s="27" t="s">
        <v>7</v>
      </c>
      <c r="HM573" s="27" t="s">
        <v>8</v>
      </c>
      <c r="HP573" s="27" t="s">
        <v>7</v>
      </c>
      <c r="HQ573" s="27" t="s">
        <v>8</v>
      </c>
      <c r="HZ573" s="27" t="s">
        <v>7</v>
      </c>
      <c r="IA573" s="27" t="s">
        <v>8</v>
      </c>
      <c r="IB573" s="27" t="s">
        <v>7</v>
      </c>
      <c r="IC573" s="27" t="s">
        <v>8</v>
      </c>
      <c r="ID573" s="27" t="s">
        <v>7</v>
      </c>
      <c r="IE573" s="27" t="s">
        <v>8</v>
      </c>
      <c r="IF573" s="27" t="s">
        <v>7</v>
      </c>
      <c r="IG573" s="27" t="s">
        <v>8</v>
      </c>
      <c r="IH573" s="27" t="s">
        <v>7</v>
      </c>
      <c r="II573" s="27" t="s">
        <v>8</v>
      </c>
      <c r="IJ573" s="27" t="s">
        <v>7</v>
      </c>
      <c r="IM573" s="27" t="s">
        <v>8</v>
      </c>
      <c r="IN573" s="27" t="s">
        <v>7</v>
      </c>
      <c r="IO573" s="27" t="s">
        <v>8</v>
      </c>
      <c r="IP573" s="27" t="s">
        <v>7</v>
      </c>
      <c r="IQ573" s="27" t="s">
        <v>8</v>
      </c>
      <c r="KJ573" s="27" t="s">
        <v>7</v>
      </c>
      <c r="KK573" s="27" t="s">
        <v>8</v>
      </c>
      <c r="KL573" s="27" t="s">
        <v>7</v>
      </c>
      <c r="KM573" s="27" t="s">
        <v>8</v>
      </c>
      <c r="KN573" s="27" t="s">
        <v>7</v>
      </c>
      <c r="KO573" s="27" t="s">
        <v>8</v>
      </c>
      <c r="KP573" s="27" t="s">
        <v>7</v>
      </c>
      <c r="KQ573" s="27" t="s">
        <v>8</v>
      </c>
      <c r="KU573" s="27" t="s">
        <v>8</v>
      </c>
      <c r="KX573" s="27" t="s">
        <v>7</v>
      </c>
      <c r="KY573" s="27" t="s">
        <v>8</v>
      </c>
      <c r="KZ573" s="27" t="s">
        <v>7</v>
      </c>
      <c r="LE573" s="27" t="s">
        <v>8</v>
      </c>
      <c r="LF573" s="27" t="s">
        <v>7</v>
      </c>
      <c r="LG573" s="27" t="s">
        <v>8</v>
      </c>
      <c r="LH573" s="27" t="s">
        <v>7</v>
      </c>
    </row>
    <row r="574" spans="1:320" x14ac:dyDescent="0.25">
      <c r="A574" s="7">
        <v>1.2936066304537963</v>
      </c>
      <c r="B574"/>
      <c r="C574"/>
      <c r="D574"/>
      <c r="E574"/>
      <c r="FW574" s="27" t="s">
        <v>8</v>
      </c>
      <c r="FX574" s="27" t="s">
        <v>7</v>
      </c>
      <c r="FY574" s="27" t="s">
        <v>8</v>
      </c>
      <c r="FZ574" s="27" t="s">
        <v>7</v>
      </c>
      <c r="GE574" s="27" t="s">
        <v>8</v>
      </c>
      <c r="GF574" s="27" t="s">
        <v>7</v>
      </c>
      <c r="GG574" s="27" t="s">
        <v>8</v>
      </c>
      <c r="GO574" s="27" t="s">
        <v>8</v>
      </c>
      <c r="GP574" s="27" t="s">
        <v>7</v>
      </c>
      <c r="GQ574" s="27" t="s">
        <v>8</v>
      </c>
      <c r="GT574" s="27" t="s">
        <v>7</v>
      </c>
      <c r="GU574" s="27" t="s">
        <v>8</v>
      </c>
      <c r="GV574" s="27" t="s">
        <v>7</v>
      </c>
      <c r="HA574" s="27" t="s">
        <v>8</v>
      </c>
      <c r="HB574" s="27" t="s">
        <v>7</v>
      </c>
      <c r="HD574" s="27" t="s">
        <v>7</v>
      </c>
      <c r="HE574" s="27" t="s">
        <v>8</v>
      </c>
      <c r="HL574" s="27" t="s">
        <v>7</v>
      </c>
      <c r="HM574" s="27" t="s">
        <v>8</v>
      </c>
      <c r="HP574" s="27" t="s">
        <v>7</v>
      </c>
      <c r="HQ574" s="27" t="s">
        <v>8</v>
      </c>
      <c r="HZ574" s="27" t="s">
        <v>7</v>
      </c>
      <c r="IA574" s="27" t="s">
        <v>8</v>
      </c>
      <c r="IB574" s="27" t="s">
        <v>7</v>
      </c>
      <c r="IC574" s="27" t="s">
        <v>8</v>
      </c>
      <c r="ID574" s="32" t="s">
        <v>7</v>
      </c>
      <c r="IF574" s="32" t="s">
        <v>7</v>
      </c>
      <c r="IH574" s="32" t="s">
        <v>7</v>
      </c>
      <c r="IJ574" s="27" t="s">
        <v>7</v>
      </c>
      <c r="IM574" s="27" t="s">
        <v>8</v>
      </c>
      <c r="IN574" s="27" t="s">
        <v>7</v>
      </c>
      <c r="IO574" s="27" t="s">
        <v>8</v>
      </c>
      <c r="IP574" s="27" t="s">
        <v>7</v>
      </c>
      <c r="IQ574" s="27" t="s">
        <v>8</v>
      </c>
      <c r="KJ574" s="27" t="s">
        <v>7</v>
      </c>
      <c r="KK574" s="27" t="s">
        <v>8</v>
      </c>
      <c r="KL574" s="27" t="s">
        <v>7</v>
      </c>
      <c r="KM574" s="27" t="s">
        <v>8</v>
      </c>
      <c r="KN574" s="27" t="s">
        <v>7</v>
      </c>
      <c r="KO574" s="27" t="s">
        <v>8</v>
      </c>
      <c r="KP574" s="27" t="s">
        <v>7</v>
      </c>
      <c r="KQ574" s="27" t="s">
        <v>8</v>
      </c>
      <c r="KR574" s="27" t="s">
        <v>7</v>
      </c>
      <c r="KS574" s="27" t="s">
        <v>8</v>
      </c>
      <c r="KU574" s="27" t="s">
        <v>8</v>
      </c>
      <c r="KX574" s="27" t="s">
        <v>7</v>
      </c>
      <c r="KZ574" s="27" t="s">
        <v>7</v>
      </c>
      <c r="LA574" s="27" t="s">
        <v>8</v>
      </c>
      <c r="LE574" s="27" t="s">
        <v>8</v>
      </c>
      <c r="LF574" s="27" t="s">
        <v>7</v>
      </c>
      <c r="LG574" s="27" t="s">
        <v>8</v>
      </c>
      <c r="LH574" s="27" t="s">
        <v>7</v>
      </c>
    </row>
    <row r="575" spans="1:320" x14ac:dyDescent="0.25">
      <c r="A575" s="7">
        <v>1.2682417945625455</v>
      </c>
      <c r="B575"/>
      <c r="C575"/>
      <c r="D575"/>
      <c r="E575"/>
      <c r="FW575" s="27" t="s">
        <v>8</v>
      </c>
      <c r="FX575" s="27" t="s">
        <v>7</v>
      </c>
      <c r="FY575" s="27" t="s">
        <v>8</v>
      </c>
      <c r="FZ575" s="27" t="s">
        <v>7</v>
      </c>
      <c r="GE575" s="27" t="s">
        <v>8</v>
      </c>
      <c r="GF575" s="27" t="s">
        <v>7</v>
      </c>
      <c r="GG575" s="27" t="s">
        <v>8</v>
      </c>
      <c r="GH575" s="27" t="s">
        <v>7</v>
      </c>
      <c r="GK575" s="27" t="s">
        <v>8</v>
      </c>
      <c r="GO575" s="27" t="s">
        <v>8</v>
      </c>
      <c r="GP575" s="27" t="s">
        <v>7</v>
      </c>
      <c r="GQ575" s="27" t="s">
        <v>8</v>
      </c>
      <c r="GT575" s="27" t="s">
        <v>7</v>
      </c>
      <c r="GU575" s="27" t="s">
        <v>8</v>
      </c>
      <c r="GV575" s="27" t="s">
        <v>7</v>
      </c>
      <c r="GW575" s="27" t="s">
        <v>8</v>
      </c>
      <c r="HA575" s="27" t="s">
        <v>8</v>
      </c>
      <c r="HD575" s="34" t="s">
        <v>7</v>
      </c>
      <c r="HL575" s="27" t="s">
        <v>7</v>
      </c>
      <c r="HM575" s="27" t="s">
        <v>8</v>
      </c>
      <c r="HP575" s="27" t="s">
        <v>7</v>
      </c>
      <c r="HQ575" s="27" t="s">
        <v>8</v>
      </c>
      <c r="HZ575" s="27" t="s">
        <v>7</v>
      </c>
      <c r="IA575" s="27" t="s">
        <v>8</v>
      </c>
      <c r="IB575" s="27" t="s">
        <v>7</v>
      </c>
      <c r="IC575" s="27" t="s">
        <v>8</v>
      </c>
      <c r="IJ575" s="34" t="s">
        <v>7</v>
      </c>
      <c r="IM575" s="27" t="s">
        <v>8</v>
      </c>
      <c r="IN575" s="27" t="s">
        <v>7</v>
      </c>
      <c r="IO575" s="27" t="s">
        <v>8</v>
      </c>
      <c r="IP575" s="27" t="s">
        <v>7</v>
      </c>
      <c r="KJ575" s="27" t="s">
        <v>7</v>
      </c>
      <c r="KK575" s="27" t="s">
        <v>8</v>
      </c>
      <c r="KL575" s="27" t="s">
        <v>7</v>
      </c>
      <c r="KN575" s="27" t="s">
        <v>7</v>
      </c>
      <c r="KO575" s="27" t="s">
        <v>8</v>
      </c>
      <c r="KP575" s="27" t="s">
        <v>7</v>
      </c>
      <c r="KQ575" s="27" t="s">
        <v>8</v>
      </c>
      <c r="KR575" s="27" t="s">
        <v>7</v>
      </c>
      <c r="KS575" s="27" t="s">
        <v>8</v>
      </c>
      <c r="KT575" s="27" t="s">
        <v>7</v>
      </c>
      <c r="KU575" s="27" t="s">
        <v>8</v>
      </c>
      <c r="KZ575" s="27" t="s">
        <v>7</v>
      </c>
      <c r="LA575" s="27" t="s">
        <v>8</v>
      </c>
      <c r="LB575" s="27" t="s">
        <v>7</v>
      </c>
      <c r="LE575" s="27" t="s">
        <v>8</v>
      </c>
      <c r="LF575" s="27" t="s">
        <v>7</v>
      </c>
      <c r="LG575" s="27" t="s">
        <v>8</v>
      </c>
      <c r="LH575" s="27" t="s">
        <v>7</v>
      </c>
    </row>
    <row r="576" spans="1:320" x14ac:dyDescent="0.25">
      <c r="A576" s="7">
        <v>1.2433743083946525</v>
      </c>
      <c r="B576"/>
      <c r="C576"/>
      <c r="D576"/>
      <c r="E576"/>
      <c r="FW576" s="27" t="s">
        <v>8</v>
      </c>
      <c r="FX576" s="27" t="s">
        <v>7</v>
      </c>
      <c r="FY576" s="27" t="s">
        <v>8</v>
      </c>
      <c r="FZ576" s="27" t="s">
        <v>7</v>
      </c>
      <c r="GE576" s="27" t="s">
        <v>8</v>
      </c>
      <c r="GF576" s="27" t="s">
        <v>7</v>
      </c>
      <c r="GG576" s="27" t="s">
        <v>8</v>
      </c>
      <c r="GH576" s="27" t="s">
        <v>7</v>
      </c>
      <c r="GK576" s="27" t="s">
        <v>8</v>
      </c>
      <c r="GL576" s="27" t="s">
        <v>7</v>
      </c>
      <c r="GM576" s="27" t="s">
        <v>8</v>
      </c>
      <c r="GO576" s="27" t="s">
        <v>8</v>
      </c>
      <c r="GP576" s="27" t="s">
        <v>7</v>
      </c>
      <c r="GQ576" s="27" t="s">
        <v>8</v>
      </c>
      <c r="GT576" s="27" t="s">
        <v>7</v>
      </c>
      <c r="GU576" s="27" t="s">
        <v>8</v>
      </c>
      <c r="GV576" s="27" t="s">
        <v>7</v>
      </c>
      <c r="GW576" s="27" t="s">
        <v>8</v>
      </c>
      <c r="GX576" s="27" t="s">
        <v>7</v>
      </c>
      <c r="HA576" s="27" t="s">
        <v>8</v>
      </c>
      <c r="HL576" s="27" t="s">
        <v>7</v>
      </c>
      <c r="HM576" s="27" t="s">
        <v>8</v>
      </c>
      <c r="HP576" s="27" t="s">
        <v>7</v>
      </c>
      <c r="HQ576" s="27" t="s">
        <v>8</v>
      </c>
      <c r="HZ576" s="27" t="s">
        <v>7</v>
      </c>
      <c r="IA576" s="27" t="s">
        <v>8</v>
      </c>
      <c r="IB576" s="27" t="s">
        <v>7</v>
      </c>
      <c r="IC576" s="27" t="s">
        <v>8</v>
      </c>
      <c r="IJ576" s="27" t="s">
        <v>7</v>
      </c>
      <c r="IM576" s="33" t="s">
        <v>8</v>
      </c>
      <c r="IN576" s="27" t="s">
        <v>7</v>
      </c>
      <c r="IO576" s="27" t="s">
        <v>8</v>
      </c>
      <c r="IS576" s="31"/>
      <c r="KJ576" s="27" t="s">
        <v>7</v>
      </c>
      <c r="KK576" s="27" t="s">
        <v>8</v>
      </c>
      <c r="KN576" s="27" t="s">
        <v>7</v>
      </c>
      <c r="KO576" s="27" t="s">
        <v>8</v>
      </c>
      <c r="KP576" s="27" t="s">
        <v>7</v>
      </c>
      <c r="KQ576" s="27" t="s">
        <v>8</v>
      </c>
      <c r="KR576" s="27" t="s">
        <v>7</v>
      </c>
      <c r="KS576" s="27" t="s">
        <v>8</v>
      </c>
      <c r="KT576" s="27" t="s">
        <v>7</v>
      </c>
      <c r="KU576" s="27" t="s">
        <v>8</v>
      </c>
      <c r="KZ576" s="27" t="s">
        <v>7</v>
      </c>
      <c r="LA576" s="27" t="s">
        <v>8</v>
      </c>
      <c r="LB576" s="27" t="s">
        <v>7</v>
      </c>
      <c r="LE576" s="27" t="s">
        <v>8</v>
      </c>
      <c r="LF576" s="27" t="s">
        <v>7</v>
      </c>
      <c r="LH576" s="27" t="s">
        <v>7</v>
      </c>
    </row>
    <row r="577" spans="1:324" x14ac:dyDescent="0.25">
      <c r="A577" s="7">
        <v>1.2189944199947573</v>
      </c>
      <c r="B577"/>
      <c r="C577"/>
      <c r="D577"/>
      <c r="E577"/>
      <c r="FW577" s="27" t="s">
        <v>8</v>
      </c>
      <c r="FX577" s="27" t="s">
        <v>7</v>
      </c>
      <c r="FY577" s="27" t="s">
        <v>8</v>
      </c>
      <c r="FZ577" s="27" t="s">
        <v>7</v>
      </c>
      <c r="GA577" s="27" t="s">
        <v>8</v>
      </c>
      <c r="GE577" s="27" t="s">
        <v>8</v>
      </c>
      <c r="GF577" s="27" t="s">
        <v>7</v>
      </c>
      <c r="GG577" s="27" t="s">
        <v>8</v>
      </c>
      <c r="GH577" s="27" t="s">
        <v>7</v>
      </c>
      <c r="GK577" s="27" t="s">
        <v>8</v>
      </c>
      <c r="GL577" s="27" t="s">
        <v>7</v>
      </c>
      <c r="GM577" s="27" t="s">
        <v>8</v>
      </c>
      <c r="GN577" s="27" t="s">
        <v>7</v>
      </c>
      <c r="GO577" s="27" t="s">
        <v>8</v>
      </c>
      <c r="GP577" s="27" t="s">
        <v>7</v>
      </c>
      <c r="GQ577" s="27" t="s">
        <v>8</v>
      </c>
      <c r="GT577" s="27" t="s">
        <v>7</v>
      </c>
      <c r="GU577" s="27" t="s">
        <v>8</v>
      </c>
      <c r="GV577" s="27" t="s">
        <v>7</v>
      </c>
      <c r="GW577" s="27" t="s">
        <v>8</v>
      </c>
      <c r="GX577" s="27" t="s">
        <v>7</v>
      </c>
      <c r="HA577" s="33" t="s">
        <v>8</v>
      </c>
      <c r="HL577" s="27" t="s">
        <v>7</v>
      </c>
      <c r="HM577" s="27" t="s">
        <v>8</v>
      </c>
      <c r="HP577" s="27" t="s">
        <v>7</v>
      </c>
      <c r="HQ577" s="27" t="s">
        <v>8</v>
      </c>
      <c r="HZ577" s="27" t="s">
        <v>7</v>
      </c>
      <c r="IA577" s="27" t="s">
        <v>8</v>
      </c>
      <c r="IB577" s="27" t="s">
        <v>7</v>
      </c>
      <c r="IJ577" s="27" t="s">
        <v>7</v>
      </c>
      <c r="IK577" s="27" t="s">
        <v>8</v>
      </c>
      <c r="IM577" s="27" t="s">
        <v>8</v>
      </c>
      <c r="IN577" s="27" t="s">
        <v>7</v>
      </c>
      <c r="IR577" s="31"/>
      <c r="KJ577" s="27" t="s">
        <v>7</v>
      </c>
      <c r="KK577" s="27" t="s">
        <v>8</v>
      </c>
      <c r="KN577" s="27" t="s">
        <v>7</v>
      </c>
      <c r="KO577" s="27" t="s">
        <v>8</v>
      </c>
      <c r="KP577" s="27" t="s">
        <v>7</v>
      </c>
      <c r="KR577" s="27" t="s">
        <v>7</v>
      </c>
      <c r="KS577" s="27" t="s">
        <v>8</v>
      </c>
      <c r="KT577" s="27" t="s">
        <v>7</v>
      </c>
      <c r="KZ577" s="27" t="s">
        <v>7</v>
      </c>
      <c r="LA577" s="27" t="s">
        <v>8</v>
      </c>
      <c r="LB577" s="27" t="s">
        <v>7</v>
      </c>
      <c r="LE577" s="27" t="s">
        <v>8</v>
      </c>
      <c r="LH577" s="27" t="s">
        <v>7</v>
      </c>
    </row>
    <row r="578" spans="1:324" x14ac:dyDescent="0.25">
      <c r="A578" s="7">
        <v>1.1950925686223111</v>
      </c>
      <c r="B578"/>
      <c r="C578"/>
      <c r="D578"/>
      <c r="E578"/>
      <c r="FU578" s="27" t="s">
        <v>8</v>
      </c>
      <c r="FW578" s="27" t="s">
        <v>8</v>
      </c>
      <c r="FX578" s="27" t="s">
        <v>7</v>
      </c>
      <c r="FY578" s="27" t="s">
        <v>8</v>
      </c>
      <c r="FZ578" s="27" t="s">
        <v>7</v>
      </c>
      <c r="GA578" s="27" t="s">
        <v>8</v>
      </c>
      <c r="GB578" s="27" t="s">
        <v>7</v>
      </c>
      <c r="GE578" s="27" t="s">
        <v>8</v>
      </c>
      <c r="GF578" s="27" t="s">
        <v>7</v>
      </c>
      <c r="GH578" s="27" t="s">
        <v>7</v>
      </c>
      <c r="GK578" s="27" t="s">
        <v>8</v>
      </c>
      <c r="GL578" s="27" t="s">
        <v>7</v>
      </c>
      <c r="GM578" s="27" t="s">
        <v>8</v>
      </c>
      <c r="GN578" s="27" t="s">
        <v>7</v>
      </c>
      <c r="GO578" s="27" t="s">
        <v>8</v>
      </c>
      <c r="GP578" s="27" t="s">
        <v>7</v>
      </c>
      <c r="GQ578" s="27" t="s">
        <v>8</v>
      </c>
      <c r="GT578" s="27" t="s">
        <v>7</v>
      </c>
      <c r="GU578" s="27" t="s">
        <v>8</v>
      </c>
      <c r="GV578" s="27" t="s">
        <v>7</v>
      </c>
      <c r="GW578" s="27" t="s">
        <v>8</v>
      </c>
      <c r="GX578" s="27" t="s">
        <v>7</v>
      </c>
      <c r="GY578" s="27" t="s">
        <v>8</v>
      </c>
      <c r="HA578" s="27" t="s">
        <v>8</v>
      </c>
      <c r="HL578" s="27" t="s">
        <v>7</v>
      </c>
      <c r="HM578" s="27" t="s">
        <v>8</v>
      </c>
      <c r="HP578" s="27" t="s">
        <v>7</v>
      </c>
      <c r="HQ578" s="27" t="s">
        <v>8</v>
      </c>
      <c r="HZ578" s="27" t="s">
        <v>7</v>
      </c>
      <c r="IA578" s="27" t="s">
        <v>8</v>
      </c>
      <c r="IJ578" s="27" t="s">
        <v>7</v>
      </c>
      <c r="IK578" s="27" t="s">
        <v>8</v>
      </c>
      <c r="IL578" s="27" t="s">
        <v>7</v>
      </c>
      <c r="IM578" s="27" t="s">
        <v>8</v>
      </c>
      <c r="IQ578" s="31"/>
      <c r="KJ578" s="27" t="s">
        <v>7</v>
      </c>
      <c r="KN578" s="27" t="s">
        <v>7</v>
      </c>
      <c r="KR578" s="27" t="s">
        <v>7</v>
      </c>
      <c r="KZ578" s="27" t="s">
        <v>7</v>
      </c>
      <c r="LB578" s="27" t="s">
        <v>7</v>
      </c>
      <c r="LC578" s="27" t="s">
        <v>8</v>
      </c>
      <c r="LE578" s="27" t="s">
        <v>8</v>
      </c>
      <c r="LH578" s="27" t="s">
        <v>7</v>
      </c>
    </row>
    <row r="579" spans="1:324" x14ac:dyDescent="0.25">
      <c r="A579" s="7">
        <v>1.1716593810022657</v>
      </c>
      <c r="B579"/>
      <c r="C579"/>
      <c r="D579"/>
      <c r="E579"/>
      <c r="FU579" s="27" t="s">
        <v>8</v>
      </c>
      <c r="FV579" s="27" t="s">
        <v>7</v>
      </c>
      <c r="FW579" s="27" t="s">
        <v>8</v>
      </c>
      <c r="FX579" s="27" t="s">
        <v>7</v>
      </c>
      <c r="FZ579" s="27" t="s">
        <v>7</v>
      </c>
      <c r="GA579" s="27" t="s">
        <v>8</v>
      </c>
      <c r="GB579" s="27" t="s">
        <v>7</v>
      </c>
      <c r="GE579" s="27" t="s">
        <v>8</v>
      </c>
      <c r="GH579" s="27" t="s">
        <v>7</v>
      </c>
      <c r="GI579" s="27" t="s">
        <v>8</v>
      </c>
      <c r="GK579" s="27" t="s">
        <v>8</v>
      </c>
      <c r="GL579" s="32" t="s">
        <v>7</v>
      </c>
      <c r="GN579" s="32" t="s">
        <v>7</v>
      </c>
      <c r="GP579" s="32" t="s">
        <v>7</v>
      </c>
      <c r="GT579" s="27" t="s">
        <v>7</v>
      </c>
      <c r="GU579" s="27" t="s">
        <v>8</v>
      </c>
      <c r="GV579" s="27" t="s">
        <v>7</v>
      </c>
      <c r="GW579" s="27" t="s">
        <v>8</v>
      </c>
      <c r="GX579" s="27" t="s">
        <v>7</v>
      </c>
      <c r="GY579" s="27" t="s">
        <v>8</v>
      </c>
      <c r="GZ579" s="27" t="s">
        <v>7</v>
      </c>
      <c r="HA579" s="27" t="s">
        <v>8</v>
      </c>
      <c r="HL579" s="27" t="s">
        <v>7</v>
      </c>
      <c r="HM579" s="27" t="s">
        <v>8</v>
      </c>
      <c r="HP579" s="27" t="s">
        <v>7</v>
      </c>
      <c r="HQ579" s="27" t="s">
        <v>8</v>
      </c>
      <c r="HZ579" s="27" t="s">
        <v>7</v>
      </c>
      <c r="IA579" s="27" t="s">
        <v>8</v>
      </c>
      <c r="IJ579" s="27" t="s">
        <v>7</v>
      </c>
      <c r="IK579" s="27" t="s">
        <v>8</v>
      </c>
      <c r="IL579" s="27" t="s">
        <v>7</v>
      </c>
      <c r="IM579" s="27" t="s">
        <v>8</v>
      </c>
      <c r="IP579" s="31"/>
      <c r="LB579" s="27" t="s">
        <v>7</v>
      </c>
      <c r="LC579" s="27" t="s">
        <v>8</v>
      </c>
      <c r="LD579" s="27" t="s">
        <v>7</v>
      </c>
      <c r="LE579" s="27" t="s">
        <v>8</v>
      </c>
      <c r="LH579" s="27" t="s">
        <v>7</v>
      </c>
    </row>
    <row r="580" spans="1:324" x14ac:dyDescent="0.25">
      <c r="A580" s="7">
        <v>1.14868566764928</v>
      </c>
      <c r="B580"/>
      <c r="C580"/>
      <c r="D580"/>
      <c r="E580"/>
      <c r="FU580" s="27" t="s">
        <v>8</v>
      </c>
      <c r="FV580" s="27" t="s">
        <v>7</v>
      </c>
      <c r="FW580" s="27" t="s">
        <v>8</v>
      </c>
      <c r="FZ580" s="27" t="s">
        <v>7</v>
      </c>
      <c r="GA580" s="27" t="s">
        <v>8</v>
      </c>
      <c r="GB580" s="27" t="s">
        <v>7</v>
      </c>
      <c r="GE580" s="27" t="s">
        <v>8</v>
      </c>
      <c r="GH580" s="27" t="s">
        <v>7</v>
      </c>
      <c r="GI580" s="27" t="s">
        <v>8</v>
      </c>
      <c r="GJ580" s="27" t="s">
        <v>7</v>
      </c>
      <c r="GK580" s="27" t="s">
        <v>8</v>
      </c>
      <c r="GT580" s="27" t="s">
        <v>7</v>
      </c>
      <c r="GU580" s="27" t="s">
        <v>8</v>
      </c>
      <c r="GV580" s="27" t="s">
        <v>7</v>
      </c>
      <c r="GX580" s="27" t="s">
        <v>7</v>
      </c>
      <c r="GY580" s="27" t="s">
        <v>8</v>
      </c>
      <c r="GZ580" s="27" t="s">
        <v>7</v>
      </c>
      <c r="HA580" s="27" t="s">
        <v>8</v>
      </c>
      <c r="HL580" s="27" t="s">
        <v>7</v>
      </c>
      <c r="HM580" s="27" t="s">
        <v>8</v>
      </c>
      <c r="HP580" s="27" t="s">
        <v>7</v>
      </c>
      <c r="HQ580" s="27" t="s">
        <v>8</v>
      </c>
      <c r="HZ580" s="27" t="s">
        <v>7</v>
      </c>
      <c r="IA580" s="27" t="s">
        <v>8</v>
      </c>
      <c r="IJ580" s="27" t="s">
        <v>7</v>
      </c>
      <c r="IK580" s="27" t="s">
        <v>8</v>
      </c>
      <c r="IL580" s="27" t="s">
        <v>7</v>
      </c>
      <c r="IO580" s="31"/>
      <c r="LB580" s="27" t="s">
        <v>7</v>
      </c>
      <c r="LC580" s="27" t="s">
        <v>8</v>
      </c>
      <c r="LD580" s="27" t="s">
        <v>7</v>
      </c>
      <c r="LE580" s="27" t="s">
        <v>8</v>
      </c>
      <c r="LH580" s="27" t="s">
        <v>7</v>
      </c>
      <c r="LI580" s="27" t="s">
        <v>8</v>
      </c>
      <c r="LK580" s="27" t="s">
        <v>8</v>
      </c>
    </row>
    <row r="581" spans="1:324" x14ac:dyDescent="0.25">
      <c r="A581" s="7">
        <v>1.1261624192640001</v>
      </c>
      <c r="B581"/>
      <c r="C581"/>
      <c r="D581"/>
      <c r="E581"/>
      <c r="FU581" s="27" t="s">
        <v>8</v>
      </c>
      <c r="FV581" s="27" t="s">
        <v>7</v>
      </c>
      <c r="FW581" s="27" t="s">
        <v>8</v>
      </c>
      <c r="FZ581" s="27" t="s">
        <v>7</v>
      </c>
      <c r="GA581" s="27" t="s">
        <v>8</v>
      </c>
      <c r="GB581" s="27" t="s">
        <v>7</v>
      </c>
      <c r="GE581" s="27" t="s">
        <v>8</v>
      </c>
      <c r="GH581" s="27" t="s">
        <v>7</v>
      </c>
      <c r="GI581" s="27" t="s">
        <v>8</v>
      </c>
      <c r="GJ581" s="27" t="s">
        <v>7</v>
      </c>
      <c r="GK581" s="27" t="s">
        <v>8</v>
      </c>
      <c r="GT581" s="27" t="s">
        <v>7</v>
      </c>
      <c r="GU581" s="27" t="s">
        <v>8</v>
      </c>
      <c r="GX581" s="34" t="s">
        <v>7</v>
      </c>
      <c r="GY581" s="27" t="s">
        <v>8</v>
      </c>
      <c r="GZ581" s="27" t="s">
        <v>7</v>
      </c>
      <c r="HA581" s="27" t="s">
        <v>8</v>
      </c>
      <c r="HL581" s="27" t="s">
        <v>7</v>
      </c>
      <c r="HM581" s="27" t="s">
        <v>8</v>
      </c>
      <c r="HP581" s="27" t="s">
        <v>7</v>
      </c>
      <c r="HQ581" s="27" t="s">
        <v>8</v>
      </c>
      <c r="HZ581" s="27" t="s">
        <v>7</v>
      </c>
      <c r="IA581" s="27" t="s">
        <v>8</v>
      </c>
      <c r="IJ581" s="18" t="s">
        <v>7</v>
      </c>
      <c r="IK581" s="27" t="s">
        <v>8</v>
      </c>
      <c r="IN581" s="31"/>
      <c r="LB581" s="27" t="s">
        <v>7</v>
      </c>
      <c r="LD581" s="27" t="s">
        <v>7</v>
      </c>
      <c r="LE581" s="27" t="s">
        <v>8</v>
      </c>
      <c r="LH581" s="27" t="s">
        <v>7</v>
      </c>
      <c r="LI581" s="27" t="s">
        <v>8</v>
      </c>
      <c r="LJ581" s="27" t="s">
        <v>7</v>
      </c>
      <c r="LK581" s="27" t="s">
        <v>8</v>
      </c>
      <c r="LL581" s="27" t="s">
        <v>7</v>
      </c>
    </row>
    <row r="582" spans="1:324" x14ac:dyDescent="0.25">
      <c r="A582" s="7">
        <v>1.1040808032</v>
      </c>
      <c r="B582"/>
      <c r="C582"/>
      <c r="D582"/>
      <c r="E582"/>
      <c r="FU582" s="27" t="s">
        <v>8</v>
      </c>
      <c r="FV582" s="27" t="s">
        <v>7</v>
      </c>
      <c r="FW582" s="27" t="s">
        <v>8</v>
      </c>
      <c r="FZ582" s="27" t="s">
        <v>7</v>
      </c>
      <c r="GA582" s="27" t="s">
        <v>8</v>
      </c>
      <c r="GB582" s="27" t="s">
        <v>7</v>
      </c>
      <c r="GE582" s="27" t="s">
        <v>8</v>
      </c>
      <c r="GH582" s="27" t="s">
        <v>7</v>
      </c>
      <c r="GI582" s="27" t="s">
        <v>8</v>
      </c>
      <c r="GJ582" s="27" t="s">
        <v>7</v>
      </c>
      <c r="GK582" s="27" t="s">
        <v>8</v>
      </c>
      <c r="GT582" s="27" t="s">
        <v>7</v>
      </c>
      <c r="GU582" s="27" t="s">
        <v>8</v>
      </c>
      <c r="GX582" s="27" t="s">
        <v>7</v>
      </c>
      <c r="GY582" s="27" t="s">
        <v>8</v>
      </c>
      <c r="GZ582" s="27" t="s">
        <v>7</v>
      </c>
      <c r="HA582" s="27" t="s">
        <v>8</v>
      </c>
      <c r="HL582" s="27" t="s">
        <v>7</v>
      </c>
      <c r="HM582" s="27" t="s">
        <v>8</v>
      </c>
      <c r="HP582" s="27" t="s">
        <v>7</v>
      </c>
      <c r="HQ582" s="27" t="s">
        <v>8</v>
      </c>
      <c r="HZ582" s="27" t="s">
        <v>7</v>
      </c>
      <c r="IA582" s="27" t="s">
        <v>8</v>
      </c>
      <c r="IJ582" s="27" t="s">
        <v>7</v>
      </c>
      <c r="IK582" s="27" t="s">
        <v>8</v>
      </c>
      <c r="IM582" s="31"/>
      <c r="LD582" s="27" t="s">
        <v>7</v>
      </c>
      <c r="LE582" s="27" t="s">
        <v>8</v>
      </c>
      <c r="LH582" s="27" t="s">
        <v>7</v>
      </c>
      <c r="LI582" s="27" t="s">
        <v>8</v>
      </c>
      <c r="LJ582" s="27" t="s">
        <v>7</v>
      </c>
      <c r="LK582" s="27" t="s">
        <v>8</v>
      </c>
      <c r="LL582" s="27" t="s">
        <v>7</v>
      </c>
    </row>
    <row r="583" spans="1:324" x14ac:dyDescent="0.25">
      <c r="A583" s="7">
        <v>1.08243216</v>
      </c>
      <c r="B583"/>
      <c r="C583"/>
      <c r="D583"/>
      <c r="E583"/>
      <c r="FU583" s="27" t="s">
        <v>8</v>
      </c>
      <c r="FV583" s="27" t="s">
        <v>7</v>
      </c>
      <c r="FW583" s="27" t="s">
        <v>8</v>
      </c>
      <c r="FZ583" s="27" t="s">
        <v>7</v>
      </c>
      <c r="GA583" s="27" t="s">
        <v>8</v>
      </c>
      <c r="GB583" s="27" t="s">
        <v>7</v>
      </c>
      <c r="GC583" s="27" t="s">
        <v>8</v>
      </c>
      <c r="GE583" s="27" t="s">
        <v>8</v>
      </c>
      <c r="GH583" s="27" t="s">
        <v>7</v>
      </c>
      <c r="GJ583" s="27" t="s">
        <v>7</v>
      </c>
      <c r="GK583" s="27" t="s">
        <v>8</v>
      </c>
      <c r="GT583" s="27" t="s">
        <v>7</v>
      </c>
      <c r="GX583" s="27" t="s">
        <v>7</v>
      </c>
      <c r="GY583" s="27" t="s">
        <v>8</v>
      </c>
      <c r="GZ583" s="27" t="s">
        <v>7</v>
      </c>
      <c r="HA583" s="27" t="s">
        <v>8</v>
      </c>
      <c r="HL583" s="27" t="s">
        <v>7</v>
      </c>
      <c r="HM583" s="27" t="s">
        <v>8</v>
      </c>
      <c r="HP583" s="27" t="s">
        <v>7</v>
      </c>
      <c r="HQ583" s="27" t="s">
        <v>8</v>
      </c>
      <c r="HZ583" s="27" t="s">
        <v>7</v>
      </c>
      <c r="IA583" s="27" t="s">
        <v>8</v>
      </c>
      <c r="IJ583" s="27" t="s">
        <v>7</v>
      </c>
      <c r="IK583" s="27" t="s">
        <v>8</v>
      </c>
      <c r="IL583" s="31"/>
      <c r="LD583" s="27" t="s">
        <v>7</v>
      </c>
      <c r="LH583" s="27" t="s">
        <v>7</v>
      </c>
      <c r="LI583" s="27" t="s">
        <v>8</v>
      </c>
      <c r="LJ583" s="27" t="s">
        <v>7</v>
      </c>
      <c r="LK583" s="27" t="s">
        <v>8</v>
      </c>
      <c r="LL583" s="27" t="s">
        <v>7</v>
      </c>
    </row>
    <row r="584" spans="1:324" x14ac:dyDescent="0.25">
      <c r="A584" s="7">
        <v>1.0612079999999999</v>
      </c>
      <c r="B584"/>
      <c r="C584"/>
      <c r="D584"/>
      <c r="E584"/>
      <c r="FU584" s="27" t="s">
        <v>8</v>
      </c>
      <c r="FV584" s="27" t="s">
        <v>7</v>
      </c>
      <c r="FW584" s="27" t="s">
        <v>8</v>
      </c>
      <c r="FZ584" s="27" t="s">
        <v>7</v>
      </c>
      <c r="GA584" s="27" t="s">
        <v>8</v>
      </c>
      <c r="GB584" s="27" t="s">
        <v>7</v>
      </c>
      <c r="GC584" s="27" t="s">
        <v>8</v>
      </c>
      <c r="GD584" s="27" t="s">
        <v>7</v>
      </c>
      <c r="GE584" s="27" t="s">
        <v>8</v>
      </c>
      <c r="GJ584" s="27" t="s">
        <v>7</v>
      </c>
      <c r="GK584" s="27" t="s">
        <v>8</v>
      </c>
      <c r="GX584" s="27" t="s">
        <v>7</v>
      </c>
      <c r="GY584" s="27" t="s">
        <v>8</v>
      </c>
      <c r="GZ584" s="27" t="s">
        <v>7</v>
      </c>
      <c r="HA584" s="27" t="s">
        <v>8</v>
      </c>
      <c r="HL584" s="27" t="s">
        <v>7</v>
      </c>
      <c r="HM584" s="27" t="s">
        <v>8</v>
      </c>
      <c r="HP584" s="27" t="s">
        <v>7</v>
      </c>
      <c r="HZ584" s="27" t="s">
        <v>7</v>
      </c>
      <c r="IA584" s="27" t="s">
        <v>8</v>
      </c>
      <c r="IJ584" s="27" t="s">
        <v>7</v>
      </c>
      <c r="IK584" s="31" t="s">
        <v>8</v>
      </c>
      <c r="LH584" s="27" t="s">
        <v>7</v>
      </c>
      <c r="LI584" s="27" t="s">
        <v>8</v>
      </c>
      <c r="LJ584" s="27" t="s">
        <v>7</v>
      </c>
      <c r="LK584" s="27" t="s">
        <v>8</v>
      </c>
      <c r="LL584" s="27" t="s">
        <v>7</v>
      </c>
    </row>
    <row r="585" spans="1:324" x14ac:dyDescent="0.25">
      <c r="A585" s="7">
        <v>1.0404</v>
      </c>
      <c r="B585"/>
      <c r="C585"/>
      <c r="D585"/>
      <c r="E585"/>
      <c r="FU585" s="27" t="s">
        <v>8</v>
      </c>
      <c r="FV585" s="27" t="s">
        <v>7</v>
      </c>
      <c r="FW585" s="27" t="s">
        <v>8</v>
      </c>
      <c r="FZ585" s="27" t="s">
        <v>7</v>
      </c>
      <c r="GB585" s="27" t="s">
        <v>7</v>
      </c>
      <c r="GC585" s="27" t="s">
        <v>8</v>
      </c>
      <c r="GD585" s="27" t="s">
        <v>7</v>
      </c>
      <c r="GE585" s="27" t="s">
        <v>8</v>
      </c>
      <c r="GJ585" s="27" t="s">
        <v>7</v>
      </c>
      <c r="GX585" s="27" t="s">
        <v>7</v>
      </c>
      <c r="GY585" s="27" t="s">
        <v>8</v>
      </c>
      <c r="GZ585" s="27" t="s">
        <v>7</v>
      </c>
      <c r="HA585" s="27" t="s">
        <v>8</v>
      </c>
      <c r="HL585" s="27" t="s">
        <v>7</v>
      </c>
      <c r="HM585" s="27" t="s">
        <v>8</v>
      </c>
      <c r="HZ585" s="27" t="s">
        <v>7</v>
      </c>
      <c r="IA585" s="27" t="s">
        <v>8</v>
      </c>
      <c r="IJ585" s="31" t="s">
        <v>7</v>
      </c>
      <c r="LH585" s="27" t="s">
        <v>7</v>
      </c>
      <c r="LI585" s="27" t="s">
        <v>8</v>
      </c>
      <c r="LJ585" s="27" t="s">
        <v>7</v>
      </c>
      <c r="LK585" s="27" t="s">
        <v>8</v>
      </c>
      <c r="LL585" s="27" t="s">
        <v>7</v>
      </c>
    </row>
    <row r="586" spans="1:324" x14ac:dyDescent="0.25">
      <c r="A586" s="7">
        <v>1.02</v>
      </c>
      <c r="B586"/>
      <c r="C586"/>
      <c r="D586"/>
      <c r="E586"/>
      <c r="FU586" s="27" t="s">
        <v>8</v>
      </c>
      <c r="FV586" s="27" t="s">
        <v>7</v>
      </c>
      <c r="FW586" s="27" t="s">
        <v>8</v>
      </c>
      <c r="GB586" s="27" t="s">
        <v>7</v>
      </c>
      <c r="GC586" s="27" t="s">
        <v>8</v>
      </c>
      <c r="GD586" s="27" t="s">
        <v>7</v>
      </c>
      <c r="GX586" s="27" t="s">
        <v>7</v>
      </c>
      <c r="GY586" s="27" t="s">
        <v>8</v>
      </c>
      <c r="GZ586" s="27" t="s">
        <v>7</v>
      </c>
      <c r="HL586" s="27" t="s">
        <v>7</v>
      </c>
      <c r="HZ586" s="27" t="s">
        <v>7</v>
      </c>
      <c r="LH586" s="27" t="s">
        <v>7</v>
      </c>
      <c r="LI586" s="27" t="s">
        <v>8</v>
      </c>
      <c r="LJ586" s="27" t="s">
        <v>7</v>
      </c>
      <c r="LK586" s="27" t="s">
        <v>8</v>
      </c>
    </row>
    <row r="587" spans="1:324" x14ac:dyDescent="0.25">
      <c r="A587" s="7">
        <v>1</v>
      </c>
      <c r="B587"/>
      <c r="C587"/>
      <c r="D587"/>
      <c r="E587" s="29" t="s">
        <v>8</v>
      </c>
      <c r="FU587" s="27" t="s">
        <v>8</v>
      </c>
      <c r="FV587" s="27" t="s">
        <v>7</v>
      </c>
      <c r="FW587" s="27" t="s">
        <v>8</v>
      </c>
      <c r="GB587" s="27" t="s">
        <v>7</v>
      </c>
      <c r="GX587" s="27" t="s">
        <v>7</v>
      </c>
      <c r="GY587" s="27" t="s">
        <v>8</v>
      </c>
      <c r="LH587" s="27" t="s">
        <v>7</v>
      </c>
      <c r="LI587" s="27" t="s">
        <v>8</v>
      </c>
      <c r="LJ587" s="27" t="s">
        <v>7</v>
      </c>
      <c r="LK587" s="27" t="s">
        <v>8</v>
      </c>
    </row>
    <row r="588" spans="1:324" x14ac:dyDescent="0.25">
      <c r="A588" s="7">
        <v>0.98039215686274506</v>
      </c>
      <c r="B588"/>
      <c r="C588"/>
      <c r="D588"/>
      <c r="E588"/>
      <c r="F588" s="27" t="s">
        <v>7</v>
      </c>
      <c r="FU588" s="27" t="s">
        <v>8</v>
      </c>
      <c r="FV588" s="27" t="s">
        <v>7</v>
      </c>
      <c r="FW588" s="27" t="s">
        <v>8</v>
      </c>
      <c r="GX588" s="27" t="s">
        <v>7</v>
      </c>
      <c r="GY588" s="27" t="s">
        <v>8</v>
      </c>
      <c r="LH588" s="27" t="s">
        <v>7</v>
      </c>
      <c r="LI588" s="27" t="s">
        <v>8</v>
      </c>
      <c r="LJ588" s="27" t="s">
        <v>7</v>
      </c>
      <c r="LK588" s="27" t="s">
        <v>8</v>
      </c>
    </row>
    <row r="589" spans="1:324" x14ac:dyDescent="0.25">
      <c r="A589" s="7">
        <v>0.96116878123798544</v>
      </c>
      <c r="B589"/>
      <c r="C589"/>
      <c r="D589"/>
      <c r="E589"/>
      <c r="F589" s="27" t="s">
        <v>7</v>
      </c>
      <c r="FM589" s="27" t="s">
        <v>8</v>
      </c>
      <c r="FU589" s="27" t="s">
        <v>8</v>
      </c>
      <c r="FV589" s="27" t="s">
        <v>7</v>
      </c>
      <c r="FW589" s="27" t="s">
        <v>8</v>
      </c>
      <c r="GX589" s="27" t="s">
        <v>7</v>
      </c>
      <c r="GY589" s="27" t="s">
        <v>8</v>
      </c>
      <c r="LH589" s="27" t="s">
        <v>7</v>
      </c>
      <c r="LI589" s="27" t="s">
        <v>8</v>
      </c>
      <c r="LJ589" s="27" t="s">
        <v>7</v>
      </c>
    </row>
    <row r="590" spans="1:324" x14ac:dyDescent="0.25">
      <c r="A590" s="7">
        <v>0.94232233454704462</v>
      </c>
      <c r="B590"/>
      <c r="C590"/>
      <c r="D590"/>
      <c r="E590"/>
      <c r="F590" s="27" t="s">
        <v>7</v>
      </c>
      <c r="FM590" s="27" t="s">
        <v>8</v>
      </c>
      <c r="FN590" s="27" t="s">
        <v>7</v>
      </c>
      <c r="FS590" s="27" t="s">
        <v>8</v>
      </c>
      <c r="FU590" s="27" t="s">
        <v>8</v>
      </c>
      <c r="FV590" s="27" t="s">
        <v>7</v>
      </c>
      <c r="FW590" s="27" t="s">
        <v>8</v>
      </c>
      <c r="GX590" s="27" t="s">
        <v>7</v>
      </c>
      <c r="GY590" s="27" t="s">
        <v>8</v>
      </c>
      <c r="LH590" s="27" t="s">
        <v>7</v>
      </c>
      <c r="LI590" s="27" t="s">
        <v>8</v>
      </c>
    </row>
    <row r="591" spans="1:324" x14ac:dyDescent="0.25">
      <c r="A591" s="7">
        <v>0.92384542602651432</v>
      </c>
      <c r="B591"/>
      <c r="C591"/>
      <c r="D591"/>
      <c r="E591"/>
      <c r="F591" s="27" t="s">
        <v>7</v>
      </c>
      <c r="FM591" s="27" t="s">
        <v>8</v>
      </c>
      <c r="FN591" s="27" t="s">
        <v>7</v>
      </c>
      <c r="FS591" s="27" t="s">
        <v>8</v>
      </c>
      <c r="FT591" s="27" t="s">
        <v>7</v>
      </c>
      <c r="FU591" s="27" t="s">
        <v>8</v>
      </c>
      <c r="FV591" s="27" t="s">
        <v>7</v>
      </c>
      <c r="FW591" s="27" t="s">
        <v>8</v>
      </c>
      <c r="GX591" s="27" t="s">
        <v>7</v>
      </c>
      <c r="LH591" s="27" t="s">
        <v>7</v>
      </c>
    </row>
    <row r="592" spans="1:324" x14ac:dyDescent="0.25">
      <c r="A592" s="7">
        <v>0.90573080982991594</v>
      </c>
      <c r="B592"/>
      <c r="C592"/>
      <c r="D592"/>
      <c r="E592"/>
      <c r="F592" s="27" t="s">
        <v>7</v>
      </c>
      <c r="FM592" s="27" t="s">
        <v>8</v>
      </c>
      <c r="FN592" s="27" t="s">
        <v>7</v>
      </c>
      <c r="FO592" s="27" t="s">
        <v>8</v>
      </c>
      <c r="FQ592" s="27" t="s">
        <v>8</v>
      </c>
      <c r="FS592" s="27" t="s">
        <v>8</v>
      </c>
      <c r="FT592" s="27" t="s">
        <v>7</v>
      </c>
      <c r="FU592" s="27" t="s">
        <v>8</v>
      </c>
      <c r="FV592" s="27" t="s">
        <v>7</v>
      </c>
      <c r="FW592" s="27" t="s">
        <v>8</v>
      </c>
    </row>
    <row r="593" spans="1:179" x14ac:dyDescent="0.25">
      <c r="A593" s="7">
        <v>0.8879713821861922</v>
      </c>
      <c r="B593"/>
      <c r="C593"/>
      <c r="D593"/>
      <c r="E593"/>
      <c r="F593" s="27" t="s">
        <v>7</v>
      </c>
      <c r="FM593" s="27" t="s">
        <v>8</v>
      </c>
      <c r="FN593" s="27" t="s">
        <v>7</v>
      </c>
      <c r="FO593" s="27" t="s">
        <v>8</v>
      </c>
      <c r="FP593" s="27" t="s">
        <v>7</v>
      </c>
      <c r="FQ593" s="27" t="s">
        <v>8</v>
      </c>
      <c r="FR593" s="27" t="s">
        <v>7</v>
      </c>
      <c r="FS593" s="27" t="s">
        <v>8</v>
      </c>
      <c r="FT593" s="27" t="s">
        <v>7</v>
      </c>
      <c r="FV593" s="27" t="s">
        <v>7</v>
      </c>
      <c r="FW593" s="27" t="s">
        <v>8</v>
      </c>
    </row>
    <row r="594" spans="1:179" x14ac:dyDescent="0.25">
      <c r="A594" s="7">
        <v>0.87056017861391399</v>
      </c>
      <c r="B594"/>
      <c r="C594"/>
      <c r="D594"/>
      <c r="E594"/>
      <c r="F594" s="27" t="s">
        <v>7</v>
      </c>
      <c r="FM594" s="27" t="s">
        <v>8</v>
      </c>
      <c r="FN594" s="27" t="s">
        <v>7</v>
      </c>
      <c r="FO594" s="27" t="s">
        <v>8</v>
      </c>
      <c r="FP594" s="27" t="s">
        <v>7</v>
      </c>
      <c r="FQ594" s="27" t="s">
        <v>8</v>
      </c>
      <c r="FR594" s="27" t="s">
        <v>7</v>
      </c>
      <c r="FS594" s="27" t="s">
        <v>8</v>
      </c>
      <c r="FV594" s="27" t="s">
        <v>7</v>
      </c>
      <c r="FW594" s="27" t="s">
        <v>8</v>
      </c>
    </row>
    <row r="595" spans="1:179" x14ac:dyDescent="0.25">
      <c r="A595" s="7">
        <v>0.85349037119011173</v>
      </c>
      <c r="B595"/>
      <c r="C595"/>
      <c r="D595"/>
      <c r="E595"/>
      <c r="F595" s="27" t="s">
        <v>7</v>
      </c>
      <c r="FM595" s="27" t="s">
        <v>8</v>
      </c>
      <c r="FN595" s="27" t="s">
        <v>7</v>
      </c>
      <c r="FO595" s="27" t="s">
        <v>8</v>
      </c>
      <c r="FP595" s="27" t="s">
        <v>7</v>
      </c>
      <c r="FQ595" s="27" t="s">
        <v>8</v>
      </c>
      <c r="FR595" s="27" t="s">
        <v>7</v>
      </c>
      <c r="FS595" s="27" t="s">
        <v>8</v>
      </c>
      <c r="FV595" s="27" t="s">
        <v>7</v>
      </c>
      <c r="FW595" s="27" t="s">
        <v>8</v>
      </c>
    </row>
    <row r="596" spans="1:179" x14ac:dyDescent="0.25">
      <c r="A596" s="7">
        <v>0.83675526587265858</v>
      </c>
      <c r="B596"/>
      <c r="C596"/>
      <c r="D596"/>
      <c r="E596"/>
      <c r="F596" s="27" t="s">
        <v>7</v>
      </c>
      <c r="FM596" s="27" t="s">
        <v>8</v>
      </c>
      <c r="FN596" s="27" t="s">
        <v>7</v>
      </c>
      <c r="FO596" s="27" t="s">
        <v>8</v>
      </c>
      <c r="FP596" s="27" t="s">
        <v>7</v>
      </c>
      <c r="FQ596" s="27" t="s">
        <v>8</v>
      </c>
      <c r="FR596" s="27" t="s">
        <v>7</v>
      </c>
      <c r="FV596" s="27" t="s">
        <v>7</v>
      </c>
      <c r="FW596" s="27" t="s">
        <v>8</v>
      </c>
    </row>
    <row r="597" spans="1:179" x14ac:dyDescent="0.25">
      <c r="A597" s="7">
        <v>0.82034829987515545</v>
      </c>
      <c r="B597"/>
      <c r="C597"/>
      <c r="D597"/>
      <c r="E597"/>
      <c r="F597" s="27" t="s">
        <v>7</v>
      </c>
      <c r="FM597" s="27" t="s">
        <v>8</v>
      </c>
      <c r="FN597" s="27" t="s">
        <v>7</v>
      </c>
      <c r="FP597" s="27" t="s">
        <v>7</v>
      </c>
      <c r="FQ597" s="27" t="s">
        <v>8</v>
      </c>
      <c r="FV597" s="27" t="s">
        <v>7</v>
      </c>
    </row>
    <row r="598" spans="1:179" x14ac:dyDescent="0.25">
      <c r="A598" s="7">
        <v>0.80426303909328967</v>
      </c>
      <c r="B598"/>
      <c r="C598"/>
      <c r="D598"/>
      <c r="E598"/>
      <c r="F598" s="27" t="s">
        <v>7</v>
      </c>
      <c r="FM598" s="27" t="s">
        <v>8</v>
      </c>
      <c r="FP598" s="27" t="s">
        <v>7</v>
      </c>
      <c r="FQ598" s="27" t="s">
        <v>8</v>
      </c>
    </row>
    <row r="599" spans="1:179" x14ac:dyDescent="0.25">
      <c r="A599" s="7">
        <v>0.78849317558165644</v>
      </c>
      <c r="B599"/>
      <c r="C599"/>
      <c r="D599"/>
      <c r="E599"/>
      <c r="F599" s="27" t="s">
        <v>7</v>
      </c>
      <c r="FM599" s="27" t="s">
        <v>8</v>
      </c>
      <c r="FP599" s="27" t="s">
        <v>7</v>
      </c>
      <c r="FQ599" s="27" t="s">
        <v>8</v>
      </c>
    </row>
    <row r="600" spans="1:179" x14ac:dyDescent="0.25">
      <c r="A600" s="7">
        <v>0.77303252508005538</v>
      </c>
      <c r="B600"/>
      <c r="C600"/>
      <c r="D600"/>
      <c r="E600"/>
      <c r="F600" s="27" t="s">
        <v>7</v>
      </c>
      <c r="FM600" s="27" t="s">
        <v>8</v>
      </c>
      <c r="FP600" s="27" t="s">
        <v>7</v>
      </c>
      <c r="FQ600" s="27" t="s">
        <v>8</v>
      </c>
    </row>
    <row r="601" spans="1:179" x14ac:dyDescent="0.25">
      <c r="A601" s="7">
        <v>0.75787502458828959</v>
      </c>
      <c r="B601"/>
      <c r="C601"/>
      <c r="D601"/>
      <c r="E601"/>
      <c r="F601" s="27" t="s">
        <v>7</v>
      </c>
      <c r="FM601" s="27" t="s">
        <v>8</v>
      </c>
      <c r="FP601" s="27" t="s">
        <v>7</v>
      </c>
      <c r="FQ601" s="27" t="s">
        <v>8</v>
      </c>
    </row>
    <row r="602" spans="1:179" x14ac:dyDescent="0.25">
      <c r="A602" s="7">
        <v>0.74301472998851925</v>
      </c>
      <c r="B602"/>
      <c r="C602"/>
      <c r="D602"/>
      <c r="E602"/>
      <c r="F602" s="27" t="s">
        <v>7</v>
      </c>
      <c r="FM602" s="27" t="s">
        <v>8</v>
      </c>
      <c r="FP602" s="27" t="s">
        <v>7</v>
      </c>
      <c r="FQ602" s="27" t="s">
        <v>8</v>
      </c>
    </row>
    <row r="603" spans="1:179" x14ac:dyDescent="0.25">
      <c r="A603" s="7">
        <v>0.72844581371423456</v>
      </c>
      <c r="B603"/>
      <c r="C603"/>
      <c r="D603"/>
      <c r="E603"/>
      <c r="F603" s="27" t="s">
        <v>7</v>
      </c>
      <c r="FM603" s="27" t="s">
        <v>8</v>
      </c>
      <c r="FP603" s="27" t="s">
        <v>7</v>
      </c>
      <c r="FQ603" s="27" t="s">
        <v>8</v>
      </c>
    </row>
    <row r="604" spans="1:179" x14ac:dyDescent="0.25">
      <c r="A604" s="7">
        <v>0.71416256246493581</v>
      </c>
      <c r="B604"/>
      <c r="C604"/>
      <c r="D604"/>
      <c r="E604"/>
      <c r="F604" s="27" t="s">
        <v>7</v>
      </c>
      <c r="FK604" s="27" t="s">
        <v>8</v>
      </c>
      <c r="FM604" s="27" t="s">
        <v>8</v>
      </c>
      <c r="FP604" s="27" t="s">
        <v>7</v>
      </c>
      <c r="FQ604" s="27" t="s">
        <v>8</v>
      </c>
    </row>
    <row r="605" spans="1:179" x14ac:dyDescent="0.25">
      <c r="A605" s="7">
        <v>0.7001593749656233</v>
      </c>
      <c r="B605"/>
      <c r="C605"/>
      <c r="D605"/>
      <c r="E605"/>
      <c r="F605" s="27" t="s">
        <v>7</v>
      </c>
      <c r="FK605" s="27" t="s">
        <v>8</v>
      </c>
      <c r="FL605" s="27" t="s">
        <v>7</v>
      </c>
      <c r="FM605" s="27" t="s">
        <v>8</v>
      </c>
      <c r="FP605" s="27" t="s">
        <v>7</v>
      </c>
      <c r="FQ605" s="27" t="s">
        <v>8</v>
      </c>
    </row>
    <row r="606" spans="1:179" x14ac:dyDescent="0.25">
      <c r="A606" s="7">
        <v>0.68643075977021883</v>
      </c>
      <c r="B606"/>
      <c r="C606"/>
      <c r="D606"/>
      <c r="E606"/>
      <c r="F606" s="27" t="s">
        <v>7</v>
      </c>
      <c r="FK606" s="27" t="s">
        <v>8</v>
      </c>
      <c r="FL606" s="27" t="s">
        <v>7</v>
      </c>
      <c r="FM606" s="27" t="s">
        <v>8</v>
      </c>
      <c r="FP606" s="27" t="s">
        <v>7</v>
      </c>
    </row>
    <row r="607" spans="1:179" x14ac:dyDescent="0.25">
      <c r="A607" s="7">
        <v>0.67297133310805768</v>
      </c>
      <c r="B607"/>
      <c r="C607"/>
      <c r="D607"/>
      <c r="E607"/>
      <c r="F607" s="27" t="s">
        <v>7</v>
      </c>
      <c r="FK607" s="27" t="s">
        <v>8</v>
      </c>
      <c r="FL607" s="27" t="s">
        <v>7</v>
      </c>
    </row>
    <row r="608" spans="1:179" x14ac:dyDescent="0.25">
      <c r="A608" s="7">
        <v>0.65977581677260566</v>
      </c>
      <c r="B608"/>
      <c r="C608"/>
      <c r="D608"/>
      <c r="E608"/>
      <c r="F608" s="27" t="s">
        <v>7</v>
      </c>
      <c r="FK608" s="27" t="s">
        <v>8</v>
      </c>
    </row>
    <row r="609" spans="1:167" x14ac:dyDescent="0.25">
      <c r="A609" s="7">
        <v>0.64683903605157422</v>
      </c>
      <c r="B609"/>
      <c r="C609"/>
      <c r="D609"/>
      <c r="E609"/>
      <c r="F609" s="27" t="s">
        <v>7</v>
      </c>
      <c r="FK609" s="27" t="s">
        <v>8</v>
      </c>
    </row>
    <row r="610" spans="1:167" x14ac:dyDescent="0.25">
      <c r="A610" s="7">
        <v>0.63415591769762181</v>
      </c>
      <c r="B610"/>
      <c r="C610"/>
      <c r="D610"/>
      <c r="E610"/>
      <c r="F610" s="27" t="s">
        <v>7</v>
      </c>
      <c r="FK610" s="27" t="s">
        <v>8</v>
      </c>
    </row>
    <row r="611" spans="1:167" x14ac:dyDescent="0.25">
      <c r="A611" s="7">
        <v>0.62172148793884496</v>
      </c>
      <c r="B611"/>
      <c r="C611"/>
      <c r="D611"/>
      <c r="E611"/>
      <c r="F611" s="27" t="s">
        <v>7</v>
      </c>
      <c r="FK611" s="27" t="s">
        <v>8</v>
      </c>
    </row>
    <row r="612" spans="1:167" x14ac:dyDescent="0.25">
      <c r="A612" s="7">
        <v>0.60953087052827937</v>
      </c>
      <c r="B612"/>
      <c r="C612"/>
      <c r="D612"/>
      <c r="E612"/>
      <c r="F612" s="27" t="s">
        <v>7</v>
      </c>
      <c r="FK612" s="27" t="s">
        <v>8</v>
      </c>
    </row>
    <row r="613" spans="1:167" x14ac:dyDescent="0.25">
      <c r="A613" s="7">
        <v>0.59757928483164646</v>
      </c>
      <c r="B613"/>
      <c r="C613"/>
      <c r="D613"/>
      <c r="E613"/>
      <c r="F613" s="27" t="s">
        <v>7</v>
      </c>
      <c r="FK613" s="27" t="s">
        <v>8</v>
      </c>
    </row>
    <row r="614" spans="1:167" x14ac:dyDescent="0.25">
      <c r="A614" s="7">
        <v>0.58586204395259456</v>
      </c>
      <c r="B614"/>
      <c r="C614"/>
      <c r="D614"/>
      <c r="E614"/>
      <c r="F614" s="27" t="s">
        <v>7</v>
      </c>
      <c r="FK614" s="27" t="s">
        <v>8</v>
      </c>
    </row>
    <row r="615" spans="1:167" x14ac:dyDescent="0.25">
      <c r="A615" s="7">
        <v>0.57437455289470052</v>
      </c>
      <c r="B615"/>
      <c r="C615"/>
      <c r="D615"/>
      <c r="E615"/>
      <c r="F615" s="27" t="s">
        <v>7</v>
      </c>
      <c r="FK615" s="27" t="s">
        <v>8</v>
      </c>
    </row>
    <row r="616" spans="1:167" x14ac:dyDescent="0.25">
      <c r="A616" s="7">
        <v>0.56311230675951029</v>
      </c>
      <c r="B616"/>
      <c r="C616"/>
      <c r="D616"/>
      <c r="E616"/>
      <c r="F616" s="27" t="s">
        <v>7</v>
      </c>
      <c r="FK616" s="27" t="s">
        <v>8</v>
      </c>
    </row>
    <row r="617" spans="1:167" x14ac:dyDescent="0.25">
      <c r="A617" s="7">
        <v>0.55207088897991208</v>
      </c>
      <c r="B617"/>
      <c r="C617"/>
      <c r="D617"/>
      <c r="E617"/>
      <c r="F617" s="27" t="s">
        <v>7</v>
      </c>
      <c r="FK617" s="27" t="s">
        <v>8</v>
      </c>
    </row>
    <row r="618" spans="1:167" x14ac:dyDescent="0.25">
      <c r="A618" s="7">
        <v>0.54124596958814908</v>
      </c>
      <c r="B618"/>
      <c r="C618"/>
      <c r="D618"/>
      <c r="E618"/>
      <c r="F618" s="27" t="s">
        <v>7</v>
      </c>
      <c r="FK618" s="27" t="s">
        <v>8</v>
      </c>
    </row>
    <row r="619" spans="1:167" x14ac:dyDescent="0.25">
      <c r="A619" s="7">
        <v>0.53063330351779314</v>
      </c>
      <c r="B619"/>
      <c r="C619"/>
      <c r="D619"/>
      <c r="E619"/>
      <c r="F619" s="27" t="s">
        <v>7</v>
      </c>
      <c r="FK619" s="27" t="s">
        <v>8</v>
      </c>
    </row>
    <row r="620" spans="1:167" x14ac:dyDescent="0.25">
      <c r="A620" s="7">
        <v>0.52022872893901284</v>
      </c>
      <c r="B620"/>
      <c r="C620"/>
      <c r="D620"/>
      <c r="E620"/>
      <c r="F620" s="27" t="s">
        <v>7</v>
      </c>
      <c r="FK620" s="27" t="s">
        <v>8</v>
      </c>
    </row>
    <row r="621" spans="1:167" x14ac:dyDescent="0.25">
      <c r="A621" s="7">
        <v>0.51002816562648323</v>
      </c>
      <c r="B621"/>
      <c r="C621"/>
      <c r="D621"/>
      <c r="E621"/>
      <c r="F621" s="27" t="s">
        <v>7</v>
      </c>
      <c r="FK621" s="27" t="s">
        <v>8</v>
      </c>
    </row>
    <row r="622" spans="1:167" x14ac:dyDescent="0.25">
      <c r="A622" s="7">
        <v>0.50002761335929735</v>
      </c>
      <c r="B622"/>
      <c r="C622"/>
      <c r="D622"/>
      <c r="E622"/>
      <c r="F622" s="27" t="s">
        <v>7</v>
      </c>
      <c r="FK622" s="27" t="s">
        <v>8</v>
      </c>
    </row>
    <row r="623" spans="1:167" x14ac:dyDescent="0.25">
      <c r="A623" s="7">
        <v>0.49022315035225228</v>
      </c>
      <c r="B623"/>
      <c r="C623"/>
      <c r="D623"/>
      <c r="E623"/>
      <c r="F623" s="27" t="s">
        <v>7</v>
      </c>
      <c r="FK623" s="27" t="s">
        <v>8</v>
      </c>
    </row>
    <row r="624" spans="1:167" x14ac:dyDescent="0.25">
      <c r="A624" s="7">
        <v>0.48061093171789437</v>
      </c>
      <c r="B624"/>
      <c r="C624"/>
      <c r="D624"/>
      <c r="E624"/>
      <c r="F624" s="27" t="s">
        <v>7</v>
      </c>
      <c r="FK624" s="27" t="s">
        <v>8</v>
      </c>
    </row>
    <row r="625" spans="1:167" x14ac:dyDescent="0.25">
      <c r="A625" s="7">
        <v>0.47118718795871994</v>
      </c>
      <c r="B625"/>
      <c r="C625"/>
      <c r="D625"/>
      <c r="E625"/>
      <c r="F625" s="27" t="s">
        <v>7</v>
      </c>
      <c r="FK625" s="27" t="s">
        <v>8</v>
      </c>
    </row>
    <row r="626" spans="1:167" x14ac:dyDescent="0.25">
      <c r="A626" s="7">
        <v>0.46194822348894116</v>
      </c>
      <c r="B626"/>
      <c r="C626"/>
      <c r="D626"/>
      <c r="E626"/>
      <c r="F626" s="27" t="s">
        <v>7</v>
      </c>
      <c r="FK626" s="27" t="s">
        <v>8</v>
      </c>
    </row>
    <row r="627" spans="1:167" x14ac:dyDescent="0.25">
      <c r="A627" s="7">
        <v>0.45289041518523643</v>
      </c>
      <c r="B627"/>
      <c r="C627"/>
      <c r="D627"/>
      <c r="E627"/>
      <c r="F627" s="27" t="s">
        <v>7</v>
      </c>
      <c r="FI627" s="27" t="s">
        <v>8</v>
      </c>
      <c r="FK627" s="27" t="s">
        <v>8</v>
      </c>
    </row>
    <row r="628" spans="1:167" x14ac:dyDescent="0.25">
      <c r="A628" s="7">
        <v>0.44401021096591808</v>
      </c>
      <c r="B628"/>
      <c r="C628"/>
      <c r="D628"/>
      <c r="E628"/>
      <c r="F628" s="27" t="s">
        <v>7</v>
      </c>
      <c r="FI628" s="27" t="s">
        <v>8</v>
      </c>
      <c r="FJ628" s="27" t="s">
        <v>7</v>
      </c>
      <c r="FK628" s="27" t="s">
        <v>8</v>
      </c>
    </row>
    <row r="629" spans="1:167" x14ac:dyDescent="0.25">
      <c r="A629" s="7">
        <v>0.4353041283979589</v>
      </c>
      <c r="B629"/>
      <c r="C629"/>
      <c r="D629"/>
      <c r="E629"/>
      <c r="F629" s="27" t="s">
        <v>7</v>
      </c>
      <c r="FI629" s="27" t="s">
        <v>8</v>
      </c>
      <c r="FJ629" s="27" t="s">
        <v>7</v>
      </c>
      <c r="FK629" s="27" t="s">
        <v>8</v>
      </c>
    </row>
    <row r="630" spans="1:167" x14ac:dyDescent="0.25">
      <c r="A630" s="7">
        <v>0.4267687533313323</v>
      </c>
      <c r="B630"/>
      <c r="C630"/>
      <c r="D630"/>
      <c r="E630"/>
      <c r="F630" s="27" t="s">
        <v>7</v>
      </c>
      <c r="FI630" s="27" t="s">
        <v>8</v>
      </c>
      <c r="FJ630" s="27" t="s">
        <v>7</v>
      </c>
      <c r="FK630" s="27" t="s">
        <v>8</v>
      </c>
    </row>
    <row r="631" spans="1:167" x14ac:dyDescent="0.25">
      <c r="A631" s="7">
        <v>0.41840073856012971</v>
      </c>
      <c r="B631"/>
      <c r="C631"/>
      <c r="D631"/>
      <c r="E631"/>
      <c r="F631" s="27" t="s">
        <v>7</v>
      </c>
      <c r="FI631" s="27" t="s">
        <v>8</v>
      </c>
      <c r="FJ631" s="27" t="s">
        <v>7</v>
      </c>
      <c r="FK631" s="27" t="s">
        <v>8</v>
      </c>
    </row>
    <row r="632" spans="1:167" x14ac:dyDescent="0.25">
      <c r="A632" s="7">
        <v>0.41019680250993112</v>
      </c>
      <c r="B632"/>
      <c r="C632"/>
      <c r="D632"/>
      <c r="E632"/>
      <c r="F632" s="27" t="s">
        <v>7</v>
      </c>
      <c r="FI632" s="27" t="s">
        <v>8</v>
      </c>
      <c r="FJ632" s="27" t="s">
        <v>7</v>
      </c>
    </row>
    <row r="633" spans="1:167" x14ac:dyDescent="0.25">
      <c r="A633" s="7">
        <v>0.40215372795091286</v>
      </c>
      <c r="B633"/>
      <c r="C633"/>
      <c r="D633"/>
      <c r="E633"/>
      <c r="F633" s="27" t="s">
        <v>7</v>
      </c>
      <c r="FI633" s="27" t="s">
        <v>8</v>
      </c>
    </row>
    <row r="634" spans="1:167" x14ac:dyDescent="0.25">
      <c r="A634" s="7">
        <v>0.39426836073618904</v>
      </c>
      <c r="B634"/>
      <c r="C634"/>
      <c r="D634"/>
      <c r="E634"/>
      <c r="F634" s="27" t="s">
        <v>7</v>
      </c>
      <c r="FA634" s="27" t="s">
        <v>8</v>
      </c>
      <c r="FI634" s="27" t="s">
        <v>8</v>
      </c>
    </row>
    <row r="635" spans="1:167" x14ac:dyDescent="0.25">
      <c r="A635" s="7">
        <v>0.38653760856489122</v>
      </c>
      <c r="B635"/>
      <c r="C635"/>
      <c r="D635"/>
      <c r="E635"/>
      <c r="F635" s="27" t="s">
        <v>7</v>
      </c>
      <c r="FA635" s="27" t="s">
        <v>8</v>
      </c>
      <c r="FB635" s="27" t="s">
        <v>7</v>
      </c>
      <c r="FC635" s="27" t="s">
        <v>8</v>
      </c>
      <c r="FI635" s="27" t="s">
        <v>8</v>
      </c>
    </row>
    <row r="636" spans="1:167" x14ac:dyDescent="0.25">
      <c r="A636" s="7">
        <v>0.37895843976950117</v>
      </c>
      <c r="B636"/>
      <c r="C636"/>
      <c r="D636"/>
      <c r="E636"/>
      <c r="F636" s="27" t="s">
        <v>7</v>
      </c>
      <c r="FA636" s="27" t="s">
        <v>8</v>
      </c>
      <c r="FB636" s="27" t="s">
        <v>7</v>
      </c>
      <c r="FC636" s="27" t="s">
        <v>8</v>
      </c>
      <c r="FD636" s="27" t="s">
        <v>7</v>
      </c>
      <c r="FI636" s="27" t="s">
        <v>8</v>
      </c>
    </row>
    <row r="637" spans="1:167" x14ac:dyDescent="0.25">
      <c r="A637" s="7">
        <v>0.37152788212696197</v>
      </c>
      <c r="B637"/>
      <c r="C637"/>
      <c r="D637"/>
      <c r="E637"/>
      <c r="F637" s="27" t="s">
        <v>7</v>
      </c>
      <c r="FA637" s="27" t="s">
        <v>8</v>
      </c>
      <c r="FB637" s="27" t="s">
        <v>7</v>
      </c>
      <c r="FC637" s="27" t="s">
        <v>8</v>
      </c>
      <c r="FD637" s="27" t="s">
        <v>7</v>
      </c>
      <c r="FG637" s="27" t="s">
        <v>8</v>
      </c>
      <c r="FI637" s="27" t="s">
        <v>8</v>
      </c>
    </row>
    <row r="638" spans="1:167" x14ac:dyDescent="0.25">
      <c r="A638" s="7">
        <v>0.36424302169310002</v>
      </c>
      <c r="B638"/>
      <c r="C638"/>
      <c r="D638"/>
      <c r="E638"/>
      <c r="F638" s="27" t="s">
        <v>7</v>
      </c>
      <c r="FA638" s="27" t="s">
        <v>8</v>
      </c>
      <c r="FB638" s="27" t="s">
        <v>7</v>
      </c>
      <c r="FD638" s="27" t="s">
        <v>7</v>
      </c>
      <c r="FE638" s="27" t="s">
        <v>8</v>
      </c>
      <c r="FG638" s="27" t="s">
        <v>8</v>
      </c>
      <c r="FH638" s="27" t="s">
        <v>7</v>
      </c>
      <c r="FI638" s="27" t="s">
        <v>8</v>
      </c>
    </row>
    <row r="639" spans="1:167" x14ac:dyDescent="0.25">
      <c r="A639" s="7">
        <v>0.35710100165990194</v>
      </c>
      <c r="B639"/>
      <c r="C639"/>
      <c r="D639"/>
      <c r="E639"/>
      <c r="F639" s="27" t="s">
        <v>7</v>
      </c>
      <c r="FA639" s="27" t="s">
        <v>8</v>
      </c>
      <c r="FD639" s="27" t="s">
        <v>7</v>
      </c>
      <c r="FE639" s="27" t="s">
        <v>8</v>
      </c>
      <c r="FF639" s="27" t="s">
        <v>7</v>
      </c>
      <c r="FG639" s="27" t="s">
        <v>8</v>
      </c>
      <c r="FH639" s="27" t="s">
        <v>7</v>
      </c>
      <c r="FI639" s="27" t="s">
        <v>8</v>
      </c>
    </row>
    <row r="640" spans="1:167" x14ac:dyDescent="0.25">
      <c r="A640" s="7">
        <v>0.35009902123519804</v>
      </c>
      <c r="B640"/>
      <c r="C640"/>
      <c r="D640"/>
      <c r="E640"/>
      <c r="F640" s="27" t="s">
        <v>7</v>
      </c>
      <c r="EU640" s="27" t="s">
        <v>8</v>
      </c>
      <c r="FA640" s="27" t="s">
        <v>8</v>
      </c>
      <c r="FD640" s="27" t="s">
        <v>7</v>
      </c>
      <c r="FE640" s="27" t="s">
        <v>8</v>
      </c>
      <c r="FF640" s="27" t="s">
        <v>7</v>
      </c>
      <c r="FG640" s="27" t="s">
        <v>8</v>
      </c>
      <c r="FH640" s="27" t="s">
        <v>7</v>
      </c>
      <c r="FI640" s="27" t="s">
        <v>8</v>
      </c>
    </row>
    <row r="641" spans="1:165" x14ac:dyDescent="0.25">
      <c r="A641" s="7">
        <v>0.34323433454431179</v>
      </c>
      <c r="B641"/>
      <c r="C641"/>
      <c r="D641"/>
      <c r="E641"/>
      <c r="F641" s="27" t="s">
        <v>7</v>
      </c>
      <c r="EU641" s="27" t="s">
        <v>8</v>
      </c>
      <c r="EV641" s="27" t="s">
        <v>7</v>
      </c>
      <c r="FA641" s="27" t="s">
        <v>8</v>
      </c>
      <c r="FD641" s="27" t="s">
        <v>7</v>
      </c>
      <c r="FE641" s="27" t="s">
        <v>8</v>
      </c>
      <c r="FF641" s="27" t="s">
        <v>7</v>
      </c>
      <c r="FG641" s="27" t="s">
        <v>8</v>
      </c>
      <c r="FH641" s="27" t="s">
        <v>7</v>
      </c>
      <c r="FI641" s="27" t="s">
        <v>8</v>
      </c>
    </row>
    <row r="642" spans="1:165" x14ac:dyDescent="0.25">
      <c r="A642" s="7">
        <v>0.33650424955324681</v>
      </c>
      <c r="B642"/>
      <c r="C642"/>
      <c r="D642"/>
      <c r="E642"/>
      <c r="F642" s="27" t="s">
        <v>7</v>
      </c>
      <c r="EU642" s="27" t="s">
        <v>8</v>
      </c>
      <c r="EV642" s="27" t="s">
        <v>7</v>
      </c>
      <c r="EW642" s="27" t="s">
        <v>8</v>
      </c>
      <c r="FA642" s="27" t="s">
        <v>8</v>
      </c>
      <c r="FD642" s="27" t="s">
        <v>7</v>
      </c>
      <c r="FE642" s="27" t="s">
        <v>8</v>
      </c>
      <c r="FF642" s="27" t="s">
        <v>7</v>
      </c>
      <c r="FG642" s="27" t="s">
        <v>8</v>
      </c>
      <c r="FH642" s="27" t="s">
        <v>7</v>
      </c>
    </row>
    <row r="643" spans="1:165" x14ac:dyDescent="0.25">
      <c r="A643" s="7">
        <v>0.3299061270129871</v>
      </c>
      <c r="B643"/>
      <c r="C643"/>
      <c r="D643"/>
      <c r="E643"/>
      <c r="F643" s="27" t="s">
        <v>7</v>
      </c>
      <c r="EU643" s="27" t="s">
        <v>8</v>
      </c>
      <c r="EV643" s="27" t="s">
        <v>7</v>
      </c>
      <c r="EW643" s="27" t="s">
        <v>8</v>
      </c>
      <c r="EX643" s="27" t="s">
        <v>7</v>
      </c>
      <c r="FA643" s="27" t="s">
        <v>8</v>
      </c>
      <c r="FD643" s="27" t="s">
        <v>7</v>
      </c>
      <c r="FE643" s="27" t="s">
        <v>8</v>
      </c>
      <c r="FF643" s="27" t="s">
        <v>7</v>
      </c>
      <c r="FG643" s="27" t="s">
        <v>8</v>
      </c>
    </row>
    <row r="644" spans="1:165" x14ac:dyDescent="0.25">
      <c r="A644" s="7">
        <v>0.32343737942449713</v>
      </c>
      <c r="B644"/>
      <c r="C644"/>
      <c r="D644"/>
      <c r="E644"/>
      <c r="F644" s="27" t="s">
        <v>7</v>
      </c>
      <c r="EU644" s="27" t="s">
        <v>8</v>
      </c>
      <c r="EV644" s="27" t="s">
        <v>7</v>
      </c>
      <c r="EW644" s="27" t="s">
        <v>8</v>
      </c>
      <c r="EX644" s="27" t="s">
        <v>7</v>
      </c>
      <c r="FA644" s="27" t="s">
        <v>8</v>
      </c>
      <c r="FD644" s="27" t="s">
        <v>7</v>
      </c>
      <c r="FE644" s="27" t="s">
        <v>8</v>
      </c>
      <c r="FF644" s="27" t="s">
        <v>7</v>
      </c>
      <c r="FG644" s="27" t="s">
        <v>8</v>
      </c>
    </row>
    <row r="645" spans="1:165" x14ac:dyDescent="0.25">
      <c r="A645" s="7">
        <v>0.31709547002401678</v>
      </c>
      <c r="B645"/>
      <c r="C645"/>
      <c r="D645"/>
      <c r="E645"/>
      <c r="F645" s="27" t="s">
        <v>7</v>
      </c>
      <c r="EU645" s="27" t="s">
        <v>8</v>
      </c>
      <c r="EV645" s="27" t="s">
        <v>7</v>
      </c>
      <c r="EW645" s="27" t="s">
        <v>8</v>
      </c>
      <c r="EX645" s="27" t="s">
        <v>7</v>
      </c>
      <c r="FA645" s="27" t="s">
        <v>8</v>
      </c>
      <c r="FD645" s="27" t="s">
        <v>7</v>
      </c>
      <c r="FE645" s="27" t="s">
        <v>8</v>
      </c>
      <c r="FF645" s="27" t="s">
        <v>7</v>
      </c>
      <c r="FG645" s="27" t="s">
        <v>8</v>
      </c>
    </row>
    <row r="646" spans="1:165" x14ac:dyDescent="0.25">
      <c r="A646" s="7">
        <v>0.31087791178825175</v>
      </c>
      <c r="B646"/>
      <c r="C646"/>
      <c r="D646"/>
      <c r="E646"/>
      <c r="F646" s="27" t="s">
        <v>7</v>
      </c>
      <c r="EU646" s="27" t="s">
        <v>8</v>
      </c>
      <c r="EV646" s="27" t="s">
        <v>7</v>
      </c>
      <c r="EW646" s="27" t="s">
        <v>8</v>
      </c>
      <c r="EX646" s="27" t="s">
        <v>7</v>
      </c>
      <c r="EY646" s="27" t="s">
        <v>8</v>
      </c>
      <c r="FA646" s="27" t="s">
        <v>8</v>
      </c>
      <c r="FD646" s="27" t="s">
        <v>7</v>
      </c>
      <c r="FE646" s="27" t="s">
        <v>8</v>
      </c>
      <c r="FF646" s="27" t="s">
        <v>7</v>
      </c>
      <c r="FG646" s="27" t="s">
        <v>8</v>
      </c>
    </row>
    <row r="647" spans="1:165" x14ac:dyDescent="0.25">
      <c r="A647" s="7">
        <v>0.30478226645907036</v>
      </c>
      <c r="B647"/>
      <c r="C647"/>
      <c r="D647"/>
      <c r="E647"/>
      <c r="F647" s="27" t="s">
        <v>7</v>
      </c>
      <c r="EU647" s="27" t="s">
        <v>8</v>
      </c>
      <c r="EV647" s="27" t="s">
        <v>7</v>
      </c>
      <c r="EW647" s="27" t="s">
        <v>8</v>
      </c>
      <c r="EX647" s="27" t="s">
        <v>7</v>
      </c>
      <c r="EY647" s="27" t="s">
        <v>8</v>
      </c>
      <c r="EZ647" s="27" t="s">
        <v>7</v>
      </c>
      <c r="FA647" s="27" t="s">
        <v>8</v>
      </c>
      <c r="FD647" s="27" t="s">
        <v>7</v>
      </c>
      <c r="FE647" s="27" t="s">
        <v>8</v>
      </c>
      <c r="FF647" s="27" t="s">
        <v>7</v>
      </c>
    </row>
    <row r="648" spans="1:165" x14ac:dyDescent="0.25">
      <c r="A648" s="7">
        <v>0.29880614358732388</v>
      </c>
      <c r="B648"/>
      <c r="C648"/>
      <c r="D648"/>
      <c r="E648"/>
      <c r="F648" s="27" t="s">
        <v>7</v>
      </c>
      <c r="EU648" s="27" t="s">
        <v>8</v>
      </c>
      <c r="EV648" s="27" t="s">
        <v>7</v>
      </c>
      <c r="EW648" s="27" t="s">
        <v>8</v>
      </c>
      <c r="EX648" s="27" t="s">
        <v>7</v>
      </c>
      <c r="EY648" s="27" t="s">
        <v>8</v>
      </c>
      <c r="EZ648" s="27" t="s">
        <v>7</v>
      </c>
      <c r="FA648" s="27" t="s">
        <v>8</v>
      </c>
      <c r="FD648" s="27" t="s">
        <v>7</v>
      </c>
      <c r="FE648" s="27" t="s">
        <v>8</v>
      </c>
    </row>
    <row r="649" spans="1:165" x14ac:dyDescent="0.25">
      <c r="A649" s="7">
        <v>0.2929471995954156</v>
      </c>
      <c r="B649"/>
      <c r="C649"/>
      <c r="D649"/>
      <c r="E649"/>
      <c r="F649" s="27" t="s">
        <v>7</v>
      </c>
      <c r="EU649" s="27" t="s">
        <v>8</v>
      </c>
      <c r="EV649" s="27" t="s">
        <v>7</v>
      </c>
      <c r="EW649" s="27" t="s">
        <v>8</v>
      </c>
      <c r="EX649" s="27" t="s">
        <v>7</v>
      </c>
      <c r="EY649" s="27" t="s">
        <v>8</v>
      </c>
      <c r="EZ649" s="27" t="s">
        <v>7</v>
      </c>
      <c r="FA649" s="27" t="s">
        <v>8</v>
      </c>
      <c r="FD649" s="27" t="s">
        <v>7</v>
      </c>
      <c r="FE649" s="27" t="s">
        <v>8</v>
      </c>
    </row>
    <row r="650" spans="1:165" x14ac:dyDescent="0.25">
      <c r="A650" s="7">
        <v>0.28720313685825055</v>
      </c>
      <c r="B650"/>
      <c r="C650"/>
      <c r="D650"/>
      <c r="E650"/>
      <c r="F650" s="27" t="s">
        <v>7</v>
      </c>
      <c r="EU650" s="27" t="s">
        <v>8</v>
      </c>
      <c r="EV650" s="27" t="s">
        <v>7</v>
      </c>
      <c r="EW650" s="27" t="s">
        <v>8</v>
      </c>
      <c r="EX650" s="27" t="s">
        <v>7</v>
      </c>
      <c r="EY650" s="27" t="s">
        <v>8</v>
      </c>
      <c r="EZ650" s="27" t="s">
        <v>7</v>
      </c>
      <c r="FA650" s="27" t="s">
        <v>8</v>
      </c>
      <c r="FD650" s="27" t="s">
        <v>7</v>
      </c>
      <c r="FE650" s="27" t="s">
        <v>8</v>
      </c>
    </row>
    <row r="651" spans="1:165" x14ac:dyDescent="0.25">
      <c r="A651" s="7">
        <v>0.28157170280220645</v>
      </c>
      <c r="B651"/>
      <c r="C651"/>
      <c r="D651"/>
      <c r="E651"/>
      <c r="F651" s="27" t="s">
        <v>7</v>
      </c>
      <c r="EU651" s="27" t="s">
        <v>8</v>
      </c>
      <c r="EV651" s="27" t="s">
        <v>7</v>
      </c>
      <c r="EW651" s="27" t="s">
        <v>8</v>
      </c>
      <c r="EX651" s="27" t="s">
        <v>7</v>
      </c>
      <c r="EY651" s="27" t="s">
        <v>8</v>
      </c>
      <c r="EZ651" s="27" t="s">
        <v>7</v>
      </c>
      <c r="FA651" s="27" t="s">
        <v>8</v>
      </c>
      <c r="FD651" s="27" t="s">
        <v>7</v>
      </c>
    </row>
    <row r="652" spans="1:165" x14ac:dyDescent="0.25">
      <c r="A652" s="7">
        <v>0.27605068902177105</v>
      </c>
      <c r="B652"/>
      <c r="C652"/>
      <c r="D652"/>
      <c r="E652"/>
      <c r="F652" s="27" t="s">
        <v>7</v>
      </c>
      <c r="EU652" s="27" t="s">
        <v>8</v>
      </c>
      <c r="EV652" s="27" t="s">
        <v>7</v>
      </c>
      <c r="EW652" s="27" t="s">
        <v>8</v>
      </c>
      <c r="EX652" s="27" t="s">
        <v>7</v>
      </c>
      <c r="EY652" s="27" t="s">
        <v>8</v>
      </c>
      <c r="EZ652" s="27" t="s">
        <v>7</v>
      </c>
      <c r="FA652" s="27" t="s">
        <v>8</v>
      </c>
    </row>
    <row r="653" spans="1:165" x14ac:dyDescent="0.25">
      <c r="A653" s="7">
        <v>0.27063793041350104</v>
      </c>
      <c r="B653"/>
      <c r="C653"/>
      <c r="D653"/>
      <c r="E653"/>
      <c r="F653" s="27" t="s">
        <v>7</v>
      </c>
      <c r="EU653" s="27" t="s">
        <v>8</v>
      </c>
      <c r="EV653" s="27" t="s">
        <v>7</v>
      </c>
      <c r="EW653" s="27" t="s">
        <v>8</v>
      </c>
      <c r="EX653" s="27" t="s">
        <v>7</v>
      </c>
      <c r="EY653" s="27" t="s">
        <v>8</v>
      </c>
      <c r="EZ653" s="27" t="s">
        <v>7</v>
      </c>
    </row>
    <row r="654" spans="1:165" x14ac:dyDescent="0.25">
      <c r="A654" s="7">
        <v>0.26533130432696184</v>
      </c>
      <c r="B654"/>
      <c r="C654"/>
      <c r="D654"/>
      <c r="E654"/>
      <c r="F654" s="27" t="s">
        <v>7</v>
      </c>
      <c r="EU654" s="27" t="s">
        <v>8</v>
      </c>
      <c r="EV654" s="27" t="s">
        <v>7</v>
      </c>
      <c r="EX654" s="27" t="s">
        <v>7</v>
      </c>
      <c r="EY654" s="27" t="s">
        <v>8</v>
      </c>
    </row>
    <row r="655" spans="1:165" x14ac:dyDescent="0.25">
      <c r="A655" s="7">
        <v>0.26012872973231554</v>
      </c>
      <c r="B655"/>
      <c r="C655"/>
      <c r="D655"/>
      <c r="E655"/>
      <c r="F655" s="27" t="s">
        <v>7</v>
      </c>
      <c r="EU655" s="27" t="s">
        <v>8</v>
      </c>
      <c r="EX655" s="27" t="s">
        <v>7</v>
      </c>
      <c r="EY655" s="27" t="s">
        <v>8</v>
      </c>
    </row>
    <row r="656" spans="1:165" x14ac:dyDescent="0.25">
      <c r="A656" s="7">
        <v>0.25502816640423093</v>
      </c>
      <c r="B656"/>
      <c r="C656"/>
      <c r="D656"/>
      <c r="E656"/>
      <c r="F656" s="27" t="s">
        <v>7</v>
      </c>
      <c r="EU656" s="27" t="s">
        <v>8</v>
      </c>
      <c r="EX656" s="27" t="s">
        <v>7</v>
      </c>
      <c r="EY656" s="27" t="s">
        <v>8</v>
      </c>
    </row>
    <row r="657" spans="1:155" x14ac:dyDescent="0.25">
      <c r="A657" s="7">
        <v>0.25002761412179503</v>
      </c>
      <c r="B657"/>
      <c r="C657"/>
      <c r="D657"/>
      <c r="E657"/>
      <c r="F657" s="27" t="s">
        <v>7</v>
      </c>
      <c r="EU657" s="27" t="s">
        <v>8</v>
      </c>
      <c r="EX657" s="27" t="s">
        <v>7</v>
      </c>
      <c r="EY657" s="27" t="s">
        <v>8</v>
      </c>
    </row>
    <row r="658" spans="1:155" x14ac:dyDescent="0.25">
      <c r="A658" s="7">
        <v>0.24512511188411276</v>
      </c>
      <c r="B658"/>
      <c r="C658"/>
      <c r="D658"/>
      <c r="E658"/>
      <c r="F658" s="27" t="s">
        <v>7</v>
      </c>
      <c r="EU658" s="27" t="s">
        <v>8</v>
      </c>
      <c r="EX658" s="27" t="s">
        <v>7</v>
      </c>
      <c r="EY658" s="27" t="s">
        <v>8</v>
      </c>
    </row>
    <row r="659" spans="1:155" x14ac:dyDescent="0.25">
      <c r="A659" s="7">
        <v>0.24031873714128701</v>
      </c>
      <c r="B659"/>
      <c r="C659"/>
      <c r="D659"/>
      <c r="E659"/>
      <c r="F659" s="27" t="s">
        <v>7</v>
      </c>
      <c r="EU659" s="27" t="s">
        <v>8</v>
      </c>
      <c r="EX659" s="27" t="s">
        <v>7</v>
      </c>
      <c r="EY659" s="27" t="s">
        <v>8</v>
      </c>
    </row>
    <row r="660" spans="1:155" x14ac:dyDescent="0.25">
      <c r="A660" s="7">
        <v>0.23560660504047748</v>
      </c>
      <c r="B660"/>
      <c r="C660"/>
      <c r="D660"/>
      <c r="E660"/>
      <c r="F660" s="27" t="s">
        <v>7</v>
      </c>
      <c r="EU660" s="27" t="s">
        <v>8</v>
      </c>
      <c r="EX660" s="27" t="s">
        <v>7</v>
      </c>
      <c r="EY660" s="27" t="s">
        <v>8</v>
      </c>
    </row>
    <row r="661" spans="1:155" x14ac:dyDescent="0.25">
      <c r="A661" s="7">
        <v>0.23098686768674265</v>
      </c>
      <c r="B661"/>
      <c r="C661"/>
      <c r="D661"/>
      <c r="E661"/>
      <c r="F661" s="27" t="s">
        <v>7</v>
      </c>
      <c r="EU661" s="27" t="s">
        <v>8</v>
      </c>
      <c r="EX661" s="27" t="s">
        <v>7</v>
      </c>
    </row>
    <row r="662" spans="1:155" x14ac:dyDescent="0.25">
      <c r="A662" s="7">
        <v>0.22645771341837515</v>
      </c>
      <c r="B662"/>
      <c r="C662"/>
      <c r="D662"/>
      <c r="E662"/>
      <c r="F662" s="27" t="s">
        <v>7</v>
      </c>
      <c r="EU662" s="27" t="s">
        <v>8</v>
      </c>
    </row>
    <row r="663" spans="1:155" x14ac:dyDescent="0.25">
      <c r="A663" s="7">
        <v>0.22201736609644623</v>
      </c>
      <c r="B663"/>
      <c r="C663"/>
      <c r="D663"/>
      <c r="E663"/>
      <c r="F663" s="27" t="s">
        <v>7</v>
      </c>
      <c r="EU663" s="27" t="s">
        <v>8</v>
      </c>
    </row>
    <row r="664" spans="1:155" x14ac:dyDescent="0.25">
      <c r="A664" s="7">
        <v>0.21766408440828061</v>
      </c>
      <c r="B664"/>
      <c r="C664"/>
      <c r="D664"/>
      <c r="E664"/>
      <c r="F664" s="27" t="s">
        <v>7</v>
      </c>
      <c r="EU664" s="27" t="s">
        <v>8</v>
      </c>
    </row>
    <row r="665" spans="1:155" x14ac:dyDescent="0.25">
      <c r="A665" s="7">
        <v>0.21339616118458882</v>
      </c>
      <c r="B665"/>
      <c r="C665"/>
      <c r="D665"/>
      <c r="E665"/>
      <c r="F665" s="27" t="s">
        <v>7</v>
      </c>
      <c r="EU665" s="27" t="s">
        <v>8</v>
      </c>
    </row>
    <row r="666" spans="1:155" x14ac:dyDescent="0.25">
      <c r="A666" s="7">
        <v>0.20921192272998904</v>
      </c>
      <c r="B666"/>
      <c r="C666"/>
      <c r="D666"/>
      <c r="E666"/>
      <c r="F666" s="27" t="s">
        <v>7</v>
      </c>
      <c r="EU666" s="27" t="s">
        <v>8</v>
      </c>
    </row>
    <row r="667" spans="1:155" x14ac:dyDescent="0.25">
      <c r="A667" s="7">
        <v>0.20510972816665593</v>
      </c>
      <c r="B667"/>
      <c r="C667"/>
      <c r="D667"/>
      <c r="E667"/>
      <c r="F667" s="27" t="s">
        <v>7</v>
      </c>
      <c r="EU667" s="27" t="s">
        <v>8</v>
      </c>
    </row>
    <row r="668" spans="1:155" x14ac:dyDescent="0.25">
      <c r="A668" s="7">
        <v>0.20108796879083912</v>
      </c>
      <c r="B668"/>
      <c r="C668"/>
      <c r="D668"/>
      <c r="E668"/>
      <c r="F668" s="27" t="s">
        <v>7</v>
      </c>
      <c r="EU668" s="27" t="s">
        <v>8</v>
      </c>
    </row>
    <row r="669" spans="1:155" x14ac:dyDescent="0.25">
      <c r="A669" s="7">
        <v>0.19714506744199917</v>
      </c>
      <c r="B669"/>
      <c r="C669"/>
      <c r="D669"/>
      <c r="E669"/>
      <c r="F669" s="27" t="s">
        <v>7</v>
      </c>
      <c r="ES669" s="27" t="s">
        <v>8</v>
      </c>
      <c r="EU669" s="27" t="s">
        <v>8</v>
      </c>
    </row>
    <row r="670" spans="1:155" x14ac:dyDescent="0.25">
      <c r="A670" s="7">
        <v>0.19327947788431293</v>
      </c>
      <c r="B670"/>
      <c r="C670"/>
      <c r="D670"/>
      <c r="E670"/>
      <c r="F670" s="27" t="s">
        <v>7</v>
      </c>
      <c r="ES670" s="27" t="s">
        <v>8</v>
      </c>
      <c r="ET670" s="27" t="s">
        <v>7</v>
      </c>
      <c r="EU670" s="27" t="s">
        <v>8</v>
      </c>
    </row>
    <row r="671" spans="1:155" x14ac:dyDescent="0.25">
      <c r="A671" s="7">
        <v>0.18948968420030682</v>
      </c>
      <c r="B671"/>
      <c r="C671"/>
      <c r="D671"/>
      <c r="E671"/>
      <c r="F671" s="27" t="s">
        <v>7</v>
      </c>
      <c r="ES671" s="27" t="s">
        <v>8</v>
      </c>
      <c r="ET671" s="27" t="s">
        <v>7</v>
      </c>
      <c r="EU671" s="27" t="s">
        <v>8</v>
      </c>
    </row>
    <row r="672" spans="1:155" x14ac:dyDescent="0.25">
      <c r="A672" s="7">
        <v>0.18577420019637925</v>
      </c>
      <c r="B672"/>
      <c r="C672"/>
      <c r="D672"/>
      <c r="E672"/>
      <c r="F672" s="27" t="s">
        <v>7</v>
      </c>
      <c r="ES672" s="27" t="s">
        <v>8</v>
      </c>
      <c r="ET672" s="27" t="s">
        <v>7</v>
      </c>
      <c r="EU672" s="27" t="s">
        <v>8</v>
      </c>
    </row>
    <row r="673" spans="1:151" x14ac:dyDescent="0.25">
      <c r="A673" s="7">
        <v>0.18213156881997963</v>
      </c>
      <c r="B673"/>
      <c r="C673"/>
      <c r="D673"/>
      <c r="E673"/>
      <c r="F673" s="27" t="s">
        <v>7</v>
      </c>
      <c r="DY673" s="27" t="s">
        <v>8</v>
      </c>
      <c r="ES673" s="27" t="s">
        <v>8</v>
      </c>
      <c r="ET673" s="27" t="s">
        <v>7</v>
      </c>
      <c r="EU673" s="27" t="s">
        <v>8</v>
      </c>
    </row>
    <row r="674" spans="1:151" x14ac:dyDescent="0.25">
      <c r="A674" s="7">
        <v>0.17856036158821534</v>
      </c>
      <c r="B674"/>
      <c r="C674"/>
      <c r="D674"/>
      <c r="E674"/>
      <c r="F674" s="27" t="s">
        <v>7</v>
      </c>
      <c r="DY674" s="27" t="s">
        <v>8</v>
      </c>
      <c r="DZ674" s="27" t="s">
        <v>7</v>
      </c>
      <c r="ES674" s="27" t="s">
        <v>8</v>
      </c>
      <c r="ET674" s="27" t="s">
        <v>7</v>
      </c>
      <c r="EU674" s="27" t="s">
        <v>8</v>
      </c>
    </row>
    <row r="675" spans="1:151" x14ac:dyDescent="0.25">
      <c r="A675" s="7">
        <v>0.17505917802766208</v>
      </c>
      <c r="B675"/>
      <c r="C675"/>
      <c r="D675"/>
      <c r="E675"/>
      <c r="F675" s="27" t="s">
        <v>7</v>
      </c>
      <c r="DY675" s="27" t="s">
        <v>8</v>
      </c>
      <c r="DZ675" s="27" t="s">
        <v>7</v>
      </c>
      <c r="EK675" s="27" t="s">
        <v>8</v>
      </c>
      <c r="ES675" s="27" t="s">
        <v>8</v>
      </c>
      <c r="ET675" s="27" t="s">
        <v>7</v>
      </c>
      <c r="EU675" s="27" t="s">
        <v>8</v>
      </c>
    </row>
    <row r="676" spans="1:151" x14ac:dyDescent="0.25">
      <c r="A676" s="7">
        <v>0.17162664512515888</v>
      </c>
      <c r="B676"/>
      <c r="C676"/>
      <c r="D676"/>
      <c r="E676"/>
      <c r="F676" s="27" t="s">
        <v>7</v>
      </c>
      <c r="DY676" s="27" t="s">
        <v>8</v>
      </c>
      <c r="DZ676" s="27" t="s">
        <v>7</v>
      </c>
      <c r="EA676" s="27" t="s">
        <v>8</v>
      </c>
      <c r="EC676" s="27" t="s">
        <v>8</v>
      </c>
      <c r="EK676" s="27" t="s">
        <v>8</v>
      </c>
      <c r="EL676" s="27" t="s">
        <v>7</v>
      </c>
      <c r="ES676" s="27" t="s">
        <v>8</v>
      </c>
      <c r="ET676" s="27" t="s">
        <v>7</v>
      </c>
      <c r="EU676" s="27" t="s">
        <v>8</v>
      </c>
    </row>
    <row r="677" spans="1:151" x14ac:dyDescent="0.25">
      <c r="A677" s="7">
        <v>0.16826141678937145</v>
      </c>
      <c r="B677"/>
      <c r="C677"/>
      <c r="D677"/>
      <c r="E677"/>
      <c r="F677" s="27" t="s">
        <v>7</v>
      </c>
      <c r="DY677" s="27" t="s">
        <v>8</v>
      </c>
      <c r="DZ677" s="27" t="s">
        <v>7</v>
      </c>
      <c r="EA677" s="27" t="s">
        <v>8</v>
      </c>
      <c r="EB677" s="27" t="s">
        <v>7</v>
      </c>
      <c r="EC677" s="27" t="s">
        <v>8</v>
      </c>
      <c r="ED677" s="27" t="s">
        <v>7</v>
      </c>
      <c r="EE677" s="27" t="s">
        <v>8</v>
      </c>
      <c r="EK677" s="27" t="s">
        <v>8</v>
      </c>
      <c r="EL677" s="27" t="s">
        <v>7</v>
      </c>
      <c r="EM677" s="27" t="s">
        <v>8</v>
      </c>
      <c r="ES677" s="27" t="s">
        <v>8</v>
      </c>
      <c r="ET677" s="27" t="s">
        <v>7</v>
      </c>
    </row>
    <row r="678" spans="1:151" x14ac:dyDescent="0.25">
      <c r="A678" s="7">
        <v>0.16496217332291319</v>
      </c>
      <c r="B678"/>
      <c r="C678"/>
      <c r="D678"/>
      <c r="E678"/>
      <c r="F678" s="27" t="s">
        <v>7</v>
      </c>
      <c r="DY678" s="27" t="s">
        <v>8</v>
      </c>
      <c r="DZ678" s="27" t="s">
        <v>7</v>
      </c>
      <c r="EA678" s="27" t="s">
        <v>8</v>
      </c>
      <c r="EB678" s="27" t="s">
        <v>7</v>
      </c>
      <c r="EC678" s="27" t="s">
        <v>8</v>
      </c>
      <c r="ED678" s="27" t="s">
        <v>7</v>
      </c>
      <c r="EE678" s="27" t="s">
        <v>8</v>
      </c>
      <c r="EF678" s="27" t="s">
        <v>7</v>
      </c>
      <c r="EK678" s="27" t="s">
        <v>8</v>
      </c>
      <c r="EL678" s="27" t="s">
        <v>7</v>
      </c>
      <c r="EM678" s="27" t="s">
        <v>8</v>
      </c>
      <c r="EN678" s="27" t="s">
        <v>7</v>
      </c>
      <c r="EQ678" s="27" t="s">
        <v>8</v>
      </c>
      <c r="ES678" s="27" t="s">
        <v>8</v>
      </c>
    </row>
    <row r="679" spans="1:151" x14ac:dyDescent="0.25">
      <c r="A679" s="7">
        <v>0.16172762090481685</v>
      </c>
      <c r="B679"/>
      <c r="C679"/>
      <c r="D679"/>
      <c r="E679"/>
      <c r="F679" s="27" t="s">
        <v>7</v>
      </c>
      <c r="DY679" s="27" t="s">
        <v>8</v>
      </c>
      <c r="DZ679" s="27" t="s">
        <v>7</v>
      </c>
      <c r="EA679" s="27" t="s">
        <v>8</v>
      </c>
      <c r="EB679" s="27" t="s">
        <v>7</v>
      </c>
      <c r="EC679" s="27" t="s">
        <v>8</v>
      </c>
      <c r="ED679" s="27" t="s">
        <v>7</v>
      </c>
      <c r="EE679" s="27" t="s">
        <v>8</v>
      </c>
      <c r="EF679" s="27" t="s">
        <v>7</v>
      </c>
      <c r="EG679" s="27" t="s">
        <v>8</v>
      </c>
      <c r="EK679" s="27" t="s">
        <v>8</v>
      </c>
      <c r="EL679" s="27" t="s">
        <v>7</v>
      </c>
      <c r="EM679" s="27" t="s">
        <v>8</v>
      </c>
      <c r="EN679" s="27" t="s">
        <v>7</v>
      </c>
      <c r="EQ679" s="27" t="s">
        <v>8</v>
      </c>
      <c r="ER679" s="27" t="s">
        <v>7</v>
      </c>
      <c r="ES679" s="27" t="s">
        <v>8</v>
      </c>
    </row>
    <row r="680" spans="1:151" x14ac:dyDescent="0.25">
      <c r="A680" s="7">
        <v>0.15855649108315376</v>
      </c>
      <c r="B680"/>
      <c r="C680"/>
      <c r="D680"/>
      <c r="E680"/>
      <c r="F680" s="27" t="s">
        <v>7</v>
      </c>
      <c r="DY680" s="27" t="s">
        <v>8</v>
      </c>
      <c r="DZ680" s="27" t="s">
        <v>7</v>
      </c>
      <c r="EA680" s="27" t="s">
        <v>8</v>
      </c>
      <c r="EB680" s="27" t="s">
        <v>7</v>
      </c>
      <c r="ED680" s="27" t="s">
        <v>7</v>
      </c>
      <c r="EE680" s="27" t="s">
        <v>8</v>
      </c>
      <c r="EF680" s="27" t="s">
        <v>7</v>
      </c>
      <c r="EG680" s="27" t="s">
        <v>8</v>
      </c>
      <c r="EH680" s="27" t="s">
        <v>7</v>
      </c>
      <c r="EK680" s="27" t="s">
        <v>8</v>
      </c>
      <c r="EL680" s="27" t="s">
        <v>7</v>
      </c>
      <c r="EN680" s="27" t="s">
        <v>7</v>
      </c>
      <c r="EO680" s="27" t="s">
        <v>8</v>
      </c>
      <c r="EQ680" s="27" t="s">
        <v>8</v>
      </c>
      <c r="ER680" s="27" t="s">
        <v>7</v>
      </c>
      <c r="ES680" s="27" t="s">
        <v>8</v>
      </c>
    </row>
    <row r="681" spans="1:151" x14ac:dyDescent="0.25">
      <c r="A681" s="7">
        <v>0.15544754027760171</v>
      </c>
      <c r="B681"/>
      <c r="C681"/>
      <c r="D681"/>
      <c r="E681"/>
      <c r="F681" s="27" t="s">
        <v>7</v>
      </c>
      <c r="DY681" s="27" t="s">
        <v>8</v>
      </c>
      <c r="DZ681" s="27" t="s">
        <v>7</v>
      </c>
      <c r="EA681" s="27" t="s">
        <v>8</v>
      </c>
      <c r="ED681" s="27" t="s">
        <v>7</v>
      </c>
      <c r="EE681" s="27" t="s">
        <v>8</v>
      </c>
      <c r="EF681" s="27" t="s">
        <v>7</v>
      </c>
      <c r="EG681" s="27" t="s">
        <v>8</v>
      </c>
      <c r="EH681" s="27" t="s">
        <v>7</v>
      </c>
      <c r="EK681" s="27" t="s">
        <v>8</v>
      </c>
      <c r="EN681" s="27" t="s">
        <v>7</v>
      </c>
      <c r="EO681" s="27" t="s">
        <v>8</v>
      </c>
      <c r="EP681" s="27" t="s">
        <v>7</v>
      </c>
      <c r="EQ681" s="27" t="s">
        <v>8</v>
      </c>
      <c r="ER681" s="27" t="s">
        <v>7</v>
      </c>
      <c r="ES681" s="27" t="s">
        <v>8</v>
      </c>
    </row>
    <row r="682" spans="1:151" x14ac:dyDescent="0.25">
      <c r="A682" s="7">
        <v>0.15239954929176638</v>
      </c>
      <c r="B682"/>
      <c r="C682"/>
      <c r="D682"/>
      <c r="E682"/>
      <c r="F682" s="27" t="s">
        <v>7</v>
      </c>
      <c r="CC682" s="27" t="s">
        <v>8</v>
      </c>
      <c r="DY682" s="27" t="s">
        <v>8</v>
      </c>
      <c r="DZ682" s="27" t="s">
        <v>7</v>
      </c>
      <c r="EA682" s="27" t="s">
        <v>8</v>
      </c>
      <c r="ED682" s="27" t="s">
        <v>7</v>
      </c>
      <c r="EE682" s="27" t="s">
        <v>8</v>
      </c>
      <c r="EF682" s="27" t="s">
        <v>7</v>
      </c>
      <c r="EG682" s="27" t="s">
        <v>8</v>
      </c>
      <c r="EH682" s="27" t="s">
        <v>7</v>
      </c>
      <c r="EK682" s="27" t="s">
        <v>8</v>
      </c>
      <c r="EN682" s="27" t="s">
        <v>7</v>
      </c>
      <c r="EO682" s="27" t="s">
        <v>8</v>
      </c>
      <c r="EP682" s="27" t="s">
        <v>7</v>
      </c>
      <c r="EQ682" s="27" t="s">
        <v>8</v>
      </c>
      <c r="ER682" s="27" t="s">
        <v>7</v>
      </c>
      <c r="ES682" s="27" t="s">
        <v>8</v>
      </c>
    </row>
    <row r="683" spans="1:151" x14ac:dyDescent="0.25">
      <c r="A683" s="7">
        <v>0.14941132283506509</v>
      </c>
      <c r="B683"/>
      <c r="C683"/>
      <c r="D683"/>
      <c r="E683"/>
      <c r="F683" s="27" t="s">
        <v>7</v>
      </c>
      <c r="CC683" s="27" t="s">
        <v>8</v>
      </c>
      <c r="CD683" s="27" t="s">
        <v>7</v>
      </c>
      <c r="CE683" s="27" t="s">
        <v>8</v>
      </c>
      <c r="CK683" s="27" t="s">
        <v>8</v>
      </c>
      <c r="DY683" s="27" t="s">
        <v>8</v>
      </c>
      <c r="DZ683" s="27" t="s">
        <v>7</v>
      </c>
      <c r="EA683" s="27" t="s">
        <v>8</v>
      </c>
      <c r="ED683" s="27" t="s">
        <v>7</v>
      </c>
      <c r="EE683" s="27" t="s">
        <v>8</v>
      </c>
      <c r="EF683" s="27" t="s">
        <v>7</v>
      </c>
      <c r="EG683" s="27" t="s">
        <v>8</v>
      </c>
      <c r="EH683" s="27" t="s">
        <v>7</v>
      </c>
      <c r="EK683" s="27" t="s">
        <v>8</v>
      </c>
      <c r="EN683" s="27" t="s">
        <v>7</v>
      </c>
      <c r="EP683" s="27" t="s">
        <v>7</v>
      </c>
      <c r="EQ683" s="27" t="s">
        <v>8</v>
      </c>
      <c r="ER683" s="27" t="s">
        <v>7</v>
      </c>
    </row>
    <row r="684" spans="1:151" x14ac:dyDescent="0.25">
      <c r="A684" s="7">
        <v>0.14648168905398537</v>
      </c>
      <c r="B684"/>
      <c r="C684"/>
      <c r="D684"/>
      <c r="E684"/>
      <c r="F684" s="27" t="s">
        <v>7</v>
      </c>
      <c r="CC684" s="27" t="s">
        <v>8</v>
      </c>
      <c r="CD684" s="27" t="s">
        <v>7</v>
      </c>
      <c r="CE684" s="27" t="s">
        <v>8</v>
      </c>
      <c r="CF684" s="27" t="s">
        <v>7</v>
      </c>
      <c r="CG684" s="27" t="s">
        <v>8</v>
      </c>
      <c r="CI684" s="27" t="s">
        <v>8</v>
      </c>
      <c r="CK684" s="27" t="s">
        <v>8</v>
      </c>
      <c r="CL684" s="27" t="s">
        <v>7</v>
      </c>
      <c r="DY684" s="27" t="s">
        <v>8</v>
      </c>
      <c r="DZ684" s="27" t="s">
        <v>7</v>
      </c>
      <c r="EA684" s="27" t="s">
        <v>8</v>
      </c>
      <c r="ED684" s="27" t="s">
        <v>7</v>
      </c>
      <c r="EE684" s="27" t="s">
        <v>8</v>
      </c>
      <c r="EF684" s="27" t="s">
        <v>7</v>
      </c>
      <c r="EH684" s="27" t="s">
        <v>7</v>
      </c>
      <c r="EI684" s="27" t="s">
        <v>8</v>
      </c>
      <c r="EK684" s="27" t="s">
        <v>8</v>
      </c>
      <c r="EP684" s="27" t="s">
        <v>7</v>
      </c>
      <c r="EQ684" s="27" t="s">
        <v>8</v>
      </c>
    </row>
    <row r="685" spans="1:151" x14ac:dyDescent="0.25">
      <c r="A685" s="7">
        <v>0.14360949907253467</v>
      </c>
      <c r="B685"/>
      <c r="C685"/>
      <c r="D685"/>
      <c r="E685"/>
      <c r="F685" s="27" t="s">
        <v>7</v>
      </c>
      <c r="CC685" s="27" t="s">
        <v>8</v>
      </c>
      <c r="CD685" s="27" t="s">
        <v>7</v>
      </c>
      <c r="CE685" s="27" t="s">
        <v>8</v>
      </c>
      <c r="CF685" s="27" t="s">
        <v>7</v>
      </c>
      <c r="CG685" s="27" t="s">
        <v>8</v>
      </c>
      <c r="CH685" s="27" t="s">
        <v>7</v>
      </c>
      <c r="CI685" s="27" t="s">
        <v>8</v>
      </c>
      <c r="CJ685" s="27" t="s">
        <v>7</v>
      </c>
      <c r="CK685" s="27" t="s">
        <v>8</v>
      </c>
      <c r="CL685" s="27" t="s">
        <v>7</v>
      </c>
      <c r="CM685" s="27" t="s">
        <v>8</v>
      </c>
      <c r="DY685" s="27" t="s">
        <v>8</v>
      </c>
      <c r="DZ685" s="27" t="s">
        <v>7</v>
      </c>
      <c r="EA685" s="27" t="s">
        <v>8</v>
      </c>
      <c r="ED685" s="27" t="s">
        <v>7</v>
      </c>
      <c r="EH685" s="27" t="s">
        <v>7</v>
      </c>
      <c r="EI685" s="27" t="s">
        <v>8</v>
      </c>
      <c r="EJ685" s="27" t="s">
        <v>7</v>
      </c>
      <c r="EK685" s="27" t="s">
        <v>8</v>
      </c>
      <c r="EP685" s="27" t="s">
        <v>7</v>
      </c>
      <c r="EQ685" s="27" t="s">
        <v>8</v>
      </c>
    </row>
    <row r="686" spans="1:151" x14ac:dyDescent="0.25">
      <c r="A686" s="7">
        <v>0.14079362654170066</v>
      </c>
      <c r="B686"/>
      <c r="C686"/>
      <c r="D686"/>
      <c r="E686"/>
      <c r="F686" s="27" t="s">
        <v>7</v>
      </c>
      <c r="CC686" s="27" t="s">
        <v>8</v>
      </c>
      <c r="CD686" s="27" t="s">
        <v>7</v>
      </c>
      <c r="CE686" s="27" t="s">
        <v>8</v>
      </c>
      <c r="CF686" s="27" t="s">
        <v>7</v>
      </c>
      <c r="CG686" s="27" t="s">
        <v>8</v>
      </c>
      <c r="CH686" s="27" t="s">
        <v>7</v>
      </c>
      <c r="CI686" s="27" t="s">
        <v>8</v>
      </c>
      <c r="CJ686" s="27" t="s">
        <v>7</v>
      </c>
      <c r="CK686" s="27" t="s">
        <v>8</v>
      </c>
      <c r="CL686" s="27" t="s">
        <v>7</v>
      </c>
      <c r="CM686" s="27" t="s">
        <v>8</v>
      </c>
      <c r="CN686" s="27" t="s">
        <v>7</v>
      </c>
      <c r="DY686" s="27" t="s">
        <v>8</v>
      </c>
      <c r="DZ686" s="27" t="s">
        <v>7</v>
      </c>
      <c r="EA686" s="27" t="s">
        <v>8</v>
      </c>
      <c r="EH686" s="27" t="s">
        <v>7</v>
      </c>
      <c r="EI686" s="27" t="s">
        <v>8</v>
      </c>
      <c r="EJ686" s="27" t="s">
        <v>7</v>
      </c>
      <c r="EK686" s="27" t="s">
        <v>8</v>
      </c>
      <c r="EP686" s="27" t="s">
        <v>7</v>
      </c>
      <c r="EQ686" s="27" t="s">
        <v>8</v>
      </c>
    </row>
    <row r="687" spans="1:151" x14ac:dyDescent="0.25">
      <c r="A687" s="7">
        <v>0.13803296719774574</v>
      </c>
      <c r="B687"/>
      <c r="C687"/>
      <c r="D687"/>
      <c r="E687"/>
      <c r="F687" s="27" t="s">
        <v>7</v>
      </c>
      <c r="BW687" s="27" t="s">
        <v>8</v>
      </c>
      <c r="CC687" s="27" t="s">
        <v>8</v>
      </c>
      <c r="CD687" s="27" t="s">
        <v>7</v>
      </c>
      <c r="CE687" s="27" t="s">
        <v>8</v>
      </c>
      <c r="CF687" s="27" t="s">
        <v>7</v>
      </c>
      <c r="CH687" s="27" t="s">
        <v>7</v>
      </c>
      <c r="CI687" s="27" t="s">
        <v>8</v>
      </c>
      <c r="CJ687" s="27" t="s">
        <v>7</v>
      </c>
      <c r="CK687" s="27" t="s">
        <v>8</v>
      </c>
      <c r="CL687" s="27" t="s">
        <v>7</v>
      </c>
      <c r="CM687" s="27" t="s">
        <v>8</v>
      </c>
      <c r="CN687" s="27" t="s">
        <v>7</v>
      </c>
      <c r="DY687" s="27" t="s">
        <v>8</v>
      </c>
      <c r="DZ687" s="27" t="s">
        <v>7</v>
      </c>
      <c r="EA687" s="27" t="s">
        <v>8</v>
      </c>
      <c r="EH687" s="27" t="s">
        <v>7</v>
      </c>
      <c r="EI687" s="27" t="s">
        <v>8</v>
      </c>
      <c r="EJ687" s="27" t="s">
        <v>7</v>
      </c>
      <c r="EK687" s="27" t="s">
        <v>8</v>
      </c>
      <c r="EP687" s="27" t="s">
        <v>7</v>
      </c>
      <c r="EQ687" s="27" t="s">
        <v>8</v>
      </c>
    </row>
    <row r="688" spans="1:151" x14ac:dyDescent="0.25">
      <c r="A688" s="7">
        <v>0.1353264384291625</v>
      </c>
      <c r="B688"/>
      <c r="C688"/>
      <c r="D688"/>
      <c r="E688"/>
      <c r="F688" s="27" t="s">
        <v>7</v>
      </c>
      <c r="BW688" s="27" t="s">
        <v>8</v>
      </c>
      <c r="BX688" s="27" t="s">
        <v>7</v>
      </c>
      <c r="BY688" s="27" t="s">
        <v>8</v>
      </c>
      <c r="CC688" s="27" t="s">
        <v>8</v>
      </c>
      <c r="CD688" s="27" t="s">
        <v>7</v>
      </c>
      <c r="CE688" s="27" t="s">
        <v>8</v>
      </c>
      <c r="CH688" s="27" t="s">
        <v>7</v>
      </c>
      <c r="CI688" s="27" t="s">
        <v>8</v>
      </c>
      <c r="CJ688" s="27" t="s">
        <v>7</v>
      </c>
      <c r="CL688" s="27" t="s">
        <v>7</v>
      </c>
      <c r="CM688" s="27" t="s">
        <v>8</v>
      </c>
      <c r="CN688" s="27" t="s">
        <v>7</v>
      </c>
      <c r="DY688" s="27" t="s">
        <v>8</v>
      </c>
      <c r="DZ688" s="27" t="s">
        <v>7</v>
      </c>
      <c r="EA688" s="27" t="s">
        <v>8</v>
      </c>
      <c r="EH688" s="27" t="s">
        <v>7</v>
      </c>
      <c r="EI688" s="27" t="s">
        <v>8</v>
      </c>
      <c r="EJ688" s="27" t="s">
        <v>7</v>
      </c>
      <c r="EP688" s="27" t="s">
        <v>7</v>
      </c>
      <c r="EQ688" s="27" t="s">
        <v>8</v>
      </c>
    </row>
    <row r="689" spans="1:147" x14ac:dyDescent="0.25">
      <c r="A689" s="7">
        <v>0.13267297885212009</v>
      </c>
      <c r="B689"/>
      <c r="C689"/>
      <c r="D689"/>
      <c r="E689"/>
      <c r="F689" s="27" t="s">
        <v>7</v>
      </c>
      <c r="BW689" s="27" t="s">
        <v>8</v>
      </c>
      <c r="BX689" s="27" t="s">
        <v>7</v>
      </c>
      <c r="BY689" s="27" t="s">
        <v>8</v>
      </c>
      <c r="BZ689" s="27" t="s">
        <v>7</v>
      </c>
      <c r="CA689" s="27" t="s">
        <v>8</v>
      </c>
      <c r="CC689" s="27" t="s">
        <v>8</v>
      </c>
      <c r="CD689" s="27" t="s">
        <v>7</v>
      </c>
      <c r="CE689" s="27" t="s">
        <v>8</v>
      </c>
      <c r="CH689" s="27" t="s">
        <v>7</v>
      </c>
      <c r="CI689" s="27" t="s">
        <v>8</v>
      </c>
      <c r="CL689" s="27" t="s">
        <v>7</v>
      </c>
      <c r="CM689" s="27" t="s">
        <v>8</v>
      </c>
      <c r="CN689" s="27" t="s">
        <v>7</v>
      </c>
      <c r="DY689" s="27" t="s">
        <v>8</v>
      </c>
      <c r="DZ689" s="27" t="s">
        <v>7</v>
      </c>
      <c r="EA689" s="27" t="s">
        <v>8</v>
      </c>
      <c r="EH689" s="27" t="s">
        <v>7</v>
      </c>
      <c r="EI689" s="27" t="s">
        <v>8</v>
      </c>
      <c r="EP689" s="27" t="s">
        <v>7</v>
      </c>
      <c r="EQ689" s="27" t="s">
        <v>8</v>
      </c>
    </row>
    <row r="690" spans="1:147" x14ac:dyDescent="0.25">
      <c r="A690" s="7">
        <v>0.13007154789423539</v>
      </c>
      <c r="B690"/>
      <c r="C690"/>
      <c r="D690"/>
      <c r="E690"/>
      <c r="F690" s="27" t="s">
        <v>7</v>
      </c>
      <c r="BW690" s="27" t="s">
        <v>8</v>
      </c>
      <c r="BX690" s="27" t="s">
        <v>7</v>
      </c>
      <c r="BY690" s="27" t="s">
        <v>8</v>
      </c>
      <c r="BZ690" s="27" t="s">
        <v>7</v>
      </c>
      <c r="CA690" s="27" t="s">
        <v>8</v>
      </c>
      <c r="CB690" s="27" t="s">
        <v>7</v>
      </c>
      <c r="CC690" s="27" t="s">
        <v>8</v>
      </c>
      <c r="CD690" s="27" t="s">
        <v>7</v>
      </c>
      <c r="CH690" s="27" t="s">
        <v>7</v>
      </c>
      <c r="CI690" s="27" t="s">
        <v>8</v>
      </c>
      <c r="CL690" s="27" t="s">
        <v>7</v>
      </c>
      <c r="CM690" s="27" t="s">
        <v>8</v>
      </c>
      <c r="CN690" s="27" t="s">
        <v>7</v>
      </c>
      <c r="DY690" s="27" t="s">
        <v>8</v>
      </c>
      <c r="DZ690" s="27" t="s">
        <v>7</v>
      </c>
      <c r="EA690" s="27" t="s">
        <v>8</v>
      </c>
      <c r="EH690" s="27" t="s">
        <v>7</v>
      </c>
      <c r="EP690" s="27" t="s">
        <v>7</v>
      </c>
      <c r="EQ690" s="27" t="s">
        <v>8</v>
      </c>
    </row>
    <row r="691" spans="1:147" x14ac:dyDescent="0.25">
      <c r="A691" s="7">
        <v>0.12752112538650529</v>
      </c>
      <c r="B691"/>
      <c r="C691"/>
      <c r="D691"/>
      <c r="E691"/>
      <c r="F691" s="27" t="s">
        <v>7</v>
      </c>
      <c r="BW691" s="27" t="s">
        <v>8</v>
      </c>
      <c r="BX691" s="27" t="s">
        <v>7</v>
      </c>
      <c r="BY691" s="27" t="s">
        <v>8</v>
      </c>
      <c r="BZ691" s="27" t="s">
        <v>7</v>
      </c>
      <c r="CA691" s="27" t="s">
        <v>8</v>
      </c>
      <c r="CB691" s="27" t="s">
        <v>7</v>
      </c>
      <c r="CC691" s="27" t="s">
        <v>8</v>
      </c>
      <c r="CH691" s="27" t="s">
        <v>7</v>
      </c>
      <c r="CL691" s="27" t="s">
        <v>7</v>
      </c>
      <c r="CM691" s="27" t="s">
        <v>8</v>
      </c>
      <c r="CN691" s="27" t="s">
        <v>7</v>
      </c>
      <c r="CQ691" s="27" t="s">
        <v>8</v>
      </c>
      <c r="DY691" s="27" t="s">
        <v>8</v>
      </c>
      <c r="DZ691" s="27" t="s">
        <v>7</v>
      </c>
      <c r="EA691" s="27" t="s">
        <v>8</v>
      </c>
      <c r="EP691" s="27" t="s">
        <v>7</v>
      </c>
    </row>
    <row r="692" spans="1:147" x14ac:dyDescent="0.25">
      <c r="A692" s="7">
        <v>0.12502071116324048</v>
      </c>
      <c r="B692"/>
      <c r="C692"/>
      <c r="D692"/>
      <c r="E692"/>
      <c r="F692" s="27" t="s">
        <v>7</v>
      </c>
      <c r="BW692" s="27" t="s">
        <v>8</v>
      </c>
      <c r="BX692" s="27" t="s">
        <v>7</v>
      </c>
      <c r="BY692" s="27" t="s">
        <v>8</v>
      </c>
      <c r="BZ692" s="27" t="s">
        <v>7</v>
      </c>
      <c r="CA692" s="27" t="s">
        <v>8</v>
      </c>
      <c r="CB692" s="27" t="s">
        <v>7</v>
      </c>
      <c r="CC692" s="27" t="s">
        <v>8</v>
      </c>
      <c r="CL692" s="27" t="s">
        <v>7</v>
      </c>
      <c r="CN692" s="27" t="s">
        <v>7</v>
      </c>
      <c r="CQ692" s="27" t="s">
        <v>8</v>
      </c>
      <c r="CR692" s="27" t="s">
        <v>7</v>
      </c>
      <c r="DY692" s="27" t="s">
        <v>8</v>
      </c>
      <c r="DZ692" s="27" t="s">
        <v>7</v>
      </c>
      <c r="EA692" s="27" t="s">
        <v>8</v>
      </c>
    </row>
    <row r="693" spans="1:147" x14ac:dyDescent="0.25">
      <c r="A693" s="7">
        <v>0.1225693246698436</v>
      </c>
      <c r="B693"/>
      <c r="C693"/>
      <c r="D693"/>
      <c r="E693"/>
      <c r="F693" s="27" t="s">
        <v>7</v>
      </c>
      <c r="BW693" s="27" t="s">
        <v>8</v>
      </c>
      <c r="BX693" s="27" t="s">
        <v>7</v>
      </c>
      <c r="BY693" s="27" t="s">
        <v>8</v>
      </c>
      <c r="BZ693" s="27" t="s">
        <v>7</v>
      </c>
      <c r="CB693" s="27" t="s">
        <v>7</v>
      </c>
      <c r="CC693" s="27" t="s">
        <v>8</v>
      </c>
      <c r="CN693" s="27" t="s">
        <v>7</v>
      </c>
      <c r="CQ693" s="27" t="s">
        <v>8</v>
      </c>
      <c r="CR693" s="27" t="s">
        <v>7</v>
      </c>
      <c r="DY693" s="27" t="s">
        <v>8</v>
      </c>
      <c r="DZ693" s="27" t="s">
        <v>7</v>
      </c>
      <c r="EA693" s="27" t="s">
        <v>8</v>
      </c>
    </row>
    <row r="694" spans="1:147" x14ac:dyDescent="0.25">
      <c r="A694" s="7">
        <v>0.12016600457827803</v>
      </c>
      <c r="B694"/>
      <c r="C694"/>
      <c r="D694"/>
      <c r="E694"/>
      <c r="F694" s="27" t="s">
        <v>7</v>
      </c>
      <c r="BW694" s="27" t="s">
        <v>8</v>
      </c>
      <c r="BX694" s="27" t="s">
        <v>7</v>
      </c>
      <c r="BY694" s="27" t="s">
        <v>8</v>
      </c>
      <c r="CB694" s="27" t="s">
        <v>7</v>
      </c>
      <c r="CC694" s="27" t="s">
        <v>8</v>
      </c>
      <c r="CN694" s="27" t="s">
        <v>7</v>
      </c>
      <c r="CQ694" s="27" t="s">
        <v>8</v>
      </c>
      <c r="CR694" s="27" t="s">
        <v>7</v>
      </c>
      <c r="DY694" s="27" t="s">
        <v>8</v>
      </c>
      <c r="DZ694" s="27" t="s">
        <v>7</v>
      </c>
      <c r="EA694" s="27" t="s">
        <v>8</v>
      </c>
    </row>
    <row r="695" spans="1:147" x14ac:dyDescent="0.25">
      <c r="A695" s="7">
        <v>0.1178098084100765</v>
      </c>
      <c r="B695"/>
      <c r="C695"/>
      <c r="D695"/>
      <c r="E695"/>
      <c r="F695" s="27" t="s">
        <v>7</v>
      </c>
      <c r="BW695" s="27" t="s">
        <v>8</v>
      </c>
      <c r="BX695" s="27" t="s">
        <v>7</v>
      </c>
      <c r="BY695" s="27" t="s">
        <v>8</v>
      </c>
      <c r="CB695" s="27" t="s">
        <v>7</v>
      </c>
      <c r="CC695" s="27" t="s">
        <v>8</v>
      </c>
      <c r="CN695" s="27" t="s">
        <v>7</v>
      </c>
      <c r="CO695" s="27" t="s">
        <v>8</v>
      </c>
      <c r="CQ695" s="27" t="s">
        <v>8</v>
      </c>
      <c r="CR695" s="27" t="s">
        <v>7</v>
      </c>
      <c r="DY695" s="27" t="s">
        <v>8</v>
      </c>
      <c r="DZ695" s="27" t="s">
        <v>7</v>
      </c>
      <c r="EA695" s="27" t="s">
        <v>8</v>
      </c>
    </row>
    <row r="696" spans="1:147" x14ac:dyDescent="0.25">
      <c r="A696" s="7">
        <v>0.11549981216674166</v>
      </c>
      <c r="B696"/>
      <c r="C696"/>
      <c r="D696"/>
      <c r="E696"/>
      <c r="F696" s="27" t="s">
        <v>7</v>
      </c>
      <c r="BW696" s="27" t="s">
        <v>8</v>
      </c>
      <c r="BX696" s="27" t="s">
        <v>7</v>
      </c>
      <c r="BY696" s="27" t="s">
        <v>8</v>
      </c>
      <c r="CB696" s="27" t="s">
        <v>7</v>
      </c>
      <c r="CN696" s="27" t="s">
        <v>7</v>
      </c>
      <c r="CO696" s="27" t="s">
        <v>8</v>
      </c>
      <c r="CP696" s="27" t="s">
        <v>7</v>
      </c>
      <c r="CQ696" s="27" t="s">
        <v>8</v>
      </c>
      <c r="CR696" s="27" t="s">
        <v>7</v>
      </c>
      <c r="DY696" s="27" t="s">
        <v>8</v>
      </c>
      <c r="DZ696" s="27" t="s">
        <v>7</v>
      </c>
      <c r="EA696" s="27" t="s">
        <v>8</v>
      </c>
    </row>
    <row r="697" spans="1:147" x14ac:dyDescent="0.25">
      <c r="A697" s="7">
        <v>0.11323510996739378</v>
      </c>
      <c r="B697"/>
      <c r="C697"/>
      <c r="D697"/>
      <c r="E697"/>
      <c r="F697" s="27" t="s">
        <v>7</v>
      </c>
      <c r="BW697" s="27" t="s">
        <v>8</v>
      </c>
      <c r="BX697" s="27" t="s">
        <v>7</v>
      </c>
      <c r="BY697" s="27" t="s">
        <v>8</v>
      </c>
      <c r="CN697" s="27" t="s">
        <v>7</v>
      </c>
      <c r="CO697" s="27" t="s">
        <v>8</v>
      </c>
      <c r="CP697" s="27" t="s">
        <v>7</v>
      </c>
      <c r="CQ697" s="27" t="s">
        <v>8</v>
      </c>
      <c r="CR697" s="27" t="s">
        <v>7</v>
      </c>
      <c r="DK697" s="27" t="s">
        <v>8</v>
      </c>
      <c r="DS697" s="27" t="s">
        <v>8</v>
      </c>
      <c r="DY697" s="27" t="s">
        <v>8</v>
      </c>
      <c r="DZ697" s="27" t="s">
        <v>7</v>
      </c>
    </row>
    <row r="698" spans="1:147" x14ac:dyDescent="0.25">
      <c r="A698" s="7">
        <v>0.11101481369352331</v>
      </c>
      <c r="B698"/>
      <c r="C698"/>
      <c r="D698"/>
      <c r="E698"/>
      <c r="F698" s="27" t="s">
        <v>7</v>
      </c>
      <c r="BW698" s="27" t="s">
        <v>8</v>
      </c>
      <c r="BX698" s="27" t="s">
        <v>7</v>
      </c>
      <c r="CN698" s="27" t="s">
        <v>7</v>
      </c>
      <c r="CO698" s="27" t="s">
        <v>8</v>
      </c>
      <c r="CP698" s="27" t="s">
        <v>7</v>
      </c>
      <c r="CQ698" s="27" t="s">
        <v>8</v>
      </c>
      <c r="CR698" s="27" t="s">
        <v>7</v>
      </c>
      <c r="DI698" s="27" t="s">
        <v>8</v>
      </c>
      <c r="DK698" s="27" t="s">
        <v>8</v>
      </c>
      <c r="DL698" s="27" t="s">
        <v>7</v>
      </c>
      <c r="DM698" s="27" t="s">
        <v>8</v>
      </c>
      <c r="DO698" s="27" t="s">
        <v>8</v>
      </c>
      <c r="DS698" s="27" t="s">
        <v>8</v>
      </c>
      <c r="DT698" s="27" t="s">
        <v>7</v>
      </c>
      <c r="DW698" s="27" t="s">
        <v>8</v>
      </c>
      <c r="DY698" s="27" t="s">
        <v>8</v>
      </c>
    </row>
    <row r="699" spans="1:147" x14ac:dyDescent="0.25">
      <c r="A699" s="7">
        <v>0.10883805264070913</v>
      </c>
      <c r="B699"/>
      <c r="C699"/>
      <c r="D699"/>
      <c r="E699"/>
      <c r="F699" s="27" t="s">
        <v>7</v>
      </c>
      <c r="BW699" s="27" t="s">
        <v>8</v>
      </c>
      <c r="CN699" s="27" t="s">
        <v>7</v>
      </c>
      <c r="CO699" s="27" t="s">
        <v>8</v>
      </c>
      <c r="CP699" s="27" t="s">
        <v>7</v>
      </c>
      <c r="CQ699" s="27" t="s">
        <v>8</v>
      </c>
      <c r="CR699" s="27" t="s">
        <v>7</v>
      </c>
      <c r="DI699" s="27" t="s">
        <v>8</v>
      </c>
      <c r="DJ699" s="27" t="s">
        <v>7</v>
      </c>
      <c r="DK699" s="27" t="s">
        <v>8</v>
      </c>
      <c r="DL699" s="27" t="s">
        <v>7</v>
      </c>
      <c r="DM699" s="27" t="s">
        <v>8</v>
      </c>
      <c r="DN699" s="27" t="s">
        <v>7</v>
      </c>
      <c r="DO699" s="27" t="s">
        <v>8</v>
      </c>
      <c r="DP699" s="27" t="s">
        <v>7</v>
      </c>
      <c r="DS699" s="27" t="s">
        <v>8</v>
      </c>
      <c r="DT699" s="27" t="s">
        <v>7</v>
      </c>
      <c r="DU699" s="27" t="s">
        <v>8</v>
      </c>
      <c r="DW699" s="27" t="s">
        <v>8</v>
      </c>
      <c r="DX699" s="27" t="s">
        <v>7</v>
      </c>
      <c r="DY699" s="27" t="s">
        <v>8</v>
      </c>
    </row>
    <row r="700" spans="1:147" x14ac:dyDescent="0.25">
      <c r="A700" s="7">
        <v>0.10670397317716582</v>
      </c>
      <c r="B700"/>
      <c r="C700"/>
      <c r="D700"/>
      <c r="E700"/>
      <c r="F700" s="27" t="s">
        <v>7</v>
      </c>
      <c r="BW700" s="27" t="s">
        <v>8</v>
      </c>
      <c r="CN700" s="27" t="s">
        <v>7</v>
      </c>
      <c r="CP700" s="27" t="s">
        <v>7</v>
      </c>
      <c r="CQ700" s="27" t="s">
        <v>8</v>
      </c>
      <c r="CR700" s="27" t="s">
        <v>7</v>
      </c>
      <c r="DE700" s="27" t="s">
        <v>8</v>
      </c>
      <c r="DI700" s="27" t="s">
        <v>8</v>
      </c>
      <c r="DJ700" s="27" t="s">
        <v>7</v>
      </c>
      <c r="DK700" s="27" t="s">
        <v>8</v>
      </c>
      <c r="DL700" s="27" t="s">
        <v>7</v>
      </c>
      <c r="DM700" s="27" t="s">
        <v>8</v>
      </c>
      <c r="DN700" s="27" t="s">
        <v>7</v>
      </c>
      <c r="DO700" s="27" t="s">
        <v>8</v>
      </c>
      <c r="DP700" s="27" t="s">
        <v>7</v>
      </c>
      <c r="DS700" s="27" t="s">
        <v>8</v>
      </c>
      <c r="DT700" s="27" t="s">
        <v>7</v>
      </c>
      <c r="DU700" s="27" t="s">
        <v>8</v>
      </c>
      <c r="DV700" s="27" t="s">
        <v>7</v>
      </c>
      <c r="DW700" s="27" t="s">
        <v>8</v>
      </c>
      <c r="DX700" s="27" t="s">
        <v>7</v>
      </c>
      <c r="DY700" s="27" t="s">
        <v>8</v>
      </c>
    </row>
    <row r="701" spans="1:147" x14ac:dyDescent="0.25">
      <c r="A701" s="7">
        <v>0.1046117384089861</v>
      </c>
      <c r="B701"/>
      <c r="C701"/>
      <c r="D701"/>
      <c r="E701"/>
      <c r="F701" s="27" t="s">
        <v>7</v>
      </c>
      <c r="BW701" s="27" t="s">
        <v>8</v>
      </c>
      <c r="CP701" s="27" t="s">
        <v>7</v>
      </c>
      <c r="CQ701" s="27" t="s">
        <v>8</v>
      </c>
      <c r="CR701" s="27" t="s">
        <v>7</v>
      </c>
      <c r="DE701" s="27" t="s">
        <v>8</v>
      </c>
      <c r="DF701" s="27" t="s">
        <v>7</v>
      </c>
      <c r="DI701" s="27" t="s">
        <v>8</v>
      </c>
      <c r="DJ701" s="27" t="s">
        <v>7</v>
      </c>
      <c r="DK701" s="27" t="s">
        <v>8</v>
      </c>
      <c r="DL701" s="27" t="s">
        <v>7</v>
      </c>
      <c r="DM701" s="27" t="s">
        <v>8</v>
      </c>
      <c r="DN701" s="27" t="s">
        <v>7</v>
      </c>
      <c r="DO701" s="27" t="s">
        <v>8</v>
      </c>
      <c r="DP701" s="27" t="s">
        <v>7</v>
      </c>
      <c r="DS701" s="27" t="s">
        <v>8</v>
      </c>
      <c r="DT701" s="27" t="s">
        <v>7</v>
      </c>
      <c r="DU701" s="27" t="s">
        <v>8</v>
      </c>
      <c r="DV701" s="27" t="s">
        <v>7</v>
      </c>
      <c r="DW701" s="27" t="s">
        <v>8</v>
      </c>
      <c r="DX701" s="27" t="s">
        <v>7</v>
      </c>
      <c r="DY701" s="27" t="s">
        <v>8</v>
      </c>
    </row>
    <row r="702" spans="1:147" x14ac:dyDescent="0.25">
      <c r="A702" s="7">
        <v>0.10256052785194716</v>
      </c>
      <c r="B702"/>
      <c r="C702"/>
      <c r="D702"/>
      <c r="E702"/>
      <c r="F702" s="27" t="s">
        <v>7</v>
      </c>
      <c r="BW702" s="27" t="s">
        <v>8</v>
      </c>
      <c r="CP702" s="27" t="s">
        <v>7</v>
      </c>
      <c r="CR702" s="27" t="s">
        <v>7</v>
      </c>
      <c r="CS702" s="27" t="s">
        <v>8</v>
      </c>
      <c r="DE702" s="27" t="s">
        <v>8</v>
      </c>
      <c r="DF702" s="27" t="s">
        <v>7</v>
      </c>
      <c r="DI702" s="27" t="s">
        <v>8</v>
      </c>
      <c r="DJ702" s="27" t="s">
        <v>7</v>
      </c>
      <c r="DL702" s="27" t="s">
        <v>7</v>
      </c>
      <c r="DN702" s="27" t="s">
        <v>7</v>
      </c>
      <c r="DP702" s="27" t="s">
        <v>7</v>
      </c>
      <c r="DS702" s="27" t="s">
        <v>8</v>
      </c>
      <c r="DT702" s="27" t="s">
        <v>7</v>
      </c>
      <c r="DU702" s="27" t="s">
        <v>8</v>
      </c>
      <c r="DV702" s="27" t="s">
        <v>7</v>
      </c>
      <c r="DW702" s="27" t="s">
        <v>8</v>
      </c>
      <c r="DX702" s="27" t="s">
        <v>7</v>
      </c>
    </row>
    <row r="703" spans="1:147" x14ac:dyDescent="0.25">
      <c r="A703" s="7">
        <v>0.10054953710975212</v>
      </c>
      <c r="B703"/>
      <c r="C703"/>
      <c r="D703"/>
      <c r="E703"/>
      <c r="F703" s="27" t="s">
        <v>7</v>
      </c>
      <c r="BU703" s="27" t="s">
        <v>8</v>
      </c>
      <c r="BW703" s="27" t="s">
        <v>8</v>
      </c>
      <c r="CR703" s="27" t="s">
        <v>7</v>
      </c>
      <c r="CS703" s="27" t="s">
        <v>8</v>
      </c>
      <c r="CT703" s="27" t="s">
        <v>7</v>
      </c>
      <c r="DE703" s="27" t="s">
        <v>8</v>
      </c>
      <c r="DF703" s="27" t="s">
        <v>7</v>
      </c>
      <c r="DI703" s="27" t="s">
        <v>8</v>
      </c>
      <c r="DP703" s="27" t="s">
        <v>7</v>
      </c>
      <c r="DS703" s="27" t="s">
        <v>8</v>
      </c>
      <c r="DT703" s="27" t="s">
        <v>7</v>
      </c>
      <c r="DV703" s="27" t="s">
        <v>7</v>
      </c>
      <c r="DW703" s="27" t="s">
        <v>8</v>
      </c>
    </row>
    <row r="704" spans="1:147" x14ac:dyDescent="0.25">
      <c r="A704" s="7">
        <v>9.8577977558580512E-2</v>
      </c>
      <c r="B704"/>
      <c r="C704"/>
      <c r="D704"/>
      <c r="E704"/>
      <c r="F704" s="27" t="s">
        <v>7</v>
      </c>
      <c r="BU704" s="27" t="s">
        <v>8</v>
      </c>
      <c r="BV704" s="27" t="s">
        <v>7</v>
      </c>
      <c r="BW704" s="27" t="s">
        <v>8</v>
      </c>
      <c r="CR704" s="27" t="s">
        <v>7</v>
      </c>
      <c r="CS704" s="27" t="s">
        <v>8</v>
      </c>
      <c r="CT704" s="27" t="s">
        <v>7</v>
      </c>
      <c r="CY704" s="27" t="s">
        <v>8</v>
      </c>
      <c r="DC704" s="27" t="s">
        <v>8</v>
      </c>
      <c r="DE704" s="27" t="s">
        <v>8</v>
      </c>
      <c r="DF704" s="27" t="s">
        <v>7</v>
      </c>
      <c r="DG704" s="27" t="s">
        <v>8</v>
      </c>
      <c r="DI704" s="27" t="s">
        <v>8</v>
      </c>
      <c r="DP704" s="27" t="s">
        <v>7</v>
      </c>
      <c r="DQ704" s="27" t="s">
        <v>8</v>
      </c>
      <c r="DS704" s="27" t="s">
        <v>8</v>
      </c>
      <c r="DV704" s="27" t="s">
        <v>7</v>
      </c>
    </row>
    <row r="705" spans="1:123" x14ac:dyDescent="0.25">
      <c r="A705" s="7">
        <v>9.6645076037824032E-2</v>
      </c>
      <c r="B705"/>
      <c r="C705"/>
      <c r="D705"/>
      <c r="E705"/>
      <c r="F705" s="27" t="s">
        <v>7</v>
      </c>
      <c r="BS705" s="27" t="s">
        <v>8</v>
      </c>
      <c r="BU705" s="27" t="s">
        <v>8</v>
      </c>
      <c r="BV705" s="27" t="s">
        <v>7</v>
      </c>
      <c r="BW705" s="27" t="s">
        <v>8</v>
      </c>
      <c r="CR705" s="27" t="s">
        <v>7</v>
      </c>
      <c r="CS705" s="27" t="s">
        <v>8</v>
      </c>
      <c r="CT705" s="27" t="s">
        <v>7</v>
      </c>
      <c r="CW705" s="27" t="s">
        <v>8</v>
      </c>
      <c r="CY705" s="27" t="s">
        <v>8</v>
      </c>
      <c r="CZ705" s="27" t="s">
        <v>7</v>
      </c>
      <c r="DC705" s="27" t="s">
        <v>8</v>
      </c>
      <c r="DD705" s="27" t="s">
        <v>7</v>
      </c>
      <c r="DE705" s="27" t="s">
        <v>8</v>
      </c>
      <c r="DF705" s="27" t="s">
        <v>7</v>
      </c>
      <c r="DG705" s="27" t="s">
        <v>8</v>
      </c>
      <c r="DH705" s="27" t="s">
        <v>7</v>
      </c>
      <c r="DI705" s="27" t="s">
        <v>8</v>
      </c>
      <c r="DP705" s="27" t="s">
        <v>7</v>
      </c>
      <c r="DQ705" s="27" t="s">
        <v>8</v>
      </c>
      <c r="DR705" s="27" t="s">
        <v>7</v>
      </c>
      <c r="DS705" s="27" t="s">
        <v>8</v>
      </c>
    </row>
    <row r="706" spans="1:123" x14ac:dyDescent="0.25">
      <c r="A706" s="7">
        <v>9.4750074546886304E-2</v>
      </c>
      <c r="B706"/>
      <c r="C706"/>
      <c r="D706"/>
      <c r="E706"/>
      <c r="F706" s="27" t="s">
        <v>7</v>
      </c>
      <c r="BS706" s="27" t="s">
        <v>8</v>
      </c>
      <c r="BT706" s="27" t="s">
        <v>7</v>
      </c>
      <c r="BU706" s="27" t="s">
        <v>8</v>
      </c>
      <c r="BV706" s="27" t="s">
        <v>7</v>
      </c>
      <c r="CR706" s="27" t="s">
        <v>7</v>
      </c>
      <c r="CS706" s="27" t="s">
        <v>8</v>
      </c>
      <c r="CT706" s="27" t="s">
        <v>7</v>
      </c>
      <c r="CU706" s="27" t="s">
        <v>8</v>
      </c>
      <c r="CW706" s="27" t="s">
        <v>8</v>
      </c>
      <c r="CX706" s="27" t="s">
        <v>7</v>
      </c>
      <c r="CY706" s="27" t="s">
        <v>8</v>
      </c>
      <c r="CZ706" s="27" t="s">
        <v>7</v>
      </c>
      <c r="DC706" s="27" t="s">
        <v>8</v>
      </c>
      <c r="DD706" s="27" t="s">
        <v>7</v>
      </c>
      <c r="DE706" s="27" t="s">
        <v>8</v>
      </c>
      <c r="DF706" s="27" t="s">
        <v>7</v>
      </c>
      <c r="DG706" s="27" t="s">
        <v>8</v>
      </c>
      <c r="DH706" s="27" t="s">
        <v>7</v>
      </c>
      <c r="DI706" s="27" t="s">
        <v>8</v>
      </c>
      <c r="DP706" s="27" t="s">
        <v>7</v>
      </c>
      <c r="DQ706" s="27" t="s">
        <v>8</v>
      </c>
      <c r="DR706" s="27" t="s">
        <v>7</v>
      </c>
      <c r="DS706" s="27" t="s">
        <v>8</v>
      </c>
    </row>
    <row r="707" spans="1:123" x14ac:dyDescent="0.25">
      <c r="A707" s="7">
        <v>9.2892229947927743E-2</v>
      </c>
      <c r="B707"/>
      <c r="C707"/>
      <c r="D707"/>
      <c r="E707"/>
      <c r="F707" s="27" t="s">
        <v>7</v>
      </c>
      <c r="BS707" s="27" t="s">
        <v>8</v>
      </c>
      <c r="BT707" s="27" t="s">
        <v>7</v>
      </c>
      <c r="BU707" s="27" t="s">
        <v>8</v>
      </c>
      <c r="CR707" s="27" t="s">
        <v>7</v>
      </c>
      <c r="CT707" s="27" t="s">
        <v>7</v>
      </c>
      <c r="CU707" s="27" t="s">
        <v>8</v>
      </c>
      <c r="CV707" s="27" t="s">
        <v>7</v>
      </c>
      <c r="CW707" s="27" t="s">
        <v>8</v>
      </c>
      <c r="CX707" s="27" t="s">
        <v>7</v>
      </c>
      <c r="CY707" s="27" t="s">
        <v>8</v>
      </c>
      <c r="CZ707" s="27" t="s">
        <v>7</v>
      </c>
      <c r="DC707" s="27" t="s">
        <v>8</v>
      </c>
      <c r="DD707" s="27" t="s">
        <v>7</v>
      </c>
      <c r="DF707" s="27" t="s">
        <v>7</v>
      </c>
      <c r="DG707" s="27" t="s">
        <v>8</v>
      </c>
      <c r="DH707" s="27" t="s">
        <v>7</v>
      </c>
      <c r="DI707" s="27" t="s">
        <v>8</v>
      </c>
      <c r="DP707" s="27" t="s">
        <v>7</v>
      </c>
      <c r="DQ707" s="27" t="s">
        <v>8</v>
      </c>
      <c r="DR707" s="27" t="s">
        <v>7</v>
      </c>
      <c r="DS707" s="27" t="s">
        <v>8</v>
      </c>
    </row>
    <row r="708" spans="1:123" x14ac:dyDescent="0.25">
      <c r="A708" s="7">
        <v>9.1070813674438963E-2</v>
      </c>
      <c r="B708"/>
      <c r="C708"/>
      <c r="D708"/>
      <c r="E708"/>
      <c r="F708" s="27" t="s">
        <v>7</v>
      </c>
      <c r="BS708" s="27" t="s">
        <v>8</v>
      </c>
      <c r="BT708" s="27" t="s">
        <v>7</v>
      </c>
      <c r="BU708" s="27" t="s">
        <v>8</v>
      </c>
      <c r="CT708" s="27" t="s">
        <v>7</v>
      </c>
      <c r="CU708" s="27" t="s">
        <v>8</v>
      </c>
      <c r="CV708" s="27" t="s">
        <v>7</v>
      </c>
      <c r="CW708" s="27" t="s">
        <v>8</v>
      </c>
      <c r="CX708" s="27" t="s">
        <v>7</v>
      </c>
      <c r="CY708" s="27" t="s">
        <v>8</v>
      </c>
      <c r="CZ708" s="27" t="s">
        <v>7</v>
      </c>
      <c r="DC708" s="27" t="s">
        <v>8</v>
      </c>
      <c r="DF708" s="27" t="s">
        <v>7</v>
      </c>
      <c r="DH708" s="27" t="s">
        <v>7</v>
      </c>
      <c r="DP708" s="27" t="s">
        <v>7</v>
      </c>
      <c r="DQ708" s="27" t="s">
        <v>8</v>
      </c>
      <c r="DR708" s="27" t="s">
        <v>7</v>
      </c>
      <c r="DS708" s="27" t="s">
        <v>8</v>
      </c>
    </row>
    <row r="709" spans="1:123" x14ac:dyDescent="0.25">
      <c r="A709" s="7">
        <v>8.9285111445528392E-2</v>
      </c>
      <c r="B709"/>
      <c r="C709"/>
      <c r="D709"/>
      <c r="E709"/>
      <c r="F709" s="27" t="s">
        <v>7</v>
      </c>
      <c r="BK709" s="27" t="s">
        <v>8</v>
      </c>
      <c r="BS709" s="27" t="s">
        <v>8</v>
      </c>
      <c r="BT709" s="27" t="s">
        <v>7</v>
      </c>
      <c r="BU709" s="27" t="s">
        <v>8</v>
      </c>
      <c r="CT709" s="27" t="s">
        <v>7</v>
      </c>
      <c r="CU709" s="27" t="s">
        <v>8</v>
      </c>
      <c r="CV709" s="27" t="s">
        <v>7</v>
      </c>
      <c r="CW709" s="27" t="s">
        <v>8</v>
      </c>
      <c r="CX709" s="27" t="s">
        <v>7</v>
      </c>
      <c r="CZ709" s="27" t="s">
        <v>7</v>
      </c>
      <c r="DC709" s="27" t="s">
        <v>8</v>
      </c>
      <c r="DP709" s="27" t="s">
        <v>7</v>
      </c>
      <c r="DR709" s="27" t="s">
        <v>7</v>
      </c>
    </row>
    <row r="710" spans="1:123" x14ac:dyDescent="0.25">
      <c r="A710" s="7">
        <v>8.7534422985812155E-2</v>
      </c>
      <c r="B710"/>
      <c r="C710"/>
      <c r="D710"/>
      <c r="E710"/>
      <c r="F710" s="27" t="s">
        <v>7</v>
      </c>
      <c r="BK710" s="27" t="s">
        <v>8</v>
      </c>
      <c r="BL710" s="27" t="s">
        <v>7</v>
      </c>
      <c r="BS710" s="27" t="s">
        <v>8</v>
      </c>
      <c r="BT710" s="27" t="s">
        <v>7</v>
      </c>
      <c r="CT710" s="27" t="s">
        <v>7</v>
      </c>
      <c r="CU710" s="27" t="s">
        <v>8</v>
      </c>
      <c r="CV710" s="27" t="s">
        <v>7</v>
      </c>
      <c r="CZ710" s="27" t="s">
        <v>7</v>
      </c>
      <c r="DC710" s="27" t="s">
        <v>8</v>
      </c>
    </row>
    <row r="711" spans="1:123" x14ac:dyDescent="0.25">
      <c r="A711" s="7">
        <v>8.5818061750796232E-2</v>
      </c>
      <c r="B711"/>
      <c r="C711"/>
      <c r="D711"/>
      <c r="E711"/>
      <c r="F711" s="27" t="s">
        <v>7</v>
      </c>
      <c r="BI711" s="27" t="s">
        <v>8</v>
      </c>
      <c r="BK711" s="27" t="s">
        <v>8</v>
      </c>
      <c r="BL711" s="27" t="s">
        <v>7</v>
      </c>
      <c r="BQ711" s="27" t="s">
        <v>8</v>
      </c>
      <c r="BS711" s="27" t="s">
        <v>8</v>
      </c>
      <c r="CT711" s="27" t="s">
        <v>7</v>
      </c>
      <c r="CZ711" s="27" t="s">
        <v>7</v>
      </c>
      <c r="DC711" s="27" t="s">
        <v>8</v>
      </c>
    </row>
    <row r="712" spans="1:123" x14ac:dyDescent="0.25">
      <c r="A712" s="7">
        <v>8.4135354657643366E-2</v>
      </c>
      <c r="B712"/>
      <c r="C712"/>
      <c r="D712"/>
      <c r="E712"/>
      <c r="F712" s="27" t="s">
        <v>7</v>
      </c>
      <c r="BI712" s="27" t="s">
        <v>8</v>
      </c>
      <c r="BJ712" s="27" t="s">
        <v>7</v>
      </c>
      <c r="BK712" s="27" t="s">
        <v>8</v>
      </c>
      <c r="BL712" s="27" t="s">
        <v>7</v>
      </c>
      <c r="BO712" s="27" t="s">
        <v>8</v>
      </c>
      <c r="BQ712" s="27" t="s">
        <v>8</v>
      </c>
      <c r="BR712" s="27" t="s">
        <v>7</v>
      </c>
      <c r="BS712" s="27" t="s">
        <v>8</v>
      </c>
      <c r="CZ712" s="27" t="s">
        <v>7</v>
      </c>
      <c r="DC712" s="27" t="s">
        <v>8</v>
      </c>
    </row>
    <row r="713" spans="1:123" x14ac:dyDescent="0.25">
      <c r="A713" s="7">
        <v>8.248564182121898E-2</v>
      </c>
      <c r="B713"/>
      <c r="C713"/>
      <c r="D713"/>
      <c r="E713"/>
      <c r="F713" s="27" t="s">
        <v>7</v>
      </c>
      <c r="BI713" s="27" t="s">
        <v>8</v>
      </c>
      <c r="BJ713" s="27" t="s">
        <v>7</v>
      </c>
      <c r="BK713" s="27" t="s">
        <v>8</v>
      </c>
      <c r="BL713" s="27" t="s">
        <v>7</v>
      </c>
      <c r="BO713" s="27" t="s">
        <v>8</v>
      </c>
      <c r="BP713" s="27" t="s">
        <v>7</v>
      </c>
      <c r="BQ713" s="27" t="s">
        <v>8</v>
      </c>
      <c r="BR713" s="27" t="s">
        <v>7</v>
      </c>
      <c r="BS713" s="27" t="s">
        <v>8</v>
      </c>
      <c r="CZ713" s="27" t="s">
        <v>7</v>
      </c>
      <c r="DA713" s="27" t="s">
        <v>8</v>
      </c>
      <c r="DC713" s="27" t="s">
        <v>8</v>
      </c>
    </row>
    <row r="714" spans="1:123" x14ac:dyDescent="0.25">
      <c r="A714" s="7">
        <v>8.0868276295312735E-2</v>
      </c>
      <c r="B714"/>
      <c r="C714"/>
      <c r="D714"/>
      <c r="E714"/>
      <c r="F714" s="27" t="s">
        <v>7</v>
      </c>
      <c r="BI714" s="27" t="s">
        <v>8</v>
      </c>
      <c r="BJ714" s="27" t="s">
        <v>7</v>
      </c>
      <c r="BK714" s="27" t="s">
        <v>8</v>
      </c>
      <c r="BL714" s="27" t="s">
        <v>7</v>
      </c>
      <c r="BM714" s="27" t="s">
        <v>8</v>
      </c>
      <c r="BO714" s="27" t="s">
        <v>8</v>
      </c>
      <c r="BP714" s="27" t="s">
        <v>7</v>
      </c>
      <c r="BQ714" s="27" t="s">
        <v>8</v>
      </c>
      <c r="BR714" s="27" t="s">
        <v>7</v>
      </c>
      <c r="BS714" s="27" t="s">
        <v>8</v>
      </c>
      <c r="CZ714" s="27" t="s">
        <v>7</v>
      </c>
      <c r="DA714" s="27" t="s">
        <v>8</v>
      </c>
      <c r="DB714" s="27" t="s">
        <v>7</v>
      </c>
      <c r="DC714" s="27" t="s">
        <v>8</v>
      </c>
    </row>
    <row r="715" spans="1:123" x14ac:dyDescent="0.25">
      <c r="A715" s="7">
        <v>7.9282623818934056E-2</v>
      </c>
      <c r="B715"/>
      <c r="C715"/>
      <c r="D715"/>
      <c r="E715"/>
      <c r="F715" s="27" t="s">
        <v>7</v>
      </c>
      <c r="BI715" s="27" t="s">
        <v>8</v>
      </c>
      <c r="BJ715" s="27" t="s">
        <v>7</v>
      </c>
      <c r="BK715" s="27" t="s">
        <v>8</v>
      </c>
      <c r="BL715" s="27" t="s">
        <v>7</v>
      </c>
      <c r="BM715" s="27" t="s">
        <v>8</v>
      </c>
      <c r="BN715" s="27" t="s">
        <v>7</v>
      </c>
      <c r="BO715" s="27" t="s">
        <v>8</v>
      </c>
      <c r="BP715" s="27" t="s">
        <v>7</v>
      </c>
      <c r="BQ715" s="27" t="s">
        <v>8</v>
      </c>
      <c r="BR715" s="27" t="s">
        <v>7</v>
      </c>
      <c r="BS715" s="27" t="s">
        <v>8</v>
      </c>
      <c r="CZ715" s="27" t="s">
        <v>7</v>
      </c>
      <c r="DA715" s="27" t="s">
        <v>8</v>
      </c>
      <c r="DB715" s="27" t="s">
        <v>7</v>
      </c>
      <c r="DC715" s="27" t="s">
        <v>8</v>
      </c>
    </row>
    <row r="716" spans="1:123" x14ac:dyDescent="0.25">
      <c r="A716" s="7">
        <v>7.7728062567582412E-2</v>
      </c>
      <c r="B716"/>
      <c r="C716"/>
      <c r="D716"/>
      <c r="E716"/>
      <c r="F716" s="27" t="s">
        <v>7</v>
      </c>
      <c r="BI716" s="27" t="s">
        <v>8</v>
      </c>
      <c r="BJ716" s="27" t="s">
        <v>7</v>
      </c>
      <c r="BK716" s="27" t="s">
        <v>8</v>
      </c>
      <c r="BL716" s="27" t="s">
        <v>7</v>
      </c>
      <c r="BM716" s="27" t="s">
        <v>8</v>
      </c>
      <c r="BN716" s="27" t="s">
        <v>7</v>
      </c>
      <c r="BO716" s="27" t="s">
        <v>8</v>
      </c>
      <c r="BP716" s="27" t="s">
        <v>7</v>
      </c>
      <c r="BR716" s="27" t="s">
        <v>7</v>
      </c>
      <c r="BS716" s="27" t="s">
        <v>8</v>
      </c>
      <c r="CZ716" s="27" t="s">
        <v>7</v>
      </c>
      <c r="DB716" s="27" t="s">
        <v>7</v>
      </c>
      <c r="DC716" s="27" t="s">
        <v>8</v>
      </c>
    </row>
    <row r="717" spans="1:123" x14ac:dyDescent="0.25">
      <c r="A717" s="7">
        <v>7.6203982909394521E-2</v>
      </c>
      <c r="B717"/>
      <c r="C717"/>
      <c r="D717"/>
      <c r="E717"/>
      <c r="F717" s="27" t="s">
        <v>7</v>
      </c>
      <c r="BI717" s="27" t="s">
        <v>8</v>
      </c>
      <c r="BJ717" s="27" t="s">
        <v>7</v>
      </c>
      <c r="BK717" s="27" t="s">
        <v>8</v>
      </c>
      <c r="BL717" s="27" t="s">
        <v>7</v>
      </c>
      <c r="BM717" s="27" t="s">
        <v>8</v>
      </c>
      <c r="BN717" s="27" t="s">
        <v>7</v>
      </c>
      <c r="BO717" s="27" t="s">
        <v>8</v>
      </c>
      <c r="BR717" s="27" t="s">
        <v>7</v>
      </c>
      <c r="BS717" s="27" t="s">
        <v>8</v>
      </c>
      <c r="DB717" s="27" t="s">
        <v>7</v>
      </c>
    </row>
    <row r="718" spans="1:123" x14ac:dyDescent="0.25">
      <c r="A718" s="7">
        <v>7.4709787166073058E-2</v>
      </c>
      <c r="B718"/>
      <c r="C718"/>
      <c r="D718"/>
      <c r="E718"/>
      <c r="F718" s="27" t="s">
        <v>7</v>
      </c>
      <c r="BI718" s="27" t="s">
        <v>8</v>
      </c>
      <c r="BJ718" s="27" t="s">
        <v>7</v>
      </c>
      <c r="BK718" s="27" t="s">
        <v>8</v>
      </c>
      <c r="BL718" s="27" t="s">
        <v>7</v>
      </c>
      <c r="BM718" s="27" t="s">
        <v>8</v>
      </c>
      <c r="BN718" s="27" t="s">
        <v>7</v>
      </c>
      <c r="BO718" s="27" t="s">
        <v>8</v>
      </c>
      <c r="BR718" s="27" t="s">
        <v>7</v>
      </c>
    </row>
    <row r="719" spans="1:123" x14ac:dyDescent="0.25">
      <c r="A719" s="7">
        <v>7.3244889378503E-2</v>
      </c>
      <c r="B719"/>
      <c r="C719"/>
      <c r="D719"/>
      <c r="E719"/>
      <c r="F719" s="27" t="s">
        <v>7</v>
      </c>
      <c r="BI719" s="27" t="s">
        <v>8</v>
      </c>
      <c r="BJ719" s="27" t="s">
        <v>7</v>
      </c>
      <c r="BK719" s="27" t="s">
        <v>8</v>
      </c>
      <c r="BL719" s="27" t="s">
        <v>7</v>
      </c>
      <c r="BN719" s="27" t="s">
        <v>7</v>
      </c>
      <c r="BO719" s="27" t="s">
        <v>8</v>
      </c>
    </row>
    <row r="720" spans="1:123" x14ac:dyDescent="0.25">
      <c r="A720" s="7">
        <v>7.1808715076963722E-2</v>
      </c>
      <c r="B720"/>
      <c r="C720"/>
      <c r="D720"/>
      <c r="E720"/>
      <c r="F720" s="27" t="s">
        <v>7</v>
      </c>
      <c r="W720" s="27" t="s">
        <v>8</v>
      </c>
      <c r="BI720" s="27" t="s">
        <v>8</v>
      </c>
      <c r="BJ720" s="27" t="s">
        <v>7</v>
      </c>
      <c r="BN720" s="27" t="s">
        <v>7</v>
      </c>
      <c r="BO720" s="27" t="s">
        <v>8</v>
      </c>
    </row>
    <row r="721" spans="1:66" x14ac:dyDescent="0.25">
      <c r="A721" s="7">
        <v>7.0400701055846782E-2</v>
      </c>
      <c r="B721"/>
      <c r="C721"/>
      <c r="D721"/>
      <c r="E721"/>
      <c r="F721" s="27" t="s">
        <v>7</v>
      </c>
      <c r="W721" s="27" t="s">
        <v>8</v>
      </c>
      <c r="X721" s="27" t="s">
        <v>7</v>
      </c>
      <c r="BI721" s="27" t="s">
        <v>8</v>
      </c>
      <c r="BN721" s="27" t="s">
        <v>7</v>
      </c>
    </row>
    <row r="722" spans="1:66" x14ac:dyDescent="0.25">
      <c r="A722" s="7">
        <v>6.9020295152790956E-2</v>
      </c>
      <c r="B722"/>
      <c r="C722"/>
      <c r="D722"/>
      <c r="E722"/>
      <c r="F722" s="27" t="s">
        <v>7</v>
      </c>
      <c r="W722" s="27" t="s">
        <v>8</v>
      </c>
      <c r="X722" s="27" t="s">
        <v>7</v>
      </c>
      <c r="BI722" s="27" t="s">
        <v>8</v>
      </c>
    </row>
    <row r="723" spans="1:66" x14ac:dyDescent="0.25">
      <c r="A723" s="7">
        <v>6.7666956032147993E-2</v>
      </c>
      <c r="B723"/>
      <c r="C723"/>
      <c r="D723"/>
      <c r="E723"/>
      <c r="F723" s="27" t="s">
        <v>7</v>
      </c>
      <c r="W723" s="27" t="s">
        <v>8</v>
      </c>
      <c r="X723" s="27" t="s">
        <v>7</v>
      </c>
      <c r="BI723" s="27" t="s">
        <v>8</v>
      </c>
    </row>
    <row r="724" spans="1:66" x14ac:dyDescent="0.25">
      <c r="A724" s="7">
        <v>6.6340152972694105E-2</v>
      </c>
      <c r="B724"/>
      <c r="C724"/>
      <c r="D724"/>
      <c r="E724"/>
      <c r="F724" s="27" t="s">
        <v>7</v>
      </c>
      <c r="W724" s="27" t="s">
        <v>8</v>
      </c>
      <c r="X724" s="27" t="s">
        <v>7</v>
      </c>
      <c r="BI724" s="27" t="s">
        <v>8</v>
      </c>
    </row>
    <row r="725" spans="1:66" x14ac:dyDescent="0.25">
      <c r="A725" s="7">
        <v>6.5039365659504023E-2</v>
      </c>
      <c r="B725"/>
      <c r="C725"/>
      <c r="D725"/>
      <c r="E725"/>
      <c r="F725" s="27" t="s">
        <v>7</v>
      </c>
      <c r="W725" s="27" t="s">
        <v>8</v>
      </c>
      <c r="X725" s="27" t="s">
        <v>7</v>
      </c>
      <c r="BI725" s="27" t="s">
        <v>8</v>
      </c>
    </row>
    <row r="726" spans="1:66" x14ac:dyDescent="0.25">
      <c r="A726" s="7">
        <v>6.3764083979905906E-2</v>
      </c>
      <c r="B726"/>
      <c r="C726"/>
      <c r="D726"/>
      <c r="E726"/>
      <c r="F726" s="27" t="s">
        <v>7</v>
      </c>
      <c r="W726" s="27" t="s">
        <v>8</v>
      </c>
      <c r="X726" s="27" t="s">
        <v>7</v>
      </c>
      <c r="BI726" s="27" t="s">
        <v>8</v>
      </c>
    </row>
    <row r="727" spans="1:66" x14ac:dyDescent="0.25">
      <c r="A727" s="7">
        <v>6.251380782343717E-2</v>
      </c>
      <c r="B727"/>
      <c r="C727"/>
      <c r="D727"/>
      <c r="E727"/>
      <c r="F727" s="27" t="s">
        <v>7</v>
      </c>
      <c r="U727" s="27" t="s">
        <v>8</v>
      </c>
      <c r="W727" s="27" t="s">
        <v>8</v>
      </c>
      <c r="X727" s="27" t="s">
        <v>7</v>
      </c>
      <c r="Y727" s="27" t="s">
        <v>8</v>
      </c>
      <c r="BI727" s="27" t="s">
        <v>8</v>
      </c>
    </row>
    <row r="728" spans="1:66" x14ac:dyDescent="0.25">
      <c r="A728" s="7">
        <v>6.1288046885722716E-2</v>
      </c>
      <c r="B728"/>
      <c r="C728"/>
      <c r="D728"/>
      <c r="E728"/>
      <c r="F728" s="27" t="s">
        <v>7</v>
      </c>
      <c r="U728" s="27" t="s">
        <v>8</v>
      </c>
      <c r="V728" s="27" t="s">
        <v>7</v>
      </c>
      <c r="W728" s="27" t="s">
        <v>8</v>
      </c>
      <c r="X728" s="27" t="s">
        <v>7</v>
      </c>
      <c r="Y728" s="27" t="s">
        <v>8</v>
      </c>
      <c r="Z728" s="27" t="s">
        <v>7</v>
      </c>
      <c r="AA728" s="27" t="s">
        <v>8</v>
      </c>
      <c r="BI728" s="27" t="s">
        <v>8</v>
      </c>
    </row>
    <row r="729" spans="1:66" x14ac:dyDescent="0.25">
      <c r="A729" s="7">
        <v>6.0086320476198739E-2</v>
      </c>
      <c r="B729"/>
      <c r="C729"/>
      <c r="D729"/>
      <c r="E729"/>
      <c r="F729" s="27" t="s">
        <v>7</v>
      </c>
      <c r="U729" s="27" t="s">
        <v>8</v>
      </c>
      <c r="V729" s="27" t="s">
        <v>7</v>
      </c>
      <c r="W729" s="27" t="s">
        <v>8</v>
      </c>
      <c r="X729" s="27" t="s">
        <v>7</v>
      </c>
      <c r="Y729" s="27" t="s">
        <v>8</v>
      </c>
      <c r="Z729" s="27" t="s">
        <v>7</v>
      </c>
      <c r="AA729" s="27" t="s">
        <v>8</v>
      </c>
      <c r="AB729" s="27" t="s">
        <v>7</v>
      </c>
      <c r="BI729" s="27" t="s">
        <v>8</v>
      </c>
    </row>
    <row r="730" spans="1:66" x14ac:dyDescent="0.25">
      <c r="A730" s="7">
        <v>5.8908157329606609E-2</v>
      </c>
      <c r="B730"/>
      <c r="C730"/>
      <c r="D730"/>
      <c r="E730"/>
      <c r="F730" s="27" t="s">
        <v>7</v>
      </c>
      <c r="U730" s="27" t="s">
        <v>8</v>
      </c>
      <c r="V730" s="27" t="s">
        <v>7</v>
      </c>
      <c r="W730" s="27" t="s">
        <v>8</v>
      </c>
      <c r="X730" s="27" t="s">
        <v>7</v>
      </c>
      <c r="Y730" s="27" t="s">
        <v>8</v>
      </c>
      <c r="Z730" s="27" t="s">
        <v>7</v>
      </c>
      <c r="AA730" s="27" t="s">
        <v>8</v>
      </c>
      <c r="AB730" s="27" t="s">
        <v>7</v>
      </c>
      <c r="BI730" s="27" t="s">
        <v>8</v>
      </c>
    </row>
    <row r="731" spans="1:66" x14ac:dyDescent="0.25">
      <c r="A731" s="7">
        <v>5.7753095421182947E-2</v>
      </c>
      <c r="B731"/>
      <c r="C731"/>
      <c r="D731"/>
      <c r="E731"/>
      <c r="F731" s="27" t="s">
        <v>7</v>
      </c>
      <c r="S731" s="27" t="s">
        <v>8</v>
      </c>
      <c r="U731" s="27" t="s">
        <v>8</v>
      </c>
      <c r="V731" s="27" t="s">
        <v>7</v>
      </c>
      <c r="X731" s="27" t="s">
        <v>7</v>
      </c>
      <c r="Y731" s="27" t="s">
        <v>8</v>
      </c>
      <c r="Z731" s="27" t="s">
        <v>7</v>
      </c>
      <c r="AA731" s="27" t="s">
        <v>8</v>
      </c>
      <c r="AB731" s="27" t="s">
        <v>7</v>
      </c>
      <c r="BI731" s="27" t="s">
        <v>8</v>
      </c>
    </row>
    <row r="732" spans="1:66" x14ac:dyDescent="0.25">
      <c r="A732" s="7">
        <v>5.6620681785473484E-2</v>
      </c>
      <c r="B732"/>
      <c r="C732"/>
      <c r="D732"/>
      <c r="E732"/>
      <c r="F732" s="27" t="s">
        <v>7</v>
      </c>
      <c r="O732" s="27" t="s">
        <v>8</v>
      </c>
      <c r="Q732" s="27" t="s">
        <v>8</v>
      </c>
      <c r="S732" s="27" t="s">
        <v>8</v>
      </c>
      <c r="T732" s="27" t="s">
        <v>7</v>
      </c>
      <c r="U732" s="27" t="s">
        <v>8</v>
      </c>
      <c r="X732" s="27" t="s">
        <v>7</v>
      </c>
      <c r="Z732" s="27" t="s">
        <v>7</v>
      </c>
      <c r="AA732" s="27" t="s">
        <v>8</v>
      </c>
      <c r="AB732" s="27" t="s">
        <v>7</v>
      </c>
      <c r="BE732" s="27" t="s">
        <v>8</v>
      </c>
      <c r="BG732" s="27" t="s">
        <v>8</v>
      </c>
      <c r="BI732" s="27" t="s">
        <v>8</v>
      </c>
    </row>
    <row r="733" spans="1:66" x14ac:dyDescent="0.25">
      <c r="A733" s="7">
        <v>5.5510472338699497E-2</v>
      </c>
      <c r="B733"/>
      <c r="C733"/>
      <c r="D733"/>
      <c r="E733"/>
      <c r="F733" s="27" t="s">
        <v>7</v>
      </c>
      <c r="O733" s="27" t="s">
        <v>8</v>
      </c>
      <c r="P733" s="27" t="s">
        <v>7</v>
      </c>
      <c r="Q733" s="27" t="s">
        <v>8</v>
      </c>
      <c r="R733" s="27" t="s">
        <v>7</v>
      </c>
      <c r="S733" s="27" t="s">
        <v>8</v>
      </c>
      <c r="T733" s="27" t="s">
        <v>7</v>
      </c>
      <c r="U733" s="27" t="s">
        <v>8</v>
      </c>
      <c r="Z733" s="27" t="s">
        <v>7</v>
      </c>
      <c r="AB733" s="27" t="s">
        <v>7</v>
      </c>
      <c r="BE733" s="27" t="s">
        <v>8</v>
      </c>
      <c r="BF733" s="27" t="s">
        <v>7</v>
      </c>
      <c r="BG733" s="27" t="s">
        <v>8</v>
      </c>
      <c r="BH733" s="27" t="s">
        <v>7</v>
      </c>
      <c r="BI733" s="27" t="s">
        <v>8</v>
      </c>
    </row>
    <row r="734" spans="1:66" x14ac:dyDescent="0.25">
      <c r="A734" s="7">
        <v>5.4422031704607354E-2</v>
      </c>
      <c r="B734"/>
      <c r="C734"/>
      <c r="D734"/>
      <c r="E734"/>
      <c r="F734" s="27" t="s">
        <v>7</v>
      </c>
      <c r="O734" s="27" t="s">
        <v>8</v>
      </c>
      <c r="P734" s="27" t="s">
        <v>7</v>
      </c>
      <c r="Q734" s="27" t="s">
        <v>8</v>
      </c>
      <c r="R734" s="27" t="s">
        <v>7</v>
      </c>
      <c r="S734" s="27" t="s">
        <v>8</v>
      </c>
      <c r="T734" s="27" t="s">
        <v>7</v>
      </c>
      <c r="AB734" s="27" t="s">
        <v>7</v>
      </c>
      <c r="BE734" s="27" t="s">
        <v>8</v>
      </c>
      <c r="BF734" s="27" t="s">
        <v>7</v>
      </c>
      <c r="BG734" s="27" t="s">
        <v>8</v>
      </c>
      <c r="BH734" s="27" t="s">
        <v>7</v>
      </c>
      <c r="BI734" s="27" t="s">
        <v>8</v>
      </c>
    </row>
    <row r="735" spans="1:66" x14ac:dyDescent="0.25">
      <c r="A735" s="7">
        <v>5.3354933043732705E-2</v>
      </c>
      <c r="B735"/>
      <c r="C735"/>
      <c r="D735"/>
      <c r="E735"/>
      <c r="F735" s="27" t="s">
        <v>7</v>
      </c>
      <c r="O735" s="27" t="s">
        <v>8</v>
      </c>
      <c r="P735" s="27" t="s">
        <v>7</v>
      </c>
      <c r="Q735" s="27" t="s">
        <v>8</v>
      </c>
      <c r="R735" s="27" t="s">
        <v>7</v>
      </c>
      <c r="AB735" s="27" t="s">
        <v>7</v>
      </c>
      <c r="AY735" s="27" t="s">
        <v>8</v>
      </c>
      <c r="BC735" s="27" t="s">
        <v>8</v>
      </c>
      <c r="BE735" s="27" t="s">
        <v>8</v>
      </c>
      <c r="BF735" s="27" t="s">
        <v>7</v>
      </c>
      <c r="BG735" s="27" t="s">
        <v>8</v>
      </c>
      <c r="BH735" s="27" t="s">
        <v>7</v>
      </c>
      <c r="BI735" s="27" t="s">
        <v>8</v>
      </c>
    </row>
    <row r="736" spans="1:66" x14ac:dyDescent="0.25">
      <c r="A736" s="7">
        <v>5.2308757886012455E-2</v>
      </c>
      <c r="B736"/>
      <c r="C736"/>
      <c r="D736"/>
      <c r="E736"/>
      <c r="F736" s="27" t="s">
        <v>7</v>
      </c>
      <c r="O736" s="27" t="s">
        <v>8</v>
      </c>
      <c r="P736" s="27" t="s">
        <v>7</v>
      </c>
      <c r="AB736" s="27" t="s">
        <v>7</v>
      </c>
      <c r="AY736" s="27" t="s">
        <v>8</v>
      </c>
      <c r="AZ736" s="27" t="s">
        <v>7</v>
      </c>
      <c r="BC736" s="27" t="s">
        <v>8</v>
      </c>
      <c r="BD736" s="27" t="s">
        <v>7</v>
      </c>
      <c r="BE736" s="27" t="s">
        <v>8</v>
      </c>
      <c r="BF736" s="27" t="s">
        <v>7</v>
      </c>
      <c r="BG736" s="27" t="s">
        <v>8</v>
      </c>
      <c r="BH736" s="27" t="s">
        <v>7</v>
      </c>
      <c r="BI736" s="27" t="s">
        <v>8</v>
      </c>
    </row>
    <row r="737" spans="1:60" x14ac:dyDescent="0.25">
      <c r="A737" s="7">
        <v>5.1283095966678877E-2</v>
      </c>
      <c r="B737"/>
      <c r="C737"/>
      <c r="D737"/>
      <c r="E737"/>
      <c r="F737" s="27" t="s">
        <v>7</v>
      </c>
      <c r="O737" s="27" t="s">
        <v>8</v>
      </c>
      <c r="AB737" s="27" t="s">
        <v>7</v>
      </c>
      <c r="AC737" s="27" t="s">
        <v>8</v>
      </c>
      <c r="AE737" s="27" t="s">
        <v>8</v>
      </c>
      <c r="AY737" s="27" t="s">
        <v>8</v>
      </c>
      <c r="AZ737" s="27" t="s">
        <v>7</v>
      </c>
      <c r="BA737" s="27" t="s">
        <v>8</v>
      </c>
      <c r="BC737" s="27" t="s">
        <v>8</v>
      </c>
      <c r="BD737" s="27" t="s">
        <v>7</v>
      </c>
      <c r="BE737" s="27" t="s">
        <v>8</v>
      </c>
      <c r="BF737" s="27" t="s">
        <v>7</v>
      </c>
      <c r="BG737" s="27" t="s">
        <v>8</v>
      </c>
      <c r="BH737" s="27" t="s">
        <v>7</v>
      </c>
    </row>
    <row r="738" spans="1:60" x14ac:dyDescent="0.25">
      <c r="A738" s="7">
        <v>5.0277545065371444E-2</v>
      </c>
      <c r="B738"/>
      <c r="C738"/>
      <c r="D738"/>
      <c r="E738"/>
      <c r="F738" s="27" t="s">
        <v>7</v>
      </c>
      <c r="O738" s="27" t="s">
        <v>8</v>
      </c>
      <c r="AB738" s="27" t="s">
        <v>7</v>
      </c>
      <c r="AC738" s="27" t="s">
        <v>8</v>
      </c>
      <c r="AD738" s="27" t="s">
        <v>7</v>
      </c>
      <c r="AE738" s="27" t="s">
        <v>8</v>
      </c>
      <c r="AF738" s="27" t="s">
        <v>7</v>
      </c>
      <c r="AY738" s="27" t="s">
        <v>8</v>
      </c>
      <c r="AZ738" s="27" t="s">
        <v>7</v>
      </c>
      <c r="BA738" s="27" t="s">
        <v>8</v>
      </c>
      <c r="BB738" s="27" t="s">
        <v>7</v>
      </c>
      <c r="BC738" s="27" t="s">
        <v>8</v>
      </c>
      <c r="BD738" s="27" t="s">
        <v>7</v>
      </c>
      <c r="BE738" s="27" t="s">
        <v>8</v>
      </c>
      <c r="BF738" s="27" t="s">
        <v>7</v>
      </c>
    </row>
    <row r="739" spans="1:60" x14ac:dyDescent="0.25">
      <c r="A739" s="7">
        <v>4.9291710848403378E-2</v>
      </c>
      <c r="B739"/>
      <c r="C739"/>
      <c r="D739"/>
      <c r="E739"/>
      <c r="F739" s="27" t="s">
        <v>7</v>
      </c>
      <c r="O739" s="27" t="s">
        <v>8</v>
      </c>
      <c r="AB739" s="27" t="s">
        <v>7</v>
      </c>
      <c r="AC739" s="27" t="s">
        <v>8</v>
      </c>
      <c r="AD739" s="27" t="s">
        <v>7</v>
      </c>
      <c r="AE739" s="27" t="s">
        <v>8</v>
      </c>
      <c r="AF739" s="27" t="s">
        <v>7</v>
      </c>
      <c r="AY739" s="27" t="s">
        <v>8</v>
      </c>
      <c r="AZ739" s="27" t="s">
        <v>7</v>
      </c>
      <c r="BA739" s="27" t="s">
        <v>8</v>
      </c>
      <c r="BB739" s="27" t="s">
        <v>7</v>
      </c>
      <c r="BC739" s="27" t="s">
        <v>8</v>
      </c>
      <c r="BD739" s="27" t="s">
        <v>7</v>
      </c>
      <c r="BE739" s="27" t="s">
        <v>8</v>
      </c>
    </row>
    <row r="740" spans="1:60" x14ac:dyDescent="0.25">
      <c r="A740" s="7">
        <v>4.8325206714120959E-2</v>
      </c>
      <c r="B740"/>
      <c r="C740"/>
      <c r="D740"/>
      <c r="E740"/>
      <c r="F740" s="27" t="s">
        <v>7</v>
      </c>
      <c r="O740" s="27" t="s">
        <v>8</v>
      </c>
      <c r="AB740" s="27" t="s">
        <v>7</v>
      </c>
      <c r="AC740" s="27" t="s">
        <v>8</v>
      </c>
      <c r="AD740" s="27" t="s">
        <v>7</v>
      </c>
      <c r="AE740" s="27" t="s">
        <v>8</v>
      </c>
      <c r="AF740" s="27" t="s">
        <v>7</v>
      </c>
      <c r="AY740" s="27" t="s">
        <v>8</v>
      </c>
      <c r="AZ740" s="27" t="s">
        <v>7</v>
      </c>
      <c r="BB740" s="27" t="s">
        <v>7</v>
      </c>
      <c r="BC740" s="27" t="s">
        <v>8</v>
      </c>
      <c r="BD740" s="27" t="s">
        <v>7</v>
      </c>
      <c r="BE740" s="27" t="s">
        <v>8</v>
      </c>
    </row>
    <row r="741" spans="1:60" x14ac:dyDescent="0.25">
      <c r="A741" s="7">
        <v>4.7377653641295057E-2</v>
      </c>
      <c r="B741"/>
      <c r="C741"/>
      <c r="D741"/>
      <c r="E741"/>
      <c r="F741" s="27" t="s">
        <v>7</v>
      </c>
      <c r="O741" s="27" t="s">
        <v>8</v>
      </c>
      <c r="AB741" s="27" t="s">
        <v>7</v>
      </c>
      <c r="AC741" s="27" t="s">
        <v>8</v>
      </c>
      <c r="AD741" s="27" t="s">
        <v>7</v>
      </c>
      <c r="AE741" s="27" t="s">
        <v>8</v>
      </c>
      <c r="AF741" s="27" t="s">
        <v>7</v>
      </c>
      <c r="AY741" s="27" t="s">
        <v>8</v>
      </c>
      <c r="BB741" s="27" t="s">
        <v>7</v>
      </c>
      <c r="BC741" s="27" t="s">
        <v>8</v>
      </c>
      <c r="BD741" s="27" t="s">
        <v>7</v>
      </c>
      <c r="BE741" s="27" t="s">
        <v>8</v>
      </c>
    </row>
    <row r="742" spans="1:60" x14ac:dyDescent="0.25">
      <c r="A742" s="7">
        <v>4.644868004048535E-2</v>
      </c>
      <c r="B742"/>
      <c r="C742"/>
      <c r="D742"/>
      <c r="E742"/>
      <c r="F742" s="27" t="s">
        <v>7</v>
      </c>
      <c r="M742" s="27" t="s">
        <v>8</v>
      </c>
      <c r="O742" s="27" t="s">
        <v>8</v>
      </c>
      <c r="AB742" s="27" t="s">
        <v>7</v>
      </c>
      <c r="AD742" s="27" t="s">
        <v>7</v>
      </c>
      <c r="AE742" s="27" t="s">
        <v>8</v>
      </c>
      <c r="AF742" s="27" t="s">
        <v>7</v>
      </c>
      <c r="AY742" s="27" t="s">
        <v>8</v>
      </c>
      <c r="BB742" s="27" t="s">
        <v>7</v>
      </c>
      <c r="BD742" s="27" t="s">
        <v>7</v>
      </c>
      <c r="BE742" s="27" t="s">
        <v>8</v>
      </c>
    </row>
    <row r="743" spans="1:60" x14ac:dyDescent="0.25">
      <c r="A743" s="7">
        <v>4.5537921608318974E-2</v>
      </c>
      <c r="B743"/>
      <c r="C743"/>
      <c r="D743"/>
      <c r="E743"/>
      <c r="F743" s="27" t="s">
        <v>7</v>
      </c>
      <c r="K743" s="27" t="s">
        <v>8</v>
      </c>
      <c r="M743" s="27" t="s">
        <v>8</v>
      </c>
      <c r="N743" s="27" t="s">
        <v>7</v>
      </c>
      <c r="O743" s="27" t="s">
        <v>8</v>
      </c>
      <c r="AD743" s="27" t="s">
        <v>7</v>
      </c>
      <c r="AF743" s="27" t="s">
        <v>7</v>
      </c>
      <c r="AY743" s="27" t="s">
        <v>8</v>
      </c>
      <c r="BD743" s="27" t="s">
        <v>7</v>
      </c>
      <c r="BE743" s="27" t="s">
        <v>8</v>
      </c>
    </row>
    <row r="744" spans="1:60" x14ac:dyDescent="0.25">
      <c r="A744" s="7">
        <v>4.4645021184626446E-2</v>
      </c>
      <c r="B744"/>
      <c r="C744"/>
      <c r="D744"/>
      <c r="E744"/>
      <c r="F744" s="27" t="s">
        <v>7</v>
      </c>
      <c r="K744" s="27" t="s">
        <v>8</v>
      </c>
      <c r="L744" s="27" t="s">
        <v>7</v>
      </c>
      <c r="M744" s="27" t="s">
        <v>8</v>
      </c>
      <c r="N744" s="27" t="s">
        <v>7</v>
      </c>
      <c r="O744" s="27" t="s">
        <v>8</v>
      </c>
      <c r="AF744" s="27" t="s">
        <v>7</v>
      </c>
      <c r="AW744" s="27" t="s">
        <v>8</v>
      </c>
      <c r="AY744" s="27" t="s">
        <v>8</v>
      </c>
      <c r="BD744" s="27" t="s">
        <v>7</v>
      </c>
      <c r="BE744" s="27" t="s">
        <v>8</v>
      </c>
    </row>
    <row r="745" spans="1:60" x14ac:dyDescent="0.25">
      <c r="A745" s="7">
        <v>4.3769628612378868E-2</v>
      </c>
      <c r="B745"/>
      <c r="C745"/>
      <c r="D745"/>
      <c r="E745"/>
      <c r="F745" s="27" t="s">
        <v>7</v>
      </c>
      <c r="K745" s="27" t="s">
        <v>8</v>
      </c>
      <c r="L745" s="27" t="s">
        <v>7</v>
      </c>
      <c r="M745" s="27" t="s">
        <v>8</v>
      </c>
      <c r="N745" s="27" t="s">
        <v>7</v>
      </c>
      <c r="O745" s="27" t="s">
        <v>8</v>
      </c>
      <c r="AF745" s="27" t="s">
        <v>7</v>
      </c>
      <c r="AW745" s="27" t="s">
        <v>8</v>
      </c>
      <c r="AX745" s="27" t="s">
        <v>7</v>
      </c>
      <c r="AY745" s="27" t="s">
        <v>8</v>
      </c>
      <c r="BD745" s="27" t="s">
        <v>7</v>
      </c>
      <c r="BE745" s="27" t="s">
        <v>8</v>
      </c>
    </row>
    <row r="746" spans="1:60" x14ac:dyDescent="0.25">
      <c r="A746" s="7">
        <v>4.2911400600371442E-2</v>
      </c>
      <c r="B746"/>
      <c r="C746"/>
      <c r="D746"/>
      <c r="E746"/>
      <c r="F746" s="27" t="s">
        <v>7</v>
      </c>
      <c r="I746" s="27" t="s">
        <v>8</v>
      </c>
      <c r="K746" s="27" t="s">
        <v>8</v>
      </c>
      <c r="L746" s="27" t="s">
        <v>7</v>
      </c>
      <c r="M746" s="27" t="s">
        <v>8</v>
      </c>
      <c r="N746" s="27" t="s">
        <v>7</v>
      </c>
      <c r="O746" s="27" t="s">
        <v>8</v>
      </c>
      <c r="AF746" s="27" t="s">
        <v>7</v>
      </c>
      <c r="AG746" s="27" t="s">
        <v>8</v>
      </c>
      <c r="AW746" s="27" t="s">
        <v>8</v>
      </c>
      <c r="AX746" s="27" t="s">
        <v>7</v>
      </c>
      <c r="AY746" s="27" t="s">
        <v>8</v>
      </c>
      <c r="BD746" s="27" t="s">
        <v>7</v>
      </c>
    </row>
    <row r="747" spans="1:60" x14ac:dyDescent="0.25">
      <c r="A747" s="7">
        <v>4.2070000588599457E-2</v>
      </c>
      <c r="B747"/>
      <c r="C747"/>
      <c r="D747"/>
      <c r="E747"/>
      <c r="F747" s="27" t="s">
        <v>7</v>
      </c>
      <c r="I747" s="27" t="s">
        <v>8</v>
      </c>
      <c r="J747" s="27" t="s">
        <v>7</v>
      </c>
      <c r="K747" s="27" t="s">
        <v>8</v>
      </c>
      <c r="L747" s="27" t="s">
        <v>7</v>
      </c>
      <c r="N747" s="27" t="s">
        <v>7</v>
      </c>
      <c r="AF747" s="27" t="s">
        <v>7</v>
      </c>
      <c r="AG747" s="27" t="s">
        <v>8</v>
      </c>
      <c r="AH747" s="27" t="s">
        <v>7</v>
      </c>
      <c r="AW747" s="27" t="s">
        <v>8</v>
      </c>
      <c r="AX747" s="27" t="s">
        <v>7</v>
      </c>
      <c r="AY747" s="27" t="s">
        <v>8</v>
      </c>
    </row>
    <row r="748" spans="1:60" x14ac:dyDescent="0.25">
      <c r="A748" s="7">
        <v>4.1245098616273977E-2</v>
      </c>
      <c r="B748"/>
      <c r="C748"/>
      <c r="D748"/>
      <c r="E748"/>
      <c r="F748" s="27" t="s">
        <v>7</v>
      </c>
      <c r="I748" s="27" t="s">
        <v>8</v>
      </c>
      <c r="J748" s="27" t="s">
        <v>7</v>
      </c>
      <c r="K748" s="27" t="s">
        <v>8</v>
      </c>
      <c r="AF748" s="27" t="s">
        <v>7</v>
      </c>
      <c r="AG748" s="27" t="s">
        <v>8</v>
      </c>
      <c r="AH748" s="27" t="s">
        <v>7</v>
      </c>
      <c r="AW748" s="27" t="s">
        <v>8</v>
      </c>
      <c r="AX748" s="27" t="s">
        <v>7</v>
      </c>
    </row>
    <row r="749" spans="1:60" x14ac:dyDescent="0.25">
      <c r="A749" s="7">
        <v>4.043637119242547E-2</v>
      </c>
      <c r="B749"/>
      <c r="C749"/>
      <c r="D749"/>
      <c r="E749"/>
      <c r="F749" s="27" t="s">
        <v>7</v>
      </c>
      <c r="I749" s="27" t="s">
        <v>8</v>
      </c>
      <c r="J749" s="27" t="s">
        <v>7</v>
      </c>
      <c r="AF749" s="27" t="s">
        <v>7</v>
      </c>
      <c r="AG749" s="27" t="s">
        <v>8</v>
      </c>
      <c r="AH749" s="27" t="s">
        <v>7</v>
      </c>
      <c r="AW749" s="27" t="s">
        <v>8</v>
      </c>
    </row>
    <row r="750" spans="1:60" x14ac:dyDescent="0.25">
      <c r="A750" s="7">
        <v>3.9643501169044582E-2</v>
      </c>
      <c r="B750"/>
      <c r="C750"/>
      <c r="D750"/>
      <c r="E750"/>
      <c r="F750" s="27" t="s">
        <v>7</v>
      </c>
      <c r="I750" s="27" t="s">
        <v>8</v>
      </c>
      <c r="AF750" s="27" t="s">
        <v>7</v>
      </c>
      <c r="AH750" s="27" t="s">
        <v>7</v>
      </c>
      <c r="AW750" s="27" t="s">
        <v>8</v>
      </c>
    </row>
    <row r="751" spans="1:60" x14ac:dyDescent="0.25">
      <c r="A751" s="7">
        <v>3.8866177616710372E-2</v>
      </c>
      <c r="B751"/>
      <c r="C751"/>
      <c r="D751"/>
      <c r="E751"/>
      <c r="F751" s="27" t="s">
        <v>7</v>
      </c>
      <c r="I751" s="27" t="s">
        <v>8</v>
      </c>
      <c r="AH751" s="27" t="s">
        <v>7</v>
      </c>
      <c r="AW751" s="27" t="s">
        <v>8</v>
      </c>
    </row>
    <row r="752" spans="1:60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I752" s="27" t="s">
        <v>8</v>
      </c>
      <c r="AH752" s="27" t="s">
        <v>7</v>
      </c>
      <c r="AW752" s="27" t="s">
        <v>8</v>
      </c>
    </row>
    <row r="753" spans="1:49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AH753" s="27" t="s">
        <v>7</v>
      </c>
      <c r="AW753" s="27" t="s">
        <v>8</v>
      </c>
    </row>
    <row r="754" spans="1:49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I754" s="27" t="s">
        <v>8</v>
      </c>
      <c r="AH754" s="27" t="s">
        <v>7</v>
      </c>
      <c r="AQ754" s="27" t="s">
        <v>8</v>
      </c>
      <c r="AU754" s="27" t="s">
        <v>8</v>
      </c>
      <c r="AW754" s="27" t="s">
        <v>8</v>
      </c>
    </row>
    <row r="755" spans="1:49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I755" s="27" t="s">
        <v>8</v>
      </c>
      <c r="AH755" s="27" t="s">
        <v>7</v>
      </c>
      <c r="AQ755" s="27" t="s">
        <v>8</v>
      </c>
      <c r="AR755" s="27" t="s">
        <v>7</v>
      </c>
      <c r="AU755" s="27" t="s">
        <v>8</v>
      </c>
      <c r="AV755" s="27" t="s">
        <v>7</v>
      </c>
      <c r="AW755" s="27" t="s">
        <v>8</v>
      </c>
    </row>
    <row r="756" spans="1:49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AH756" s="27" t="s">
        <v>7</v>
      </c>
      <c r="AQ756" s="27" t="s">
        <v>8</v>
      </c>
      <c r="AR756" s="27" t="s">
        <v>7</v>
      </c>
      <c r="AU756" s="27" t="s">
        <v>8</v>
      </c>
      <c r="AV756" s="27" t="s">
        <v>7</v>
      </c>
      <c r="AW756" s="27" t="s">
        <v>8</v>
      </c>
    </row>
    <row r="757" spans="1:49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AH757" s="27" t="s">
        <v>7</v>
      </c>
      <c r="AQ757" s="27" t="s">
        <v>8</v>
      </c>
      <c r="AR757" s="27" t="s">
        <v>7</v>
      </c>
      <c r="AS757" s="27" t="s">
        <v>8</v>
      </c>
      <c r="AU757" s="27" t="s">
        <v>8</v>
      </c>
      <c r="AV757" s="27" t="s">
        <v>7</v>
      </c>
      <c r="AW757" s="27" t="s">
        <v>8</v>
      </c>
    </row>
    <row r="758" spans="1:49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AH758" s="27" t="s">
        <v>7</v>
      </c>
      <c r="AM758" s="27" t="s">
        <v>8</v>
      </c>
      <c r="AQ758" s="27" t="s">
        <v>8</v>
      </c>
      <c r="AR758" s="27" t="s">
        <v>7</v>
      </c>
      <c r="AS758" s="27" t="s">
        <v>8</v>
      </c>
      <c r="AT758" s="27" t="s">
        <v>7</v>
      </c>
      <c r="AU758" s="27" t="s">
        <v>8</v>
      </c>
      <c r="AV758" s="27" t="s">
        <v>7</v>
      </c>
    </row>
    <row r="759" spans="1:49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AH759" s="27" t="s">
        <v>7</v>
      </c>
      <c r="AM759" s="27" t="s">
        <v>8</v>
      </c>
      <c r="AN759" s="27" t="s">
        <v>7</v>
      </c>
      <c r="AQ759" s="27" t="s">
        <v>8</v>
      </c>
      <c r="AR759" s="27" t="s">
        <v>7</v>
      </c>
      <c r="AS759" s="27" t="s">
        <v>8</v>
      </c>
      <c r="AT759" s="27" t="s">
        <v>7</v>
      </c>
      <c r="AU759" s="27" t="s">
        <v>8</v>
      </c>
    </row>
    <row r="760" spans="1:49" x14ac:dyDescent="0.25">
      <c r="A760" s="7">
        <v>3.2521478785124451E-2</v>
      </c>
      <c r="B760"/>
      <c r="C760"/>
      <c r="D760"/>
      <c r="E760"/>
      <c r="F760" s="27" t="s">
        <v>7</v>
      </c>
      <c r="AH760" s="27" t="s">
        <v>7</v>
      </c>
      <c r="AM760" s="27" t="s">
        <v>8</v>
      </c>
      <c r="AN760" s="27" t="s">
        <v>7</v>
      </c>
      <c r="AQ760" s="27" t="s">
        <v>8</v>
      </c>
      <c r="AR760" s="27" t="s">
        <v>7</v>
      </c>
      <c r="AT760" s="27" t="s">
        <v>7</v>
      </c>
      <c r="AU760" s="27" t="s">
        <v>8</v>
      </c>
    </row>
    <row r="761" spans="1:49" x14ac:dyDescent="0.25">
      <c r="A761" s="7">
        <v>3.1883802730514173E-2</v>
      </c>
      <c r="B761"/>
      <c r="C761"/>
      <c r="D761"/>
      <c r="E761"/>
      <c r="AH761" s="27" t="s">
        <v>7</v>
      </c>
      <c r="AM761" s="27" t="s">
        <v>8</v>
      </c>
      <c r="AN761" s="27" t="s">
        <v>7</v>
      </c>
      <c r="AQ761" s="27" t="s">
        <v>8</v>
      </c>
      <c r="AT761" s="27" t="s">
        <v>7</v>
      </c>
      <c r="AU761" s="27" t="s">
        <v>8</v>
      </c>
    </row>
    <row r="762" spans="1:49" x14ac:dyDescent="0.25">
      <c r="A762" s="7">
        <v>3.1258630127955073E-2</v>
      </c>
      <c r="B762"/>
      <c r="C762"/>
      <c r="D762"/>
      <c r="E762"/>
      <c r="AH762" s="27" t="s">
        <v>7</v>
      </c>
      <c r="AM762" s="27" t="s">
        <v>8</v>
      </c>
      <c r="AN762" s="27" t="s">
        <v>7</v>
      </c>
      <c r="AO762" s="27" t="s">
        <v>8</v>
      </c>
      <c r="AQ762" s="27" t="s">
        <v>8</v>
      </c>
      <c r="AT762" s="27" t="s">
        <v>7</v>
      </c>
    </row>
    <row r="763" spans="1:49" x14ac:dyDescent="0.25">
      <c r="A763" s="7">
        <v>3.064571581172066E-2</v>
      </c>
      <c r="B763"/>
      <c r="C763"/>
      <c r="D763"/>
      <c r="E763"/>
      <c r="AH763" s="27" t="s">
        <v>7</v>
      </c>
      <c r="AM763" s="27" t="s">
        <v>8</v>
      </c>
      <c r="AN763" s="27" t="s">
        <v>7</v>
      </c>
      <c r="AO763" s="27" t="s">
        <v>8</v>
      </c>
      <c r="AP763" s="27" t="s">
        <v>7</v>
      </c>
      <c r="AQ763" s="27" t="s">
        <v>8</v>
      </c>
    </row>
    <row r="764" spans="1:49" x14ac:dyDescent="0.25">
      <c r="A764" s="7">
        <v>3.0044819423255549E-2</v>
      </c>
      <c r="B764"/>
      <c r="C764"/>
      <c r="D764"/>
      <c r="E764"/>
      <c r="AH764" s="27" t="s">
        <v>7</v>
      </c>
      <c r="AM764" s="27" t="s">
        <v>8</v>
      </c>
      <c r="AN764" s="27" t="s">
        <v>7</v>
      </c>
      <c r="AO764" s="27" t="s">
        <v>8</v>
      </c>
      <c r="AP764" s="27" t="s">
        <v>7</v>
      </c>
      <c r="AQ764" s="27" t="s">
        <v>8</v>
      </c>
    </row>
    <row r="765" spans="1:49" x14ac:dyDescent="0.25">
      <c r="A765" s="7">
        <v>2.9455705316917203E-2</v>
      </c>
      <c r="B765"/>
      <c r="C765"/>
      <c r="D765"/>
      <c r="E765"/>
      <c r="AH765" s="27" t="s">
        <v>7</v>
      </c>
      <c r="AM765" s="27" t="s">
        <v>8</v>
      </c>
      <c r="AN765" s="27" t="s">
        <v>7</v>
      </c>
      <c r="AO765" s="27" t="s">
        <v>8</v>
      </c>
      <c r="AP765" s="27" t="s">
        <v>7</v>
      </c>
      <c r="AQ765" s="27" t="s">
        <v>8</v>
      </c>
    </row>
    <row r="766" spans="1:49" x14ac:dyDescent="0.25">
      <c r="A766" s="7">
        <v>2.8878142467565884E-2</v>
      </c>
      <c r="B766"/>
      <c r="C766"/>
      <c r="D766"/>
      <c r="E766"/>
      <c r="AH766" s="27" t="s">
        <v>7</v>
      </c>
      <c r="AI766" s="27" t="s">
        <v>8</v>
      </c>
      <c r="AM766" s="27" t="s">
        <v>8</v>
      </c>
      <c r="AN766" s="27" t="s">
        <v>7</v>
      </c>
      <c r="AO766" s="27" t="s">
        <v>8</v>
      </c>
      <c r="AP766" s="27" t="s">
        <v>7</v>
      </c>
      <c r="AQ766" s="27" t="s">
        <v>8</v>
      </c>
    </row>
    <row r="767" spans="1:49" x14ac:dyDescent="0.25">
      <c r="A767" s="7">
        <v>2.8311904379966554E-2</v>
      </c>
      <c r="B767"/>
      <c r="C767"/>
      <c r="D767"/>
      <c r="E767"/>
      <c r="AH767" s="27" t="s">
        <v>7</v>
      </c>
      <c r="AI767" s="27" t="s">
        <v>8</v>
      </c>
      <c r="AJ767" s="27" t="s">
        <v>7</v>
      </c>
      <c r="AM767" s="27" t="s">
        <v>8</v>
      </c>
      <c r="AN767" s="27" t="s">
        <v>7</v>
      </c>
      <c r="AO767" s="27" t="s">
        <v>8</v>
      </c>
      <c r="AP767" s="27" t="s">
        <v>7</v>
      </c>
    </row>
    <row r="768" spans="1:49" x14ac:dyDescent="0.25">
      <c r="A768" s="7">
        <v>2.7756768999967207E-2</v>
      </c>
      <c r="B768"/>
      <c r="C768"/>
      <c r="D768"/>
      <c r="E768"/>
      <c r="AH768" s="27" t="s">
        <v>7</v>
      </c>
      <c r="AI768" s="27" t="s">
        <v>8</v>
      </c>
      <c r="AJ768" s="27" t="s">
        <v>7</v>
      </c>
      <c r="AM768" s="27" t="s">
        <v>8</v>
      </c>
      <c r="AN768" s="27" t="s">
        <v>7</v>
      </c>
      <c r="AO768" s="27" t="s">
        <v>8</v>
      </c>
    </row>
    <row r="769" spans="1:41" x14ac:dyDescent="0.25">
      <c r="A769" s="7">
        <v>2.7212518627418834E-2</v>
      </c>
      <c r="B769"/>
      <c r="C769"/>
      <c r="D769"/>
      <c r="E769"/>
      <c r="AH769" s="27" t="s">
        <v>7</v>
      </c>
      <c r="AI769" s="27" t="s">
        <v>8</v>
      </c>
      <c r="AJ769" s="27" t="s">
        <v>7</v>
      </c>
      <c r="AM769" s="27" t="s">
        <v>8</v>
      </c>
      <c r="AN769" s="27" t="s">
        <v>7</v>
      </c>
      <c r="AO769" s="27" t="s">
        <v>8</v>
      </c>
    </row>
    <row r="770" spans="1:41" x14ac:dyDescent="0.25">
      <c r="A770" s="7">
        <v>2.6678939830802779E-2</v>
      </c>
      <c r="B770"/>
      <c r="C770"/>
      <c r="D770"/>
      <c r="E770"/>
      <c r="AH770" s="27" t="s">
        <v>7</v>
      </c>
      <c r="AI770" s="27" t="s">
        <v>8</v>
      </c>
      <c r="AJ770" s="27" t="s">
        <v>7</v>
      </c>
      <c r="AM770" s="27" t="s">
        <v>8</v>
      </c>
      <c r="AN770" s="27" t="s">
        <v>7</v>
      </c>
    </row>
    <row r="771" spans="1:41" x14ac:dyDescent="0.25">
      <c r="A771" s="7">
        <v>2.615582336353214E-2</v>
      </c>
      <c r="B771"/>
      <c r="C771"/>
      <c r="D771"/>
      <c r="E771"/>
      <c r="AH771" s="27" t="s">
        <v>7</v>
      </c>
      <c r="AI771" s="27" t="s">
        <v>8</v>
      </c>
      <c r="AJ771" s="27" t="s">
        <v>7</v>
      </c>
      <c r="AK771" s="27" t="s">
        <v>8</v>
      </c>
      <c r="AM771" s="27" t="s">
        <v>8</v>
      </c>
    </row>
    <row r="772" spans="1:41" x14ac:dyDescent="0.25">
      <c r="A772" s="7">
        <v>2.5642964081894253E-2</v>
      </c>
      <c r="B772"/>
      <c r="C772"/>
      <c r="D772"/>
      <c r="E772"/>
      <c r="AH772" s="27" t="s">
        <v>7</v>
      </c>
      <c r="AI772" s="27" t="s">
        <v>8</v>
      </c>
      <c r="AJ772" s="27" t="s">
        <v>7</v>
      </c>
      <c r="AK772" s="27" t="s">
        <v>8</v>
      </c>
      <c r="AL772" s="27" t="s">
        <v>7</v>
      </c>
      <c r="AM772" s="27" t="s">
        <v>8</v>
      </c>
    </row>
    <row r="773" spans="1:41" x14ac:dyDescent="0.25">
      <c r="A773" s="7">
        <v>2.5140160864602207E-2</v>
      </c>
      <c r="B773"/>
      <c r="C773"/>
      <c r="D773"/>
      <c r="E773"/>
      <c r="AH773" s="27" t="s">
        <v>7</v>
      </c>
      <c r="AI773" s="27" t="s">
        <v>8</v>
      </c>
      <c r="AJ773" s="27" t="s">
        <v>7</v>
      </c>
      <c r="AK773" s="27" t="s">
        <v>8</v>
      </c>
      <c r="AL773" s="27" t="s">
        <v>7</v>
      </c>
      <c r="AM773" s="27" t="s">
        <v>8</v>
      </c>
    </row>
    <row r="774" spans="1:41" x14ac:dyDescent="0.25">
      <c r="A774" s="7">
        <v>2.4647216533923735E-2</v>
      </c>
      <c r="B774"/>
      <c r="C774"/>
      <c r="D774"/>
      <c r="E774"/>
      <c r="AH774" s="27" t="s">
        <v>7</v>
      </c>
      <c r="AI774" s="27" t="s">
        <v>8</v>
      </c>
      <c r="AJ774" s="27" t="s">
        <v>7</v>
      </c>
      <c r="AK774" s="27" t="s">
        <v>8</v>
      </c>
      <c r="AL774" s="27" t="s">
        <v>7</v>
      </c>
    </row>
    <row r="775" spans="1:41" x14ac:dyDescent="0.25">
      <c r="A775" s="7">
        <v>2.4163937778356601E-2</v>
      </c>
      <c r="B775"/>
      <c r="C775"/>
      <c r="D775"/>
      <c r="E775"/>
      <c r="AH775" s="27" t="s">
        <v>7</v>
      </c>
      <c r="AI775" s="27" t="s">
        <v>8</v>
      </c>
      <c r="AJ775" s="27" t="s">
        <v>7</v>
      </c>
      <c r="AK775" s="27" t="s">
        <v>8</v>
      </c>
    </row>
    <row r="776" spans="1:41" x14ac:dyDescent="0.25">
      <c r="A776" s="7">
        <v>2.3690135076820197E-2</v>
      </c>
      <c r="B776"/>
      <c r="C776"/>
      <c r="D776"/>
      <c r="E776"/>
      <c r="AH776" s="27" t="s">
        <v>7</v>
      </c>
      <c r="AI776" s="27" t="s">
        <v>8</v>
      </c>
      <c r="AJ776" s="27" t="s">
        <v>7</v>
      </c>
      <c r="AK776" s="27" t="s">
        <v>8</v>
      </c>
    </row>
    <row r="777" spans="1:41" x14ac:dyDescent="0.25">
      <c r="A777" s="7">
        <v>2.3225622624333527E-2</v>
      </c>
      <c r="B777"/>
      <c r="C777"/>
      <c r="D777"/>
      <c r="E777"/>
      <c r="AH777" s="27" t="s">
        <v>7</v>
      </c>
      <c r="AI777" s="27" t="s">
        <v>8</v>
      </c>
      <c r="AJ777" s="27" t="s">
        <v>7</v>
      </c>
      <c r="AK777" s="27" t="s">
        <v>8</v>
      </c>
    </row>
    <row r="778" spans="1:41" x14ac:dyDescent="0.25">
      <c r="A778" s="7">
        <v>2.2770218259150519E-2</v>
      </c>
      <c r="B778"/>
      <c r="C778"/>
      <c r="D778"/>
      <c r="E778"/>
      <c r="AH778" s="27" t="s">
        <v>7</v>
      </c>
      <c r="AI778" s="27" t="s">
        <v>8</v>
      </c>
      <c r="AJ778" s="27" t="s">
        <v>7</v>
      </c>
      <c r="AK778" s="27" t="s">
        <v>8</v>
      </c>
    </row>
    <row r="779" spans="1:41" x14ac:dyDescent="0.25">
      <c r="A779" s="7">
        <v>2.2323743391324039E-2</v>
      </c>
      <c r="B779"/>
      <c r="C779"/>
      <c r="D779"/>
      <c r="E779"/>
      <c r="AH779" s="27" t="s">
        <v>7</v>
      </c>
      <c r="AI779" s="27" t="s">
        <v>8</v>
      </c>
      <c r="AJ779" s="27" t="s">
        <v>7</v>
      </c>
      <c r="AK779" s="27" t="s">
        <v>8</v>
      </c>
    </row>
    <row r="780" spans="1:41" x14ac:dyDescent="0.25">
      <c r="A780" s="7">
        <v>2.188602293267063E-2</v>
      </c>
      <c r="B780"/>
      <c r="C780"/>
      <c r="D780"/>
      <c r="E780"/>
      <c r="AH780" s="27" t="s">
        <v>7</v>
      </c>
      <c r="AI780" s="27" t="s">
        <v>8</v>
      </c>
      <c r="AJ780" s="27" t="s">
        <v>7</v>
      </c>
    </row>
    <row r="781" spans="1:41" x14ac:dyDescent="0.25">
      <c r="A781" s="7">
        <v>2.1456885228108461E-2</v>
      </c>
      <c r="B781"/>
      <c r="C781"/>
      <c r="D781"/>
      <c r="E781"/>
      <c r="AH781" s="27" t="s">
        <v>7</v>
      </c>
      <c r="AI781" s="27" t="s">
        <v>8</v>
      </c>
    </row>
    <row r="782" spans="1:41" x14ac:dyDescent="0.25">
      <c r="A782" s="7">
        <v>2.1036161988341632E-2</v>
      </c>
      <c r="B782"/>
      <c r="C782"/>
      <c r="D782"/>
      <c r="E782"/>
      <c r="AH782" s="27" t="s">
        <v>7</v>
      </c>
      <c r="AI782" s="27" t="s">
        <v>8</v>
      </c>
    </row>
    <row r="783" spans="1:41" x14ac:dyDescent="0.25">
      <c r="A783" s="7">
        <v>2.0623688223864345E-2</v>
      </c>
      <c r="B783"/>
      <c r="C783"/>
      <c r="D783"/>
      <c r="E783"/>
      <c r="AH783" s="27" t="s">
        <v>7</v>
      </c>
      <c r="AI783" s="27" t="s">
        <v>8</v>
      </c>
    </row>
    <row r="784" spans="1:41" x14ac:dyDescent="0.25">
      <c r="A784" s="7">
        <v>2.021930218025916E-2</v>
      </c>
      <c r="B784"/>
      <c r="C784"/>
      <c r="D784"/>
      <c r="E784"/>
      <c r="AH784" s="27" t="s">
        <v>7</v>
      </c>
      <c r="AI784" s="27" t="s">
        <v>8</v>
      </c>
    </row>
    <row r="785" spans="1:35" x14ac:dyDescent="0.25">
      <c r="A785" s="7">
        <v>1.9822845274763884E-2</v>
      </c>
      <c r="B785"/>
      <c r="C785"/>
      <c r="D785"/>
      <c r="E785"/>
      <c r="AH785" s="27" t="s">
        <v>7</v>
      </c>
      <c r="AI785" s="27" t="s">
        <v>8</v>
      </c>
    </row>
    <row r="786" spans="1:35" x14ac:dyDescent="0.25">
      <c r="A786" s="7">
        <v>1.9434162034082238E-2</v>
      </c>
      <c r="B786"/>
      <c r="C786"/>
      <c r="D786"/>
      <c r="E786"/>
      <c r="AH786" s="27" t="s">
        <v>7</v>
      </c>
      <c r="AI786" s="27" t="s">
        <v>8</v>
      </c>
    </row>
    <row r="787" spans="1:35" x14ac:dyDescent="0.25">
      <c r="A787" s="7">
        <v>1.9053100033413959E-2</v>
      </c>
      <c r="B787"/>
      <c r="C787"/>
      <c r="D787"/>
      <c r="E787"/>
      <c r="AH787" s="27" t="s">
        <v>7</v>
      </c>
      <c r="AI787" s="27" t="s">
        <v>8</v>
      </c>
    </row>
    <row r="788" spans="1:35" x14ac:dyDescent="0.25">
      <c r="A788" s="7">
        <v>1.867950983668035E-2</v>
      </c>
      <c r="B788"/>
      <c r="C788"/>
      <c r="D788"/>
      <c r="E788"/>
      <c r="AH788" s="27" t="s">
        <v>7</v>
      </c>
      <c r="AI788" s="27" t="s">
        <v>8</v>
      </c>
    </row>
    <row r="789" spans="1:35" x14ac:dyDescent="0.25">
      <c r="A789" s="7">
        <v>1.8313244937921913E-2</v>
      </c>
      <c r="B789"/>
      <c r="C789"/>
      <c r="D789"/>
      <c r="E789"/>
      <c r="AH789" s="27" t="s">
        <v>7</v>
      </c>
      <c r="AI789" s="27" t="s">
        <v>8</v>
      </c>
    </row>
    <row r="790" spans="1:35" x14ac:dyDescent="0.25">
      <c r="A790" s="7">
        <v>1.7954161703845013E-2</v>
      </c>
      <c r="B790"/>
      <c r="C790"/>
      <c r="D790"/>
      <c r="E790"/>
      <c r="AH790" s="27" t="s">
        <v>7</v>
      </c>
    </row>
    <row r="791" spans="1:35" x14ac:dyDescent="0.25">
      <c r="A791" s="7">
        <v>1.7602119317495109E-2</v>
      </c>
      <c r="B791"/>
      <c r="C791"/>
      <c r="D791"/>
      <c r="E791"/>
    </row>
    <row r="792" spans="1:35" x14ac:dyDescent="0.25">
      <c r="A792" s="7">
        <v>1.7256979723034419E-2</v>
      </c>
      <c r="B792"/>
      <c r="C792"/>
      <c r="D792"/>
      <c r="E792"/>
    </row>
    <row r="793" spans="1:35" x14ac:dyDescent="0.25">
      <c r="A793" s="7">
        <v>1.6918607571602372E-2</v>
      </c>
      <c r="B793"/>
      <c r="C793"/>
      <c r="D793"/>
      <c r="E793"/>
    </row>
    <row r="794" spans="1:35" x14ac:dyDescent="0.25">
      <c r="A794" s="7">
        <v>1.6586870168237622E-2</v>
      </c>
      <c r="B794"/>
      <c r="C794"/>
      <c r="D794"/>
      <c r="E794"/>
    </row>
    <row r="795" spans="1:35" x14ac:dyDescent="0.25">
      <c r="A795" s="7">
        <v>1.6261637419840807E-2</v>
      </c>
      <c r="B795"/>
      <c r="C795"/>
      <c r="D795"/>
      <c r="E795"/>
    </row>
    <row r="796" spans="1:35" x14ac:dyDescent="0.25">
      <c r="A796" s="7">
        <v>1.5942781784157655E-2</v>
      </c>
      <c r="B796"/>
      <c r="C796"/>
      <c r="D796"/>
      <c r="E796"/>
    </row>
    <row r="797" spans="1:35" x14ac:dyDescent="0.25">
      <c r="A797" s="7">
        <v>1.5630178219762408E-2</v>
      </c>
      <c r="B797"/>
      <c r="C797"/>
      <c r="D797"/>
      <c r="E797"/>
    </row>
    <row r="798" spans="1:35" x14ac:dyDescent="0.25">
      <c r="A798" s="7">
        <v>1.5323704137021967E-2</v>
      </c>
      <c r="B798"/>
      <c r="C798"/>
      <c r="D798"/>
      <c r="E798"/>
    </row>
    <row r="799" spans="1:35" x14ac:dyDescent="0.25">
      <c r="A799" s="7">
        <v>1.5023239350021535E-2</v>
      </c>
      <c r="B799"/>
      <c r="C799"/>
      <c r="D799"/>
      <c r="E799"/>
    </row>
    <row r="800" spans="1:3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0" zoomScale="85" zoomScaleNormal="85" workbookViewId="0">
      <pane xSplit="4" topLeftCell="BJ1" activePane="topRight" state="frozen"/>
      <selection activeCell="A109" sqref="A109"/>
      <selection pane="topRight" activeCell="DG238" sqref="DG23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$A$237</v>
      </c>
      <c r="D111" s="1" t="str">
        <f>ADDRESS(C121-1,D121,1,1)</f>
        <v>$DG$237</v>
      </c>
      <c r="E111"/>
    </row>
    <row r="112" spans="1:5" x14ac:dyDescent="0.25">
      <c r="A112" s="30">
        <v>515.50191262726139</v>
      </c>
      <c r="C112" s="1" t="str">
        <f>ADDRESS(C121,1,1,1)</f>
        <v>$A$238</v>
      </c>
      <c r="D112" s="1" t="str">
        <f>ADDRESS(C121,D121-1,1,1)</f>
        <v>$DF$238</v>
      </c>
      <c r="E112"/>
    </row>
    <row r="113" spans="1:5" x14ac:dyDescent="0.25">
      <c r="A113" s="30">
        <v>490.95420250215363</v>
      </c>
      <c r="C113" s="1" t="str">
        <f>ADDRESS(C121+1,1,1,1)</f>
        <v>$A$239</v>
      </c>
      <c r="D113" s="1" t="str">
        <f>ADDRESS(C121-1,D121+1,1,1)</f>
        <v>$DH$237</v>
      </c>
    </row>
    <row r="114" spans="1:5" x14ac:dyDescent="0.25">
      <c r="A114" s="30">
        <v>467.57543095443202</v>
      </c>
      <c r="C114" s="1" t="str">
        <f>ADDRESS(C121,D121,1,1)</f>
        <v>$DG$238</v>
      </c>
      <c r="D114" s="1" t="str">
        <f>ADDRESS(C121+1,D121+1,1,1)</f>
        <v>$DH$239</v>
      </c>
    </row>
    <row r="115" spans="1:5" x14ac:dyDescent="0.25">
      <c r="A115" s="30">
        <v>445.30993424231622</v>
      </c>
      <c r="C115" s="1" t="str">
        <f>ADDRESS(C121+1,D121,1,1)</f>
        <v>$DG$239</v>
      </c>
    </row>
    <row r="116" spans="1:5" x14ac:dyDescent="0.25">
      <c r="A116" s="30">
        <v>424.10469927839637</v>
      </c>
      <c r="C116" s="1">
        <f>C117-1</f>
        <v>237</v>
      </c>
    </row>
    <row r="117" spans="1:5" x14ac:dyDescent="0.25">
      <c r="A117" s="30">
        <v>403.9092374079965</v>
      </c>
      <c r="C117" s="1">
        <f>C121</f>
        <v>238</v>
      </c>
      <c r="D117" s="1">
        <f>D121</f>
        <v>111</v>
      </c>
    </row>
    <row r="118" spans="1:5" x14ac:dyDescent="0.25">
      <c r="A118" s="30">
        <v>384.6754641980919</v>
      </c>
      <c r="C118" s="1">
        <f>C117+1</f>
        <v>239</v>
      </c>
      <c r="D118" s="1">
        <f>D117+1</f>
        <v>112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238</v>
      </c>
      <c r="D121" s="19">
        <v>111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R238</v>
      </c>
      <c r="D123" s="1" t="str">
        <f>"C"&amp;D121</f>
        <v>C111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1.1025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98" x14ac:dyDescent="0.25">
      <c r="A209" s="30">
        <v>4.5380394939082018</v>
      </c>
      <c r="E209"/>
    </row>
    <row r="210" spans="1:98" x14ac:dyDescent="0.25">
      <c r="A210" s="30">
        <v>4.3219423751506678</v>
      </c>
      <c r="C210"/>
      <c r="E210"/>
    </row>
    <row r="211" spans="1:98" x14ac:dyDescent="0.25">
      <c r="A211" s="30">
        <v>4.1161355953815884</v>
      </c>
      <c r="E211"/>
    </row>
    <row r="212" spans="1:98" x14ac:dyDescent="0.25">
      <c r="A212" s="30">
        <v>3.9201291384586554</v>
      </c>
      <c r="E212"/>
    </row>
    <row r="213" spans="1:98" x14ac:dyDescent="0.25">
      <c r="A213" s="30">
        <v>3.7334563223415764</v>
      </c>
      <c r="E213"/>
    </row>
    <row r="214" spans="1:98" x14ac:dyDescent="0.25">
      <c r="A214" s="30">
        <v>3.5556726879443583</v>
      </c>
      <c r="E214"/>
    </row>
    <row r="215" spans="1:98" x14ac:dyDescent="0.25">
      <c r="A215" s="30">
        <v>3.3863549408993889</v>
      </c>
      <c r="E215"/>
    </row>
    <row r="216" spans="1:98" x14ac:dyDescent="0.25">
      <c r="A216" s="30">
        <v>3.2250999437137038</v>
      </c>
      <c r="E216"/>
    </row>
    <row r="217" spans="1:98" x14ac:dyDescent="0.25">
      <c r="A217" s="30">
        <v>3.0715237559178128</v>
      </c>
      <c r="E217"/>
      <c r="CM217" s="31" t="s">
        <v>8</v>
      </c>
    </row>
    <row r="218" spans="1:98" x14ac:dyDescent="0.25">
      <c r="A218" s="30">
        <v>2.9252607199217264</v>
      </c>
      <c r="E218"/>
      <c r="CK218" s="27" t="s">
        <v>8</v>
      </c>
      <c r="CM218" s="27" t="s">
        <v>8</v>
      </c>
      <c r="CN218" s="31" t="s">
        <v>7</v>
      </c>
    </row>
    <row r="219" spans="1:98" x14ac:dyDescent="0.25">
      <c r="A219" s="30">
        <v>2.7859625904016441</v>
      </c>
      <c r="E219"/>
      <c r="CK219" s="27" t="s">
        <v>8</v>
      </c>
      <c r="CL219" s="27" t="s">
        <v>7</v>
      </c>
      <c r="CM219" s="27" t="s">
        <v>8</v>
      </c>
      <c r="CN219" s="27" t="s">
        <v>7</v>
      </c>
      <c r="CO219" s="31" t="s">
        <v>8</v>
      </c>
    </row>
    <row r="220" spans="1:98" x14ac:dyDescent="0.25">
      <c r="A220" s="30">
        <v>2.6532977051444226</v>
      </c>
      <c r="E220"/>
      <c r="CK220" s="27" t="s">
        <v>8</v>
      </c>
      <c r="CL220" s="27" t="s">
        <v>7</v>
      </c>
      <c r="CM220" s="27" t="s">
        <v>8</v>
      </c>
      <c r="CN220" s="27" t="s">
        <v>7</v>
      </c>
      <c r="CO220" s="27" t="s">
        <v>8</v>
      </c>
      <c r="CP220" s="31" t="s">
        <v>7</v>
      </c>
    </row>
    <row r="221" spans="1:98" x14ac:dyDescent="0.25">
      <c r="A221" s="30">
        <v>2.5269501953756404</v>
      </c>
      <c r="E221"/>
      <c r="CK221" s="27" t="s">
        <v>8</v>
      </c>
      <c r="CL221" s="27" t="s">
        <v>7</v>
      </c>
      <c r="CN221" s="27" t="s">
        <v>7</v>
      </c>
      <c r="CO221" s="27" t="s">
        <v>8</v>
      </c>
      <c r="CP221" s="27" t="s">
        <v>7</v>
      </c>
      <c r="CQ221" s="31"/>
    </row>
    <row r="222" spans="1:98" x14ac:dyDescent="0.25">
      <c r="A222" s="30">
        <v>2.4066192336910861</v>
      </c>
      <c r="E222"/>
      <c r="BU222" s="31" t="s">
        <v>8</v>
      </c>
      <c r="CK222" s="27" t="s">
        <v>8</v>
      </c>
      <c r="CN222" s="27" t="s">
        <v>7</v>
      </c>
      <c r="CO222" s="27" t="s">
        <v>8</v>
      </c>
      <c r="CP222" s="27" t="s">
        <v>7</v>
      </c>
      <c r="CQ222" s="27" t="s">
        <v>8</v>
      </c>
      <c r="CR222" s="31"/>
    </row>
    <row r="223" spans="1:98" x14ac:dyDescent="0.25">
      <c r="A223" s="30">
        <v>2.2920183178010345</v>
      </c>
      <c r="E223"/>
      <c r="BU223" s="27" t="s">
        <v>8</v>
      </c>
      <c r="BV223" s="31" t="s">
        <v>7</v>
      </c>
      <c r="CK223" s="27" t="s">
        <v>8</v>
      </c>
      <c r="CN223" s="27" t="s">
        <v>7</v>
      </c>
      <c r="CO223" s="27" t="s">
        <v>8</v>
      </c>
      <c r="CP223" s="27" t="s">
        <v>7</v>
      </c>
      <c r="CQ223" s="27" t="s">
        <v>8</v>
      </c>
      <c r="CR223" s="27" t="s">
        <v>7</v>
      </c>
      <c r="CS223" s="31" t="s">
        <v>8</v>
      </c>
    </row>
    <row r="224" spans="1:98" x14ac:dyDescent="0.25">
      <c r="A224" s="30">
        <v>2.1828745883819374</v>
      </c>
      <c r="E224"/>
      <c r="BU224" s="27" t="s">
        <v>8</v>
      </c>
      <c r="BV224" s="27" t="s">
        <v>7</v>
      </c>
      <c r="BW224" s="31"/>
      <c r="CI224" s="27" t="s">
        <v>8</v>
      </c>
      <c r="CK224" s="27" t="s">
        <v>8</v>
      </c>
      <c r="CN224" s="27" t="s">
        <v>7</v>
      </c>
      <c r="CO224" s="27" t="s">
        <v>8</v>
      </c>
      <c r="CP224" s="27" t="s">
        <v>7</v>
      </c>
      <c r="CQ224" s="27" t="s">
        <v>8</v>
      </c>
      <c r="CR224" s="27" t="s">
        <v>7</v>
      </c>
      <c r="CS224" s="27" t="s">
        <v>8</v>
      </c>
      <c r="CT224" s="31" t="s">
        <v>7</v>
      </c>
    </row>
    <row r="225" spans="1:111" x14ac:dyDescent="0.25">
      <c r="A225" s="30">
        <v>2.0789281794113688</v>
      </c>
      <c r="E225"/>
      <c r="BU225" s="27" t="s">
        <v>8</v>
      </c>
      <c r="BV225" s="27" t="s">
        <v>7</v>
      </c>
      <c r="BX225" s="31"/>
      <c r="CI225" s="27" t="s">
        <v>8</v>
      </c>
      <c r="CJ225" s="27" t="s">
        <v>7</v>
      </c>
      <c r="CK225" s="27" t="s">
        <v>8</v>
      </c>
      <c r="CN225" s="27" t="s">
        <v>7</v>
      </c>
      <c r="CP225" s="27" t="s">
        <v>7</v>
      </c>
      <c r="CQ225" s="27" t="s">
        <v>8</v>
      </c>
      <c r="CR225" s="27" t="s">
        <v>7</v>
      </c>
      <c r="CS225" s="27" t="s">
        <v>8</v>
      </c>
      <c r="CT225" s="27" t="s">
        <v>7</v>
      </c>
      <c r="CU225" s="31"/>
    </row>
    <row r="226" spans="1:111" x14ac:dyDescent="0.25">
      <c r="A226" s="30">
        <v>1.9799315994393987</v>
      </c>
      <c r="E226"/>
      <c r="BU226" s="27" t="s">
        <v>8</v>
      </c>
      <c r="BV226" s="27" t="s">
        <v>7</v>
      </c>
      <c r="BY226" s="31"/>
      <c r="CI226" s="27" t="s">
        <v>8</v>
      </c>
      <c r="CJ226" s="27" t="s">
        <v>7</v>
      </c>
      <c r="CK226" s="27" t="s">
        <v>8</v>
      </c>
      <c r="CP226" s="27" t="s">
        <v>7</v>
      </c>
      <c r="CR226" s="27" t="s">
        <v>7</v>
      </c>
      <c r="CS226" s="27" t="s">
        <v>8</v>
      </c>
      <c r="CT226" s="27" t="s">
        <v>7</v>
      </c>
      <c r="CV226" s="31"/>
    </row>
    <row r="227" spans="1:111" x14ac:dyDescent="0.25">
      <c r="A227" s="30">
        <v>1.8856491423232367</v>
      </c>
      <c r="E227"/>
      <c r="BU227" s="27" t="s">
        <v>8</v>
      </c>
      <c r="BV227" s="27" t="s">
        <v>7</v>
      </c>
      <c r="BW227" s="27" t="s">
        <v>8</v>
      </c>
      <c r="BZ227" s="31"/>
      <c r="CC227" s="27" t="s">
        <v>8</v>
      </c>
      <c r="CI227" s="27" t="s">
        <v>8</v>
      </c>
      <c r="CJ227" s="27" t="s">
        <v>7</v>
      </c>
      <c r="CR227" s="27" t="s">
        <v>7</v>
      </c>
      <c r="CT227" s="31" t="s">
        <v>7</v>
      </c>
      <c r="CW227" s="31"/>
    </row>
    <row r="228" spans="1:111" x14ac:dyDescent="0.25">
      <c r="A228" s="30">
        <v>1.7958563260221301</v>
      </c>
      <c r="C228" s="7"/>
      <c r="D228"/>
      <c r="E228"/>
      <c r="BS228" s="27" t="s">
        <v>8</v>
      </c>
      <c r="BU228" s="27" t="s">
        <v>8</v>
      </c>
      <c r="BV228" s="27" t="s">
        <v>7</v>
      </c>
      <c r="BW228" s="27" t="s">
        <v>8</v>
      </c>
      <c r="BX228" s="27" t="s">
        <v>7</v>
      </c>
      <c r="CA228" s="31" t="s">
        <v>8</v>
      </c>
      <c r="CC228" s="27" t="s">
        <v>8</v>
      </c>
      <c r="CD228" s="31" t="s">
        <v>7</v>
      </c>
      <c r="CI228" s="27" t="s">
        <v>8</v>
      </c>
      <c r="CS228" s="31"/>
      <c r="CT228" s="27" t="s">
        <v>7</v>
      </c>
      <c r="CX228" s="31"/>
    </row>
    <row r="229" spans="1:111" x14ac:dyDescent="0.25">
      <c r="A229" s="30">
        <v>1.7103393581163142</v>
      </c>
      <c r="E229"/>
      <c r="BS229" s="27" t="s">
        <v>8</v>
      </c>
      <c r="BT229" s="27" t="s">
        <v>7</v>
      </c>
      <c r="BU229" s="27" t="s">
        <v>8</v>
      </c>
      <c r="BV229" s="27" t="s">
        <v>7</v>
      </c>
      <c r="BW229" s="27" t="s">
        <v>8</v>
      </c>
      <c r="BX229" s="27" t="s">
        <v>7</v>
      </c>
      <c r="CA229" s="27" t="s">
        <v>8</v>
      </c>
      <c r="CB229" s="31" t="s">
        <v>7</v>
      </c>
      <c r="CC229" s="27" t="s">
        <v>8</v>
      </c>
      <c r="CD229" s="27" t="s">
        <v>7</v>
      </c>
      <c r="CE229" s="31"/>
      <c r="CI229" s="27" t="s">
        <v>8</v>
      </c>
      <c r="CR229" s="31"/>
      <c r="CT229" s="27" t="s">
        <v>7</v>
      </c>
      <c r="CU229" s="27" t="s">
        <v>8</v>
      </c>
      <c r="CW229" s="31"/>
      <c r="CY229" s="31"/>
    </row>
    <row r="230" spans="1:111" x14ac:dyDescent="0.25">
      <c r="A230" s="30">
        <v>1.628894626777442</v>
      </c>
      <c r="E230"/>
      <c r="BS230" s="27" t="s">
        <v>8</v>
      </c>
      <c r="BT230" s="27" t="s">
        <v>7</v>
      </c>
      <c r="BU230" s="27" t="s">
        <v>8</v>
      </c>
      <c r="BV230" s="27" t="s">
        <v>7</v>
      </c>
      <c r="BW230" s="27" t="s">
        <v>8</v>
      </c>
      <c r="BX230" s="27" t="s">
        <v>7</v>
      </c>
      <c r="CA230" s="33" t="s">
        <v>8</v>
      </c>
      <c r="CB230" s="27" t="s">
        <v>7</v>
      </c>
      <c r="CC230" s="27" t="s">
        <v>8</v>
      </c>
      <c r="CD230" s="27" t="s">
        <v>7</v>
      </c>
      <c r="CE230" s="27" t="s">
        <v>8</v>
      </c>
      <c r="CF230" s="31"/>
      <c r="CI230" s="27" t="s">
        <v>8</v>
      </c>
      <c r="CQ230" s="31"/>
      <c r="CT230" s="27" t="s">
        <v>7</v>
      </c>
      <c r="CU230" s="27" t="s">
        <v>8</v>
      </c>
      <c r="CV230" s="31" t="s">
        <v>7</v>
      </c>
      <c r="CZ230" s="31"/>
      <c r="DC230" s="27" t="s">
        <v>8</v>
      </c>
    </row>
    <row r="231" spans="1:111" x14ac:dyDescent="0.25">
      <c r="A231" s="30">
        <v>1.5513282159785162</v>
      </c>
      <c r="C231"/>
      <c r="D231"/>
      <c r="E231"/>
      <c r="BO231" s="27" t="s">
        <v>8</v>
      </c>
      <c r="BS231" s="27" t="s">
        <v>8</v>
      </c>
      <c r="BT231" s="27" t="s">
        <v>7</v>
      </c>
      <c r="BV231" s="27" t="s">
        <v>7</v>
      </c>
      <c r="BW231" s="27" t="s">
        <v>8</v>
      </c>
      <c r="BX231" s="27" t="s">
        <v>7</v>
      </c>
      <c r="BY231" s="27" t="s">
        <v>8</v>
      </c>
      <c r="CA231" s="27" t="s">
        <v>8</v>
      </c>
      <c r="CB231" s="27" t="s">
        <v>7</v>
      </c>
      <c r="CC231" s="27" t="s">
        <v>8</v>
      </c>
      <c r="CD231" s="27" t="s">
        <v>7</v>
      </c>
      <c r="CE231" s="27" t="s">
        <v>8</v>
      </c>
      <c r="CF231" s="27" t="s">
        <v>7</v>
      </c>
      <c r="CG231" s="31"/>
      <c r="CI231" s="33" t="s">
        <v>8</v>
      </c>
      <c r="CP231" s="31"/>
      <c r="CT231" s="27" t="s">
        <v>7</v>
      </c>
      <c r="CU231" s="31" t="s">
        <v>8</v>
      </c>
      <c r="CV231" s="27" t="s">
        <v>7</v>
      </c>
      <c r="DA231" s="31" t="s">
        <v>8</v>
      </c>
      <c r="DC231" s="27" t="s">
        <v>8</v>
      </c>
      <c r="DD231" s="27" t="s">
        <v>7</v>
      </c>
    </row>
    <row r="232" spans="1:111" x14ac:dyDescent="0.25">
      <c r="A232" s="30">
        <v>1.477455443789063</v>
      </c>
      <c r="E232"/>
      <c r="BG232" s="27" t="s">
        <v>8</v>
      </c>
      <c r="BO232" s="27" t="s">
        <v>8</v>
      </c>
      <c r="BP232" s="27" t="s">
        <v>7</v>
      </c>
      <c r="BS232" s="27" t="s">
        <v>8</v>
      </c>
      <c r="BV232" s="34" t="s">
        <v>7</v>
      </c>
      <c r="BW232" s="27" t="s">
        <v>8</v>
      </c>
      <c r="BX232" s="27" t="s">
        <v>7</v>
      </c>
      <c r="BY232" s="27" t="s">
        <v>8</v>
      </c>
      <c r="BZ232" s="27" t="s">
        <v>7</v>
      </c>
      <c r="CA232" s="27" t="s">
        <v>8</v>
      </c>
      <c r="CB232" s="27" t="s">
        <v>7</v>
      </c>
      <c r="CC232" s="27" t="s">
        <v>8</v>
      </c>
      <c r="CD232" s="27" t="s">
        <v>7</v>
      </c>
      <c r="CE232" s="27" t="s">
        <v>8</v>
      </c>
      <c r="CF232" s="27" t="s">
        <v>7</v>
      </c>
      <c r="CG232" s="27" t="s">
        <v>8</v>
      </c>
      <c r="CH232" s="31"/>
      <c r="CI232" s="27" t="s">
        <v>8</v>
      </c>
      <c r="CO232" s="31"/>
      <c r="CT232" s="31" t="s">
        <v>7</v>
      </c>
      <c r="CV232" s="27" t="s">
        <v>7</v>
      </c>
      <c r="CW232" s="27" t="s">
        <v>8</v>
      </c>
      <c r="DA232" s="27" t="s">
        <v>8</v>
      </c>
      <c r="DB232" s="31" t="s">
        <v>7</v>
      </c>
      <c r="DC232" s="27" t="s">
        <v>8</v>
      </c>
      <c r="DD232" s="27" t="s">
        <v>7</v>
      </c>
    </row>
    <row r="233" spans="1:111" x14ac:dyDescent="0.25">
      <c r="A233" s="30">
        <v>1.4071004226562505</v>
      </c>
      <c r="E233"/>
      <c r="BG233" s="27" t="s">
        <v>8</v>
      </c>
      <c r="BH233" s="27" t="s">
        <v>7</v>
      </c>
      <c r="BM233" s="27" t="s">
        <v>8</v>
      </c>
      <c r="BO233" s="27" t="s">
        <v>8</v>
      </c>
      <c r="BP233" s="27" t="s">
        <v>7</v>
      </c>
      <c r="BS233" s="27" t="s">
        <v>8</v>
      </c>
      <c r="BV233" s="27" t="s">
        <v>7</v>
      </c>
      <c r="BW233" s="27" t="s">
        <v>8</v>
      </c>
      <c r="BX233" s="27" t="s">
        <v>7</v>
      </c>
      <c r="BY233" s="27" t="s">
        <v>8</v>
      </c>
      <c r="BZ233" s="27" t="s">
        <v>7</v>
      </c>
      <c r="CA233" s="27" t="s">
        <v>8</v>
      </c>
      <c r="CB233" s="27" t="s">
        <v>7</v>
      </c>
      <c r="CC233" s="27" t="s">
        <v>8</v>
      </c>
      <c r="CD233" s="27" t="s">
        <v>7</v>
      </c>
      <c r="CF233" s="27" t="s">
        <v>7</v>
      </c>
      <c r="CG233" s="27" t="s">
        <v>8</v>
      </c>
      <c r="CH233" s="27" t="s">
        <v>7</v>
      </c>
      <c r="CI233" s="31" t="s">
        <v>8</v>
      </c>
      <c r="CN233" s="31"/>
      <c r="CS233" s="31"/>
      <c r="CV233" s="27" t="s">
        <v>7</v>
      </c>
      <c r="CW233" s="27" t="s">
        <v>8</v>
      </c>
      <c r="CX233" s="27" t="s">
        <v>7</v>
      </c>
      <c r="CY233" s="27" t="s">
        <v>8</v>
      </c>
      <c r="DA233" s="27" t="s">
        <v>8</v>
      </c>
      <c r="DB233" s="27" t="s">
        <v>7</v>
      </c>
      <c r="DC233" s="27" t="s">
        <v>8</v>
      </c>
      <c r="DD233" s="27" t="s">
        <v>7</v>
      </c>
    </row>
    <row r="234" spans="1:111" x14ac:dyDescent="0.25">
      <c r="A234" s="30">
        <v>1.3400956406250004</v>
      </c>
      <c r="E234"/>
      <c r="BG234" s="27" t="s">
        <v>8</v>
      </c>
      <c r="BH234" s="27" t="s">
        <v>7</v>
      </c>
      <c r="BI234" s="27" t="s">
        <v>8</v>
      </c>
      <c r="BM234" s="27" t="s">
        <v>8</v>
      </c>
      <c r="BN234" s="27" t="s">
        <v>7</v>
      </c>
      <c r="BO234" s="27" t="s">
        <v>8</v>
      </c>
      <c r="BP234" s="27" t="s">
        <v>7</v>
      </c>
      <c r="BS234" s="33" t="s">
        <v>8</v>
      </c>
      <c r="BV234" s="27" t="s">
        <v>7</v>
      </c>
      <c r="BW234" s="27" t="s">
        <v>8</v>
      </c>
      <c r="BX234" s="27" t="s">
        <v>7</v>
      </c>
      <c r="BZ234" s="27" t="s">
        <v>7</v>
      </c>
      <c r="CA234" s="27" t="s">
        <v>8</v>
      </c>
      <c r="CB234" s="27" t="s">
        <v>7</v>
      </c>
      <c r="CF234" s="34" t="s">
        <v>7</v>
      </c>
      <c r="CG234" s="27" t="s">
        <v>8</v>
      </c>
      <c r="CH234" s="27" t="s">
        <v>7</v>
      </c>
      <c r="CI234" s="27" t="s">
        <v>8</v>
      </c>
      <c r="CJ234" s="31"/>
      <c r="CM234" s="31"/>
      <c r="CR234" s="31"/>
      <c r="CV234" s="27" t="s">
        <v>7</v>
      </c>
      <c r="CW234" s="27" t="s">
        <v>8</v>
      </c>
      <c r="CX234" s="27" t="s">
        <v>7</v>
      </c>
      <c r="CY234" s="27" t="s">
        <v>8</v>
      </c>
      <c r="CZ234" s="27" t="s">
        <v>7</v>
      </c>
      <c r="DA234" s="27" t="s">
        <v>8</v>
      </c>
      <c r="DB234" s="27" t="s">
        <v>7</v>
      </c>
      <c r="DC234" s="27" t="s">
        <v>8</v>
      </c>
      <c r="DD234" s="27" t="s">
        <v>7</v>
      </c>
    </row>
    <row r="235" spans="1:111" x14ac:dyDescent="0.25">
      <c r="A235" s="30">
        <v>1.2762815625000004</v>
      </c>
      <c r="C235"/>
      <c r="E235"/>
      <c r="BG235" s="27" t="s">
        <v>8</v>
      </c>
      <c r="BH235" s="27" t="s">
        <v>7</v>
      </c>
      <c r="BI235" s="27" t="s">
        <v>8</v>
      </c>
      <c r="BJ235" s="27" t="s">
        <v>7</v>
      </c>
      <c r="BM235" s="33" t="s">
        <v>8</v>
      </c>
      <c r="BN235" s="27" t="s">
        <v>7</v>
      </c>
      <c r="BO235" s="27" t="s">
        <v>8</v>
      </c>
      <c r="BP235" s="27" t="s">
        <v>7</v>
      </c>
      <c r="BQ235" s="27" t="s">
        <v>8</v>
      </c>
      <c r="BS235" s="27" t="s">
        <v>8</v>
      </c>
      <c r="BV235" s="27" t="s">
        <v>7</v>
      </c>
      <c r="BW235" s="27" t="s">
        <v>8</v>
      </c>
      <c r="BZ235" s="27" t="s">
        <v>7</v>
      </c>
      <c r="CA235" s="27" t="s">
        <v>8</v>
      </c>
      <c r="CF235" s="27" t="s">
        <v>7</v>
      </c>
      <c r="CG235" s="27" t="s">
        <v>8</v>
      </c>
      <c r="CH235" s="27" t="s">
        <v>7</v>
      </c>
      <c r="CI235" s="27" t="s">
        <v>8</v>
      </c>
      <c r="CL235" s="31"/>
      <c r="CQ235" s="31"/>
      <c r="CV235" s="27" t="s">
        <v>7</v>
      </c>
      <c r="CW235" s="27" t="s">
        <v>8</v>
      </c>
      <c r="CX235" s="27" t="s">
        <v>7</v>
      </c>
      <c r="CY235" s="27" t="s">
        <v>8</v>
      </c>
      <c r="CZ235" s="27" t="s">
        <v>7</v>
      </c>
      <c r="DA235" s="27" t="s">
        <v>8</v>
      </c>
      <c r="DB235" s="27" t="s">
        <v>7</v>
      </c>
      <c r="DC235" s="27" t="s">
        <v>8</v>
      </c>
      <c r="DD235" s="27" t="s">
        <v>7</v>
      </c>
    </row>
    <row r="236" spans="1:111" x14ac:dyDescent="0.25">
      <c r="A236" s="30">
        <v>1.2155062500000002</v>
      </c>
      <c r="E236"/>
      <c r="BG236" s="27" t="s">
        <v>8</v>
      </c>
      <c r="BH236" s="27" t="s">
        <v>7</v>
      </c>
      <c r="BI236" s="27" t="s">
        <v>8</v>
      </c>
      <c r="BJ236" s="27" t="s">
        <v>7</v>
      </c>
      <c r="BK236" s="27" t="s">
        <v>8</v>
      </c>
      <c r="BM236" s="27" t="s">
        <v>8</v>
      </c>
      <c r="BN236" s="27" t="s">
        <v>7</v>
      </c>
      <c r="BO236" s="27" t="s">
        <v>8</v>
      </c>
      <c r="BP236" s="27" t="s">
        <v>7</v>
      </c>
      <c r="BQ236" s="27" t="s">
        <v>8</v>
      </c>
      <c r="BR236" s="27" t="s">
        <v>7</v>
      </c>
      <c r="BS236" s="27" t="s">
        <v>8</v>
      </c>
      <c r="BV236" s="27" t="s">
        <v>7</v>
      </c>
      <c r="BW236" s="27" t="s">
        <v>8</v>
      </c>
      <c r="BZ236" s="27" t="s">
        <v>7</v>
      </c>
      <c r="CA236" s="27" t="s">
        <v>8</v>
      </c>
      <c r="CF236" s="27" t="s">
        <v>7</v>
      </c>
      <c r="CG236" s="27" t="s">
        <v>8</v>
      </c>
      <c r="CH236" s="27" t="s">
        <v>7</v>
      </c>
      <c r="CI236" s="27" t="s">
        <v>8</v>
      </c>
      <c r="CK236" s="31"/>
      <c r="CP236" s="31"/>
      <c r="CV236" s="32" t="s">
        <v>7</v>
      </c>
      <c r="CX236" s="32" t="s">
        <v>7</v>
      </c>
      <c r="CZ236" s="32" t="s">
        <v>7</v>
      </c>
      <c r="DB236" s="27" t="s">
        <v>7</v>
      </c>
      <c r="DC236" s="27" t="s">
        <v>8</v>
      </c>
      <c r="DD236" s="27" t="s">
        <v>7</v>
      </c>
    </row>
    <row r="237" spans="1:11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E237" s="27" t="s">
        <v>8</v>
      </c>
      <c r="BG237" s="27" t="s">
        <v>8</v>
      </c>
      <c r="BH237" s="27" t="s">
        <v>7</v>
      </c>
      <c r="BJ237" s="27" t="s">
        <v>7</v>
      </c>
      <c r="BK237" s="27" t="s">
        <v>8</v>
      </c>
      <c r="BL237" s="27" t="s">
        <v>7</v>
      </c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V237" s="27" t="s">
        <v>7</v>
      </c>
      <c r="BW237" s="27" t="s">
        <v>8</v>
      </c>
      <c r="BZ237" s="27" t="s">
        <v>7</v>
      </c>
      <c r="CA237" s="27" t="s">
        <v>8</v>
      </c>
      <c r="CF237" s="27" t="s">
        <v>7</v>
      </c>
      <c r="CG237" s="27" t="s">
        <v>8</v>
      </c>
      <c r="CH237" s="18" t="s">
        <v>7</v>
      </c>
      <c r="CI237" s="27" t="s">
        <v>8</v>
      </c>
      <c r="CJ237" s="31"/>
      <c r="CO237" s="31"/>
      <c r="DB237" s="27" t="s">
        <v>7</v>
      </c>
      <c r="DC237" s="27" t="s">
        <v>8</v>
      </c>
      <c r="DD237" s="27" t="s">
        <v>7</v>
      </c>
      <c r="DE237" s="27" t="s">
        <v>8</v>
      </c>
    </row>
    <row r="238" spans="1:111" x14ac:dyDescent="0.25">
      <c r="A238" s="30">
        <v>1.1025</v>
      </c>
      <c r="E238"/>
      <c r="BE238" s="27" t="s">
        <v>8</v>
      </c>
      <c r="BF238" s="27" t="s">
        <v>7</v>
      </c>
      <c r="BG238" s="27" t="s">
        <v>8</v>
      </c>
      <c r="BJ238" s="34" t="s">
        <v>7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BP238" s="27" t="s">
        <v>7</v>
      </c>
      <c r="BR238" s="27" t="s">
        <v>7</v>
      </c>
      <c r="BS238" s="27" t="s">
        <v>8</v>
      </c>
      <c r="BV238" s="27" t="s">
        <v>7</v>
      </c>
      <c r="BW238" s="27" t="s">
        <v>8</v>
      </c>
      <c r="BZ238" s="27" t="s">
        <v>7</v>
      </c>
      <c r="CF238" s="27" t="s">
        <v>7</v>
      </c>
      <c r="CG238" s="27" t="s">
        <v>8</v>
      </c>
      <c r="CH238" s="27" t="s">
        <v>7</v>
      </c>
      <c r="CI238" s="31" t="s">
        <v>8</v>
      </c>
      <c r="CN238" s="31"/>
      <c r="DB238" s="27" t="s">
        <v>7</v>
      </c>
      <c r="DD238" s="27" t="s">
        <v>7</v>
      </c>
      <c r="DE238" s="27" t="s">
        <v>8</v>
      </c>
      <c r="DF238" s="27" t="s">
        <v>7</v>
      </c>
      <c r="DG238" s="27" t="s">
        <v>8</v>
      </c>
    </row>
    <row r="239" spans="1:111" x14ac:dyDescent="0.25">
      <c r="A239" s="30">
        <v>1.05</v>
      </c>
      <c r="E239"/>
      <c r="BE239" s="27" t="s">
        <v>8</v>
      </c>
      <c r="BF239" s="27" t="s">
        <v>7</v>
      </c>
      <c r="BG239" s="27" t="s">
        <v>8</v>
      </c>
      <c r="BJ239" s="27" t="s">
        <v>7</v>
      </c>
      <c r="BL239" s="27" t="s">
        <v>7</v>
      </c>
      <c r="BM239" s="27" t="s">
        <v>8</v>
      </c>
      <c r="BN239" s="27" t="s">
        <v>7</v>
      </c>
      <c r="BR239" s="34" t="s">
        <v>7</v>
      </c>
      <c r="BS239" s="27" t="s">
        <v>8</v>
      </c>
      <c r="BV239" s="27" t="s">
        <v>7</v>
      </c>
      <c r="CF239" s="32" t="s">
        <v>7</v>
      </c>
      <c r="CH239" s="32" t="s">
        <v>7</v>
      </c>
      <c r="CM239" s="31"/>
      <c r="DD239" s="27" t="s">
        <v>7</v>
      </c>
      <c r="DE239" s="27" t="s">
        <v>8</v>
      </c>
      <c r="DF239" s="27" t="s">
        <v>7</v>
      </c>
      <c r="DG239" s="27" t="s">
        <v>8</v>
      </c>
    </row>
    <row r="240" spans="1:111" x14ac:dyDescent="0.25">
      <c r="A240" s="30">
        <v>1</v>
      </c>
      <c r="E240" s="29" t="s">
        <v>8</v>
      </c>
      <c r="BE240" s="27" t="s">
        <v>8</v>
      </c>
      <c r="BF240" s="27" t="s">
        <v>7</v>
      </c>
      <c r="BG240" s="27" t="s">
        <v>8</v>
      </c>
      <c r="BL240" s="27" t="s">
        <v>7</v>
      </c>
      <c r="BR240" s="27" t="s">
        <v>7</v>
      </c>
      <c r="BS240" s="27" t="s">
        <v>8</v>
      </c>
      <c r="CL240" s="31"/>
      <c r="DD240" s="27" t="s">
        <v>7</v>
      </c>
      <c r="DE240" s="27" t="s">
        <v>8</v>
      </c>
      <c r="DF240" s="27" t="s">
        <v>7</v>
      </c>
      <c r="DG240" s="27" t="s">
        <v>8</v>
      </c>
    </row>
    <row r="241" spans="1:110" x14ac:dyDescent="0.25">
      <c r="A241" s="30">
        <v>0.952380952380952</v>
      </c>
      <c r="B241"/>
      <c r="C241"/>
      <c r="D241"/>
      <c r="E241"/>
      <c r="F241" s="27" t="s">
        <v>7</v>
      </c>
      <c r="BC241" s="27" t="s">
        <v>8</v>
      </c>
      <c r="BE241" s="27" t="s">
        <v>8</v>
      </c>
      <c r="BF241" s="27" t="s">
        <v>7</v>
      </c>
      <c r="BG241" s="27" t="s">
        <v>8</v>
      </c>
      <c r="BR241" s="27" t="s">
        <v>7</v>
      </c>
      <c r="CK241" s="31"/>
      <c r="DD241" s="27" t="s">
        <v>7</v>
      </c>
      <c r="DF241" s="27" t="s">
        <v>7</v>
      </c>
    </row>
    <row r="242" spans="1:110" x14ac:dyDescent="0.25">
      <c r="A242" s="30">
        <v>0.90702947845804915</v>
      </c>
      <c r="B242"/>
      <c r="C242"/>
      <c r="D242"/>
      <c r="E242"/>
      <c r="F242" s="27" t="s">
        <v>7</v>
      </c>
      <c r="BC242" s="27" t="s">
        <v>8</v>
      </c>
      <c r="BD242" s="27" t="s">
        <v>7</v>
      </c>
      <c r="BE242" s="27" t="s">
        <v>8</v>
      </c>
      <c r="BF242" s="27" t="s">
        <v>7</v>
      </c>
      <c r="BG242" s="27" t="s">
        <v>8</v>
      </c>
      <c r="CJ242" s="31"/>
    </row>
    <row r="243" spans="1:110" x14ac:dyDescent="0.25">
      <c r="A243" s="30">
        <v>0.86383759853147501</v>
      </c>
      <c r="B243"/>
      <c r="C243"/>
      <c r="D243"/>
      <c r="E243"/>
      <c r="F243" s="27" t="s">
        <v>7</v>
      </c>
      <c r="BC243" s="27" t="s">
        <v>8</v>
      </c>
      <c r="BD243" s="27" t="s">
        <v>7</v>
      </c>
      <c r="BE243" s="27" t="s">
        <v>8</v>
      </c>
      <c r="BF243" s="27" t="s">
        <v>7</v>
      </c>
      <c r="BG243" s="27" t="s">
        <v>8</v>
      </c>
      <c r="CI243" s="31"/>
    </row>
    <row r="244" spans="1:110" x14ac:dyDescent="0.25">
      <c r="A244" s="30">
        <v>0.82270247479188063</v>
      </c>
      <c r="B244"/>
      <c r="C244"/>
      <c r="D244"/>
      <c r="E244"/>
      <c r="F244" s="27" t="s">
        <v>7</v>
      </c>
      <c r="BC244" s="27" t="s">
        <v>8</v>
      </c>
      <c r="BD244" s="27" t="s">
        <v>7</v>
      </c>
      <c r="BE244" s="27" t="s">
        <v>8</v>
      </c>
      <c r="BF244" s="27" t="s">
        <v>7</v>
      </c>
      <c r="CH244" s="31"/>
    </row>
    <row r="245" spans="1:110" x14ac:dyDescent="0.25">
      <c r="A245" s="30">
        <v>0.78352616646845741</v>
      </c>
      <c r="B245"/>
      <c r="C245"/>
      <c r="D245"/>
      <c r="E245"/>
      <c r="F245" s="27" t="s">
        <v>7</v>
      </c>
      <c r="BC245" s="27" t="s">
        <v>8</v>
      </c>
      <c r="BD245" s="27" t="s">
        <v>7</v>
      </c>
      <c r="BE245" s="27" t="s">
        <v>8</v>
      </c>
      <c r="CG245" s="31"/>
    </row>
    <row r="246" spans="1:110" x14ac:dyDescent="0.25">
      <c r="A246" s="30">
        <v>0.74621539663662584</v>
      </c>
      <c r="B246"/>
      <c r="C246"/>
      <c r="D246"/>
      <c r="E246"/>
      <c r="F246" s="27" t="s">
        <v>7</v>
      </c>
      <c r="BC246" s="27" t="s">
        <v>8</v>
      </c>
      <c r="BD246" s="27" t="s">
        <v>7</v>
      </c>
      <c r="BE246" s="27" t="s">
        <v>8</v>
      </c>
      <c r="CF246" s="31"/>
    </row>
    <row r="247" spans="1:110" x14ac:dyDescent="0.25">
      <c r="A247" s="30">
        <v>0.71068133013011958</v>
      </c>
      <c r="B247"/>
      <c r="C247"/>
      <c r="D247"/>
      <c r="E247"/>
      <c r="F247" s="27" t="s">
        <v>7</v>
      </c>
      <c r="BC247" s="27" t="s">
        <v>8</v>
      </c>
      <c r="BD247" s="27" t="s">
        <v>7</v>
      </c>
    </row>
    <row r="248" spans="1:110" x14ac:dyDescent="0.25">
      <c r="A248" s="30">
        <v>0.676839362028685</v>
      </c>
      <c r="B248"/>
      <c r="C248"/>
      <c r="D248"/>
      <c r="E248"/>
      <c r="F248" s="27" t="s">
        <v>7</v>
      </c>
      <c r="BC248" s="27" t="s">
        <v>8</v>
      </c>
      <c r="CD248" s="31"/>
    </row>
    <row r="249" spans="1:110" x14ac:dyDescent="0.25">
      <c r="A249" s="30">
        <v>0.64460891621779492</v>
      </c>
      <c r="B249"/>
      <c r="C249"/>
      <c r="D249"/>
      <c r="E249"/>
      <c r="F249" s="27" t="s">
        <v>7</v>
      </c>
      <c r="BC249" s="27" t="s">
        <v>8</v>
      </c>
    </row>
    <row r="250" spans="1:110" x14ac:dyDescent="0.25">
      <c r="A250" s="30">
        <v>0.61391325354075688</v>
      </c>
      <c r="B250"/>
      <c r="C250"/>
      <c r="D250"/>
      <c r="E250"/>
      <c r="F250" s="27" t="s">
        <v>7</v>
      </c>
      <c r="BC250" s="27" t="s">
        <v>8</v>
      </c>
      <c r="CB250" s="31"/>
    </row>
    <row r="251" spans="1:110" x14ac:dyDescent="0.25">
      <c r="A251" s="30">
        <v>0.58467928908643485</v>
      </c>
      <c r="B251"/>
      <c r="C251"/>
      <c r="D251"/>
      <c r="E251"/>
      <c r="F251" s="27" t="s">
        <v>7</v>
      </c>
      <c r="BC251" s="27" t="s">
        <v>8</v>
      </c>
    </row>
    <row r="252" spans="1:110" x14ac:dyDescent="0.25">
      <c r="A252" s="30">
        <v>0.55683741817755672</v>
      </c>
      <c r="B252"/>
      <c r="C252"/>
      <c r="D252"/>
      <c r="E252"/>
      <c r="F252" s="27" t="s">
        <v>7</v>
      </c>
      <c r="BC252" s="27" t="s">
        <v>8</v>
      </c>
      <c r="BZ252" s="31"/>
    </row>
    <row r="253" spans="1:110" x14ac:dyDescent="0.25">
      <c r="A253" s="30">
        <v>0.53032135064529184</v>
      </c>
      <c r="B253"/>
      <c r="C253"/>
      <c r="D253"/>
      <c r="E253"/>
      <c r="F253" s="27" t="s">
        <v>7</v>
      </c>
      <c r="BC253" s="27" t="s">
        <v>8</v>
      </c>
    </row>
    <row r="254" spans="1:110" x14ac:dyDescent="0.25">
      <c r="A254" s="30">
        <v>0.50506795299551588</v>
      </c>
      <c r="B254"/>
      <c r="C254"/>
      <c r="D254"/>
      <c r="E254"/>
      <c r="F254" s="27" t="s">
        <v>7</v>
      </c>
      <c r="BC254" s="27" t="s">
        <v>8</v>
      </c>
      <c r="BX254" s="31"/>
    </row>
    <row r="255" spans="1:110" x14ac:dyDescent="0.25">
      <c r="A255" s="30">
        <v>0.48101709809096732</v>
      </c>
      <c r="E255"/>
      <c r="F255" s="27" t="s">
        <v>7</v>
      </c>
      <c r="BC255" s="27" t="s">
        <v>8</v>
      </c>
    </row>
    <row r="256" spans="1:110" x14ac:dyDescent="0.25">
      <c r="A256" s="30">
        <v>0.45811152199139726</v>
      </c>
      <c r="E256"/>
      <c r="F256" s="27" t="s">
        <v>7</v>
      </c>
      <c r="BC256" s="27" t="s">
        <v>8</v>
      </c>
    </row>
    <row r="257" spans="1:73" x14ac:dyDescent="0.25">
      <c r="A257" s="30">
        <v>0.43629668761085438</v>
      </c>
      <c r="B257"/>
      <c r="C257"/>
      <c r="D257"/>
      <c r="E257"/>
      <c r="F257" s="27" t="s">
        <v>7</v>
      </c>
      <c r="BC257" s="27" t="s">
        <v>8</v>
      </c>
      <c r="BU257" s="31"/>
    </row>
    <row r="258" spans="1:73" x14ac:dyDescent="0.25">
      <c r="A258" s="30">
        <v>0.41552065486748019</v>
      </c>
      <c r="B258"/>
      <c r="C258"/>
      <c r="D258"/>
      <c r="E258"/>
      <c r="F258" s="27" t="s">
        <v>7</v>
      </c>
      <c r="BC258" s="27" t="s">
        <v>8</v>
      </c>
    </row>
    <row r="259" spans="1:73" x14ac:dyDescent="0.25">
      <c r="A259" s="30">
        <v>0.39573395701664765</v>
      </c>
      <c r="B259"/>
      <c r="C259"/>
      <c r="D259"/>
      <c r="E259"/>
      <c r="F259" s="27" t="s">
        <v>7</v>
      </c>
      <c r="AY259" s="27" t="s">
        <v>8</v>
      </c>
      <c r="BC259" s="27" t="s">
        <v>8</v>
      </c>
    </row>
    <row r="260" spans="1:73" x14ac:dyDescent="0.25">
      <c r="A260" s="30">
        <v>0.37688948287299762</v>
      </c>
      <c r="B260"/>
      <c r="C260"/>
      <c r="D260"/>
      <c r="E260"/>
      <c r="F260" s="27" t="s">
        <v>7</v>
      </c>
      <c r="AY260" s="27" t="s">
        <v>8</v>
      </c>
      <c r="AZ260" s="27" t="s">
        <v>7</v>
      </c>
      <c r="BC260" s="27" t="s">
        <v>8</v>
      </c>
    </row>
    <row r="261" spans="1:73" x14ac:dyDescent="0.25">
      <c r="A261" s="30">
        <v>0.35894236464094997</v>
      </c>
      <c r="B261"/>
      <c r="C261"/>
      <c r="D261"/>
      <c r="E261"/>
      <c r="F261" s="27" t="s">
        <v>7</v>
      </c>
      <c r="AY261" s="27" t="s">
        <v>8</v>
      </c>
      <c r="AZ261" s="27" t="s">
        <v>7</v>
      </c>
      <c r="BA261" s="27" t="s">
        <v>8</v>
      </c>
      <c r="BC261" s="27" t="s">
        <v>8</v>
      </c>
      <c r="BQ261" s="31"/>
    </row>
    <row r="262" spans="1:73" x14ac:dyDescent="0.25">
      <c r="A262" s="30">
        <v>0.34184987108661891</v>
      </c>
      <c r="B262"/>
      <c r="C262"/>
      <c r="D262"/>
      <c r="E262"/>
      <c r="F262" s="27" t="s">
        <v>7</v>
      </c>
      <c r="AU262" s="27" t="s">
        <v>8</v>
      </c>
      <c r="AY262" s="33" t="s">
        <v>8</v>
      </c>
      <c r="AZ262" s="27" t="s">
        <v>7</v>
      </c>
      <c r="BA262" s="27" t="s">
        <v>8</v>
      </c>
      <c r="BB262" s="27" t="s">
        <v>7</v>
      </c>
      <c r="BC262" s="27" t="s">
        <v>8</v>
      </c>
    </row>
    <row r="263" spans="1:73" x14ac:dyDescent="0.25">
      <c r="A263" s="30">
        <v>0.32557130579677979</v>
      </c>
      <c r="B263"/>
      <c r="C263"/>
      <c r="D263"/>
      <c r="E263"/>
      <c r="F263" s="27" t="s">
        <v>7</v>
      </c>
      <c r="AU263" s="27" t="s">
        <v>8</v>
      </c>
      <c r="AV263" s="27" t="s">
        <v>7</v>
      </c>
      <c r="AW263" s="27" t="s">
        <v>8</v>
      </c>
      <c r="AY263" s="27" t="s">
        <v>8</v>
      </c>
      <c r="AZ263" s="27" t="s">
        <v>7</v>
      </c>
      <c r="BA263" s="27" t="s">
        <v>8</v>
      </c>
      <c r="BB263" s="27" t="s">
        <v>7</v>
      </c>
      <c r="BC263" s="27" t="s">
        <v>8</v>
      </c>
    </row>
    <row r="264" spans="1:73" x14ac:dyDescent="0.25">
      <c r="A264" s="30">
        <v>0.3100679102826473</v>
      </c>
      <c r="B264"/>
      <c r="C264"/>
      <c r="D264"/>
      <c r="E264"/>
      <c r="F264" s="27" t="s">
        <v>7</v>
      </c>
      <c r="AU264" s="27" t="s">
        <v>8</v>
      </c>
      <c r="AV264" s="27" t="s">
        <v>7</v>
      </c>
      <c r="AW264" s="27" t="s">
        <v>8</v>
      </c>
      <c r="AX264" s="27" t="s">
        <v>7</v>
      </c>
      <c r="AY264" s="27" t="s">
        <v>8</v>
      </c>
      <c r="AZ264" s="27" t="s">
        <v>7</v>
      </c>
      <c r="BA264" s="27" t="s">
        <v>8</v>
      </c>
      <c r="BB264" s="27" t="s">
        <v>7</v>
      </c>
    </row>
    <row r="265" spans="1:73" x14ac:dyDescent="0.25">
      <c r="A265" s="30">
        <v>0.2953027716977592</v>
      </c>
      <c r="B265"/>
      <c r="C265"/>
      <c r="D265"/>
      <c r="E265"/>
      <c r="F265" s="27" t="s">
        <v>7</v>
      </c>
      <c r="AU265" s="27" t="s">
        <v>8</v>
      </c>
      <c r="AV265" s="27" t="s">
        <v>7</v>
      </c>
      <c r="AW265" s="27" t="s">
        <v>8</v>
      </c>
      <c r="AX265" s="27" t="s">
        <v>7</v>
      </c>
      <c r="AY265" s="27" t="s">
        <v>8</v>
      </c>
      <c r="AZ265" s="27" t="s">
        <v>7</v>
      </c>
      <c r="BA265" s="27" t="s">
        <v>8</v>
      </c>
      <c r="BM265" s="31"/>
    </row>
    <row r="266" spans="1:73" x14ac:dyDescent="0.25">
      <c r="A266" s="30">
        <v>0.28124073495024676</v>
      </c>
      <c r="B266"/>
      <c r="C266"/>
      <c r="D266"/>
      <c r="E266"/>
      <c r="F266" s="27" t="s">
        <v>7</v>
      </c>
      <c r="AU266" s="27" t="s">
        <v>8</v>
      </c>
      <c r="AV266" s="27" t="s">
        <v>7</v>
      </c>
      <c r="AW266" s="27" t="s">
        <v>8</v>
      </c>
      <c r="AX266" s="27" t="s">
        <v>7</v>
      </c>
      <c r="AY266" s="27" t="s">
        <v>8</v>
      </c>
      <c r="AZ266" s="27" t="s">
        <v>7</v>
      </c>
    </row>
    <row r="267" spans="1:73" x14ac:dyDescent="0.25">
      <c r="A267" s="30">
        <v>0.26784831900023492</v>
      </c>
      <c r="B267"/>
      <c r="C267"/>
      <c r="D267"/>
      <c r="E267"/>
      <c r="F267" s="27" t="s">
        <v>7</v>
      </c>
      <c r="AU267" s="27" t="s">
        <v>8</v>
      </c>
      <c r="AV267" s="27" t="s">
        <v>7</v>
      </c>
      <c r="AX267" s="27" t="s">
        <v>7</v>
      </c>
      <c r="AY267" s="27" t="s">
        <v>8</v>
      </c>
      <c r="BK267" s="31"/>
    </row>
    <row r="268" spans="1:73" x14ac:dyDescent="0.25">
      <c r="A268" s="30">
        <v>0.25509363714308075</v>
      </c>
      <c r="B268"/>
      <c r="C268"/>
      <c r="D268"/>
      <c r="E268"/>
      <c r="F268" s="27" t="s">
        <v>7</v>
      </c>
      <c r="AU268" s="27" t="s">
        <v>8</v>
      </c>
      <c r="AX268" s="27" t="s">
        <v>7</v>
      </c>
      <c r="AY268" s="27" t="s">
        <v>8</v>
      </c>
    </row>
    <row r="269" spans="1:73" x14ac:dyDescent="0.25">
      <c r="A269" s="30">
        <v>0.24294632108864825</v>
      </c>
      <c r="B269"/>
      <c r="C269"/>
      <c r="D269"/>
      <c r="E269"/>
      <c r="F269" s="27" t="s">
        <v>7</v>
      </c>
      <c r="AU269" s="27" t="s">
        <v>8</v>
      </c>
      <c r="AX269" s="27" t="s">
        <v>7</v>
      </c>
      <c r="AY269" s="27" t="s">
        <v>8</v>
      </c>
      <c r="BI269" s="31"/>
    </row>
    <row r="270" spans="1:73" x14ac:dyDescent="0.25">
      <c r="A270" s="30">
        <v>0.23137744865585538</v>
      </c>
      <c r="B270"/>
      <c r="C270"/>
      <c r="D270"/>
      <c r="E270"/>
      <c r="F270" s="27" t="s">
        <v>7</v>
      </c>
      <c r="AU270" s="27" t="s">
        <v>8</v>
      </c>
      <c r="AX270" s="27" t="s">
        <v>7</v>
      </c>
    </row>
    <row r="271" spans="1:73" x14ac:dyDescent="0.25">
      <c r="A271" s="30">
        <v>0.22035947491033836</v>
      </c>
      <c r="B271"/>
      <c r="C271"/>
      <c r="D271"/>
      <c r="E271"/>
      <c r="F271" s="27" t="s">
        <v>7</v>
      </c>
      <c r="AU271" s="27" t="s">
        <v>8</v>
      </c>
      <c r="BG271" s="31"/>
    </row>
    <row r="272" spans="1:73" x14ac:dyDescent="0.25">
      <c r="A272" s="30">
        <v>0.20986616658127455</v>
      </c>
      <c r="B272"/>
      <c r="C272"/>
      <c r="D272"/>
      <c r="E272"/>
      <c r="F272" s="27" t="s">
        <v>7</v>
      </c>
      <c r="AU272" s="27" t="s">
        <v>8</v>
      </c>
      <c r="BF272" s="31"/>
    </row>
    <row r="273" spans="1:57" x14ac:dyDescent="0.25">
      <c r="A273" s="30">
        <v>0.19987253960121379</v>
      </c>
      <c r="B273"/>
      <c r="C273"/>
      <c r="D273"/>
      <c r="E273"/>
      <c r="F273" s="27" t="s">
        <v>7</v>
      </c>
      <c r="AU273" s="27" t="s">
        <v>8</v>
      </c>
      <c r="BE273" s="31"/>
    </row>
    <row r="274" spans="1:57" x14ac:dyDescent="0.25">
      <c r="A274" s="30">
        <v>0.19035479962020352</v>
      </c>
      <c r="B274"/>
      <c r="C274"/>
      <c r="D274"/>
      <c r="E274"/>
      <c r="F274" s="27" t="s">
        <v>7</v>
      </c>
      <c r="AU274" s="27" t="s">
        <v>8</v>
      </c>
      <c r="BD274" s="31"/>
    </row>
    <row r="275" spans="1:57" x14ac:dyDescent="0.25">
      <c r="A275" s="30">
        <v>0.18129028535257471</v>
      </c>
      <c r="B275"/>
      <c r="C275"/>
      <c r="D275"/>
      <c r="E275"/>
      <c r="F275" s="27" t="s">
        <v>7</v>
      </c>
      <c r="AM275" s="27" t="s">
        <v>8</v>
      </c>
      <c r="AU275" s="27" t="s">
        <v>8</v>
      </c>
      <c r="BC275" s="31"/>
    </row>
    <row r="276" spans="1:57" x14ac:dyDescent="0.25">
      <c r="A276" s="30">
        <v>0.17265741462149967</v>
      </c>
      <c r="B276"/>
      <c r="C276"/>
      <c r="D276"/>
      <c r="E276"/>
      <c r="F276" s="27" t="s">
        <v>7</v>
      </c>
      <c r="AM276" s="27" t="s">
        <v>8</v>
      </c>
      <c r="AN276" s="27" t="s">
        <v>7</v>
      </c>
      <c r="AO276" s="27" t="s">
        <v>8</v>
      </c>
      <c r="AS276" s="27" t="s">
        <v>8</v>
      </c>
      <c r="AU276" s="27" t="s">
        <v>8</v>
      </c>
      <c r="BB276" s="31"/>
    </row>
    <row r="277" spans="1:57" x14ac:dyDescent="0.25">
      <c r="A277" s="30">
        <v>0.16443563297285677</v>
      </c>
      <c r="B277"/>
      <c r="C277"/>
      <c r="D277"/>
      <c r="E277"/>
      <c r="F277" s="27" t="s">
        <v>7</v>
      </c>
      <c r="AM277" s="27" t="s">
        <v>8</v>
      </c>
      <c r="AN277" s="27" t="s">
        <v>7</v>
      </c>
      <c r="AO277" s="27" t="s">
        <v>8</v>
      </c>
      <c r="AP277" s="27" t="s">
        <v>7</v>
      </c>
      <c r="AQ277" s="27" t="s">
        <v>8</v>
      </c>
      <c r="AS277" s="27" t="s">
        <v>8</v>
      </c>
      <c r="AT277" s="27" t="s">
        <v>7</v>
      </c>
      <c r="AU277" s="27" t="s">
        <v>8</v>
      </c>
      <c r="BA277" s="31"/>
    </row>
    <row r="278" spans="1:57" x14ac:dyDescent="0.25">
      <c r="A278" s="30">
        <v>0.15660536473605399</v>
      </c>
      <c r="B278"/>
      <c r="C278"/>
      <c r="D278"/>
      <c r="E278"/>
      <c r="F278" s="27" t="s">
        <v>7</v>
      </c>
      <c r="AM278" s="27" t="s">
        <v>8</v>
      </c>
      <c r="AN278" s="27" t="s">
        <v>7</v>
      </c>
      <c r="AO278" s="27" t="s">
        <v>8</v>
      </c>
      <c r="AP278" s="27" t="s">
        <v>7</v>
      </c>
      <c r="AQ278" s="27" t="s">
        <v>8</v>
      </c>
      <c r="AR278" s="27" t="s">
        <v>7</v>
      </c>
      <c r="AS278" s="27" t="s">
        <v>8</v>
      </c>
      <c r="AT278" s="27" t="s">
        <v>7</v>
      </c>
      <c r="AU278" s="27" t="s">
        <v>8</v>
      </c>
      <c r="AZ278" s="31"/>
    </row>
    <row r="279" spans="1:57" x14ac:dyDescent="0.25">
      <c r="A279" s="30">
        <v>0.14914796641528946</v>
      </c>
      <c r="B279"/>
      <c r="C279"/>
      <c r="D279"/>
      <c r="E279"/>
      <c r="F279" s="27" t="s">
        <v>7</v>
      </c>
      <c r="AC279" s="27" t="s">
        <v>8</v>
      </c>
      <c r="AE279" s="27" t="s">
        <v>8</v>
      </c>
      <c r="AM279" s="27" t="s">
        <v>8</v>
      </c>
      <c r="AN279" s="27" t="s">
        <v>7</v>
      </c>
      <c r="AO279" s="27" t="s">
        <v>8</v>
      </c>
      <c r="AP279" s="27" t="s">
        <v>7</v>
      </c>
      <c r="AQ279" s="27" t="s">
        <v>8</v>
      </c>
      <c r="AR279" s="27" t="s">
        <v>7</v>
      </c>
      <c r="AS279" s="27" t="s">
        <v>8</v>
      </c>
      <c r="AT279" s="27" t="s">
        <v>7</v>
      </c>
      <c r="AU279" s="27" t="s">
        <v>8</v>
      </c>
      <c r="AY279" s="31"/>
    </row>
    <row r="280" spans="1:57" x14ac:dyDescent="0.25">
      <c r="A280" s="30">
        <v>0.14204568230027562</v>
      </c>
      <c r="B280"/>
      <c r="C280"/>
      <c r="D280"/>
      <c r="E280"/>
      <c r="F280" s="27" t="s">
        <v>7</v>
      </c>
      <c r="AC280" s="27" t="s">
        <v>8</v>
      </c>
      <c r="AD280" s="27" t="s">
        <v>7</v>
      </c>
      <c r="AE280" s="27" t="s">
        <v>8</v>
      </c>
      <c r="AF280" s="27" t="s">
        <v>7</v>
      </c>
      <c r="AM280" s="27" t="s">
        <v>8</v>
      </c>
      <c r="AN280" s="27" t="s">
        <v>7</v>
      </c>
      <c r="AO280" s="27" t="s">
        <v>8</v>
      </c>
      <c r="AP280" s="27" t="s">
        <v>7</v>
      </c>
      <c r="AR280" s="27" t="s">
        <v>7</v>
      </c>
      <c r="AS280" s="27" t="s">
        <v>8</v>
      </c>
      <c r="AT280" s="27" t="s">
        <v>7</v>
      </c>
      <c r="AU280" s="27" t="s">
        <v>8</v>
      </c>
      <c r="AX280" s="31"/>
    </row>
    <row r="281" spans="1:57" x14ac:dyDescent="0.25">
      <c r="A281" s="30">
        <v>0.13528160219073862</v>
      </c>
      <c r="B281"/>
      <c r="C281"/>
      <c r="D281"/>
      <c r="E281"/>
      <c r="F281" s="27" t="s">
        <v>7</v>
      </c>
      <c r="Y281" s="27" t="s">
        <v>8</v>
      </c>
      <c r="AA281" s="27" t="s">
        <v>8</v>
      </c>
      <c r="AC281" s="27" t="s">
        <v>8</v>
      </c>
      <c r="AD281" s="27" t="s">
        <v>7</v>
      </c>
      <c r="AE281" s="27" t="s">
        <v>8</v>
      </c>
      <c r="AF281" s="27" t="s">
        <v>7</v>
      </c>
      <c r="AM281" s="27" t="s">
        <v>8</v>
      </c>
      <c r="AN281" s="27" t="s">
        <v>7</v>
      </c>
      <c r="AO281" s="27" t="s">
        <v>8</v>
      </c>
      <c r="AR281" s="27" t="s">
        <v>7</v>
      </c>
      <c r="AT281" s="27" t="s">
        <v>7</v>
      </c>
      <c r="AU281" s="27" t="s">
        <v>8</v>
      </c>
      <c r="AW281" s="31"/>
    </row>
    <row r="282" spans="1:57" x14ac:dyDescent="0.25">
      <c r="A282" s="30">
        <v>0.12883962113403674</v>
      </c>
      <c r="B282"/>
      <c r="C282"/>
      <c r="D282"/>
      <c r="E282"/>
      <c r="F282" s="27" t="s">
        <v>7</v>
      </c>
      <c r="Y282" s="27" t="s">
        <v>8</v>
      </c>
      <c r="Z282" s="27" t="s">
        <v>7</v>
      </c>
      <c r="AA282" s="27" t="s">
        <v>8</v>
      </c>
      <c r="AB282" s="27" t="s">
        <v>7</v>
      </c>
      <c r="AC282" s="27" t="s">
        <v>8</v>
      </c>
      <c r="AD282" s="27" t="s">
        <v>7</v>
      </c>
      <c r="AF282" s="27" t="s">
        <v>7</v>
      </c>
      <c r="AM282" s="27" t="s">
        <v>8</v>
      </c>
      <c r="AN282" s="27" t="s">
        <v>7</v>
      </c>
      <c r="AO282" s="27" t="s">
        <v>8</v>
      </c>
      <c r="AT282" s="27" t="s">
        <v>7</v>
      </c>
      <c r="AV282" s="31"/>
    </row>
    <row r="283" spans="1:57" x14ac:dyDescent="0.25">
      <c r="A283" s="30">
        <v>0.12270440108003494</v>
      </c>
      <c r="B283"/>
      <c r="C283"/>
      <c r="D283"/>
      <c r="E283"/>
      <c r="F283" s="27" t="s">
        <v>7</v>
      </c>
      <c r="Y283" s="27" t="s">
        <v>8</v>
      </c>
      <c r="Z283" s="27" t="s">
        <v>7</v>
      </c>
      <c r="AA283" s="27" t="s">
        <v>8</v>
      </c>
      <c r="AB283" s="27" t="s">
        <v>7</v>
      </c>
      <c r="AC283" s="27" t="s">
        <v>8</v>
      </c>
      <c r="AF283" s="27" t="s">
        <v>7</v>
      </c>
      <c r="AG283" s="27" t="s">
        <v>8</v>
      </c>
      <c r="AM283" s="27" t="s">
        <v>8</v>
      </c>
      <c r="AN283" s="27" t="s">
        <v>7</v>
      </c>
      <c r="AO283" s="27" t="s">
        <v>8</v>
      </c>
      <c r="AU283" s="31"/>
    </row>
    <row r="284" spans="1:57" x14ac:dyDescent="0.25">
      <c r="A284" s="30">
        <v>0.11686133436193799</v>
      </c>
      <c r="B284"/>
      <c r="C284"/>
      <c r="D284"/>
      <c r="E284"/>
      <c r="F284" s="27" t="s">
        <v>7</v>
      </c>
      <c r="Y284" s="27" t="s">
        <v>8</v>
      </c>
      <c r="Z284" s="27" t="s">
        <v>7</v>
      </c>
      <c r="AA284" s="27" t="s">
        <v>8</v>
      </c>
      <c r="AB284" s="27" t="s">
        <v>7</v>
      </c>
      <c r="AF284" s="27" t="s">
        <v>7</v>
      </c>
      <c r="AG284" s="27" t="s">
        <v>8</v>
      </c>
      <c r="AH284" s="27" t="s">
        <v>7</v>
      </c>
      <c r="AM284" s="27" t="s">
        <v>8</v>
      </c>
      <c r="AN284" s="27" t="s">
        <v>7</v>
      </c>
      <c r="AT284" s="31"/>
    </row>
    <row r="285" spans="1:57" x14ac:dyDescent="0.25">
      <c r="A285" s="30">
        <v>0.11129650891613138</v>
      </c>
      <c r="B285"/>
      <c r="C285"/>
      <c r="D285"/>
      <c r="E285"/>
      <c r="F285" s="27" t="s">
        <v>7</v>
      </c>
      <c r="Y285" s="27" t="s">
        <v>8</v>
      </c>
      <c r="Z285" s="27" t="s">
        <v>7</v>
      </c>
      <c r="AF285" s="27" t="s">
        <v>7</v>
      </c>
      <c r="AG285" s="27" t="s">
        <v>8</v>
      </c>
      <c r="AH285" s="27" t="s">
        <v>7</v>
      </c>
      <c r="AK285" s="27" t="s">
        <v>8</v>
      </c>
      <c r="AM285" s="27" t="s">
        <v>8</v>
      </c>
      <c r="AS285" s="31"/>
    </row>
    <row r="286" spans="1:57" x14ac:dyDescent="0.25">
      <c r="A286" s="30">
        <v>0.10599667515822032</v>
      </c>
      <c r="B286"/>
      <c r="C286"/>
      <c r="D286"/>
      <c r="E286"/>
      <c r="F286" s="27" t="s">
        <v>7</v>
      </c>
      <c r="Y286" s="27" t="s">
        <v>8</v>
      </c>
      <c r="AF286" s="27" t="s">
        <v>7</v>
      </c>
      <c r="AH286" s="27" t="s">
        <v>7</v>
      </c>
      <c r="AI286" s="27" t="s">
        <v>8</v>
      </c>
      <c r="AK286" s="27" t="s">
        <v>8</v>
      </c>
      <c r="AL286" s="27" t="s">
        <v>7</v>
      </c>
      <c r="AM286" s="27" t="s">
        <v>8</v>
      </c>
      <c r="AR286" s="31"/>
    </row>
    <row r="287" spans="1:57" x14ac:dyDescent="0.25">
      <c r="A287" s="30">
        <v>0.10094921443640027</v>
      </c>
      <c r="B287"/>
      <c r="C287"/>
      <c r="D287"/>
      <c r="E287"/>
      <c r="F287" s="27" t="s">
        <v>7</v>
      </c>
      <c r="Y287" s="27" t="s">
        <v>8</v>
      </c>
      <c r="AH287" s="27" t="s">
        <v>7</v>
      </c>
      <c r="AI287" s="27" t="s">
        <v>8</v>
      </c>
      <c r="AJ287" s="27" t="s">
        <v>7</v>
      </c>
      <c r="AK287" s="27" t="s">
        <v>8</v>
      </c>
      <c r="AL287" s="27" t="s">
        <v>7</v>
      </c>
      <c r="AM287" s="27" t="s">
        <v>8</v>
      </c>
      <c r="AQ287" s="31"/>
    </row>
    <row r="288" spans="1:57" x14ac:dyDescent="0.25">
      <c r="A288" s="30">
        <v>9.6142108987047836E-2</v>
      </c>
      <c r="B288"/>
      <c r="C288"/>
      <c r="D288"/>
      <c r="E288"/>
      <c r="F288" s="27" t="s">
        <v>7</v>
      </c>
      <c r="Y288" s="27" t="s">
        <v>8</v>
      </c>
      <c r="AH288" s="27" t="s">
        <v>7</v>
      </c>
      <c r="AI288" s="27" t="s">
        <v>8</v>
      </c>
      <c r="AJ288" s="27" t="s">
        <v>7</v>
      </c>
      <c r="AK288" s="27" t="s">
        <v>8</v>
      </c>
      <c r="AL288" s="27" t="s">
        <v>7</v>
      </c>
      <c r="AM288" s="27" t="s">
        <v>8</v>
      </c>
      <c r="AP288" s="31"/>
    </row>
    <row r="289" spans="1:41" x14ac:dyDescent="0.25">
      <c r="A289" s="30">
        <v>9.1563913320997906E-2</v>
      </c>
      <c r="B289"/>
      <c r="C289"/>
      <c r="D289"/>
      <c r="E289"/>
      <c r="F289" s="27" t="s">
        <v>7</v>
      </c>
      <c r="Y289" s="27" t="s">
        <v>8</v>
      </c>
      <c r="AH289" s="27" t="s">
        <v>7</v>
      </c>
      <c r="AI289" s="27" t="s">
        <v>8</v>
      </c>
      <c r="AJ289" s="27" t="s">
        <v>7</v>
      </c>
      <c r="AL289" s="27" t="s">
        <v>7</v>
      </c>
      <c r="AO289" s="31"/>
    </row>
    <row r="290" spans="1:41" x14ac:dyDescent="0.25">
      <c r="A290" s="30">
        <v>8.7203726972378923E-2</v>
      </c>
      <c r="B290"/>
      <c r="C290"/>
      <c r="D290"/>
      <c r="E290"/>
      <c r="F290" s="27" t="s">
        <v>7</v>
      </c>
      <c r="U290" s="27" t="s">
        <v>8</v>
      </c>
      <c r="W290" s="27" t="s">
        <v>8</v>
      </c>
      <c r="Y290" s="27" t="s">
        <v>8</v>
      </c>
      <c r="AH290" s="27" t="s">
        <v>7</v>
      </c>
      <c r="AI290" s="27" t="s">
        <v>8</v>
      </c>
      <c r="AN290" s="31"/>
    </row>
    <row r="291" spans="1:41" x14ac:dyDescent="0.25">
      <c r="A291" s="30">
        <v>8.3051168545122747E-2</v>
      </c>
      <c r="B291"/>
      <c r="C291"/>
      <c r="D291"/>
      <c r="E291"/>
      <c r="F291" s="27" t="s">
        <v>7</v>
      </c>
      <c r="S291" s="27" t="s">
        <v>8</v>
      </c>
      <c r="U291" s="27" t="s">
        <v>8</v>
      </c>
      <c r="V291" s="27" t="s">
        <v>7</v>
      </c>
      <c r="W291" s="27" t="s">
        <v>8</v>
      </c>
      <c r="X291" s="27" t="s">
        <v>7</v>
      </c>
      <c r="Y291" s="27" t="s">
        <v>8</v>
      </c>
      <c r="AH291" s="27" t="s">
        <v>7</v>
      </c>
      <c r="AI291" s="27" t="s">
        <v>8</v>
      </c>
      <c r="AM291" s="31"/>
    </row>
    <row r="292" spans="1:41" x14ac:dyDescent="0.25">
      <c r="A292" s="30">
        <v>7.9096350995354961E-2</v>
      </c>
      <c r="B292"/>
      <c r="C292"/>
      <c r="D292"/>
      <c r="E292"/>
      <c r="F292" s="27" t="s">
        <v>7</v>
      </c>
      <c r="S292" s="27" t="s">
        <v>8</v>
      </c>
      <c r="T292" s="27" t="s">
        <v>7</v>
      </c>
      <c r="U292" s="27" t="s">
        <v>8</v>
      </c>
      <c r="V292" s="27" t="s">
        <v>7</v>
      </c>
      <c r="W292" s="27" t="s">
        <v>8</v>
      </c>
      <c r="X292" s="27" t="s">
        <v>7</v>
      </c>
      <c r="Y292" s="27" t="s">
        <v>8</v>
      </c>
      <c r="AH292" s="27" t="s">
        <v>7</v>
      </c>
      <c r="AL292" s="31"/>
    </row>
    <row r="293" spans="1:41" x14ac:dyDescent="0.25">
      <c r="A293" s="30">
        <v>7.5329858090814217E-2</v>
      </c>
      <c r="B293"/>
      <c r="C293"/>
      <c r="D293"/>
      <c r="E293"/>
      <c r="F293" s="27" t="s">
        <v>7</v>
      </c>
      <c r="S293" s="27" t="s">
        <v>8</v>
      </c>
      <c r="T293" s="27" t="s">
        <v>7</v>
      </c>
      <c r="U293" s="27" t="s">
        <v>8</v>
      </c>
      <c r="V293" s="27" t="s">
        <v>7</v>
      </c>
      <c r="W293" s="27" t="s">
        <v>8</v>
      </c>
      <c r="X293" s="27" t="s">
        <v>7</v>
      </c>
      <c r="AK293" s="31"/>
    </row>
    <row r="294" spans="1:41" x14ac:dyDescent="0.25">
      <c r="A294" s="30">
        <v>7.1742721991251604E-2</v>
      </c>
      <c r="B294"/>
      <c r="C294"/>
      <c r="D294"/>
      <c r="E294"/>
      <c r="F294" s="27" t="s">
        <v>7</v>
      </c>
      <c r="G294" s="27" t="s">
        <v>8</v>
      </c>
      <c r="S294" s="27" t="s">
        <v>8</v>
      </c>
      <c r="T294" s="27" t="s">
        <v>7</v>
      </c>
      <c r="V294" s="27" t="s">
        <v>7</v>
      </c>
      <c r="AJ294" s="31"/>
    </row>
    <row r="295" spans="1:41" x14ac:dyDescent="0.25">
      <c r="A295" s="30">
        <v>6.8326401896430078E-2</v>
      </c>
      <c r="B295"/>
      <c r="C295"/>
      <c r="D295"/>
      <c r="E295"/>
      <c r="F295" s="27" t="s">
        <v>7</v>
      </c>
      <c r="G295" s="27" t="s">
        <v>8</v>
      </c>
      <c r="H295" s="27" t="s">
        <v>7</v>
      </c>
      <c r="S295" s="27" t="s">
        <v>8</v>
      </c>
      <c r="AI295" s="31"/>
    </row>
    <row r="296" spans="1:41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H296" s="27" t="s">
        <v>7</v>
      </c>
      <c r="S296" s="27" t="s">
        <v>8</v>
      </c>
      <c r="AH296" s="31"/>
    </row>
    <row r="297" spans="1:41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S297" s="27" t="s">
        <v>8</v>
      </c>
      <c r="AG297" s="31"/>
    </row>
    <row r="298" spans="1:41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H298" s="27" t="s">
        <v>7</v>
      </c>
      <c r="S298" s="27" t="s">
        <v>8</v>
      </c>
      <c r="AF298" s="31"/>
    </row>
    <row r="299" spans="1:41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S299" s="27" t="s">
        <v>8</v>
      </c>
      <c r="AE299" s="31"/>
    </row>
    <row r="300" spans="1:41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O300" s="27" t="s">
        <v>8</v>
      </c>
      <c r="Q300" s="27" t="s">
        <v>8</v>
      </c>
      <c r="S300" s="27" t="s">
        <v>8</v>
      </c>
      <c r="AD300" s="31"/>
    </row>
    <row r="301" spans="1:41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O301" s="27" t="s">
        <v>8</v>
      </c>
      <c r="P301" s="27" t="s">
        <v>7</v>
      </c>
      <c r="Q301" s="27" t="s">
        <v>8</v>
      </c>
      <c r="R301" s="27" t="s">
        <v>7</v>
      </c>
      <c r="S301" s="27" t="s">
        <v>8</v>
      </c>
      <c r="AC301" s="31"/>
    </row>
    <row r="302" spans="1:41" x14ac:dyDescent="0.25">
      <c r="A302" s="30">
        <v>4.8558298182760043E-2</v>
      </c>
      <c r="B302"/>
      <c r="C302"/>
      <c r="D302"/>
      <c r="E302"/>
      <c r="F302" s="27" t="s">
        <v>7</v>
      </c>
      <c r="G302" s="27" t="s">
        <v>8</v>
      </c>
      <c r="H302" s="27" t="s">
        <v>7</v>
      </c>
      <c r="O302" s="27" t="s">
        <v>8</v>
      </c>
      <c r="P302" s="27" t="s">
        <v>7</v>
      </c>
      <c r="Q302" s="27" t="s">
        <v>8</v>
      </c>
      <c r="R302" s="27" t="s">
        <v>7</v>
      </c>
      <c r="S302" s="27" t="s">
        <v>8</v>
      </c>
      <c r="AB302" s="31"/>
    </row>
    <row r="303" spans="1:41" x14ac:dyDescent="0.25">
      <c r="A303" s="30">
        <v>4.6245998269295263E-2</v>
      </c>
      <c r="B303"/>
      <c r="C303"/>
      <c r="D303"/>
      <c r="E303"/>
      <c r="F303" s="27" t="s">
        <v>7</v>
      </c>
      <c r="G303" s="27" t="s">
        <v>8</v>
      </c>
      <c r="H303" s="27" t="s">
        <v>7</v>
      </c>
      <c r="O303" s="27" t="s">
        <v>8</v>
      </c>
      <c r="P303" s="27" t="s">
        <v>7</v>
      </c>
      <c r="R303" s="27" t="s">
        <v>7</v>
      </c>
      <c r="S303" s="27" t="s">
        <v>8</v>
      </c>
      <c r="AA303" s="31"/>
    </row>
    <row r="304" spans="1:41" x14ac:dyDescent="0.25">
      <c r="A304" s="30">
        <v>4.4043807875519279E-2</v>
      </c>
      <c r="B304"/>
      <c r="C304"/>
      <c r="D304"/>
      <c r="E304"/>
      <c r="F304" s="27" t="s">
        <v>7</v>
      </c>
      <c r="G304" s="27" t="s">
        <v>8</v>
      </c>
      <c r="H304" s="27" t="s">
        <v>7</v>
      </c>
      <c r="O304" s="27" t="s">
        <v>8</v>
      </c>
      <c r="R304" s="27" t="s">
        <v>7</v>
      </c>
      <c r="Z304" s="31"/>
    </row>
    <row r="305" spans="1:25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H305" s="27" t="s">
        <v>7</v>
      </c>
      <c r="O305" s="27" t="s">
        <v>8</v>
      </c>
      <c r="Y305" s="31"/>
    </row>
    <row r="306" spans="1:25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O306" s="27" t="s">
        <v>8</v>
      </c>
      <c r="X306" s="31"/>
    </row>
    <row r="307" spans="1:25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O307" s="27" t="s">
        <v>8</v>
      </c>
      <c r="W307" s="31"/>
    </row>
    <row r="308" spans="1:25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M308" s="27" t="s">
        <v>8</v>
      </c>
      <c r="O308" s="27" t="s">
        <v>8</v>
      </c>
      <c r="V308" s="31"/>
    </row>
    <row r="309" spans="1:25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M309" s="27" t="s">
        <v>8</v>
      </c>
      <c r="N309" s="27" t="s">
        <v>7</v>
      </c>
      <c r="O309" s="27" t="s">
        <v>8</v>
      </c>
      <c r="U309" s="31"/>
    </row>
    <row r="310" spans="1:25" x14ac:dyDescent="0.25">
      <c r="A310" s="30">
        <v>3.286616756321796E-2</v>
      </c>
      <c r="B310"/>
      <c r="C310"/>
      <c r="D310"/>
      <c r="E310"/>
      <c r="F310" s="27" t="s">
        <v>7</v>
      </c>
      <c r="H310" s="27" t="s">
        <v>7</v>
      </c>
      <c r="K310" s="27" t="s">
        <v>8</v>
      </c>
      <c r="M310" s="27" t="s">
        <v>8</v>
      </c>
      <c r="N310" s="27" t="s">
        <v>7</v>
      </c>
      <c r="O310" s="27" t="s">
        <v>8</v>
      </c>
      <c r="T310" s="31"/>
    </row>
    <row r="311" spans="1:25" x14ac:dyDescent="0.25">
      <c r="A311" s="30">
        <v>3.1301111964969472E-2</v>
      </c>
      <c r="B311"/>
      <c r="C311"/>
      <c r="D311"/>
      <c r="E311"/>
      <c r="H311" s="27" t="s">
        <v>7</v>
      </c>
      <c r="K311" s="27" t="s">
        <v>8</v>
      </c>
      <c r="L311" s="27" t="s">
        <v>7</v>
      </c>
      <c r="M311" s="27" t="s">
        <v>8</v>
      </c>
      <c r="N311" s="27" t="s">
        <v>7</v>
      </c>
      <c r="S311" s="31"/>
    </row>
    <row r="312" spans="1:25" x14ac:dyDescent="0.25">
      <c r="A312" s="30">
        <v>2.9810582823780438E-2</v>
      </c>
      <c r="B312"/>
      <c r="C312"/>
      <c r="D312"/>
      <c r="E312"/>
      <c r="H312" s="27" t="s">
        <v>7</v>
      </c>
      <c r="K312" s="27" t="s">
        <v>8</v>
      </c>
      <c r="L312" s="27" t="s">
        <v>7</v>
      </c>
      <c r="M312" s="27" t="s">
        <v>8</v>
      </c>
      <c r="R312" s="31"/>
    </row>
    <row r="313" spans="1:25" x14ac:dyDescent="0.25">
      <c r="A313" s="30">
        <v>2.8391031260743264E-2</v>
      </c>
      <c r="B313"/>
      <c r="C313"/>
      <c r="D313"/>
      <c r="E313"/>
      <c r="H313" s="27" t="s">
        <v>7</v>
      </c>
      <c r="I313" s="27" t="s">
        <v>8</v>
      </c>
      <c r="K313" s="27" t="s">
        <v>8</v>
      </c>
      <c r="L313" s="27" t="s">
        <v>7</v>
      </c>
      <c r="M313" s="27" t="s">
        <v>8</v>
      </c>
      <c r="Q313" s="31"/>
    </row>
    <row r="314" spans="1:25" x14ac:dyDescent="0.25">
      <c r="A314" s="30">
        <v>2.7039077391184052E-2</v>
      </c>
      <c r="B314"/>
      <c r="C314"/>
      <c r="D314"/>
      <c r="E314"/>
      <c r="H314" s="27" t="s">
        <v>7</v>
      </c>
      <c r="I314" s="27" t="s">
        <v>8</v>
      </c>
      <c r="J314" s="27" t="s">
        <v>7</v>
      </c>
      <c r="K314" s="27" t="s">
        <v>8</v>
      </c>
      <c r="L314" s="27" t="s">
        <v>7</v>
      </c>
      <c r="P314" s="31"/>
    </row>
    <row r="315" spans="1:25" x14ac:dyDescent="0.25">
      <c r="A315" s="30">
        <v>2.5751502277318133E-2</v>
      </c>
      <c r="B315"/>
      <c r="C315"/>
      <c r="D315"/>
      <c r="E315"/>
      <c r="H315" s="27" t="s">
        <v>7</v>
      </c>
      <c r="I315" s="27" t="s">
        <v>8</v>
      </c>
      <c r="J315" s="27" t="s">
        <v>7</v>
      </c>
      <c r="K315" s="27" t="s">
        <v>8</v>
      </c>
      <c r="O315" s="31"/>
    </row>
    <row r="316" spans="1:25" x14ac:dyDescent="0.25">
      <c r="A316" s="30">
        <v>2.4525240264112496E-2</v>
      </c>
      <c r="B316"/>
      <c r="C316"/>
      <c r="D316"/>
      <c r="E316"/>
      <c r="H316" s="27" t="s">
        <v>7</v>
      </c>
      <c r="I316" s="27" t="s">
        <v>8</v>
      </c>
      <c r="J316" s="27" t="s">
        <v>7</v>
      </c>
      <c r="K316" s="27" t="s">
        <v>8</v>
      </c>
      <c r="N316" s="31"/>
    </row>
    <row r="317" spans="1:25" x14ac:dyDescent="0.25">
      <c r="A317" s="30">
        <v>2.3357371680107129E-2</v>
      </c>
      <c r="B317"/>
      <c r="C317"/>
      <c r="D317"/>
      <c r="E317"/>
      <c r="H317" s="27" t="s">
        <v>7</v>
      </c>
      <c r="I317" s="27" t="s">
        <v>8</v>
      </c>
      <c r="J317" s="27" t="s">
        <v>7</v>
      </c>
      <c r="K317" s="27" t="s">
        <v>8</v>
      </c>
      <c r="M317" s="31"/>
    </row>
    <row r="318" spans="1:25" x14ac:dyDescent="0.25">
      <c r="A318" s="30">
        <v>2.2245115885816305E-2</v>
      </c>
      <c r="B318"/>
      <c r="C318"/>
      <c r="D318"/>
      <c r="E318"/>
      <c r="H318" s="27" t="s">
        <v>7</v>
      </c>
      <c r="I318" s="27" t="s">
        <v>8</v>
      </c>
      <c r="J318" s="27" t="s">
        <v>7</v>
      </c>
      <c r="L318" s="31"/>
    </row>
    <row r="319" spans="1:25" x14ac:dyDescent="0.25">
      <c r="A319" s="30">
        <v>2.1185824653158377E-2</v>
      </c>
      <c r="B319"/>
      <c r="C319"/>
      <c r="D319"/>
      <c r="E319"/>
      <c r="H319" s="27" t="s">
        <v>7</v>
      </c>
      <c r="I319" s="27" t="s">
        <v>8</v>
      </c>
      <c r="K319" s="31"/>
    </row>
    <row r="320" spans="1:25" x14ac:dyDescent="0.25">
      <c r="A320" s="30">
        <v>2.0176975860150829E-2</v>
      </c>
      <c r="B320"/>
      <c r="C320"/>
      <c r="D320"/>
      <c r="E320"/>
      <c r="H320" s="27" t="s">
        <v>7</v>
      </c>
      <c r="I320" s="27" t="s">
        <v>8</v>
      </c>
      <c r="J320" s="31"/>
    </row>
    <row r="321" spans="1:9" x14ac:dyDescent="0.25">
      <c r="A321" s="30">
        <v>1.9216167485857926E-2</v>
      </c>
      <c r="B321"/>
      <c r="C321"/>
      <c r="D321"/>
      <c r="E321"/>
      <c r="H321" s="27" t="s">
        <v>7</v>
      </c>
      <c r="I321" s="31" t="s">
        <v>8</v>
      </c>
    </row>
    <row r="322" spans="1:9" x14ac:dyDescent="0.25">
      <c r="A322" s="30">
        <v>1.8301111891293256E-2</v>
      </c>
      <c r="B322"/>
      <c r="C322"/>
      <c r="D322"/>
      <c r="E322"/>
      <c r="H322" s="31" t="s">
        <v>7</v>
      </c>
    </row>
    <row r="323" spans="1:9" x14ac:dyDescent="0.25">
      <c r="A323" s="30">
        <v>1.7429630372660238E-2</v>
      </c>
      <c r="B323"/>
      <c r="C323"/>
      <c r="D323"/>
      <c r="E323"/>
    </row>
    <row r="324" spans="1:9" x14ac:dyDescent="0.25">
      <c r="A324" s="30">
        <v>1.6599647973962125E-2</v>
      </c>
      <c r="B324"/>
      <c r="C324"/>
      <c r="D324"/>
      <c r="E324"/>
    </row>
    <row r="325" spans="1:9" x14ac:dyDescent="0.25">
      <c r="A325" s="30">
        <v>1.580918854663059E-2</v>
      </c>
      <c r="B325"/>
      <c r="C325"/>
      <c r="D325"/>
      <c r="E325"/>
    </row>
    <row r="326" spans="1:9" x14ac:dyDescent="0.25">
      <c r="A326" s="30">
        <v>1.5056370044410079E-2</v>
      </c>
      <c r="B326"/>
      <c r="C326"/>
      <c r="D326"/>
      <c r="E326"/>
    </row>
    <row r="327" spans="1:9" x14ac:dyDescent="0.25">
      <c r="A327" s="30">
        <v>1.4339400042295308E-2</v>
      </c>
      <c r="B327"/>
      <c r="C327"/>
      <c r="D327"/>
      <c r="E327"/>
    </row>
    <row r="328" spans="1:9" x14ac:dyDescent="0.25">
      <c r="A328" s="30">
        <v>1.365657146885267E-2</v>
      </c>
      <c r="B328"/>
      <c r="C328"/>
      <c r="D328"/>
      <c r="E328"/>
    </row>
    <row r="329" spans="1:9" x14ac:dyDescent="0.25">
      <c r="A329" s="30">
        <v>1.3006258541764442E-2</v>
      </c>
      <c r="B329"/>
      <c r="C329"/>
      <c r="D329"/>
      <c r="E329"/>
    </row>
    <row r="330" spans="1:9" x14ac:dyDescent="0.25">
      <c r="A330" s="30">
        <v>1.2386912896918512E-2</v>
      </c>
      <c r="B330"/>
      <c r="C330"/>
      <c r="D330"/>
      <c r="E330"/>
    </row>
    <row r="331" spans="1:9" x14ac:dyDescent="0.25">
      <c r="A331" s="30">
        <v>1.179705990182715E-2</v>
      </c>
      <c r="B331"/>
      <c r="C331"/>
      <c r="D331"/>
      <c r="E331"/>
    </row>
    <row r="332" spans="1:9" x14ac:dyDescent="0.25">
      <c r="A332" s="30">
        <v>1.1235295144597281E-2</v>
      </c>
      <c r="B332"/>
      <c r="C332"/>
      <c r="D332"/>
      <c r="E332"/>
    </row>
    <row r="333" spans="1:9" x14ac:dyDescent="0.25">
      <c r="A333" s="30">
        <v>1.0700281090092644E-2</v>
      </c>
      <c r="B333"/>
      <c r="C333"/>
      <c r="D333"/>
      <c r="E333"/>
    </row>
    <row r="334" spans="1:9" x14ac:dyDescent="0.25">
      <c r="A334" s="30">
        <v>1.0190743895326324E-2</v>
      </c>
      <c r="B334"/>
      <c r="C334"/>
      <c r="D334"/>
      <c r="E334"/>
    </row>
    <row r="335" spans="1:9" x14ac:dyDescent="0.25">
      <c r="A335" s="30">
        <v>9.7054703765012563E-3</v>
      </c>
      <c r="B335"/>
      <c r="C335"/>
      <c r="D335"/>
      <c r="E335"/>
    </row>
    <row r="336" spans="1:9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2" zoomScale="85" zoomScaleNormal="85" workbookViewId="0">
      <pane xSplit="4" topLeftCell="G1" activePane="topRight" state="frozen"/>
      <selection activeCell="A109" sqref="A109"/>
      <selection pane="topRight" activeCell="AJ121" sqref="AJ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4" x14ac:dyDescent="0.25">
      <c r="A97" s="30">
        <v>9.849732675807628</v>
      </c>
      <c r="E97"/>
    </row>
    <row r="98" spans="1:34" x14ac:dyDescent="0.25">
      <c r="A98" s="30">
        <v>8.9543024325523888</v>
      </c>
      <c r="C98" s="1" t="s">
        <v>13</v>
      </c>
      <c r="E98"/>
    </row>
    <row r="99" spans="1:34" x14ac:dyDescent="0.25">
      <c r="A99" s="30">
        <v>8.140274938683989</v>
      </c>
      <c r="C99" s="1">
        <f>C88</f>
        <v>0</v>
      </c>
      <c r="E99"/>
    </row>
    <row r="100" spans="1:34" x14ac:dyDescent="0.25">
      <c r="A100" s="30">
        <v>7.4002499442581717</v>
      </c>
      <c r="C100"/>
      <c r="D100"/>
      <c r="E100"/>
    </row>
    <row r="101" spans="1:34" x14ac:dyDescent="0.25">
      <c r="A101" s="30">
        <v>6.72749994932561</v>
      </c>
      <c r="C101" s="1" t="s">
        <v>14</v>
      </c>
      <c r="E101"/>
    </row>
    <row r="102" spans="1:3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4" x14ac:dyDescent="0.25">
      <c r="A103" s="30">
        <v>5.5599173134922388</v>
      </c>
      <c r="E103"/>
    </row>
    <row r="104" spans="1:34" x14ac:dyDescent="0.25">
      <c r="A104" s="30">
        <v>5.0544702849929442</v>
      </c>
      <c r="E104"/>
    </row>
    <row r="105" spans="1:34" x14ac:dyDescent="0.25">
      <c r="A105" s="30">
        <v>4.594972986357222</v>
      </c>
      <c r="E105"/>
    </row>
    <row r="106" spans="1:34" x14ac:dyDescent="0.25">
      <c r="A106" s="30">
        <v>4.1772481694156562</v>
      </c>
      <c r="E106"/>
    </row>
    <row r="107" spans="1:34" x14ac:dyDescent="0.25">
      <c r="A107" s="30">
        <v>3.7974983358324148</v>
      </c>
      <c r="E107"/>
    </row>
    <row r="108" spans="1:34" x14ac:dyDescent="0.25">
      <c r="A108" s="30">
        <v>3.4522712143931042</v>
      </c>
      <c r="E108"/>
    </row>
    <row r="109" spans="1:34" x14ac:dyDescent="0.25">
      <c r="A109" s="30">
        <v>3.1384283767210035</v>
      </c>
      <c r="E109"/>
    </row>
    <row r="110" spans="1:34" x14ac:dyDescent="0.25">
      <c r="A110" s="30">
        <v>2.8531167061100029</v>
      </c>
      <c r="E110"/>
      <c r="AG110" s="27" t="s">
        <v>8</v>
      </c>
    </row>
    <row r="111" spans="1:34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$AJ$120</v>
      </c>
      <c r="E111"/>
      <c r="AG111" s="27" t="s">
        <v>8</v>
      </c>
      <c r="AH111" s="27" t="s">
        <v>7</v>
      </c>
    </row>
    <row r="112" spans="1:34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$AI$121</v>
      </c>
      <c r="E112"/>
      <c r="Y112" s="31" t="s">
        <v>8</v>
      </c>
      <c r="AG112" s="27" t="s">
        <v>8</v>
      </c>
      <c r="AH112" s="27" t="s">
        <v>7</v>
      </c>
    </row>
    <row r="113" spans="1:36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$AK$120</v>
      </c>
      <c r="Y113" s="27" t="s">
        <v>8</v>
      </c>
      <c r="Z113" s="31" t="s">
        <v>7</v>
      </c>
      <c r="AG113" s="27" t="s">
        <v>8</v>
      </c>
      <c r="AH113" s="27" t="s">
        <v>7</v>
      </c>
    </row>
    <row r="114" spans="1:36" x14ac:dyDescent="0.25">
      <c r="A114" s="30">
        <v>1.9487171000000014</v>
      </c>
      <c r="C114" s="1" t="str">
        <f>ADDRESS(C121,D121,1,1)</f>
        <v>$AJ$121</v>
      </c>
      <c r="D114" s="1" t="str">
        <f>ADDRESS(C121+1,D121+1,1,1)</f>
        <v>$AK$122</v>
      </c>
      <c r="Y114" s="27" t="s">
        <v>8</v>
      </c>
      <c r="Z114" s="27" t="s">
        <v>7</v>
      </c>
      <c r="AA114" s="31"/>
      <c r="AG114" s="27" t="s">
        <v>8</v>
      </c>
      <c r="AH114" s="27" t="s">
        <v>7</v>
      </c>
    </row>
    <row r="115" spans="1:36" x14ac:dyDescent="0.25">
      <c r="A115" s="30">
        <v>1.7715610000000011</v>
      </c>
      <c r="C115" s="1" t="str">
        <f>ADDRESS(C121+1,D121,1,1)</f>
        <v>$AJ$122</v>
      </c>
      <c r="Y115" s="27" t="s">
        <v>8</v>
      </c>
      <c r="Z115" s="27" t="s">
        <v>7</v>
      </c>
      <c r="AA115" s="27" t="s">
        <v>8</v>
      </c>
      <c r="AB115" s="31"/>
      <c r="AC115" s="27" t="s">
        <v>8</v>
      </c>
      <c r="AG115" s="27" t="s">
        <v>8</v>
      </c>
      <c r="AH115" s="27" t="s">
        <v>7</v>
      </c>
    </row>
    <row r="116" spans="1:36" x14ac:dyDescent="0.25">
      <c r="A116" s="30">
        <v>1.6105100000000008</v>
      </c>
      <c r="C116" s="1">
        <f>C117-1</f>
        <v>120</v>
      </c>
      <c r="Y116" s="27" t="s">
        <v>8</v>
      </c>
      <c r="Z116" s="27" t="s">
        <v>7</v>
      </c>
      <c r="AA116" s="27" t="s">
        <v>8</v>
      </c>
      <c r="AB116" s="27" t="s">
        <v>7</v>
      </c>
      <c r="AC116" s="31" t="s">
        <v>8</v>
      </c>
      <c r="AD116" s="31" t="s">
        <v>7</v>
      </c>
      <c r="AG116" s="27" t="s">
        <v>8</v>
      </c>
      <c r="AH116" s="27" t="s">
        <v>7</v>
      </c>
      <c r="AI116" s="27" t="s">
        <v>8</v>
      </c>
    </row>
    <row r="117" spans="1:36" x14ac:dyDescent="0.25">
      <c r="A117" s="30">
        <v>1.4641000000000006</v>
      </c>
      <c r="C117" s="1">
        <f>C121</f>
        <v>121</v>
      </c>
      <c r="D117" s="1">
        <f>D121</f>
        <v>36</v>
      </c>
      <c r="S117" s="32" t="s">
        <v>8</v>
      </c>
      <c r="U117" s="32" t="s">
        <v>8</v>
      </c>
      <c r="W117" s="32" t="s">
        <v>8</v>
      </c>
      <c r="Y117" s="27" t="s">
        <v>8</v>
      </c>
      <c r="Z117" s="27" t="s">
        <v>7</v>
      </c>
      <c r="AA117" s="27" t="s">
        <v>8</v>
      </c>
      <c r="AB117" s="27" t="s">
        <v>7</v>
      </c>
      <c r="AC117" s="27" t="s">
        <v>8</v>
      </c>
      <c r="AD117" s="27" t="s">
        <v>7</v>
      </c>
      <c r="AE117" s="31" t="s">
        <v>8</v>
      </c>
      <c r="AG117" s="27" t="s">
        <v>8</v>
      </c>
      <c r="AH117" s="27" t="s">
        <v>7</v>
      </c>
      <c r="AI117" s="19" t="s">
        <v>8</v>
      </c>
      <c r="AJ117" s="27" t="s">
        <v>7</v>
      </c>
    </row>
    <row r="118" spans="1:36" x14ac:dyDescent="0.25">
      <c r="A118" s="30">
        <v>1.3310000000000004</v>
      </c>
      <c r="C118" s="1">
        <f>C117+1</f>
        <v>122</v>
      </c>
      <c r="D118" s="1">
        <f>D117+1</f>
        <v>37</v>
      </c>
      <c r="S118" s="27" t="s">
        <v>8</v>
      </c>
      <c r="T118" s="27" t="s">
        <v>7</v>
      </c>
      <c r="U118" s="27" t="s">
        <v>8</v>
      </c>
      <c r="V118" s="27" t="s">
        <v>7</v>
      </c>
      <c r="W118" s="27" t="s">
        <v>8</v>
      </c>
      <c r="X118" s="27" t="s">
        <v>7</v>
      </c>
      <c r="Y118" s="27" t="s">
        <v>8</v>
      </c>
      <c r="Z118" s="27" t="s">
        <v>7</v>
      </c>
      <c r="AA118" s="27" t="s">
        <v>8</v>
      </c>
      <c r="AB118" s="27" t="s">
        <v>7</v>
      </c>
      <c r="AC118" s="27" t="s">
        <v>8</v>
      </c>
      <c r="AD118" s="27" t="s">
        <v>7</v>
      </c>
      <c r="AE118" s="27" t="s">
        <v>8</v>
      </c>
      <c r="AF118" s="31" t="s">
        <v>7</v>
      </c>
      <c r="AG118" s="27" t="s">
        <v>8</v>
      </c>
      <c r="AH118" s="19" t="s">
        <v>7</v>
      </c>
      <c r="AI118" s="27" t="s">
        <v>8</v>
      </c>
      <c r="AJ118" s="27" t="s">
        <v>7</v>
      </c>
    </row>
    <row r="119" spans="1:36" x14ac:dyDescent="0.25">
      <c r="A119" s="30">
        <v>1.2100000000000002</v>
      </c>
      <c r="S119" s="27" t="s">
        <v>8</v>
      </c>
      <c r="T119" s="27" t="s">
        <v>7</v>
      </c>
      <c r="U119" s="27" t="s">
        <v>8</v>
      </c>
      <c r="V119" s="27" t="s">
        <v>7</v>
      </c>
      <c r="W119" s="27" t="s">
        <v>8</v>
      </c>
      <c r="X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31" t="s">
        <v>8</v>
      </c>
      <c r="AH119" s="27" t="s">
        <v>7</v>
      </c>
      <c r="AI119" s="27" t="s">
        <v>8</v>
      </c>
      <c r="AJ119" s="27" t="s">
        <v>7</v>
      </c>
    </row>
    <row r="120" spans="1:36" x14ac:dyDescent="0.25">
      <c r="A120" s="30">
        <v>1.1000000000000001</v>
      </c>
      <c r="C120" s="1" t="s">
        <v>9</v>
      </c>
      <c r="Q120" s="27" t="s">
        <v>8</v>
      </c>
      <c r="S120" s="27" t="s">
        <v>8</v>
      </c>
      <c r="T120" s="27" t="s">
        <v>7</v>
      </c>
      <c r="U120" s="27" t="s">
        <v>8</v>
      </c>
      <c r="V120" s="27" t="s">
        <v>7</v>
      </c>
      <c r="X120" s="27" t="s">
        <v>7</v>
      </c>
      <c r="Y120" s="27" t="s">
        <v>8</v>
      </c>
      <c r="Z120" s="32" t="s">
        <v>7</v>
      </c>
      <c r="AB120" s="32" t="s">
        <v>7</v>
      </c>
      <c r="AD120" s="32" t="s">
        <v>7</v>
      </c>
      <c r="AF120" s="32" t="s">
        <v>7</v>
      </c>
      <c r="AH120" s="32" t="s">
        <v>7</v>
      </c>
      <c r="AJ120" s="27" t="s">
        <v>7</v>
      </c>
    </row>
    <row r="121" spans="1:36" x14ac:dyDescent="0.25">
      <c r="A121" s="30">
        <v>1</v>
      </c>
      <c r="C121" s="18">
        <v>121</v>
      </c>
      <c r="D121" s="19">
        <v>36</v>
      </c>
      <c r="E121" s="18" t="s">
        <v>8</v>
      </c>
      <c r="Q121" s="27" t="s">
        <v>8</v>
      </c>
      <c r="R121" s="27" t="s">
        <v>7</v>
      </c>
      <c r="S121" s="27" t="s">
        <v>8</v>
      </c>
      <c r="T121" s="27" t="s">
        <v>7</v>
      </c>
      <c r="X121" s="27" t="s">
        <v>7</v>
      </c>
      <c r="AJ121" s="27" t="s">
        <v>7</v>
      </c>
    </row>
    <row r="122" spans="1:36" x14ac:dyDescent="0.25">
      <c r="A122" s="30">
        <v>0.90909090909090895</v>
      </c>
      <c r="C122" s="1" t="str">
        <f>INDEX(1:1048576,C117,D117)</f>
        <v>O</v>
      </c>
      <c r="F122" s="27" t="s">
        <v>7</v>
      </c>
      <c r="Q122" s="27" t="s">
        <v>8</v>
      </c>
      <c r="R122" s="27" t="s">
        <v>7</v>
      </c>
      <c r="S122" s="27" t="s">
        <v>8</v>
      </c>
    </row>
    <row r="123" spans="1:36" x14ac:dyDescent="0.25">
      <c r="A123" s="30">
        <v>0.82644628099173523</v>
      </c>
      <c r="C123" s="1" t="str">
        <f>"R"&amp;C121</f>
        <v>R121</v>
      </c>
      <c r="D123" s="1" t="str">
        <f>"C"&amp;D121</f>
        <v>C36</v>
      </c>
      <c r="F123" s="27" t="s">
        <v>7</v>
      </c>
      <c r="Q123" s="27" t="s">
        <v>8</v>
      </c>
      <c r="R123" s="27" t="s">
        <v>7</v>
      </c>
    </row>
    <row r="124" spans="1:3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Q124" s="27" t="s">
        <v>8</v>
      </c>
    </row>
    <row r="125" spans="1:36" x14ac:dyDescent="0.25">
      <c r="A125" s="30">
        <v>0.68301345536507019</v>
      </c>
      <c r="F125" s="27" t="s">
        <v>7</v>
      </c>
      <c r="Q125" s="27" t="s">
        <v>8</v>
      </c>
    </row>
    <row r="126" spans="1:36" x14ac:dyDescent="0.25">
      <c r="A126" s="30">
        <v>0.6209213230591546</v>
      </c>
      <c r="C126" s="1" t="s">
        <v>10</v>
      </c>
      <c r="F126" s="27" t="s">
        <v>7</v>
      </c>
      <c r="Q126" s="27" t="s">
        <v>8</v>
      </c>
    </row>
    <row r="127" spans="1:36" x14ac:dyDescent="0.25">
      <c r="A127" s="30">
        <v>0.56447393005377677</v>
      </c>
      <c r="C127" s="30">
        <v>1</v>
      </c>
      <c r="D127"/>
      <c r="F127" s="27" t="s">
        <v>7</v>
      </c>
      <c r="Q127" s="27" t="s">
        <v>8</v>
      </c>
    </row>
    <row r="128" spans="1:36" x14ac:dyDescent="0.25">
      <c r="A128" s="30">
        <v>0.51315811823070612</v>
      </c>
      <c r="F128" s="27" t="s">
        <v>7</v>
      </c>
      <c r="Q128" s="27" t="s">
        <v>8</v>
      </c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Q129" s="27" t="s">
        <v>8</v>
      </c>
    </row>
    <row r="130" spans="1:38" x14ac:dyDescent="0.25">
      <c r="A130" s="30">
        <v>0.42409761837248428</v>
      </c>
      <c r="C130" s="6"/>
      <c r="D130" s="6"/>
      <c r="E130"/>
      <c r="F130" s="27" t="s">
        <v>7</v>
      </c>
      <c r="Q130" s="27" t="s">
        <v>8</v>
      </c>
    </row>
    <row r="131" spans="1:38" x14ac:dyDescent="0.25">
      <c r="A131" s="30">
        <v>0.38554328942953109</v>
      </c>
      <c r="E131"/>
      <c r="F131" s="27" t="s">
        <v>7</v>
      </c>
      <c r="O131" s="27" t="s">
        <v>8</v>
      </c>
      <c r="Q131" s="27" t="s">
        <v>8</v>
      </c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  <c r="M132" s="27" t="s">
        <v>8</v>
      </c>
      <c r="O132" s="27" t="s">
        <v>8</v>
      </c>
      <c r="P132" s="27" t="s">
        <v>7</v>
      </c>
      <c r="Q132" s="27" t="s">
        <v>8</v>
      </c>
    </row>
    <row r="133" spans="1:38" x14ac:dyDescent="0.25">
      <c r="A133" s="30">
        <v>0.31863081771035617</v>
      </c>
      <c r="C133" s="1" t="str">
        <f>C122</f>
        <v>O</v>
      </c>
      <c r="E133"/>
      <c r="F133" s="27" t="s">
        <v>7</v>
      </c>
      <c r="M133" s="27" t="s">
        <v>8</v>
      </c>
      <c r="N133" s="27" t="s">
        <v>7</v>
      </c>
      <c r="O133" s="27" t="s">
        <v>8</v>
      </c>
      <c r="P133" s="27" t="s">
        <v>7</v>
      </c>
      <c r="Q133" s="27" t="s">
        <v>8</v>
      </c>
      <c r="AL133" s="31"/>
    </row>
    <row r="134" spans="1:38" x14ac:dyDescent="0.25">
      <c r="A134" s="30">
        <v>0.28966437973668741</v>
      </c>
      <c r="C134"/>
      <c r="D134"/>
      <c r="E134"/>
      <c r="F134" s="27" t="s">
        <v>7</v>
      </c>
      <c r="M134" s="27" t="s">
        <v>8</v>
      </c>
      <c r="N134" s="27" t="s">
        <v>7</v>
      </c>
      <c r="O134" s="27" t="s">
        <v>8</v>
      </c>
      <c r="P134" s="27" t="s">
        <v>7</v>
      </c>
      <c r="AK134" s="31"/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  <c r="M135" s="27" t="s">
        <v>8</v>
      </c>
      <c r="N135" s="27" t="s">
        <v>7</v>
      </c>
      <c r="O135" s="27" t="s">
        <v>8</v>
      </c>
      <c r="AJ135" s="31"/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M136" s="27" t="s">
        <v>8</v>
      </c>
      <c r="N136" s="27" t="s">
        <v>7</v>
      </c>
      <c r="AI136" s="31"/>
    </row>
    <row r="137" spans="1:38" x14ac:dyDescent="0.25">
      <c r="A137" s="30">
        <v>0.2176291357901482</v>
      </c>
      <c r="E137"/>
      <c r="F137" s="27" t="s">
        <v>7</v>
      </c>
      <c r="M137" s="27" t="s">
        <v>8</v>
      </c>
      <c r="AH137" s="31"/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M138" s="27" t="s">
        <v>8</v>
      </c>
      <c r="AG138" s="31"/>
    </row>
    <row r="139" spans="1:38" x14ac:dyDescent="0.25">
      <c r="A139" s="30">
        <v>0.17985878990921333</v>
      </c>
      <c r="E139"/>
      <c r="F139" s="27" t="s">
        <v>7</v>
      </c>
      <c r="K139" s="27" t="s">
        <v>8</v>
      </c>
      <c r="M139" s="27" t="s">
        <v>8</v>
      </c>
      <c r="AF139" s="31"/>
    </row>
    <row r="140" spans="1:38" x14ac:dyDescent="0.25">
      <c r="A140" s="30">
        <v>0.16350799082655756</v>
      </c>
      <c r="C140" s="1">
        <v>0</v>
      </c>
      <c r="E140"/>
      <c r="F140" s="27" t="s">
        <v>7</v>
      </c>
      <c r="K140" s="27" t="s">
        <v>8</v>
      </c>
      <c r="L140" s="27" t="s">
        <v>7</v>
      </c>
      <c r="M140" s="27" t="s">
        <v>8</v>
      </c>
      <c r="AE140" s="31"/>
    </row>
    <row r="141" spans="1:38" x14ac:dyDescent="0.25">
      <c r="A141" s="30">
        <v>0.14864362802414322</v>
      </c>
      <c r="C141" s="1">
        <v>1</v>
      </c>
      <c r="E141"/>
      <c r="F141" s="27" t="s">
        <v>7</v>
      </c>
      <c r="I141" s="27" t="s">
        <v>8</v>
      </c>
      <c r="K141" s="27" t="s">
        <v>8</v>
      </c>
      <c r="L141" s="27" t="s">
        <v>7</v>
      </c>
      <c r="M141" s="27" t="s">
        <v>8</v>
      </c>
      <c r="AD141" s="31"/>
    </row>
    <row r="142" spans="1:38" x14ac:dyDescent="0.25">
      <c r="A142" s="30">
        <v>0.13513057093103928</v>
      </c>
      <c r="C142" s="1">
        <v>2</v>
      </c>
      <c r="E142"/>
      <c r="F142" s="27" t="s">
        <v>7</v>
      </c>
      <c r="I142" s="27" t="s">
        <v>8</v>
      </c>
      <c r="J142" s="27" t="s">
        <v>7</v>
      </c>
      <c r="K142" s="27" t="s">
        <v>8</v>
      </c>
      <c r="L142" s="27" t="s">
        <v>7</v>
      </c>
      <c r="M142" s="27" t="s">
        <v>8</v>
      </c>
      <c r="AC142" s="31"/>
    </row>
    <row r="143" spans="1:38" x14ac:dyDescent="0.25">
      <c r="A143" s="30">
        <v>0.12284597357367205</v>
      </c>
      <c r="C143" s="1">
        <v>3</v>
      </c>
      <c r="E143"/>
      <c r="F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AB143" s="31"/>
    </row>
    <row r="144" spans="1:38" x14ac:dyDescent="0.25">
      <c r="A144" s="30">
        <v>0.11167815779424731</v>
      </c>
      <c r="C144" s="1">
        <v>4</v>
      </c>
      <c r="E144"/>
      <c r="F144" s="27" t="s">
        <v>7</v>
      </c>
      <c r="I144" s="27" t="s">
        <v>8</v>
      </c>
      <c r="J144" s="27" t="s">
        <v>7</v>
      </c>
      <c r="K144" s="27" t="s">
        <v>8</v>
      </c>
      <c r="AA144" s="31"/>
    </row>
    <row r="145" spans="1:26" x14ac:dyDescent="0.25">
      <c r="A145" s="30">
        <v>0.10152559799477026</v>
      </c>
      <c r="B145"/>
      <c r="C145"/>
      <c r="D145"/>
      <c r="E145"/>
      <c r="F145" s="27" t="s">
        <v>7</v>
      </c>
      <c r="I145" s="27" t="s">
        <v>8</v>
      </c>
      <c r="J145" s="27" t="s">
        <v>7</v>
      </c>
      <c r="K145" s="27" t="s">
        <v>8</v>
      </c>
      <c r="Z145" s="31"/>
    </row>
    <row r="146" spans="1:26" x14ac:dyDescent="0.25">
      <c r="A146" s="30">
        <v>9.2295998177063854E-2</v>
      </c>
      <c r="B146"/>
      <c r="C146"/>
      <c r="D146"/>
      <c r="E146"/>
      <c r="F146" s="27" t="s">
        <v>7</v>
      </c>
      <c r="I146" s="27" t="s">
        <v>8</v>
      </c>
      <c r="J146" s="27" t="s">
        <v>7</v>
      </c>
      <c r="K146" s="27" t="s">
        <v>8</v>
      </c>
      <c r="Y146" s="31"/>
    </row>
    <row r="147" spans="1:26" x14ac:dyDescent="0.25">
      <c r="A147" s="30">
        <v>8.3905452888239848E-2</v>
      </c>
      <c r="B147"/>
      <c r="C147"/>
      <c r="D147"/>
      <c r="E147"/>
      <c r="F147" s="27" t="s">
        <v>7</v>
      </c>
      <c r="I147" s="27" t="s">
        <v>8</v>
      </c>
      <c r="J147" s="27" t="s">
        <v>7</v>
      </c>
      <c r="K147" s="27" t="s">
        <v>8</v>
      </c>
      <c r="X147" s="31"/>
    </row>
    <row r="148" spans="1:26" x14ac:dyDescent="0.25">
      <c r="A148" s="30">
        <v>7.6277684443854396E-2</v>
      </c>
      <c r="B148"/>
      <c r="C148"/>
      <c r="D148"/>
      <c r="E148"/>
      <c r="F148" s="27" t="s">
        <v>7</v>
      </c>
      <c r="I148" s="27" t="s">
        <v>8</v>
      </c>
      <c r="J148" s="27" t="s">
        <v>7</v>
      </c>
      <c r="W148" s="31"/>
    </row>
    <row r="149" spans="1:26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I149" s="27" t="s">
        <v>8</v>
      </c>
      <c r="V149" s="31"/>
    </row>
    <row r="150" spans="1:26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I150" s="27" t="s">
        <v>8</v>
      </c>
      <c r="U150" s="31"/>
    </row>
    <row r="151" spans="1:26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I151" s="27" t="s">
        <v>8</v>
      </c>
      <c r="T151" s="31"/>
    </row>
    <row r="152" spans="1:26" x14ac:dyDescent="0.25">
      <c r="A152" s="30">
        <v>5.2098684819243464E-2</v>
      </c>
      <c r="B152"/>
      <c r="C152"/>
      <c r="D152"/>
      <c r="E152"/>
      <c r="F152" s="27" t="s">
        <v>7</v>
      </c>
      <c r="G152" s="27" t="s">
        <v>8</v>
      </c>
      <c r="H152" s="27" t="s">
        <v>7</v>
      </c>
      <c r="I152" s="27" t="s">
        <v>8</v>
      </c>
      <c r="S152" s="31"/>
    </row>
    <row r="153" spans="1:26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H153" s="27" t="s">
        <v>7</v>
      </c>
      <c r="I153" s="27" t="s">
        <v>8</v>
      </c>
      <c r="R153" s="31"/>
    </row>
    <row r="154" spans="1:26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Q154" s="31"/>
    </row>
    <row r="155" spans="1:26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P155" s="31"/>
    </row>
    <row r="156" spans="1:26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I156" s="27" t="s">
        <v>8</v>
      </c>
      <c r="O156" s="31"/>
    </row>
    <row r="157" spans="1:26" x14ac:dyDescent="0.25">
      <c r="A157" s="30">
        <v>3.2349184307606541E-2</v>
      </c>
      <c r="B157"/>
      <c r="C157"/>
      <c r="D157"/>
      <c r="E157"/>
      <c r="F157" s="27" t="s">
        <v>7</v>
      </c>
      <c r="H157" s="27" t="s">
        <v>7</v>
      </c>
      <c r="I157" s="27" t="s">
        <v>8</v>
      </c>
      <c r="N157" s="31"/>
    </row>
    <row r="158" spans="1:26" x14ac:dyDescent="0.25">
      <c r="A158" s="30">
        <v>2.9408349370551395E-2</v>
      </c>
      <c r="B158"/>
      <c r="C158"/>
      <c r="D158"/>
      <c r="E158"/>
      <c r="H158" s="27" t="s">
        <v>7</v>
      </c>
      <c r="I158" s="27" t="s">
        <v>8</v>
      </c>
      <c r="M158" s="31"/>
    </row>
    <row r="159" spans="1:26" x14ac:dyDescent="0.25">
      <c r="A159" s="30">
        <v>2.6734863064137627E-2</v>
      </c>
      <c r="B159"/>
      <c r="C159"/>
      <c r="D159"/>
      <c r="E159"/>
      <c r="H159" s="27" t="s">
        <v>7</v>
      </c>
      <c r="I159" s="27" t="s">
        <v>8</v>
      </c>
      <c r="L159" s="31"/>
    </row>
    <row r="160" spans="1:26" x14ac:dyDescent="0.25">
      <c r="A160" s="30">
        <v>2.4304420967397839E-2</v>
      </c>
      <c r="B160"/>
      <c r="C160"/>
      <c r="D160"/>
      <c r="E160"/>
      <c r="H160" s="27" t="s">
        <v>7</v>
      </c>
      <c r="I160" s="27" t="s">
        <v>8</v>
      </c>
      <c r="K160" s="31"/>
    </row>
    <row r="161" spans="1:10" x14ac:dyDescent="0.25">
      <c r="A161" s="30">
        <v>2.2094928152179852E-2</v>
      </c>
      <c r="B161"/>
      <c r="C161"/>
      <c r="D161"/>
      <c r="E161"/>
      <c r="H161" s="27" t="s">
        <v>7</v>
      </c>
      <c r="I161" s="27" t="s">
        <v>8</v>
      </c>
      <c r="J161" s="31"/>
    </row>
    <row r="162" spans="1:10" x14ac:dyDescent="0.25">
      <c r="A162" s="30">
        <v>2.0086298320163499E-2</v>
      </c>
      <c r="B162"/>
      <c r="C162"/>
      <c r="D162"/>
      <c r="E162"/>
      <c r="H162" s="27" t="s">
        <v>7</v>
      </c>
      <c r="I162" s="31" t="s">
        <v>8</v>
      </c>
    </row>
    <row r="163" spans="1:10" x14ac:dyDescent="0.25">
      <c r="A163" s="30">
        <v>1.8260271200148632E-2</v>
      </c>
      <c r="B163"/>
      <c r="C163"/>
      <c r="D163"/>
      <c r="E163"/>
      <c r="H163" s="31" t="s">
        <v>7</v>
      </c>
    </row>
    <row r="164" spans="1:10" x14ac:dyDescent="0.25">
      <c r="A164" s="30">
        <v>1.6600246545589663E-2</v>
      </c>
      <c r="B164"/>
      <c r="C164"/>
      <c r="D164"/>
      <c r="E164"/>
    </row>
    <row r="165" spans="1:10" x14ac:dyDescent="0.25">
      <c r="A165" s="30">
        <v>1.5091133223263328E-2</v>
      </c>
      <c r="B165"/>
      <c r="C165"/>
      <c r="D165"/>
      <c r="E165"/>
    </row>
    <row r="166" spans="1:10" x14ac:dyDescent="0.25">
      <c r="A166" s="30">
        <v>1.3719212021148477E-2</v>
      </c>
      <c r="B166"/>
      <c r="C166"/>
      <c r="D166"/>
      <c r="E166"/>
    </row>
    <row r="167" spans="1:10" x14ac:dyDescent="0.25">
      <c r="A167" s="30">
        <v>1.2472010928316795E-2</v>
      </c>
      <c r="B167"/>
      <c r="C167"/>
      <c r="D167"/>
      <c r="E167"/>
    </row>
    <row r="168" spans="1:10" x14ac:dyDescent="0.25">
      <c r="A168" s="30">
        <v>1.1338191753015267E-2</v>
      </c>
      <c r="B168"/>
      <c r="C168"/>
      <c r="D168"/>
      <c r="E168"/>
    </row>
    <row r="169" spans="1:10" x14ac:dyDescent="0.25">
      <c r="A169" s="30">
        <v>1.0307447048195697E-2</v>
      </c>
      <c r="B169"/>
      <c r="C169"/>
      <c r="D169"/>
      <c r="E169"/>
    </row>
    <row r="170" spans="1:10" x14ac:dyDescent="0.25">
      <c r="A170" s="30">
        <v>9.3704064074506318E-3</v>
      </c>
      <c r="B170"/>
      <c r="C170"/>
      <c r="D170"/>
      <c r="E170"/>
    </row>
    <row r="171" spans="1:10" x14ac:dyDescent="0.25">
      <c r="A171" s="30">
        <v>8.5185512795005747E-3</v>
      </c>
    </row>
    <row r="172" spans="1:10" x14ac:dyDescent="0.25">
      <c r="A172" s="30">
        <v>7.744137526818704E-3</v>
      </c>
    </row>
    <row r="173" spans="1:10" x14ac:dyDescent="0.25">
      <c r="A173" s="30">
        <v>7.0401250243806394E-3</v>
      </c>
    </row>
    <row r="174" spans="1:10" x14ac:dyDescent="0.25">
      <c r="A174" s="30">
        <v>6.4001136585278536E-3</v>
      </c>
    </row>
    <row r="175" spans="1:10" x14ac:dyDescent="0.25">
      <c r="A175" s="30">
        <v>5.8182851441162305E-3</v>
      </c>
    </row>
    <row r="176" spans="1:10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5" sqref="G5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0.02</v>
      </c>
      <c r="E3" s="7">
        <v>1.0404</v>
      </c>
      <c r="F3" s="7">
        <v>1.1716593810022657</v>
      </c>
      <c r="G3" s="7">
        <v>1.3727857050906125</v>
      </c>
      <c r="H3" s="25">
        <f>IF(G3="","",(3*(G3-F3))+E3)</f>
        <v>1.6437789722650402</v>
      </c>
      <c r="I3" s="7"/>
      <c r="J3" s="7">
        <f>(E3+G3)/2</f>
        <v>1.2065928525453062</v>
      </c>
      <c r="K3" s="7">
        <f>H3/2</f>
        <v>0.82188948613252011</v>
      </c>
      <c r="M3" s="26">
        <f>IF(OR(J3="",H3=""),"",H3/J3)</f>
        <v>1.3623311034848999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1.1025</v>
      </c>
      <c r="F4" s="30">
        <v>1.1576249999999999</v>
      </c>
      <c r="G4" s="30">
        <v>1.7958563260221301</v>
      </c>
      <c r="H4" s="25">
        <f t="shared" ref="H4:H25" si="0">IF(G4="","",(3*(G4-F4))+E4)</f>
        <v>3.0171939780663903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30">
        <v>1.05</v>
      </c>
      <c r="F5" s="30">
        <v>1.1025</v>
      </c>
      <c r="G5" s="30">
        <v>2.1828745883819374</v>
      </c>
      <c r="H5" s="25">
        <f t="shared" si="0"/>
        <v>4.2911237651458123</v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2022-01-28T01:13:23Z</dcterms:modified>
</cp:coreProperties>
</file>