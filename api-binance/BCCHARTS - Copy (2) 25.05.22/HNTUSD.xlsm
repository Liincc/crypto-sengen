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FEF1606-C6AA-45B7-AE9E-A082676438B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D136" i="4" s="1"/>
  <c r="C116" i="4"/>
  <c r="C116" i="3"/>
  <c r="R765" i="1"/>
  <c r="S765" i="1" s="1"/>
  <c r="T765" i="1" s="1"/>
  <c r="C122" i="3"/>
  <c r="C133" i="3" s="1"/>
  <c r="D136" i="3" s="1"/>
  <c r="C136" i="5" l="1"/>
  <c r="C138" i="5" s="1"/>
  <c r="C136" i="4"/>
  <c r="C138" i="4" s="1"/>
  <c r="R764" i="1"/>
  <c r="R763" i="1" s="1"/>
  <c r="C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<sst xmlns="http://schemas.openxmlformats.org/spreadsheetml/2006/main" count="5610" uniqueCount="34">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</sst>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27.51</c:v>
                </c:pt>
                <c:pt idx="1">
                  <c:v>29.12</c:v>
                </c:pt>
                <c:pt idx="2">
                  <c:v>25.6</c:v>
                </c:pt>
                <c:pt idx="3">
                  <c:v>22.6</c:v>
                </c:pt>
                <c:pt idx="4">
                  <c:v>23.66</c:v>
                </c:pt>
                <c:pt idx="5">
                  <c:v>22.52</c:v>
                </c:pt>
                <c:pt idx="6">
                  <c:v>24.18</c:v>
                </c:pt>
                <c:pt idx="7">
                  <c:v>28.45</c:v>
                </c:pt>
                <c:pt idx="8">
                  <c:v>28.14</c:v>
                </c:pt>
                <c:pt idx="9">
                  <c:v>30.71</c:v>
                </c:pt>
                <c:pt idx="10">
                  <c:v>32.840000000000003</c:v>
                </c:pt>
                <c:pt idx="11">
                  <c:v>33.630000000000003</c:v>
                </c:pt>
                <c:pt idx="12">
                  <c:v>33.770000000000003</c:v>
                </c:pt>
                <c:pt idx="13">
                  <c:v>33.130000000000003</c:v>
                </c:pt>
                <c:pt idx="14">
                  <c:v>32.33</c:v>
                </c:pt>
                <c:pt idx="15">
                  <c:v>35.630000000000003</c:v>
                </c:pt>
                <c:pt idx="16">
                  <c:v>33.06</c:v>
                </c:pt>
                <c:pt idx="17">
                  <c:v>31.71</c:v>
                </c:pt>
                <c:pt idx="18">
                  <c:v>33.17</c:v>
                </c:pt>
                <c:pt idx="19">
                  <c:v>32.1</c:v>
                </c:pt>
                <c:pt idx="20">
                  <c:v>35.630000000000003</c:v>
                </c:pt>
                <c:pt idx="21">
                  <c:v>40.31</c:v>
                </c:pt>
                <c:pt idx="22">
                  <c:v>38.61</c:v>
                </c:pt>
                <c:pt idx="23">
                  <c:v>41.55</c:v>
                </c:pt>
                <c:pt idx="24">
                  <c:v>39.97</c:v>
                </c:pt>
                <c:pt idx="25">
                  <c:v>41.05</c:v>
                </c:pt>
                <c:pt idx="26">
                  <c:v>39.799999999999997</c:v>
                </c:pt>
                <c:pt idx="27">
                  <c:v>37.729999999999997</c:v>
                </c:pt>
                <c:pt idx="28">
                  <c:v>37.49</c:v>
                </c:pt>
                <c:pt idx="29">
                  <c:v>38.1</c:v>
                </c:pt>
                <c:pt idx="30">
                  <c:v>36.51</c:v>
                </c:pt>
                <c:pt idx="31">
                  <c:v>39.47</c:v>
                </c:pt>
                <c:pt idx="32">
                  <c:v>37.53</c:v>
                </c:pt>
                <c:pt idx="33">
                  <c:v>38.21</c:v>
                </c:pt>
                <c:pt idx="34">
                  <c:v>37.549999999999997</c:v>
                </c:pt>
                <c:pt idx="35">
                  <c:v>38.92</c:v>
                </c:pt>
                <c:pt idx="36">
                  <c:v>40.409999999999997</c:v>
                </c:pt>
                <c:pt idx="37">
                  <c:v>36.340000000000003</c:v>
                </c:pt>
                <c:pt idx="38">
                  <c:v>34.75</c:v>
                </c:pt>
                <c:pt idx="39">
                  <c:v>31.99</c:v>
                </c:pt>
                <c:pt idx="40">
                  <c:v>32.799999999999997</c:v>
                </c:pt>
                <c:pt idx="41">
                  <c:v>33.85</c:v>
                </c:pt>
                <c:pt idx="42">
                  <c:v>31.86</c:v>
                </c:pt>
                <c:pt idx="43">
                  <c:v>31.28</c:v>
                </c:pt>
                <c:pt idx="44">
                  <c:v>27.81</c:v>
                </c:pt>
                <c:pt idx="45">
                  <c:v>26.03</c:v>
                </c:pt>
                <c:pt idx="46">
                  <c:v>29.73</c:v>
                </c:pt>
                <c:pt idx="47">
                  <c:v>28.32</c:v>
                </c:pt>
                <c:pt idx="48">
                  <c:v>28.09</c:v>
                </c:pt>
                <c:pt idx="49">
                  <c:v>29.04</c:v>
                </c:pt>
                <c:pt idx="50">
                  <c:v>30.26</c:v>
                </c:pt>
                <c:pt idx="51">
                  <c:v>32.53</c:v>
                </c:pt>
                <c:pt idx="52">
                  <c:v>31.12</c:v>
                </c:pt>
                <c:pt idx="53">
                  <c:v>31.47</c:v>
                </c:pt>
                <c:pt idx="54">
                  <c:v>33.659999999999997</c:v>
                </c:pt>
                <c:pt idx="55">
                  <c:v>35.18</c:v>
                </c:pt>
                <c:pt idx="56">
                  <c:v>38.409999999999997</c:v>
                </c:pt>
                <c:pt idx="57">
                  <c:v>38.21</c:v>
                </c:pt>
                <c:pt idx="58">
                  <c:v>39.14</c:v>
                </c:pt>
                <c:pt idx="59">
                  <c:v>40.340000000000003</c:v>
                </c:pt>
                <c:pt idx="60">
                  <c:v>40.29</c:v>
                </c:pt>
                <c:pt idx="61">
                  <c:v>40.04</c:v>
                </c:pt>
                <c:pt idx="62">
                  <c:v>40.72</c:v>
                </c:pt>
                <c:pt idx="63">
                  <c:v>46.5</c:v>
                </c:pt>
                <c:pt idx="64">
                  <c:v>43.84</c:v>
                </c:pt>
                <c:pt idx="65">
                  <c:v>45.76</c:v>
                </c:pt>
                <c:pt idx="66">
                  <c:v>41.85</c:v>
                </c:pt>
                <c:pt idx="67">
                  <c:v>44.23</c:v>
                </c:pt>
                <c:pt idx="68">
                  <c:v>46.62</c:v>
                </c:pt>
                <c:pt idx="69">
                  <c:v>45.74</c:v>
                </c:pt>
                <c:pt idx="70">
                  <c:v>39.380000000000003</c:v>
                </c:pt>
                <c:pt idx="71">
                  <c:v>45.46</c:v>
                </c:pt>
                <c:pt idx="72">
                  <c:v>44.32</c:v>
                </c:pt>
                <c:pt idx="73">
                  <c:v>47.34</c:v>
                </c:pt>
                <c:pt idx="74">
                  <c:v>52.7</c:v>
                </c:pt>
                <c:pt idx="75">
                  <c:v>50.72</c:v>
                </c:pt>
                <c:pt idx="76">
                  <c:v>51.14</c:v>
                </c:pt>
                <c:pt idx="77">
                  <c:v>48.6</c:v>
                </c:pt>
                <c:pt idx="78">
                  <c:v>50.57</c:v>
                </c:pt>
                <c:pt idx="79">
                  <c:v>47.09</c:v>
                </c:pt>
                <c:pt idx="80">
                  <c:v>42.7</c:v>
                </c:pt>
                <c:pt idx="81">
                  <c:v>44.79</c:v>
                </c:pt>
                <c:pt idx="82">
                  <c:v>37.44</c:v>
                </c:pt>
                <c:pt idx="83">
                  <c:v>33.64</c:v>
                </c:pt>
                <c:pt idx="84">
                  <c:v>29.89</c:v>
                </c:pt>
                <c:pt idx="85">
                  <c:v>28.79</c:v>
                </c:pt>
                <c:pt idx="86">
                  <c:v>28.61</c:v>
                </c:pt>
                <c:pt idx="87">
                  <c:v>28.28</c:v>
                </c:pt>
                <c:pt idx="88">
                  <c:v>29.01</c:v>
                </c:pt>
                <c:pt idx="89">
                  <c:v>30.48</c:v>
                </c:pt>
                <c:pt idx="90">
                  <c:v>27.96</c:v>
                </c:pt>
                <c:pt idx="91">
                  <c:v>26.68</c:v>
                </c:pt>
                <c:pt idx="92">
                  <c:v>25.65</c:v>
                </c:pt>
                <c:pt idx="93">
                  <c:v>24.16</c:v>
                </c:pt>
                <c:pt idx="94">
                  <c:v>21.42</c:v>
                </c:pt>
                <c:pt idx="95">
                  <c:v>20.97</c:v>
                </c:pt>
                <c:pt idx="96">
                  <c:v>21.33</c:v>
                </c:pt>
                <c:pt idx="97">
                  <c:v>21.41</c:v>
                </c:pt>
                <c:pt idx="98">
                  <c:v>21.74</c:v>
                </c:pt>
                <c:pt idx="99">
                  <c:v>22.57</c:v>
                </c:pt>
                <c:pt idx="100">
                  <c:v>22.12</c:v>
                </c:pt>
                <c:pt idx="101">
                  <c:v>21.19</c:v>
                </c:pt>
                <c:pt idx="102">
                  <c:v>21.74</c:v>
                </c:pt>
                <c:pt idx="103">
                  <c:v>21.82</c:v>
                </c:pt>
                <c:pt idx="104">
                  <c:v>21.08</c:v>
                </c:pt>
                <c:pt idx="105">
                  <c:v>20.12</c:v>
                </c:pt>
                <c:pt idx="106">
                  <c:v>19.43</c:v>
                </c:pt>
                <c:pt idx="107">
                  <c:v>19.16</c:v>
                </c:pt>
                <c:pt idx="108">
                  <c:v>19.059999999999999</c:v>
                </c:pt>
                <c:pt idx="109">
                  <c:v>19.100000000000001</c:v>
                </c:pt>
                <c:pt idx="110">
                  <c:v>20.09</c:v>
                </c:pt>
                <c:pt idx="111">
                  <c:v>20.079999999999998</c:v>
                </c:pt>
                <c:pt idx="112">
                  <c:v>20.440000000000001</c:v>
                </c:pt>
                <c:pt idx="113">
                  <c:v>21.58</c:v>
                </c:pt>
                <c:pt idx="114">
                  <c:v>21.7</c:v>
                </c:pt>
                <c:pt idx="115">
                  <c:v>21.13</c:v>
                </c:pt>
                <c:pt idx="116">
                  <c:v>21.54</c:v>
                </c:pt>
                <c:pt idx="117">
                  <c:v>18.690000000000001</c:v>
                </c:pt>
                <c:pt idx="118">
                  <c:v>18.579999999999998</c:v>
                </c:pt>
                <c:pt idx="119">
                  <c:v>17.29</c:v>
                </c:pt>
                <c:pt idx="120">
                  <c:v>16.97</c:v>
                </c:pt>
                <c:pt idx="121">
                  <c:v>16.940000000000001</c:v>
                </c:pt>
                <c:pt idx="122">
                  <c:v>17.52</c:v>
                </c:pt>
                <c:pt idx="123">
                  <c:v>18.04</c:v>
                </c:pt>
                <c:pt idx="124">
                  <c:v>17.54</c:v>
                </c:pt>
                <c:pt idx="125">
                  <c:v>17.61</c:v>
                </c:pt>
                <c:pt idx="126">
                  <c:v>18.64</c:v>
                </c:pt>
                <c:pt idx="127">
                  <c:v>18.79</c:v>
                </c:pt>
                <c:pt idx="128">
                  <c:v>16.809999999999999</c:v>
                </c:pt>
                <c:pt idx="129">
                  <c:v>18.13</c:v>
                </c:pt>
                <c:pt idx="130">
                  <c:v>19.760000000000002</c:v>
                </c:pt>
                <c:pt idx="131">
                  <c:v>20.54</c:v>
                </c:pt>
                <c:pt idx="132">
                  <c:v>19.579999999999998</c:v>
                </c:pt>
                <c:pt idx="133">
                  <c:v>20.27</c:v>
                </c:pt>
                <c:pt idx="134">
                  <c:v>20.48</c:v>
                </c:pt>
                <c:pt idx="135">
                  <c:v>20.59</c:v>
                </c:pt>
                <c:pt idx="136">
                  <c:v>19.62</c:v>
                </c:pt>
                <c:pt idx="137">
                  <c:v>21.38</c:v>
                </c:pt>
                <c:pt idx="138">
                  <c:v>20.13</c:v>
                </c:pt>
                <c:pt idx="139">
                  <c:v>19.88</c:v>
                </c:pt>
                <c:pt idx="140">
                  <c:v>21.15</c:v>
                </c:pt>
                <c:pt idx="141">
                  <c:v>20.75</c:v>
                </c:pt>
                <c:pt idx="142">
                  <c:v>20.48</c:v>
                </c:pt>
                <c:pt idx="143">
                  <c:v>24.27</c:v>
                </c:pt>
                <c:pt idx="144">
                  <c:v>23.79</c:v>
                </c:pt>
                <c:pt idx="145">
                  <c:v>23.05</c:v>
                </c:pt>
                <c:pt idx="146">
                  <c:v>22.9</c:v>
                </c:pt>
                <c:pt idx="147">
                  <c:v>22.67</c:v>
                </c:pt>
                <c:pt idx="148">
                  <c:v>23.29</c:v>
                </c:pt>
                <c:pt idx="149">
                  <c:v>24.83</c:v>
                </c:pt>
                <c:pt idx="150">
                  <c:v>20.63</c:v>
                </c:pt>
                <c:pt idx="151">
                  <c:v>22.63</c:v>
                </c:pt>
                <c:pt idx="152">
                  <c:v>23.58</c:v>
                </c:pt>
                <c:pt idx="153">
                  <c:v>22.79</c:v>
                </c:pt>
                <c:pt idx="154">
                  <c:v>20.58</c:v>
                </c:pt>
                <c:pt idx="155">
                  <c:v>23.285</c:v>
                </c:pt>
                <c:pt idx="156">
                  <c:v>22.655999999999999</c:v>
                </c:pt>
                <c:pt idx="157">
                  <c:v>26.372</c:v>
                </c:pt>
                <c:pt idx="158">
                  <c:v>23.31</c:v>
                </c:pt>
                <c:pt idx="159">
                  <c:v>22.998000000000001</c:v>
                </c:pt>
                <c:pt idx="160">
                  <c:v>24.257000000000001</c:v>
                </c:pt>
                <c:pt idx="161">
                  <c:v>21.138999999999999</c:v>
                </c:pt>
                <c:pt idx="162">
                  <c:v>19.567</c:v>
                </c:pt>
                <c:pt idx="163">
                  <c:v>19.969000000000001</c:v>
                </c:pt>
                <c:pt idx="164">
                  <c:v>17.937000000000001</c:v>
                </c:pt>
                <c:pt idx="165">
                  <c:v>18.024999999999999</c:v>
                </c:pt>
                <c:pt idx="166">
                  <c:v>16.553999999999998</c:v>
                </c:pt>
                <c:pt idx="167">
                  <c:v>17.048999999999999</c:v>
                </c:pt>
                <c:pt idx="168">
                  <c:v>15.949</c:v>
                </c:pt>
                <c:pt idx="169">
                  <c:v>16.417999999999999</c:v>
                </c:pt>
                <c:pt idx="170">
                  <c:v>18.419</c:v>
                </c:pt>
                <c:pt idx="171">
                  <c:v>14.473000000000001</c:v>
                </c:pt>
                <c:pt idx="172">
                  <c:v>14.331</c:v>
                </c:pt>
                <c:pt idx="173">
                  <c:v>13.807</c:v>
                </c:pt>
                <c:pt idx="174">
                  <c:v>13.757</c:v>
                </c:pt>
                <c:pt idx="175">
                  <c:v>13.2</c:v>
                </c:pt>
                <c:pt idx="176">
                  <c:v>13.257999999999999</c:v>
                </c:pt>
                <c:pt idx="177">
                  <c:v>13.141</c:v>
                </c:pt>
                <c:pt idx="178">
                  <c:v>13.51</c:v>
                </c:pt>
                <c:pt idx="179">
                  <c:v>13.08</c:v>
                </c:pt>
                <c:pt idx="180">
                  <c:v>13.792999999999999</c:v>
                </c:pt>
                <c:pt idx="181">
                  <c:v>14.21</c:v>
                </c:pt>
                <c:pt idx="182">
                  <c:v>12.374000000000001</c:v>
                </c:pt>
                <c:pt idx="183">
                  <c:v>12.85</c:v>
                </c:pt>
                <c:pt idx="184">
                  <c:v>11.526</c:v>
                </c:pt>
                <c:pt idx="185">
                  <c:v>11.359</c:v>
                </c:pt>
                <c:pt idx="186">
                  <c:v>11.965999999999999</c:v>
                </c:pt>
                <c:pt idx="187">
                  <c:v>11.273</c:v>
                </c:pt>
                <c:pt idx="188">
                  <c:v>11.151</c:v>
                </c:pt>
                <c:pt idx="189">
                  <c:v>10.992000000000001</c:v>
                </c:pt>
                <c:pt idx="190">
                  <c:v>10.798</c:v>
                </c:pt>
                <c:pt idx="191">
                  <c:v>9.7070000000000007</c:v>
                </c:pt>
                <c:pt idx="192">
                  <c:v>9.93</c:v>
                </c:pt>
                <c:pt idx="193">
                  <c:v>10.993</c:v>
                </c:pt>
                <c:pt idx="194">
                  <c:v>10.707000000000001</c:v>
                </c:pt>
                <c:pt idx="195">
                  <c:v>10.372</c:v>
                </c:pt>
                <c:pt idx="196">
                  <c:v>11.052</c:v>
                </c:pt>
                <c:pt idx="197">
                  <c:v>11.721</c:v>
                </c:pt>
                <c:pt idx="198">
                  <c:v>12.029</c:v>
                </c:pt>
                <c:pt idx="199">
                  <c:v>12.589</c:v>
                </c:pt>
                <c:pt idx="200">
                  <c:v>12.808</c:v>
                </c:pt>
                <c:pt idx="201">
                  <c:v>12.84</c:v>
                </c:pt>
                <c:pt idx="202">
                  <c:v>12.516</c:v>
                </c:pt>
                <c:pt idx="203">
                  <c:v>12.164</c:v>
                </c:pt>
                <c:pt idx="204">
                  <c:v>12.731</c:v>
                </c:pt>
                <c:pt idx="205">
                  <c:v>13.071</c:v>
                </c:pt>
                <c:pt idx="206">
                  <c:v>12.856</c:v>
                </c:pt>
                <c:pt idx="207">
                  <c:v>13.42</c:v>
                </c:pt>
                <c:pt idx="208">
                  <c:v>13.353999999999999</c:v>
                </c:pt>
                <c:pt idx="209">
                  <c:v>12.79</c:v>
                </c:pt>
                <c:pt idx="210">
                  <c:v>12.869</c:v>
                </c:pt>
                <c:pt idx="211">
                  <c:v>12.747999999999999</c:v>
                </c:pt>
                <c:pt idx="212">
                  <c:v>12.798999999999999</c:v>
                </c:pt>
                <c:pt idx="213">
                  <c:v>12.170999999999999</c:v>
                </c:pt>
                <c:pt idx="214">
                  <c:v>11.551</c:v>
                </c:pt>
                <c:pt idx="215">
                  <c:v>11.111000000000001</c:v>
                </c:pt>
                <c:pt idx="216">
                  <c:v>11.436</c:v>
                </c:pt>
                <c:pt idx="217">
                  <c:v>12.393000000000001</c:v>
                </c:pt>
                <c:pt idx="218">
                  <c:v>11.957000000000001</c:v>
                </c:pt>
                <c:pt idx="219">
                  <c:v>10.077</c:v>
                </c:pt>
                <c:pt idx="220">
                  <c:v>10.574</c:v>
                </c:pt>
                <c:pt idx="221">
                  <c:v>12.609</c:v>
                </c:pt>
                <c:pt idx="222">
                  <c:v>12.551</c:v>
                </c:pt>
                <c:pt idx="223">
                  <c:v>12.782999999999999</c:v>
                </c:pt>
                <c:pt idx="224">
                  <c:v>14.05</c:v>
                </c:pt>
                <c:pt idx="225">
                  <c:v>13.205</c:v>
                </c:pt>
                <c:pt idx="226">
                  <c:v>13.44</c:v>
                </c:pt>
                <c:pt idx="227">
                  <c:v>13.384</c:v>
                </c:pt>
                <c:pt idx="228">
                  <c:v>13.313000000000001</c:v>
                </c:pt>
                <c:pt idx="229">
                  <c:v>12.343999999999999</c:v>
                </c:pt>
                <c:pt idx="230">
                  <c:v>13.476000000000001</c:v>
                </c:pt>
                <c:pt idx="231">
                  <c:v>13.161</c:v>
                </c:pt>
                <c:pt idx="232">
                  <c:v>13.879</c:v>
                </c:pt>
                <c:pt idx="233">
                  <c:v>13.884</c:v>
                </c:pt>
                <c:pt idx="234">
                  <c:v>12.875999999999999</c:v>
                </c:pt>
                <c:pt idx="235">
                  <c:v>14.643000000000001</c:v>
                </c:pt>
                <c:pt idx="236">
                  <c:v>14.131</c:v>
                </c:pt>
                <c:pt idx="237">
                  <c:v>14.868</c:v>
                </c:pt>
                <c:pt idx="238">
                  <c:v>15.65</c:v>
                </c:pt>
                <c:pt idx="239">
                  <c:v>15.576000000000001</c:v>
                </c:pt>
                <c:pt idx="240">
                  <c:v>15.242000000000001</c:v>
                </c:pt>
                <c:pt idx="241">
                  <c:v>16.245000000000001</c:v>
                </c:pt>
                <c:pt idx="242">
                  <c:v>15.7</c:v>
                </c:pt>
                <c:pt idx="243">
                  <c:v>16.138999999999999</c:v>
                </c:pt>
                <c:pt idx="244">
                  <c:v>19.597999999999999</c:v>
                </c:pt>
                <c:pt idx="245">
                  <c:v>17.998000000000001</c:v>
                </c:pt>
                <c:pt idx="246">
                  <c:v>15.491</c:v>
                </c:pt>
                <c:pt idx="247">
                  <c:v>14.010999999999999</c:v>
                </c:pt>
                <c:pt idx="248">
                  <c:v>13.563000000000001</c:v>
                </c:pt>
                <c:pt idx="249">
                  <c:v>11.302</c:v>
                </c:pt>
                <c:pt idx="250">
                  <c:v>12.069000000000001</c:v>
                </c:pt>
                <c:pt idx="251">
                  <c:v>13.945</c:v>
                </c:pt>
                <c:pt idx="252">
                  <c:v>13.391</c:v>
                </c:pt>
                <c:pt idx="253">
                  <c:v>12.305</c:v>
                </c:pt>
                <c:pt idx="254">
                  <c:v>16.655999999999999</c:v>
                </c:pt>
                <c:pt idx="255">
                  <c:v>14.351000000000001</c:v>
                </c:pt>
                <c:pt idx="256">
                  <c:v>14.192</c:v>
                </c:pt>
                <c:pt idx="257">
                  <c:v>14.43</c:v>
                </c:pt>
                <c:pt idx="258">
                  <c:v>15.569000000000001</c:v>
                </c:pt>
                <c:pt idx="259">
                  <c:v>15.042999999999999</c:v>
                </c:pt>
                <c:pt idx="260">
                  <c:v>14.494999999999999</c:v>
                </c:pt>
                <c:pt idx="261">
                  <c:v>17.03</c:v>
                </c:pt>
                <c:pt idx="262">
                  <c:v>16.170999999999999</c:v>
                </c:pt>
                <c:pt idx="263">
                  <c:v>16.797999999999998</c:v>
                </c:pt>
                <c:pt idx="264">
                  <c:v>17.209</c:v>
                </c:pt>
                <c:pt idx="265">
                  <c:v>17.538</c:v>
                </c:pt>
                <c:pt idx="266">
                  <c:v>17.396000000000001</c:v>
                </c:pt>
                <c:pt idx="267">
                  <c:v>18.297000000000001</c:v>
                </c:pt>
                <c:pt idx="268">
                  <c:v>16.655999999999999</c:v>
                </c:pt>
                <c:pt idx="269">
                  <c:v>18.260999999999999</c:v>
                </c:pt>
                <c:pt idx="270">
                  <c:v>18.414000000000001</c:v>
                </c:pt>
                <c:pt idx="271">
                  <c:v>17.058</c:v>
                </c:pt>
                <c:pt idx="272">
                  <c:v>16.984000000000002</c:v>
                </c:pt>
                <c:pt idx="273">
                  <c:v>16.477</c:v>
                </c:pt>
                <c:pt idx="274">
                  <c:v>17.204999999999998</c:v>
                </c:pt>
                <c:pt idx="275">
                  <c:v>17.774999999999999</c:v>
                </c:pt>
                <c:pt idx="276">
                  <c:v>15.076000000000001</c:v>
                </c:pt>
                <c:pt idx="277">
                  <c:v>13.476000000000001</c:v>
                </c:pt>
                <c:pt idx="278">
                  <c:v>12.832000000000001</c:v>
                </c:pt>
                <c:pt idx="279">
                  <c:v>14.215</c:v>
                </c:pt>
                <c:pt idx="280">
                  <c:v>12.1</c:v>
                </c:pt>
                <c:pt idx="281">
                  <c:v>12.573</c:v>
                </c:pt>
                <c:pt idx="282">
                  <c:v>13.035</c:v>
                </c:pt>
                <c:pt idx="283">
                  <c:v>12.84</c:v>
                </c:pt>
                <c:pt idx="284">
                  <c:v>16.111999999999998</c:v>
                </c:pt>
                <c:pt idx="285">
                  <c:v>15.356</c:v>
                </c:pt>
                <c:pt idx="286">
                  <c:v>14.795</c:v>
                </c:pt>
                <c:pt idx="287">
                  <c:v>15.318</c:v>
                </c:pt>
                <c:pt idx="288">
                  <c:v>15.307</c:v>
                </c:pt>
                <c:pt idx="289">
                  <c:v>16.094999999999999</c:v>
                </c:pt>
                <c:pt idx="290">
                  <c:v>16.23</c:v>
                </c:pt>
                <c:pt idx="291">
                  <c:v>17.053999999999998</c:v>
                </c:pt>
                <c:pt idx="292">
                  <c:v>17.225999999999999</c:v>
                </c:pt>
                <c:pt idx="293">
                  <c:v>16.094000000000001</c:v>
                </c:pt>
                <c:pt idx="294">
                  <c:v>16.919</c:v>
                </c:pt>
                <c:pt idx="295">
                  <c:v>16.565999999999999</c:v>
                </c:pt>
                <c:pt idx="296">
                  <c:v>18.428999999999998</c:v>
                </c:pt>
                <c:pt idx="297">
                  <c:v>15.564</c:v>
                </c:pt>
                <c:pt idx="298">
                  <c:v>16.59</c:v>
                </c:pt>
                <c:pt idx="299">
                  <c:v>15.234</c:v>
                </c:pt>
                <c:pt idx="300">
                  <c:v>13.526999999999999</c:v>
                </c:pt>
                <c:pt idx="301">
                  <c:v>13.215</c:v>
                </c:pt>
                <c:pt idx="302">
                  <c:v>10.493</c:v>
                </c:pt>
                <c:pt idx="303">
                  <c:v>10.037000000000001</c:v>
                </c:pt>
                <c:pt idx="304">
                  <c:v>10.291</c:v>
                </c:pt>
                <c:pt idx="305">
                  <c:v>10.196</c:v>
                </c:pt>
                <c:pt idx="306">
                  <c:v>10.585000000000001</c:v>
                </c:pt>
                <c:pt idx="307">
                  <c:v>8.26</c:v>
                </c:pt>
                <c:pt idx="308">
                  <c:v>7.0990000000000002</c:v>
                </c:pt>
                <c:pt idx="309">
                  <c:v>7.0279999999999996</c:v>
                </c:pt>
                <c:pt idx="310">
                  <c:v>8.01</c:v>
                </c:pt>
                <c:pt idx="311">
                  <c:v>8.8160000000000007</c:v>
                </c:pt>
                <c:pt idx="312">
                  <c:v>9.5739999999999998</c:v>
                </c:pt>
                <c:pt idx="313">
                  <c:v>8.3369999999999997</c:v>
                </c:pt>
                <c:pt idx="314">
                  <c:v>8.9149999999999991</c:v>
                </c:pt>
                <c:pt idx="315">
                  <c:v>7.4939999999999998</c:v>
                </c:pt>
                <c:pt idx="316">
                  <c:v>7.6159999999999997</c:v>
                </c:pt>
                <c:pt idx="317">
                  <c:v>7.109</c:v>
                </c:pt>
                <c:pt idx="318">
                  <c:v>6.4619999999999997</c:v>
                </c:pt>
                <c:pt idx="319">
                  <c:v>6.4740000000000002</c:v>
                </c:pt>
                <c:pt idx="320">
                  <c:v>6.9820000000000002</c:v>
                </c:pt>
                <c:pt idx="321">
                  <c:v>5.9640000000000004</c:v>
                </c:pt>
                <c:pt idx="322">
                  <c:v>6.3419999999999996</c:v>
                </c:pt>
                <c:pt idx="323">
                  <c:v>6.508</c:v>
                </c:pt>
                <c:pt idx="324">
                  <c:v>4.7770000000000001</c:v>
                </c:pt>
                <c:pt idx="325">
                  <c:v>4.5789999999999997</c:v>
                </c:pt>
                <c:pt idx="326">
                  <c:v>4.2919999999999998</c:v>
                </c:pt>
                <c:pt idx="327">
                  <c:v>4.08</c:v>
                </c:pt>
                <c:pt idx="328">
                  <c:v>4.0190000000000001</c:v>
                </c:pt>
                <c:pt idx="329">
                  <c:v>4.234</c:v>
                </c:pt>
                <c:pt idx="330">
                  <c:v>4.1760000000000002</c:v>
                </c:pt>
                <c:pt idx="331">
                  <c:v>4.0579999999999998</c:v>
                </c:pt>
                <c:pt idx="332">
                  <c:v>4.2149999999999999</c:v>
                </c:pt>
                <c:pt idx="333">
                  <c:v>4.21</c:v>
                </c:pt>
                <c:pt idx="334">
                  <c:v>3.8570000000000002</c:v>
                </c:pt>
                <c:pt idx="335">
                  <c:v>3.9540000000000002</c:v>
                </c:pt>
                <c:pt idx="336">
                  <c:v>3.6640000000000001</c:v>
                </c:pt>
                <c:pt idx="337">
                  <c:v>3.6389999999999998</c:v>
                </c:pt>
                <c:pt idx="338">
                  <c:v>3.2829999999999999</c:v>
                </c:pt>
                <c:pt idx="339">
                  <c:v>3.6320000000000001</c:v>
                </c:pt>
                <c:pt idx="340">
                  <c:v>4.21</c:v>
                </c:pt>
                <c:pt idx="341">
                  <c:v>4.1109999999999998</c:v>
                </c:pt>
                <c:pt idx="342">
                  <c:v>4.5789999999999997</c:v>
                </c:pt>
                <c:pt idx="343">
                  <c:v>4.21</c:v>
                </c:pt>
                <c:pt idx="344">
                  <c:v>4.101</c:v>
                </c:pt>
                <c:pt idx="345">
                  <c:v>4.1609999999999996</c:v>
                </c:pt>
                <c:pt idx="346">
                  <c:v>3.976</c:v>
                </c:pt>
                <c:pt idx="347">
                  <c:v>4.59</c:v>
                </c:pt>
                <c:pt idx="348">
                  <c:v>4.3890000000000002</c:v>
                </c:pt>
                <c:pt idx="349">
                  <c:v>4.5869999999999997</c:v>
                </c:pt>
                <c:pt idx="350">
                  <c:v>4.0750000000000002</c:v>
                </c:pt>
                <c:pt idx="351">
                  <c:v>3.6840000000000002</c:v>
                </c:pt>
                <c:pt idx="352">
                  <c:v>3.9430000000000001</c:v>
                </c:pt>
                <c:pt idx="353">
                  <c:v>3.7170000000000001</c:v>
                </c:pt>
                <c:pt idx="354">
                  <c:v>3.41</c:v>
                </c:pt>
                <c:pt idx="355">
                  <c:v>3.6360000000000001</c:v>
                </c:pt>
                <c:pt idx="356">
                  <c:v>3.1440000000000001</c:v>
                </c:pt>
                <c:pt idx="357">
                  <c:v>2.7959999999999998</c:v>
                </c:pt>
                <c:pt idx="358">
                  <c:v>2.6389999999999998</c:v>
                </c:pt>
                <c:pt idx="359">
                  <c:v>2.363</c:v>
                </c:pt>
                <c:pt idx="360">
                  <c:v>2.3690000000000002</c:v>
                </c:pt>
                <c:pt idx="361">
                  <c:v>2.2629999999999999</c:v>
                </c:pt>
                <c:pt idx="362">
                  <c:v>2.343</c:v>
                </c:pt>
                <c:pt idx="363">
                  <c:v>2.3109999999999999</c:v>
                </c:pt>
                <c:pt idx="364">
                  <c:v>2.488</c:v>
                </c:pt>
                <c:pt idx="365">
                  <c:v>2.0750000000000002</c:v>
                </c:pt>
                <c:pt idx="366">
                  <c:v>2.0379999999999998</c:v>
                </c:pt>
                <c:pt idx="367">
                  <c:v>2.1</c:v>
                </c:pt>
                <c:pt idx="368">
                  <c:v>1.7769999999999999</c:v>
                </c:pt>
                <c:pt idx="369">
                  <c:v>1.825</c:v>
                </c:pt>
                <c:pt idx="370">
                  <c:v>1.611</c:v>
                </c:pt>
                <c:pt idx="371">
                  <c:v>1.4690000000000001</c:v>
                </c:pt>
                <c:pt idx="372">
                  <c:v>1.7509999999999999</c:v>
                </c:pt>
                <c:pt idx="373">
                  <c:v>1.823</c:v>
                </c:pt>
                <c:pt idx="374">
                  <c:v>1.728</c:v>
                </c:pt>
                <c:pt idx="375">
                  <c:v>1.7290000000000001</c:v>
                </c:pt>
                <c:pt idx="376">
                  <c:v>1.534</c:v>
                </c:pt>
                <c:pt idx="377">
                  <c:v>1.5580000000000001</c:v>
                </c:pt>
                <c:pt idx="378">
                  <c:v>1.4370000000000001</c:v>
                </c:pt>
                <c:pt idx="379">
                  <c:v>1.413</c:v>
                </c:pt>
                <c:pt idx="380">
                  <c:v>1.3069999999999999</c:v>
                </c:pt>
                <c:pt idx="381">
                  <c:v>1.268</c:v>
                </c:pt>
                <c:pt idx="382">
                  <c:v>1.456</c:v>
                </c:pt>
                <c:pt idx="383">
                  <c:v>1.536</c:v>
                </c:pt>
                <c:pt idx="384">
                  <c:v>1.43</c:v>
                </c:pt>
                <c:pt idx="385">
                  <c:v>1.401</c:v>
                </c:pt>
                <c:pt idx="386">
                  <c:v>1.5069999999999999</c:v>
                </c:pt>
                <c:pt idx="387">
                  <c:v>1.4810000000000001</c:v>
                </c:pt>
                <c:pt idx="388">
                  <c:v>1.363</c:v>
                </c:pt>
                <c:pt idx="389">
                  <c:v>1.3109999999999999</c:v>
                </c:pt>
                <c:pt idx="390">
                  <c:v>1.292</c:v>
                </c:pt>
                <c:pt idx="391">
                  <c:v>1.359</c:v>
                </c:pt>
                <c:pt idx="392">
                  <c:v>1.2949999999999999</c:v>
                </c:pt>
                <c:pt idx="393">
                  <c:v>1.2649999999999999</c:v>
                </c:pt>
                <c:pt idx="394">
                  <c:v>1.2809999999999999</c:v>
                </c:pt>
                <c:pt idx="395">
                  <c:v>1.429</c:v>
                </c:pt>
                <c:pt idx="396">
                  <c:v>1.34</c:v>
                </c:pt>
                <c:pt idx="397">
                  <c:v>1.45</c:v>
                </c:pt>
                <c:pt idx="398">
                  <c:v>1.2789999999999999</c:v>
                </c:pt>
                <c:pt idx="399">
                  <c:v>1.377</c:v>
                </c:pt>
                <c:pt idx="400">
                  <c:v>1.22</c:v>
                </c:pt>
                <c:pt idx="401">
                  <c:v>1.569</c:v>
                </c:pt>
                <c:pt idx="402">
                  <c:v>1.421</c:v>
                </c:pt>
                <c:pt idx="403">
                  <c:v>1.425</c:v>
                </c:pt>
                <c:pt idx="404">
                  <c:v>1.4430000000000001</c:v>
                </c:pt>
                <c:pt idx="405">
                  <c:v>1.47</c:v>
                </c:pt>
                <c:pt idx="406">
                  <c:v>1.2909999999999999</c:v>
                </c:pt>
                <c:pt idx="407">
                  <c:v>1.3160000000000001</c:v>
                </c:pt>
                <c:pt idx="408">
                  <c:v>1.2969999999999999</c:v>
                </c:pt>
                <c:pt idx="409">
                  <c:v>1.2589999999999999</c:v>
                </c:pt>
                <c:pt idx="410">
                  <c:v>1.258</c:v>
                </c:pt>
                <c:pt idx="411">
                  <c:v>1.1919999999999999</c:v>
                </c:pt>
                <c:pt idx="412">
                  <c:v>1.157</c:v>
                </c:pt>
                <c:pt idx="413">
                  <c:v>1.26</c:v>
                </c:pt>
                <c:pt idx="414">
                  <c:v>1.363</c:v>
                </c:pt>
                <c:pt idx="415">
                  <c:v>1.331</c:v>
                </c:pt>
                <c:pt idx="416">
                  <c:v>1.417</c:v>
                </c:pt>
                <c:pt idx="417">
                  <c:v>1.498</c:v>
                </c:pt>
                <c:pt idx="418">
                  <c:v>1.5760000000000001</c:v>
                </c:pt>
                <c:pt idx="419">
                  <c:v>1.5429999999999999</c:v>
                </c:pt>
                <c:pt idx="420">
                  <c:v>1.4910000000000001</c:v>
                </c:pt>
                <c:pt idx="421">
                  <c:v>1.4430000000000001</c:v>
                </c:pt>
                <c:pt idx="422">
                  <c:v>1.3620000000000001</c:v>
                </c:pt>
                <c:pt idx="423">
                  <c:v>1.427</c:v>
                </c:pt>
                <c:pt idx="424">
                  <c:v>1.401</c:v>
                </c:pt>
                <c:pt idx="425">
                  <c:v>1.3620000000000001</c:v>
                </c:pt>
                <c:pt idx="426">
                  <c:v>1.3240000000000001</c:v>
                </c:pt>
                <c:pt idx="427">
                  <c:v>1.38</c:v>
                </c:pt>
                <c:pt idx="428">
                  <c:v>1.5049999999999999</c:v>
                </c:pt>
                <c:pt idx="429">
                  <c:v>1.641</c:v>
                </c:pt>
                <c:pt idx="430">
                  <c:v>1.766</c:v>
                </c:pt>
                <c:pt idx="431">
                  <c:v>1.667</c:v>
                </c:pt>
                <c:pt idx="432">
                  <c:v>1.8160000000000001</c:v>
                </c:pt>
                <c:pt idx="433">
                  <c:v>1.7170000000000001</c:v>
                </c:pt>
                <c:pt idx="434">
                  <c:v>1.6539999999999999</c:v>
                </c:pt>
                <c:pt idx="435">
                  <c:v>1.4690000000000001</c:v>
                </c:pt>
                <c:pt idx="436">
                  <c:v>1.4259999999999999</c:v>
                </c:pt>
                <c:pt idx="437">
                  <c:v>1.2649999999999999</c:v>
                </c:pt>
                <c:pt idx="438">
                  <c:v>1.1659999999999999</c:v>
                </c:pt>
                <c:pt idx="439">
                  <c:v>1.1559999999999999</c:v>
                </c:pt>
                <c:pt idx="440">
                  <c:v>1.1499999999999999</c:v>
                </c:pt>
                <c:pt idx="441">
                  <c:v>1.0509999999999999</c:v>
                </c:pt>
                <c:pt idx="442">
                  <c:v>1.07</c:v>
                </c:pt>
                <c:pt idx="443">
                  <c:v>1.1479999999999999</c:v>
                </c:pt>
                <c:pt idx="444">
                  <c:v>1.087</c:v>
                </c:pt>
                <c:pt idx="445">
                  <c:v>1.2</c:v>
                </c:pt>
                <c:pt idx="446">
                  <c:v>1.01</c:v>
                </c:pt>
                <c:pt idx="447">
                  <c:v>1.06</c:v>
                </c:pt>
                <c:pt idx="448">
                  <c:v>0.88900000000000001</c:v>
                </c:pt>
                <c:pt idx="449">
                  <c:v>0.77200000000000002</c:v>
                </c:pt>
                <c:pt idx="450">
                  <c:v>0.73299999999999998</c:v>
                </c:pt>
                <c:pt idx="451">
                  <c:v>0.77300000000000002</c:v>
                </c:pt>
                <c:pt idx="452">
                  <c:v>0.79900000000000004</c:v>
                </c:pt>
                <c:pt idx="453">
                  <c:v>0.83399999999999996</c:v>
                </c:pt>
                <c:pt idx="454">
                  <c:v>0.83399999999999996</c:v>
                </c:pt>
                <c:pt idx="455">
                  <c:v>0.88</c:v>
                </c:pt>
                <c:pt idx="456">
                  <c:v>0.98299999999999998</c:v>
                </c:pt>
                <c:pt idx="457">
                  <c:v>1.077</c:v>
                </c:pt>
                <c:pt idx="458">
                  <c:v>1.0509999999999999</c:v>
                </c:pt>
                <c:pt idx="459">
                  <c:v>1.0409999999999999</c:v>
                </c:pt>
                <c:pt idx="460">
                  <c:v>1.034</c:v>
                </c:pt>
                <c:pt idx="461">
                  <c:v>1.0549999999999999</c:v>
                </c:pt>
                <c:pt idx="462">
                  <c:v>1.1299999999999999</c:v>
                </c:pt>
                <c:pt idx="463">
                  <c:v>1.105</c:v>
                </c:pt>
                <c:pt idx="464">
                  <c:v>1.081</c:v>
                </c:pt>
                <c:pt idx="465">
                  <c:v>1.1579999999999999</c:v>
                </c:pt>
                <c:pt idx="466">
                  <c:v>1.25</c:v>
                </c:pt>
                <c:pt idx="467">
                  <c:v>1.1819999999999999</c:v>
                </c:pt>
                <c:pt idx="468">
                  <c:v>1.1659999999999999</c:v>
                </c:pt>
                <c:pt idx="469">
                  <c:v>1.329</c:v>
                </c:pt>
                <c:pt idx="470">
                  <c:v>1.341</c:v>
                </c:pt>
                <c:pt idx="471">
                  <c:v>1.339</c:v>
                </c:pt>
                <c:pt idx="472">
                  <c:v>1.359</c:v>
                </c:pt>
                <c:pt idx="473">
                  <c:v>1.3720000000000001</c:v>
                </c:pt>
                <c:pt idx="474">
                  <c:v>1.472</c:v>
                </c:pt>
                <c:pt idx="475">
                  <c:v>1.2869999999999999</c:v>
                </c:pt>
                <c:pt idx="476">
                  <c:v>1.304</c:v>
                </c:pt>
                <c:pt idx="477">
                  <c:v>1.212</c:v>
                </c:pt>
                <c:pt idx="478">
                  <c:v>0.97899999999999998</c:v>
                </c:pt>
                <c:pt idx="479">
                  <c:v>1.2390000000000001</c:v>
                </c:pt>
                <c:pt idx="480">
                  <c:v>1.357</c:v>
                </c:pt>
                <c:pt idx="481">
                  <c:v>1.4490000000000001</c:v>
                </c:pt>
                <c:pt idx="482">
                  <c:v>1.536</c:v>
                </c:pt>
                <c:pt idx="483">
                  <c:v>1.5389999999999999</c:v>
                </c:pt>
                <c:pt idx="484">
                  <c:v>1.569</c:v>
                </c:pt>
                <c:pt idx="485">
                  <c:v>1.637</c:v>
                </c:pt>
                <c:pt idx="486">
                  <c:v>1.653</c:v>
                </c:pt>
                <c:pt idx="487">
                  <c:v>1.5269999999999999</c:v>
                </c:pt>
                <c:pt idx="488">
                  <c:v>1.772</c:v>
                </c:pt>
                <c:pt idx="489">
                  <c:v>1.8720000000000001</c:v>
                </c:pt>
                <c:pt idx="490">
                  <c:v>2.29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5A-47E6-BFFD-9A57F35131C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-0.15039963783944763</c:v>
                </c:pt>
                <c:pt idx="1">
                  <c:v>-0.14986575538166982</c:v>
                </c:pt>
                <c:pt idx="2">
                  <c:v>-0.15426949270876014</c:v>
                </c:pt>
                <c:pt idx="3">
                  <c:v>-0.15969058244363754</c:v>
                </c:pt>
                <c:pt idx="4">
                  <c:v>-0.16145994598784352</c:v>
                </c:pt>
                <c:pt idx="5">
                  <c:v>-0.16590486766601611</c:v>
                </c:pt>
                <c:pt idx="6">
                  <c:v>-0.16609081565973247</c:v>
                </c:pt>
                <c:pt idx="7">
                  <c:v>-0.15806130412523556</c:v>
                </c:pt>
                <c:pt idx="8">
                  <c:v>-0.15504431337494312</c:v>
                </c:pt>
                <c:pt idx="9">
                  <c:v>-0.15019359403300767</c:v>
                </c:pt>
                <c:pt idx="10">
                  <c:v>-0.14743871946872195</c:v>
                </c:pt>
                <c:pt idx="11">
                  <c:v>-0.14820350892044609</c:v>
                </c:pt>
                <c:pt idx="12">
                  <c:v>-0.14799513903711278</c:v>
                </c:pt>
                <c:pt idx="13">
                  <c:v>-0.14741907114183384</c:v>
                </c:pt>
                <c:pt idx="14">
                  <c:v>-0.14994541739383382</c:v>
                </c:pt>
                <c:pt idx="15">
                  <c:v>-0.14584479246013518</c:v>
                </c:pt>
                <c:pt idx="16">
                  <c:v>-0.14869876322069855</c:v>
                </c:pt>
                <c:pt idx="17">
                  <c:v>-0.15152955154420089</c:v>
                </c:pt>
                <c:pt idx="18">
                  <c:v>-0.15146231610209562</c:v>
                </c:pt>
                <c:pt idx="19">
                  <c:v>-0.15250607917243467</c:v>
                </c:pt>
                <c:pt idx="20">
                  <c:v>-0.14864660428491269</c:v>
                </c:pt>
                <c:pt idx="21">
                  <c:v>-0.14364365946506538</c:v>
                </c:pt>
                <c:pt idx="22">
                  <c:v>-0.14713003935390365</c:v>
                </c:pt>
                <c:pt idx="23">
                  <c:v>-0.14135364898307032</c:v>
                </c:pt>
                <c:pt idx="24">
                  <c:v>-0.14266194820003283</c:v>
                </c:pt>
                <c:pt idx="25">
                  <c:v>-0.14023230970003286</c:v>
                </c:pt>
                <c:pt idx="26">
                  <c:v>-0.14174310527462106</c:v>
                </c:pt>
                <c:pt idx="27">
                  <c:v>-0.14343848955288191</c:v>
                </c:pt>
                <c:pt idx="28">
                  <c:v>-0.14369081067806178</c:v>
                </c:pt>
                <c:pt idx="29">
                  <c:v>-0.14387943610378789</c:v>
                </c:pt>
                <c:pt idx="30">
                  <c:v>-0.14441543609267679</c:v>
                </c:pt>
                <c:pt idx="31">
                  <c:v>-0.14123036788682314</c:v>
                </c:pt>
                <c:pt idx="32">
                  <c:v>-0.1404089123782892</c:v>
                </c:pt>
                <c:pt idx="33">
                  <c:v>-0.14063468027005394</c:v>
                </c:pt>
                <c:pt idx="34">
                  <c:v>-0.1408310328629111</c:v>
                </c:pt>
                <c:pt idx="35">
                  <c:v>-0.13955542165782631</c:v>
                </c:pt>
                <c:pt idx="36">
                  <c:v>-0.135043706413222</c:v>
                </c:pt>
                <c:pt idx="37">
                  <c:v>-0.13849316215115304</c:v>
                </c:pt>
                <c:pt idx="38">
                  <c:v>-0.14100845524680522</c:v>
                </c:pt>
                <c:pt idx="39">
                  <c:v>-0.14518141935499568</c:v>
                </c:pt>
                <c:pt idx="40">
                  <c:v>-0.14350823384195222</c:v>
                </c:pt>
                <c:pt idx="41">
                  <c:v>-0.14066134911137365</c:v>
                </c:pt>
                <c:pt idx="42">
                  <c:v>-0.14212692892005965</c:v>
                </c:pt>
                <c:pt idx="43">
                  <c:v>-0.13823553439736833</c:v>
                </c:pt>
                <c:pt idx="44">
                  <c:v>-0.14230761599078701</c:v>
                </c:pt>
                <c:pt idx="45">
                  <c:v>-0.14441316844950586</c:v>
                </c:pt>
                <c:pt idx="46">
                  <c:v>-0.14076126858801791</c:v>
                </c:pt>
                <c:pt idx="47">
                  <c:v>-0.14112462428269876</c:v>
                </c:pt>
                <c:pt idx="48">
                  <c:v>-0.14125264132269877</c:v>
                </c:pt>
                <c:pt idx="49">
                  <c:v>-0.13988433873042941</c:v>
                </c:pt>
                <c:pt idx="50">
                  <c:v>-0.13873997361877893</c:v>
                </c:pt>
                <c:pt idx="51">
                  <c:v>-0.13579376830639503</c:v>
                </c:pt>
                <c:pt idx="52">
                  <c:v>-0.13480659473371209</c:v>
                </c:pt>
                <c:pt idx="53">
                  <c:v>-0.13832594976960957</c:v>
                </c:pt>
                <c:pt idx="54">
                  <c:v>-0.13467789573490369</c:v>
                </c:pt>
                <c:pt idx="55">
                  <c:v>-0.14136748447529582</c:v>
                </c:pt>
                <c:pt idx="56">
                  <c:v>-0.13865335740226209</c:v>
                </c:pt>
                <c:pt idx="57">
                  <c:v>-0.13735643322953481</c:v>
                </c:pt>
                <c:pt idx="58">
                  <c:v>-0.13580566536791319</c:v>
                </c:pt>
                <c:pt idx="59">
                  <c:v>-0.13338098278137475</c:v>
                </c:pt>
                <c:pt idx="60">
                  <c:v>-0.13215544235229987</c:v>
                </c:pt>
                <c:pt idx="61">
                  <c:v>-0.13458204318891959</c:v>
                </c:pt>
                <c:pt idx="62">
                  <c:v>-0.1324526400141228</c:v>
                </c:pt>
                <c:pt idx="63">
                  <c:v>-0.12844204253629854</c:v>
                </c:pt>
                <c:pt idx="64">
                  <c:v>-0.13061780958484223</c:v>
                </c:pt>
                <c:pt idx="65">
                  <c:v>-0.12961920282037942</c:v>
                </c:pt>
                <c:pt idx="66">
                  <c:v>-0.13372692687433291</c:v>
                </c:pt>
                <c:pt idx="67">
                  <c:v>-0.1314869310708629</c:v>
                </c:pt>
                <c:pt idx="68">
                  <c:v>-0.12832736655813562</c:v>
                </c:pt>
                <c:pt idx="69">
                  <c:v>-0.1299616111011464</c:v>
                </c:pt>
                <c:pt idx="70">
                  <c:v>-0.13431016745687244</c:v>
                </c:pt>
                <c:pt idx="71">
                  <c:v>-0.13012824728394365</c:v>
                </c:pt>
                <c:pt idx="72">
                  <c:v>-0.13081289619612205</c:v>
                </c:pt>
                <c:pt idx="73">
                  <c:v>-0.1262779473988066</c:v>
                </c:pt>
                <c:pt idx="74">
                  <c:v>-0.11912017188227769</c:v>
                </c:pt>
                <c:pt idx="75">
                  <c:v>-0.11887992772110123</c:v>
                </c:pt>
                <c:pt idx="76">
                  <c:v>-0.11781152246655577</c:v>
                </c:pt>
                <c:pt idx="77">
                  <c:v>-0.11912460377587256</c:v>
                </c:pt>
                <c:pt idx="78">
                  <c:v>-0.10843734373656221</c:v>
                </c:pt>
                <c:pt idx="79">
                  <c:v>-0.11866994523656221</c:v>
                </c:pt>
                <c:pt idx="80">
                  <c:v>-0.11522169307253345</c:v>
                </c:pt>
                <c:pt idx="81">
                  <c:v>-0.11327688214051099</c:v>
                </c:pt>
                <c:pt idx="82">
                  <c:v>-9.8075730956032239E-2</c:v>
                </c:pt>
                <c:pt idx="83">
                  <c:v>-0.10565242630668262</c:v>
                </c:pt>
                <c:pt idx="84">
                  <c:v>-0.11143784433412687</c:v>
                </c:pt>
                <c:pt idx="85">
                  <c:v>-0.11442679641899174</c:v>
                </c:pt>
                <c:pt idx="86">
                  <c:v>-0.11966978745175036</c:v>
                </c:pt>
                <c:pt idx="87">
                  <c:v>-0.1187945750531017</c:v>
                </c:pt>
                <c:pt idx="88">
                  <c:v>-0.11797547964049668</c:v>
                </c:pt>
                <c:pt idx="89">
                  <c:v>-0.1161538725755616</c:v>
                </c:pt>
                <c:pt idx="90">
                  <c:v>-0.11864183860244686</c:v>
                </c:pt>
                <c:pt idx="91">
                  <c:v>-0.1188974138678822</c:v>
                </c:pt>
                <c:pt idx="92">
                  <c:v>-0.1197703435403822</c:v>
                </c:pt>
                <c:pt idx="93">
                  <c:v>-0.13162795894974388</c:v>
                </c:pt>
                <c:pt idx="94">
                  <c:v>-0.1366069448806698</c:v>
                </c:pt>
                <c:pt idx="95">
                  <c:v>-0.13686592884799653</c:v>
                </c:pt>
                <c:pt idx="96">
                  <c:v>-0.13636058434631587</c:v>
                </c:pt>
                <c:pt idx="97">
                  <c:v>-0.13721331030187142</c:v>
                </c:pt>
                <c:pt idx="98">
                  <c:v>-0.13731377466144587</c:v>
                </c:pt>
                <c:pt idx="99">
                  <c:v>-0.13434100928473353</c:v>
                </c:pt>
                <c:pt idx="100">
                  <c:v>-0.13513079895820296</c:v>
                </c:pt>
                <c:pt idx="101">
                  <c:v>-0.13708449890863028</c:v>
                </c:pt>
                <c:pt idx="102">
                  <c:v>-0.1324141674286303</c:v>
                </c:pt>
                <c:pt idx="103">
                  <c:v>-0.13237341566098323</c:v>
                </c:pt>
                <c:pt idx="104">
                  <c:v>-0.13472915406686556</c:v>
                </c:pt>
                <c:pt idx="105">
                  <c:v>-0.13300404473401359</c:v>
                </c:pt>
                <c:pt idx="106">
                  <c:v>-0.13516431921179139</c:v>
                </c:pt>
                <c:pt idx="107">
                  <c:v>-0.13707266505103188</c:v>
                </c:pt>
                <c:pt idx="108">
                  <c:v>-0.13924469681818516</c:v>
                </c:pt>
                <c:pt idx="109">
                  <c:v>-0.13781051975151851</c:v>
                </c:pt>
                <c:pt idx="110">
                  <c:v>-0.135800981967308</c:v>
                </c:pt>
                <c:pt idx="111">
                  <c:v>-0.135975656167308</c:v>
                </c:pt>
                <c:pt idx="112">
                  <c:v>-0.1339608203256413</c:v>
                </c:pt>
                <c:pt idx="113">
                  <c:v>-0.13019266887736544</c:v>
                </c:pt>
                <c:pt idx="114">
                  <c:v>-0.13245140034271197</c:v>
                </c:pt>
                <c:pt idx="115">
                  <c:v>-0.13311775783305943</c:v>
                </c:pt>
                <c:pt idx="116">
                  <c:v>-0.13599352556803704</c:v>
                </c:pt>
                <c:pt idx="117">
                  <c:v>-0.14532734803814013</c:v>
                </c:pt>
                <c:pt idx="118">
                  <c:v>-0.14457629605794214</c:v>
                </c:pt>
                <c:pt idx="119">
                  <c:v>-0.14874675726047373</c:v>
                </c:pt>
                <c:pt idx="120">
                  <c:v>-0.14941330925012891</c:v>
                </c:pt>
                <c:pt idx="121">
                  <c:v>-0.14731489020903302</c:v>
                </c:pt>
                <c:pt idx="122">
                  <c:v>-0.14574007987799853</c:v>
                </c:pt>
                <c:pt idx="123">
                  <c:v>-0.14189943626289064</c:v>
                </c:pt>
                <c:pt idx="124">
                  <c:v>-0.14401640959935472</c:v>
                </c:pt>
                <c:pt idx="125">
                  <c:v>-0.14363552248610167</c:v>
                </c:pt>
                <c:pt idx="126">
                  <c:v>-0.14424472974713753</c:v>
                </c:pt>
                <c:pt idx="127">
                  <c:v>-0.14360111741889325</c:v>
                </c:pt>
                <c:pt idx="128">
                  <c:v>-0.14694422400036045</c:v>
                </c:pt>
                <c:pt idx="129">
                  <c:v>-0.1404344689346112</c:v>
                </c:pt>
                <c:pt idx="130">
                  <c:v>-0.1390863958755203</c:v>
                </c:pt>
                <c:pt idx="131">
                  <c:v>-0.13832823810628955</c:v>
                </c:pt>
                <c:pt idx="132">
                  <c:v>-0.1415055434703921</c:v>
                </c:pt>
                <c:pt idx="133">
                  <c:v>-0.14067933863289209</c:v>
                </c:pt>
                <c:pt idx="134">
                  <c:v>-0.14090886946680514</c:v>
                </c:pt>
                <c:pt idx="135">
                  <c:v>-0.14139463342930514</c:v>
                </c:pt>
                <c:pt idx="136">
                  <c:v>-0.14384554402627484</c:v>
                </c:pt>
                <c:pt idx="137">
                  <c:v>-0.14068627367960815</c:v>
                </c:pt>
                <c:pt idx="138">
                  <c:v>-0.14290311031165451</c:v>
                </c:pt>
                <c:pt idx="139">
                  <c:v>-0.14041986004969129</c:v>
                </c:pt>
                <c:pt idx="140">
                  <c:v>-0.13864349497314807</c:v>
                </c:pt>
                <c:pt idx="141">
                  <c:v>-0.13816058563088865</c:v>
                </c:pt>
                <c:pt idx="142">
                  <c:v>-0.14319785594199977</c:v>
                </c:pt>
                <c:pt idx="143">
                  <c:v>-0.14195539641646784</c:v>
                </c:pt>
                <c:pt idx="144">
                  <c:v>-0.14279198481094152</c:v>
                </c:pt>
                <c:pt idx="145">
                  <c:v>-0.14541250164296765</c:v>
                </c:pt>
                <c:pt idx="146">
                  <c:v>-0.14286371436889356</c:v>
                </c:pt>
                <c:pt idx="147">
                  <c:v>-0.14200408524889357</c:v>
                </c:pt>
                <c:pt idx="148">
                  <c:v>-0.14028223532581666</c:v>
                </c:pt>
                <c:pt idx="149">
                  <c:v>-0.13748975790986337</c:v>
                </c:pt>
                <c:pt idx="150">
                  <c:v>-0.14749617601445963</c:v>
                </c:pt>
                <c:pt idx="151">
                  <c:v>-0.1412915717041148</c:v>
                </c:pt>
                <c:pt idx="152">
                  <c:v>-0.1398942871064677</c:v>
                </c:pt>
                <c:pt idx="153">
                  <c:v>-0.14227146292157883</c:v>
                </c:pt>
                <c:pt idx="154">
                  <c:v>-0.15069154038476443</c:v>
                </c:pt>
                <c:pt idx="155">
                  <c:v>-0.14527558253548439</c:v>
                </c:pt>
                <c:pt idx="156">
                  <c:v>-0.15163901970681953</c:v>
                </c:pt>
                <c:pt idx="157">
                  <c:v>-0.14317409619141264</c:v>
                </c:pt>
                <c:pt idx="158">
                  <c:v>-0.15506326934266917</c:v>
                </c:pt>
                <c:pt idx="159">
                  <c:v>-0.15652820596605327</c:v>
                </c:pt>
                <c:pt idx="160">
                  <c:v>-0.15188070113701777</c:v>
                </c:pt>
                <c:pt idx="161">
                  <c:v>-0.16483139220588261</c:v>
                </c:pt>
                <c:pt idx="162">
                  <c:v>-0.16936433888594529</c:v>
                </c:pt>
                <c:pt idx="163">
                  <c:v>-0.16756255765414968</c:v>
                </c:pt>
                <c:pt idx="164">
                  <c:v>-0.1627713673163845</c:v>
                </c:pt>
                <c:pt idx="165">
                  <c:v>-0.15283626361437294</c:v>
                </c:pt>
                <c:pt idx="166">
                  <c:v>-0.15882240138774142</c:v>
                </c:pt>
                <c:pt idx="167">
                  <c:v>-0.15783526355670693</c:v>
                </c:pt>
                <c:pt idx="168">
                  <c:v>-0.16155018776006319</c:v>
                </c:pt>
                <c:pt idx="169">
                  <c:v>-0.16016755374164268</c:v>
                </c:pt>
                <c:pt idx="170">
                  <c:v>-0.14150610473024267</c:v>
                </c:pt>
                <c:pt idx="171">
                  <c:v>-0.16940259774498909</c:v>
                </c:pt>
                <c:pt idx="172">
                  <c:v>-0.16596978905521756</c:v>
                </c:pt>
                <c:pt idx="173">
                  <c:v>-0.16733519776598677</c:v>
                </c:pt>
                <c:pt idx="174">
                  <c:v>-0.16702744444139753</c:v>
                </c:pt>
                <c:pt idx="175">
                  <c:v>-0.16872590776068824</c:v>
                </c:pt>
                <c:pt idx="176">
                  <c:v>-0.16845799959985491</c:v>
                </c:pt>
                <c:pt idx="177">
                  <c:v>-0.16882865226471905</c:v>
                </c:pt>
                <c:pt idx="178">
                  <c:v>-0.16791442903354034</c:v>
                </c:pt>
                <c:pt idx="179">
                  <c:v>-0.17185667232629842</c:v>
                </c:pt>
                <c:pt idx="180">
                  <c:v>-0.16607735830591516</c:v>
                </c:pt>
                <c:pt idx="181">
                  <c:v>-0.15761031100586359</c:v>
                </c:pt>
                <c:pt idx="182">
                  <c:v>-0.16681225893874649</c:v>
                </c:pt>
                <c:pt idx="183">
                  <c:v>-0.16388603534434651</c:v>
                </c:pt>
                <c:pt idx="184">
                  <c:v>-0.17257384101101317</c:v>
                </c:pt>
                <c:pt idx="185">
                  <c:v>-0.17300999880790122</c:v>
                </c:pt>
                <c:pt idx="186">
                  <c:v>-0.16373694586823498</c:v>
                </c:pt>
                <c:pt idx="187">
                  <c:v>-0.16432986542084549</c:v>
                </c:pt>
                <c:pt idx="188">
                  <c:v>-0.16372636110155808</c:v>
                </c:pt>
                <c:pt idx="189">
                  <c:v>-0.16061816070930493</c:v>
                </c:pt>
                <c:pt idx="190">
                  <c:v>-0.15982419388360081</c:v>
                </c:pt>
                <c:pt idx="191">
                  <c:v>-0.16310297854503522</c:v>
                </c:pt>
                <c:pt idx="192">
                  <c:v>-0.16271084912401018</c:v>
                </c:pt>
                <c:pt idx="193">
                  <c:v>-0.15595922535128293</c:v>
                </c:pt>
                <c:pt idx="194">
                  <c:v>-0.15275665910867706</c:v>
                </c:pt>
                <c:pt idx="195">
                  <c:v>-0.15321420404749861</c:v>
                </c:pt>
                <c:pt idx="196">
                  <c:v>-0.15004780419104194</c:v>
                </c:pt>
                <c:pt idx="197">
                  <c:v>-0.14639195588626835</c:v>
                </c:pt>
                <c:pt idx="198">
                  <c:v>-0.14755570469026835</c:v>
                </c:pt>
                <c:pt idx="199">
                  <c:v>-0.14636698502593959</c:v>
                </c:pt>
                <c:pt idx="200">
                  <c:v>-0.1464529506214462</c:v>
                </c:pt>
                <c:pt idx="201">
                  <c:v>-0.14717430357366842</c:v>
                </c:pt>
                <c:pt idx="202">
                  <c:v>-0.14659473715724325</c:v>
                </c:pt>
                <c:pt idx="203">
                  <c:v>-0.1487979065134542</c:v>
                </c:pt>
                <c:pt idx="204">
                  <c:v>-0.14651981962268276</c:v>
                </c:pt>
                <c:pt idx="205">
                  <c:v>-0.14543528023934946</c:v>
                </c:pt>
                <c:pt idx="206">
                  <c:v>-0.14498987312517297</c:v>
                </c:pt>
                <c:pt idx="207">
                  <c:v>-0.14394514260763031</c:v>
                </c:pt>
                <c:pt idx="208">
                  <c:v>-0.14420409137767082</c:v>
                </c:pt>
                <c:pt idx="209">
                  <c:v>-0.14834600385710414</c:v>
                </c:pt>
                <c:pt idx="210">
                  <c:v>-0.15118475986583896</c:v>
                </c:pt>
                <c:pt idx="211">
                  <c:v>-0.15130393065953923</c:v>
                </c:pt>
                <c:pt idx="212">
                  <c:v>-0.15309084112839097</c:v>
                </c:pt>
                <c:pt idx="213">
                  <c:v>-0.15329197926919097</c:v>
                </c:pt>
                <c:pt idx="214">
                  <c:v>-0.15562225838677876</c:v>
                </c:pt>
                <c:pt idx="215">
                  <c:v>-0.15702739061133822</c:v>
                </c:pt>
                <c:pt idx="216">
                  <c:v>-0.15773945446596682</c:v>
                </c:pt>
                <c:pt idx="217">
                  <c:v>-0.15568533745940491</c:v>
                </c:pt>
                <c:pt idx="218">
                  <c:v>-0.16066193032337939</c:v>
                </c:pt>
                <c:pt idx="219">
                  <c:v>-0.16694238300426242</c:v>
                </c:pt>
                <c:pt idx="220">
                  <c:v>-0.16554166476267057</c:v>
                </c:pt>
                <c:pt idx="221">
                  <c:v>-0.1585582238796798</c:v>
                </c:pt>
                <c:pt idx="222">
                  <c:v>-0.1577698043598029</c:v>
                </c:pt>
                <c:pt idx="223">
                  <c:v>-0.15621303841270331</c:v>
                </c:pt>
                <c:pt idx="224">
                  <c:v>-0.14771006636809958</c:v>
                </c:pt>
                <c:pt idx="225">
                  <c:v>-0.15437163123514483</c:v>
                </c:pt>
                <c:pt idx="226">
                  <c:v>-0.15379013340059938</c:v>
                </c:pt>
                <c:pt idx="227">
                  <c:v>-0.15219392998206729</c:v>
                </c:pt>
                <c:pt idx="228">
                  <c:v>-0.15153433293625448</c:v>
                </c:pt>
                <c:pt idx="229">
                  <c:v>-0.15342898160418858</c:v>
                </c:pt>
                <c:pt idx="230">
                  <c:v>-0.15116486068269921</c:v>
                </c:pt>
                <c:pt idx="231">
                  <c:v>-0.15191711972378175</c:v>
                </c:pt>
                <c:pt idx="232">
                  <c:v>-0.14944493824656299</c:v>
                </c:pt>
                <c:pt idx="233">
                  <c:v>-0.14630439010312679</c:v>
                </c:pt>
                <c:pt idx="234">
                  <c:v>-0.15203476637802404</c:v>
                </c:pt>
                <c:pt idx="235">
                  <c:v>-0.14862392310869238</c:v>
                </c:pt>
                <c:pt idx="236">
                  <c:v>-0.14959959328616648</c:v>
                </c:pt>
                <c:pt idx="237">
                  <c:v>-0.1481047322930667</c:v>
                </c:pt>
                <c:pt idx="238">
                  <c:v>-0.14803199350162444</c:v>
                </c:pt>
                <c:pt idx="239">
                  <c:v>-0.14913280287220024</c:v>
                </c:pt>
                <c:pt idx="240">
                  <c:v>-0.14962901353856387</c:v>
                </c:pt>
                <c:pt idx="241">
                  <c:v>-0.14478782453113268</c:v>
                </c:pt>
                <c:pt idx="242">
                  <c:v>-0.14959590969711634</c:v>
                </c:pt>
                <c:pt idx="243">
                  <c:v>-0.14581685614104675</c:v>
                </c:pt>
                <c:pt idx="244">
                  <c:v>-0.12789918068558226</c:v>
                </c:pt>
                <c:pt idx="245">
                  <c:v>-0.1296218700635508</c:v>
                </c:pt>
                <c:pt idx="246">
                  <c:v>-0.13993943257018668</c:v>
                </c:pt>
                <c:pt idx="247">
                  <c:v>-0.14561515994222393</c:v>
                </c:pt>
                <c:pt idx="248">
                  <c:v>-0.14732719716284839</c:v>
                </c:pt>
                <c:pt idx="249">
                  <c:v>-0.14978616840503842</c:v>
                </c:pt>
                <c:pt idx="250">
                  <c:v>-0.15333933742842515</c:v>
                </c:pt>
                <c:pt idx="251">
                  <c:v>-0.14433425479461767</c:v>
                </c:pt>
                <c:pt idx="252">
                  <c:v>-0.14067946792104991</c:v>
                </c:pt>
                <c:pt idx="253">
                  <c:v>-0.14887557640756183</c:v>
                </c:pt>
                <c:pt idx="254">
                  <c:v>-0.14378502601304127</c:v>
                </c:pt>
                <c:pt idx="255">
                  <c:v>-0.14929030101280708</c:v>
                </c:pt>
                <c:pt idx="256">
                  <c:v>-0.15216647356121843</c:v>
                </c:pt>
                <c:pt idx="257">
                  <c:v>-0.15130150867607833</c:v>
                </c:pt>
                <c:pt idx="258">
                  <c:v>-0.1478712029841501</c:v>
                </c:pt>
                <c:pt idx="259">
                  <c:v>-0.14946820496525884</c:v>
                </c:pt>
                <c:pt idx="260">
                  <c:v>-0.14811483581665238</c:v>
                </c:pt>
                <c:pt idx="261">
                  <c:v>-0.14428947417744828</c:v>
                </c:pt>
                <c:pt idx="262">
                  <c:v>-0.14637731891893288</c:v>
                </c:pt>
                <c:pt idx="263">
                  <c:v>-0.13903378717781556</c:v>
                </c:pt>
                <c:pt idx="264">
                  <c:v>-0.13637985379390838</c:v>
                </c:pt>
                <c:pt idx="265">
                  <c:v>-0.13173678148493867</c:v>
                </c:pt>
                <c:pt idx="266">
                  <c:v>-0.13123192305726894</c:v>
                </c:pt>
                <c:pt idx="267">
                  <c:v>-0.12507381795967118</c:v>
                </c:pt>
                <c:pt idx="268">
                  <c:v>-0.12991042290244328</c:v>
                </c:pt>
                <c:pt idx="269">
                  <c:v>-0.12265638593816806</c:v>
                </c:pt>
                <c:pt idx="270">
                  <c:v>-0.11833228977320857</c:v>
                </c:pt>
                <c:pt idx="271">
                  <c:v>-0.11979647879053032</c:v>
                </c:pt>
                <c:pt idx="272">
                  <c:v>-0.12156426241349683</c:v>
                </c:pt>
                <c:pt idx="273">
                  <c:v>-0.12198325839141204</c:v>
                </c:pt>
                <c:pt idx="274">
                  <c:v>-0.12037170546329098</c:v>
                </c:pt>
                <c:pt idx="275">
                  <c:v>-0.1135422495171203</c:v>
                </c:pt>
                <c:pt idx="276">
                  <c:v>-0.12329523019073417</c:v>
                </c:pt>
                <c:pt idx="277">
                  <c:v>-0.13126735327316516</c:v>
                </c:pt>
                <c:pt idx="278">
                  <c:v>-0.13328594462836518</c:v>
                </c:pt>
                <c:pt idx="279">
                  <c:v>-0.12783248581592255</c:v>
                </c:pt>
                <c:pt idx="280">
                  <c:v>-0.14143849865601732</c:v>
                </c:pt>
                <c:pt idx="281">
                  <c:v>-0.13176139612552404</c:v>
                </c:pt>
                <c:pt idx="282">
                  <c:v>-0.13062937218066328</c:v>
                </c:pt>
                <c:pt idx="283">
                  <c:v>-0.13493519606323795</c:v>
                </c:pt>
                <c:pt idx="284">
                  <c:v>-0.121514526493109</c:v>
                </c:pt>
                <c:pt idx="285">
                  <c:v>-0.14129219571058899</c:v>
                </c:pt>
                <c:pt idx="286">
                  <c:v>-0.14523600865771275</c:v>
                </c:pt>
                <c:pt idx="287">
                  <c:v>-0.1457433381052114</c:v>
                </c:pt>
                <c:pt idx="288">
                  <c:v>-0.14585271283075657</c:v>
                </c:pt>
                <c:pt idx="289">
                  <c:v>-0.14875877715214172</c:v>
                </c:pt>
                <c:pt idx="290">
                  <c:v>-0.14946636030855756</c:v>
                </c:pt>
                <c:pt idx="291">
                  <c:v>-0.14475687640937113</c:v>
                </c:pt>
                <c:pt idx="292">
                  <c:v>-0.14893075481663484</c:v>
                </c:pt>
                <c:pt idx="293">
                  <c:v>-0.14663290106537047</c:v>
                </c:pt>
                <c:pt idx="294">
                  <c:v>-0.13896876377306711</c:v>
                </c:pt>
                <c:pt idx="295">
                  <c:v>-0.13326631471864606</c:v>
                </c:pt>
                <c:pt idx="296">
                  <c:v>-0.10432888093173506</c:v>
                </c:pt>
                <c:pt idx="297">
                  <c:v>-0.1106062016597181</c:v>
                </c:pt>
                <c:pt idx="298">
                  <c:v>-0.10493264594670662</c:v>
                </c:pt>
                <c:pt idx="299">
                  <c:v>-0.10240236101333937</c:v>
                </c:pt>
                <c:pt idx="300">
                  <c:v>-0.10001700347083936</c:v>
                </c:pt>
                <c:pt idx="301">
                  <c:v>-9.0606657729969772E-2</c:v>
                </c:pt>
                <c:pt idx="302">
                  <c:v>-0.10971163242648449</c:v>
                </c:pt>
                <c:pt idx="303">
                  <c:v>-0.11613653738531324</c:v>
                </c:pt>
                <c:pt idx="304">
                  <c:v>-0.11251459376200459</c:v>
                </c:pt>
                <c:pt idx="305">
                  <c:v>-0.11199540136563919</c:v>
                </c:pt>
                <c:pt idx="306">
                  <c:v>-0.10096120060195034</c:v>
                </c:pt>
                <c:pt idx="307">
                  <c:v>-0.11022889262151579</c:v>
                </c:pt>
                <c:pt idx="308">
                  <c:v>-0.11512420721082273</c:v>
                </c:pt>
                <c:pt idx="309">
                  <c:v>-0.11829509259505586</c:v>
                </c:pt>
                <c:pt idx="310">
                  <c:v>-0.11113332463331019</c:v>
                </c:pt>
                <c:pt idx="311">
                  <c:v>-0.10266174624307897</c:v>
                </c:pt>
                <c:pt idx="312">
                  <c:v>-9.2038195689220711E-2</c:v>
                </c:pt>
                <c:pt idx="313">
                  <c:v>-0.10031474396049653</c:v>
                </c:pt>
                <c:pt idx="314">
                  <c:v>-8.7849111832534729E-2</c:v>
                </c:pt>
                <c:pt idx="315">
                  <c:v>-0.10169848923441996</c:v>
                </c:pt>
                <c:pt idx="316">
                  <c:v>-0.10002994533611628</c:v>
                </c:pt>
                <c:pt idx="317">
                  <c:v>-0.10951729812148109</c:v>
                </c:pt>
                <c:pt idx="318">
                  <c:v>-0.10720809157511804</c:v>
                </c:pt>
                <c:pt idx="319">
                  <c:v>-0.10856872123712311</c:v>
                </c:pt>
                <c:pt idx="320">
                  <c:v>-9.2352015877123106E-2</c:v>
                </c:pt>
                <c:pt idx="321">
                  <c:v>-0.10480654399978383</c:v>
                </c:pt>
                <c:pt idx="322">
                  <c:v>-9.4426894712920553E-2</c:v>
                </c:pt>
                <c:pt idx="323">
                  <c:v>-3.6920908871627911E-2</c:v>
                </c:pt>
                <c:pt idx="324">
                  <c:v>-6.1693730473700484E-2</c:v>
                </c:pt>
                <c:pt idx="325">
                  <c:v>-6.2578582172157407E-2</c:v>
                </c:pt>
                <c:pt idx="326">
                  <c:v>-6.5566104113867429E-2</c:v>
                </c:pt>
                <c:pt idx="327">
                  <c:v>-6.7501327124916605E-2</c:v>
                </c:pt>
                <c:pt idx="328">
                  <c:v>-6.8820951344123651E-2</c:v>
                </c:pt>
                <c:pt idx="329">
                  <c:v>-6.9426762940379902E-2</c:v>
                </c:pt>
                <c:pt idx="330">
                  <c:v>-6.8076487281588716E-2</c:v>
                </c:pt>
                <c:pt idx="331">
                  <c:v>-6.9287442621267847E-2</c:v>
                </c:pt>
                <c:pt idx="332">
                  <c:v>-6.786424985663625E-2</c:v>
                </c:pt>
                <c:pt idx="333">
                  <c:v>-6.6495283728695065E-2</c:v>
                </c:pt>
                <c:pt idx="334">
                  <c:v>-7.5710523215361744E-2</c:v>
                </c:pt>
                <c:pt idx="335">
                  <c:v>-7.3092645935141975E-2</c:v>
                </c:pt>
                <c:pt idx="336">
                  <c:v>-7.646995254422434E-2</c:v>
                </c:pt>
                <c:pt idx="337">
                  <c:v>-6.7558511644224356E-2</c:v>
                </c:pt>
                <c:pt idx="338">
                  <c:v>-7.5505026253796695E-2</c:v>
                </c:pt>
                <c:pt idx="339">
                  <c:v>-8.143283992890539E-2</c:v>
                </c:pt>
                <c:pt idx="340">
                  <c:v>-8.3235202651538137E-2</c:v>
                </c:pt>
                <c:pt idx="341">
                  <c:v>-8.4359825416715245E-2</c:v>
                </c:pt>
                <c:pt idx="342">
                  <c:v>-8.1413423711590396E-2</c:v>
                </c:pt>
                <c:pt idx="343">
                  <c:v>-9.4157349063975423E-2</c:v>
                </c:pt>
                <c:pt idx="344">
                  <c:v>-9.8074681344963069E-2</c:v>
                </c:pt>
                <c:pt idx="345">
                  <c:v>-9.9618026783255736E-2</c:v>
                </c:pt>
                <c:pt idx="346">
                  <c:v>-9.6048238928638771E-2</c:v>
                </c:pt>
                <c:pt idx="347">
                  <c:v>-8.4035764378569383E-2</c:v>
                </c:pt>
                <c:pt idx="348">
                  <c:v>-8.2432893073013824E-2</c:v>
                </c:pt>
                <c:pt idx="349">
                  <c:v>-8.0652845541555218E-2</c:v>
                </c:pt>
                <c:pt idx="350">
                  <c:v>-8.6803712663506435E-2</c:v>
                </c:pt>
                <c:pt idx="351">
                  <c:v>-8.9837826042326319E-2</c:v>
                </c:pt>
                <c:pt idx="352">
                  <c:v>-8.709508610619128E-2</c:v>
                </c:pt>
                <c:pt idx="353">
                  <c:v>-8.9267838835808577E-2</c:v>
                </c:pt>
                <c:pt idx="354">
                  <c:v>-9.3661930364782944E-2</c:v>
                </c:pt>
                <c:pt idx="355">
                  <c:v>-8.7372104846143883E-2</c:v>
                </c:pt>
                <c:pt idx="356">
                  <c:v>-9.9785367609400863E-2</c:v>
                </c:pt>
                <c:pt idx="357">
                  <c:v>-0.10732764685021233</c:v>
                </c:pt>
                <c:pt idx="358">
                  <c:v>-0.11339088692795424</c:v>
                </c:pt>
                <c:pt idx="359">
                  <c:v>-0.1175311391262151</c:v>
                </c:pt>
                <c:pt idx="360">
                  <c:v>-0.11599781409883049</c:v>
                </c:pt>
                <c:pt idx="361">
                  <c:v>-0.11531770385076744</c:v>
                </c:pt>
                <c:pt idx="362">
                  <c:v>-0.10567349668833086</c:v>
                </c:pt>
                <c:pt idx="363">
                  <c:v>-0.11077424799038325</c:v>
                </c:pt>
                <c:pt idx="364">
                  <c:v>-0.11343260937358325</c:v>
                </c:pt>
                <c:pt idx="365">
                  <c:v>-0.12831295340845417</c:v>
                </c:pt>
                <c:pt idx="366">
                  <c:v>-0.1354780552807042</c:v>
                </c:pt>
                <c:pt idx="367">
                  <c:v>-0.13262262946588937</c:v>
                </c:pt>
                <c:pt idx="368">
                  <c:v>-0.14774596118093361</c:v>
                </c:pt>
                <c:pt idx="369">
                  <c:v>-0.15036813113944189</c:v>
                </c:pt>
                <c:pt idx="370">
                  <c:v>-0.16177293281843347</c:v>
                </c:pt>
                <c:pt idx="371">
                  <c:v>-0.16611739682679952</c:v>
                </c:pt>
                <c:pt idx="372">
                  <c:v>-0.15701554782960203</c:v>
                </c:pt>
                <c:pt idx="373">
                  <c:v>-0.15602650838420326</c:v>
                </c:pt>
                <c:pt idx="374">
                  <c:v>-0.15562324763272783</c:v>
                </c:pt>
                <c:pt idx="375">
                  <c:v>-0.15460144267885689</c:v>
                </c:pt>
                <c:pt idx="376">
                  <c:v>-0.16940861939116067</c:v>
                </c:pt>
                <c:pt idx="377">
                  <c:v>-0.15736031867130773</c:v>
                </c:pt>
                <c:pt idx="378">
                  <c:v>-0.16351596695267762</c:v>
                </c:pt>
                <c:pt idx="379">
                  <c:v>-0.16650878218427054</c:v>
                </c:pt>
                <c:pt idx="380">
                  <c:v>-0.16940170418147724</c:v>
                </c:pt>
                <c:pt idx="381">
                  <c:v>-0.16892244688986049</c:v>
                </c:pt>
                <c:pt idx="382">
                  <c:v>-0.16535552755144323</c:v>
                </c:pt>
                <c:pt idx="383">
                  <c:v>-0.16406726290596377</c:v>
                </c:pt>
                <c:pt idx="384">
                  <c:v>-0.16582054416132092</c:v>
                </c:pt>
                <c:pt idx="385">
                  <c:v>-0.17036940156766378</c:v>
                </c:pt>
                <c:pt idx="386">
                  <c:v>-0.16794350037982594</c:v>
                </c:pt>
                <c:pt idx="387">
                  <c:v>-0.16871966359394963</c:v>
                </c:pt>
                <c:pt idx="388">
                  <c:v>-0.17006635534545755</c:v>
                </c:pt>
                <c:pt idx="389">
                  <c:v>-0.16999514915788849</c:v>
                </c:pt>
                <c:pt idx="390">
                  <c:v>-0.17119636207112593</c:v>
                </c:pt>
                <c:pt idx="391">
                  <c:v>-0.16947500007521349</c:v>
                </c:pt>
                <c:pt idx="392">
                  <c:v>-0.16942636100788017</c:v>
                </c:pt>
                <c:pt idx="393">
                  <c:v>-0.16960341131567677</c:v>
                </c:pt>
                <c:pt idx="394">
                  <c:v>-0.16817676452983515</c:v>
                </c:pt>
                <c:pt idx="395">
                  <c:v>-0.16557836784983515</c:v>
                </c:pt>
                <c:pt idx="396">
                  <c:v>-0.1668992825022676</c:v>
                </c:pt>
                <c:pt idx="397">
                  <c:v>-0.15804010257150256</c:v>
                </c:pt>
                <c:pt idx="398">
                  <c:v>-0.16194200597548267</c:v>
                </c:pt>
                <c:pt idx="399">
                  <c:v>-0.16016081843864058</c:v>
                </c:pt>
                <c:pt idx="400">
                  <c:v>-0.16280183846837509</c:v>
                </c:pt>
                <c:pt idx="401">
                  <c:v>-0.15718627184512723</c:v>
                </c:pt>
                <c:pt idx="402">
                  <c:v>-0.14794080422848968</c:v>
                </c:pt>
                <c:pt idx="403">
                  <c:v>-0.14926245249343917</c:v>
                </c:pt>
                <c:pt idx="404">
                  <c:v>-0.14880787215636598</c:v>
                </c:pt>
                <c:pt idx="405">
                  <c:v>-0.14800141379812601</c:v>
                </c:pt>
                <c:pt idx="406">
                  <c:v>-0.1543549273013175</c:v>
                </c:pt>
                <c:pt idx="407">
                  <c:v>-0.15391858792278088</c:v>
                </c:pt>
                <c:pt idx="408">
                  <c:v>-0.15653721686843305</c:v>
                </c:pt>
                <c:pt idx="409">
                  <c:v>-0.15677960084121786</c:v>
                </c:pt>
                <c:pt idx="410">
                  <c:v>-0.15670286866621785</c:v>
                </c:pt>
                <c:pt idx="411">
                  <c:v>-0.15863164463095469</c:v>
                </c:pt>
                <c:pt idx="412">
                  <c:v>-0.15852811807041414</c:v>
                </c:pt>
                <c:pt idx="413">
                  <c:v>-0.1558103672100368</c:v>
                </c:pt>
                <c:pt idx="414">
                  <c:v>-0.15342748613073853</c:v>
                </c:pt>
                <c:pt idx="415">
                  <c:v>-0.154557896943437</c:v>
                </c:pt>
                <c:pt idx="416">
                  <c:v>-0.15208767849836655</c:v>
                </c:pt>
                <c:pt idx="417">
                  <c:v>-0.15160915821539686</c:v>
                </c:pt>
                <c:pt idx="418">
                  <c:v>-0.14863929434186743</c:v>
                </c:pt>
                <c:pt idx="419">
                  <c:v>-0.14857623232524406</c:v>
                </c:pt>
                <c:pt idx="420">
                  <c:v>-0.1484071549747035</c:v>
                </c:pt>
                <c:pt idx="421">
                  <c:v>-0.14942529028125526</c:v>
                </c:pt>
                <c:pt idx="422">
                  <c:v>-0.15123598391870491</c:v>
                </c:pt>
                <c:pt idx="423">
                  <c:v>-0.14801061356993486</c:v>
                </c:pt>
                <c:pt idx="424">
                  <c:v>-0.14635273004707053</c:v>
                </c:pt>
                <c:pt idx="425">
                  <c:v>-0.1485454526107069</c:v>
                </c:pt>
                <c:pt idx="426">
                  <c:v>-0.14873324860175952</c:v>
                </c:pt>
                <c:pt idx="427">
                  <c:v>-0.14685064514592261</c:v>
                </c:pt>
                <c:pt idx="428">
                  <c:v>-0.14937920458652565</c:v>
                </c:pt>
                <c:pt idx="429">
                  <c:v>-0.1467609028319338</c:v>
                </c:pt>
                <c:pt idx="430">
                  <c:v>-0.14491384120193382</c:v>
                </c:pt>
                <c:pt idx="431">
                  <c:v>-0.14521819929149424</c:v>
                </c:pt>
                <c:pt idx="432">
                  <c:v>-0.14478311497085933</c:v>
                </c:pt>
                <c:pt idx="433">
                  <c:v>-0.14573112868137594</c:v>
                </c:pt>
                <c:pt idx="434">
                  <c:v>-0.14642028717940681</c:v>
                </c:pt>
                <c:pt idx="435">
                  <c:v>-0.15189401655771451</c:v>
                </c:pt>
                <c:pt idx="436">
                  <c:v>-0.15662415792501611</c:v>
                </c:pt>
                <c:pt idx="437">
                  <c:v>-0.16163877427791332</c:v>
                </c:pt>
                <c:pt idx="438">
                  <c:v>-0.16339218304857628</c:v>
                </c:pt>
                <c:pt idx="439">
                  <c:v>-0.16031353322880751</c:v>
                </c:pt>
                <c:pt idx="440">
                  <c:v>-0.16128291828749602</c:v>
                </c:pt>
                <c:pt idx="441">
                  <c:v>-0.16333084095515954</c:v>
                </c:pt>
                <c:pt idx="442">
                  <c:v>-0.16380559035303188</c:v>
                </c:pt>
                <c:pt idx="443">
                  <c:v>-0.16220835374438322</c:v>
                </c:pt>
                <c:pt idx="444">
                  <c:v>-0.16338551774644508</c:v>
                </c:pt>
                <c:pt idx="445">
                  <c:v>-0.16084881496342182</c:v>
                </c:pt>
                <c:pt idx="446">
                  <c:v>-0.16492602628342184</c:v>
                </c:pt>
                <c:pt idx="447">
                  <c:v>-0.1613594924347333</c:v>
                </c:pt>
                <c:pt idx="448">
                  <c:v>-0.16421430734664821</c:v>
                </c:pt>
                <c:pt idx="449">
                  <c:v>-0.16741150170941416</c:v>
                </c:pt>
                <c:pt idx="450">
                  <c:v>-0.17058169466961823</c:v>
                </c:pt>
                <c:pt idx="451">
                  <c:v>-0.16934037758980006</c:v>
                </c:pt>
                <c:pt idx="452">
                  <c:v>-0.16236041852588701</c:v>
                </c:pt>
                <c:pt idx="453">
                  <c:v>-0.15910219847662385</c:v>
                </c:pt>
                <c:pt idx="454">
                  <c:v>-0.16021242481401515</c:v>
                </c:pt>
                <c:pt idx="455">
                  <c:v>-0.15798900412752165</c:v>
                </c:pt>
                <c:pt idx="456">
                  <c:v>-0.15548576122884517</c:v>
                </c:pt>
                <c:pt idx="457">
                  <c:v>-0.15344209582592211</c:v>
                </c:pt>
                <c:pt idx="458">
                  <c:v>-0.15324463023579865</c:v>
                </c:pt>
                <c:pt idx="459">
                  <c:v>-0.14910172004350356</c:v>
                </c:pt>
                <c:pt idx="460">
                  <c:v>-0.15028329251504199</c:v>
                </c:pt>
                <c:pt idx="461">
                  <c:v>-0.14961628409824201</c:v>
                </c:pt>
                <c:pt idx="462">
                  <c:v>-0.14860971932375602</c:v>
                </c:pt>
                <c:pt idx="463">
                  <c:v>-0.14879967629261678</c:v>
                </c:pt>
                <c:pt idx="464">
                  <c:v>-0.14829792222723218</c:v>
                </c:pt>
                <c:pt idx="465">
                  <c:v>-0.14722214908283215</c:v>
                </c:pt>
                <c:pt idx="466">
                  <c:v>-0.14574660205283216</c:v>
                </c:pt>
                <c:pt idx="467">
                  <c:v>-0.14696087473978867</c:v>
                </c:pt>
                <c:pt idx="468">
                  <c:v>-0.14690925288778869</c:v>
                </c:pt>
                <c:pt idx="469">
                  <c:v>-0.14485215737631141</c:v>
                </c:pt>
                <c:pt idx="470">
                  <c:v>-0.14420021923784987</c:v>
                </c:pt>
                <c:pt idx="471">
                  <c:v>-0.14490111018169599</c:v>
                </c:pt>
                <c:pt idx="472">
                  <c:v>-0.14541571589137342</c:v>
                </c:pt>
                <c:pt idx="473">
                  <c:v>-0.14512325545277965</c:v>
                </c:pt>
                <c:pt idx="474">
                  <c:v>-0.14326292253552039</c:v>
                </c:pt>
                <c:pt idx="475">
                  <c:v>-0.14625808493084858</c:v>
                </c:pt>
                <c:pt idx="476">
                  <c:v>-0.14393678010266678</c:v>
                </c:pt>
                <c:pt idx="477">
                  <c:v>-0.15163461446862231</c:v>
                </c:pt>
                <c:pt idx="478">
                  <c:v>-0.15883510148347946</c:v>
                </c:pt>
                <c:pt idx="479">
                  <c:v>-0.15206662702942542</c:v>
                </c:pt>
                <c:pt idx="480">
                  <c:v>-0.14836362010894921</c:v>
                </c:pt>
                <c:pt idx="481">
                  <c:v>-0.1470149466178701</c:v>
                </c:pt>
                <c:pt idx="482">
                  <c:v>-0.14459435166761034</c:v>
                </c:pt>
                <c:pt idx="483">
                  <c:v>-0.14600643806898966</c:v>
                </c:pt>
                <c:pt idx="484">
                  <c:v>-0.14317657997474056</c:v>
                </c:pt>
                <c:pt idx="485">
                  <c:v>-0.14227725471372363</c:v>
                </c:pt>
                <c:pt idx="486">
                  <c:v>-0.14396904842577721</c:v>
                </c:pt>
                <c:pt idx="487">
                  <c:v>-0.12812567813682069</c:v>
                </c:pt>
                <c:pt idx="488">
                  <c:v>-0.12315291054241509</c:v>
                </c:pt>
                <c:pt idx="489">
                  <c:v>-0.11568087095756661</c:v>
                </c:pt>
                <c:pt idx="490">
                  <c:v>-9.6571584236091218E-2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5A-47E6-BFFD-9A57F351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992192"/>
        <c:axId val="618992608"/>
      </c:lineChart>
      <c:dateAx>
        <c:axId val="61899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992608"/>
        <c:crosses val="autoZero"/>
        <c:auto val="1"/>
        <c:lblOffset val="100"/>
        <c:baseTimeUnit val="days"/>
      </c:dateAx>
      <c:valAx>
        <c:axId val="61899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99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D4A02CF-3BFF-4738-B734-21BF89A120C9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9BF191-7F83-4587-9554-84DD8D6FAA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59.27</v>
      </c>
      <c r="D2" s="4">
        <f>MIN(D3:D1912)</f>
        <v>0.68600000000000005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29.12</v>
      </c>
      <c r="C5">
        <v>29.27</v>
      </c>
      <c r="D5">
        <v>27.47</v>
      </c>
      <c r="E5">
        <v>27.51</v>
      </c>
      <c r="F5">
        <v>55871.42</v>
      </c>
      <c r="G5">
        <v>27.51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-0.9555555555555526</v>
      </c>
      <c r="Q5">
        <f t="shared" ref="Q5" si="1">F5*P5</f>
        <v>-53388.245777777614</v>
      </c>
      <c r="R5">
        <f t="shared" ref="R5" si="2">R6+Q5</f>
        <v>-15039963.783944761</v>
      </c>
      <c r="S5">
        <f t="shared" ref="S5" si="3">R5/100000</f>
        <v>-150.39963783944762</v>
      </c>
      <c r="T5">
        <f t="shared" ref="T5" si="4">S5/1000</f>
        <v>-0.15039963783944763</v>
      </c>
    </row>
    <row r="6" spans="1:20" x14ac:dyDescent="0.25">
      <c r="A6" s="5">
        <v>44587</v>
      </c>
      <c r="B6">
        <v>25.57</v>
      </c>
      <c r="C6">
        <v>30.99</v>
      </c>
      <c r="D6">
        <v>25.01</v>
      </c>
      <c r="E6">
        <v>29.12</v>
      </c>
      <c r="F6">
        <v>1175640.5900000001</v>
      </c>
      <c r="G6">
        <v>29.12</v>
      </c>
      <c r="L6" t="s">
        <v>8</v>
      </c>
      <c r="M6" t="s">
        <v>8</v>
      </c>
      <c r="N6" t="s">
        <v>8</v>
      </c>
      <c r="P6">
        <f t="shared" ref="P6" si="5">IF(C6=D6,0,((E6-D6)-(C6-E6))/(C6-D6))</f>
        <v>0.37458193979933163</v>
      </c>
      <c r="Q6">
        <f t="shared" ref="Q6" si="6">F6*P6</f>
        <v>440373.73270903074</v>
      </c>
      <c r="R6">
        <f t="shared" ref="R6" si="7">R7+Q6</f>
        <v>-14986575.538166983</v>
      </c>
      <c r="S6">
        <f t="shared" ref="S6" si="8">R6/100000</f>
        <v>-149.86575538166983</v>
      </c>
      <c r="T6">
        <f t="shared" ref="T6" si="9">S6/1000</f>
        <v>-0.14986575538166982</v>
      </c>
    </row>
    <row r="7" spans="1:20" x14ac:dyDescent="0.25">
      <c r="A7" s="5">
        <v>44586</v>
      </c>
      <c r="B7">
        <v>22.6</v>
      </c>
      <c r="C7">
        <v>25.9</v>
      </c>
      <c r="D7">
        <v>22.23</v>
      </c>
      <c r="E7">
        <v>25.6</v>
      </c>
      <c r="F7">
        <v>648058.61</v>
      </c>
      <c r="G7">
        <v>25.6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0.83651226158038294</v>
      </c>
      <c r="Q7">
        <f t="shared" ref="Q7" si="11">F7*P7</f>
        <v>542108.97348773933</v>
      </c>
      <c r="R7">
        <f t="shared" ref="R7" si="12">R8+Q7</f>
        <v>-15426949.270876015</v>
      </c>
      <c r="S7">
        <f t="shared" ref="S7" si="13">R7/100000</f>
        <v>-154.26949270876014</v>
      </c>
      <c r="T7">
        <f t="shared" ref="T7" si="14">S7/1000</f>
        <v>-0.15426949270876014</v>
      </c>
    </row>
    <row r="8" spans="1:20" x14ac:dyDescent="0.25">
      <c r="A8" s="5">
        <v>44585</v>
      </c>
      <c r="B8">
        <v>23.65</v>
      </c>
      <c r="C8">
        <v>24.44</v>
      </c>
      <c r="D8">
        <v>19.78</v>
      </c>
      <c r="E8">
        <v>22.6</v>
      </c>
      <c r="F8">
        <v>841350.42</v>
      </c>
      <c r="G8">
        <v>22.6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0.21030042918454944</v>
      </c>
      <c r="Q8">
        <f t="shared" ref="Q8" si="16">F8*P8</f>
        <v>176936.35442060095</v>
      </c>
      <c r="R8">
        <f t="shared" ref="R8" si="17">R9+Q8</f>
        <v>-15969058.244363753</v>
      </c>
      <c r="S8">
        <f t="shared" ref="S8" si="18">R8/100000</f>
        <v>-159.69058244363754</v>
      </c>
      <c r="T8">
        <f t="shared" ref="T8" si="19">S8/1000</f>
        <v>-0.15969058244363754</v>
      </c>
    </row>
    <row r="9" spans="1:20" x14ac:dyDescent="0.25">
      <c r="A9" s="5">
        <v>44584</v>
      </c>
      <c r="B9">
        <v>22.52</v>
      </c>
      <c r="C9">
        <v>23.91</v>
      </c>
      <c r="D9">
        <v>21.94</v>
      </c>
      <c r="E9">
        <v>23.66</v>
      </c>
      <c r="F9">
        <v>595679.98</v>
      </c>
      <c r="G9">
        <v>23.66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0.74619289340101513</v>
      </c>
      <c r="Q9">
        <f t="shared" ref="Q9" si="21">F9*P9</f>
        <v>444492.1678172588</v>
      </c>
      <c r="R9">
        <f t="shared" ref="R9" si="22">R10+Q9</f>
        <v>-16145994.598784354</v>
      </c>
      <c r="S9">
        <f t="shared" ref="S9" si="23">R9/100000</f>
        <v>-161.45994598784353</v>
      </c>
      <c r="T9">
        <f t="shared" ref="T9" si="24">S9/1000</f>
        <v>-0.16145994598784352</v>
      </c>
    </row>
    <row r="10" spans="1:20" x14ac:dyDescent="0.25">
      <c r="A10" s="5">
        <v>44583</v>
      </c>
      <c r="B10">
        <v>24.17</v>
      </c>
      <c r="C10">
        <v>25.27</v>
      </c>
      <c r="D10">
        <v>19.7</v>
      </c>
      <c r="E10">
        <v>22.52</v>
      </c>
      <c r="F10">
        <v>1479614.75</v>
      </c>
      <c r="G10">
        <v>22.52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1.2567324955116747E-2</v>
      </c>
      <c r="Q10">
        <f t="shared" ref="Q10" si="26">F10*P10</f>
        <v>18594.799371633828</v>
      </c>
      <c r="R10">
        <f t="shared" ref="R10" si="27">R11+Q10</f>
        <v>-16590486.766601613</v>
      </c>
      <c r="S10">
        <f t="shared" ref="S10" si="28">R10/100000</f>
        <v>-165.90486766601612</v>
      </c>
      <c r="T10">
        <f t="shared" ref="T10" si="29">S10/1000</f>
        <v>-0.16590486766601611</v>
      </c>
    </row>
    <row r="11" spans="1:20" x14ac:dyDescent="0.25">
      <c r="A11" s="5">
        <v>44582</v>
      </c>
      <c r="B11">
        <v>28.42</v>
      </c>
      <c r="C11">
        <v>28.65</v>
      </c>
      <c r="D11">
        <v>23.78</v>
      </c>
      <c r="E11">
        <v>24.18</v>
      </c>
      <c r="F11">
        <v>960779.39</v>
      </c>
      <c r="G11">
        <v>24.18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-0.83572895277207437</v>
      </c>
      <c r="Q11">
        <f t="shared" ref="Q11" si="31">F11*P11</f>
        <v>-802951.15344969241</v>
      </c>
      <c r="R11">
        <f t="shared" ref="R11" si="32">R12+Q11</f>
        <v>-16609081.565973246</v>
      </c>
      <c r="S11">
        <f t="shared" ref="S11" si="33">R11/100000</f>
        <v>-166.09081565973247</v>
      </c>
      <c r="T11">
        <f t="shared" ref="T11" si="34">S11/1000</f>
        <v>-0.16609081565973247</v>
      </c>
    </row>
    <row r="12" spans="1:20" x14ac:dyDescent="0.25">
      <c r="A12" s="5">
        <v>44581</v>
      </c>
      <c r="B12">
        <v>28.13</v>
      </c>
      <c r="C12">
        <v>31.47</v>
      </c>
      <c r="D12">
        <v>28.05</v>
      </c>
      <c r="E12">
        <v>28.45</v>
      </c>
      <c r="F12">
        <v>393820.93</v>
      </c>
      <c r="G12">
        <v>28.45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-0.76608187134502992</v>
      </c>
      <c r="Q12">
        <f t="shared" ref="Q12" si="36">F12*P12</f>
        <v>-301699.07502924005</v>
      </c>
      <c r="R12">
        <f t="shared" ref="R12" si="37">R13+Q12</f>
        <v>-15806130.412523555</v>
      </c>
      <c r="S12">
        <f t="shared" ref="S12" si="38">R12/100000</f>
        <v>-158.06130412523555</v>
      </c>
      <c r="T12">
        <f t="shared" ref="T12" si="39">S12/1000</f>
        <v>-0.15806130412523556</v>
      </c>
    </row>
    <row r="13" spans="1:20" x14ac:dyDescent="0.25">
      <c r="A13" s="5">
        <v>44580</v>
      </c>
      <c r="B13">
        <v>30.72</v>
      </c>
      <c r="C13">
        <v>30.87</v>
      </c>
      <c r="D13">
        <v>28.08</v>
      </c>
      <c r="E13">
        <v>28.14</v>
      </c>
      <c r="F13">
        <v>506872.92</v>
      </c>
      <c r="G13">
        <v>28.14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-0.95698924731182633</v>
      </c>
      <c r="Q13">
        <f t="shared" ref="Q13" si="41">F13*P13</f>
        <v>-485071.93419354752</v>
      </c>
      <c r="R13">
        <f t="shared" ref="R13" si="42">R14+Q13</f>
        <v>-15504431.337494314</v>
      </c>
      <c r="S13">
        <f t="shared" ref="S13" si="43">R13/100000</f>
        <v>-155.04431337494313</v>
      </c>
      <c r="T13">
        <f t="shared" ref="T13" si="44">S13/1000</f>
        <v>-0.15504431337494312</v>
      </c>
    </row>
    <row r="14" spans="1:20" x14ac:dyDescent="0.25">
      <c r="A14" s="5">
        <v>44579</v>
      </c>
      <c r="B14">
        <v>32.840000000000003</v>
      </c>
      <c r="C14">
        <v>33.6</v>
      </c>
      <c r="D14">
        <v>29.68</v>
      </c>
      <c r="E14">
        <v>30.71</v>
      </c>
      <c r="F14">
        <v>580597.22</v>
      </c>
      <c r="G14">
        <v>30.71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-0.47448979591836699</v>
      </c>
      <c r="Q14">
        <f t="shared" ref="Q14" si="46">F14*P14</f>
        <v>-275487.4564285712</v>
      </c>
      <c r="R14">
        <f t="shared" ref="R14" si="47">R15+Q14</f>
        <v>-15019359.403300766</v>
      </c>
      <c r="S14">
        <f t="shared" ref="S14" si="48">R14/100000</f>
        <v>-150.19359403300766</v>
      </c>
      <c r="T14">
        <f t="shared" ref="T14" si="49">S14/1000</f>
        <v>-0.15019359403300767</v>
      </c>
    </row>
    <row r="15" spans="1:20" x14ac:dyDescent="0.25">
      <c r="A15" s="5">
        <v>44578</v>
      </c>
      <c r="B15">
        <v>33.630000000000003</v>
      </c>
      <c r="C15">
        <v>33.67</v>
      </c>
      <c r="D15">
        <v>31.35</v>
      </c>
      <c r="E15">
        <v>32.840000000000003</v>
      </c>
      <c r="F15">
        <v>268835.08</v>
      </c>
      <c r="G15">
        <v>32.840000000000003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0.28448275862069122</v>
      </c>
      <c r="Q15">
        <f t="shared" ref="Q15" si="51">F15*P15</f>
        <v>76478.945172414213</v>
      </c>
      <c r="R15">
        <f t="shared" ref="R15" si="52">R16+Q15</f>
        <v>-14743871.946872195</v>
      </c>
      <c r="S15">
        <f t="shared" ref="S15" si="53">R15/100000</f>
        <v>-147.43871946872196</v>
      </c>
      <c r="T15">
        <f t="shared" ref="T15" si="54">S15/1000</f>
        <v>-0.14743871946872195</v>
      </c>
    </row>
    <row r="16" spans="1:20" x14ac:dyDescent="0.25">
      <c r="A16" s="5">
        <v>44577</v>
      </c>
      <c r="B16">
        <v>33.75</v>
      </c>
      <c r="C16">
        <v>34.409999999999997</v>
      </c>
      <c r="D16">
        <v>32.97</v>
      </c>
      <c r="E16">
        <v>33.630000000000003</v>
      </c>
      <c r="F16">
        <v>250043.86</v>
      </c>
      <c r="G16">
        <v>33.630000000000003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-8.3333333333326751E-2</v>
      </c>
      <c r="Q16">
        <f t="shared" ref="Q16" si="56">F16*P16</f>
        <v>-20836.988333331687</v>
      </c>
      <c r="R16">
        <f t="shared" ref="R16" si="57">R17+Q16</f>
        <v>-14820350.892044609</v>
      </c>
      <c r="S16">
        <f t="shared" ref="S16" si="58">R16/100000</f>
        <v>-148.2035089204461</v>
      </c>
      <c r="T16">
        <f t="shared" ref="T16" si="59">S16/1000</f>
        <v>-0.14820350892044609</v>
      </c>
    </row>
    <row r="17" spans="1:20" x14ac:dyDescent="0.25">
      <c r="A17" s="5">
        <v>44576</v>
      </c>
      <c r="B17">
        <v>33.11</v>
      </c>
      <c r="C17">
        <v>35.19</v>
      </c>
      <c r="D17">
        <v>32.86</v>
      </c>
      <c r="E17">
        <v>33.770000000000003</v>
      </c>
      <c r="F17">
        <v>263183.96000000002</v>
      </c>
      <c r="G17">
        <v>33.770000000000003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-0.21888412017167008</v>
      </c>
      <c r="Q17">
        <f t="shared" ref="Q17" si="61">F17*P17</f>
        <v>-57606.789527896013</v>
      </c>
      <c r="R17">
        <f t="shared" ref="R17" si="62">R18+Q17</f>
        <v>-14799513.903711278</v>
      </c>
      <c r="S17">
        <f t="shared" ref="S17" si="63">R17/100000</f>
        <v>-147.99513903711278</v>
      </c>
      <c r="T17">
        <f t="shared" ref="T17" si="64">S17/1000</f>
        <v>-0.14799513903711278</v>
      </c>
    </row>
    <row r="18" spans="1:20" x14ac:dyDescent="0.25">
      <c r="A18" s="5">
        <v>44575</v>
      </c>
      <c r="B18">
        <v>32.340000000000003</v>
      </c>
      <c r="C18">
        <v>33.369999999999997</v>
      </c>
      <c r="D18">
        <v>31.12</v>
      </c>
      <c r="E18">
        <v>33.130000000000003</v>
      </c>
      <c r="F18">
        <v>321145.71000000002</v>
      </c>
      <c r="G18">
        <v>33.130000000000003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0.78666666666667084</v>
      </c>
      <c r="Q18">
        <f t="shared" ref="Q18" si="66">F18*P18</f>
        <v>252634.62520000135</v>
      </c>
      <c r="R18">
        <f t="shared" ref="R18" si="67">R19+Q18</f>
        <v>-14741907.114183381</v>
      </c>
      <c r="S18">
        <f t="shared" ref="S18" si="68">R18/100000</f>
        <v>-147.41907114183383</v>
      </c>
      <c r="T18">
        <f t="shared" ref="T18" si="69">S18/1000</f>
        <v>-0.14741907114183384</v>
      </c>
    </row>
    <row r="19" spans="1:20" x14ac:dyDescent="0.25">
      <c r="A19" s="5">
        <v>44574</v>
      </c>
      <c r="B19">
        <v>35.64</v>
      </c>
      <c r="C19">
        <v>35.9</v>
      </c>
      <c r="D19">
        <v>32.25</v>
      </c>
      <c r="E19">
        <v>32.33</v>
      </c>
      <c r="F19">
        <v>428861.92</v>
      </c>
      <c r="G19">
        <v>32.33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-0.95616438356164479</v>
      </c>
      <c r="Q19">
        <f t="shared" ref="Q19" si="71">F19*P19</f>
        <v>-410062.49336986343</v>
      </c>
      <c r="R19">
        <f t="shared" ref="R19" si="72">R20+Q19</f>
        <v>-14994541.739383383</v>
      </c>
      <c r="S19">
        <f t="shared" ref="S19" si="73">R19/100000</f>
        <v>-149.94541739383382</v>
      </c>
      <c r="T19">
        <f t="shared" ref="T19" si="74">S19/1000</f>
        <v>-0.14994541739383382</v>
      </c>
    </row>
    <row r="20" spans="1:20" x14ac:dyDescent="0.25">
      <c r="A20" s="5">
        <v>44573</v>
      </c>
      <c r="B20">
        <v>33.08</v>
      </c>
      <c r="C20">
        <v>36.03</v>
      </c>
      <c r="D20">
        <v>32.479999999999997</v>
      </c>
      <c r="E20">
        <v>35.630000000000003</v>
      </c>
      <c r="F20">
        <v>368421.68</v>
      </c>
      <c r="G20">
        <v>35.630000000000003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0.77464788732394474</v>
      </c>
      <c r="Q20">
        <f t="shared" ref="Q20" si="76">F20*P20</f>
        <v>285397.07605633844</v>
      </c>
      <c r="R20">
        <f t="shared" ref="R20" si="77">R21+Q20</f>
        <v>-14584479.246013518</v>
      </c>
      <c r="S20">
        <f t="shared" ref="S20" si="78">R20/100000</f>
        <v>-145.84479246013518</v>
      </c>
      <c r="T20">
        <f t="shared" ref="T20" si="79">S20/1000</f>
        <v>-0.14584479246013518</v>
      </c>
    </row>
    <row r="21" spans="1:20" x14ac:dyDescent="0.25">
      <c r="A21" s="5">
        <v>44572</v>
      </c>
      <c r="B21">
        <v>31.72</v>
      </c>
      <c r="C21">
        <v>33.25</v>
      </c>
      <c r="D21">
        <v>31.08</v>
      </c>
      <c r="E21">
        <v>33.06</v>
      </c>
      <c r="F21">
        <v>343173.78</v>
      </c>
      <c r="G21">
        <v>33.06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0.82488479262673031</v>
      </c>
      <c r="Q21">
        <f t="shared" ref="Q21" si="81">F21*P21</f>
        <v>283078.83235023118</v>
      </c>
      <c r="R21">
        <f t="shared" ref="R21" si="82">R22+Q21</f>
        <v>-14869876.322069857</v>
      </c>
      <c r="S21">
        <f t="shared" ref="S21" si="83">R21/100000</f>
        <v>-148.69876322069857</v>
      </c>
      <c r="T21">
        <f t="shared" ref="T21" si="84">S21/1000</f>
        <v>-0.14869876322069855</v>
      </c>
    </row>
    <row r="22" spans="1:20" x14ac:dyDescent="0.25">
      <c r="A22" s="5">
        <v>44571</v>
      </c>
      <c r="B22">
        <v>33.159999999999997</v>
      </c>
      <c r="C22">
        <v>34.119999999999997</v>
      </c>
      <c r="D22">
        <v>29.37</v>
      </c>
      <c r="E22">
        <v>31.71</v>
      </c>
      <c r="F22">
        <v>456240.5</v>
      </c>
      <c r="G22">
        <v>31.71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-1.4736842105262481E-2</v>
      </c>
      <c r="Q22">
        <f t="shared" ref="Q22" si="86">F22*P22</f>
        <v>-6723.5442105260072</v>
      </c>
      <c r="R22">
        <f t="shared" ref="R22" si="87">R23+Q22</f>
        <v>-15152955.154420089</v>
      </c>
      <c r="S22">
        <f t="shared" ref="S22" si="88">R22/100000</f>
        <v>-151.5295515442009</v>
      </c>
      <c r="T22">
        <f t="shared" ref="T22" si="89">S22/1000</f>
        <v>-0.15152955154420089</v>
      </c>
    </row>
    <row r="23" spans="1:20" x14ac:dyDescent="0.25">
      <c r="A23" s="5">
        <v>44570</v>
      </c>
      <c r="B23">
        <v>32.119999999999997</v>
      </c>
      <c r="C23">
        <v>33.979999999999997</v>
      </c>
      <c r="D23">
        <v>31.62</v>
      </c>
      <c r="E23">
        <v>33.17</v>
      </c>
      <c r="F23">
        <v>332875.78999999998</v>
      </c>
      <c r="G23">
        <v>33.17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0.31355932203390119</v>
      </c>
      <c r="Q23">
        <f t="shared" ref="Q23" si="91">F23*P23</f>
        <v>104376.30703389925</v>
      </c>
      <c r="R23">
        <f t="shared" ref="R23" si="92">R24+Q23</f>
        <v>-15146231.610209564</v>
      </c>
      <c r="S23">
        <f t="shared" ref="S23" si="93">R23/100000</f>
        <v>-151.46231610209563</v>
      </c>
      <c r="T23">
        <f t="shared" ref="T23" si="94">S23/1000</f>
        <v>-0.15146231610209562</v>
      </c>
    </row>
    <row r="24" spans="1:20" x14ac:dyDescent="0.25">
      <c r="A24" s="5">
        <v>44569</v>
      </c>
      <c r="B24">
        <v>35.67</v>
      </c>
      <c r="C24">
        <v>36.520000000000003</v>
      </c>
      <c r="D24">
        <v>30.83</v>
      </c>
      <c r="E24">
        <v>32.1</v>
      </c>
      <c r="F24">
        <v>697155.94</v>
      </c>
      <c r="G24">
        <v>32.1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-0.5536028119507902</v>
      </c>
      <c r="Q24">
        <f t="shared" ref="Q24" si="96">F24*P24</f>
        <v>-385947.48875219637</v>
      </c>
      <c r="R24">
        <f t="shared" ref="R24" si="97">R25+Q24</f>
        <v>-15250607.917243464</v>
      </c>
      <c r="S24">
        <f t="shared" ref="S24" si="98">R24/100000</f>
        <v>-152.50607917243465</v>
      </c>
      <c r="T24">
        <f t="shared" ref="T24" si="99">S24/1000</f>
        <v>-0.15250607917243467</v>
      </c>
    </row>
    <row r="25" spans="1:20" x14ac:dyDescent="0.25">
      <c r="A25" s="5">
        <v>44568</v>
      </c>
      <c r="B25">
        <v>40.32</v>
      </c>
      <c r="C25">
        <v>40.54</v>
      </c>
      <c r="D25">
        <v>35.299999999999997</v>
      </c>
      <c r="E25">
        <v>35.630000000000003</v>
      </c>
      <c r="F25">
        <v>572389.31999999995</v>
      </c>
      <c r="G25">
        <v>35.630000000000003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-0.87404580152671552</v>
      </c>
      <c r="Q25">
        <f t="shared" ref="Q25" si="101">F25*P25</f>
        <v>-500294.48198473162</v>
      </c>
      <c r="R25">
        <f t="shared" ref="R25" si="102">R26+Q25</f>
        <v>-14864660.428491268</v>
      </c>
      <c r="S25">
        <f t="shared" ref="S25" si="103">R25/100000</f>
        <v>-148.64660428491268</v>
      </c>
      <c r="T25">
        <f t="shared" ref="T25" si="104">S25/1000</f>
        <v>-0.14864660428491269</v>
      </c>
    </row>
    <row r="26" spans="1:20" x14ac:dyDescent="0.25">
      <c r="A26" s="5">
        <v>44567</v>
      </c>
      <c r="B26">
        <v>38.6</v>
      </c>
      <c r="C26">
        <v>40.89</v>
      </c>
      <c r="D26">
        <v>36.5</v>
      </c>
      <c r="E26">
        <v>40.31</v>
      </c>
      <c r="F26">
        <v>473845.44</v>
      </c>
      <c r="G26">
        <v>40.31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0.73576309794988692</v>
      </c>
      <c r="Q26">
        <f t="shared" ref="Q26" si="106">F26*P26</f>
        <v>348637.98888382729</v>
      </c>
      <c r="R26">
        <f t="shared" ref="R26" si="107">R27+Q26</f>
        <v>-14364365.946506537</v>
      </c>
      <c r="S26">
        <f t="shared" ref="S26" si="108">R26/100000</f>
        <v>-143.64365946506538</v>
      </c>
      <c r="T26">
        <f t="shared" ref="T26" si="109">S26/1000</f>
        <v>-0.14364365946506538</v>
      </c>
    </row>
    <row r="27" spans="1:20" x14ac:dyDescent="0.25">
      <c r="A27" s="5">
        <v>44566</v>
      </c>
      <c r="B27">
        <v>41.49</v>
      </c>
      <c r="C27">
        <v>45.16</v>
      </c>
      <c r="D27">
        <v>37</v>
      </c>
      <c r="E27">
        <v>38.61</v>
      </c>
      <c r="F27">
        <v>954156.79</v>
      </c>
      <c r="G27">
        <v>38.61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-0.60539215686274506</v>
      </c>
      <c r="Q27">
        <f t="shared" ref="Q27" si="111">F27*P27</f>
        <v>-577639.03708333336</v>
      </c>
      <c r="R27">
        <f t="shared" ref="R27" si="112">R28+Q27</f>
        <v>-14713003.935390364</v>
      </c>
      <c r="S27">
        <f t="shared" ref="S27" si="113">R27/100000</f>
        <v>-147.13003935390364</v>
      </c>
      <c r="T27">
        <f t="shared" ref="T27" si="114">S27/1000</f>
        <v>-0.14713003935390365</v>
      </c>
    </row>
    <row r="28" spans="1:20" x14ac:dyDescent="0.25">
      <c r="A28" s="5">
        <v>44565</v>
      </c>
      <c r="B28">
        <v>39.97</v>
      </c>
      <c r="C28">
        <v>43.58</v>
      </c>
      <c r="D28">
        <v>38.51</v>
      </c>
      <c r="E28">
        <v>41.55</v>
      </c>
      <c r="F28">
        <v>656740.30000000005</v>
      </c>
      <c r="G28">
        <v>41.55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0.19921104536489112</v>
      </c>
      <c r="Q28">
        <f t="shared" ref="Q28" si="116">F28*P28</f>
        <v>130829.92169625222</v>
      </c>
      <c r="R28">
        <f t="shared" ref="R28" si="117">R29+Q28</f>
        <v>-14135364.898307031</v>
      </c>
      <c r="S28">
        <f t="shared" ref="S28" si="118">R28/100000</f>
        <v>-141.35364898307031</v>
      </c>
      <c r="T28">
        <f t="shared" ref="T28" si="119">S28/1000</f>
        <v>-0.14135364898307032</v>
      </c>
    </row>
    <row r="29" spans="1:20" x14ac:dyDescent="0.25">
      <c r="A29" s="5">
        <v>44564</v>
      </c>
      <c r="B29">
        <v>41.04</v>
      </c>
      <c r="C29">
        <v>42.88</v>
      </c>
      <c r="D29">
        <v>39</v>
      </c>
      <c r="E29">
        <v>39.97</v>
      </c>
      <c r="F29">
        <v>485927.7</v>
      </c>
      <c r="G29">
        <v>39.97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-0.50000000000000089</v>
      </c>
      <c r="Q29">
        <f t="shared" ref="Q29" si="121">F29*P29</f>
        <v>-242963.85000000044</v>
      </c>
      <c r="R29">
        <f t="shared" ref="R29" si="122">R30+Q29</f>
        <v>-14266194.820003284</v>
      </c>
      <c r="S29">
        <f t="shared" ref="S29" si="123">R29/100000</f>
        <v>-142.66194820003284</v>
      </c>
      <c r="T29">
        <f t="shared" ref="T29" si="124">S29/1000</f>
        <v>-0.14266194820003283</v>
      </c>
    </row>
    <row r="30" spans="1:20" x14ac:dyDescent="0.25">
      <c r="A30" s="5">
        <v>44563</v>
      </c>
      <c r="B30">
        <v>39.799999999999997</v>
      </c>
      <c r="C30">
        <v>42.42</v>
      </c>
      <c r="D30">
        <v>38.17</v>
      </c>
      <c r="E30">
        <v>41.05</v>
      </c>
      <c r="F30">
        <v>425223.92</v>
      </c>
      <c r="G30">
        <v>41.05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0.35529411764705671</v>
      </c>
      <c r="Q30">
        <f t="shared" ref="Q30" si="126">F30*P30</f>
        <v>151079.55745882262</v>
      </c>
      <c r="R30">
        <f t="shared" ref="R30" si="127">R31+Q30</f>
        <v>-14023230.970003285</v>
      </c>
      <c r="S30">
        <f t="shared" ref="S30" si="128">R30/100000</f>
        <v>-140.23230970003286</v>
      </c>
      <c r="T30">
        <f t="shared" ref="T30" si="129">S30/1000</f>
        <v>-0.14023230970003286</v>
      </c>
    </row>
    <row r="31" spans="1:20" x14ac:dyDescent="0.25">
      <c r="A31" s="5">
        <v>44562</v>
      </c>
      <c r="B31">
        <v>37.76</v>
      </c>
      <c r="C31">
        <v>40.5</v>
      </c>
      <c r="D31">
        <v>37.74</v>
      </c>
      <c r="E31">
        <v>39.799999999999997</v>
      </c>
      <c r="F31">
        <v>344063.28</v>
      </c>
      <c r="G31">
        <v>39.799999999999997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0.49275362318840338</v>
      </c>
      <c r="Q31">
        <f t="shared" ref="Q31" si="131">F31*P31</f>
        <v>169538.42782608615</v>
      </c>
      <c r="R31">
        <f t="shared" ref="R31" si="132">R32+Q31</f>
        <v>-14174310.527462106</v>
      </c>
      <c r="S31">
        <f t="shared" ref="S31" si="133">R31/100000</f>
        <v>-141.74310527462106</v>
      </c>
      <c r="T31">
        <f t="shared" ref="T31" si="134">S31/1000</f>
        <v>-0.14174310527462106</v>
      </c>
    </row>
    <row r="32" spans="1:20" x14ac:dyDescent="0.25">
      <c r="A32" s="5">
        <v>44561</v>
      </c>
      <c r="B32">
        <v>37.479999999999997</v>
      </c>
      <c r="C32">
        <v>39</v>
      </c>
      <c r="D32">
        <v>36.22</v>
      </c>
      <c r="E32">
        <v>37.729999999999997</v>
      </c>
      <c r="F32">
        <v>292271.96999999997</v>
      </c>
      <c r="G32">
        <v>37.729999999999997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8.6330935251796692E-2</v>
      </c>
      <c r="Q32">
        <f t="shared" ref="Q32" si="136">F32*P32</f>
        <v>25232.112517985064</v>
      </c>
      <c r="R32">
        <f t="shared" ref="R32" si="137">R33+Q32</f>
        <v>-14343848.955288192</v>
      </c>
      <c r="S32">
        <f t="shared" ref="S32" si="138">R32/100000</f>
        <v>-143.43848955288192</v>
      </c>
      <c r="T32">
        <f t="shared" ref="T32" si="139">S32/1000</f>
        <v>-0.14343848955288191</v>
      </c>
    </row>
    <row r="33" spans="1:20" x14ac:dyDescent="0.25">
      <c r="A33" s="5">
        <v>44560</v>
      </c>
      <c r="B33">
        <v>38.1</v>
      </c>
      <c r="C33">
        <v>38.61</v>
      </c>
      <c r="D33">
        <v>36.200000000000003</v>
      </c>
      <c r="E33">
        <v>37.49</v>
      </c>
      <c r="F33">
        <v>267404.28000000003</v>
      </c>
      <c r="G33">
        <v>37.49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7.0539419087137734E-2</v>
      </c>
      <c r="Q33">
        <f t="shared" ref="Q33" si="141">F33*P33</f>
        <v>18862.542572614326</v>
      </c>
      <c r="R33">
        <f t="shared" ref="R33" si="142">R34+Q33</f>
        <v>-14369081.067806177</v>
      </c>
      <c r="S33">
        <f t="shared" ref="S33" si="143">R33/100000</f>
        <v>-143.69081067806178</v>
      </c>
      <c r="T33">
        <f t="shared" ref="T33" si="144">S33/1000</f>
        <v>-0.14369081067806178</v>
      </c>
    </row>
    <row r="34" spans="1:20" x14ac:dyDescent="0.25">
      <c r="A34" s="5">
        <v>44559</v>
      </c>
      <c r="B34">
        <v>36.51</v>
      </c>
      <c r="C34">
        <v>39.5</v>
      </c>
      <c r="D34">
        <v>36.35</v>
      </c>
      <c r="E34">
        <v>38.1</v>
      </c>
      <c r="F34">
        <v>482399.99</v>
      </c>
      <c r="G34">
        <v>38.1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0.11111111111111162</v>
      </c>
      <c r="Q34">
        <f t="shared" ref="Q34" si="146">F34*P34</f>
        <v>53599.998888889131</v>
      </c>
      <c r="R34">
        <f t="shared" ref="R34" si="147">R35+Q34</f>
        <v>-14387943.610378791</v>
      </c>
      <c r="S34">
        <f t="shared" ref="S34" si="148">R34/100000</f>
        <v>-143.8794361037879</v>
      </c>
      <c r="T34">
        <f t="shared" ref="T34" si="149">S34/1000</f>
        <v>-0.14387943610378789</v>
      </c>
    </row>
    <row r="35" spans="1:20" x14ac:dyDescent="0.25">
      <c r="A35" s="5">
        <v>44558</v>
      </c>
      <c r="B35">
        <v>39.479999999999997</v>
      </c>
      <c r="C35">
        <v>39.94</v>
      </c>
      <c r="D35">
        <v>35.840000000000003</v>
      </c>
      <c r="E35">
        <v>36.51</v>
      </c>
      <c r="F35">
        <v>473144.19</v>
      </c>
      <c r="G35">
        <v>36.51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-0.67317073170731923</v>
      </c>
      <c r="Q35">
        <f t="shared" ref="Q35" si="151">F35*P35</f>
        <v>-318506.82058536686</v>
      </c>
      <c r="R35">
        <f t="shared" ref="R35" si="152">R36+Q35</f>
        <v>-14441543.60926768</v>
      </c>
      <c r="S35">
        <f t="shared" ref="S35" si="153">R35/100000</f>
        <v>-144.4154360926768</v>
      </c>
      <c r="T35">
        <f t="shared" ref="T35" si="154">S35/1000</f>
        <v>-0.14441543609267679</v>
      </c>
    </row>
    <row r="36" spans="1:20" x14ac:dyDescent="0.25">
      <c r="A36" s="5">
        <v>44557</v>
      </c>
      <c r="B36">
        <v>37.53</v>
      </c>
      <c r="C36">
        <v>42.1</v>
      </c>
      <c r="D36">
        <v>37.53</v>
      </c>
      <c r="E36">
        <v>39.47</v>
      </c>
      <c r="F36">
        <v>544065.46</v>
      </c>
      <c r="G36">
        <v>39.47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-0.15098468271334897</v>
      </c>
      <c r="Q36">
        <f t="shared" ref="Q36" si="156">F36*P36</f>
        <v>-82145.550853392255</v>
      </c>
      <c r="R36">
        <f t="shared" ref="R36" si="157">R37+Q36</f>
        <v>-14123036.788682314</v>
      </c>
      <c r="S36">
        <f t="shared" ref="S36" si="158">R36/100000</f>
        <v>-141.23036788682313</v>
      </c>
      <c r="T36">
        <f t="shared" ref="T36" si="159">S36/1000</f>
        <v>-0.14123036788682314</v>
      </c>
    </row>
    <row r="37" spans="1:20" x14ac:dyDescent="0.25">
      <c r="A37" s="5">
        <v>44556</v>
      </c>
      <c r="B37">
        <v>38.21</v>
      </c>
      <c r="C37">
        <v>38.69</v>
      </c>
      <c r="D37">
        <v>36.14</v>
      </c>
      <c r="E37">
        <v>37.53</v>
      </c>
      <c r="F37">
        <v>250307.88</v>
      </c>
      <c r="G37">
        <v>37.53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9.0196078431374213E-2</v>
      </c>
      <c r="Q37">
        <f t="shared" ref="Q37" si="161">F37*P37</f>
        <v>22576.789176471004</v>
      </c>
      <c r="R37">
        <f t="shared" ref="R37" si="162">R38+Q37</f>
        <v>-14040891.237828922</v>
      </c>
      <c r="S37">
        <f t="shared" ref="S37" si="163">R37/100000</f>
        <v>-140.40891237828922</v>
      </c>
      <c r="T37">
        <f t="shared" ref="T37" si="164">S37/1000</f>
        <v>-0.1404089123782892</v>
      </c>
    </row>
    <row r="38" spans="1:20" x14ac:dyDescent="0.25">
      <c r="A38" s="5">
        <v>44555</v>
      </c>
      <c r="B38">
        <v>37.549999999999997</v>
      </c>
      <c r="C38">
        <v>39.5</v>
      </c>
      <c r="D38">
        <v>36.700000000000003</v>
      </c>
      <c r="E38">
        <v>38.21</v>
      </c>
      <c r="F38">
        <v>249903.3</v>
      </c>
      <c r="G38">
        <v>38.21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7.8571428571428251E-2</v>
      </c>
      <c r="Q38">
        <f t="shared" ref="Q38" si="166">F38*P38</f>
        <v>19635.259285714204</v>
      </c>
      <c r="R38">
        <f t="shared" ref="R38" si="167">R39+Q38</f>
        <v>-14063468.027005393</v>
      </c>
      <c r="S38">
        <f t="shared" ref="S38" si="168">R38/100000</f>
        <v>-140.63468027005393</v>
      </c>
      <c r="T38">
        <f t="shared" ref="T38" si="169">S38/1000</f>
        <v>-0.14063468027005394</v>
      </c>
    </row>
    <row r="39" spans="1:20" x14ac:dyDescent="0.25">
      <c r="A39" s="5">
        <v>44554</v>
      </c>
      <c r="B39">
        <v>38.97</v>
      </c>
      <c r="C39">
        <v>39.47</v>
      </c>
      <c r="D39">
        <v>36.520000000000003</v>
      </c>
      <c r="E39">
        <v>37.549999999999997</v>
      </c>
      <c r="F39">
        <v>422814.95</v>
      </c>
      <c r="G39">
        <v>37.549999999999997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-0.3016949152542403</v>
      </c>
      <c r="Q39">
        <f t="shared" ref="Q39" si="171">F39*P39</f>
        <v>-127561.12050847585</v>
      </c>
      <c r="R39">
        <f t="shared" ref="R39" si="172">R40+Q39</f>
        <v>-14083103.286291108</v>
      </c>
      <c r="S39">
        <f t="shared" ref="S39" si="173">R39/100000</f>
        <v>-140.83103286291109</v>
      </c>
      <c r="T39">
        <f t="shared" ref="T39" si="174">S39/1000</f>
        <v>-0.1408310328629111</v>
      </c>
    </row>
    <row r="40" spans="1:20" x14ac:dyDescent="0.25">
      <c r="A40" s="5">
        <v>44553</v>
      </c>
      <c r="B40">
        <v>40.409999999999997</v>
      </c>
      <c r="C40">
        <v>43.4</v>
      </c>
      <c r="D40">
        <v>37.840000000000003</v>
      </c>
      <c r="E40">
        <v>38.92</v>
      </c>
      <c r="F40">
        <v>737798.14</v>
      </c>
      <c r="G40">
        <v>38.92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-0.61151079136690678</v>
      </c>
      <c r="Q40">
        <f t="shared" ref="Q40" si="176">F40*P40</f>
        <v>-451171.52446043189</v>
      </c>
      <c r="R40">
        <f t="shared" ref="R40" si="177">R41+Q40</f>
        <v>-13955542.165782632</v>
      </c>
      <c r="S40">
        <f t="shared" ref="S40" si="178">R40/100000</f>
        <v>-139.55542165782632</v>
      </c>
      <c r="T40">
        <f t="shared" ref="T40" si="179">S40/1000</f>
        <v>-0.13955542165782631</v>
      </c>
    </row>
    <row r="41" spans="1:20" x14ac:dyDescent="0.25">
      <c r="A41" s="5">
        <v>44552</v>
      </c>
      <c r="B41">
        <v>36.340000000000003</v>
      </c>
      <c r="C41">
        <v>42.11</v>
      </c>
      <c r="D41">
        <v>36.31</v>
      </c>
      <c r="E41">
        <v>40.409999999999997</v>
      </c>
      <c r="F41">
        <v>833618.47</v>
      </c>
      <c r="G41">
        <v>40.409999999999997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0.41379310344827458</v>
      </c>
      <c r="Q41">
        <f t="shared" ref="Q41" si="181">F41*P41</f>
        <v>344945.57379310235</v>
      </c>
      <c r="R41">
        <f t="shared" ref="R41" si="182">R42+Q41</f>
        <v>-13504370.641322201</v>
      </c>
      <c r="S41">
        <f t="shared" ref="S41" si="183">R41/100000</f>
        <v>-135.043706413222</v>
      </c>
      <c r="T41">
        <f t="shared" ref="T41" si="184">S41/1000</f>
        <v>-0.135043706413222</v>
      </c>
    </row>
    <row r="42" spans="1:20" x14ac:dyDescent="0.25">
      <c r="A42" s="5">
        <v>44551</v>
      </c>
      <c r="B42">
        <v>34.79</v>
      </c>
      <c r="C42">
        <v>37.56</v>
      </c>
      <c r="D42">
        <v>33.880000000000003</v>
      </c>
      <c r="E42">
        <v>36.340000000000003</v>
      </c>
      <c r="F42">
        <v>746474.08</v>
      </c>
      <c r="G42">
        <v>36.340000000000003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0.33695652173913099</v>
      </c>
      <c r="Q42">
        <f t="shared" ref="Q42" si="186">F42*P42</f>
        <v>251529.30956521779</v>
      </c>
      <c r="R42">
        <f t="shared" ref="R42" si="187">R43+Q42</f>
        <v>-13849316.215115303</v>
      </c>
      <c r="S42">
        <f t="shared" ref="S42" si="188">R42/100000</f>
        <v>-138.49316215115303</v>
      </c>
      <c r="T42">
        <f t="shared" ref="T42" si="189">S42/1000</f>
        <v>-0.13849316215115304</v>
      </c>
    </row>
    <row r="43" spans="1:20" x14ac:dyDescent="0.25">
      <c r="A43" s="5">
        <v>44550</v>
      </c>
      <c r="B43">
        <v>31.99</v>
      </c>
      <c r="C43">
        <v>35.19</v>
      </c>
      <c r="D43">
        <v>29.94</v>
      </c>
      <c r="E43">
        <v>34.75</v>
      </c>
      <c r="F43">
        <v>501328.64000000001</v>
      </c>
      <c r="G43">
        <v>34.75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0.83238095238095311</v>
      </c>
      <c r="Q43">
        <f t="shared" ref="Q43" si="191">F43*P43</f>
        <v>417296.410819048</v>
      </c>
      <c r="R43">
        <f t="shared" ref="R43" si="192">R44+Q43</f>
        <v>-14100845.524680521</v>
      </c>
      <c r="S43">
        <f t="shared" ref="S43" si="193">R43/100000</f>
        <v>-141.00845524680523</v>
      </c>
      <c r="T43">
        <f t="shared" ref="T43" si="194">S43/1000</f>
        <v>-0.14100845524680522</v>
      </c>
    </row>
    <row r="44" spans="1:20" x14ac:dyDescent="0.25">
      <c r="A44" s="5">
        <v>44549</v>
      </c>
      <c r="B44">
        <v>32.799999999999997</v>
      </c>
      <c r="C44">
        <v>33</v>
      </c>
      <c r="D44">
        <v>31.85</v>
      </c>
      <c r="E44">
        <v>31.99</v>
      </c>
      <c r="F44">
        <v>221168.2</v>
      </c>
      <c r="G44">
        <v>31.99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-0.75652173913043963</v>
      </c>
      <c r="Q44">
        <f t="shared" ref="Q44" si="196">F44*P44</f>
        <v>-167318.55130434892</v>
      </c>
      <c r="R44">
        <f t="shared" ref="R44" si="197">R45+Q44</f>
        <v>-14518141.935499569</v>
      </c>
      <c r="S44">
        <f t="shared" ref="S44" si="198">R44/100000</f>
        <v>-145.18141935499568</v>
      </c>
      <c r="T44">
        <f t="shared" ref="T44" si="199">S44/1000</f>
        <v>-0.14518141935499568</v>
      </c>
    </row>
    <row r="45" spans="1:20" x14ac:dyDescent="0.25">
      <c r="A45" s="5">
        <v>44548</v>
      </c>
      <c r="B45">
        <v>33.840000000000003</v>
      </c>
      <c r="C45">
        <v>35.090000000000003</v>
      </c>
      <c r="D45">
        <v>32.67</v>
      </c>
      <c r="E45">
        <v>32.799999999999997</v>
      </c>
      <c r="F45">
        <v>318956.53000000003</v>
      </c>
      <c r="G45">
        <v>32.799999999999997</v>
      </c>
      <c r="L45" t="s">
        <v>7</v>
      </c>
      <c r="M45" t="s">
        <v>8</v>
      </c>
      <c r="N45" t="s">
        <v>8</v>
      </c>
      <c r="P45">
        <f t="shared" ref="P45" si="200">IF(C45=D45,0,((E45-D45)-(C45-E45))/(C45-D45))</f>
        <v>-0.89256198347107818</v>
      </c>
      <c r="Q45">
        <f t="shared" ref="Q45" si="201">F45*P45</f>
        <v>-284688.47305785248</v>
      </c>
      <c r="R45">
        <f t="shared" ref="R45" si="202">R46+Q45</f>
        <v>-14350823.38419522</v>
      </c>
      <c r="S45">
        <f t="shared" ref="S45" si="203">R45/100000</f>
        <v>-143.5082338419522</v>
      </c>
      <c r="T45">
        <f t="shared" ref="T45" si="204">S45/1000</f>
        <v>-0.14350823384195222</v>
      </c>
    </row>
    <row r="46" spans="1:20" x14ac:dyDescent="0.25">
      <c r="A46" s="5">
        <v>44547</v>
      </c>
      <c r="B46">
        <v>31.85</v>
      </c>
      <c r="C46">
        <v>35.75</v>
      </c>
      <c r="D46">
        <v>31.26</v>
      </c>
      <c r="E46">
        <v>33.85</v>
      </c>
      <c r="F46">
        <v>953688.89</v>
      </c>
      <c r="G46">
        <v>33.85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0.15367483296213844</v>
      </c>
      <c r="Q46">
        <f t="shared" ref="Q46" si="206">F46*P46</f>
        <v>146557.98086859722</v>
      </c>
      <c r="R46">
        <f t="shared" ref="R46" si="207">R47+Q46</f>
        <v>-14066134.911137367</v>
      </c>
      <c r="S46">
        <f t="shared" ref="S46" si="208">R46/100000</f>
        <v>-140.66134911137365</v>
      </c>
      <c r="T46">
        <f t="shared" ref="T46" si="209">S46/1000</f>
        <v>-0.14066134911137365</v>
      </c>
    </row>
    <row r="47" spans="1:20" x14ac:dyDescent="0.25">
      <c r="A47" s="5">
        <v>44546</v>
      </c>
      <c r="B47">
        <v>31.3</v>
      </c>
      <c r="C47">
        <v>34.9</v>
      </c>
      <c r="D47">
        <v>31.11</v>
      </c>
      <c r="E47">
        <v>31.86</v>
      </c>
      <c r="F47">
        <v>644034.29</v>
      </c>
      <c r="G47">
        <v>31.86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-0.60422163588390487</v>
      </c>
      <c r="Q47">
        <f t="shared" ref="Q47" si="211">F47*P47</f>
        <v>-389139.45226912922</v>
      </c>
      <c r="R47">
        <f t="shared" ref="R47" si="212">R48+Q47</f>
        <v>-14212692.892005963</v>
      </c>
      <c r="S47">
        <f t="shared" ref="S47" si="213">R47/100000</f>
        <v>-142.12692892005964</v>
      </c>
      <c r="T47">
        <f t="shared" ref="T47" si="214">S47/1000</f>
        <v>-0.14212692892005965</v>
      </c>
    </row>
    <row r="48" spans="1:20" x14ac:dyDescent="0.25">
      <c r="A48" s="5">
        <v>44545</v>
      </c>
      <c r="B48">
        <v>27.8</v>
      </c>
      <c r="C48">
        <v>32.119999999999997</v>
      </c>
      <c r="D48">
        <v>26.65</v>
      </c>
      <c r="E48">
        <v>31.28</v>
      </c>
      <c r="F48">
        <v>587712.04</v>
      </c>
      <c r="G48">
        <v>31.28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0.69287020109689346</v>
      </c>
      <c r="Q48">
        <f t="shared" ref="Q48" si="216">F48*P48</f>
        <v>407208.15934186551</v>
      </c>
      <c r="R48">
        <f t="shared" ref="R48" si="217">R49+Q48</f>
        <v>-13823553.439736834</v>
      </c>
      <c r="S48">
        <f t="shared" ref="S48" si="218">R48/100000</f>
        <v>-138.23553439736833</v>
      </c>
      <c r="T48">
        <f t="shared" ref="T48" si="219">S48/1000</f>
        <v>-0.13823553439736833</v>
      </c>
    </row>
    <row r="49" spans="1:20" x14ac:dyDescent="0.25">
      <c r="A49" s="5">
        <v>44544</v>
      </c>
      <c r="B49">
        <v>26.03</v>
      </c>
      <c r="C49">
        <v>28.47</v>
      </c>
      <c r="D49">
        <v>25.66</v>
      </c>
      <c r="E49">
        <v>27.81</v>
      </c>
      <c r="F49">
        <v>397087.41</v>
      </c>
      <c r="G49">
        <v>27.81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0.53024911032028443</v>
      </c>
      <c r="Q49">
        <f t="shared" ref="Q49" si="221">F49*P49</f>
        <v>210555.245871886</v>
      </c>
      <c r="R49">
        <f t="shared" ref="R49" si="222">R50+Q49</f>
        <v>-14230761.5990787</v>
      </c>
      <c r="S49">
        <f t="shared" ref="S49" si="223">R49/100000</f>
        <v>-142.30761599078701</v>
      </c>
      <c r="T49">
        <f t="shared" ref="T49" si="224">S49/1000</f>
        <v>-0.14230761599078701</v>
      </c>
    </row>
    <row r="50" spans="1:20" x14ac:dyDescent="0.25">
      <c r="A50" s="5">
        <v>44543</v>
      </c>
      <c r="B50">
        <v>29.73</v>
      </c>
      <c r="C50">
        <v>30.13</v>
      </c>
      <c r="D50">
        <v>25.56</v>
      </c>
      <c r="E50">
        <v>26.03</v>
      </c>
      <c r="F50">
        <v>459757.09</v>
      </c>
      <c r="G50">
        <v>26.03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-0.79431072210065545</v>
      </c>
      <c r="Q50">
        <f t="shared" ref="Q50" si="226">F50*P50</f>
        <v>-365189.98614879604</v>
      </c>
      <c r="R50">
        <f t="shared" ref="R50" si="227">R51+Q50</f>
        <v>-14441316.844950587</v>
      </c>
      <c r="S50">
        <f t="shared" ref="S50" si="228">R50/100000</f>
        <v>-144.41316844950586</v>
      </c>
      <c r="T50">
        <f t="shared" ref="T50" si="229">S50/1000</f>
        <v>-0.14441316844950586</v>
      </c>
    </row>
    <row r="51" spans="1:20" x14ac:dyDescent="0.25">
      <c r="A51" s="5">
        <v>44542</v>
      </c>
      <c r="B51">
        <v>29.9</v>
      </c>
      <c r="C51">
        <v>30.46</v>
      </c>
      <c r="D51">
        <v>28.58</v>
      </c>
      <c r="E51">
        <v>29.73</v>
      </c>
      <c r="F51">
        <v>162644.93</v>
      </c>
      <c r="G51">
        <v>29.73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0.22340425531914954</v>
      </c>
      <c r="Q51">
        <f t="shared" ref="Q51" si="231">F51*P51</f>
        <v>36335.569468085203</v>
      </c>
      <c r="R51">
        <f t="shared" ref="R51" si="232">R52+Q51</f>
        <v>-14076126.858801791</v>
      </c>
      <c r="S51">
        <f t="shared" ref="S51" si="233">R51/100000</f>
        <v>-140.76126858801791</v>
      </c>
      <c r="T51">
        <f t="shared" ref="T51" si="234">S51/1000</f>
        <v>-0.14076126858801791</v>
      </c>
    </row>
    <row r="52" spans="1:20" x14ac:dyDescent="0.25">
      <c r="A52" s="5">
        <v>44541</v>
      </c>
      <c r="B52">
        <v>28.1</v>
      </c>
      <c r="C52">
        <v>28.41</v>
      </c>
      <c r="D52">
        <v>27.51</v>
      </c>
      <c r="E52">
        <v>28.32</v>
      </c>
      <c r="F52">
        <v>16002.13</v>
      </c>
      <c r="G52">
        <v>28.32</v>
      </c>
      <c r="L52" t="s">
        <v>8</v>
      </c>
      <c r="M52" t="s">
        <v>7</v>
      </c>
      <c r="N52" t="s">
        <v>8</v>
      </c>
      <c r="P52">
        <f t="shared" ref="P52" si="235">IF(C52=D52,0,((E52-D52)-(C52-E52))/(C52-D52))</f>
        <v>0.8</v>
      </c>
      <c r="Q52">
        <f t="shared" ref="Q52" si="236">F52*P52</f>
        <v>12801.704</v>
      </c>
      <c r="R52">
        <f t="shared" ref="R52" si="237">R53+Q52</f>
        <v>-14112462.428269876</v>
      </c>
      <c r="S52">
        <f t="shared" ref="S52" si="238">R52/100000</f>
        <v>-141.12462428269876</v>
      </c>
      <c r="T52">
        <f t="shared" ref="T52" si="239">S52/1000</f>
        <v>-0.14112462428269876</v>
      </c>
    </row>
    <row r="53" spans="1:20" x14ac:dyDescent="0.25">
      <c r="A53" s="5">
        <v>44540</v>
      </c>
      <c r="B53">
        <v>29.04</v>
      </c>
      <c r="C53">
        <v>30.73</v>
      </c>
      <c r="D53">
        <v>26.72</v>
      </c>
      <c r="E53">
        <v>28.09</v>
      </c>
      <c r="F53">
        <v>432038.85</v>
      </c>
      <c r="G53">
        <v>28.09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-0.31670822942643367</v>
      </c>
      <c r="Q53">
        <f t="shared" ref="Q53" si="241">F53*P53</f>
        <v>-136830.25922693257</v>
      </c>
      <c r="R53">
        <f t="shared" ref="R53" si="242">R54+Q53</f>
        <v>-14125264.132269876</v>
      </c>
      <c r="S53">
        <f t="shared" ref="S53" si="243">R53/100000</f>
        <v>-141.25264132269876</v>
      </c>
      <c r="T53">
        <f t="shared" ref="T53" si="244">S53/1000</f>
        <v>-0.14125264132269877</v>
      </c>
    </row>
    <row r="54" spans="1:20" x14ac:dyDescent="0.25">
      <c r="A54" s="5">
        <v>44539</v>
      </c>
      <c r="B54">
        <v>30.26</v>
      </c>
      <c r="C54">
        <v>30.87</v>
      </c>
      <c r="D54">
        <v>27.78</v>
      </c>
      <c r="E54">
        <v>29.04</v>
      </c>
      <c r="F54">
        <v>620366.35</v>
      </c>
      <c r="G54">
        <v>29.04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-0.18446601941747698</v>
      </c>
      <c r="Q54">
        <f t="shared" ref="Q54" si="246">F54*P54</f>
        <v>-114436.51116504932</v>
      </c>
      <c r="R54">
        <f t="shared" ref="R54" si="247">R55+Q54</f>
        <v>-13988433.873042943</v>
      </c>
      <c r="S54">
        <f t="shared" ref="S54" si="248">R54/100000</f>
        <v>-139.88433873042942</v>
      </c>
      <c r="T54">
        <f t="shared" ref="T54" si="249">S54/1000</f>
        <v>-0.13988433873042941</v>
      </c>
    </row>
    <row r="55" spans="1:20" x14ac:dyDescent="0.25">
      <c r="A55" s="5">
        <v>44538</v>
      </c>
      <c r="B55">
        <v>32.51</v>
      </c>
      <c r="C55">
        <v>32.57</v>
      </c>
      <c r="D55">
        <v>29.34</v>
      </c>
      <c r="E55">
        <v>30.26</v>
      </c>
      <c r="F55">
        <v>684621.81</v>
      </c>
      <c r="G55">
        <v>30.26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-0.43034055727554082</v>
      </c>
      <c r="Q55">
        <f t="shared" ref="Q55" si="251">F55*P55</f>
        <v>-294620.53123838943</v>
      </c>
      <c r="R55">
        <f t="shared" ref="R55" si="252">R56+Q55</f>
        <v>-13873997.361877894</v>
      </c>
      <c r="S55">
        <f t="shared" ref="S55" si="253">R55/100000</f>
        <v>-138.73997361877895</v>
      </c>
      <c r="T55">
        <f t="shared" ref="T55" si="254">S55/1000</f>
        <v>-0.13873997361877893</v>
      </c>
    </row>
    <row r="56" spans="1:20" x14ac:dyDescent="0.25">
      <c r="A56" s="5">
        <v>44537</v>
      </c>
      <c r="B56">
        <v>31.09</v>
      </c>
      <c r="C56">
        <v>35</v>
      </c>
      <c r="D56">
        <v>30.9</v>
      </c>
      <c r="E56">
        <v>32.53</v>
      </c>
      <c r="F56">
        <v>481834.72</v>
      </c>
      <c r="G56">
        <v>32.53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-0.20487804878048682</v>
      </c>
      <c r="Q56">
        <f t="shared" ref="Q56" si="256">F56*P56</f>
        <v>-98717.357268292209</v>
      </c>
      <c r="R56">
        <f t="shared" ref="R56" si="257">R57+Q56</f>
        <v>-13579376.830639504</v>
      </c>
      <c r="S56">
        <f t="shared" ref="S56" si="258">R56/100000</f>
        <v>-135.79376830639504</v>
      </c>
      <c r="T56">
        <f t="shared" ref="T56" si="259">S56/1000</f>
        <v>-0.13579376830639503</v>
      </c>
    </row>
    <row r="57" spans="1:20" x14ac:dyDescent="0.25">
      <c r="A57" s="5">
        <v>44536</v>
      </c>
      <c r="B57">
        <v>31.48</v>
      </c>
      <c r="C57">
        <v>31.95</v>
      </c>
      <c r="D57">
        <v>28.05</v>
      </c>
      <c r="E57">
        <v>31.12</v>
      </c>
      <c r="F57">
        <v>612744.85</v>
      </c>
      <c r="G57">
        <v>31.12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0.57435897435897509</v>
      </c>
      <c r="Q57">
        <f t="shared" ref="Q57" si="261">F57*P57</f>
        <v>351935.50358974404</v>
      </c>
      <c r="R57">
        <f t="shared" ref="R57" si="262">R58+Q57</f>
        <v>-13480659.473371211</v>
      </c>
      <c r="S57">
        <f t="shared" ref="S57" si="263">R57/100000</f>
        <v>-134.8065947337121</v>
      </c>
      <c r="T57">
        <f t="shared" ref="T57" si="264">S57/1000</f>
        <v>-0.13480659473371209</v>
      </c>
    </row>
    <row r="58" spans="1:20" x14ac:dyDescent="0.25">
      <c r="A58" s="5">
        <v>44535</v>
      </c>
      <c r="B58">
        <v>33.590000000000003</v>
      </c>
      <c r="C58">
        <v>36.65</v>
      </c>
      <c r="D58">
        <v>29.85</v>
      </c>
      <c r="E58">
        <v>31.47</v>
      </c>
      <c r="F58">
        <v>696819.31</v>
      </c>
      <c r="G58">
        <v>31.47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-0.52352941176470646</v>
      </c>
      <c r="Q58">
        <f t="shared" ref="Q58" si="266">F58*P58</f>
        <v>-364805.40347058867</v>
      </c>
      <c r="R58">
        <f t="shared" ref="R58" si="267">R59+Q58</f>
        <v>-13832594.976960955</v>
      </c>
      <c r="S58">
        <f t="shared" ref="S58" si="268">R58/100000</f>
        <v>-138.32594976960957</v>
      </c>
      <c r="T58">
        <f t="shared" ref="T58" si="269">S58/1000</f>
        <v>-0.13832594976960957</v>
      </c>
    </row>
    <row r="59" spans="1:20" x14ac:dyDescent="0.25">
      <c r="A59" s="5">
        <v>44534</v>
      </c>
      <c r="B59">
        <v>35.1</v>
      </c>
      <c r="C59">
        <v>35.200000000000003</v>
      </c>
      <c r="D59">
        <v>25</v>
      </c>
      <c r="E59">
        <v>33.659999999999997</v>
      </c>
      <c r="F59">
        <v>958339.96</v>
      </c>
      <c r="G59">
        <v>33.659999999999997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0.69803921568627336</v>
      </c>
      <c r="Q59">
        <f t="shared" ref="Q59" si="271">F59*P59</f>
        <v>668958.87403921457</v>
      </c>
      <c r="R59">
        <f t="shared" ref="R59" si="272">R60+Q59</f>
        <v>-13467789.573490366</v>
      </c>
      <c r="S59">
        <f t="shared" ref="S59" si="273">R59/100000</f>
        <v>-134.67789573490367</v>
      </c>
      <c r="T59">
        <f t="shared" ref="T59" si="274">S59/1000</f>
        <v>-0.13467789573490369</v>
      </c>
    </row>
    <row r="60" spans="1:20" x14ac:dyDescent="0.25">
      <c r="A60" s="5">
        <v>44533</v>
      </c>
      <c r="B60">
        <v>38.369999999999997</v>
      </c>
      <c r="C60">
        <v>39.799999999999997</v>
      </c>
      <c r="D60">
        <v>34.46</v>
      </c>
      <c r="E60">
        <v>35.18</v>
      </c>
      <c r="F60">
        <v>371626.63</v>
      </c>
      <c r="G60">
        <v>35.18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-0.73033707865168562</v>
      </c>
      <c r="Q60">
        <f t="shared" ref="Q60" si="276">F60*P60</f>
        <v>-271412.70730337087</v>
      </c>
      <c r="R60">
        <f t="shared" ref="R60" si="277">R61+Q60</f>
        <v>-14136748.44752958</v>
      </c>
      <c r="S60">
        <f t="shared" ref="S60" si="278">R60/100000</f>
        <v>-141.36748447529581</v>
      </c>
      <c r="T60">
        <f t="shared" ref="T60" si="279">S60/1000</f>
        <v>-0.14136748447529582</v>
      </c>
    </row>
    <row r="61" spans="1:20" x14ac:dyDescent="0.25">
      <c r="A61" s="5">
        <v>44532</v>
      </c>
      <c r="B61">
        <v>38.19</v>
      </c>
      <c r="C61">
        <v>40.54</v>
      </c>
      <c r="D61">
        <v>37.57</v>
      </c>
      <c r="E61">
        <v>38.409999999999997</v>
      </c>
      <c r="F61">
        <v>298594.17</v>
      </c>
      <c r="G61">
        <v>38.409999999999997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-0.43434343434343664</v>
      </c>
      <c r="Q61">
        <f t="shared" ref="Q61" si="281">F61*P61</f>
        <v>-129692.41727272795</v>
      </c>
      <c r="R61">
        <f t="shared" ref="R61" si="282">R62+Q61</f>
        <v>-13865335.740226209</v>
      </c>
      <c r="S61">
        <f t="shared" ref="S61" si="283">R61/100000</f>
        <v>-138.65335740226209</v>
      </c>
      <c r="T61">
        <f t="shared" ref="T61" si="284">S61/1000</f>
        <v>-0.13865335740226209</v>
      </c>
    </row>
    <row r="62" spans="1:20" x14ac:dyDescent="0.25">
      <c r="A62" s="5">
        <v>44531</v>
      </c>
      <c r="B62">
        <v>39.18</v>
      </c>
      <c r="C62">
        <v>39.729999999999997</v>
      </c>
      <c r="D62">
        <v>37.880000000000003</v>
      </c>
      <c r="E62">
        <v>38.21</v>
      </c>
      <c r="F62">
        <v>241085.76</v>
      </c>
      <c r="G62">
        <v>38.21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-0.643243243243244</v>
      </c>
      <c r="Q62">
        <f t="shared" ref="Q62" si="286">F62*P62</f>
        <v>-155076.78616216235</v>
      </c>
      <c r="R62">
        <f t="shared" ref="R62" si="287">R63+Q62</f>
        <v>-13735643.322953481</v>
      </c>
      <c r="S62">
        <f t="shared" ref="S62" si="288">R62/100000</f>
        <v>-137.35643322953482</v>
      </c>
      <c r="T62">
        <f t="shared" ref="T62" si="289">S62/1000</f>
        <v>-0.13735643322953481</v>
      </c>
    </row>
    <row r="63" spans="1:20" x14ac:dyDescent="0.25">
      <c r="A63" s="5">
        <v>44530</v>
      </c>
      <c r="B63">
        <v>40.31</v>
      </c>
      <c r="C63">
        <v>42.46</v>
      </c>
      <c r="D63">
        <v>38.299999999999997</v>
      </c>
      <c r="E63">
        <v>39.14</v>
      </c>
      <c r="F63">
        <v>406720.95</v>
      </c>
      <c r="G63">
        <v>39.14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-0.59615384615384492</v>
      </c>
      <c r="Q63">
        <f t="shared" ref="Q63" si="291">F63*P63</f>
        <v>-242468.25865384567</v>
      </c>
      <c r="R63">
        <f t="shared" ref="R63" si="292">R64+Q63</f>
        <v>-13580566.536791319</v>
      </c>
      <c r="S63">
        <f t="shared" ref="S63" si="293">R63/100000</f>
        <v>-135.80566536791318</v>
      </c>
      <c r="T63">
        <f t="shared" ref="T63" si="294">S63/1000</f>
        <v>-0.13580566536791319</v>
      </c>
    </row>
    <row r="64" spans="1:20" x14ac:dyDescent="0.25">
      <c r="A64" s="5">
        <v>44529</v>
      </c>
      <c r="B64">
        <v>40.270000000000003</v>
      </c>
      <c r="C64">
        <v>41.92</v>
      </c>
      <c r="D64">
        <v>39.65</v>
      </c>
      <c r="E64">
        <v>40.340000000000003</v>
      </c>
      <c r="F64">
        <v>312581.65999999997</v>
      </c>
      <c r="G64">
        <v>40.340000000000003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-0.39207048458149441</v>
      </c>
      <c r="Q64">
        <f t="shared" ref="Q64" si="296">F64*P64</f>
        <v>-122554.04290748792</v>
      </c>
      <c r="R64">
        <f t="shared" ref="R64" si="297">R65+Q64</f>
        <v>-13338098.278137473</v>
      </c>
      <c r="S64">
        <f t="shared" ref="S64" si="298">R64/100000</f>
        <v>-133.38098278137474</v>
      </c>
      <c r="T64">
        <f t="shared" ref="T64" si="299">S64/1000</f>
        <v>-0.13338098278137475</v>
      </c>
    </row>
    <row r="65" spans="1:20" x14ac:dyDescent="0.25">
      <c r="A65" s="5">
        <v>44528</v>
      </c>
      <c r="B65">
        <v>40.03</v>
      </c>
      <c r="C65">
        <v>41.7</v>
      </c>
      <c r="D65">
        <v>36.020000000000003</v>
      </c>
      <c r="E65">
        <v>40.29</v>
      </c>
      <c r="F65">
        <v>481926.32</v>
      </c>
      <c r="G65">
        <v>40.29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0.50352112676056204</v>
      </c>
      <c r="Q65">
        <f t="shared" ref="Q65" si="301">F65*P65</f>
        <v>242660.08366197118</v>
      </c>
      <c r="R65">
        <f t="shared" ref="R65" si="302">R66+Q65</f>
        <v>-13215544.235229986</v>
      </c>
      <c r="S65">
        <f t="shared" ref="S65" si="303">R65/100000</f>
        <v>-132.15544235229987</v>
      </c>
      <c r="T65">
        <f t="shared" ref="T65" si="304">S65/1000</f>
        <v>-0.13215544235229987</v>
      </c>
    </row>
    <row r="66" spans="1:20" x14ac:dyDescent="0.25">
      <c r="A66" s="5">
        <v>44527</v>
      </c>
      <c r="B66">
        <v>40.700000000000003</v>
      </c>
      <c r="C66">
        <v>42.96</v>
      </c>
      <c r="D66">
        <v>39.270000000000003</v>
      </c>
      <c r="E66">
        <v>40.04</v>
      </c>
      <c r="F66">
        <v>365465.01</v>
      </c>
      <c r="G66">
        <v>40.04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-0.58265582655826753</v>
      </c>
      <c r="Q66">
        <f t="shared" ref="Q66" si="306">F66*P66</f>
        <v>-212940.31747967552</v>
      </c>
      <c r="R66">
        <f t="shared" ref="R66" si="307">R67+Q66</f>
        <v>-13458204.318891957</v>
      </c>
      <c r="S66">
        <f t="shared" ref="S66" si="308">R66/100000</f>
        <v>-134.58204318891958</v>
      </c>
      <c r="T66">
        <f t="shared" ref="T66" si="309">S66/1000</f>
        <v>-0.13458204318891959</v>
      </c>
    </row>
    <row r="67" spans="1:20" x14ac:dyDescent="0.25">
      <c r="A67" s="5">
        <v>44526</v>
      </c>
      <c r="B67">
        <v>46.54</v>
      </c>
      <c r="C67">
        <v>46.67</v>
      </c>
      <c r="D67">
        <v>39.5</v>
      </c>
      <c r="E67">
        <v>40.72</v>
      </c>
      <c r="F67">
        <v>607948.92000000004</v>
      </c>
      <c r="G67">
        <v>40.72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-0.65969316596931704</v>
      </c>
      <c r="Q67">
        <f t="shared" ref="Q67" si="311">F67*P67</f>
        <v>-401059.74778242706</v>
      </c>
      <c r="R67">
        <f t="shared" ref="R67" si="312">R68+Q67</f>
        <v>-13245264.001412282</v>
      </c>
      <c r="S67">
        <f t="shared" ref="S67" si="313">R67/100000</f>
        <v>-132.45264001412281</v>
      </c>
      <c r="T67">
        <f t="shared" ref="T67" si="314">S67/1000</f>
        <v>-0.1324526400141228</v>
      </c>
    </row>
    <row r="68" spans="1:20" x14ac:dyDescent="0.25">
      <c r="A68" s="5">
        <v>44525</v>
      </c>
      <c r="B68">
        <v>43.74</v>
      </c>
      <c r="C68">
        <v>48.2</v>
      </c>
      <c r="D68">
        <v>43.05</v>
      </c>
      <c r="E68">
        <v>46.5</v>
      </c>
      <c r="F68">
        <v>640297.16</v>
      </c>
      <c r="G68">
        <v>46.5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0.33980582524271807</v>
      </c>
      <c r="Q68">
        <f t="shared" ref="Q68" si="316">F68*P68</f>
        <v>217576.7048543687</v>
      </c>
      <c r="R68">
        <f t="shared" ref="R68" si="317">R69+Q68</f>
        <v>-12844204.253629854</v>
      </c>
      <c r="S68">
        <f t="shared" ref="S68" si="318">R68/100000</f>
        <v>-128.44204253629854</v>
      </c>
      <c r="T68">
        <f t="shared" ref="T68" si="319">S68/1000</f>
        <v>-0.12844204253629854</v>
      </c>
    </row>
    <row r="69" spans="1:20" x14ac:dyDescent="0.25">
      <c r="A69" s="5">
        <v>44524</v>
      </c>
      <c r="B69">
        <v>45.76</v>
      </c>
      <c r="C69">
        <v>45.9</v>
      </c>
      <c r="D69">
        <v>43.48</v>
      </c>
      <c r="E69">
        <v>43.84</v>
      </c>
      <c r="F69">
        <v>142154.60999999999</v>
      </c>
      <c r="G69">
        <v>43.84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-0.70247933884296998</v>
      </c>
      <c r="Q69">
        <f t="shared" ref="Q69" si="321">F69*P69</f>
        <v>-99860.676446280238</v>
      </c>
      <c r="R69">
        <f t="shared" ref="R69" si="322">R70+Q69</f>
        <v>-13061780.958484223</v>
      </c>
      <c r="S69">
        <f t="shared" ref="S69" si="323">R69/100000</f>
        <v>-130.61780958484223</v>
      </c>
      <c r="T69">
        <f t="shared" ref="T69" si="324">S69/1000</f>
        <v>-0.13061780958484223</v>
      </c>
    </row>
    <row r="70" spans="1:20" x14ac:dyDescent="0.25">
      <c r="A70" s="5">
        <v>44523</v>
      </c>
      <c r="B70">
        <v>41.88</v>
      </c>
      <c r="C70">
        <v>45.8</v>
      </c>
      <c r="D70">
        <v>41.5</v>
      </c>
      <c r="E70">
        <v>45.76</v>
      </c>
      <c r="F70">
        <v>418559.56</v>
      </c>
      <c r="G70">
        <v>45.76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0.98139534883720969</v>
      </c>
      <c r="Q70">
        <f t="shared" ref="Q70" si="326">F70*P70</f>
        <v>410772.40539534902</v>
      </c>
      <c r="R70">
        <f t="shared" ref="R70" si="327">R71+Q70</f>
        <v>-12961920.282037944</v>
      </c>
      <c r="S70">
        <f t="shared" ref="S70" si="328">R70/100000</f>
        <v>-129.61920282037943</v>
      </c>
      <c r="T70">
        <f t="shared" ref="T70" si="329">S70/1000</f>
        <v>-0.12961920282037942</v>
      </c>
    </row>
    <row r="71" spans="1:20" x14ac:dyDescent="0.25">
      <c r="A71" s="5">
        <v>44522</v>
      </c>
      <c r="B71">
        <v>44.22</v>
      </c>
      <c r="C71">
        <v>44.44</v>
      </c>
      <c r="D71">
        <v>41.27</v>
      </c>
      <c r="E71">
        <v>41.85</v>
      </c>
      <c r="F71">
        <v>353272.97</v>
      </c>
      <c r="G71">
        <v>41.85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-0.63406940063091533</v>
      </c>
      <c r="Q71">
        <f t="shared" ref="Q71" si="331">F71*P71</f>
        <v>-223999.5803470033</v>
      </c>
      <c r="R71">
        <f t="shared" ref="R71" si="332">R72+Q71</f>
        <v>-13372692.687433293</v>
      </c>
      <c r="S71">
        <f t="shared" ref="S71" si="333">R71/100000</f>
        <v>-133.72692687433292</v>
      </c>
      <c r="T71">
        <f t="shared" ref="T71" si="334">S71/1000</f>
        <v>-0.13372692687433291</v>
      </c>
    </row>
    <row r="72" spans="1:20" x14ac:dyDescent="0.25">
      <c r="A72" s="5">
        <v>44521</v>
      </c>
      <c r="B72">
        <v>46.63</v>
      </c>
      <c r="C72">
        <v>48</v>
      </c>
      <c r="D72">
        <v>44.15</v>
      </c>
      <c r="E72">
        <v>44.23</v>
      </c>
      <c r="F72">
        <v>329656.46000000002</v>
      </c>
      <c r="G72">
        <v>44.23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-0.95844155844155932</v>
      </c>
      <c r="Q72">
        <f t="shared" ref="Q72" si="336">F72*P72</f>
        <v>-315956.45127272757</v>
      </c>
      <c r="R72">
        <f t="shared" ref="R72" si="337">R73+Q72</f>
        <v>-13148693.10708629</v>
      </c>
      <c r="S72">
        <f t="shared" ref="S72" si="338">R72/100000</f>
        <v>-131.48693107086291</v>
      </c>
      <c r="T72">
        <f t="shared" ref="T72" si="339">S72/1000</f>
        <v>-0.1314869310708629</v>
      </c>
    </row>
    <row r="73" spans="1:20" x14ac:dyDescent="0.25">
      <c r="A73" s="5">
        <v>44520</v>
      </c>
      <c r="B73">
        <v>45.78</v>
      </c>
      <c r="C73">
        <v>47.69</v>
      </c>
      <c r="D73">
        <v>43.97</v>
      </c>
      <c r="E73">
        <v>46.62</v>
      </c>
      <c r="F73">
        <v>384771.5</v>
      </c>
      <c r="G73">
        <v>46.62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0.4247311827956986</v>
      </c>
      <c r="Q73">
        <f t="shared" ref="Q73" si="341">F73*P73</f>
        <v>163424.45430107514</v>
      </c>
      <c r="R73">
        <f t="shared" ref="R73" si="342">R74+Q73</f>
        <v>-12832736.655813562</v>
      </c>
      <c r="S73">
        <f t="shared" ref="S73" si="343">R73/100000</f>
        <v>-128.32736655813562</v>
      </c>
      <c r="T73">
        <f t="shared" ref="T73" si="344">S73/1000</f>
        <v>-0.12832736655813562</v>
      </c>
    </row>
    <row r="74" spans="1:20" x14ac:dyDescent="0.25">
      <c r="A74" s="5">
        <v>44519</v>
      </c>
      <c r="B74">
        <v>39.43</v>
      </c>
      <c r="C74">
        <v>46.59</v>
      </c>
      <c r="D74">
        <v>38.119999999999997</v>
      </c>
      <c r="E74">
        <v>45.74</v>
      </c>
      <c r="F74">
        <v>544051.29</v>
      </c>
      <c r="G74">
        <v>45.74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0.79929161747343547</v>
      </c>
      <c r="Q74">
        <f t="shared" ref="Q74" si="346">F74*P74</f>
        <v>434855.63557260914</v>
      </c>
      <c r="R74">
        <f t="shared" ref="R74" si="347">R75+Q74</f>
        <v>-12996161.110114638</v>
      </c>
      <c r="S74">
        <f t="shared" ref="S74" si="348">R74/100000</f>
        <v>-129.96161110114639</v>
      </c>
      <c r="T74">
        <f t="shared" ref="T74" si="349">S74/1000</f>
        <v>-0.1299616111011464</v>
      </c>
    </row>
    <row r="75" spans="1:20" x14ac:dyDescent="0.25">
      <c r="A75" s="5">
        <v>44518</v>
      </c>
      <c r="B75">
        <v>45.5</v>
      </c>
      <c r="C75">
        <v>46.57</v>
      </c>
      <c r="D75">
        <v>38</v>
      </c>
      <c r="E75">
        <v>39.380000000000003</v>
      </c>
      <c r="F75">
        <v>616851.22</v>
      </c>
      <c r="G75">
        <v>39.380000000000003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-0.67794632438739733</v>
      </c>
      <c r="Q75">
        <f t="shared" ref="Q75" si="351">F75*P75</f>
        <v>-418192.01729288179</v>
      </c>
      <c r="R75">
        <f t="shared" ref="R75" si="352">R76+Q75</f>
        <v>-13431016.745687246</v>
      </c>
      <c r="S75">
        <f t="shared" ref="S75" si="353">R75/100000</f>
        <v>-134.31016745687245</v>
      </c>
      <c r="T75">
        <f t="shared" ref="T75" si="354">S75/1000</f>
        <v>-0.13431016745687244</v>
      </c>
    </row>
    <row r="76" spans="1:20" x14ac:dyDescent="0.25">
      <c r="A76" s="5">
        <v>44517</v>
      </c>
      <c r="B76">
        <v>44.31</v>
      </c>
      <c r="C76">
        <v>48.07</v>
      </c>
      <c r="D76">
        <v>42.24</v>
      </c>
      <c r="E76">
        <v>45.46</v>
      </c>
      <c r="F76">
        <v>654344.78</v>
      </c>
      <c r="G76">
        <v>45.46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0.10463121783876494</v>
      </c>
      <c r="Q76">
        <f t="shared" ref="Q76" si="356">F76*P76</f>
        <v>68464.891217838725</v>
      </c>
      <c r="R76">
        <f t="shared" ref="R76" si="357">R77+Q76</f>
        <v>-13012824.728394365</v>
      </c>
      <c r="S76">
        <f t="shared" ref="S76" si="358">R76/100000</f>
        <v>-130.12824728394364</v>
      </c>
      <c r="T76">
        <f t="shared" ref="T76" si="359">S76/1000</f>
        <v>-0.13012824728394365</v>
      </c>
    </row>
    <row r="77" spans="1:20" x14ac:dyDescent="0.25">
      <c r="A77" s="5">
        <v>44516</v>
      </c>
      <c r="B77">
        <v>47.34</v>
      </c>
      <c r="C77">
        <v>48.66</v>
      </c>
      <c r="D77">
        <v>42.7</v>
      </c>
      <c r="E77">
        <v>44.32</v>
      </c>
      <c r="F77">
        <v>993687.31</v>
      </c>
      <c r="G77">
        <v>44.32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-0.45637583892617478</v>
      </c>
      <c r="Q77">
        <f t="shared" ref="Q77" si="361">F77*P77</f>
        <v>-453494.87973154394</v>
      </c>
      <c r="R77">
        <f t="shared" ref="R77" si="362">R78+Q77</f>
        <v>-13081289.619612204</v>
      </c>
      <c r="S77">
        <f t="shared" ref="S77" si="363">R77/100000</f>
        <v>-130.81289619612204</v>
      </c>
      <c r="T77">
        <f t="shared" ref="T77" si="364">S77/1000</f>
        <v>-0.13081289619612205</v>
      </c>
    </row>
    <row r="78" spans="1:20" x14ac:dyDescent="0.25">
      <c r="A78" s="5">
        <v>44515</v>
      </c>
      <c r="B78">
        <v>52.72</v>
      </c>
      <c r="C78">
        <v>53.09</v>
      </c>
      <c r="D78">
        <v>47.04</v>
      </c>
      <c r="E78">
        <v>47.34</v>
      </c>
      <c r="F78">
        <v>794578.75</v>
      </c>
      <c r="G78">
        <v>47.34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-0.9008264462809904</v>
      </c>
      <c r="Q78">
        <f t="shared" ref="Q78" si="366">F78*P78</f>
        <v>-715777.55165289144</v>
      </c>
      <c r="R78">
        <f t="shared" ref="R78" si="367">R79+Q78</f>
        <v>-12627794.739880661</v>
      </c>
      <c r="S78">
        <f t="shared" ref="S78" si="368">R78/100000</f>
        <v>-126.2779473988066</v>
      </c>
      <c r="T78">
        <f t="shared" ref="T78" si="369">S78/1000</f>
        <v>-0.1262779473988066</v>
      </c>
    </row>
    <row r="79" spans="1:20" x14ac:dyDescent="0.25">
      <c r="A79" s="5">
        <v>44514</v>
      </c>
      <c r="B79">
        <v>50.72</v>
      </c>
      <c r="C79">
        <v>54.9</v>
      </c>
      <c r="D79">
        <v>50.65</v>
      </c>
      <c r="E79">
        <v>52.7</v>
      </c>
      <c r="F79">
        <v>680691.79</v>
      </c>
      <c r="G79">
        <v>52.7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-3.5294117647056818E-2</v>
      </c>
      <c r="Q79">
        <f t="shared" ref="Q79" si="371">F79*P79</f>
        <v>-24024.416117645695</v>
      </c>
      <c r="R79">
        <f t="shared" ref="R79" si="372">R80+Q79</f>
        <v>-11912017.188227769</v>
      </c>
      <c r="S79">
        <f t="shared" ref="S79" si="373">R79/100000</f>
        <v>-119.12017188227769</v>
      </c>
      <c r="T79">
        <f t="shared" ref="T79" si="374">S79/1000</f>
        <v>-0.11912017188227769</v>
      </c>
    </row>
    <row r="80" spans="1:20" x14ac:dyDescent="0.25">
      <c r="A80" s="5">
        <v>44513</v>
      </c>
      <c r="B80">
        <v>51.16</v>
      </c>
      <c r="C80">
        <v>52.5</v>
      </c>
      <c r="D80">
        <v>49.53</v>
      </c>
      <c r="E80">
        <v>50.72</v>
      </c>
      <c r="F80">
        <v>537824.34</v>
      </c>
      <c r="G80">
        <v>50.72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-0.19865319865319989</v>
      </c>
      <c r="Q80">
        <f t="shared" ref="Q80" si="376">F80*P80</f>
        <v>-106840.52545454611</v>
      </c>
      <c r="R80">
        <f t="shared" ref="R80" si="377">R81+Q80</f>
        <v>-11887992.772110123</v>
      </c>
      <c r="S80">
        <f t="shared" ref="S80" si="378">R80/100000</f>
        <v>-118.87992772110123</v>
      </c>
      <c r="T80">
        <f t="shared" ref="T80" si="379">S80/1000</f>
        <v>-0.11887992772110123</v>
      </c>
    </row>
    <row r="81" spans="1:20" x14ac:dyDescent="0.25">
      <c r="A81" s="5">
        <v>44512</v>
      </c>
      <c r="B81">
        <v>48.6</v>
      </c>
      <c r="C81">
        <v>55.46</v>
      </c>
      <c r="D81">
        <v>45.8</v>
      </c>
      <c r="E81">
        <v>51.14</v>
      </c>
      <c r="F81">
        <v>1243565.24</v>
      </c>
      <c r="G81">
        <v>51.14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0.10559006211180152</v>
      </c>
      <c r="Q81">
        <f t="shared" ref="Q81" si="381">F81*P81</f>
        <v>131308.13093167735</v>
      </c>
      <c r="R81">
        <f t="shared" ref="R81" si="382">R82+Q81</f>
        <v>-11781152.246655578</v>
      </c>
      <c r="S81">
        <f t="shared" ref="S81" si="383">R81/100000</f>
        <v>-117.81152246655577</v>
      </c>
      <c r="T81">
        <f t="shared" ref="T81" si="384">S81/1000</f>
        <v>-0.11781152246655577</v>
      </c>
    </row>
    <row r="82" spans="1:20" x14ac:dyDescent="0.25">
      <c r="A82" s="5">
        <v>44511</v>
      </c>
      <c r="B82">
        <v>50.56</v>
      </c>
      <c r="C82">
        <v>54.95</v>
      </c>
      <c r="D82">
        <v>47.7</v>
      </c>
      <c r="E82">
        <v>48.6</v>
      </c>
      <c r="F82">
        <v>1421699.73</v>
      </c>
      <c r="G82">
        <v>48.6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-0.75172413793103487</v>
      </c>
      <c r="Q82">
        <f t="shared" ref="Q82" si="386">F82*P82</f>
        <v>-1068726.0039310351</v>
      </c>
      <c r="R82">
        <f t="shared" ref="R82" si="387">R83+Q82</f>
        <v>-11912460.377587255</v>
      </c>
      <c r="S82">
        <f t="shared" ref="S82" si="388">R82/100000</f>
        <v>-119.12460377587256</v>
      </c>
      <c r="T82">
        <f t="shared" ref="T82" si="389">S82/1000</f>
        <v>-0.11912460377587256</v>
      </c>
    </row>
    <row r="83" spans="1:20" x14ac:dyDescent="0.25">
      <c r="A83" s="5">
        <v>44510</v>
      </c>
      <c r="B83">
        <v>47.09</v>
      </c>
      <c r="C83">
        <v>50.93</v>
      </c>
      <c r="D83">
        <v>40.700000000000003</v>
      </c>
      <c r="E83">
        <v>50.57</v>
      </c>
      <c r="F83">
        <v>1100730.95</v>
      </c>
      <c r="G83">
        <v>50.57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0.92961876832844581</v>
      </c>
      <c r="Q83">
        <f t="shared" ref="Q83" si="391">F83*P83</f>
        <v>1023260.15</v>
      </c>
      <c r="R83">
        <f t="shared" ref="R83" si="392">R84+Q83</f>
        <v>-10843734.373656221</v>
      </c>
      <c r="S83">
        <f t="shared" ref="S83" si="393">R83/100000</f>
        <v>-108.43734373656221</v>
      </c>
      <c r="T83">
        <f t="shared" ref="T83" si="394">S83/1000</f>
        <v>-0.10843734373656221</v>
      </c>
    </row>
    <row r="84" spans="1:20" x14ac:dyDescent="0.25">
      <c r="A84" s="5">
        <v>44509</v>
      </c>
      <c r="B84">
        <v>42.7</v>
      </c>
      <c r="C84">
        <v>53.51</v>
      </c>
      <c r="D84">
        <v>42.39</v>
      </c>
      <c r="E84">
        <v>47.09</v>
      </c>
      <c r="F84">
        <v>2229335.12</v>
      </c>
      <c r="G84">
        <v>47.09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-0.15467625899280504</v>
      </c>
      <c r="Q84">
        <f t="shared" ref="Q84" si="396">F84*P84</f>
        <v>-344825.21640287613</v>
      </c>
      <c r="R84">
        <f t="shared" ref="R84" si="397">R85+Q84</f>
        <v>-11866994.523656221</v>
      </c>
      <c r="S84">
        <f t="shared" ref="S84" si="398">R84/100000</f>
        <v>-118.66994523656221</v>
      </c>
      <c r="T84">
        <f t="shared" ref="T84" si="399">S84/1000</f>
        <v>-0.11866994523656221</v>
      </c>
    </row>
    <row r="85" spans="1:20" x14ac:dyDescent="0.25">
      <c r="A85" s="5">
        <v>44508</v>
      </c>
      <c r="B85">
        <v>44.78</v>
      </c>
      <c r="C85">
        <v>44.81</v>
      </c>
      <c r="D85">
        <v>41.25</v>
      </c>
      <c r="E85">
        <v>42.7</v>
      </c>
      <c r="F85">
        <v>1049019.23</v>
      </c>
      <c r="G85">
        <v>42.7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-0.18539325842696522</v>
      </c>
      <c r="Q85">
        <f t="shared" ref="Q85" si="401">F85*P85</f>
        <v>-194481.09320224606</v>
      </c>
      <c r="R85">
        <f t="shared" ref="R85" si="402">R86+Q85</f>
        <v>-11522169.307253346</v>
      </c>
      <c r="S85">
        <f t="shared" ref="S85" si="403">R85/100000</f>
        <v>-115.22169307253345</v>
      </c>
      <c r="T85">
        <f t="shared" ref="T85" si="404">S85/1000</f>
        <v>-0.11522169307253345</v>
      </c>
    </row>
    <row r="86" spans="1:20" x14ac:dyDescent="0.25">
      <c r="A86" s="5">
        <v>44507</v>
      </c>
      <c r="B86">
        <v>37.44</v>
      </c>
      <c r="C86">
        <v>59.27</v>
      </c>
      <c r="D86">
        <v>36.92</v>
      </c>
      <c r="E86">
        <v>44.79</v>
      </c>
      <c r="F86">
        <v>5139874.8710000003</v>
      </c>
      <c r="G86">
        <v>44.79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-0.29574944071588394</v>
      </c>
      <c r="Q86">
        <f t="shared" ref="Q86" si="406">F86*P86</f>
        <v>-1520115.1184478761</v>
      </c>
      <c r="R86">
        <f t="shared" ref="R86" si="407">R87+Q86</f>
        <v>-11327688.214051099</v>
      </c>
      <c r="S86">
        <f t="shared" ref="S86" si="408">R86/100000</f>
        <v>-113.27688214051099</v>
      </c>
      <c r="T86">
        <f t="shared" ref="T86" si="409">S86/1000</f>
        <v>-0.11327688214051099</v>
      </c>
    </row>
    <row r="87" spans="1:20" x14ac:dyDescent="0.25">
      <c r="A87" s="5">
        <v>44506</v>
      </c>
      <c r="B87">
        <v>33.67</v>
      </c>
      <c r="C87">
        <v>38.96</v>
      </c>
      <c r="D87">
        <v>32.81</v>
      </c>
      <c r="E87">
        <v>37.44</v>
      </c>
      <c r="F87">
        <v>1498285.415</v>
      </c>
      <c r="G87">
        <v>37.44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0.50569105691056793</v>
      </c>
      <c r="Q87">
        <f t="shared" ref="Q87" si="411">F87*P87</f>
        <v>757669.53506503894</v>
      </c>
      <c r="R87">
        <f t="shared" ref="R87" si="412">R88+Q87</f>
        <v>-9807573.0956032239</v>
      </c>
      <c r="S87">
        <f t="shared" ref="S87" si="413">R87/100000</f>
        <v>-98.075730956032245</v>
      </c>
      <c r="T87">
        <f t="shared" ref="T87" si="414">S87/1000</f>
        <v>-9.8075730956032239E-2</v>
      </c>
    </row>
    <row r="88" spans="1:20" x14ac:dyDescent="0.25">
      <c r="A88" s="5">
        <v>44505</v>
      </c>
      <c r="B88">
        <v>29.89</v>
      </c>
      <c r="C88">
        <v>34.83</v>
      </c>
      <c r="D88">
        <v>29</v>
      </c>
      <c r="E88">
        <v>33.64</v>
      </c>
      <c r="F88">
        <v>977651.8</v>
      </c>
      <c r="G88">
        <v>33.64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0.5917667238421962</v>
      </c>
      <c r="Q88">
        <f t="shared" ref="Q88" si="416">F88*P88</f>
        <v>578541.80274442607</v>
      </c>
      <c r="R88">
        <f t="shared" ref="R88" si="417">R89+Q88</f>
        <v>-10565242.630668262</v>
      </c>
      <c r="S88">
        <f t="shared" ref="S88" si="418">R88/100000</f>
        <v>-105.65242630668261</v>
      </c>
      <c r="T88">
        <f t="shared" ref="T88" si="419">S88/1000</f>
        <v>-0.10565242630668262</v>
      </c>
    </row>
    <row r="89" spans="1:20" x14ac:dyDescent="0.25">
      <c r="A89" s="5">
        <v>44504</v>
      </c>
      <c r="B89">
        <v>28.74</v>
      </c>
      <c r="C89">
        <v>30.35</v>
      </c>
      <c r="D89">
        <v>28.5</v>
      </c>
      <c r="E89">
        <v>29.89</v>
      </c>
      <c r="F89">
        <v>594576.49</v>
      </c>
      <c r="G89">
        <v>29.89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0.50270270270270212</v>
      </c>
      <c r="Q89">
        <f t="shared" ref="Q89" si="421">F89*P89</f>
        <v>298895.20848648611</v>
      </c>
      <c r="R89">
        <f t="shared" ref="R89" si="422">R90+Q89</f>
        <v>-11143784.433412688</v>
      </c>
      <c r="S89">
        <f t="shared" ref="S89" si="423">R89/100000</f>
        <v>-111.43784433412688</v>
      </c>
      <c r="T89">
        <f t="shared" ref="T89" si="424">S89/1000</f>
        <v>-0.11143784433412687</v>
      </c>
    </row>
    <row r="90" spans="1:20" x14ac:dyDescent="0.25">
      <c r="A90" s="5">
        <v>44503</v>
      </c>
      <c r="B90">
        <v>28.61</v>
      </c>
      <c r="C90">
        <v>28.84</v>
      </c>
      <c r="D90">
        <v>26.52</v>
      </c>
      <c r="E90">
        <v>28.79</v>
      </c>
      <c r="F90">
        <v>547916.18000000005</v>
      </c>
      <c r="G90">
        <v>28.79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0.95689655172413735</v>
      </c>
      <c r="Q90">
        <f t="shared" ref="Q90" si="426">F90*P90</f>
        <v>524299.10327586182</v>
      </c>
      <c r="R90">
        <f t="shared" ref="R90" si="427">R91+Q90</f>
        <v>-11442679.641899174</v>
      </c>
      <c r="S90">
        <f t="shared" ref="S90" si="428">R90/100000</f>
        <v>-114.42679641899174</v>
      </c>
      <c r="T90">
        <f t="shared" ref="T90" si="429">S90/1000</f>
        <v>-0.11442679641899174</v>
      </c>
    </row>
    <row r="91" spans="1:20" x14ac:dyDescent="0.25">
      <c r="A91" s="5">
        <v>44502</v>
      </c>
      <c r="B91">
        <v>28.29</v>
      </c>
      <c r="C91">
        <v>29.5</v>
      </c>
      <c r="D91">
        <v>28.02</v>
      </c>
      <c r="E91">
        <v>28.61</v>
      </c>
      <c r="F91">
        <v>431771.45</v>
      </c>
      <c r="G91">
        <v>28.61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-0.20270270270270313</v>
      </c>
      <c r="Q91">
        <f t="shared" ref="Q91" si="431">F91*P91</f>
        <v>-87521.239864865056</v>
      </c>
      <c r="R91">
        <f t="shared" ref="R91" si="432">R92+Q91</f>
        <v>-11966978.745175036</v>
      </c>
      <c r="S91">
        <f t="shared" ref="S91" si="433">R91/100000</f>
        <v>-119.66978745175035</v>
      </c>
      <c r="T91">
        <f t="shared" ref="T91" si="434">S91/1000</f>
        <v>-0.11966978745175036</v>
      </c>
    </row>
    <row r="92" spans="1:20" x14ac:dyDescent="0.25">
      <c r="A92" s="5">
        <v>44501</v>
      </c>
      <c r="B92">
        <v>29.01</v>
      </c>
      <c r="C92">
        <v>29.66</v>
      </c>
      <c r="D92">
        <v>27.28</v>
      </c>
      <c r="E92">
        <v>28.28</v>
      </c>
      <c r="F92">
        <v>513012.39</v>
      </c>
      <c r="G92">
        <v>28.28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-0.15966386554621814</v>
      </c>
      <c r="Q92">
        <f t="shared" ref="Q92" si="436">F92*P92</f>
        <v>-81909.541260504033</v>
      </c>
      <c r="R92">
        <f t="shared" ref="R92" si="437">R93+Q92</f>
        <v>-11879457.50531017</v>
      </c>
      <c r="S92">
        <f t="shared" ref="S92" si="438">R92/100000</f>
        <v>-118.79457505310171</v>
      </c>
      <c r="T92">
        <f t="shared" ref="T92" si="439">S92/1000</f>
        <v>-0.1187945750531017</v>
      </c>
    </row>
    <row r="93" spans="1:20" x14ac:dyDescent="0.25">
      <c r="A93" s="5">
        <v>44500</v>
      </c>
      <c r="B93">
        <v>30.48</v>
      </c>
      <c r="C93">
        <v>31.19</v>
      </c>
      <c r="D93">
        <v>28.11</v>
      </c>
      <c r="E93">
        <v>29.01</v>
      </c>
      <c r="F93">
        <v>438324.2</v>
      </c>
      <c r="G93">
        <v>29.01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-0.41558441558441456</v>
      </c>
      <c r="Q93">
        <f t="shared" ref="Q93" si="441">F93*P93</f>
        <v>-182160.70649350606</v>
      </c>
      <c r="R93">
        <f t="shared" ref="R93" si="442">R94+Q93</f>
        <v>-11797547.964049667</v>
      </c>
      <c r="S93">
        <f t="shared" ref="S93" si="443">R93/100000</f>
        <v>-117.97547964049667</v>
      </c>
      <c r="T93">
        <f t="shared" ref="T93" si="444">S93/1000</f>
        <v>-0.11797547964049668</v>
      </c>
    </row>
    <row r="94" spans="1:20" x14ac:dyDescent="0.25">
      <c r="A94" s="5">
        <v>44499</v>
      </c>
      <c r="B94">
        <v>27.94</v>
      </c>
      <c r="C94">
        <v>32.07</v>
      </c>
      <c r="D94">
        <v>27.8</v>
      </c>
      <c r="E94">
        <v>30.48</v>
      </c>
      <c r="F94">
        <v>974643.57200000004</v>
      </c>
      <c r="G94">
        <v>30.48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0.25526932084309134</v>
      </c>
      <c r="Q94">
        <f t="shared" ref="Q94" si="446">F94*P94</f>
        <v>248796.60268852461</v>
      </c>
      <c r="R94">
        <f t="shared" ref="R94" si="447">R95+Q94</f>
        <v>-11615387.257556161</v>
      </c>
      <c r="S94">
        <f t="shared" ref="S94" si="448">R94/100000</f>
        <v>-116.15387257556161</v>
      </c>
      <c r="T94">
        <f t="shared" ref="T94" si="449">S94/1000</f>
        <v>-0.1161538725755616</v>
      </c>
    </row>
    <row r="95" spans="1:20" x14ac:dyDescent="0.25">
      <c r="A95" s="5">
        <v>44498</v>
      </c>
      <c r="B95">
        <v>26.68</v>
      </c>
      <c r="C95">
        <v>29.8</v>
      </c>
      <c r="D95">
        <v>26.01</v>
      </c>
      <c r="E95">
        <v>27.96</v>
      </c>
      <c r="F95">
        <v>880572.96</v>
      </c>
      <c r="G95">
        <v>27.96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2.9023746701846823E-2</v>
      </c>
      <c r="Q95">
        <f t="shared" ref="Q95" si="451">F95*P95</f>
        <v>25557.526543535492</v>
      </c>
      <c r="R95">
        <f t="shared" ref="R95" si="452">R96+Q95</f>
        <v>-11864183.860244686</v>
      </c>
      <c r="S95">
        <f t="shared" ref="S95" si="453">R95/100000</f>
        <v>-118.64183860244685</v>
      </c>
      <c r="T95">
        <f t="shared" ref="T95" si="454">S95/1000</f>
        <v>-0.11864183860244686</v>
      </c>
    </row>
    <row r="96" spans="1:20" x14ac:dyDescent="0.25">
      <c r="A96" s="5">
        <v>44497</v>
      </c>
      <c r="B96">
        <v>25.62</v>
      </c>
      <c r="C96">
        <v>28.32</v>
      </c>
      <c r="D96">
        <v>24.8</v>
      </c>
      <c r="E96">
        <v>26.68</v>
      </c>
      <c r="F96">
        <v>1280296.8529999999</v>
      </c>
      <c r="G96">
        <v>26.68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6.8181818181817747E-2</v>
      </c>
      <c r="Q96">
        <f t="shared" ref="Q96" si="456">F96*P96</f>
        <v>87292.967249999434</v>
      </c>
      <c r="R96">
        <f t="shared" ref="R96" si="457">R97+Q96</f>
        <v>-11889741.386788221</v>
      </c>
      <c r="S96">
        <f t="shared" ref="S96" si="458">R96/100000</f>
        <v>-118.89741386788221</v>
      </c>
      <c r="T96">
        <f t="shared" ref="T96" si="459">S96/1000</f>
        <v>-0.1188974138678822</v>
      </c>
    </row>
    <row r="97" spans="1:20" x14ac:dyDescent="0.25">
      <c r="A97" s="5">
        <v>44496</v>
      </c>
      <c r="B97">
        <v>24.2</v>
      </c>
      <c r="C97">
        <v>26.25</v>
      </c>
      <c r="D97">
        <v>22.02</v>
      </c>
      <c r="E97">
        <v>25.65</v>
      </c>
      <c r="F97">
        <v>1655370.0719999999</v>
      </c>
      <c r="G97">
        <v>25.65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0.71631205673758802</v>
      </c>
      <c r="Q97">
        <f t="shared" ref="Q97" si="461">F97*P97</f>
        <v>1185761.5409361692</v>
      </c>
      <c r="R97">
        <f t="shared" ref="R97" si="462">R98+Q97</f>
        <v>-11977034.35403822</v>
      </c>
      <c r="S97">
        <f t="shared" ref="S97" si="463">R97/100000</f>
        <v>-119.7703435403822</v>
      </c>
      <c r="T97">
        <f t="shared" ref="T97" si="464">S97/1000</f>
        <v>-0.1197703435403822</v>
      </c>
    </row>
    <row r="98" spans="1:20" x14ac:dyDescent="0.25">
      <c r="A98" s="5">
        <v>44495</v>
      </c>
      <c r="B98">
        <v>21.41</v>
      </c>
      <c r="C98">
        <v>25.61</v>
      </c>
      <c r="D98">
        <v>21.29</v>
      </c>
      <c r="E98">
        <v>24.16</v>
      </c>
      <c r="F98">
        <v>1514733.7479999999</v>
      </c>
      <c r="G98">
        <v>24.16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0.32870370370370405</v>
      </c>
      <c r="Q98">
        <f t="shared" ref="Q98" si="466">F98*P98</f>
        <v>497898.59309259307</v>
      </c>
      <c r="R98">
        <f t="shared" ref="R98" si="467">R99+Q98</f>
        <v>-13162795.894974388</v>
      </c>
      <c r="S98">
        <f t="shared" ref="S98" si="468">R98/100000</f>
        <v>-131.62795894974388</v>
      </c>
      <c r="T98">
        <f t="shared" ref="T98" si="469">S98/1000</f>
        <v>-0.13162795894974388</v>
      </c>
    </row>
    <row r="99" spans="1:20" x14ac:dyDescent="0.25">
      <c r="A99" s="5">
        <v>44494</v>
      </c>
      <c r="B99">
        <v>20.96</v>
      </c>
      <c r="C99">
        <v>21.87</v>
      </c>
      <c r="D99">
        <v>20.86</v>
      </c>
      <c r="E99">
        <v>21.42</v>
      </c>
      <c r="F99">
        <v>237794.37</v>
      </c>
      <c r="G99">
        <v>21.42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0.1089108910891117</v>
      </c>
      <c r="Q99">
        <f t="shared" ref="Q99" si="471">F99*P99</f>
        <v>25898.396732673929</v>
      </c>
      <c r="R99">
        <f t="shared" ref="R99" si="472">R100+Q99</f>
        <v>-13660694.488066981</v>
      </c>
      <c r="S99">
        <f t="shared" ref="S99" si="473">R99/100000</f>
        <v>-136.6069448806698</v>
      </c>
      <c r="T99">
        <f t="shared" ref="T99" si="474">S99/1000</f>
        <v>-0.1366069448806698</v>
      </c>
    </row>
    <row r="100" spans="1:20" x14ac:dyDescent="0.25">
      <c r="A100" s="5">
        <v>44493</v>
      </c>
      <c r="B100">
        <v>21.33</v>
      </c>
      <c r="C100">
        <v>21.7</v>
      </c>
      <c r="D100">
        <v>20.51</v>
      </c>
      <c r="E100">
        <v>20.97</v>
      </c>
      <c r="F100">
        <v>222725.91</v>
      </c>
      <c r="G100">
        <v>20.97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-0.22689075630252406</v>
      </c>
      <c r="Q100">
        <f t="shared" ref="Q100" si="476">F100*P100</f>
        <v>-50534.45016806791</v>
      </c>
      <c r="R100">
        <f t="shared" ref="R100" si="477">R101+Q100</f>
        <v>-13686592.884799654</v>
      </c>
      <c r="S100">
        <f t="shared" ref="S100" si="478">R100/100000</f>
        <v>-136.86592884799654</v>
      </c>
      <c r="T100">
        <f t="shared" ref="T100" si="479">S100/1000</f>
        <v>-0.13686592884799653</v>
      </c>
    </row>
    <row r="101" spans="1:20" x14ac:dyDescent="0.25">
      <c r="A101" s="5">
        <v>44492</v>
      </c>
      <c r="B101">
        <v>21.44</v>
      </c>
      <c r="C101">
        <v>21.49</v>
      </c>
      <c r="D101">
        <v>20.86</v>
      </c>
      <c r="E101">
        <v>21.33</v>
      </c>
      <c r="F101">
        <v>173295.92</v>
      </c>
      <c r="G101">
        <v>21.33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0.49206349206349081</v>
      </c>
      <c r="Q101">
        <f t="shared" ref="Q101" si="481">F101*P101</f>
        <v>85272.595555555352</v>
      </c>
      <c r="R101">
        <f t="shared" ref="R101" si="482">R102+Q101</f>
        <v>-13636058.434631586</v>
      </c>
      <c r="S101">
        <f t="shared" ref="S101" si="483">R101/100000</f>
        <v>-136.36058434631587</v>
      </c>
      <c r="T101">
        <f t="shared" ref="T101" si="484">S101/1000</f>
        <v>-0.13636058434631587</v>
      </c>
    </row>
    <row r="102" spans="1:20" x14ac:dyDescent="0.25">
      <c r="A102" s="5">
        <v>44491</v>
      </c>
      <c r="B102">
        <v>21.74</v>
      </c>
      <c r="C102">
        <v>22.1</v>
      </c>
      <c r="D102">
        <v>20.69</v>
      </c>
      <c r="E102">
        <v>21.41</v>
      </c>
      <c r="F102">
        <v>472182.49</v>
      </c>
      <c r="G102">
        <v>21.41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2.1276595744679137E-2</v>
      </c>
      <c r="Q102">
        <f t="shared" ref="Q102" si="486">F102*P102</f>
        <v>10046.435957446</v>
      </c>
      <c r="R102">
        <f t="shared" ref="R102" si="487">R103+Q102</f>
        <v>-13721331.030187141</v>
      </c>
      <c r="S102">
        <f t="shared" ref="S102" si="488">R102/100000</f>
        <v>-137.21331030187142</v>
      </c>
      <c r="T102">
        <f t="shared" ref="T102" si="489">S102/1000</f>
        <v>-0.13721331030187142</v>
      </c>
    </row>
    <row r="103" spans="1:20" x14ac:dyDescent="0.25">
      <c r="A103" s="5">
        <v>44490</v>
      </c>
      <c r="B103">
        <v>22.57</v>
      </c>
      <c r="C103">
        <v>22.88</v>
      </c>
      <c r="D103">
        <v>21.42</v>
      </c>
      <c r="E103">
        <v>21.74</v>
      </c>
      <c r="F103">
        <v>529297.25</v>
      </c>
      <c r="G103">
        <v>21.74</v>
      </c>
      <c r="L103" t="s">
        <v>7</v>
      </c>
      <c r="M103" t="s">
        <v>8</v>
      </c>
      <c r="N103" t="s">
        <v>7</v>
      </c>
      <c r="P103">
        <f t="shared" ref="P103" si="490">IF(C103=D103,0,((E103-D103)-(C103-E103))/(C103-D103))</f>
        <v>-0.56164383561644204</v>
      </c>
      <c r="Q103">
        <f t="shared" ref="Q103" si="491">F103*P103</f>
        <v>-297276.53767123481</v>
      </c>
      <c r="R103">
        <f t="shared" ref="R103" si="492">R104+Q103</f>
        <v>-13731377.466144588</v>
      </c>
      <c r="S103">
        <f t="shared" ref="S103" si="493">R103/100000</f>
        <v>-137.31377466144588</v>
      </c>
      <c r="T103">
        <f t="shared" ref="T103" si="494">S103/1000</f>
        <v>-0.13731377466144587</v>
      </c>
    </row>
    <row r="104" spans="1:20" x14ac:dyDescent="0.25">
      <c r="A104" s="5">
        <v>44489</v>
      </c>
      <c r="B104">
        <v>22.14</v>
      </c>
      <c r="C104">
        <v>22.97</v>
      </c>
      <c r="D104">
        <v>21.99</v>
      </c>
      <c r="E104">
        <v>22.57</v>
      </c>
      <c r="F104">
        <v>429996.6</v>
      </c>
      <c r="G104">
        <v>22.57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0.18367346938775836</v>
      </c>
      <c r="Q104">
        <f t="shared" ref="Q104" si="496">F104*P104</f>
        <v>78978.967346940175</v>
      </c>
      <c r="R104">
        <f t="shared" ref="R104" si="497">R105+Q104</f>
        <v>-13434100.928473353</v>
      </c>
      <c r="S104">
        <f t="shared" ref="S104" si="498">R104/100000</f>
        <v>-134.34100928473353</v>
      </c>
      <c r="T104">
        <f t="shared" ref="T104" si="499">S104/1000</f>
        <v>-0.13434100928473353</v>
      </c>
    </row>
    <row r="105" spans="1:20" x14ac:dyDescent="0.25">
      <c r="A105" s="5">
        <v>44488</v>
      </c>
      <c r="B105">
        <v>21.19</v>
      </c>
      <c r="C105">
        <v>22.19</v>
      </c>
      <c r="D105">
        <v>21.02</v>
      </c>
      <c r="E105">
        <v>22.12</v>
      </c>
      <c r="F105">
        <v>221925.14</v>
      </c>
      <c r="G105">
        <v>22.12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0.88034188034187999</v>
      </c>
      <c r="Q105">
        <f t="shared" ref="Q105" si="501">F105*P105</f>
        <v>195369.99504273498</v>
      </c>
      <c r="R105">
        <f t="shared" ref="R105" si="502">R106+Q105</f>
        <v>-13513079.895820294</v>
      </c>
      <c r="S105">
        <f t="shared" ref="S105" si="503">R105/100000</f>
        <v>-135.13079895820294</v>
      </c>
      <c r="T105">
        <f t="shared" ref="T105" si="504">S105/1000</f>
        <v>-0.13513079895820296</v>
      </c>
    </row>
    <row r="106" spans="1:20" x14ac:dyDescent="0.25">
      <c r="A106" s="5">
        <v>44487</v>
      </c>
      <c r="B106">
        <v>21.75</v>
      </c>
      <c r="C106">
        <v>23.1</v>
      </c>
      <c r="D106">
        <v>21</v>
      </c>
      <c r="E106">
        <v>21.19</v>
      </c>
      <c r="F106">
        <v>570214.89</v>
      </c>
      <c r="G106">
        <v>21.19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-0.81904761904761791</v>
      </c>
      <c r="Q106">
        <f t="shared" ref="Q106" si="506">F106*P106</f>
        <v>-467033.14799999935</v>
      </c>
      <c r="R106">
        <f t="shared" ref="R106" si="507">R107+Q106</f>
        <v>-13708449.890863029</v>
      </c>
      <c r="S106">
        <f t="shared" ref="S106" si="508">R106/100000</f>
        <v>-137.08449890863028</v>
      </c>
      <c r="T106">
        <f t="shared" ref="T106" si="509">S106/1000</f>
        <v>-0.13708449890863028</v>
      </c>
    </row>
    <row r="107" spans="1:20" x14ac:dyDescent="0.25">
      <c r="A107" s="5">
        <v>44486</v>
      </c>
      <c r="B107">
        <v>21.81</v>
      </c>
      <c r="C107">
        <v>22.43</v>
      </c>
      <c r="D107">
        <v>21.07</v>
      </c>
      <c r="E107">
        <v>21.74</v>
      </c>
      <c r="F107">
        <v>277112.02</v>
      </c>
      <c r="G107">
        <v>21.74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-1.4705882352943482E-2</v>
      </c>
      <c r="Q107">
        <f t="shared" ref="Q107" si="511">F107*P107</f>
        <v>-4075.1767647065212</v>
      </c>
      <c r="R107">
        <f t="shared" ref="R107" si="512">R108+Q107</f>
        <v>-13241416.742863029</v>
      </c>
      <c r="S107">
        <f t="shared" ref="S107" si="513">R107/100000</f>
        <v>-132.41416742863029</v>
      </c>
      <c r="T107">
        <f t="shared" ref="T107" si="514">S107/1000</f>
        <v>-0.1324141674286303</v>
      </c>
    </row>
    <row r="108" spans="1:20" x14ac:dyDescent="0.25">
      <c r="A108" s="5">
        <v>44485</v>
      </c>
      <c r="B108">
        <v>21.11</v>
      </c>
      <c r="C108">
        <v>21.96</v>
      </c>
      <c r="D108">
        <v>20.6</v>
      </c>
      <c r="E108">
        <v>21.82</v>
      </c>
      <c r="F108">
        <v>296648.53999999998</v>
      </c>
      <c r="G108">
        <v>21.82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0.7941176470588226</v>
      </c>
      <c r="Q108">
        <f t="shared" ref="Q108" si="516">F108*P108</f>
        <v>235573.84058823501</v>
      </c>
      <c r="R108">
        <f t="shared" ref="R108" si="517">R109+Q108</f>
        <v>-13237341.566098323</v>
      </c>
      <c r="S108">
        <f t="shared" ref="S108" si="518">R108/100000</f>
        <v>-132.37341566098323</v>
      </c>
      <c r="T108">
        <f t="shared" ref="T108" si="519">S108/1000</f>
        <v>-0.13237341566098323</v>
      </c>
    </row>
    <row r="109" spans="1:20" x14ac:dyDescent="0.25">
      <c r="A109" s="5">
        <v>44484</v>
      </c>
      <c r="B109">
        <v>20.14</v>
      </c>
      <c r="C109">
        <v>22.77</v>
      </c>
      <c r="D109">
        <v>20</v>
      </c>
      <c r="E109">
        <v>21.08</v>
      </c>
      <c r="F109">
        <v>783369.32</v>
      </c>
      <c r="G109">
        <v>21.08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-0.22021660649819605</v>
      </c>
      <c r="Q109">
        <f t="shared" ref="Q109" si="521">F109*P109</f>
        <v>-172510.9332851994</v>
      </c>
      <c r="R109">
        <f t="shared" ref="R109" si="522">R110+Q109</f>
        <v>-13472915.406686557</v>
      </c>
      <c r="S109">
        <f t="shared" ref="S109" si="523">R109/100000</f>
        <v>-134.72915406686556</v>
      </c>
      <c r="T109">
        <f t="shared" ref="T109" si="524">S109/1000</f>
        <v>-0.13472915406686556</v>
      </c>
    </row>
    <row r="110" spans="1:20" x14ac:dyDescent="0.25">
      <c r="A110" s="5">
        <v>44483</v>
      </c>
      <c r="B110">
        <v>19.43</v>
      </c>
      <c r="C110">
        <v>20.329999999999998</v>
      </c>
      <c r="D110">
        <v>19.25</v>
      </c>
      <c r="E110">
        <v>20.12</v>
      </c>
      <c r="F110">
        <v>353499.46</v>
      </c>
      <c r="G110">
        <v>20.12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0.61111111111111549</v>
      </c>
      <c r="Q110">
        <f t="shared" ref="Q110" si="526">F110*P110</f>
        <v>216027.44777777934</v>
      </c>
      <c r="R110">
        <f t="shared" ref="R110" si="527">R111+Q110</f>
        <v>-13300404.473401358</v>
      </c>
      <c r="S110">
        <f t="shared" ref="S110" si="528">R110/100000</f>
        <v>-133.00404473401358</v>
      </c>
      <c r="T110">
        <f t="shared" ref="T110" si="529">S110/1000</f>
        <v>-0.13300404473401359</v>
      </c>
    </row>
    <row r="111" spans="1:20" x14ac:dyDescent="0.25">
      <c r="A111" s="5">
        <v>44482</v>
      </c>
      <c r="B111">
        <v>19.16</v>
      </c>
      <c r="C111">
        <v>19.48</v>
      </c>
      <c r="D111">
        <v>18.690000000000001</v>
      </c>
      <c r="E111">
        <v>19.43</v>
      </c>
      <c r="F111">
        <v>218491.77</v>
      </c>
      <c r="G111">
        <v>19.43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0.87341772151898545</v>
      </c>
      <c r="Q111">
        <f t="shared" ref="Q111" si="531">F111*P111</f>
        <v>190834.58392405021</v>
      </c>
      <c r="R111">
        <f t="shared" ref="R111" si="532">R112+Q111</f>
        <v>-13516431.921179138</v>
      </c>
      <c r="S111">
        <f t="shared" ref="S111" si="533">R111/100000</f>
        <v>-135.16431921179139</v>
      </c>
      <c r="T111">
        <f t="shared" ref="T111" si="534">S111/1000</f>
        <v>-0.13516431921179139</v>
      </c>
    </row>
    <row r="112" spans="1:20" x14ac:dyDescent="0.25">
      <c r="A112" s="5">
        <v>44481</v>
      </c>
      <c r="B112">
        <v>19.04</v>
      </c>
      <c r="C112">
        <v>19.38</v>
      </c>
      <c r="D112">
        <v>18.010000000000002</v>
      </c>
      <c r="E112">
        <v>19.16</v>
      </c>
      <c r="F112">
        <v>319965.96999999997</v>
      </c>
      <c r="G112">
        <v>19.16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0.67883211678832223</v>
      </c>
      <c r="Q112">
        <f t="shared" ref="Q112" si="536">F112*P112</f>
        <v>217203.17671532879</v>
      </c>
      <c r="R112">
        <f t="shared" ref="R112" si="537">R113+Q112</f>
        <v>-13707266.505103188</v>
      </c>
      <c r="S112">
        <f t="shared" ref="S112" si="538">R112/100000</f>
        <v>-137.07266505103189</v>
      </c>
      <c r="T112">
        <f t="shared" ref="T112" si="539">S112/1000</f>
        <v>-0.13707266505103188</v>
      </c>
    </row>
    <row r="113" spans="1:20" x14ac:dyDescent="0.25">
      <c r="A113" s="5">
        <v>44480</v>
      </c>
      <c r="B113">
        <v>19.09</v>
      </c>
      <c r="C113">
        <v>20.2</v>
      </c>
      <c r="D113">
        <v>18.579999999999998</v>
      </c>
      <c r="E113">
        <v>19.059999999999999</v>
      </c>
      <c r="F113">
        <v>352025.28</v>
      </c>
      <c r="G113">
        <v>19.059999999999999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-0.40740740740740722</v>
      </c>
      <c r="Q113">
        <f t="shared" ref="Q113" si="541">F113*P113</f>
        <v>-143417.70666666661</v>
      </c>
      <c r="R113">
        <f t="shared" ref="R113" si="542">R114+Q113</f>
        <v>-13924469.681818517</v>
      </c>
      <c r="S113">
        <f t="shared" ref="S113" si="543">R113/100000</f>
        <v>-139.24469681818516</v>
      </c>
      <c r="T113">
        <f t="shared" ref="T113" si="544">S113/1000</f>
        <v>-0.13924469681818516</v>
      </c>
    </row>
    <row r="114" spans="1:20" x14ac:dyDescent="0.25">
      <c r="A114" s="5">
        <v>44479</v>
      </c>
      <c r="B114">
        <v>20.100000000000001</v>
      </c>
      <c r="C114">
        <v>20.100000000000001</v>
      </c>
      <c r="D114">
        <v>18.96</v>
      </c>
      <c r="E114">
        <v>19.100000000000001</v>
      </c>
      <c r="F114">
        <v>266380.59000000003</v>
      </c>
      <c r="G114">
        <v>19.100000000000001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-0.75438596491227983</v>
      </c>
      <c r="Q114">
        <f t="shared" ref="Q114" si="546">F114*P114</f>
        <v>-200953.77842105241</v>
      </c>
      <c r="R114">
        <f t="shared" ref="R114" si="547">R115+Q114</f>
        <v>-13781051.97515185</v>
      </c>
      <c r="S114">
        <f t="shared" ref="S114" si="548">R114/100000</f>
        <v>-137.81051975151851</v>
      </c>
      <c r="T114">
        <f t="shared" ref="T114" si="549">S114/1000</f>
        <v>-0.13781051975151851</v>
      </c>
    </row>
    <row r="115" spans="1:20" x14ac:dyDescent="0.25">
      <c r="A115" s="5">
        <v>44478</v>
      </c>
      <c r="B115">
        <v>20.14</v>
      </c>
      <c r="C115">
        <v>20.36</v>
      </c>
      <c r="D115">
        <v>19.760000000000002</v>
      </c>
      <c r="E115">
        <v>20.09</v>
      </c>
      <c r="F115">
        <v>174674.2</v>
      </c>
      <c r="G115">
        <v>20.09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9.9999999999998229E-2</v>
      </c>
      <c r="Q115">
        <f t="shared" ref="Q115" si="551">F115*P115</f>
        <v>17467.419999999693</v>
      </c>
      <c r="R115">
        <f t="shared" ref="R115" si="552">R116+Q115</f>
        <v>-13580098.196730798</v>
      </c>
      <c r="S115">
        <f t="shared" ref="S115" si="553">R115/100000</f>
        <v>-135.80098196730799</v>
      </c>
      <c r="T115">
        <f t="shared" ref="T115" si="554">S115/1000</f>
        <v>-0.135800981967308</v>
      </c>
    </row>
    <row r="116" spans="1:20" x14ac:dyDescent="0.25">
      <c r="A116" s="5">
        <v>44477</v>
      </c>
      <c r="B116">
        <v>20.46</v>
      </c>
      <c r="C116">
        <v>20.94</v>
      </c>
      <c r="D116">
        <v>19.98</v>
      </c>
      <c r="E116">
        <v>20.079999999999998</v>
      </c>
      <c r="F116">
        <v>254505.58</v>
      </c>
      <c r="G116">
        <v>20.079999999999998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-0.79166666666667129</v>
      </c>
      <c r="Q116">
        <f t="shared" ref="Q116" si="556">F116*P116</f>
        <v>-201483.58416666783</v>
      </c>
      <c r="R116">
        <f t="shared" ref="R116" si="557">R117+Q116</f>
        <v>-13597565.616730798</v>
      </c>
      <c r="S116">
        <f t="shared" ref="S116" si="558">R116/100000</f>
        <v>-135.97565616730799</v>
      </c>
      <c r="T116">
        <f t="shared" ref="T116" si="559">S116/1000</f>
        <v>-0.135975656167308</v>
      </c>
    </row>
    <row r="117" spans="1:20" x14ac:dyDescent="0.25">
      <c r="A117" s="5">
        <v>44476</v>
      </c>
      <c r="B117">
        <v>21.57</v>
      </c>
      <c r="C117">
        <v>21.72</v>
      </c>
      <c r="D117">
        <v>20.27</v>
      </c>
      <c r="E117">
        <v>20.440000000000001</v>
      </c>
      <c r="F117">
        <v>492236</v>
      </c>
      <c r="G117">
        <v>20.440000000000001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-0.76551724137930788</v>
      </c>
      <c r="Q117">
        <f t="shared" ref="Q117" si="561">F117*P117</f>
        <v>-376815.14482758497</v>
      </c>
      <c r="R117">
        <f t="shared" ref="R117" si="562">R118+Q117</f>
        <v>-13396082.03256413</v>
      </c>
      <c r="S117">
        <f t="shared" ref="S117" si="563">R117/100000</f>
        <v>-133.96082032564129</v>
      </c>
      <c r="T117">
        <f t="shared" ref="T117" si="564">S117/1000</f>
        <v>-0.1339608203256413</v>
      </c>
    </row>
    <row r="118" spans="1:20" x14ac:dyDescent="0.25">
      <c r="A118" s="5">
        <v>44475</v>
      </c>
      <c r="B118">
        <v>21.69</v>
      </c>
      <c r="C118">
        <v>22.07</v>
      </c>
      <c r="D118">
        <v>20.05</v>
      </c>
      <c r="E118">
        <v>21.58</v>
      </c>
      <c r="F118">
        <v>438715.15</v>
      </c>
      <c r="G118">
        <v>21.58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0.51485148514851276</v>
      </c>
      <c r="Q118">
        <f t="shared" ref="Q118" si="566">F118*P118</f>
        <v>225873.14653465257</v>
      </c>
      <c r="R118">
        <f t="shared" ref="R118" si="567">R119+Q118</f>
        <v>-13019266.887736544</v>
      </c>
      <c r="S118">
        <f t="shared" ref="S118" si="568">R118/100000</f>
        <v>-130.19266887736543</v>
      </c>
      <c r="T118">
        <f t="shared" ref="T118" si="569">S118/1000</f>
        <v>-0.13019266887736544</v>
      </c>
    </row>
    <row r="119" spans="1:20" x14ac:dyDescent="0.25">
      <c r="A119" s="5">
        <v>44474</v>
      </c>
      <c r="B119">
        <v>20.85</v>
      </c>
      <c r="C119">
        <v>22.87</v>
      </c>
      <c r="D119">
        <v>20.28</v>
      </c>
      <c r="E119">
        <v>21.7</v>
      </c>
      <c r="F119">
        <v>690346.36</v>
      </c>
      <c r="G119">
        <v>21.7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9.6525096525095153E-2</v>
      </c>
      <c r="Q119">
        <f t="shared" ref="Q119" si="571">F119*P119</f>
        <v>66635.749034748093</v>
      </c>
      <c r="R119">
        <f t="shared" ref="R119" si="572">R120+Q119</f>
        <v>-13245140.034271197</v>
      </c>
      <c r="S119">
        <f t="shared" ref="S119" si="573">R119/100000</f>
        <v>-132.45140034271196</v>
      </c>
      <c r="T119">
        <f t="shared" ref="T119" si="574">S119/1000</f>
        <v>-0.13245140034271197</v>
      </c>
    </row>
    <row r="120" spans="1:20" x14ac:dyDescent="0.25">
      <c r="A120" s="5">
        <v>44473</v>
      </c>
      <c r="B120">
        <v>21.49</v>
      </c>
      <c r="C120">
        <v>21.83</v>
      </c>
      <c r="D120">
        <v>19.600000000000001</v>
      </c>
      <c r="E120">
        <v>21.13</v>
      </c>
      <c r="F120">
        <v>772646.03</v>
      </c>
      <c r="G120">
        <v>21.13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0.3721973094170401</v>
      </c>
      <c r="Q120">
        <f t="shared" ref="Q120" si="576">F120*P120</f>
        <v>287576.77349775768</v>
      </c>
      <c r="R120">
        <f t="shared" ref="R120" si="577">R121+Q120</f>
        <v>-13311775.783305945</v>
      </c>
      <c r="S120">
        <f t="shared" ref="S120" si="578">R120/100000</f>
        <v>-133.11775783305944</v>
      </c>
      <c r="T120">
        <f t="shared" ref="T120" si="579">S120/1000</f>
        <v>-0.13311775783305943</v>
      </c>
    </row>
    <row r="121" spans="1:20" x14ac:dyDescent="0.25">
      <c r="A121" s="5">
        <v>44472</v>
      </c>
      <c r="B121">
        <v>18.66</v>
      </c>
      <c r="C121">
        <v>22.16</v>
      </c>
      <c r="D121">
        <v>18.28</v>
      </c>
      <c r="E121">
        <v>21.54</v>
      </c>
      <c r="F121">
        <v>1371789.06</v>
      </c>
      <c r="G121">
        <v>21.54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0.68041237113401998</v>
      </c>
      <c r="Q121">
        <f t="shared" ref="Q121" si="581">F121*P121</f>
        <v>933382.24701030843</v>
      </c>
      <c r="R121">
        <f t="shared" ref="R121" si="582">R122+Q121</f>
        <v>-13599352.556803703</v>
      </c>
      <c r="S121">
        <f t="shared" ref="S121" si="583">R121/100000</f>
        <v>-135.99352556803703</v>
      </c>
      <c r="T121">
        <f t="shared" ref="T121" si="584">S121/1000</f>
        <v>-0.13599352556803704</v>
      </c>
    </row>
    <row r="122" spans="1:20" x14ac:dyDescent="0.25">
      <c r="A122" s="5">
        <v>44471</v>
      </c>
      <c r="B122">
        <v>18.559999999999999</v>
      </c>
      <c r="C122">
        <v>19.32</v>
      </c>
      <c r="D122">
        <v>18.309999999999999</v>
      </c>
      <c r="E122">
        <v>18.690000000000001</v>
      </c>
      <c r="F122">
        <v>303425</v>
      </c>
      <c r="G122">
        <v>18.690000000000001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-0.24752475247524364</v>
      </c>
      <c r="Q122">
        <f t="shared" ref="Q122" si="586">F122*P122</f>
        <v>-75105.198019800795</v>
      </c>
      <c r="R122">
        <f t="shared" ref="R122" si="587">R123+Q122</f>
        <v>-14532734.803814013</v>
      </c>
      <c r="S122">
        <f t="shared" ref="S122" si="588">R122/100000</f>
        <v>-145.32734803814012</v>
      </c>
      <c r="T122">
        <f t="shared" ref="T122" si="589">S122/1000</f>
        <v>-0.14532734803814013</v>
      </c>
    </row>
    <row r="123" spans="1:20" x14ac:dyDescent="0.25">
      <c r="A123" s="5">
        <v>44470</v>
      </c>
      <c r="B123">
        <v>17.32</v>
      </c>
      <c r="C123">
        <v>18.62</v>
      </c>
      <c r="D123">
        <v>17.04</v>
      </c>
      <c r="E123">
        <v>18.579999999999998</v>
      </c>
      <c r="F123">
        <v>439288.58</v>
      </c>
      <c r="G123">
        <v>18.579999999999998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0.94936708860759156</v>
      </c>
      <c r="Q123">
        <f t="shared" ref="Q123" si="591">F123*P123</f>
        <v>417046.1202531631</v>
      </c>
      <c r="R123">
        <f t="shared" ref="R123" si="592">R124+Q123</f>
        <v>-14457629.605794212</v>
      </c>
      <c r="S123">
        <f t="shared" ref="S123" si="593">R123/100000</f>
        <v>-144.57629605794213</v>
      </c>
      <c r="T123">
        <f t="shared" ref="T123" si="594">S123/1000</f>
        <v>-0.14457629605794214</v>
      </c>
    </row>
    <row r="124" spans="1:20" x14ac:dyDescent="0.25">
      <c r="A124" s="5">
        <v>44469</v>
      </c>
      <c r="B124">
        <v>16.940000000000001</v>
      </c>
      <c r="C124">
        <v>17.68</v>
      </c>
      <c r="D124">
        <v>16.809999999999999</v>
      </c>
      <c r="E124">
        <v>17.29</v>
      </c>
      <c r="F124">
        <v>644333.59</v>
      </c>
      <c r="G124">
        <v>17.29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0.10344827586206869</v>
      </c>
      <c r="Q124">
        <f t="shared" ref="Q124" si="596">F124*P124</f>
        <v>66655.198965517062</v>
      </c>
      <c r="R124">
        <f t="shared" ref="R124" si="597">R125+Q124</f>
        <v>-14874675.726047374</v>
      </c>
      <c r="S124">
        <f t="shared" ref="S124" si="598">R124/100000</f>
        <v>-148.74675726047374</v>
      </c>
      <c r="T124">
        <f t="shared" ref="T124" si="599">S124/1000</f>
        <v>-0.14874675726047373</v>
      </c>
    </row>
    <row r="125" spans="1:20" x14ac:dyDescent="0.25">
      <c r="A125" s="5">
        <v>44468</v>
      </c>
      <c r="B125">
        <v>16.93</v>
      </c>
      <c r="C125">
        <v>17.96</v>
      </c>
      <c r="D125">
        <v>16.5</v>
      </c>
      <c r="E125">
        <v>16.97</v>
      </c>
      <c r="F125">
        <v>589171.5</v>
      </c>
      <c r="G125">
        <v>16.97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-0.35616438356164576</v>
      </c>
      <c r="Q125">
        <f t="shared" ref="Q125" si="601">F125*P125</f>
        <v>-209841.90410959016</v>
      </c>
      <c r="R125">
        <f t="shared" ref="R125" si="602">R126+Q125</f>
        <v>-14941330.925012892</v>
      </c>
      <c r="S125">
        <f t="shared" ref="S125" si="603">R125/100000</f>
        <v>-149.41330925012892</v>
      </c>
      <c r="T125">
        <f t="shared" ref="T125" si="604">S125/1000</f>
        <v>-0.14941330925012891</v>
      </c>
    </row>
    <row r="126" spans="1:20" x14ac:dyDescent="0.25">
      <c r="A126" s="5">
        <v>44467</v>
      </c>
      <c r="B126">
        <v>17.510000000000002</v>
      </c>
      <c r="C126">
        <v>17.89</v>
      </c>
      <c r="D126">
        <v>16.73</v>
      </c>
      <c r="E126">
        <v>16.940000000000001</v>
      </c>
      <c r="F126">
        <v>246862.16</v>
      </c>
      <c r="G126">
        <v>16.940000000000001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-0.63793103448275723</v>
      </c>
      <c r="Q126">
        <f t="shared" ref="Q126" si="606">F126*P126</f>
        <v>-157481.03310344793</v>
      </c>
      <c r="R126">
        <f t="shared" ref="R126" si="607">R127+Q126</f>
        <v>-14731489.020903302</v>
      </c>
      <c r="S126">
        <f t="shared" ref="S126" si="608">R126/100000</f>
        <v>-147.31489020903302</v>
      </c>
      <c r="T126">
        <f t="shared" ref="T126" si="609">S126/1000</f>
        <v>-0.14731489020903302</v>
      </c>
    </row>
    <row r="127" spans="1:20" x14ac:dyDescent="0.25">
      <c r="A127" s="5">
        <v>44466</v>
      </c>
      <c r="B127">
        <v>18.05</v>
      </c>
      <c r="C127">
        <v>18.84</v>
      </c>
      <c r="D127">
        <v>17.45</v>
      </c>
      <c r="E127">
        <v>17.52</v>
      </c>
      <c r="F127">
        <v>427079.57</v>
      </c>
      <c r="G127">
        <v>17.52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-0.89928057553956797</v>
      </c>
      <c r="Q127">
        <f t="shared" ref="Q127" si="611">F127*P127</f>
        <v>-384064.36151079123</v>
      </c>
      <c r="R127">
        <f t="shared" ref="R127" si="612">R128+Q127</f>
        <v>-14574007.987799855</v>
      </c>
      <c r="S127">
        <f t="shared" ref="S127" si="613">R127/100000</f>
        <v>-145.74007987799854</v>
      </c>
      <c r="T127">
        <f t="shared" ref="T127" si="614">S127/1000</f>
        <v>-0.14574007987799853</v>
      </c>
    </row>
    <row r="128" spans="1:20" x14ac:dyDescent="0.25">
      <c r="A128" s="5">
        <v>44465</v>
      </c>
      <c r="B128">
        <v>17.54</v>
      </c>
      <c r="C128">
        <v>18.440000000000001</v>
      </c>
      <c r="D128">
        <v>16.63</v>
      </c>
      <c r="E128">
        <v>18.04</v>
      </c>
      <c r="F128">
        <v>379378.39</v>
      </c>
      <c r="G128">
        <v>18.04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0.55801104972375515</v>
      </c>
      <c r="Q128">
        <f t="shared" ref="Q128" si="616">F128*P128</f>
        <v>211697.33364640819</v>
      </c>
      <c r="R128">
        <f t="shared" ref="R128" si="617">R129+Q128</f>
        <v>-14189943.626289064</v>
      </c>
      <c r="S128">
        <f t="shared" ref="S128" si="618">R128/100000</f>
        <v>-141.89943626289065</v>
      </c>
      <c r="T128">
        <f t="shared" ref="T128" si="619">S128/1000</f>
        <v>-0.14189943626289064</v>
      </c>
    </row>
    <row r="129" spans="1:20" x14ac:dyDescent="0.25">
      <c r="A129" s="5">
        <v>44464</v>
      </c>
      <c r="B129">
        <v>17.61</v>
      </c>
      <c r="C129">
        <v>18.010000000000002</v>
      </c>
      <c r="D129">
        <v>17.18</v>
      </c>
      <c r="E129">
        <v>17.54</v>
      </c>
      <c r="F129">
        <v>287396.64</v>
      </c>
      <c r="G129">
        <v>17.54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-0.13253012048193102</v>
      </c>
      <c r="Q129">
        <f t="shared" ref="Q129" si="621">F129*P129</f>
        <v>-38088.71132530216</v>
      </c>
      <c r="R129">
        <f t="shared" ref="R129" si="622">R130+Q129</f>
        <v>-14401640.959935471</v>
      </c>
      <c r="S129">
        <f t="shared" ref="S129" si="623">R129/100000</f>
        <v>-144.01640959935472</v>
      </c>
      <c r="T129">
        <f t="shared" ref="T129" si="624">S129/1000</f>
        <v>-0.14401640959935472</v>
      </c>
    </row>
    <row r="130" spans="1:20" x14ac:dyDescent="0.25">
      <c r="A130" s="5">
        <v>44463</v>
      </c>
      <c r="B130">
        <v>18.64</v>
      </c>
      <c r="C130">
        <v>18.72</v>
      </c>
      <c r="D130">
        <v>16.21</v>
      </c>
      <c r="E130">
        <v>17.61</v>
      </c>
      <c r="F130">
        <v>527279.38800000004</v>
      </c>
      <c r="G130">
        <v>17.61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0.11553784860557745</v>
      </c>
      <c r="Q130">
        <f t="shared" ref="Q130" si="626">F130*P130</f>
        <v>60920.726103585534</v>
      </c>
      <c r="R130">
        <f t="shared" ref="R130" si="627">R131+Q130</f>
        <v>-14363552.248610169</v>
      </c>
      <c r="S130">
        <f t="shared" ref="S130" si="628">R130/100000</f>
        <v>-143.63552248610168</v>
      </c>
      <c r="T130">
        <f t="shared" ref="T130" si="629">S130/1000</f>
        <v>-0.14363552248610167</v>
      </c>
    </row>
    <row r="131" spans="1:20" x14ac:dyDescent="0.25">
      <c r="A131" s="5">
        <v>44462</v>
      </c>
      <c r="B131">
        <v>18.809999999999999</v>
      </c>
      <c r="C131">
        <v>19.399999999999999</v>
      </c>
      <c r="D131">
        <v>18.09</v>
      </c>
      <c r="E131">
        <v>18.64</v>
      </c>
      <c r="F131">
        <v>401491.5</v>
      </c>
      <c r="G131">
        <v>18.64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-0.16030534351144848</v>
      </c>
      <c r="Q131">
        <f t="shared" ref="Q131" si="631">F131*P131</f>
        <v>-64361.232824426719</v>
      </c>
      <c r="R131">
        <f t="shared" ref="R131" si="632">R132+Q131</f>
        <v>-14424472.974713754</v>
      </c>
      <c r="S131">
        <f t="shared" ref="S131" si="633">R131/100000</f>
        <v>-144.24472974713754</v>
      </c>
      <c r="T131">
        <f t="shared" ref="T131" si="634">S131/1000</f>
        <v>-0.14424472974713753</v>
      </c>
    </row>
    <row r="132" spans="1:20" x14ac:dyDescent="0.25">
      <c r="A132" s="5">
        <v>44461</v>
      </c>
      <c r="B132">
        <v>16.8</v>
      </c>
      <c r="C132">
        <v>19.100000000000001</v>
      </c>
      <c r="D132">
        <v>16.510000000000002</v>
      </c>
      <c r="E132">
        <v>18.79</v>
      </c>
      <c r="F132">
        <v>439525.18</v>
      </c>
      <c r="G132">
        <v>18.79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0.76061776061775888</v>
      </c>
      <c r="Q132">
        <f t="shared" ref="Q132" si="636">F132*P132</f>
        <v>334310.65814671735</v>
      </c>
      <c r="R132">
        <f t="shared" ref="R132" si="637">R133+Q132</f>
        <v>-14360111.741889328</v>
      </c>
      <c r="S132">
        <f t="shared" ref="S132" si="638">R132/100000</f>
        <v>-143.60111741889327</v>
      </c>
      <c r="T132">
        <f t="shared" ref="T132" si="639">S132/1000</f>
        <v>-0.14360111741889325</v>
      </c>
    </row>
    <row r="133" spans="1:20" x14ac:dyDescent="0.25">
      <c r="A133" s="5">
        <v>44460</v>
      </c>
      <c r="B133">
        <v>18.170000000000002</v>
      </c>
      <c r="C133">
        <v>19.77</v>
      </c>
      <c r="D133">
        <v>16.5</v>
      </c>
      <c r="E133">
        <v>16.809999999999999</v>
      </c>
      <c r="F133">
        <v>803279.21</v>
      </c>
      <c r="G133">
        <v>16.809999999999999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-0.8103975535168203</v>
      </c>
      <c r="Q133">
        <f t="shared" ref="Q133" si="641">F133*P133</f>
        <v>-650975.5065749241</v>
      </c>
      <c r="R133">
        <f t="shared" ref="R133" si="642">R134+Q133</f>
        <v>-14694422.400036044</v>
      </c>
      <c r="S133">
        <f t="shared" ref="S133" si="643">R133/100000</f>
        <v>-146.94422400036044</v>
      </c>
      <c r="T133">
        <f t="shared" ref="T133" si="644">S133/1000</f>
        <v>-0.14694422400036045</v>
      </c>
    </row>
    <row r="134" spans="1:20" x14ac:dyDescent="0.25">
      <c r="A134" s="5">
        <v>44459</v>
      </c>
      <c r="B134">
        <v>19.75</v>
      </c>
      <c r="C134">
        <v>19.8</v>
      </c>
      <c r="D134">
        <v>17.600000000000001</v>
      </c>
      <c r="E134">
        <v>18.13</v>
      </c>
      <c r="F134">
        <v>260154.45</v>
      </c>
      <c r="G134">
        <v>18.13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-0.51818181818182019</v>
      </c>
      <c r="Q134">
        <f t="shared" ref="Q134" si="646">F134*P134</f>
        <v>-134807.30590909143</v>
      </c>
      <c r="R134">
        <f t="shared" ref="R134" si="647">R135+Q134</f>
        <v>-14043446.893461121</v>
      </c>
      <c r="S134">
        <f t="shared" ref="S134" si="648">R134/100000</f>
        <v>-140.4344689346112</v>
      </c>
      <c r="T134">
        <f t="shared" ref="T134" si="649">S134/1000</f>
        <v>-0.1404344689346112</v>
      </c>
    </row>
    <row r="135" spans="1:20" x14ac:dyDescent="0.25">
      <c r="A135" s="5">
        <v>44458</v>
      </c>
      <c r="B135">
        <v>20.52</v>
      </c>
      <c r="C135">
        <v>20.57</v>
      </c>
      <c r="D135">
        <v>19.399999999999999</v>
      </c>
      <c r="E135">
        <v>19.760000000000002</v>
      </c>
      <c r="F135">
        <v>197121.02</v>
      </c>
      <c r="G135">
        <v>19.760000000000002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-0.38461538461538042</v>
      </c>
      <c r="Q135">
        <f t="shared" ref="Q135" si="651">F135*P135</f>
        <v>-75815.77692307609</v>
      </c>
      <c r="R135">
        <f t="shared" ref="R135" si="652">R136+Q135</f>
        <v>-13908639.58755203</v>
      </c>
      <c r="S135">
        <f t="shared" ref="S135" si="653">R135/100000</f>
        <v>-139.08639587552031</v>
      </c>
      <c r="T135">
        <f t="shared" ref="T135" si="654">S135/1000</f>
        <v>-0.1390863958755203</v>
      </c>
    </row>
    <row r="136" spans="1:20" x14ac:dyDescent="0.25">
      <c r="A136" s="5">
        <v>44457</v>
      </c>
      <c r="B136">
        <v>19.61</v>
      </c>
      <c r="C136">
        <v>20.57</v>
      </c>
      <c r="D136">
        <v>19.399999999999999</v>
      </c>
      <c r="E136">
        <v>20.54</v>
      </c>
      <c r="F136">
        <v>334905.15999999997</v>
      </c>
      <c r="G136">
        <v>20.54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0.9487179487179469</v>
      </c>
      <c r="Q136">
        <f t="shared" ref="Q136" si="656">F136*P136</f>
        <v>317730.53641025577</v>
      </c>
      <c r="R136">
        <f t="shared" ref="R136" si="657">R137+Q136</f>
        <v>-13832823.810628954</v>
      </c>
      <c r="S136">
        <f t="shared" ref="S136" si="658">R136/100000</f>
        <v>-138.32823810628955</v>
      </c>
      <c r="T136">
        <f t="shared" ref="T136" si="659">S136/1000</f>
        <v>-0.13832823810628955</v>
      </c>
    </row>
    <row r="137" spans="1:20" x14ac:dyDescent="0.25">
      <c r="A137" s="5">
        <v>44456</v>
      </c>
      <c r="B137">
        <v>20.25</v>
      </c>
      <c r="C137">
        <v>20.399999999999999</v>
      </c>
      <c r="D137">
        <v>19.12</v>
      </c>
      <c r="E137">
        <v>19.579999999999998</v>
      </c>
      <c r="F137">
        <v>293761.71999999997</v>
      </c>
      <c r="G137">
        <v>19.579999999999998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-0.28125000000000289</v>
      </c>
      <c r="Q137">
        <f t="shared" ref="Q137" si="661">F137*P137</f>
        <v>-82620.483750000843</v>
      </c>
      <c r="R137">
        <f t="shared" ref="R137" si="662">R138+Q137</f>
        <v>-14150554.34703921</v>
      </c>
      <c r="S137">
        <f t="shared" ref="S137" si="663">R137/100000</f>
        <v>-141.5055434703921</v>
      </c>
      <c r="T137">
        <f t="shared" ref="T137" si="664">S137/1000</f>
        <v>-0.1415055434703921</v>
      </c>
    </row>
    <row r="138" spans="1:20" x14ac:dyDescent="0.25">
      <c r="A138" s="5">
        <v>44455</v>
      </c>
      <c r="B138">
        <v>20.48</v>
      </c>
      <c r="C138">
        <v>20.81</v>
      </c>
      <c r="D138">
        <v>19.66</v>
      </c>
      <c r="E138">
        <v>20.27</v>
      </c>
      <c r="F138">
        <v>377086.37</v>
      </c>
      <c r="G138">
        <v>20.27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6.0869565217391626E-2</v>
      </c>
      <c r="Q138">
        <f t="shared" ref="Q138" si="666">F138*P138</f>
        <v>22953.08339130447</v>
      </c>
      <c r="R138">
        <f t="shared" ref="R138" si="667">R139+Q138</f>
        <v>-14067933.863289209</v>
      </c>
      <c r="S138">
        <f t="shared" ref="S138" si="668">R138/100000</f>
        <v>-140.6793386328921</v>
      </c>
      <c r="T138">
        <f t="shared" ref="T138" si="669">S138/1000</f>
        <v>-0.14067933863289209</v>
      </c>
    </row>
    <row r="139" spans="1:20" x14ac:dyDescent="0.25">
      <c r="A139" s="5">
        <v>44454</v>
      </c>
      <c r="B139">
        <v>20.58</v>
      </c>
      <c r="C139">
        <v>20.9</v>
      </c>
      <c r="D139">
        <v>19.940000000000001</v>
      </c>
      <c r="E139">
        <v>20.48</v>
      </c>
      <c r="F139">
        <v>388611.17</v>
      </c>
      <c r="G139">
        <v>20.48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0.12500000000000139</v>
      </c>
      <c r="Q139">
        <f t="shared" ref="Q139" si="671">F139*P139</f>
        <v>48576.396250000536</v>
      </c>
      <c r="R139">
        <f t="shared" ref="R139" si="672">R140+Q139</f>
        <v>-14090886.946680514</v>
      </c>
      <c r="S139">
        <f t="shared" ref="S139" si="673">R139/100000</f>
        <v>-140.90886946680513</v>
      </c>
      <c r="T139">
        <f t="shared" ref="T139" si="674">S139/1000</f>
        <v>-0.14090886946680514</v>
      </c>
    </row>
    <row r="140" spans="1:20" x14ac:dyDescent="0.25">
      <c r="A140" s="5">
        <v>44453</v>
      </c>
      <c r="B140">
        <v>19.62</v>
      </c>
      <c r="C140">
        <v>20.66</v>
      </c>
      <c r="D140">
        <v>19.34</v>
      </c>
      <c r="E140">
        <v>20.59</v>
      </c>
      <c r="F140">
        <v>274169.65999999997</v>
      </c>
      <c r="G140">
        <v>20.59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0.89393939393939348</v>
      </c>
      <c r="Q140">
        <f t="shared" ref="Q140" si="676">F140*P140</f>
        <v>245091.05969696955</v>
      </c>
      <c r="R140">
        <f t="shared" ref="R140" si="677">R141+Q140</f>
        <v>-14139463.342930514</v>
      </c>
      <c r="S140">
        <f t="shared" ref="S140" si="678">R140/100000</f>
        <v>-141.39463342930515</v>
      </c>
      <c r="T140">
        <f t="shared" ref="T140" si="679">S140/1000</f>
        <v>-0.14139463342930514</v>
      </c>
    </row>
    <row r="141" spans="1:20" x14ac:dyDescent="0.25">
      <c r="A141" s="5">
        <v>44452</v>
      </c>
      <c r="B141">
        <v>21.35</v>
      </c>
      <c r="C141">
        <v>21.54</v>
      </c>
      <c r="D141">
        <v>18.84</v>
      </c>
      <c r="E141">
        <v>19.62</v>
      </c>
      <c r="F141">
        <v>748248.24</v>
      </c>
      <c r="G141">
        <v>19.62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-0.42222222222222122</v>
      </c>
      <c r="Q141">
        <f t="shared" ref="Q141" si="681">F141*P141</f>
        <v>-315927.03466666589</v>
      </c>
      <c r="R141">
        <f t="shared" ref="R141" si="682">R142+Q141</f>
        <v>-14384554.402627483</v>
      </c>
      <c r="S141">
        <f t="shared" ref="S141" si="683">R141/100000</f>
        <v>-143.84554402627484</v>
      </c>
      <c r="T141">
        <f t="shared" ref="T141" si="684">S141/1000</f>
        <v>-0.14384554402627484</v>
      </c>
    </row>
    <row r="142" spans="1:20" x14ac:dyDescent="0.25">
      <c r="A142" s="5">
        <v>44451</v>
      </c>
      <c r="B142">
        <v>20.14</v>
      </c>
      <c r="C142">
        <v>22.31</v>
      </c>
      <c r="D142">
        <v>19.72</v>
      </c>
      <c r="E142">
        <v>21.38</v>
      </c>
      <c r="F142">
        <v>786521.49</v>
      </c>
      <c r="G142">
        <v>21.38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0.28185328185328201</v>
      </c>
      <c r="Q142">
        <f t="shared" ref="Q142" si="686">F142*P142</f>
        <v>221683.66320463334</v>
      </c>
      <c r="R142">
        <f t="shared" ref="R142" si="687">R143+Q142</f>
        <v>-14068627.367960816</v>
      </c>
      <c r="S142">
        <f t="shared" ref="S142" si="688">R142/100000</f>
        <v>-140.68627367960815</v>
      </c>
      <c r="T142">
        <f t="shared" ref="T142" si="689">S142/1000</f>
        <v>-0.14068627367960815</v>
      </c>
    </row>
    <row r="143" spans="1:20" x14ac:dyDescent="0.25">
      <c r="A143" s="5">
        <v>44450</v>
      </c>
      <c r="B143">
        <v>19.88</v>
      </c>
      <c r="C143">
        <v>21.4</v>
      </c>
      <c r="D143">
        <v>19.77</v>
      </c>
      <c r="E143">
        <v>20.13</v>
      </c>
      <c r="F143">
        <v>444801.97</v>
      </c>
      <c r="G143">
        <v>20.13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-0.5582822085889575</v>
      </c>
      <c r="Q143">
        <f t="shared" ref="Q143" si="691">F143*P143</f>
        <v>-248325.0261963192</v>
      </c>
      <c r="R143">
        <f t="shared" ref="R143" si="692">R144+Q143</f>
        <v>-14290311.031165449</v>
      </c>
      <c r="S143">
        <f t="shared" ref="S143" si="693">R143/100000</f>
        <v>-142.9031103116545</v>
      </c>
      <c r="T143">
        <f t="shared" ref="T143" si="694">S143/1000</f>
        <v>-0.14290311031165451</v>
      </c>
    </row>
    <row r="144" spans="1:20" x14ac:dyDescent="0.25">
      <c r="A144" s="5">
        <v>44449</v>
      </c>
      <c r="B144">
        <v>21.15</v>
      </c>
      <c r="C144">
        <v>21.44</v>
      </c>
      <c r="D144">
        <v>19.010000000000002</v>
      </c>
      <c r="E144">
        <v>19.88</v>
      </c>
      <c r="F144">
        <v>625589.43999999994</v>
      </c>
      <c r="G144">
        <v>19.88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-0.28395061728395266</v>
      </c>
      <c r="Q144">
        <f t="shared" ref="Q144" si="696">F144*P144</f>
        <v>-177636.50765432225</v>
      </c>
      <c r="R144">
        <f t="shared" ref="R144" si="697">R145+Q144</f>
        <v>-14041986.004969129</v>
      </c>
      <c r="S144">
        <f t="shared" ref="S144" si="698">R144/100000</f>
        <v>-140.41986004969129</v>
      </c>
      <c r="T144">
        <f t="shared" ref="T144" si="699">S144/1000</f>
        <v>-0.14041986004969129</v>
      </c>
    </row>
    <row r="145" spans="1:20" x14ac:dyDescent="0.25">
      <c r="A145" s="5">
        <v>44448</v>
      </c>
      <c r="B145">
        <v>20.75</v>
      </c>
      <c r="C145">
        <v>22.44</v>
      </c>
      <c r="D145">
        <v>20.05</v>
      </c>
      <c r="E145">
        <v>21.15</v>
      </c>
      <c r="F145">
        <v>607449.12</v>
      </c>
      <c r="G145">
        <v>21.15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-7.9497907949792793E-2</v>
      </c>
      <c r="Q145">
        <f t="shared" ref="Q145" si="701">F145*P145</f>
        <v>-48290.934225942634</v>
      </c>
      <c r="R145">
        <f t="shared" ref="R145" si="702">R146+Q145</f>
        <v>-13864349.497314807</v>
      </c>
      <c r="S145">
        <f t="shared" ref="S145" si="703">R145/100000</f>
        <v>-138.64349497314808</v>
      </c>
      <c r="T145">
        <f t="shared" ref="T145" si="704">S145/1000</f>
        <v>-0.13864349497314807</v>
      </c>
    </row>
    <row r="146" spans="1:20" x14ac:dyDescent="0.25">
      <c r="A146" s="5">
        <v>44447</v>
      </c>
      <c r="B146">
        <v>20.49</v>
      </c>
      <c r="C146">
        <v>21.09</v>
      </c>
      <c r="D146">
        <v>18.03</v>
      </c>
      <c r="E146">
        <v>20.75</v>
      </c>
      <c r="F146">
        <v>647649.04</v>
      </c>
      <c r="G146">
        <v>20.75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0.77777777777777779</v>
      </c>
      <c r="Q146">
        <f t="shared" ref="Q146" si="706">F146*P146</f>
        <v>503727.03111111117</v>
      </c>
      <c r="R146">
        <f t="shared" ref="R146" si="707">R147+Q146</f>
        <v>-13816058.563088864</v>
      </c>
      <c r="S146">
        <f t="shared" ref="S146" si="708">R146/100000</f>
        <v>-138.16058563088865</v>
      </c>
      <c r="T146">
        <f t="shared" ref="T146" si="709">S146/1000</f>
        <v>-0.13816058563088865</v>
      </c>
    </row>
    <row r="147" spans="1:20" x14ac:dyDescent="0.25">
      <c r="A147" s="5">
        <v>44446</v>
      </c>
      <c r="B147">
        <v>24.29</v>
      </c>
      <c r="C147">
        <v>24.53</v>
      </c>
      <c r="D147">
        <v>17.010000000000002</v>
      </c>
      <c r="E147">
        <v>20.48</v>
      </c>
      <c r="F147">
        <v>1610913.04</v>
      </c>
      <c r="G147">
        <v>20.48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-7.7127659574468335E-2</v>
      </c>
      <c r="Q147">
        <f t="shared" ref="Q147" si="711">F147*P147</f>
        <v>-124245.95255319189</v>
      </c>
      <c r="R147">
        <f t="shared" ref="R147" si="712">R148+Q147</f>
        <v>-14319785.594199976</v>
      </c>
      <c r="S147">
        <f t="shared" ref="S147" si="713">R147/100000</f>
        <v>-143.19785594199976</v>
      </c>
      <c r="T147">
        <f t="shared" ref="T147" si="714">S147/1000</f>
        <v>-0.14319785594199977</v>
      </c>
    </row>
    <row r="148" spans="1:20" x14ac:dyDescent="0.25">
      <c r="A148" s="5">
        <v>44445</v>
      </c>
      <c r="B148">
        <v>23.8</v>
      </c>
      <c r="C148">
        <v>25.28</v>
      </c>
      <c r="D148">
        <v>23</v>
      </c>
      <c r="E148">
        <v>24.27</v>
      </c>
      <c r="F148">
        <v>733623.66899999999</v>
      </c>
      <c r="G148">
        <v>24.27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0.11403508771929731</v>
      </c>
      <c r="Q148">
        <f t="shared" ref="Q148" si="716">F148*P148</f>
        <v>83658.839447367733</v>
      </c>
      <c r="R148">
        <f t="shared" ref="R148" si="717">R149+Q148</f>
        <v>-14195539.641646784</v>
      </c>
      <c r="S148">
        <f t="shared" ref="S148" si="718">R148/100000</f>
        <v>-141.95539641646783</v>
      </c>
      <c r="T148">
        <f t="shared" ref="T148" si="719">S148/1000</f>
        <v>-0.14195539641646784</v>
      </c>
    </row>
    <row r="149" spans="1:20" x14ac:dyDescent="0.25">
      <c r="A149" s="5">
        <v>44444</v>
      </c>
      <c r="B149">
        <v>23.05</v>
      </c>
      <c r="C149">
        <v>24.19</v>
      </c>
      <c r="D149">
        <v>22.66</v>
      </c>
      <c r="E149">
        <v>23.79</v>
      </c>
      <c r="F149">
        <v>549231.61</v>
      </c>
      <c r="G149">
        <v>23.79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0.47712418300653353</v>
      </c>
      <c r="Q149">
        <f t="shared" ref="Q149" si="721">F149*P149</f>
        <v>262051.68320261306</v>
      </c>
      <c r="R149">
        <f t="shared" ref="R149" si="722">R150+Q149</f>
        <v>-14279198.481094152</v>
      </c>
      <c r="S149">
        <f t="shared" ref="S149" si="723">R149/100000</f>
        <v>-142.79198481094153</v>
      </c>
      <c r="T149">
        <f t="shared" ref="T149" si="724">S149/1000</f>
        <v>-0.14279198481094152</v>
      </c>
    </row>
    <row r="150" spans="1:20" x14ac:dyDescent="0.25">
      <c r="A150" s="5">
        <v>44443</v>
      </c>
      <c r="B150">
        <v>22.94</v>
      </c>
      <c r="C150">
        <v>24.17</v>
      </c>
      <c r="D150">
        <v>22.82</v>
      </c>
      <c r="E150">
        <v>23.05</v>
      </c>
      <c r="F150">
        <v>386613.8</v>
      </c>
      <c r="G150">
        <v>23.05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-0.65925925925925899</v>
      </c>
      <c r="Q150">
        <f t="shared" ref="Q150" si="726">F150*P150</f>
        <v>-254878.72740740731</v>
      </c>
      <c r="R150">
        <f t="shared" ref="R150" si="727">R151+Q150</f>
        <v>-14541250.164296765</v>
      </c>
      <c r="S150">
        <f t="shared" ref="S150" si="728">R150/100000</f>
        <v>-145.41250164296764</v>
      </c>
      <c r="T150">
        <f t="shared" ref="T150" si="729">S150/1000</f>
        <v>-0.14541250164296765</v>
      </c>
    </row>
    <row r="151" spans="1:20" x14ac:dyDescent="0.25">
      <c r="A151" s="5">
        <v>44442</v>
      </c>
      <c r="B151">
        <v>22.7</v>
      </c>
      <c r="C151">
        <v>23.8</v>
      </c>
      <c r="D151">
        <v>22.3</v>
      </c>
      <c r="E151">
        <v>22.9</v>
      </c>
      <c r="F151">
        <v>429814.56</v>
      </c>
      <c r="G151">
        <v>22.9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-0.20000000000000284</v>
      </c>
      <c r="Q151">
        <f t="shared" ref="Q151" si="731">F151*P151</f>
        <v>-85962.912000001219</v>
      </c>
      <c r="R151">
        <f t="shared" ref="R151" si="732">R152+Q151</f>
        <v>-14286371.436889358</v>
      </c>
      <c r="S151">
        <f t="shared" ref="S151" si="733">R151/100000</f>
        <v>-142.86371436889357</v>
      </c>
      <c r="T151">
        <f t="shared" ref="T151" si="734">S151/1000</f>
        <v>-0.14286371436889356</v>
      </c>
    </row>
    <row r="152" spans="1:20" x14ac:dyDescent="0.25">
      <c r="A152" s="5">
        <v>44441</v>
      </c>
      <c r="B152">
        <v>23.31</v>
      </c>
      <c r="C152">
        <v>23.66</v>
      </c>
      <c r="D152">
        <v>22.23</v>
      </c>
      <c r="E152">
        <v>22.67</v>
      </c>
      <c r="F152">
        <v>447680.98</v>
      </c>
      <c r="G152">
        <v>22.67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-0.38461538461538269</v>
      </c>
      <c r="Q152">
        <f t="shared" ref="Q152" si="736">F152*P152</f>
        <v>-172184.99230769143</v>
      </c>
      <c r="R152">
        <f t="shared" ref="R152" si="737">R153+Q152</f>
        <v>-14200408.524889357</v>
      </c>
      <c r="S152">
        <f t="shared" ref="S152" si="738">R152/100000</f>
        <v>-142.00408524889357</v>
      </c>
      <c r="T152">
        <f t="shared" ref="T152" si="739">S152/1000</f>
        <v>-0.14200408524889357</v>
      </c>
    </row>
    <row r="153" spans="1:20" x14ac:dyDescent="0.25">
      <c r="A153" s="5">
        <v>44440</v>
      </c>
      <c r="B153">
        <v>24.8</v>
      </c>
      <c r="C153">
        <v>24.96</v>
      </c>
      <c r="D153">
        <v>22.39</v>
      </c>
      <c r="E153">
        <v>23.29</v>
      </c>
      <c r="F153">
        <v>932034.67</v>
      </c>
      <c r="G153">
        <v>23.29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-0.2996108949416354</v>
      </c>
      <c r="Q153">
        <f t="shared" ref="Q153" si="741">F153*P153</f>
        <v>-279247.74159533181</v>
      </c>
      <c r="R153">
        <f t="shared" ref="R153" si="742">R154+Q153</f>
        <v>-14028223.532581666</v>
      </c>
      <c r="S153">
        <f t="shared" ref="S153" si="743">R153/100000</f>
        <v>-140.28223532581666</v>
      </c>
      <c r="T153">
        <f t="shared" ref="T153" si="744">S153/1000</f>
        <v>-0.14028223532581666</v>
      </c>
    </row>
    <row r="154" spans="1:20" x14ac:dyDescent="0.25">
      <c r="A154" s="5">
        <v>44439</v>
      </c>
      <c r="B154">
        <v>20.66</v>
      </c>
      <c r="C154">
        <v>25.2</v>
      </c>
      <c r="D154">
        <v>20.37</v>
      </c>
      <c r="E154">
        <v>24.83</v>
      </c>
      <c r="F154">
        <v>1181687.0279999999</v>
      </c>
      <c r="G154">
        <v>24.83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0.84679089026915066</v>
      </c>
      <c r="Q154">
        <f t="shared" ref="Q154" si="746">F154*P154</f>
        <v>1000641.8104596267</v>
      </c>
      <c r="R154">
        <f t="shared" ref="R154" si="747">R155+Q154</f>
        <v>-13748975.790986335</v>
      </c>
      <c r="S154">
        <f t="shared" ref="S154" si="748">R154/100000</f>
        <v>-137.48975790986336</v>
      </c>
      <c r="T154">
        <f t="shared" ref="T154" si="749">S154/1000</f>
        <v>-0.13748975790986337</v>
      </c>
    </row>
    <row r="155" spans="1:20" x14ac:dyDescent="0.25">
      <c r="A155" s="5">
        <v>44438</v>
      </c>
      <c r="B155">
        <v>22.61</v>
      </c>
      <c r="C155">
        <v>22.79</v>
      </c>
      <c r="D155">
        <v>20.47</v>
      </c>
      <c r="E155">
        <v>20.63</v>
      </c>
      <c r="F155">
        <v>719734.1</v>
      </c>
      <c r="G155">
        <v>20.63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-0.86206896551724133</v>
      </c>
      <c r="Q155">
        <f t="shared" ref="Q155" si="751">F155*P155</f>
        <v>-620460.43103448267</v>
      </c>
      <c r="R155">
        <f t="shared" ref="R155" si="752">R156+Q155</f>
        <v>-14749617.601445962</v>
      </c>
      <c r="S155">
        <f t="shared" ref="S155" si="753">R155/100000</f>
        <v>-147.49617601445962</v>
      </c>
      <c r="T155">
        <f t="shared" ref="T155" si="754">S155/1000</f>
        <v>-0.14749617601445963</v>
      </c>
    </row>
    <row r="156" spans="1:20" x14ac:dyDescent="0.25">
      <c r="A156" s="5">
        <v>44437</v>
      </c>
      <c r="B156">
        <v>23.55</v>
      </c>
      <c r="C156">
        <v>23.74</v>
      </c>
      <c r="D156">
        <v>22.04</v>
      </c>
      <c r="E156">
        <v>22.63</v>
      </c>
      <c r="F156">
        <v>456804.58</v>
      </c>
      <c r="G156">
        <v>22.63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-0.30588235294117633</v>
      </c>
      <c r="Q156">
        <f t="shared" ref="Q156" si="756">F156*P156</f>
        <v>-139728.45976470583</v>
      </c>
      <c r="R156">
        <f t="shared" ref="R156" si="757">R157+Q156</f>
        <v>-14129157.170411479</v>
      </c>
      <c r="S156">
        <f t="shared" ref="S156" si="758">R156/100000</f>
        <v>-141.2915717041148</v>
      </c>
      <c r="T156">
        <f t="shared" ref="T156" si="759">S156/1000</f>
        <v>-0.1412915717041148</v>
      </c>
    </row>
    <row r="157" spans="1:20" x14ac:dyDescent="0.25">
      <c r="A157" s="5">
        <v>44436</v>
      </c>
      <c r="B157">
        <v>22.76</v>
      </c>
      <c r="C157">
        <v>24.61</v>
      </c>
      <c r="D157">
        <v>21.91</v>
      </c>
      <c r="E157">
        <v>23.58</v>
      </c>
      <c r="F157">
        <v>1002871.047</v>
      </c>
      <c r="G157">
        <v>23.58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0.23703703703703599</v>
      </c>
      <c r="Q157">
        <f t="shared" ref="Q157" si="761">F157*P157</f>
        <v>237717.58151111007</v>
      </c>
      <c r="R157">
        <f t="shared" ref="R157" si="762">R158+Q157</f>
        <v>-13989428.710646773</v>
      </c>
      <c r="S157">
        <f t="shared" ref="S157" si="763">R157/100000</f>
        <v>-139.89428710646771</v>
      </c>
      <c r="T157">
        <f t="shared" ref="T157" si="764">S157/1000</f>
        <v>-0.1398942871064677</v>
      </c>
    </row>
    <row r="158" spans="1:20" x14ac:dyDescent="0.25">
      <c r="A158" s="5">
        <v>44435</v>
      </c>
      <c r="B158">
        <v>20.56</v>
      </c>
      <c r="C158">
        <v>23.11</v>
      </c>
      <c r="D158">
        <v>19.5</v>
      </c>
      <c r="E158">
        <v>22.79</v>
      </c>
      <c r="F158">
        <v>1023450.493</v>
      </c>
      <c r="G158">
        <v>22.79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0.82271468144044302</v>
      </c>
      <c r="Q158">
        <f t="shared" ref="Q158" si="766">F158*P158</f>
        <v>842007.7463185594</v>
      </c>
      <c r="R158">
        <f t="shared" ref="R158" si="767">R159+Q158</f>
        <v>-14227146.292157883</v>
      </c>
      <c r="S158">
        <f t="shared" ref="S158" si="768">R158/100000</f>
        <v>-142.27146292157883</v>
      </c>
      <c r="T158">
        <f t="shared" ref="T158" si="769">S158/1000</f>
        <v>-0.14227146292157883</v>
      </c>
    </row>
    <row r="159" spans="1:20" x14ac:dyDescent="0.25">
      <c r="A159" s="5">
        <v>44434</v>
      </c>
      <c r="B159">
        <v>23.248000000000001</v>
      </c>
      <c r="C159">
        <v>23.5</v>
      </c>
      <c r="D159">
        <v>19.75</v>
      </c>
      <c r="E159">
        <v>20.58</v>
      </c>
      <c r="F159">
        <v>971762.772</v>
      </c>
      <c r="G159">
        <v>20.58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-0.55733333333333424</v>
      </c>
      <c r="Q159">
        <f t="shared" ref="Q159" si="771">F159*P159</f>
        <v>-541595.78492800088</v>
      </c>
      <c r="R159">
        <f t="shared" ref="R159" si="772">R160+Q159</f>
        <v>-15069154.038476443</v>
      </c>
      <c r="S159">
        <f t="shared" ref="S159" si="773">R159/100000</f>
        <v>-150.69154038476444</v>
      </c>
      <c r="T159">
        <f t="shared" ref="T159" si="774">S159/1000</f>
        <v>-0.15069154038476443</v>
      </c>
    </row>
    <row r="160" spans="1:20" x14ac:dyDescent="0.25">
      <c r="A160" s="5">
        <v>44433</v>
      </c>
      <c r="B160">
        <v>22.658999999999999</v>
      </c>
      <c r="C160">
        <v>23.71</v>
      </c>
      <c r="D160">
        <v>21.111000000000001</v>
      </c>
      <c r="E160">
        <v>23.285</v>
      </c>
      <c r="F160">
        <v>945601.67</v>
      </c>
      <c r="G160">
        <v>23.285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0.67295113505194248</v>
      </c>
      <c r="Q160">
        <f t="shared" ref="Q160" si="776">F160*P160</f>
        <v>636343.71713351237</v>
      </c>
      <c r="R160">
        <f t="shared" ref="R160" si="777">R161+Q160</f>
        <v>-14527558.253548441</v>
      </c>
      <c r="S160">
        <f t="shared" ref="S160" si="778">R160/100000</f>
        <v>-145.2755825354844</v>
      </c>
      <c r="T160">
        <f t="shared" ref="T160" si="779">S160/1000</f>
        <v>-0.14527558253548439</v>
      </c>
    </row>
    <row r="161" spans="1:20" x14ac:dyDescent="0.25">
      <c r="A161" s="5">
        <v>44432</v>
      </c>
      <c r="B161">
        <v>26.364000000000001</v>
      </c>
      <c r="C161">
        <v>26.443999999999999</v>
      </c>
      <c r="D161">
        <v>22.02</v>
      </c>
      <c r="E161">
        <v>22.655999999999999</v>
      </c>
      <c r="F161">
        <v>1188097.1329999999</v>
      </c>
      <c r="G161">
        <v>22.655999999999999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-0.71247739602170013</v>
      </c>
      <c r="Q161">
        <f t="shared" ref="Q161" si="781">F161*P161</f>
        <v>-846492.35154068749</v>
      </c>
      <c r="R161">
        <f t="shared" ref="R161" si="782">R162+Q161</f>
        <v>-15163901.970681954</v>
      </c>
      <c r="S161">
        <f t="shared" ref="S161" si="783">R161/100000</f>
        <v>-151.63901970681954</v>
      </c>
      <c r="T161">
        <f t="shared" ref="T161" si="784">S161/1000</f>
        <v>-0.15163901970681953</v>
      </c>
    </row>
    <row r="162" spans="1:20" x14ac:dyDescent="0.25">
      <c r="A162" s="5">
        <v>44431</v>
      </c>
      <c r="B162">
        <v>23.640999999999998</v>
      </c>
      <c r="C162">
        <v>26.73</v>
      </c>
      <c r="D162">
        <v>23.276</v>
      </c>
      <c r="E162">
        <v>26.372</v>
      </c>
      <c r="F162">
        <v>1499824.838</v>
      </c>
      <c r="G162">
        <v>26.372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0.79270411117544848</v>
      </c>
      <c r="Q162">
        <f t="shared" ref="Q162" si="786">F162*P162</f>
        <v>1188917.315125651</v>
      </c>
      <c r="R162">
        <f t="shared" ref="R162" si="787">R163+Q162</f>
        <v>-14317409.619141266</v>
      </c>
      <c r="S162">
        <f t="shared" ref="S162" si="788">R162/100000</f>
        <v>-143.17409619141264</v>
      </c>
      <c r="T162">
        <f t="shared" ref="T162" si="789">S162/1000</f>
        <v>-0.14317409619141264</v>
      </c>
    </row>
    <row r="163" spans="1:20" x14ac:dyDescent="0.25">
      <c r="A163" s="5">
        <v>44430</v>
      </c>
      <c r="B163">
        <v>22.968</v>
      </c>
      <c r="C163">
        <v>23.504000000000001</v>
      </c>
      <c r="D163">
        <v>22.321999999999999</v>
      </c>
      <c r="E163">
        <v>23.31</v>
      </c>
      <c r="F163">
        <v>218079.986</v>
      </c>
      <c r="G163">
        <v>23.31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0.67174280879864257</v>
      </c>
      <c r="Q163">
        <f t="shared" ref="Q163" si="791">F163*P163</f>
        <v>146493.66233840864</v>
      </c>
      <c r="R163">
        <f t="shared" ref="R163" si="792">R164+Q163</f>
        <v>-15506326.934266917</v>
      </c>
      <c r="S163">
        <f t="shared" ref="S163" si="793">R163/100000</f>
        <v>-155.06326934266917</v>
      </c>
      <c r="T163">
        <f t="shared" ref="T163" si="794">S163/1000</f>
        <v>-0.15506326934266917</v>
      </c>
    </row>
    <row r="164" spans="1:20" x14ac:dyDescent="0.25">
      <c r="A164" s="5">
        <v>44429</v>
      </c>
      <c r="B164">
        <v>24.266999999999999</v>
      </c>
      <c r="C164">
        <v>24.276</v>
      </c>
      <c r="D164">
        <v>22.503</v>
      </c>
      <c r="E164">
        <v>22.998000000000001</v>
      </c>
      <c r="F164">
        <v>1052366.0360000001</v>
      </c>
      <c r="G164">
        <v>22.998000000000001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-0.44162436548223227</v>
      </c>
      <c r="Q164">
        <f t="shared" ref="Q164" si="796">F164*P164</f>
        <v>-464750.48290355207</v>
      </c>
      <c r="R164">
        <f t="shared" ref="R164" si="797">R165+Q164</f>
        <v>-15652820.596605327</v>
      </c>
      <c r="S164">
        <f t="shared" ref="S164" si="798">R164/100000</f>
        <v>-156.52820596605326</v>
      </c>
      <c r="T164">
        <f t="shared" ref="T164" si="799">S164/1000</f>
        <v>-0.15652820596605327</v>
      </c>
    </row>
    <row r="165" spans="1:20" x14ac:dyDescent="0.25">
      <c r="A165" s="5">
        <v>44428</v>
      </c>
      <c r="B165">
        <v>21.14</v>
      </c>
      <c r="C165">
        <v>25.504999999999999</v>
      </c>
      <c r="D165">
        <v>20.466000000000001</v>
      </c>
      <c r="E165">
        <v>24.257000000000001</v>
      </c>
      <c r="F165">
        <v>2566202.6069999998</v>
      </c>
      <c r="G165">
        <v>24.257000000000001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0.50466362373486884</v>
      </c>
      <c r="Q165">
        <f t="shared" ref="Q165" si="801">F165*P165</f>
        <v>1295069.1068864875</v>
      </c>
      <c r="R165">
        <f t="shared" ref="R165" si="802">R166+Q165</f>
        <v>-15188070.113701776</v>
      </c>
      <c r="S165">
        <f t="shared" ref="S165" si="803">R165/100000</f>
        <v>-151.88070113701775</v>
      </c>
      <c r="T165">
        <f t="shared" ref="T165" si="804">S165/1000</f>
        <v>-0.15188070113701777</v>
      </c>
    </row>
    <row r="166" spans="1:20" x14ac:dyDescent="0.25">
      <c r="A166" s="5">
        <v>44427</v>
      </c>
      <c r="B166">
        <v>19.571999999999999</v>
      </c>
      <c r="C166">
        <v>22.300999999999998</v>
      </c>
      <c r="D166">
        <v>19.11</v>
      </c>
      <c r="E166">
        <v>21.138999999999999</v>
      </c>
      <c r="F166">
        <v>1668354.4240000001</v>
      </c>
      <c r="G166">
        <v>21.138999999999999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0.27170166092134163</v>
      </c>
      <c r="Q166">
        <f t="shared" ref="Q166" si="806">F166*P166</f>
        <v>453294.66800626827</v>
      </c>
      <c r="R166">
        <f t="shared" ref="R166" si="807">R167+Q166</f>
        <v>-16483139.220588263</v>
      </c>
      <c r="S166">
        <f t="shared" ref="S166" si="808">R166/100000</f>
        <v>-164.83139220588262</v>
      </c>
      <c r="T166">
        <f t="shared" ref="T166" si="809">S166/1000</f>
        <v>-0.16483139220588261</v>
      </c>
    </row>
    <row r="167" spans="1:20" x14ac:dyDescent="0.25">
      <c r="A167" s="5">
        <v>44426</v>
      </c>
      <c r="B167">
        <v>19.962</v>
      </c>
      <c r="C167">
        <v>21.088000000000001</v>
      </c>
      <c r="D167">
        <v>18.309000000000001</v>
      </c>
      <c r="E167">
        <v>19.567</v>
      </c>
      <c r="F167">
        <v>1903859.3319999999</v>
      </c>
      <c r="G167">
        <v>19.567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-9.4638359121986926E-2</v>
      </c>
      <c r="Q167">
        <f t="shared" ref="Q167" si="811">F167*P167</f>
        <v>-180178.12317956213</v>
      </c>
      <c r="R167">
        <f t="shared" ref="R167" si="812">R168+Q167</f>
        <v>-16936433.888594531</v>
      </c>
      <c r="S167">
        <f t="shared" ref="S167" si="813">R167/100000</f>
        <v>-169.3643388859453</v>
      </c>
      <c r="T167">
        <f t="shared" ref="T167" si="814">S167/1000</f>
        <v>-0.16936433888594529</v>
      </c>
    </row>
    <row r="168" spans="1:20" x14ac:dyDescent="0.25">
      <c r="A168" s="5">
        <v>44425</v>
      </c>
      <c r="B168">
        <v>17.933</v>
      </c>
      <c r="C168">
        <v>23.568999999999999</v>
      </c>
      <c r="D168">
        <v>17.3</v>
      </c>
      <c r="E168">
        <v>19.969000000000001</v>
      </c>
      <c r="F168">
        <v>3226205.395</v>
      </c>
      <c r="G168">
        <v>19.969000000000001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-0.14850853405646797</v>
      </c>
      <c r="Q168">
        <f t="shared" ref="Q168" si="816">F168*P168</f>
        <v>-479119.03377651819</v>
      </c>
      <c r="R168">
        <f t="shared" ref="R168" si="817">R169+Q168</f>
        <v>-16756255.765414968</v>
      </c>
      <c r="S168">
        <f t="shared" ref="S168" si="818">R168/100000</f>
        <v>-167.56255765414969</v>
      </c>
      <c r="T168">
        <f t="shared" ref="T168" si="819">S168/1000</f>
        <v>-0.16756255765414968</v>
      </c>
    </row>
    <row r="169" spans="1:20" x14ac:dyDescent="0.25">
      <c r="A169" s="5">
        <v>44424</v>
      </c>
      <c r="B169">
        <v>18.026</v>
      </c>
      <c r="C169">
        <v>19.437000000000001</v>
      </c>
      <c r="D169">
        <v>17.885999999999999</v>
      </c>
      <c r="E169">
        <v>17.937000000000001</v>
      </c>
      <c r="F169">
        <v>1063446.9180000001</v>
      </c>
      <c r="G169">
        <v>17.937000000000001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-0.93423597678916592</v>
      </c>
      <c r="Q169">
        <f t="shared" ref="Q169" si="821">F169*P169</f>
        <v>-993510.3702011581</v>
      </c>
      <c r="R169">
        <f t="shared" ref="R169" si="822">R170+Q169</f>
        <v>-16277136.73163845</v>
      </c>
      <c r="S169">
        <f t="shared" ref="S169" si="823">R169/100000</f>
        <v>-162.7713673163845</v>
      </c>
      <c r="T169">
        <f t="shared" ref="T169" si="824">S169/1000</f>
        <v>-0.1627713673163845</v>
      </c>
    </row>
    <row r="170" spans="1:20" x14ac:dyDescent="0.25">
      <c r="A170" s="5">
        <v>44423</v>
      </c>
      <c r="B170">
        <v>16.553999999999998</v>
      </c>
      <c r="C170">
        <v>18.649999999999999</v>
      </c>
      <c r="D170">
        <v>16.376000000000001</v>
      </c>
      <c r="E170">
        <v>18.024999999999999</v>
      </c>
      <c r="F170">
        <v>1329343.486</v>
      </c>
      <c r="G170">
        <v>18.024999999999999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0.4503078276165341</v>
      </c>
      <c r="Q170">
        <f t="shared" ref="Q170" si="826">F170*P170</f>
        <v>598613.77733685053</v>
      </c>
      <c r="R170">
        <f t="shared" ref="R170" si="827">R171+Q170</f>
        <v>-15283626.361437293</v>
      </c>
      <c r="S170">
        <f t="shared" ref="S170" si="828">R170/100000</f>
        <v>-152.83626361437294</v>
      </c>
      <c r="T170">
        <f t="shared" ref="T170" si="829">S170/1000</f>
        <v>-0.15283626361437294</v>
      </c>
    </row>
    <row r="171" spans="1:20" x14ac:dyDescent="0.25">
      <c r="A171" s="5">
        <v>44422</v>
      </c>
      <c r="B171">
        <v>17.048999999999999</v>
      </c>
      <c r="C171">
        <v>17.353999999999999</v>
      </c>
      <c r="D171">
        <v>15.962</v>
      </c>
      <c r="E171">
        <v>16.553999999999998</v>
      </c>
      <c r="F171">
        <v>660623.01</v>
      </c>
      <c r="G171">
        <v>16.553999999999998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-0.14942528735632329</v>
      </c>
      <c r="Q171">
        <f t="shared" ref="Q171" si="831">F171*P171</f>
        <v>-98713.783103449241</v>
      </c>
      <c r="R171">
        <f t="shared" ref="R171" si="832">R172+Q171</f>
        <v>-15882240.138774144</v>
      </c>
      <c r="S171">
        <f t="shared" ref="S171" si="833">R171/100000</f>
        <v>-158.82240138774142</v>
      </c>
      <c r="T171">
        <f t="shared" ref="T171" si="834">S171/1000</f>
        <v>-0.15882240138774142</v>
      </c>
    </row>
    <row r="172" spans="1:20" x14ac:dyDescent="0.25">
      <c r="A172" s="5">
        <v>44421</v>
      </c>
      <c r="B172">
        <v>15.929</v>
      </c>
      <c r="C172">
        <v>17.32</v>
      </c>
      <c r="D172">
        <v>15.866</v>
      </c>
      <c r="E172">
        <v>17.048999999999999</v>
      </c>
      <c r="F172">
        <v>592269.71400000004</v>
      </c>
      <c r="G172">
        <v>17.048999999999999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0.6272352132049509</v>
      </c>
      <c r="Q172">
        <f t="shared" ref="Q172" si="836">F172*P172</f>
        <v>371492.4203356253</v>
      </c>
      <c r="R172">
        <f t="shared" ref="R172" si="837">R173+Q172</f>
        <v>-15783526.355670694</v>
      </c>
      <c r="S172">
        <f t="shared" ref="S172" si="838">R172/100000</f>
        <v>-157.83526355670693</v>
      </c>
      <c r="T172">
        <f t="shared" ref="T172" si="839">S172/1000</f>
        <v>-0.15783526355670693</v>
      </c>
    </row>
    <row r="173" spans="1:20" x14ac:dyDescent="0.25">
      <c r="A173" s="5">
        <v>44420</v>
      </c>
      <c r="B173">
        <v>16.442</v>
      </c>
      <c r="C173">
        <v>17.045999999999999</v>
      </c>
      <c r="D173">
        <v>15.153</v>
      </c>
      <c r="E173">
        <v>15.949</v>
      </c>
      <c r="F173">
        <v>869543.58700000006</v>
      </c>
      <c r="G173">
        <v>15.949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-0.15900686740623365</v>
      </c>
      <c r="Q173">
        <f t="shared" ref="Q173" si="841">F173*P173</f>
        <v>-138263.40184204982</v>
      </c>
      <c r="R173">
        <f t="shared" ref="R173" si="842">R174+Q173</f>
        <v>-16155018.776006319</v>
      </c>
      <c r="S173">
        <f t="shared" ref="S173" si="843">R173/100000</f>
        <v>-161.55018776006318</v>
      </c>
      <c r="T173">
        <f t="shared" ref="T173" si="844">S173/1000</f>
        <v>-0.16155018776006319</v>
      </c>
    </row>
    <row r="174" spans="1:20" x14ac:dyDescent="0.25">
      <c r="A174" s="5">
        <v>44419</v>
      </c>
      <c r="B174">
        <v>18.419</v>
      </c>
      <c r="C174">
        <v>19.8</v>
      </c>
      <c r="D174">
        <v>16</v>
      </c>
      <c r="E174">
        <v>16.417999999999999</v>
      </c>
      <c r="F174">
        <v>2392493.463</v>
      </c>
      <c r="G174">
        <v>16.417999999999999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-0.78000000000000047</v>
      </c>
      <c r="Q174">
        <f t="shared" ref="Q174" si="846">F174*P174</f>
        <v>-1866144.9011400011</v>
      </c>
      <c r="R174">
        <f t="shared" ref="R174" si="847">R175+Q174</f>
        <v>-16016755.374164268</v>
      </c>
      <c r="S174">
        <f t="shared" ref="S174" si="848">R174/100000</f>
        <v>-160.16755374164268</v>
      </c>
      <c r="T174">
        <f t="shared" ref="T174" si="849">S174/1000</f>
        <v>-0.16016755374164268</v>
      </c>
    </row>
    <row r="175" spans="1:20" x14ac:dyDescent="0.25">
      <c r="A175" s="5">
        <v>44418</v>
      </c>
      <c r="B175">
        <v>14.468999999999999</v>
      </c>
      <c r="C175">
        <v>18.53</v>
      </c>
      <c r="D175">
        <v>14.034000000000001</v>
      </c>
      <c r="E175">
        <v>18.419</v>
      </c>
      <c r="F175">
        <v>2934549.1949999998</v>
      </c>
      <c r="G175">
        <v>18.419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0.95062277580071142</v>
      </c>
      <c r="Q175">
        <f t="shared" ref="Q175" si="851">F175*P175</f>
        <v>2789649.3014746429</v>
      </c>
      <c r="R175">
        <f t="shared" ref="R175" si="852">R176+Q175</f>
        <v>-14150610.473024268</v>
      </c>
      <c r="S175">
        <f t="shared" ref="S175" si="853">R175/100000</f>
        <v>-141.50610473024267</v>
      </c>
      <c r="T175">
        <f t="shared" ref="T175" si="854">S175/1000</f>
        <v>-0.14150610473024267</v>
      </c>
    </row>
    <row r="176" spans="1:20" x14ac:dyDescent="0.25">
      <c r="A176" s="5">
        <v>44417</v>
      </c>
      <c r="B176">
        <v>14.359</v>
      </c>
      <c r="C176">
        <v>15.760999999999999</v>
      </c>
      <c r="D176">
        <v>13.835000000000001</v>
      </c>
      <c r="E176">
        <v>14.473000000000001</v>
      </c>
      <c r="F176">
        <v>1017167.621</v>
      </c>
      <c r="G176">
        <v>14.473000000000001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-0.33748701973000994</v>
      </c>
      <c r="Q176">
        <f t="shared" ref="Q176" si="856">F176*P176</f>
        <v>-343280.86897715431</v>
      </c>
      <c r="R176">
        <f t="shared" ref="R176" si="857">R177+Q176</f>
        <v>-16940259.77449891</v>
      </c>
      <c r="S176">
        <f t="shared" ref="S176" si="858">R176/100000</f>
        <v>-169.40259774498909</v>
      </c>
      <c r="T176">
        <f t="shared" ref="T176" si="859">S176/1000</f>
        <v>-0.16940259774498909</v>
      </c>
    </row>
    <row r="177" spans="1:20" x14ac:dyDescent="0.25">
      <c r="A177" s="5">
        <v>44416</v>
      </c>
      <c r="B177">
        <v>13.821</v>
      </c>
      <c r="C177">
        <v>14.949</v>
      </c>
      <c r="D177">
        <v>13.519</v>
      </c>
      <c r="E177">
        <v>14.331</v>
      </c>
      <c r="F177">
        <v>1006461.06</v>
      </c>
      <c r="G177">
        <v>14.331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0.13566433566433503</v>
      </c>
      <c r="Q177">
        <f t="shared" ref="Q177" si="861">F177*P177</f>
        <v>136540.87107692246</v>
      </c>
      <c r="R177">
        <f t="shared" ref="R177" si="862">R178+Q177</f>
        <v>-16596978.905521754</v>
      </c>
      <c r="S177">
        <f t="shared" ref="S177" si="863">R177/100000</f>
        <v>-165.96978905521755</v>
      </c>
      <c r="T177">
        <f t="shared" ref="T177" si="864">S177/1000</f>
        <v>-0.16596978905521756</v>
      </c>
    </row>
    <row r="178" spans="1:20" x14ac:dyDescent="0.25">
      <c r="A178" s="5">
        <v>44415</v>
      </c>
      <c r="B178">
        <v>13.801</v>
      </c>
      <c r="C178">
        <v>14.365</v>
      </c>
      <c r="D178">
        <v>13.305999999999999</v>
      </c>
      <c r="E178">
        <v>13.807</v>
      </c>
      <c r="F178">
        <v>571773.28200000001</v>
      </c>
      <c r="G178">
        <v>13.807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-5.3824362606230927E-2</v>
      </c>
      <c r="Q178">
        <f t="shared" ref="Q178" si="866">F178*P178</f>
        <v>-30775.33245892273</v>
      </c>
      <c r="R178">
        <f t="shared" ref="R178" si="867">R179+Q178</f>
        <v>-16733519.776598677</v>
      </c>
      <c r="S178">
        <f t="shared" ref="S178" si="868">R178/100000</f>
        <v>-167.33519776598678</v>
      </c>
      <c r="T178">
        <f t="shared" ref="T178" si="869">S178/1000</f>
        <v>-0.16733519776598677</v>
      </c>
    </row>
    <row r="179" spans="1:20" x14ac:dyDescent="0.25">
      <c r="A179" s="5">
        <v>44414</v>
      </c>
      <c r="B179">
        <v>13.205</v>
      </c>
      <c r="C179">
        <v>14.125999999999999</v>
      </c>
      <c r="D179">
        <v>13.125</v>
      </c>
      <c r="E179">
        <v>13.757</v>
      </c>
      <c r="F179">
        <v>646449.34699999995</v>
      </c>
      <c r="G179">
        <v>13.757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0.26273726273726278</v>
      </c>
      <c r="Q179">
        <f t="shared" ref="Q179" si="871">F179*P179</f>
        <v>169846.33192907093</v>
      </c>
      <c r="R179">
        <f t="shared" ref="R179" si="872">R180+Q179</f>
        <v>-16702744.444139754</v>
      </c>
      <c r="S179">
        <f t="shared" ref="S179" si="873">R179/100000</f>
        <v>-167.02744444139753</v>
      </c>
      <c r="T179">
        <f t="shared" ref="T179" si="874">S179/1000</f>
        <v>-0.16702744444139753</v>
      </c>
    </row>
    <row r="180" spans="1:20" x14ac:dyDescent="0.25">
      <c r="A180" s="5">
        <v>44413</v>
      </c>
      <c r="B180">
        <v>13.262</v>
      </c>
      <c r="C180">
        <v>13.75</v>
      </c>
      <c r="D180">
        <v>12.694000000000001</v>
      </c>
      <c r="E180">
        <v>13.2</v>
      </c>
      <c r="F180">
        <v>642979.58600000001</v>
      </c>
      <c r="G180">
        <v>13.2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-4.1666666666668836E-2</v>
      </c>
      <c r="Q180">
        <f t="shared" ref="Q180" si="876">F180*P180</f>
        <v>-26790.816083334728</v>
      </c>
      <c r="R180">
        <f t="shared" ref="R180" si="877">R181+Q180</f>
        <v>-16872590.776068825</v>
      </c>
      <c r="S180">
        <f t="shared" ref="S180" si="878">R180/100000</f>
        <v>-168.72590776068824</v>
      </c>
      <c r="T180">
        <f t="shared" ref="T180" si="879">S180/1000</f>
        <v>-0.16872590776068824</v>
      </c>
    </row>
    <row r="181" spans="1:20" x14ac:dyDescent="0.25">
      <c r="A181" s="5">
        <v>44412</v>
      </c>
      <c r="B181">
        <v>13.15</v>
      </c>
      <c r="C181">
        <v>13.587</v>
      </c>
      <c r="D181">
        <v>12.851000000000001</v>
      </c>
      <c r="E181">
        <v>13.257999999999999</v>
      </c>
      <c r="F181">
        <v>349744.05300000001</v>
      </c>
      <c r="G181">
        <v>13.257999999999999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0.10597826086956215</v>
      </c>
      <c r="Q181">
        <f t="shared" ref="Q181" si="881">F181*P181</f>
        <v>37065.266486411972</v>
      </c>
      <c r="R181">
        <f t="shared" ref="R181" si="882">R182+Q181</f>
        <v>-16845799.959985491</v>
      </c>
      <c r="S181">
        <f t="shared" ref="S181" si="883">R181/100000</f>
        <v>-168.4579995998549</v>
      </c>
      <c r="T181">
        <f t="shared" ref="T181" si="884">S181/1000</f>
        <v>-0.16845799959985491</v>
      </c>
    </row>
    <row r="182" spans="1:20" x14ac:dyDescent="0.25">
      <c r="A182" s="5">
        <v>44411</v>
      </c>
      <c r="B182">
        <v>13.491</v>
      </c>
      <c r="C182">
        <v>13.762</v>
      </c>
      <c r="D182">
        <v>12.71</v>
      </c>
      <c r="E182">
        <v>13.141</v>
      </c>
      <c r="F182">
        <v>506190.96799999999</v>
      </c>
      <c r="G182">
        <v>13.141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-0.1806083650190127</v>
      </c>
      <c r="Q182">
        <f t="shared" ref="Q182" si="886">F182*P182</f>
        <v>-91422.323117871376</v>
      </c>
      <c r="R182">
        <f t="shared" ref="R182" si="887">R183+Q182</f>
        <v>-16882865.226471905</v>
      </c>
      <c r="S182">
        <f t="shared" ref="S182" si="888">R182/100000</f>
        <v>-168.82865226471904</v>
      </c>
      <c r="T182">
        <f t="shared" ref="T182" si="889">S182/1000</f>
        <v>-0.16882865226471905</v>
      </c>
    </row>
    <row r="183" spans="1:20" x14ac:dyDescent="0.25">
      <c r="A183" s="5">
        <v>44410</v>
      </c>
      <c r="B183">
        <v>13.097</v>
      </c>
      <c r="C183">
        <v>13.55</v>
      </c>
      <c r="D183">
        <v>12.901</v>
      </c>
      <c r="E183">
        <v>13.51</v>
      </c>
      <c r="F183">
        <v>449651.3</v>
      </c>
      <c r="G183">
        <v>13.51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0.87673343605546727</v>
      </c>
      <c r="Q183">
        <f t="shared" ref="Q183" si="891">F183*P183</f>
        <v>394224.32927580772</v>
      </c>
      <c r="R183">
        <f t="shared" ref="R183" si="892">R184+Q183</f>
        <v>-16791442.903354034</v>
      </c>
      <c r="S183">
        <f t="shared" ref="S183" si="893">R183/100000</f>
        <v>-167.91442903354033</v>
      </c>
      <c r="T183">
        <f t="shared" ref="T183" si="894">S183/1000</f>
        <v>-0.16791442903354034</v>
      </c>
    </row>
    <row r="184" spans="1:20" x14ac:dyDescent="0.25">
      <c r="A184" s="5">
        <v>44409</v>
      </c>
      <c r="B184">
        <v>13.802</v>
      </c>
      <c r="C184">
        <v>14.435</v>
      </c>
      <c r="D184">
        <v>13</v>
      </c>
      <c r="E184">
        <v>13.08</v>
      </c>
      <c r="F184">
        <v>650456.12699999998</v>
      </c>
      <c r="G184">
        <v>13.08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-0.88850174216027866</v>
      </c>
      <c r="Q184">
        <f t="shared" ref="Q184" si="896">F184*P184</f>
        <v>-577931.40203832742</v>
      </c>
      <c r="R184">
        <f t="shared" ref="R184" si="897">R185+Q184</f>
        <v>-17185667.232629843</v>
      </c>
      <c r="S184">
        <f t="shared" ref="S184" si="898">R184/100000</f>
        <v>-171.85667232629842</v>
      </c>
      <c r="T184">
        <f t="shared" ref="T184" si="899">S184/1000</f>
        <v>-0.17185667232629842</v>
      </c>
    </row>
    <row r="185" spans="1:20" x14ac:dyDescent="0.25">
      <c r="A185" s="5">
        <v>44408</v>
      </c>
      <c r="B185">
        <v>14.222</v>
      </c>
      <c r="C185">
        <v>15.141</v>
      </c>
      <c r="D185">
        <v>13.589</v>
      </c>
      <c r="E185">
        <v>13.792999999999999</v>
      </c>
      <c r="F185">
        <v>1148676.3470000001</v>
      </c>
      <c r="G185">
        <v>13.792999999999999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-0.73711340206185705</v>
      </c>
      <c r="Q185">
        <f t="shared" ref="Q185" si="901">F185*P185</f>
        <v>-846704.73000515625</v>
      </c>
      <c r="R185">
        <f t="shared" ref="R185" si="902">R186+Q185</f>
        <v>-16607735.830591517</v>
      </c>
      <c r="S185">
        <f t="shared" ref="S185" si="903">R185/100000</f>
        <v>-166.07735830591517</v>
      </c>
      <c r="T185">
        <f t="shared" ref="T185" si="904">S185/1000</f>
        <v>-0.16607735830591516</v>
      </c>
    </row>
    <row r="186" spans="1:20" x14ac:dyDescent="0.25">
      <c r="A186" s="5">
        <v>44407</v>
      </c>
      <c r="B186">
        <v>12.377000000000001</v>
      </c>
      <c r="C186">
        <v>14.497</v>
      </c>
      <c r="D186">
        <v>11.833</v>
      </c>
      <c r="E186">
        <v>14.21</v>
      </c>
      <c r="F186">
        <v>1172918.148</v>
      </c>
      <c r="G186">
        <v>14.21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0.78453453453453526</v>
      </c>
      <c r="Q186">
        <f t="shared" ref="Q186" si="906">F186*P186</f>
        <v>920194.79328828922</v>
      </c>
      <c r="R186">
        <f t="shared" ref="R186" si="907">R187+Q186</f>
        <v>-15761031.10058636</v>
      </c>
      <c r="S186">
        <f t="shared" ref="S186" si="908">R186/100000</f>
        <v>-157.61031100586359</v>
      </c>
      <c r="T186">
        <f t="shared" ref="T186" si="909">S186/1000</f>
        <v>-0.15761031100586359</v>
      </c>
    </row>
    <row r="187" spans="1:20" x14ac:dyDescent="0.25">
      <c r="A187" s="5">
        <v>44406</v>
      </c>
      <c r="B187">
        <v>12.875</v>
      </c>
      <c r="C187">
        <v>13.2</v>
      </c>
      <c r="D187">
        <v>12.1</v>
      </c>
      <c r="E187">
        <v>12.374000000000001</v>
      </c>
      <c r="F187">
        <v>583124.26699999999</v>
      </c>
      <c r="G187">
        <v>12.374000000000001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-0.50181818181818005</v>
      </c>
      <c r="Q187">
        <f t="shared" ref="Q187" si="911">F187*P187</f>
        <v>-292622.35943999898</v>
      </c>
      <c r="R187">
        <f t="shared" ref="R187" si="912">R188+Q187</f>
        <v>-16681225.893874649</v>
      </c>
      <c r="S187">
        <f t="shared" ref="S187" si="913">R187/100000</f>
        <v>-166.81225893874648</v>
      </c>
      <c r="T187">
        <f t="shared" ref="T187" si="914">S187/1000</f>
        <v>-0.16681225893874649</v>
      </c>
    </row>
    <row r="188" spans="1:20" x14ac:dyDescent="0.25">
      <c r="A188" s="5">
        <v>44405</v>
      </c>
      <c r="B188">
        <v>11.537000000000001</v>
      </c>
      <c r="C188">
        <v>13</v>
      </c>
      <c r="D188">
        <v>11.2</v>
      </c>
      <c r="E188">
        <v>12.85</v>
      </c>
      <c r="F188">
        <v>1042536.68</v>
      </c>
      <c r="G188">
        <v>12.85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0.83333333333333304</v>
      </c>
      <c r="Q188">
        <f t="shared" ref="Q188" si="916">F188*P188</f>
        <v>868780.56666666642</v>
      </c>
      <c r="R188">
        <f t="shared" ref="R188" si="917">R189+Q188</f>
        <v>-16388603.53443465</v>
      </c>
      <c r="S188">
        <f t="shared" ref="S188" si="918">R188/100000</f>
        <v>-163.88603534434651</v>
      </c>
      <c r="T188">
        <f t="shared" ref="T188" si="919">S188/1000</f>
        <v>-0.16388603534434651</v>
      </c>
    </row>
    <row r="189" spans="1:20" x14ac:dyDescent="0.25">
      <c r="A189" s="5">
        <v>44404</v>
      </c>
      <c r="B189">
        <v>11.346</v>
      </c>
      <c r="C189">
        <v>12.010999999999999</v>
      </c>
      <c r="D189">
        <v>10.957000000000001</v>
      </c>
      <c r="E189">
        <v>11.526</v>
      </c>
      <c r="F189">
        <v>547274.18799999997</v>
      </c>
      <c r="G189">
        <v>11.526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7.9696394686906785E-2</v>
      </c>
      <c r="Q189">
        <f t="shared" ref="Q189" si="921">F189*P189</f>
        <v>43615.779688804425</v>
      </c>
      <c r="R189">
        <f t="shared" ref="R189" si="922">R190+Q189</f>
        <v>-17257384.101101317</v>
      </c>
      <c r="S189">
        <f t="shared" ref="S189" si="923">R189/100000</f>
        <v>-172.57384101101317</v>
      </c>
      <c r="T189">
        <f t="shared" ref="T189" si="924">S189/1000</f>
        <v>-0.17257384101101317</v>
      </c>
    </row>
    <row r="190" spans="1:20" x14ac:dyDescent="0.25">
      <c r="A190" s="5">
        <v>44403</v>
      </c>
      <c r="B190">
        <v>11.978</v>
      </c>
      <c r="C190">
        <v>12.795999999999999</v>
      </c>
      <c r="D190">
        <v>11.238</v>
      </c>
      <c r="E190">
        <v>11.359</v>
      </c>
      <c r="F190">
        <v>1097828</v>
      </c>
      <c r="G190">
        <v>11.359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-0.84467265725288776</v>
      </c>
      <c r="Q190">
        <f t="shared" ref="Q190" si="926">F190*P190</f>
        <v>-927305.29396662326</v>
      </c>
      <c r="R190">
        <f t="shared" ref="R190" si="927">R191+Q190</f>
        <v>-17300999.880790122</v>
      </c>
      <c r="S190">
        <f t="shared" ref="S190" si="928">R190/100000</f>
        <v>-173.00999880790121</v>
      </c>
      <c r="T190">
        <f t="shared" ref="T190" si="929">S190/1000</f>
        <v>-0.17300999880790122</v>
      </c>
    </row>
    <row r="191" spans="1:20" x14ac:dyDescent="0.25">
      <c r="A191" s="5">
        <v>44402</v>
      </c>
      <c r="B191">
        <v>11.282999999999999</v>
      </c>
      <c r="C191">
        <v>12.629</v>
      </c>
      <c r="D191">
        <v>11.180999999999999</v>
      </c>
      <c r="E191">
        <v>11.965999999999999</v>
      </c>
      <c r="F191">
        <v>703727.46900000004</v>
      </c>
      <c r="G191">
        <v>11.965999999999999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8.4254143646408736E-2</v>
      </c>
      <c r="Q191">
        <f t="shared" ref="Q191" si="931">F191*P191</f>
        <v>59291.955261049654</v>
      </c>
      <c r="R191">
        <f t="shared" ref="R191" si="932">R192+Q191</f>
        <v>-16373694.586823499</v>
      </c>
      <c r="S191">
        <f t="shared" ref="S191" si="933">R191/100000</f>
        <v>-163.73694586823498</v>
      </c>
      <c r="T191">
        <f t="shared" ref="T191:T197" si="934">S191/1000</f>
        <v>-0.16373694586823498</v>
      </c>
    </row>
    <row r="192" spans="1:20" x14ac:dyDescent="0.25">
      <c r="A192" s="5">
        <v>44401</v>
      </c>
      <c r="B192">
        <v>11.15</v>
      </c>
      <c r="C192">
        <v>11.743</v>
      </c>
      <c r="D192">
        <v>10.901</v>
      </c>
      <c r="E192">
        <v>11.273</v>
      </c>
      <c r="F192">
        <v>518521.05800000002</v>
      </c>
      <c r="G192">
        <v>11.273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-0.11638954869358752</v>
      </c>
      <c r="Q192">
        <f t="shared" ref="Q192" si="936">F192*P192</f>
        <v>-60350.43192874152</v>
      </c>
      <c r="R192">
        <f t="shared" ref="R192" si="937">R193+Q192</f>
        <v>-16432986.542084549</v>
      </c>
      <c r="S192">
        <f t="shared" ref="S192" si="938">R192/100000</f>
        <v>-164.32986542084549</v>
      </c>
      <c r="T192">
        <f t="shared" si="934"/>
        <v>-0.16432986542084549</v>
      </c>
    </row>
    <row r="193" spans="1:20" x14ac:dyDescent="0.25">
      <c r="A193" s="5">
        <v>44400</v>
      </c>
      <c r="B193">
        <v>10.996</v>
      </c>
      <c r="C193">
        <v>12</v>
      </c>
      <c r="D193">
        <v>10.815</v>
      </c>
      <c r="E193">
        <v>11.151</v>
      </c>
      <c r="F193">
        <v>717976.11399999994</v>
      </c>
      <c r="G193">
        <v>11.151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-0.43291139240506304</v>
      </c>
      <c r="Q193">
        <f t="shared" ref="Q193" si="940">F193*P193</f>
        <v>-310820.03922531626</v>
      </c>
      <c r="R193">
        <f t="shared" ref="R193" si="941">R194+Q193</f>
        <v>-16372636.110155808</v>
      </c>
      <c r="S193">
        <f t="shared" ref="S193" si="942">R193/100000</f>
        <v>-163.72636110155807</v>
      </c>
      <c r="T193">
        <f t="shared" si="934"/>
        <v>-0.16372636110155808</v>
      </c>
    </row>
    <row r="194" spans="1:20" x14ac:dyDescent="0.25">
      <c r="A194" s="5">
        <v>44399</v>
      </c>
      <c r="B194">
        <v>10.798</v>
      </c>
      <c r="C194">
        <v>11.5</v>
      </c>
      <c r="D194">
        <v>10.654999999999999</v>
      </c>
      <c r="E194">
        <v>10.992000000000001</v>
      </c>
      <c r="F194">
        <v>392340.33199999999</v>
      </c>
      <c r="G194">
        <v>10.992000000000001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-0.20236686390532244</v>
      </c>
      <c r="Q194">
        <f t="shared" ref="Q194" si="944">F194*P194</f>
        <v>-79396.682570413017</v>
      </c>
      <c r="R194">
        <f t="shared" ref="R194" si="945">R195+Q194</f>
        <v>-16061816.070930492</v>
      </c>
      <c r="S194">
        <f t="shared" ref="S194" si="946">R194/100000</f>
        <v>-160.61816070930493</v>
      </c>
      <c r="T194">
        <f t="shared" si="934"/>
        <v>-0.16061816070930493</v>
      </c>
    </row>
    <row r="195" spans="1:20" x14ac:dyDescent="0.25">
      <c r="A195" s="5">
        <v>44398</v>
      </c>
      <c r="B195">
        <v>9.6969999999999992</v>
      </c>
      <c r="C195">
        <v>11.201000000000001</v>
      </c>
      <c r="D195">
        <v>9.5</v>
      </c>
      <c r="E195">
        <v>10.798</v>
      </c>
      <c r="F195">
        <v>623152.25800000003</v>
      </c>
      <c r="G195">
        <v>10.798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0.52616108171663689</v>
      </c>
      <c r="Q195">
        <f t="shared" ref="Q195" si="948">F195*P195</f>
        <v>327878.46614344482</v>
      </c>
      <c r="R195">
        <f t="shared" ref="R195" si="949">R196+Q195</f>
        <v>-15982419.388360079</v>
      </c>
      <c r="S195">
        <f t="shared" ref="S195" si="950">R195/100000</f>
        <v>-159.8241938836008</v>
      </c>
      <c r="T195">
        <f t="shared" si="934"/>
        <v>-0.15982419388360081</v>
      </c>
    </row>
    <row r="196" spans="1:20" x14ac:dyDescent="0.25">
      <c r="A196" s="5">
        <v>44397</v>
      </c>
      <c r="B196">
        <v>9.9529999999999994</v>
      </c>
      <c r="C196">
        <v>10.183</v>
      </c>
      <c r="D196">
        <v>9.3049999999999997</v>
      </c>
      <c r="E196">
        <v>9.7070000000000007</v>
      </c>
      <c r="F196">
        <v>465256.25900000002</v>
      </c>
      <c r="G196">
        <v>9.7070000000000007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-8.4282460136672052E-2</v>
      </c>
      <c r="Q196">
        <f t="shared" ref="Q196" si="952">F196*P196</f>
        <v>-39212.942102504669</v>
      </c>
      <c r="R196">
        <f t="shared" ref="R196" si="953">R197+Q196</f>
        <v>-16310297.854503524</v>
      </c>
      <c r="S196">
        <f t="shared" ref="S196" si="954">R196/100000</f>
        <v>-163.10297854503523</v>
      </c>
      <c r="T196">
        <f t="shared" si="934"/>
        <v>-0.16310297854503522</v>
      </c>
    </row>
    <row r="197" spans="1:20" x14ac:dyDescent="0.25">
      <c r="A197" s="5">
        <v>44396</v>
      </c>
      <c r="B197">
        <v>10.983000000000001</v>
      </c>
      <c r="C197">
        <v>11.079000000000001</v>
      </c>
      <c r="D197">
        <v>9.891</v>
      </c>
      <c r="E197">
        <v>9.93</v>
      </c>
      <c r="F197">
        <v>722606.22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-0.93434343434343492</v>
      </c>
      <c r="Q197">
        <f t="shared" ref="Q197" si="956">F197*P197</f>
        <v>-675162.37727272767</v>
      </c>
      <c r="R197">
        <f t="shared" ref="R197" si="957">R198+Q197</f>
        <v>-16271084.912401019</v>
      </c>
      <c r="S197">
        <f t="shared" ref="S197" si="958">R197/100000</f>
        <v>-162.7108491240102</v>
      </c>
      <c r="T197">
        <f t="shared" si="934"/>
        <v>-0.16271084912401018</v>
      </c>
    </row>
    <row r="198" spans="1:20" x14ac:dyDescent="0.25">
      <c r="A198" s="5">
        <v>44395</v>
      </c>
      <c r="B198">
        <v>10.711</v>
      </c>
      <c r="C198">
        <v>11.917999999999999</v>
      </c>
      <c r="D198">
        <v>10.69</v>
      </c>
      <c r="E198">
        <v>10.993</v>
      </c>
      <c r="F198">
        <v>632275.13600000006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-0.50651465798045459</v>
      </c>
      <c r="Q198">
        <f t="shared" ref="Q198:Q261" si="960">F198*P198</f>
        <v>-320256.62426058546</v>
      </c>
      <c r="R198">
        <f t="shared" ref="R198:R261" si="961">R199+Q198</f>
        <v>-15595922.535128292</v>
      </c>
      <c r="S198">
        <f t="shared" ref="S198:S261" si="962">R198/100000</f>
        <v>-155.95922535128292</v>
      </c>
      <c r="T198">
        <f t="shared" ref="T198:T261" si="963">S198/1000</f>
        <v>-0.15595922535128293</v>
      </c>
    </row>
    <row r="199" spans="1:20" x14ac:dyDescent="0.25">
      <c r="A199" s="5">
        <v>44394</v>
      </c>
      <c r="B199">
        <v>10.374000000000001</v>
      </c>
      <c r="C199">
        <v>11.097</v>
      </c>
      <c r="D199">
        <v>10.206</v>
      </c>
      <c r="E199">
        <v>10.707000000000001</v>
      </c>
      <c r="F199">
        <v>367272.55900000001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0.1245791245791273</v>
      </c>
      <c r="Q199">
        <f t="shared" si="960"/>
        <v>45754.493882155883</v>
      </c>
      <c r="R199">
        <f t="shared" si="961"/>
        <v>-15275665.910867706</v>
      </c>
      <c r="S199">
        <f t="shared" si="962"/>
        <v>-152.75665910867707</v>
      </c>
      <c r="T199">
        <f t="shared" si="963"/>
        <v>-0.15275665910867706</v>
      </c>
    </row>
    <row r="200" spans="1:20" x14ac:dyDescent="0.25">
      <c r="A200" s="5">
        <v>44393</v>
      </c>
      <c r="B200">
        <v>11.058999999999999</v>
      </c>
      <c r="C200">
        <v>11.327</v>
      </c>
      <c r="D200">
        <v>10.311</v>
      </c>
      <c r="E200">
        <v>10.372</v>
      </c>
      <c r="F200">
        <v>359850.364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-0.87992125984251979</v>
      </c>
      <c r="Q200">
        <f t="shared" si="960"/>
        <v>-316639.98564566934</v>
      </c>
      <c r="R200">
        <f t="shared" si="961"/>
        <v>-15321420.404749861</v>
      </c>
      <c r="S200">
        <f t="shared" si="962"/>
        <v>-153.21420404749861</v>
      </c>
      <c r="T200">
        <f t="shared" si="963"/>
        <v>-0.15321420404749861</v>
      </c>
    </row>
    <row r="201" spans="1:20" x14ac:dyDescent="0.25">
      <c r="A201" s="5">
        <v>44392</v>
      </c>
      <c r="B201">
        <v>11.73</v>
      </c>
      <c r="C201">
        <v>12.25</v>
      </c>
      <c r="D201">
        <v>10.903</v>
      </c>
      <c r="E201">
        <v>11.052</v>
      </c>
      <c r="F201">
        <v>469440.19699999999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-0.77876763177431452</v>
      </c>
      <c r="Q201">
        <f t="shared" si="960"/>
        <v>-365584.83047735767</v>
      </c>
      <c r="R201">
        <f t="shared" si="961"/>
        <v>-15004780.419104192</v>
      </c>
      <c r="S201">
        <f t="shared" si="962"/>
        <v>-150.04780419104193</v>
      </c>
      <c r="T201">
        <f t="shared" si="963"/>
        <v>-0.15004780419104194</v>
      </c>
    </row>
    <row r="202" spans="1:20" x14ac:dyDescent="0.25">
      <c r="A202" s="5">
        <v>44391</v>
      </c>
      <c r="B202">
        <v>12.03</v>
      </c>
      <c r="C202">
        <v>12.07</v>
      </c>
      <c r="D202">
        <v>11</v>
      </c>
      <c r="E202">
        <v>11.721</v>
      </c>
      <c r="F202">
        <v>334734.19900000002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0.34766355140186894</v>
      </c>
      <c r="Q202">
        <f t="shared" si="960"/>
        <v>116374.88039999994</v>
      </c>
      <c r="R202">
        <f t="shared" si="961"/>
        <v>-14639195.588626835</v>
      </c>
      <c r="S202">
        <f t="shared" si="962"/>
        <v>-146.39195588626836</v>
      </c>
      <c r="T202">
        <f t="shared" si="963"/>
        <v>-0.14639195588626835</v>
      </c>
    </row>
    <row r="203" spans="1:20" x14ac:dyDescent="0.25">
      <c r="A203" s="5">
        <v>44390</v>
      </c>
      <c r="B203">
        <v>12.589</v>
      </c>
      <c r="C203">
        <v>12.59</v>
      </c>
      <c r="D203">
        <v>11.86</v>
      </c>
      <c r="E203">
        <v>12.029</v>
      </c>
      <c r="F203">
        <v>221368.71299999999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-0.53698630136986192</v>
      </c>
      <c r="Q203">
        <f t="shared" si="960"/>
        <v>-118871.96643287646</v>
      </c>
      <c r="R203">
        <f t="shared" si="961"/>
        <v>-14755570.469026836</v>
      </c>
      <c r="S203">
        <f t="shared" si="962"/>
        <v>-147.55570469026836</v>
      </c>
      <c r="T203">
        <f t="shared" si="963"/>
        <v>-0.14755570469026835</v>
      </c>
    </row>
    <row r="204" spans="1:20" x14ac:dyDescent="0.25">
      <c r="A204" s="5">
        <v>44389</v>
      </c>
      <c r="B204">
        <v>12.824999999999999</v>
      </c>
      <c r="C204">
        <v>13.026</v>
      </c>
      <c r="D204">
        <v>12.118</v>
      </c>
      <c r="E204">
        <v>12.589</v>
      </c>
      <c r="F204">
        <v>229578.70800000001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3.7444933920705636E-2</v>
      </c>
      <c r="Q204">
        <f t="shared" si="960"/>
        <v>8596.5595506609752</v>
      </c>
      <c r="R204">
        <f t="shared" si="961"/>
        <v>-14636698.502593959</v>
      </c>
      <c r="S204">
        <f t="shared" si="962"/>
        <v>-146.36698502593958</v>
      </c>
      <c r="T204">
        <f t="shared" si="963"/>
        <v>-0.14636698502593959</v>
      </c>
    </row>
    <row r="205" spans="1:20" x14ac:dyDescent="0.25">
      <c r="A205" s="5">
        <v>44388</v>
      </c>
      <c r="B205">
        <v>12.858000000000001</v>
      </c>
      <c r="C205">
        <v>12.994999999999999</v>
      </c>
      <c r="D205">
        <v>12.5</v>
      </c>
      <c r="E205">
        <v>12.808</v>
      </c>
      <c r="F205">
        <v>295098.935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0.24444444444444571</v>
      </c>
      <c r="Q205">
        <f t="shared" si="960"/>
        <v>72135.295222222601</v>
      </c>
      <c r="R205">
        <f t="shared" si="961"/>
        <v>-14645295.06214462</v>
      </c>
      <c r="S205">
        <f t="shared" si="962"/>
        <v>-146.45295062144621</v>
      </c>
      <c r="T205">
        <f t="shared" si="963"/>
        <v>-0.1464529506214462</v>
      </c>
    </row>
    <row r="206" spans="1:20" x14ac:dyDescent="0.25">
      <c r="A206" s="5">
        <v>44387</v>
      </c>
      <c r="B206">
        <v>12.52</v>
      </c>
      <c r="C206">
        <v>13.4</v>
      </c>
      <c r="D206">
        <v>12.351000000000001</v>
      </c>
      <c r="E206">
        <v>12.84</v>
      </c>
      <c r="F206">
        <v>856288.973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-6.768350810295666E-2</v>
      </c>
      <c r="Q206">
        <f t="shared" si="960"/>
        <v>-57956.641642517934</v>
      </c>
      <c r="R206">
        <f t="shared" si="961"/>
        <v>-14717430.357366843</v>
      </c>
      <c r="S206">
        <f t="shared" si="962"/>
        <v>-147.17430357366842</v>
      </c>
      <c r="T206">
        <f t="shared" si="963"/>
        <v>-0.14717430357366842</v>
      </c>
    </row>
    <row r="207" spans="1:20" x14ac:dyDescent="0.25">
      <c r="A207" s="5">
        <v>44386</v>
      </c>
      <c r="B207">
        <v>12.148</v>
      </c>
      <c r="C207">
        <v>12.648999999999999</v>
      </c>
      <c r="D207">
        <v>11.625</v>
      </c>
      <c r="E207">
        <v>12.516</v>
      </c>
      <c r="F207">
        <v>297631.32199999999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0.74023437500000155</v>
      </c>
      <c r="Q207">
        <f t="shared" si="960"/>
        <v>220316.93562109419</v>
      </c>
      <c r="R207">
        <f t="shared" si="961"/>
        <v>-14659473.715724325</v>
      </c>
      <c r="S207">
        <f t="shared" si="962"/>
        <v>-146.59473715724326</v>
      </c>
      <c r="T207">
        <f t="shared" si="963"/>
        <v>-0.14659473715724325</v>
      </c>
    </row>
    <row r="208" spans="1:20" x14ac:dyDescent="0.25">
      <c r="A208" s="5">
        <v>44385</v>
      </c>
      <c r="B208">
        <v>12.683999999999999</v>
      </c>
      <c r="C208">
        <v>12.967000000000001</v>
      </c>
      <c r="D208">
        <v>11.904</v>
      </c>
      <c r="E208">
        <v>12.164</v>
      </c>
      <c r="F208">
        <v>445968.02299999999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-0.51081843838193863</v>
      </c>
      <c r="Q208">
        <f t="shared" si="960"/>
        <v>-227808.68907714047</v>
      </c>
      <c r="R208">
        <f t="shared" si="961"/>
        <v>-14879790.651345419</v>
      </c>
      <c r="S208">
        <f t="shared" si="962"/>
        <v>-148.79790651345419</v>
      </c>
      <c r="T208">
        <f t="shared" si="963"/>
        <v>-0.1487979065134542</v>
      </c>
    </row>
    <row r="209" spans="1:20" x14ac:dyDescent="0.25">
      <c r="A209" s="5">
        <v>44384</v>
      </c>
      <c r="B209">
        <v>13.069000000000001</v>
      </c>
      <c r="C209">
        <v>13.193</v>
      </c>
      <c r="D209">
        <v>12.5</v>
      </c>
      <c r="E209">
        <v>12.731</v>
      </c>
      <c r="F209">
        <v>325361.815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-0.33333333333333331</v>
      </c>
      <c r="Q209">
        <f t="shared" si="960"/>
        <v>-108453.93833333332</v>
      </c>
      <c r="R209">
        <f t="shared" si="961"/>
        <v>-14651981.962268278</v>
      </c>
      <c r="S209">
        <f t="shared" si="962"/>
        <v>-146.51981962268277</v>
      </c>
      <c r="T209">
        <f t="shared" si="963"/>
        <v>-0.14651981962268276</v>
      </c>
    </row>
    <row r="210" spans="1:20" x14ac:dyDescent="0.25">
      <c r="A210" s="5">
        <v>44383</v>
      </c>
      <c r="B210">
        <v>12.861000000000001</v>
      </c>
      <c r="C210">
        <v>13.45</v>
      </c>
      <c r="D210">
        <v>12.77</v>
      </c>
      <c r="E210">
        <v>13.071</v>
      </c>
      <c r="F210">
        <v>388303.63799999998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-0.11470588235294035</v>
      </c>
      <c r="Q210">
        <f t="shared" si="960"/>
        <v>-44540.711417646737</v>
      </c>
      <c r="R210">
        <f t="shared" si="961"/>
        <v>-14543528.023934945</v>
      </c>
      <c r="S210">
        <f t="shared" si="962"/>
        <v>-145.43528023934945</v>
      </c>
      <c r="T210">
        <f t="shared" si="963"/>
        <v>-0.14543528023934946</v>
      </c>
    </row>
    <row r="211" spans="1:20" x14ac:dyDescent="0.25">
      <c r="A211" s="5">
        <v>44382</v>
      </c>
      <c r="B211">
        <v>13.407999999999999</v>
      </c>
      <c r="C211">
        <v>13.696999999999999</v>
      </c>
      <c r="D211">
        <v>12.231999999999999</v>
      </c>
      <c r="E211">
        <v>12.856</v>
      </c>
      <c r="F211">
        <v>705313.46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-0.14812286689419712</v>
      </c>
      <c r="Q211">
        <f t="shared" si="960"/>
        <v>-104473.05175426562</v>
      </c>
      <c r="R211">
        <f t="shared" si="961"/>
        <v>-14498987.312517298</v>
      </c>
      <c r="S211">
        <f t="shared" si="962"/>
        <v>-144.98987312517298</v>
      </c>
      <c r="T211">
        <f t="shared" si="963"/>
        <v>-0.14498987312517297</v>
      </c>
    </row>
    <row r="212" spans="1:20" x14ac:dyDescent="0.25">
      <c r="A212" s="5">
        <v>44381</v>
      </c>
      <c r="B212">
        <v>13.35</v>
      </c>
      <c r="C212">
        <v>14</v>
      </c>
      <c r="D212">
        <v>12.765000000000001</v>
      </c>
      <c r="E212">
        <v>13.42</v>
      </c>
      <c r="F212">
        <v>426402.30800000002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6.0728744939270711E-2</v>
      </c>
      <c r="Q212">
        <f t="shared" si="960"/>
        <v>25894.87700404835</v>
      </c>
      <c r="R212">
        <f t="shared" si="961"/>
        <v>-14394514.260763032</v>
      </c>
      <c r="S212">
        <f t="shared" si="962"/>
        <v>-143.94514260763032</v>
      </c>
      <c r="T212">
        <f t="shared" si="963"/>
        <v>-0.14394514260763031</v>
      </c>
    </row>
    <row r="213" spans="1:20" x14ac:dyDescent="0.25">
      <c r="A213" s="5">
        <v>44380</v>
      </c>
      <c r="B213">
        <v>12.791</v>
      </c>
      <c r="C213">
        <v>13.4</v>
      </c>
      <c r="D213">
        <v>12.2</v>
      </c>
      <c r="E213">
        <v>13.353999999999999</v>
      </c>
      <c r="F213">
        <v>448582.57900000003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0.92333333333333145</v>
      </c>
      <c r="Q213">
        <f t="shared" si="960"/>
        <v>414191.24794333254</v>
      </c>
      <c r="R213">
        <f t="shared" si="961"/>
        <v>-14420409.13776708</v>
      </c>
      <c r="S213">
        <f t="shared" si="962"/>
        <v>-144.20409137767081</v>
      </c>
      <c r="T213">
        <f t="shared" si="963"/>
        <v>-0.14420409137767082</v>
      </c>
    </row>
    <row r="214" spans="1:20" x14ac:dyDescent="0.25">
      <c r="A214" s="5">
        <v>44379</v>
      </c>
      <c r="B214">
        <v>12.86</v>
      </c>
      <c r="C214">
        <v>13.019</v>
      </c>
      <c r="D214">
        <v>11.865</v>
      </c>
      <c r="E214">
        <v>12.79</v>
      </c>
      <c r="F214">
        <v>470678.79800000001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0.60311958405545751</v>
      </c>
      <c r="Q214">
        <f t="shared" si="960"/>
        <v>283875.6008734827</v>
      </c>
      <c r="R214">
        <f t="shared" si="961"/>
        <v>-14834600.385710413</v>
      </c>
      <c r="S214">
        <f t="shared" si="962"/>
        <v>-148.34600385710414</v>
      </c>
      <c r="T214">
        <f t="shared" si="963"/>
        <v>-0.14834600385710414</v>
      </c>
    </row>
    <row r="215" spans="1:20" x14ac:dyDescent="0.25">
      <c r="A215" s="5">
        <v>44378</v>
      </c>
      <c r="B215">
        <v>12.757</v>
      </c>
      <c r="C215">
        <v>13.445</v>
      </c>
      <c r="D215">
        <v>12.263999999999999</v>
      </c>
      <c r="E215">
        <v>12.869</v>
      </c>
      <c r="F215">
        <v>485312.78399999999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2.4555461473327597E-2</v>
      </c>
      <c r="Q215">
        <f t="shared" si="960"/>
        <v>11917.079370025358</v>
      </c>
      <c r="R215">
        <f t="shared" si="961"/>
        <v>-15118475.986583896</v>
      </c>
      <c r="S215">
        <f t="shared" si="962"/>
        <v>-151.18475986583897</v>
      </c>
      <c r="T215">
        <f t="shared" si="963"/>
        <v>-0.15118475986583896</v>
      </c>
    </row>
    <row r="216" spans="1:20" x14ac:dyDescent="0.25">
      <c r="A216" s="5">
        <v>44377</v>
      </c>
      <c r="B216">
        <v>12.784000000000001</v>
      </c>
      <c r="C216">
        <v>13.034000000000001</v>
      </c>
      <c r="D216">
        <v>12.076000000000001</v>
      </c>
      <c r="E216">
        <v>12.747999999999999</v>
      </c>
      <c r="F216">
        <v>443487.10600000003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0.40292275574112463</v>
      </c>
      <c r="Q216">
        <f t="shared" si="960"/>
        <v>178691.04688517627</v>
      </c>
      <c r="R216">
        <f t="shared" si="961"/>
        <v>-15130393.065953922</v>
      </c>
      <c r="S216">
        <f t="shared" si="962"/>
        <v>-151.30393065953922</v>
      </c>
      <c r="T216">
        <f t="shared" si="963"/>
        <v>-0.15130393065953923</v>
      </c>
    </row>
    <row r="217" spans="1:20" x14ac:dyDescent="0.25">
      <c r="A217" s="5">
        <v>44376</v>
      </c>
      <c r="B217">
        <v>12.2</v>
      </c>
      <c r="C217">
        <v>13.45</v>
      </c>
      <c r="D217">
        <v>12.1</v>
      </c>
      <c r="E217">
        <v>12.798999999999999</v>
      </c>
      <c r="F217">
        <v>565701.02099999995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3.5555555555555597E-2</v>
      </c>
      <c r="Q217">
        <f t="shared" si="960"/>
        <v>20113.814080000022</v>
      </c>
      <c r="R217">
        <f t="shared" si="961"/>
        <v>-15309084.112839097</v>
      </c>
      <c r="S217">
        <f t="shared" si="962"/>
        <v>-153.09084112839096</v>
      </c>
      <c r="T217">
        <f t="shared" si="963"/>
        <v>-0.15309084112839097</v>
      </c>
    </row>
    <row r="218" spans="1:20" x14ac:dyDescent="0.25">
      <c r="A218" s="5">
        <v>44375</v>
      </c>
      <c r="B218">
        <v>11.587</v>
      </c>
      <c r="C218">
        <v>12.568</v>
      </c>
      <c r="D218">
        <v>11.257999999999999</v>
      </c>
      <c r="E218">
        <v>12.170999999999999</v>
      </c>
      <c r="F218">
        <v>591601.86899999995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0.39389312977099222</v>
      </c>
      <c r="Q218">
        <f t="shared" si="960"/>
        <v>233027.91175877853</v>
      </c>
      <c r="R218">
        <f t="shared" si="961"/>
        <v>-15329197.926919097</v>
      </c>
      <c r="S218">
        <f t="shared" si="962"/>
        <v>-153.29197926919096</v>
      </c>
      <c r="T218">
        <f t="shared" si="963"/>
        <v>-0.15329197926919097</v>
      </c>
    </row>
    <row r="219" spans="1:20" x14ac:dyDescent="0.25">
      <c r="A219" s="5">
        <v>44374</v>
      </c>
      <c r="B219">
        <v>11.093999999999999</v>
      </c>
      <c r="C219">
        <v>12</v>
      </c>
      <c r="D219">
        <v>10.57</v>
      </c>
      <c r="E219">
        <v>11.551</v>
      </c>
      <c r="F219">
        <v>377695.31599999999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0.37202797202797211</v>
      </c>
      <c r="Q219">
        <f t="shared" si="960"/>
        <v>140513.22245594408</v>
      </c>
      <c r="R219">
        <f t="shared" si="961"/>
        <v>-15562225.838677876</v>
      </c>
      <c r="S219">
        <f t="shared" si="962"/>
        <v>-155.62225838677875</v>
      </c>
      <c r="T219">
        <f t="shared" si="963"/>
        <v>-0.15562225838677876</v>
      </c>
    </row>
    <row r="220" spans="1:20" x14ac:dyDescent="0.25">
      <c r="A220" s="5">
        <v>44373</v>
      </c>
      <c r="B220">
        <v>11.435</v>
      </c>
      <c r="C220">
        <v>11.646000000000001</v>
      </c>
      <c r="D220">
        <v>10.367000000000001</v>
      </c>
      <c r="E220">
        <v>11.111000000000001</v>
      </c>
      <c r="F220">
        <v>435755.82299999997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0.16340891321344772</v>
      </c>
      <c r="Q220">
        <f t="shared" si="960"/>
        <v>71206.385462861479</v>
      </c>
      <c r="R220">
        <f t="shared" si="961"/>
        <v>-15702739.061133821</v>
      </c>
      <c r="S220">
        <f t="shared" si="962"/>
        <v>-157.02739061133821</v>
      </c>
      <c r="T220">
        <f t="shared" si="963"/>
        <v>-0.15702739061133822</v>
      </c>
    </row>
    <row r="221" spans="1:20" x14ac:dyDescent="0.25">
      <c r="A221" s="5">
        <v>44372</v>
      </c>
      <c r="B221">
        <v>12.379</v>
      </c>
      <c r="C221">
        <v>12.5</v>
      </c>
      <c r="D221">
        <v>10.877000000000001</v>
      </c>
      <c r="E221">
        <v>11.436</v>
      </c>
      <c r="F221">
        <v>660164.73300000001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-0.31115218730745592</v>
      </c>
      <c r="Q221">
        <f t="shared" si="960"/>
        <v>-205411.70065619264</v>
      </c>
      <c r="R221">
        <f t="shared" si="961"/>
        <v>-15773945.446596682</v>
      </c>
      <c r="S221">
        <f t="shared" si="962"/>
        <v>-157.73945446596682</v>
      </c>
      <c r="T221">
        <f t="shared" si="963"/>
        <v>-0.15773945446596682</v>
      </c>
    </row>
    <row r="222" spans="1:20" x14ac:dyDescent="0.25">
      <c r="A222" s="5">
        <v>44371</v>
      </c>
      <c r="B222">
        <v>12.015000000000001</v>
      </c>
      <c r="C222">
        <v>12.5</v>
      </c>
      <c r="D222">
        <v>11.324999999999999</v>
      </c>
      <c r="E222">
        <v>12.393000000000001</v>
      </c>
      <c r="F222">
        <v>608480.397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0.81787234042553314</v>
      </c>
      <c r="Q222">
        <f t="shared" si="960"/>
        <v>497659.28639744758</v>
      </c>
      <c r="R222">
        <f t="shared" si="961"/>
        <v>-15568533.74594049</v>
      </c>
      <c r="S222">
        <f t="shared" si="962"/>
        <v>-155.68533745940491</v>
      </c>
      <c r="T222">
        <f t="shared" si="963"/>
        <v>-0.15568533745940491</v>
      </c>
    </row>
    <row r="223" spans="1:20" x14ac:dyDescent="0.25">
      <c r="A223" s="5">
        <v>44370</v>
      </c>
      <c r="B223">
        <v>10.08</v>
      </c>
      <c r="C223">
        <v>12.654999999999999</v>
      </c>
      <c r="D223">
        <v>9.6199999999999992</v>
      </c>
      <c r="E223">
        <v>11.957000000000001</v>
      </c>
      <c r="F223">
        <v>1162975.8319999999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0.54003294892916076</v>
      </c>
      <c r="Q223">
        <f t="shared" si="960"/>
        <v>628045.2680883042</v>
      </c>
      <c r="R223">
        <f t="shared" si="961"/>
        <v>-16066193.032337938</v>
      </c>
      <c r="S223">
        <f t="shared" si="962"/>
        <v>-160.66193032337938</v>
      </c>
      <c r="T223">
        <f t="shared" si="963"/>
        <v>-0.16066193032337939</v>
      </c>
    </row>
    <row r="224" spans="1:20" x14ac:dyDescent="0.25">
      <c r="A224" s="5">
        <v>44369</v>
      </c>
      <c r="B224">
        <v>10.609</v>
      </c>
      <c r="C224">
        <v>11.74</v>
      </c>
      <c r="D224">
        <v>8.8000000000000007</v>
      </c>
      <c r="E224">
        <v>10.077</v>
      </c>
      <c r="F224">
        <v>1066868.298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-0.13129251700680308</v>
      </c>
      <c r="Q224">
        <f t="shared" si="960"/>
        <v>-140071.82415918406</v>
      </c>
      <c r="R224">
        <f t="shared" si="961"/>
        <v>-16694238.300426241</v>
      </c>
      <c r="S224">
        <f t="shared" si="962"/>
        <v>-166.94238300426241</v>
      </c>
      <c r="T224">
        <f t="shared" si="963"/>
        <v>-0.16694238300426242</v>
      </c>
    </row>
    <row r="225" spans="1:20" x14ac:dyDescent="0.25">
      <c r="A225" s="5">
        <v>44368</v>
      </c>
      <c r="B225">
        <v>12.618</v>
      </c>
      <c r="C225">
        <v>13.035</v>
      </c>
      <c r="D225">
        <v>10.427</v>
      </c>
      <c r="E225">
        <v>10.574</v>
      </c>
      <c r="F225">
        <v>787070.60600000003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-0.88726993865030657</v>
      </c>
      <c r="Q225">
        <f t="shared" si="960"/>
        <v>-698344.08829907968</v>
      </c>
      <c r="R225">
        <f t="shared" si="961"/>
        <v>-16554166.476267057</v>
      </c>
      <c r="S225">
        <f t="shared" si="962"/>
        <v>-165.54166476267056</v>
      </c>
      <c r="T225">
        <f t="shared" si="963"/>
        <v>-0.16554166476267057</v>
      </c>
    </row>
    <row r="226" spans="1:20" x14ac:dyDescent="0.25">
      <c r="A226" s="5">
        <v>44367</v>
      </c>
      <c r="B226">
        <v>12.579000000000001</v>
      </c>
      <c r="C226">
        <v>13.3</v>
      </c>
      <c r="D226">
        <v>12.163</v>
      </c>
      <c r="E226">
        <v>12.609</v>
      </c>
      <c r="F226">
        <v>365891.01799999998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-0.21547933157431917</v>
      </c>
      <c r="Q226">
        <f t="shared" si="960"/>
        <v>-78841.951987687178</v>
      </c>
      <c r="R226">
        <f t="shared" si="961"/>
        <v>-15855822.387967978</v>
      </c>
      <c r="S226">
        <f t="shared" si="962"/>
        <v>-158.55822387967979</v>
      </c>
      <c r="T226">
        <f t="shared" si="963"/>
        <v>-0.1585582238796798</v>
      </c>
    </row>
    <row r="227" spans="1:20" x14ac:dyDescent="0.25">
      <c r="A227" s="5">
        <v>44366</v>
      </c>
      <c r="B227">
        <v>12.757999999999999</v>
      </c>
      <c r="C227">
        <v>12.996</v>
      </c>
      <c r="D227">
        <v>12.534000000000001</v>
      </c>
      <c r="E227">
        <v>12.551</v>
      </c>
      <c r="F227">
        <v>168043.427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-0.92640692640692868</v>
      </c>
      <c r="Q227">
        <f t="shared" si="960"/>
        <v>-155676.59470995708</v>
      </c>
      <c r="R227">
        <f t="shared" si="961"/>
        <v>-15776980.43598029</v>
      </c>
      <c r="S227">
        <f t="shared" si="962"/>
        <v>-157.76980435980289</v>
      </c>
      <c r="T227">
        <f t="shared" si="963"/>
        <v>-0.1577698043598029</v>
      </c>
    </row>
    <row r="228" spans="1:20" x14ac:dyDescent="0.25">
      <c r="A228" s="5">
        <v>44365</v>
      </c>
      <c r="B228">
        <v>14.032999999999999</v>
      </c>
      <c r="C228">
        <v>14.090999999999999</v>
      </c>
      <c r="D228">
        <v>12.500999999999999</v>
      </c>
      <c r="E228">
        <v>12.782999999999999</v>
      </c>
      <c r="F228">
        <v>1317712.0419999999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-0.6452830188679245</v>
      </c>
      <c r="Q228">
        <f t="shared" si="960"/>
        <v>-850297.20446037722</v>
      </c>
      <c r="R228">
        <f t="shared" si="961"/>
        <v>-15621303.841270333</v>
      </c>
      <c r="S228">
        <f t="shared" si="962"/>
        <v>-156.21303841270333</v>
      </c>
      <c r="T228">
        <f t="shared" si="963"/>
        <v>-0.15621303841270331</v>
      </c>
    </row>
    <row r="229" spans="1:20" x14ac:dyDescent="0.25">
      <c r="A229" s="5">
        <v>44364</v>
      </c>
      <c r="B229">
        <v>13.193</v>
      </c>
      <c r="C229">
        <v>14.295999999999999</v>
      </c>
      <c r="D229">
        <v>13.037000000000001</v>
      </c>
      <c r="E229">
        <v>14.05</v>
      </c>
      <c r="F229">
        <v>1093469.3829999999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0.60921366163622093</v>
      </c>
      <c r="Q229">
        <f t="shared" si="960"/>
        <v>666156.48670452926</v>
      </c>
      <c r="R229">
        <f t="shared" si="961"/>
        <v>-14771006.636809956</v>
      </c>
      <c r="S229">
        <f t="shared" si="962"/>
        <v>-147.71006636809958</v>
      </c>
      <c r="T229">
        <f t="shared" si="963"/>
        <v>-0.14771006636809958</v>
      </c>
    </row>
    <row r="230" spans="1:20" x14ac:dyDescent="0.25">
      <c r="A230" s="5">
        <v>44363</v>
      </c>
      <c r="B230">
        <v>13.423</v>
      </c>
      <c r="C230">
        <v>13.79</v>
      </c>
      <c r="D230">
        <v>12.8</v>
      </c>
      <c r="E230">
        <v>13.205</v>
      </c>
      <c r="F230">
        <v>319823.80900000001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-0.18181818181818182</v>
      </c>
      <c r="Q230">
        <f t="shared" si="960"/>
        <v>-58149.783454545461</v>
      </c>
      <c r="R230">
        <f t="shared" si="961"/>
        <v>-15437163.123514485</v>
      </c>
      <c r="S230">
        <f t="shared" si="962"/>
        <v>-154.37163123514483</v>
      </c>
      <c r="T230">
        <f t="shared" si="963"/>
        <v>-0.15437163123514483</v>
      </c>
    </row>
    <row r="231" spans="1:20" x14ac:dyDescent="0.25">
      <c r="A231" s="5">
        <v>44362</v>
      </c>
      <c r="B231">
        <v>13.385</v>
      </c>
      <c r="C231">
        <v>14.064</v>
      </c>
      <c r="D231">
        <v>13.192</v>
      </c>
      <c r="E231">
        <v>13.44</v>
      </c>
      <c r="F231">
        <v>370183.34600000002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-0.43119266055046018</v>
      </c>
      <c r="Q231">
        <f t="shared" si="960"/>
        <v>-159620.34185321155</v>
      </c>
      <c r="R231">
        <f t="shared" si="961"/>
        <v>-15379013.34005994</v>
      </c>
      <c r="S231">
        <f t="shared" si="962"/>
        <v>-153.79013340059939</v>
      </c>
      <c r="T231">
        <f t="shared" si="963"/>
        <v>-0.15379013340059938</v>
      </c>
    </row>
    <row r="232" spans="1:20" x14ac:dyDescent="0.25">
      <c r="A232" s="5">
        <v>44361</v>
      </c>
      <c r="B232">
        <v>13.324</v>
      </c>
      <c r="C232">
        <v>13.885</v>
      </c>
      <c r="D232">
        <v>13.073</v>
      </c>
      <c r="E232">
        <v>13.384</v>
      </c>
      <c r="F232">
        <v>281890.94799999997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-0.23399014778325081</v>
      </c>
      <c r="Q232">
        <f t="shared" si="960"/>
        <v>-65959.704581280661</v>
      </c>
      <c r="R232">
        <f t="shared" si="961"/>
        <v>-15219392.998206729</v>
      </c>
      <c r="S232">
        <f t="shared" si="962"/>
        <v>-152.19392998206729</v>
      </c>
      <c r="T232">
        <f t="shared" si="963"/>
        <v>-0.15219392998206729</v>
      </c>
    </row>
    <row r="233" spans="1:20" x14ac:dyDescent="0.25">
      <c r="A233" s="5">
        <v>44360</v>
      </c>
      <c r="B233">
        <v>12.379</v>
      </c>
      <c r="C233">
        <v>13.365</v>
      </c>
      <c r="D233">
        <v>12.242000000000001</v>
      </c>
      <c r="E233">
        <v>13.313000000000001</v>
      </c>
      <c r="F233">
        <v>208801.81099999999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0.90739091718610931</v>
      </c>
      <c r="Q233">
        <f t="shared" si="960"/>
        <v>189464.86679341065</v>
      </c>
      <c r="R233">
        <f t="shared" si="961"/>
        <v>-15153433.293625448</v>
      </c>
      <c r="S233">
        <f t="shared" si="962"/>
        <v>-151.53433293625449</v>
      </c>
      <c r="T233">
        <f t="shared" si="963"/>
        <v>-0.15153433293625448</v>
      </c>
    </row>
    <row r="234" spans="1:20" x14ac:dyDescent="0.25">
      <c r="A234" s="5">
        <v>44359</v>
      </c>
      <c r="B234">
        <v>13.473000000000001</v>
      </c>
      <c r="C234">
        <v>13.555</v>
      </c>
      <c r="D234">
        <v>12.051</v>
      </c>
      <c r="E234">
        <v>12.343999999999999</v>
      </c>
      <c r="F234">
        <v>370940.94400000002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-0.61037234042553279</v>
      </c>
      <c r="Q234">
        <f t="shared" si="960"/>
        <v>-226412.0921489365</v>
      </c>
      <c r="R234">
        <f t="shared" si="961"/>
        <v>-15342898.160418859</v>
      </c>
      <c r="S234">
        <f t="shared" si="962"/>
        <v>-153.42898160418858</v>
      </c>
      <c r="T234">
        <f t="shared" si="963"/>
        <v>-0.15342898160418858</v>
      </c>
    </row>
    <row r="235" spans="1:20" x14ac:dyDescent="0.25">
      <c r="A235" s="5">
        <v>44358</v>
      </c>
      <c r="B235">
        <v>13.164999999999999</v>
      </c>
      <c r="C235">
        <v>14</v>
      </c>
      <c r="D235">
        <v>12.679</v>
      </c>
      <c r="E235">
        <v>13.476000000000001</v>
      </c>
      <c r="F235">
        <v>364005.19900000002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0.2066616199848611</v>
      </c>
      <c r="Q235">
        <f t="shared" si="960"/>
        <v>75225.904108251751</v>
      </c>
      <c r="R235">
        <f t="shared" si="961"/>
        <v>-15116486.068269921</v>
      </c>
      <c r="S235">
        <f t="shared" si="962"/>
        <v>-151.16486068269921</v>
      </c>
      <c r="T235">
        <f t="shared" si="963"/>
        <v>-0.15116486068269921</v>
      </c>
    </row>
    <row r="236" spans="1:20" x14ac:dyDescent="0.25">
      <c r="A236" s="5">
        <v>44357</v>
      </c>
      <c r="B236">
        <v>13.879</v>
      </c>
      <c r="C236">
        <v>14.257999999999999</v>
      </c>
      <c r="D236">
        <v>12.827</v>
      </c>
      <c r="E236">
        <v>13.161</v>
      </c>
      <c r="F236">
        <v>463655.53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-0.53319357092942021</v>
      </c>
      <c r="Q236">
        <f t="shared" si="960"/>
        <v>-247218.14772187293</v>
      </c>
      <c r="R236">
        <f t="shared" si="961"/>
        <v>-15191711.972378174</v>
      </c>
      <c r="S236">
        <f t="shared" si="962"/>
        <v>-151.91711972378175</v>
      </c>
      <c r="T236">
        <f t="shared" si="963"/>
        <v>-0.15191711972378175</v>
      </c>
    </row>
    <row r="237" spans="1:20" x14ac:dyDescent="0.25">
      <c r="A237" s="5">
        <v>44356</v>
      </c>
      <c r="B237">
        <v>13.882</v>
      </c>
      <c r="C237">
        <v>15.304</v>
      </c>
      <c r="D237">
        <v>13.132999999999999</v>
      </c>
      <c r="E237">
        <v>13.879</v>
      </c>
      <c r="F237">
        <v>1004142.86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-0.31275909719023487</v>
      </c>
      <c r="Q237">
        <f t="shared" si="960"/>
        <v>-314054.81434362038</v>
      </c>
      <c r="R237">
        <f t="shared" si="961"/>
        <v>-14944493.8246563</v>
      </c>
      <c r="S237">
        <f t="shared" si="962"/>
        <v>-149.444938246563</v>
      </c>
      <c r="T237">
        <f t="shared" si="963"/>
        <v>-0.14944493824656299</v>
      </c>
    </row>
    <row r="238" spans="1:20" x14ac:dyDescent="0.25">
      <c r="A238" s="5">
        <v>44355</v>
      </c>
      <c r="B238">
        <v>12.843</v>
      </c>
      <c r="C238">
        <v>14.724</v>
      </c>
      <c r="D238">
        <v>11.318</v>
      </c>
      <c r="E238">
        <v>13.884</v>
      </c>
      <c r="F238">
        <v>1130803.105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0.50675278919553746</v>
      </c>
      <c r="Q238">
        <f t="shared" si="960"/>
        <v>573037.6274897242</v>
      </c>
      <c r="R238">
        <f t="shared" si="961"/>
        <v>-14630439.01031268</v>
      </c>
      <c r="S238">
        <f t="shared" si="962"/>
        <v>-146.30439010312679</v>
      </c>
      <c r="T238">
        <f t="shared" si="963"/>
        <v>-0.14630439010312679</v>
      </c>
    </row>
    <row r="239" spans="1:20" x14ac:dyDescent="0.25">
      <c r="A239" s="5">
        <v>44354</v>
      </c>
      <c r="B239">
        <v>14.673999999999999</v>
      </c>
      <c r="C239">
        <v>14.69</v>
      </c>
      <c r="D239">
        <v>12.685</v>
      </c>
      <c r="E239">
        <v>12.875999999999999</v>
      </c>
      <c r="F239">
        <v>421364.18699999998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-0.80947630922693359</v>
      </c>
      <c r="Q239">
        <f t="shared" si="960"/>
        <v>-341084.32693316747</v>
      </c>
      <c r="R239">
        <f t="shared" si="961"/>
        <v>-15203476.637802403</v>
      </c>
      <c r="S239">
        <f t="shared" si="962"/>
        <v>-152.03476637802405</v>
      </c>
      <c r="T239">
        <f t="shared" si="963"/>
        <v>-0.15203476637802404</v>
      </c>
    </row>
    <row r="240" spans="1:20" x14ac:dyDescent="0.25">
      <c r="A240" s="5">
        <v>44353</v>
      </c>
      <c r="B240">
        <v>14.135</v>
      </c>
      <c r="C240">
        <v>14.9</v>
      </c>
      <c r="D240">
        <v>13.933999999999999</v>
      </c>
      <c r="E240">
        <v>14.643000000000001</v>
      </c>
      <c r="F240">
        <v>208517.122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0.46790890269151264</v>
      </c>
      <c r="Q240">
        <f t="shared" si="960"/>
        <v>97567.017747412276</v>
      </c>
      <c r="R240">
        <f t="shared" si="961"/>
        <v>-14862392.310869236</v>
      </c>
      <c r="S240">
        <f t="shared" si="962"/>
        <v>-148.62392310869237</v>
      </c>
      <c r="T240">
        <f t="shared" si="963"/>
        <v>-0.14862392310869238</v>
      </c>
    </row>
    <row r="241" spans="1:20" x14ac:dyDescent="0.25">
      <c r="A241" s="5">
        <v>44352</v>
      </c>
      <c r="B241">
        <v>14.851000000000001</v>
      </c>
      <c r="C241">
        <v>15.124000000000001</v>
      </c>
      <c r="D241">
        <v>13.711</v>
      </c>
      <c r="E241">
        <v>14.131</v>
      </c>
      <c r="F241">
        <v>368628.02500000002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-0.40552016985138023</v>
      </c>
      <c r="Q241">
        <f t="shared" si="960"/>
        <v>-149486.09930997886</v>
      </c>
      <c r="R241">
        <f t="shared" si="961"/>
        <v>-14959959.328616647</v>
      </c>
      <c r="S241">
        <f t="shared" si="962"/>
        <v>-149.59959328616648</v>
      </c>
      <c r="T241">
        <f t="shared" si="963"/>
        <v>-0.14959959328616648</v>
      </c>
    </row>
    <row r="242" spans="1:20" x14ac:dyDescent="0.25">
      <c r="A242" s="5">
        <v>44351</v>
      </c>
      <c r="B242">
        <v>15.65</v>
      </c>
      <c r="C242">
        <v>15.66</v>
      </c>
      <c r="D242">
        <v>14.093</v>
      </c>
      <c r="E242">
        <v>14.868</v>
      </c>
      <c r="F242">
        <v>670480.50699999998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-1.0848755583917969E-2</v>
      </c>
      <c r="Q242">
        <f t="shared" si="960"/>
        <v>-7273.879144224401</v>
      </c>
      <c r="R242">
        <f t="shared" si="961"/>
        <v>-14810473.229306668</v>
      </c>
      <c r="S242">
        <f t="shared" si="962"/>
        <v>-148.10473229306669</v>
      </c>
      <c r="T242">
        <f t="shared" si="963"/>
        <v>-0.1481047322930667</v>
      </c>
    </row>
    <row r="243" spans="1:20" x14ac:dyDescent="0.25">
      <c r="A243" s="5">
        <v>44350</v>
      </c>
      <c r="B243">
        <v>15.574999999999999</v>
      </c>
      <c r="C243">
        <v>16.100000000000001</v>
      </c>
      <c r="D243">
        <v>15.058</v>
      </c>
      <c r="E243">
        <v>15.65</v>
      </c>
      <c r="F243">
        <v>807777.01699999999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0.13627639155470178</v>
      </c>
      <c r="Q243">
        <f t="shared" si="960"/>
        <v>110080.937057581</v>
      </c>
      <c r="R243">
        <f t="shared" si="961"/>
        <v>-14803199.350162443</v>
      </c>
      <c r="S243">
        <f t="shared" si="962"/>
        <v>-148.03199350162444</v>
      </c>
      <c r="T243">
        <f t="shared" si="963"/>
        <v>-0.14803199350162444</v>
      </c>
    </row>
    <row r="244" spans="1:20" x14ac:dyDescent="0.25">
      <c r="A244" s="5">
        <v>44349</v>
      </c>
      <c r="B244">
        <v>15.265000000000001</v>
      </c>
      <c r="C244">
        <v>16.350000000000001</v>
      </c>
      <c r="D244">
        <v>14.7</v>
      </c>
      <c r="E244">
        <v>15.576000000000001</v>
      </c>
      <c r="F244">
        <v>802693.72499999998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6.1818181818181925E-2</v>
      </c>
      <c r="Q244">
        <f t="shared" si="960"/>
        <v>49621.066636363721</v>
      </c>
      <c r="R244">
        <f t="shared" si="961"/>
        <v>-14913280.287220024</v>
      </c>
      <c r="S244">
        <f t="shared" si="962"/>
        <v>-149.13280287220024</v>
      </c>
      <c r="T244">
        <f t="shared" si="963"/>
        <v>-0.14913280287220024</v>
      </c>
    </row>
    <row r="245" spans="1:20" x14ac:dyDescent="0.25">
      <c r="A245" s="5">
        <v>44348</v>
      </c>
      <c r="B245">
        <v>16.2</v>
      </c>
      <c r="C245">
        <v>16.7</v>
      </c>
      <c r="D245">
        <v>15.065</v>
      </c>
      <c r="E245">
        <v>15.242000000000001</v>
      </c>
      <c r="F245">
        <v>617903.51500000001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-0.78348623853210841</v>
      </c>
      <c r="Q245">
        <f t="shared" si="960"/>
        <v>-484118.90074311825</v>
      </c>
      <c r="R245">
        <f t="shared" si="961"/>
        <v>-14962901.353856387</v>
      </c>
      <c r="S245">
        <f t="shared" si="962"/>
        <v>-149.62901353856387</v>
      </c>
      <c r="T245">
        <f t="shared" si="963"/>
        <v>-0.14962901353856387</v>
      </c>
    </row>
    <row r="246" spans="1:20" x14ac:dyDescent="0.25">
      <c r="A246" s="5">
        <v>44347</v>
      </c>
      <c r="B246">
        <v>15.666</v>
      </c>
      <c r="C246">
        <v>16.63</v>
      </c>
      <c r="D246">
        <v>14.922000000000001</v>
      </c>
      <c r="E246">
        <v>16.245000000000001</v>
      </c>
      <c r="F246">
        <v>875502.07499999995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0.5491803278688544</v>
      </c>
      <c r="Q246">
        <f t="shared" si="960"/>
        <v>480808.51659836236</v>
      </c>
      <c r="R246">
        <f t="shared" si="961"/>
        <v>-14478782.453113269</v>
      </c>
      <c r="S246">
        <f t="shared" si="962"/>
        <v>-144.78782453113269</v>
      </c>
      <c r="T246">
        <f t="shared" si="963"/>
        <v>-0.14478782453113268</v>
      </c>
    </row>
    <row r="247" spans="1:20" x14ac:dyDescent="0.25">
      <c r="A247" s="5">
        <v>44346</v>
      </c>
      <c r="B247">
        <v>16.2</v>
      </c>
      <c r="C247">
        <v>17.385999999999999</v>
      </c>
      <c r="D247">
        <v>14.683999999999999</v>
      </c>
      <c r="E247">
        <v>15.7</v>
      </c>
      <c r="F247">
        <v>1524030.2549999999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-0.24796447076239819</v>
      </c>
      <c r="Q247">
        <f t="shared" si="960"/>
        <v>-377905.35560695775</v>
      </c>
      <c r="R247">
        <f t="shared" si="961"/>
        <v>-14959590.969711632</v>
      </c>
      <c r="S247">
        <f t="shared" si="962"/>
        <v>-149.59590969711633</v>
      </c>
      <c r="T247">
        <f t="shared" si="963"/>
        <v>-0.14959590969711634</v>
      </c>
    </row>
    <row r="248" spans="1:20" x14ac:dyDescent="0.25">
      <c r="A248" s="5">
        <v>44345</v>
      </c>
      <c r="B248">
        <v>19.664999999999999</v>
      </c>
      <c r="C248">
        <v>20.8</v>
      </c>
      <c r="D248">
        <v>15.116</v>
      </c>
      <c r="E248">
        <v>16.138999999999999</v>
      </c>
      <c r="F248">
        <v>2799452.0970000001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-0.64004222378606634</v>
      </c>
      <c r="Q248">
        <f t="shared" si="960"/>
        <v>-1791767.5455464467</v>
      </c>
      <c r="R248">
        <f t="shared" si="961"/>
        <v>-14581685.614104673</v>
      </c>
      <c r="S248">
        <f t="shared" si="962"/>
        <v>-145.81685614104674</v>
      </c>
      <c r="T248">
        <f t="shared" si="963"/>
        <v>-0.14581685614104675</v>
      </c>
    </row>
    <row r="249" spans="1:20" x14ac:dyDescent="0.25">
      <c r="A249" s="5">
        <v>44344</v>
      </c>
      <c r="B249">
        <v>17.952999999999999</v>
      </c>
      <c r="C249">
        <v>23.9</v>
      </c>
      <c r="D249">
        <v>15</v>
      </c>
      <c r="E249">
        <v>19.597999999999999</v>
      </c>
      <c r="F249">
        <v>5179707.9270000001</v>
      </c>
      <c r="G249">
        <v>0</v>
      </c>
      <c r="L249" t="s">
        <v>8</v>
      </c>
      <c r="M249" t="s">
        <v>8</v>
      </c>
      <c r="N249" t="s">
        <v>8</v>
      </c>
      <c r="P249">
        <f t="shared" si="959"/>
        <v>3.3258426966292068E-2</v>
      </c>
      <c r="Q249">
        <f t="shared" si="960"/>
        <v>172268.9377968536</v>
      </c>
      <c r="R249">
        <f t="shared" si="961"/>
        <v>-12789918.068558227</v>
      </c>
      <c r="S249">
        <f t="shared" si="962"/>
        <v>-127.89918068558227</v>
      </c>
      <c r="T249">
        <f t="shared" si="963"/>
        <v>-0.12789918068558226</v>
      </c>
    </row>
    <row r="250" spans="1:20" x14ac:dyDescent="0.25">
      <c r="A250" s="5">
        <v>44343</v>
      </c>
      <c r="B250">
        <v>15.5</v>
      </c>
      <c r="C250">
        <v>18</v>
      </c>
      <c r="D250">
        <v>13.885999999999999</v>
      </c>
      <c r="E250">
        <v>17.998000000000001</v>
      </c>
      <c r="F250">
        <v>1032760.393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0.99902771025765735</v>
      </c>
      <c r="Q250">
        <f t="shared" si="960"/>
        <v>1031756.2506635884</v>
      </c>
      <c r="R250">
        <f t="shared" si="961"/>
        <v>-12962187.006355081</v>
      </c>
      <c r="S250">
        <f t="shared" si="962"/>
        <v>-129.6218700635508</v>
      </c>
      <c r="T250">
        <f t="shared" si="963"/>
        <v>-0.1296218700635508</v>
      </c>
    </row>
    <row r="251" spans="1:20" x14ac:dyDescent="0.25">
      <c r="A251" s="5">
        <v>44342</v>
      </c>
      <c r="B251">
        <v>14.026</v>
      </c>
      <c r="C251">
        <v>15.75</v>
      </c>
      <c r="D251">
        <v>13.816000000000001</v>
      </c>
      <c r="E251">
        <v>15.491</v>
      </c>
      <c r="F251">
        <v>775201.74699999997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0.73216132368148867</v>
      </c>
      <c r="Q251">
        <f t="shared" si="960"/>
        <v>567572.73720372247</v>
      </c>
      <c r="R251">
        <f t="shared" si="961"/>
        <v>-13993943.257018669</v>
      </c>
      <c r="S251">
        <f t="shared" si="962"/>
        <v>-139.93943257018668</v>
      </c>
      <c r="T251">
        <f t="shared" si="963"/>
        <v>-0.13993943257018668</v>
      </c>
    </row>
    <row r="252" spans="1:20" x14ac:dyDescent="0.25">
      <c r="A252" s="5">
        <v>44341</v>
      </c>
      <c r="B252">
        <v>13.528</v>
      </c>
      <c r="C252">
        <v>14.978</v>
      </c>
      <c r="D252">
        <v>12.544</v>
      </c>
      <c r="E252">
        <v>14.010999999999999</v>
      </c>
      <c r="F252">
        <v>833419.71900000004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0.20542317173377089</v>
      </c>
      <c r="Q252">
        <f t="shared" si="960"/>
        <v>171203.7220624481</v>
      </c>
      <c r="R252">
        <f t="shared" si="961"/>
        <v>-14561515.994222391</v>
      </c>
      <c r="S252">
        <f t="shared" si="962"/>
        <v>-145.61515994222393</v>
      </c>
      <c r="T252">
        <f t="shared" si="963"/>
        <v>-0.14561515994222393</v>
      </c>
    </row>
    <row r="253" spans="1:20" x14ac:dyDescent="0.25">
      <c r="A253" s="5">
        <v>44340</v>
      </c>
      <c r="B253">
        <v>11.329000000000001</v>
      </c>
      <c r="C253">
        <v>15.16</v>
      </c>
      <c r="D253">
        <v>11.329000000000001</v>
      </c>
      <c r="E253">
        <v>13.563000000000001</v>
      </c>
      <c r="F253">
        <v>1478856.959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0.16627512398851488</v>
      </c>
      <c r="Q253">
        <f t="shared" si="960"/>
        <v>245897.12421900308</v>
      </c>
      <c r="R253">
        <f t="shared" si="961"/>
        <v>-14732719.716284839</v>
      </c>
      <c r="S253">
        <f t="shared" si="962"/>
        <v>-147.32719716284839</v>
      </c>
      <c r="T253">
        <f t="shared" si="963"/>
        <v>-0.14732719716284839</v>
      </c>
    </row>
    <row r="254" spans="1:20" x14ac:dyDescent="0.25">
      <c r="A254" s="5">
        <v>44339</v>
      </c>
      <c r="B254">
        <v>12.077999999999999</v>
      </c>
      <c r="C254">
        <v>12.653</v>
      </c>
      <c r="D254">
        <v>8.41</v>
      </c>
      <c r="E254">
        <v>11.302</v>
      </c>
      <c r="F254">
        <v>978332.00300000003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0.36318642469950468</v>
      </c>
      <c r="Q254">
        <f t="shared" si="960"/>
        <v>355316.90233867511</v>
      </c>
      <c r="R254">
        <f t="shared" si="961"/>
        <v>-14978616.840503842</v>
      </c>
      <c r="S254">
        <f t="shared" si="962"/>
        <v>-149.78616840503841</v>
      </c>
      <c r="T254">
        <f t="shared" si="963"/>
        <v>-0.14978616840503842</v>
      </c>
    </row>
    <row r="255" spans="1:20" x14ac:dyDescent="0.25">
      <c r="A255" s="5">
        <v>44338</v>
      </c>
      <c r="B255">
        <v>13.914</v>
      </c>
      <c r="C255">
        <v>14.05</v>
      </c>
      <c r="D255">
        <v>11.702</v>
      </c>
      <c r="E255">
        <v>12.069000000000001</v>
      </c>
      <c r="F255">
        <v>1310033.0870000001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-0.68739352640545082</v>
      </c>
      <c r="Q255">
        <f t="shared" si="960"/>
        <v>-900508.2633807488</v>
      </c>
      <c r="R255">
        <f t="shared" si="961"/>
        <v>-15333933.742842516</v>
      </c>
      <c r="S255">
        <f t="shared" si="962"/>
        <v>-153.33933742842515</v>
      </c>
      <c r="T255">
        <f t="shared" si="963"/>
        <v>-0.15333933742842515</v>
      </c>
    </row>
    <row r="256" spans="1:20" x14ac:dyDescent="0.25">
      <c r="A256" s="5">
        <v>44337</v>
      </c>
      <c r="B256">
        <v>13.39</v>
      </c>
      <c r="C256">
        <v>16.614000000000001</v>
      </c>
      <c r="D256">
        <v>12.106999999999999</v>
      </c>
      <c r="E256">
        <v>13.945</v>
      </c>
      <c r="F256">
        <v>1982205.1070000001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-0.18437985356112696</v>
      </c>
      <c r="Q256">
        <f t="shared" si="960"/>
        <v>-365478.68735677801</v>
      </c>
      <c r="R256">
        <f t="shared" si="961"/>
        <v>-14433425.479461767</v>
      </c>
      <c r="S256">
        <f t="shared" si="962"/>
        <v>-144.33425479461766</v>
      </c>
      <c r="T256">
        <f t="shared" si="963"/>
        <v>-0.14433425479461767</v>
      </c>
    </row>
    <row r="257" spans="1:20" x14ac:dyDescent="0.25">
      <c r="A257" s="5">
        <v>44336</v>
      </c>
      <c r="B257">
        <v>12.247</v>
      </c>
      <c r="C257">
        <v>13.7</v>
      </c>
      <c r="D257">
        <v>10.512</v>
      </c>
      <c r="E257">
        <v>13.391</v>
      </c>
      <c r="F257">
        <v>1016700.15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0.8061480552070267</v>
      </c>
      <c r="Q257">
        <f t="shared" si="960"/>
        <v>819610.84865119238</v>
      </c>
      <c r="R257">
        <f t="shared" si="961"/>
        <v>-14067946.792104989</v>
      </c>
      <c r="S257">
        <f t="shared" si="962"/>
        <v>-140.67946792104991</v>
      </c>
      <c r="T257">
        <f t="shared" si="963"/>
        <v>-0.14067946792104991</v>
      </c>
    </row>
    <row r="258" spans="1:20" x14ac:dyDescent="0.25">
      <c r="A258" s="5">
        <v>44335</v>
      </c>
      <c r="B258">
        <v>16.625</v>
      </c>
      <c r="C258">
        <v>19.25</v>
      </c>
      <c r="D258">
        <v>8.3000000000000007</v>
      </c>
      <c r="E258">
        <v>12.305</v>
      </c>
      <c r="F258">
        <v>1895970.3</v>
      </c>
      <c r="G258">
        <v>0</v>
      </c>
      <c r="L258" t="s">
        <v>8</v>
      </c>
      <c r="M258" t="s">
        <v>8</v>
      </c>
      <c r="N258" t="s">
        <v>8</v>
      </c>
      <c r="P258">
        <f t="shared" si="959"/>
        <v>-0.26849315068493163</v>
      </c>
      <c r="Q258">
        <f t="shared" si="960"/>
        <v>-509055.039452055</v>
      </c>
      <c r="R258">
        <f t="shared" si="961"/>
        <v>-14887557.640756182</v>
      </c>
      <c r="S258">
        <f t="shared" si="962"/>
        <v>-148.87557640756182</v>
      </c>
      <c r="T258">
        <f t="shared" si="963"/>
        <v>-0.14887557640756183</v>
      </c>
    </row>
    <row r="259" spans="1:20" x14ac:dyDescent="0.25">
      <c r="A259" s="5">
        <v>44334</v>
      </c>
      <c r="B259">
        <v>14.35</v>
      </c>
      <c r="C259">
        <v>17.664000000000001</v>
      </c>
      <c r="D259">
        <v>14.205</v>
      </c>
      <c r="E259">
        <v>16.655999999999999</v>
      </c>
      <c r="F259">
        <v>1319663.6329999999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0.41717259323503775</v>
      </c>
      <c r="Q259">
        <f t="shared" si="960"/>
        <v>550527.49997658108</v>
      </c>
      <c r="R259">
        <f t="shared" si="961"/>
        <v>-14378502.601304127</v>
      </c>
      <c r="S259">
        <f t="shared" si="962"/>
        <v>-143.78502601304126</v>
      </c>
      <c r="T259">
        <f t="shared" si="963"/>
        <v>-0.14378502601304127</v>
      </c>
    </row>
    <row r="260" spans="1:20" x14ac:dyDescent="0.25">
      <c r="A260" s="5">
        <v>44333</v>
      </c>
      <c r="B260">
        <v>14.192</v>
      </c>
      <c r="C260">
        <v>14.932</v>
      </c>
      <c r="D260">
        <v>12.326000000000001</v>
      </c>
      <c r="E260">
        <v>14.351000000000001</v>
      </c>
      <c r="F260">
        <v>519065.489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0.5541059094397548</v>
      </c>
      <c r="Q260">
        <f t="shared" si="960"/>
        <v>287617.25484113605</v>
      </c>
      <c r="R260">
        <f t="shared" si="961"/>
        <v>-14929030.101280708</v>
      </c>
      <c r="S260">
        <f t="shared" si="962"/>
        <v>-149.29030101280708</v>
      </c>
      <c r="T260">
        <f t="shared" si="963"/>
        <v>-0.14929030101280708</v>
      </c>
    </row>
    <row r="261" spans="1:20" x14ac:dyDescent="0.25">
      <c r="A261" s="5">
        <v>44332</v>
      </c>
      <c r="B261">
        <v>14.429</v>
      </c>
      <c r="C261">
        <v>15.445</v>
      </c>
      <c r="D261">
        <v>13.375</v>
      </c>
      <c r="E261">
        <v>14.192</v>
      </c>
      <c r="F261">
        <v>410659.93400000001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-0.21062801932367145</v>
      </c>
      <c r="Q261">
        <f t="shared" si="960"/>
        <v>-86496.488514009645</v>
      </c>
      <c r="R261">
        <f t="shared" si="961"/>
        <v>-15216647.356121844</v>
      </c>
      <c r="S261">
        <f t="shared" si="962"/>
        <v>-152.16647356121842</v>
      </c>
      <c r="T261">
        <f t="shared" si="963"/>
        <v>-0.15216647356121843</v>
      </c>
    </row>
    <row r="262" spans="1:20" x14ac:dyDescent="0.25">
      <c r="A262" s="5">
        <v>44331</v>
      </c>
      <c r="B262">
        <v>15.515000000000001</v>
      </c>
      <c r="C262">
        <v>15.689</v>
      </c>
      <c r="D262">
        <v>14.351000000000001</v>
      </c>
      <c r="E262">
        <v>14.43</v>
      </c>
      <c r="F262">
        <v>388961.78100000002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-0.88191330343796881</v>
      </c>
      <c r="Q262">
        <f t="shared" ref="Q262:Q325" si="965">F262*P262</f>
        <v>-343030.56919282576</v>
      </c>
      <c r="R262">
        <f t="shared" ref="R262:R325" si="966">R263+Q262</f>
        <v>-15130150.867607834</v>
      </c>
      <c r="S262">
        <f t="shared" ref="S262:S325" si="967">R262/100000</f>
        <v>-151.30150867607833</v>
      </c>
      <c r="T262">
        <f t="shared" ref="T262:T325" si="968">S262/1000</f>
        <v>-0.15130150867607833</v>
      </c>
    </row>
    <row r="263" spans="1:20" x14ac:dyDescent="0.25">
      <c r="A263" s="5">
        <v>44330</v>
      </c>
      <c r="B263">
        <v>15.018000000000001</v>
      </c>
      <c r="C263">
        <v>16.027999999999999</v>
      </c>
      <c r="D263">
        <v>14.621</v>
      </c>
      <c r="E263">
        <v>15.569000000000001</v>
      </c>
      <c r="F263">
        <v>459505.478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0.34754797441364832</v>
      </c>
      <c r="Q263">
        <f t="shared" si="965"/>
        <v>159700.19811087524</v>
      </c>
      <c r="R263">
        <f t="shared" si="966"/>
        <v>-14787120.298415009</v>
      </c>
      <c r="S263">
        <f t="shared" si="967"/>
        <v>-147.8712029841501</v>
      </c>
      <c r="T263">
        <f t="shared" si="968"/>
        <v>-0.1478712029841501</v>
      </c>
    </row>
    <row r="264" spans="1:20" x14ac:dyDescent="0.25">
      <c r="A264" s="5">
        <v>44329</v>
      </c>
      <c r="B264">
        <v>14.494999999999999</v>
      </c>
      <c r="C264">
        <v>16.998000000000001</v>
      </c>
      <c r="D264">
        <v>13.654</v>
      </c>
      <c r="E264">
        <v>15.042999999999999</v>
      </c>
      <c r="F264">
        <v>799587.70900000003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-0.1692583732057423</v>
      </c>
      <c r="Q264">
        <f t="shared" si="965"/>
        <v>-135336.91486064647</v>
      </c>
      <c r="R264">
        <f t="shared" si="966"/>
        <v>-14946820.496525884</v>
      </c>
      <c r="S264">
        <f t="shared" si="967"/>
        <v>-149.46820496525885</v>
      </c>
      <c r="T264">
        <f t="shared" si="968"/>
        <v>-0.14946820496525884</v>
      </c>
    </row>
    <row r="265" spans="1:20" x14ac:dyDescent="0.25">
      <c r="A265" s="5">
        <v>44328</v>
      </c>
      <c r="B265">
        <v>17.027999999999999</v>
      </c>
      <c r="C265">
        <v>17.347999999999999</v>
      </c>
      <c r="D265">
        <v>14.407999999999999</v>
      </c>
      <c r="E265">
        <v>14.494999999999999</v>
      </c>
      <c r="F265">
        <v>406600.261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-0.94081632653061242</v>
      </c>
      <c r="Q265">
        <f t="shared" si="965"/>
        <v>-382536.16392040823</v>
      </c>
      <c r="R265">
        <f t="shared" si="966"/>
        <v>-14811483.581665237</v>
      </c>
      <c r="S265">
        <f t="shared" si="967"/>
        <v>-148.11483581665237</v>
      </c>
      <c r="T265">
        <f t="shared" si="968"/>
        <v>-0.14811483581665238</v>
      </c>
    </row>
    <row r="266" spans="1:20" x14ac:dyDescent="0.25">
      <c r="A266" s="5">
        <v>44327</v>
      </c>
      <c r="B266">
        <v>16.138999999999999</v>
      </c>
      <c r="C266">
        <v>17.5</v>
      </c>
      <c r="D266">
        <v>15.715</v>
      </c>
      <c r="E266">
        <v>17.03</v>
      </c>
      <c r="F266">
        <v>441041.75900000002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0.47338935574229823</v>
      </c>
      <c r="Q266">
        <f t="shared" si="965"/>
        <v>208784.47414845997</v>
      </c>
      <c r="R266">
        <f t="shared" si="966"/>
        <v>-14428947.417744828</v>
      </c>
      <c r="S266">
        <f t="shared" si="967"/>
        <v>-144.28947417744828</v>
      </c>
      <c r="T266">
        <f t="shared" si="968"/>
        <v>-0.14428947417744828</v>
      </c>
    </row>
    <row r="267" spans="1:20" x14ac:dyDescent="0.25">
      <c r="A267" s="5">
        <v>44326</v>
      </c>
      <c r="B267">
        <v>16.797000000000001</v>
      </c>
      <c r="C267">
        <v>18.888000000000002</v>
      </c>
      <c r="D267">
        <v>15.666</v>
      </c>
      <c r="E267">
        <v>16.170999999999999</v>
      </c>
      <c r="F267">
        <v>1069659.0989999999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-0.68653010552451965</v>
      </c>
      <c r="Q267">
        <f t="shared" si="965"/>
        <v>-734353.17411173251</v>
      </c>
      <c r="R267">
        <f t="shared" si="966"/>
        <v>-14637731.891893288</v>
      </c>
      <c r="S267">
        <f t="shared" si="967"/>
        <v>-146.37731891893287</v>
      </c>
      <c r="T267">
        <f t="shared" si="968"/>
        <v>-0.14637731891893288</v>
      </c>
    </row>
    <row r="268" spans="1:20" x14ac:dyDescent="0.25">
      <c r="A268" s="5">
        <v>44325</v>
      </c>
      <c r="B268">
        <v>17.196999999999999</v>
      </c>
      <c r="C268">
        <v>18.318999999999999</v>
      </c>
      <c r="D268">
        <v>16.251000000000001</v>
      </c>
      <c r="E268">
        <v>16.797999999999998</v>
      </c>
      <c r="F268">
        <v>563484.00800000003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-0.47098646034816477</v>
      </c>
      <c r="Q268">
        <f t="shared" si="965"/>
        <v>-265393.33839071699</v>
      </c>
      <c r="R268">
        <f t="shared" si="966"/>
        <v>-13903378.717781555</v>
      </c>
      <c r="S268">
        <f t="shared" si="967"/>
        <v>-139.03378717781555</v>
      </c>
      <c r="T268">
        <f t="shared" si="968"/>
        <v>-0.13903378717781556</v>
      </c>
    </row>
    <row r="269" spans="1:20" x14ac:dyDescent="0.25">
      <c r="A269" s="5">
        <v>44324</v>
      </c>
      <c r="B269">
        <v>17.523</v>
      </c>
      <c r="C269">
        <v>18.5</v>
      </c>
      <c r="D269">
        <v>17.18</v>
      </c>
      <c r="E269">
        <v>17.209</v>
      </c>
      <c r="F269">
        <v>485646.23200000002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-0.95606060606060617</v>
      </c>
      <c r="Q269">
        <f t="shared" si="965"/>
        <v>-464307.23089696979</v>
      </c>
      <c r="R269">
        <f t="shared" si="966"/>
        <v>-13637985.379390838</v>
      </c>
      <c r="S269">
        <f t="shared" si="967"/>
        <v>-136.37985379390838</v>
      </c>
      <c r="T269">
        <f t="shared" si="968"/>
        <v>-0.13637985379390838</v>
      </c>
    </row>
    <row r="270" spans="1:20" x14ac:dyDescent="0.25">
      <c r="A270" s="5">
        <v>44323</v>
      </c>
      <c r="B270">
        <v>17.393000000000001</v>
      </c>
      <c r="C270">
        <v>18.449000000000002</v>
      </c>
      <c r="D270">
        <v>16.814</v>
      </c>
      <c r="E270">
        <v>17.538</v>
      </c>
      <c r="F270">
        <v>441413.652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-0.11437308868501589</v>
      </c>
      <c r="Q270">
        <f t="shared" si="965"/>
        <v>-50485.842766972739</v>
      </c>
      <c r="R270">
        <f t="shared" si="966"/>
        <v>-13173678.148493867</v>
      </c>
      <c r="S270">
        <f t="shared" si="967"/>
        <v>-131.73678148493866</v>
      </c>
      <c r="T270">
        <f t="shared" si="968"/>
        <v>-0.13173678148493867</v>
      </c>
    </row>
    <row r="271" spans="1:20" x14ac:dyDescent="0.25">
      <c r="A271" s="5">
        <v>44322</v>
      </c>
      <c r="B271">
        <v>18.321999999999999</v>
      </c>
      <c r="C271">
        <v>19.2</v>
      </c>
      <c r="D271">
        <v>17.231000000000002</v>
      </c>
      <c r="E271">
        <v>17.396000000000001</v>
      </c>
      <c r="F271">
        <v>739799.20299999998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-0.83240223463687213</v>
      </c>
      <c r="Q271">
        <f t="shared" si="965"/>
        <v>-615810.50975977699</v>
      </c>
      <c r="R271">
        <f t="shared" si="966"/>
        <v>-13123192.305726895</v>
      </c>
      <c r="S271">
        <f t="shared" si="967"/>
        <v>-131.23192305726894</v>
      </c>
      <c r="T271">
        <f t="shared" si="968"/>
        <v>-0.13123192305726894</v>
      </c>
    </row>
    <row r="272" spans="1:20" x14ac:dyDescent="0.25">
      <c r="A272" s="5">
        <v>44321</v>
      </c>
      <c r="B272">
        <v>16.713999999999999</v>
      </c>
      <c r="C272">
        <v>18.579999999999998</v>
      </c>
      <c r="D272">
        <v>16.530999999999999</v>
      </c>
      <c r="E272">
        <v>18.297000000000001</v>
      </c>
      <c r="F272">
        <v>668253.77800000005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0.72376769155685916</v>
      </c>
      <c r="Q272">
        <f t="shared" si="965"/>
        <v>483660.49427720986</v>
      </c>
      <c r="R272">
        <f t="shared" si="966"/>
        <v>-12507381.795967119</v>
      </c>
      <c r="S272">
        <f t="shared" si="967"/>
        <v>-125.07381795967119</v>
      </c>
      <c r="T272">
        <f t="shared" si="968"/>
        <v>-0.12507381795967118</v>
      </c>
    </row>
    <row r="273" spans="1:20" x14ac:dyDescent="0.25">
      <c r="A273" s="5">
        <v>44320</v>
      </c>
      <c r="B273">
        <v>18.260000000000002</v>
      </c>
      <c r="C273">
        <v>19.196000000000002</v>
      </c>
      <c r="D273">
        <v>16.478000000000002</v>
      </c>
      <c r="E273">
        <v>16.655999999999999</v>
      </c>
      <c r="F273">
        <v>834736.34499999997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-0.86902133922001668</v>
      </c>
      <c r="Q273">
        <f t="shared" si="965"/>
        <v>-725403.69642752188</v>
      </c>
      <c r="R273">
        <f t="shared" si="966"/>
        <v>-12991042.290244328</v>
      </c>
      <c r="S273">
        <f t="shared" si="967"/>
        <v>-129.91042290244329</v>
      </c>
      <c r="T273">
        <f t="shared" si="968"/>
        <v>-0.12991042290244328</v>
      </c>
    </row>
    <row r="274" spans="1:20" x14ac:dyDescent="0.25">
      <c r="A274" s="5">
        <v>44319</v>
      </c>
      <c r="B274">
        <v>18.416</v>
      </c>
      <c r="C274">
        <v>19.510000000000002</v>
      </c>
      <c r="D274">
        <v>18.03</v>
      </c>
      <c r="E274">
        <v>18.260999999999999</v>
      </c>
      <c r="F274">
        <v>628650.52300000004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-0.68783783783784047</v>
      </c>
      <c r="Q274">
        <f t="shared" si="965"/>
        <v>-432409.61649594764</v>
      </c>
      <c r="R274">
        <f t="shared" si="966"/>
        <v>-12265638.593816806</v>
      </c>
      <c r="S274">
        <f t="shared" si="967"/>
        <v>-122.65638593816806</v>
      </c>
      <c r="T274">
        <f t="shared" si="968"/>
        <v>-0.12265638593816806</v>
      </c>
    </row>
    <row r="275" spans="1:20" x14ac:dyDescent="0.25">
      <c r="A275" s="5">
        <v>44318</v>
      </c>
      <c r="B275">
        <v>17.065000000000001</v>
      </c>
      <c r="C275">
        <v>19.95</v>
      </c>
      <c r="D275">
        <v>16.5</v>
      </c>
      <c r="E275">
        <v>18.414000000000001</v>
      </c>
      <c r="F275">
        <v>1336362.9920000001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0.10956521739130544</v>
      </c>
      <c r="Q275">
        <f t="shared" si="965"/>
        <v>146418.90173217538</v>
      </c>
      <c r="R275">
        <f t="shared" si="966"/>
        <v>-11833228.977320857</v>
      </c>
      <c r="S275">
        <f t="shared" si="967"/>
        <v>-118.33228977320857</v>
      </c>
      <c r="T275">
        <f t="shared" si="968"/>
        <v>-0.11833228977320857</v>
      </c>
    </row>
    <row r="276" spans="1:20" x14ac:dyDescent="0.25">
      <c r="A276" s="5">
        <v>44317</v>
      </c>
      <c r="B276">
        <v>16.986999999999998</v>
      </c>
      <c r="C276">
        <v>17.349</v>
      </c>
      <c r="D276">
        <v>16.303999999999998</v>
      </c>
      <c r="E276">
        <v>17.058</v>
      </c>
      <c r="F276">
        <v>398992.2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0.44306220095693799</v>
      </c>
      <c r="Q276">
        <f t="shared" si="965"/>
        <v>176778.3622966508</v>
      </c>
      <c r="R276">
        <f t="shared" si="966"/>
        <v>-11979647.879053032</v>
      </c>
      <c r="S276">
        <f t="shared" si="967"/>
        <v>-119.79647879053032</v>
      </c>
      <c r="T276">
        <f t="shared" si="968"/>
        <v>-0.11979647879053032</v>
      </c>
    </row>
    <row r="277" spans="1:20" x14ac:dyDescent="0.25">
      <c r="A277" s="5">
        <v>44316</v>
      </c>
      <c r="B277">
        <v>16.477</v>
      </c>
      <c r="C277">
        <v>17.626000000000001</v>
      </c>
      <c r="D277">
        <v>16.210999999999999</v>
      </c>
      <c r="E277">
        <v>16.984000000000002</v>
      </c>
      <c r="F277">
        <v>452579.625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9.2579505300355858E-2</v>
      </c>
      <c r="Q277">
        <f t="shared" si="965"/>
        <v>41899.597791520566</v>
      </c>
      <c r="R277">
        <f t="shared" si="966"/>
        <v>-12156426.241349682</v>
      </c>
      <c r="S277">
        <f t="shared" si="967"/>
        <v>-121.56426241349682</v>
      </c>
      <c r="T277">
        <f t="shared" si="968"/>
        <v>-0.12156426241349683</v>
      </c>
    </row>
    <row r="278" spans="1:20" x14ac:dyDescent="0.25">
      <c r="A278" s="5">
        <v>44315</v>
      </c>
      <c r="B278">
        <v>17.202999999999999</v>
      </c>
      <c r="C278">
        <v>17.475000000000001</v>
      </c>
      <c r="D278">
        <v>15.888999999999999</v>
      </c>
      <c r="E278">
        <v>16.477</v>
      </c>
      <c r="F278">
        <v>623395.83999999997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-0.25851197982345497</v>
      </c>
      <c r="Q278">
        <f t="shared" si="965"/>
        <v>-161155.29281210576</v>
      </c>
      <c r="R278">
        <f t="shared" si="966"/>
        <v>-12198325.839141203</v>
      </c>
      <c r="S278">
        <f t="shared" si="967"/>
        <v>-121.98325839141204</v>
      </c>
      <c r="T278">
        <f t="shared" si="968"/>
        <v>-0.12198325839141204</v>
      </c>
    </row>
    <row r="279" spans="1:20" x14ac:dyDescent="0.25">
      <c r="A279" s="5">
        <v>44314</v>
      </c>
      <c r="B279">
        <v>17.829000000000001</v>
      </c>
      <c r="C279">
        <v>18.795000000000002</v>
      </c>
      <c r="D279">
        <v>16.873000000000001</v>
      </c>
      <c r="E279">
        <v>17.204999999999998</v>
      </c>
      <c r="F279">
        <v>1043419.263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-0.65452653485952439</v>
      </c>
      <c r="Q279">
        <f t="shared" si="965"/>
        <v>-682945.59461706877</v>
      </c>
      <c r="R279">
        <f t="shared" si="966"/>
        <v>-12037170.546329098</v>
      </c>
      <c r="S279">
        <f t="shared" si="967"/>
        <v>-120.37170546329098</v>
      </c>
      <c r="T279">
        <f t="shared" si="968"/>
        <v>-0.12037170546329098</v>
      </c>
    </row>
    <row r="280" spans="1:20" x14ac:dyDescent="0.25">
      <c r="A280" s="5">
        <v>44313</v>
      </c>
      <c r="B280">
        <v>15.087</v>
      </c>
      <c r="C280">
        <v>17.946999999999999</v>
      </c>
      <c r="D280">
        <v>15.036</v>
      </c>
      <c r="E280">
        <v>17.774999999999999</v>
      </c>
      <c r="F280">
        <v>1105996.3670000001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0.88182755066987251</v>
      </c>
      <c r="Q280">
        <f t="shared" si="965"/>
        <v>975298.06736138754</v>
      </c>
      <c r="R280">
        <f t="shared" si="966"/>
        <v>-11354224.951712029</v>
      </c>
      <c r="S280">
        <f t="shared" si="967"/>
        <v>-113.5422495171203</v>
      </c>
      <c r="T280">
        <f t="shared" si="968"/>
        <v>-0.1135422495171203</v>
      </c>
    </row>
    <row r="281" spans="1:20" x14ac:dyDescent="0.25">
      <c r="A281" s="5">
        <v>44312</v>
      </c>
      <c r="B281">
        <v>13.476000000000001</v>
      </c>
      <c r="C281">
        <v>15.185</v>
      </c>
      <c r="D281">
        <v>13.301</v>
      </c>
      <c r="E281">
        <v>15.076000000000001</v>
      </c>
      <c r="F281">
        <v>901529.40500000003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0.88428874734607221</v>
      </c>
      <c r="Q281">
        <f t="shared" si="965"/>
        <v>797212.30824309983</v>
      </c>
      <c r="R281">
        <f t="shared" si="966"/>
        <v>-12329523.019073417</v>
      </c>
      <c r="S281">
        <f t="shared" si="967"/>
        <v>-123.29523019073417</v>
      </c>
      <c r="T281">
        <f t="shared" si="968"/>
        <v>-0.12329523019073417</v>
      </c>
    </row>
    <row r="282" spans="1:20" x14ac:dyDescent="0.25">
      <c r="A282" s="5">
        <v>44311</v>
      </c>
      <c r="B282">
        <v>12.882999999999999</v>
      </c>
      <c r="C282">
        <v>13.89</v>
      </c>
      <c r="D282">
        <v>12.59</v>
      </c>
      <c r="E282">
        <v>13.476000000000001</v>
      </c>
      <c r="F282">
        <v>555967.95799999998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0.36307692307692391</v>
      </c>
      <c r="Q282">
        <f t="shared" si="965"/>
        <v>201859.13552000045</v>
      </c>
      <c r="R282">
        <f t="shared" si="966"/>
        <v>-13126735.327316517</v>
      </c>
      <c r="S282">
        <f t="shared" si="967"/>
        <v>-131.26735327316516</v>
      </c>
      <c r="T282">
        <f t="shared" si="968"/>
        <v>-0.13126735327316516</v>
      </c>
    </row>
    <row r="283" spans="1:20" x14ac:dyDescent="0.25">
      <c r="A283" s="5">
        <v>44310</v>
      </c>
      <c r="B283">
        <v>14.215</v>
      </c>
      <c r="C283">
        <v>14.428000000000001</v>
      </c>
      <c r="D283">
        <v>12.467000000000001</v>
      </c>
      <c r="E283">
        <v>12.832000000000001</v>
      </c>
      <c r="F283">
        <v>868743.52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-0.62774094849566531</v>
      </c>
      <c r="Q283">
        <f t="shared" si="965"/>
        <v>-545345.88124426303</v>
      </c>
      <c r="R283">
        <f t="shared" si="966"/>
        <v>-13328594.462836517</v>
      </c>
      <c r="S283">
        <f t="shared" si="967"/>
        <v>-133.28594462836517</v>
      </c>
      <c r="T283">
        <f t="shared" si="968"/>
        <v>-0.13328594462836518</v>
      </c>
    </row>
    <row r="284" spans="1:20" x14ac:dyDescent="0.25">
      <c r="A284" s="5">
        <v>44309</v>
      </c>
      <c r="B284">
        <v>12.1</v>
      </c>
      <c r="C284">
        <v>14.8</v>
      </c>
      <c r="D284">
        <v>11.002000000000001</v>
      </c>
      <c r="E284">
        <v>14.215</v>
      </c>
      <c r="F284">
        <v>1966348.4310000001</v>
      </c>
      <c r="G284">
        <v>0</v>
      </c>
      <c r="L284" t="s">
        <v>8</v>
      </c>
      <c r="M284" t="s">
        <v>8</v>
      </c>
      <c r="N284" t="s">
        <v>7</v>
      </c>
      <c r="P284">
        <f t="shared" si="964"/>
        <v>0.6919431279620849</v>
      </c>
      <c r="Q284">
        <f t="shared" si="965"/>
        <v>1360601.2840094781</v>
      </c>
      <c r="R284">
        <f t="shared" si="966"/>
        <v>-12783248.581592254</v>
      </c>
      <c r="S284">
        <f t="shared" si="967"/>
        <v>-127.83248581592254</v>
      </c>
      <c r="T284">
        <f t="shared" si="968"/>
        <v>-0.12783248581592255</v>
      </c>
    </row>
    <row r="285" spans="1:20" x14ac:dyDescent="0.25">
      <c r="A285" s="5">
        <v>44308</v>
      </c>
      <c r="B285">
        <v>12.585000000000001</v>
      </c>
      <c r="C285">
        <v>13.99</v>
      </c>
      <c r="D285">
        <v>11.76</v>
      </c>
      <c r="E285">
        <v>12.1</v>
      </c>
      <c r="F285">
        <v>1392254.1059999999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-0.69506726457399126</v>
      </c>
      <c r="Q285">
        <f t="shared" si="965"/>
        <v>-967710.25304932764</v>
      </c>
      <c r="R285">
        <f t="shared" si="966"/>
        <v>-14143849.865601731</v>
      </c>
      <c r="S285">
        <f t="shared" si="967"/>
        <v>-141.43849865601732</v>
      </c>
      <c r="T285">
        <f t="shared" si="968"/>
        <v>-0.14143849865601732</v>
      </c>
    </row>
    <row r="286" spans="1:20" x14ac:dyDescent="0.25">
      <c r="A286" s="5">
        <v>44307</v>
      </c>
      <c r="B286">
        <v>13.035</v>
      </c>
      <c r="C286">
        <v>13.574</v>
      </c>
      <c r="D286">
        <v>11.743</v>
      </c>
      <c r="E286">
        <v>12.573</v>
      </c>
      <c r="F286">
        <v>1212126.2239999999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-9.3391589295466634E-2</v>
      </c>
      <c r="Q286">
        <f t="shared" si="965"/>
        <v>-113202.39448607278</v>
      </c>
      <c r="R286">
        <f t="shared" si="966"/>
        <v>-13176139.612552404</v>
      </c>
      <c r="S286">
        <f t="shared" si="967"/>
        <v>-131.76139612552404</v>
      </c>
      <c r="T286">
        <f t="shared" si="968"/>
        <v>-0.13176139612552404</v>
      </c>
    </row>
    <row r="287" spans="1:20" x14ac:dyDescent="0.25">
      <c r="A287" s="5">
        <v>44306</v>
      </c>
      <c r="B287">
        <v>12.804</v>
      </c>
      <c r="C287">
        <v>13.943</v>
      </c>
      <c r="D287">
        <v>11.364000000000001</v>
      </c>
      <c r="E287">
        <v>13.035</v>
      </c>
      <c r="F287">
        <v>1455402.3319999999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0.29585110507948825</v>
      </c>
      <c r="Q287">
        <f t="shared" si="965"/>
        <v>430582.38825746422</v>
      </c>
      <c r="R287">
        <f t="shared" si="966"/>
        <v>-13062937.218066331</v>
      </c>
      <c r="S287">
        <f t="shared" si="967"/>
        <v>-130.6293721806633</v>
      </c>
      <c r="T287">
        <f t="shared" si="968"/>
        <v>-0.13062937218066328</v>
      </c>
    </row>
    <row r="288" spans="1:20" x14ac:dyDescent="0.25">
      <c r="A288" s="5">
        <v>44305</v>
      </c>
      <c r="B288">
        <v>16.157</v>
      </c>
      <c r="C288">
        <v>16.8</v>
      </c>
      <c r="D288">
        <v>12.535</v>
      </c>
      <c r="E288">
        <v>12.84</v>
      </c>
      <c r="F288">
        <v>1566050.7720000001</v>
      </c>
      <c r="G288">
        <v>0</v>
      </c>
      <c r="L288" t="s">
        <v>7</v>
      </c>
      <c r="M288" t="s">
        <v>8</v>
      </c>
      <c r="N288" t="s">
        <v>8</v>
      </c>
      <c r="P288">
        <f t="shared" si="964"/>
        <v>-0.85697538100820647</v>
      </c>
      <c r="Q288">
        <f t="shared" si="965"/>
        <v>-1342066.957012896</v>
      </c>
      <c r="R288">
        <f t="shared" si="966"/>
        <v>-13493519.606323795</v>
      </c>
      <c r="S288">
        <f t="shared" si="967"/>
        <v>-134.93519606323795</v>
      </c>
      <c r="T288">
        <f t="shared" si="968"/>
        <v>-0.13493519606323795</v>
      </c>
    </row>
    <row r="289" spans="1:20" x14ac:dyDescent="0.25">
      <c r="A289" s="5">
        <v>44304</v>
      </c>
      <c r="B289">
        <v>15.396000000000001</v>
      </c>
      <c r="C289">
        <v>17</v>
      </c>
      <c r="D289">
        <v>9</v>
      </c>
      <c r="E289">
        <v>16.111999999999998</v>
      </c>
      <c r="F289">
        <v>2542116.8659999999</v>
      </c>
      <c r="G289">
        <v>0</v>
      </c>
      <c r="L289" t="s">
        <v>8</v>
      </c>
      <c r="M289" t="s">
        <v>7</v>
      </c>
      <c r="N289" t="s">
        <v>7</v>
      </c>
      <c r="P289">
        <f t="shared" si="964"/>
        <v>0.77799999999999958</v>
      </c>
      <c r="Q289">
        <f t="shared" si="965"/>
        <v>1977766.9217479988</v>
      </c>
      <c r="R289">
        <f t="shared" si="966"/>
        <v>-12151452.6493109</v>
      </c>
      <c r="S289">
        <f t="shared" si="967"/>
        <v>-121.514526493109</v>
      </c>
      <c r="T289">
        <f t="shared" si="968"/>
        <v>-0.121514526493109</v>
      </c>
    </row>
    <row r="290" spans="1:20" x14ac:dyDescent="0.25">
      <c r="A290" s="5">
        <v>44303</v>
      </c>
      <c r="B290">
        <v>14.795</v>
      </c>
      <c r="C290">
        <v>15.5</v>
      </c>
      <c r="D290">
        <v>14.304</v>
      </c>
      <c r="E290">
        <v>15.356</v>
      </c>
      <c r="F290">
        <v>519471.397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0.75919732441471544</v>
      </c>
      <c r="Q290">
        <f t="shared" si="965"/>
        <v>394381.29471237445</v>
      </c>
      <c r="R290">
        <f t="shared" si="966"/>
        <v>-14129219.571058899</v>
      </c>
      <c r="S290">
        <f t="shared" si="967"/>
        <v>-141.292195710589</v>
      </c>
      <c r="T290">
        <f t="shared" si="968"/>
        <v>-0.14129219571058899</v>
      </c>
    </row>
    <row r="291" spans="1:20" x14ac:dyDescent="0.25">
      <c r="A291" s="5">
        <v>44302</v>
      </c>
      <c r="B291">
        <v>15.315</v>
      </c>
      <c r="C291">
        <v>15.663</v>
      </c>
      <c r="D291">
        <v>13.8</v>
      </c>
      <c r="E291">
        <v>14.795</v>
      </c>
      <c r="F291">
        <v>744216.34699999995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6.8169618894256004E-2</v>
      </c>
      <c r="Q291">
        <f t="shared" si="965"/>
        <v>50732.944749865383</v>
      </c>
      <c r="R291">
        <f t="shared" si="966"/>
        <v>-14523600.865771273</v>
      </c>
      <c r="S291">
        <f t="shared" si="967"/>
        <v>-145.23600865771274</v>
      </c>
      <c r="T291">
        <f t="shared" si="968"/>
        <v>-0.14523600865771275</v>
      </c>
    </row>
    <row r="292" spans="1:20" x14ac:dyDescent="0.25">
      <c r="A292" s="5">
        <v>44301</v>
      </c>
      <c r="B292">
        <v>15.327999999999999</v>
      </c>
      <c r="C292">
        <v>15.95</v>
      </c>
      <c r="D292">
        <v>14.666</v>
      </c>
      <c r="E292">
        <v>15.318</v>
      </c>
      <c r="F292">
        <v>702185.73800000001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1.5576323987538622E-2</v>
      </c>
      <c r="Q292">
        <f t="shared" si="965"/>
        <v>10937.472554516909</v>
      </c>
      <c r="R292">
        <f t="shared" si="966"/>
        <v>-14574333.810521139</v>
      </c>
      <c r="S292">
        <f t="shared" si="967"/>
        <v>-145.74333810521139</v>
      </c>
      <c r="T292">
        <f t="shared" si="968"/>
        <v>-0.1457433381052114</v>
      </c>
    </row>
    <row r="293" spans="1:20" x14ac:dyDescent="0.25">
      <c r="A293" s="5">
        <v>44300</v>
      </c>
      <c r="B293">
        <v>16.094999999999999</v>
      </c>
      <c r="C293">
        <v>16.265000000000001</v>
      </c>
      <c r="D293">
        <v>13.5</v>
      </c>
      <c r="E293">
        <v>15.307</v>
      </c>
      <c r="F293">
        <v>946439.08700000006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0.30705244122965641</v>
      </c>
      <c r="Q293">
        <f t="shared" si="965"/>
        <v>290606.43213851721</v>
      </c>
      <c r="R293">
        <f t="shared" si="966"/>
        <v>-14585271.283075655</v>
      </c>
      <c r="S293">
        <f t="shared" si="967"/>
        <v>-145.85271283075656</v>
      </c>
      <c r="T293">
        <f t="shared" si="968"/>
        <v>-0.14585271283075657</v>
      </c>
    </row>
    <row r="294" spans="1:20" x14ac:dyDescent="0.25">
      <c r="A294" s="5">
        <v>44299</v>
      </c>
      <c r="B294">
        <v>16.23</v>
      </c>
      <c r="C294">
        <v>16.536999999999999</v>
      </c>
      <c r="D294">
        <v>15.526999999999999</v>
      </c>
      <c r="E294">
        <v>16.094999999999999</v>
      </c>
      <c r="F294">
        <v>567189.67299999995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0.12475247524752422</v>
      </c>
      <c r="Q294">
        <f t="shared" si="965"/>
        <v>70758.31564158386</v>
      </c>
      <c r="R294">
        <f t="shared" si="966"/>
        <v>-14875877.715214172</v>
      </c>
      <c r="S294">
        <f t="shared" si="967"/>
        <v>-148.75877715214173</v>
      </c>
      <c r="T294">
        <f t="shared" si="968"/>
        <v>-0.14875877715214172</v>
      </c>
    </row>
    <row r="295" spans="1:20" x14ac:dyDescent="0.25">
      <c r="A295" s="5">
        <v>44298</v>
      </c>
      <c r="B295">
        <v>17.088999999999999</v>
      </c>
      <c r="C295">
        <v>18.021999999999998</v>
      </c>
      <c r="D295">
        <v>15.957000000000001</v>
      </c>
      <c r="E295">
        <v>16.23</v>
      </c>
      <c r="F295">
        <v>640229.37800000003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-0.73559322033898311</v>
      </c>
      <c r="Q295">
        <f t="shared" si="965"/>
        <v>-470948.3899186441</v>
      </c>
      <c r="R295">
        <f t="shared" si="966"/>
        <v>-14946636.030855756</v>
      </c>
      <c r="S295">
        <f t="shared" si="967"/>
        <v>-149.46636030855757</v>
      </c>
      <c r="T295">
        <f t="shared" si="968"/>
        <v>-0.14946636030855756</v>
      </c>
    </row>
    <row r="296" spans="1:20" x14ac:dyDescent="0.25">
      <c r="A296" s="5">
        <v>44297</v>
      </c>
      <c r="B296">
        <v>17.2</v>
      </c>
      <c r="C296">
        <v>17.498000000000001</v>
      </c>
      <c r="D296">
        <v>16.079999999999998</v>
      </c>
      <c r="E296">
        <v>17.053999999999998</v>
      </c>
      <c r="F296">
        <v>1116709.355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0.37376586741889739</v>
      </c>
      <c r="Q296">
        <f t="shared" si="965"/>
        <v>417387.84072637244</v>
      </c>
      <c r="R296">
        <f t="shared" si="966"/>
        <v>-14475687.640937112</v>
      </c>
      <c r="S296">
        <f t="shared" si="967"/>
        <v>-144.75687640937113</v>
      </c>
      <c r="T296">
        <f t="shared" si="968"/>
        <v>-0.14475687640937113</v>
      </c>
    </row>
    <row r="297" spans="1:20" x14ac:dyDescent="0.25">
      <c r="A297" s="5">
        <v>44296</v>
      </c>
      <c r="B297">
        <v>16.123000000000001</v>
      </c>
      <c r="C297">
        <v>19.559000000000001</v>
      </c>
      <c r="D297">
        <v>15.288</v>
      </c>
      <c r="E297">
        <v>17.225999999999999</v>
      </c>
      <c r="F297">
        <v>2484590.727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-9.248419573870359E-2</v>
      </c>
      <c r="Q297">
        <f t="shared" si="965"/>
        <v>-229785.37512643586</v>
      </c>
      <c r="R297">
        <f t="shared" si="966"/>
        <v>-14893075.481663484</v>
      </c>
      <c r="S297">
        <f t="shared" si="967"/>
        <v>-148.93075481663485</v>
      </c>
      <c r="T297">
        <f t="shared" si="968"/>
        <v>-0.14893075481663484</v>
      </c>
    </row>
    <row r="298" spans="1:20" x14ac:dyDescent="0.25">
      <c r="A298" s="5">
        <v>44295</v>
      </c>
      <c r="B298">
        <v>16.919</v>
      </c>
      <c r="C298">
        <v>17.873000000000001</v>
      </c>
      <c r="D298">
        <v>16.079999999999998</v>
      </c>
      <c r="E298">
        <v>16.094000000000001</v>
      </c>
      <c r="F298">
        <v>778572.13399999996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-0.9843837144450609</v>
      </c>
      <c r="Q298">
        <f t="shared" si="965"/>
        <v>-766413.72923033766</v>
      </c>
      <c r="R298">
        <f t="shared" si="966"/>
        <v>-14663290.106537048</v>
      </c>
      <c r="S298">
        <f t="shared" si="967"/>
        <v>-146.63290106537048</v>
      </c>
      <c r="T298">
        <f t="shared" si="968"/>
        <v>-0.14663290106537047</v>
      </c>
    </row>
    <row r="299" spans="1:20" x14ac:dyDescent="0.25">
      <c r="A299" s="5">
        <v>44294</v>
      </c>
      <c r="B299">
        <v>16.581</v>
      </c>
      <c r="C299">
        <v>18.38</v>
      </c>
      <c r="D299">
        <v>16.385000000000002</v>
      </c>
      <c r="E299">
        <v>16.919</v>
      </c>
      <c r="F299">
        <v>1227226.091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-0.46466165413533872</v>
      </c>
      <c r="Q299">
        <f t="shared" si="965"/>
        <v>-570244.90544210572</v>
      </c>
      <c r="R299">
        <f t="shared" si="966"/>
        <v>-13896876.377306711</v>
      </c>
      <c r="S299">
        <f t="shared" si="967"/>
        <v>-138.96876377306711</v>
      </c>
      <c r="T299">
        <f t="shared" si="968"/>
        <v>-0.13896876377306711</v>
      </c>
    </row>
    <row r="300" spans="1:20" x14ac:dyDescent="0.25">
      <c r="A300" s="5">
        <v>44293</v>
      </c>
      <c r="B300">
        <v>18.466000000000001</v>
      </c>
      <c r="C300">
        <v>21.5</v>
      </c>
      <c r="D300">
        <v>16.533999999999999</v>
      </c>
      <c r="E300">
        <v>16.565999999999999</v>
      </c>
      <c r="F300">
        <v>2931523.79</v>
      </c>
      <c r="G300">
        <v>0</v>
      </c>
      <c r="L300" t="s">
        <v>8</v>
      </c>
      <c r="M300" t="s">
        <v>7</v>
      </c>
      <c r="N300" t="s">
        <v>8</v>
      </c>
      <c r="P300">
        <f t="shared" si="964"/>
        <v>-0.9871123640757149</v>
      </c>
      <c r="Q300">
        <f t="shared" si="965"/>
        <v>-2893743.3786910996</v>
      </c>
      <c r="R300">
        <f t="shared" si="966"/>
        <v>-13326631.471864605</v>
      </c>
      <c r="S300">
        <f t="shared" si="967"/>
        <v>-133.26631471864604</v>
      </c>
      <c r="T300">
        <f t="shared" si="968"/>
        <v>-0.13326631471864606</v>
      </c>
    </row>
    <row r="301" spans="1:20" x14ac:dyDescent="0.25">
      <c r="A301" s="5">
        <v>44292</v>
      </c>
      <c r="B301">
        <v>15.585000000000001</v>
      </c>
      <c r="C301">
        <v>20.9</v>
      </c>
      <c r="D301">
        <v>15</v>
      </c>
      <c r="E301">
        <v>18.428999999999998</v>
      </c>
      <c r="F301">
        <v>3865990.8450000002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0.16237288135593198</v>
      </c>
      <c r="Q301">
        <f t="shared" si="965"/>
        <v>627732.07279830426</v>
      </c>
      <c r="R301">
        <f t="shared" si="966"/>
        <v>-10432888.093173506</v>
      </c>
      <c r="S301">
        <f t="shared" si="967"/>
        <v>-104.32888093173506</v>
      </c>
      <c r="T301">
        <f t="shared" si="968"/>
        <v>-0.10432888093173506</v>
      </c>
    </row>
    <row r="302" spans="1:20" x14ac:dyDescent="0.25">
      <c r="A302" s="5">
        <v>44291</v>
      </c>
      <c r="B302">
        <v>16.616</v>
      </c>
      <c r="C302">
        <v>17</v>
      </c>
      <c r="D302">
        <v>15.26</v>
      </c>
      <c r="E302">
        <v>15.564</v>
      </c>
      <c r="F302">
        <v>872083.652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-0.65057471264367794</v>
      </c>
      <c r="Q302">
        <f t="shared" si="965"/>
        <v>-567355.5713011492</v>
      </c>
      <c r="R302">
        <f t="shared" si="966"/>
        <v>-11060620.16597181</v>
      </c>
      <c r="S302">
        <f t="shared" si="967"/>
        <v>-110.6062016597181</v>
      </c>
      <c r="T302">
        <f t="shared" si="968"/>
        <v>-0.1106062016597181</v>
      </c>
    </row>
    <row r="303" spans="1:20" x14ac:dyDescent="0.25">
      <c r="A303" s="5">
        <v>44290</v>
      </c>
      <c r="B303">
        <v>15.201000000000001</v>
      </c>
      <c r="C303">
        <v>18.8</v>
      </c>
      <c r="D303">
        <v>14.868</v>
      </c>
      <c r="E303">
        <v>16.59</v>
      </c>
      <c r="F303">
        <v>2038745.9750000001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-0.12410986775178059</v>
      </c>
      <c r="Q303">
        <f t="shared" si="965"/>
        <v>-253028.49333672499</v>
      </c>
      <c r="R303">
        <f t="shared" si="966"/>
        <v>-10493264.594670661</v>
      </c>
      <c r="S303">
        <f t="shared" si="967"/>
        <v>-104.93264594670661</v>
      </c>
      <c r="T303">
        <f t="shared" si="968"/>
        <v>-0.10493264594670662</v>
      </c>
    </row>
    <row r="304" spans="1:20" x14ac:dyDescent="0.25">
      <c r="A304" s="5">
        <v>44289</v>
      </c>
      <c r="B304">
        <v>13.525</v>
      </c>
      <c r="C304">
        <v>17.484000000000002</v>
      </c>
      <c r="D304">
        <v>13.356</v>
      </c>
      <c r="E304">
        <v>15.234</v>
      </c>
      <c r="F304">
        <v>2646977.4019999998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-9.011627906976781E-2</v>
      </c>
      <c r="Q304">
        <f t="shared" si="965"/>
        <v>-238535.75425000096</v>
      </c>
      <c r="R304">
        <f t="shared" si="966"/>
        <v>-10240236.101333937</v>
      </c>
      <c r="S304">
        <f t="shared" si="967"/>
        <v>-102.40236101333937</v>
      </c>
      <c r="T304">
        <f t="shared" si="968"/>
        <v>-0.10240236101333937</v>
      </c>
    </row>
    <row r="305" spans="1:20" x14ac:dyDescent="0.25">
      <c r="A305" s="5">
        <v>44288</v>
      </c>
      <c r="B305">
        <v>13.215</v>
      </c>
      <c r="C305">
        <v>15.199</v>
      </c>
      <c r="D305">
        <v>12.577</v>
      </c>
      <c r="E305">
        <v>13.526999999999999</v>
      </c>
      <c r="F305">
        <v>3417441.3480000002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-0.27536231884058021</v>
      </c>
      <c r="Q305">
        <f t="shared" si="965"/>
        <v>-941034.57408695831</v>
      </c>
      <c r="R305">
        <f t="shared" si="966"/>
        <v>-10001700.347083936</v>
      </c>
      <c r="S305">
        <f t="shared" si="967"/>
        <v>-100.01700347083936</v>
      </c>
      <c r="T305">
        <f t="shared" si="968"/>
        <v>-0.10001700347083936</v>
      </c>
    </row>
    <row r="306" spans="1:20" x14ac:dyDescent="0.25">
      <c r="A306" s="5">
        <v>44287</v>
      </c>
      <c r="B306">
        <v>10.493</v>
      </c>
      <c r="C306">
        <v>13.375</v>
      </c>
      <c r="D306">
        <v>10.282</v>
      </c>
      <c r="E306">
        <v>13.215</v>
      </c>
      <c r="F306">
        <v>2130965.9840000002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0.89654057549304877</v>
      </c>
      <c r="Q306">
        <f t="shared" si="965"/>
        <v>1910497.4696514711</v>
      </c>
      <c r="R306">
        <f t="shared" si="966"/>
        <v>-9060665.772996977</v>
      </c>
      <c r="S306">
        <f t="shared" si="967"/>
        <v>-90.606657729969768</v>
      </c>
      <c r="T306">
        <f t="shared" si="968"/>
        <v>-9.0606657729969772E-2</v>
      </c>
    </row>
    <row r="307" spans="1:20" x14ac:dyDescent="0.25">
      <c r="A307" s="5">
        <v>44286</v>
      </c>
      <c r="B307">
        <v>10.042</v>
      </c>
      <c r="C307">
        <v>10.821</v>
      </c>
      <c r="D307">
        <v>9.0109999999999992</v>
      </c>
      <c r="E307">
        <v>10.493</v>
      </c>
      <c r="F307">
        <v>1007719.062</v>
      </c>
      <c r="G307">
        <v>0</v>
      </c>
      <c r="L307" t="s">
        <v>8</v>
      </c>
      <c r="M307" t="s">
        <v>7</v>
      </c>
      <c r="N307" t="s">
        <v>8</v>
      </c>
      <c r="P307">
        <f t="shared" si="964"/>
        <v>0.63756906077348141</v>
      </c>
      <c r="Q307">
        <f t="shared" si="965"/>
        <v>642490.49588287366</v>
      </c>
      <c r="R307">
        <f t="shared" si="966"/>
        <v>-10971163.242648449</v>
      </c>
      <c r="S307">
        <f t="shared" si="967"/>
        <v>-109.71163242648448</v>
      </c>
      <c r="T307">
        <f t="shared" si="968"/>
        <v>-0.10971163242648449</v>
      </c>
    </row>
    <row r="308" spans="1:20" x14ac:dyDescent="0.25">
      <c r="A308" s="5">
        <v>44285</v>
      </c>
      <c r="B308">
        <v>10.324999999999999</v>
      </c>
      <c r="C308">
        <v>10.71</v>
      </c>
      <c r="D308">
        <v>9.9</v>
      </c>
      <c r="E308">
        <v>10.037000000000001</v>
      </c>
      <c r="F308">
        <v>547345.95799999998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-0.66172839506172743</v>
      </c>
      <c r="Q308">
        <f t="shared" si="965"/>
        <v>-362194.36233086366</v>
      </c>
      <c r="R308">
        <f t="shared" si="966"/>
        <v>-11613653.738531323</v>
      </c>
      <c r="S308">
        <f t="shared" si="967"/>
        <v>-116.13653738531323</v>
      </c>
      <c r="T308">
        <f t="shared" si="968"/>
        <v>-0.11613653738531324</v>
      </c>
    </row>
    <row r="309" spans="1:20" x14ac:dyDescent="0.25">
      <c r="A309" s="5">
        <v>44284</v>
      </c>
      <c r="B309">
        <v>10.182</v>
      </c>
      <c r="C309">
        <v>10.824999999999999</v>
      </c>
      <c r="D309">
        <v>9.8070000000000004</v>
      </c>
      <c r="E309">
        <v>10.291</v>
      </c>
      <c r="F309">
        <v>1057075.719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-4.9115913555991146E-2</v>
      </c>
      <c r="Q309">
        <f t="shared" si="965"/>
        <v>-51919.239636541191</v>
      </c>
      <c r="R309">
        <f t="shared" si="966"/>
        <v>-11251459.37620046</v>
      </c>
      <c r="S309">
        <f t="shared" si="967"/>
        <v>-112.51459376200459</v>
      </c>
      <c r="T309">
        <f t="shared" si="968"/>
        <v>-0.11251459376200459</v>
      </c>
    </row>
    <row r="310" spans="1:20" x14ac:dyDescent="0.25">
      <c r="A310" s="5">
        <v>44283</v>
      </c>
      <c r="B310">
        <v>10.558999999999999</v>
      </c>
      <c r="C310">
        <v>12.09</v>
      </c>
      <c r="D310">
        <v>9.8209999999999997</v>
      </c>
      <c r="E310">
        <v>10.196</v>
      </c>
      <c r="F310">
        <v>1648229.199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-0.66945791097399743</v>
      </c>
      <c r="Q310">
        <f t="shared" si="965"/>
        <v>-1103420.0763688851</v>
      </c>
      <c r="R310">
        <f t="shared" si="966"/>
        <v>-11199540.136563919</v>
      </c>
      <c r="S310">
        <f t="shared" si="967"/>
        <v>-111.9954013656392</v>
      </c>
      <c r="T310">
        <f t="shared" si="968"/>
        <v>-0.11199540136563919</v>
      </c>
    </row>
    <row r="311" spans="1:20" x14ac:dyDescent="0.25">
      <c r="A311" s="5">
        <v>44282</v>
      </c>
      <c r="B311">
        <v>8.2769999999999992</v>
      </c>
      <c r="C311">
        <v>11.846</v>
      </c>
      <c r="D311">
        <v>8.0030000000000001</v>
      </c>
      <c r="E311">
        <v>10.585000000000001</v>
      </c>
      <c r="F311">
        <v>2696119.639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0.34374186833203269</v>
      </c>
      <c r="Q311">
        <f t="shared" si="965"/>
        <v>926769.20195654547</v>
      </c>
      <c r="R311">
        <f t="shared" si="966"/>
        <v>-10096120.060195034</v>
      </c>
      <c r="S311">
        <f t="shared" si="967"/>
        <v>-100.96120060195034</v>
      </c>
      <c r="T311">
        <f t="shared" si="968"/>
        <v>-0.10096120060195034</v>
      </c>
    </row>
    <row r="312" spans="1:20" x14ac:dyDescent="0.25">
      <c r="A312" s="5">
        <v>44281</v>
      </c>
      <c r="B312">
        <v>7.0839999999999996</v>
      </c>
      <c r="C312">
        <v>8.6999999999999993</v>
      </c>
      <c r="D312">
        <v>7.0839999999999996</v>
      </c>
      <c r="E312">
        <v>8.26</v>
      </c>
      <c r="F312">
        <v>1074840.8119999999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0.45544554455445596</v>
      </c>
      <c r="Q312">
        <f t="shared" si="965"/>
        <v>489531.45893069357</v>
      </c>
      <c r="R312">
        <f t="shared" si="966"/>
        <v>-11022889.26215158</v>
      </c>
      <c r="S312">
        <f t="shared" si="967"/>
        <v>-110.2288926215158</v>
      </c>
      <c r="T312">
        <f t="shared" si="968"/>
        <v>-0.11022889262151579</v>
      </c>
    </row>
    <row r="313" spans="1:20" x14ac:dyDescent="0.25">
      <c r="A313" s="5">
        <v>44280</v>
      </c>
      <c r="B313">
        <v>7.0279999999999996</v>
      </c>
      <c r="C313">
        <v>7.36</v>
      </c>
      <c r="D313">
        <v>6.5449999999999999</v>
      </c>
      <c r="E313">
        <v>7.0990000000000002</v>
      </c>
      <c r="F313">
        <v>882003.95499999996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0.35950920245398776</v>
      </c>
      <c r="Q313">
        <f t="shared" si="965"/>
        <v>317088.53842331289</v>
      </c>
      <c r="R313">
        <f t="shared" si="966"/>
        <v>-11512420.721082274</v>
      </c>
      <c r="S313">
        <f t="shared" si="967"/>
        <v>-115.12420721082273</v>
      </c>
      <c r="T313">
        <f t="shared" si="968"/>
        <v>-0.11512420721082273</v>
      </c>
    </row>
    <row r="314" spans="1:20" x14ac:dyDescent="0.25">
      <c r="A314" s="5">
        <v>44279</v>
      </c>
      <c r="B314">
        <v>8.0139999999999993</v>
      </c>
      <c r="C314">
        <v>8.65</v>
      </c>
      <c r="D314">
        <v>6.7939999999999996</v>
      </c>
      <c r="E314">
        <v>7.0279999999999996</v>
      </c>
      <c r="F314">
        <v>957654.27500000002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-0.74784482758620696</v>
      </c>
      <c r="Q314">
        <f t="shared" si="965"/>
        <v>-716176.79617456906</v>
      </c>
      <c r="R314">
        <f t="shared" si="966"/>
        <v>-11829509.259505587</v>
      </c>
      <c r="S314">
        <f t="shared" si="967"/>
        <v>-118.29509259505586</v>
      </c>
      <c r="T314">
        <f t="shared" si="968"/>
        <v>-0.11829509259505586</v>
      </c>
    </row>
    <row r="315" spans="1:20" x14ac:dyDescent="0.25">
      <c r="A315" s="5">
        <v>44278</v>
      </c>
      <c r="B315">
        <v>8.84</v>
      </c>
      <c r="C315">
        <v>9.266</v>
      </c>
      <c r="D315">
        <v>7.8819999999999997</v>
      </c>
      <c r="E315">
        <v>8.01</v>
      </c>
      <c r="F315">
        <v>1039420.611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-0.81502890173410392</v>
      </c>
      <c r="Q315">
        <f t="shared" si="965"/>
        <v>-847157.83902312128</v>
      </c>
      <c r="R315">
        <f t="shared" si="966"/>
        <v>-11113332.463331018</v>
      </c>
      <c r="S315">
        <f t="shared" si="967"/>
        <v>-111.13332463331018</v>
      </c>
      <c r="T315">
        <f t="shared" si="968"/>
        <v>-0.11113332463331019</v>
      </c>
    </row>
    <row r="316" spans="1:20" x14ac:dyDescent="0.25">
      <c r="A316" s="5">
        <v>44277</v>
      </c>
      <c r="B316">
        <v>9.5739999999999998</v>
      </c>
      <c r="C316">
        <v>10</v>
      </c>
      <c r="D316">
        <v>8.73</v>
      </c>
      <c r="E316">
        <v>8.8160000000000007</v>
      </c>
      <c r="F316">
        <v>1228771.33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-0.8645669291338578</v>
      </c>
      <c r="Q316">
        <f t="shared" si="965"/>
        <v>-1062355.0553858262</v>
      </c>
      <c r="R316">
        <f t="shared" si="966"/>
        <v>-10266174.624307897</v>
      </c>
      <c r="S316">
        <f t="shared" si="967"/>
        <v>-102.66174624307897</v>
      </c>
      <c r="T316">
        <f t="shared" si="968"/>
        <v>-0.10266174624307897</v>
      </c>
    </row>
    <row r="317" spans="1:20" x14ac:dyDescent="0.25">
      <c r="A317" s="5">
        <v>44276</v>
      </c>
      <c r="B317">
        <v>8.3330000000000002</v>
      </c>
      <c r="C317">
        <v>9.766</v>
      </c>
      <c r="D317">
        <v>8.1199999999999992</v>
      </c>
      <c r="E317">
        <v>9.5739999999999998</v>
      </c>
      <c r="F317">
        <v>1079492.746</v>
      </c>
      <c r="G317">
        <v>0</v>
      </c>
      <c r="L317" t="s">
        <v>8</v>
      </c>
      <c r="M317" t="s">
        <v>7</v>
      </c>
      <c r="N317" t="s">
        <v>8</v>
      </c>
      <c r="P317">
        <f t="shared" si="964"/>
        <v>0.76670716889428914</v>
      </c>
      <c r="Q317">
        <f t="shared" si="965"/>
        <v>827654.82712758204</v>
      </c>
      <c r="R317">
        <f t="shared" si="966"/>
        <v>-9203819.5689220708</v>
      </c>
      <c r="S317">
        <f t="shared" si="967"/>
        <v>-92.038195689220714</v>
      </c>
      <c r="T317">
        <f t="shared" si="968"/>
        <v>-9.2038195689220711E-2</v>
      </c>
    </row>
    <row r="318" spans="1:20" x14ac:dyDescent="0.25">
      <c r="A318" s="5">
        <v>44275</v>
      </c>
      <c r="B318">
        <v>8.8979999999999997</v>
      </c>
      <c r="C318">
        <v>9.6969999999999992</v>
      </c>
      <c r="D318">
        <v>8.2840000000000007</v>
      </c>
      <c r="E318">
        <v>8.3369999999999997</v>
      </c>
      <c r="F318">
        <v>1347661.683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-0.92498230714791352</v>
      </c>
      <c r="Q318">
        <f t="shared" si="965"/>
        <v>-1246563.21279618</v>
      </c>
      <c r="R318">
        <f t="shared" si="966"/>
        <v>-10031474.396049652</v>
      </c>
      <c r="S318">
        <f t="shared" si="967"/>
        <v>-100.31474396049653</v>
      </c>
      <c r="T318">
        <f t="shared" si="968"/>
        <v>-0.10031474396049653</v>
      </c>
    </row>
    <row r="319" spans="1:20" x14ac:dyDescent="0.25">
      <c r="A319" s="5">
        <v>44274</v>
      </c>
      <c r="B319">
        <v>7.5010000000000003</v>
      </c>
      <c r="C319">
        <v>9.32</v>
      </c>
      <c r="D319">
        <v>7.1239999999999997</v>
      </c>
      <c r="E319">
        <v>8.9149999999999991</v>
      </c>
      <c r="F319">
        <v>2194316.9389999998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0.63114754098360559</v>
      </c>
      <c r="Q319">
        <f t="shared" si="965"/>
        <v>1384937.7401885223</v>
      </c>
      <c r="R319">
        <f t="shared" si="966"/>
        <v>-8784911.1832534727</v>
      </c>
      <c r="S319">
        <f t="shared" si="967"/>
        <v>-87.849111832534732</v>
      </c>
      <c r="T319">
        <f t="shared" si="968"/>
        <v>-8.7849111832534729E-2</v>
      </c>
    </row>
    <row r="320" spans="1:20" x14ac:dyDescent="0.25">
      <c r="A320" s="5">
        <v>44273</v>
      </c>
      <c r="B320">
        <v>7.6070000000000002</v>
      </c>
      <c r="C320">
        <v>8.1980000000000004</v>
      </c>
      <c r="D320">
        <v>7.0190000000000001</v>
      </c>
      <c r="E320">
        <v>7.4939999999999998</v>
      </c>
      <c r="F320">
        <v>859045.09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-0.19423240033927136</v>
      </c>
      <c r="Q320">
        <f t="shared" si="965"/>
        <v>-166854.3898303654</v>
      </c>
      <c r="R320">
        <f t="shared" si="966"/>
        <v>-10169848.923441995</v>
      </c>
      <c r="S320">
        <f t="shared" si="967"/>
        <v>-101.69848923441995</v>
      </c>
      <c r="T320">
        <f t="shared" si="968"/>
        <v>-0.10169848923441996</v>
      </c>
    </row>
    <row r="321" spans="1:20" x14ac:dyDescent="0.25">
      <c r="A321" s="5">
        <v>44272</v>
      </c>
      <c r="B321">
        <v>7.1070000000000002</v>
      </c>
      <c r="C321">
        <v>7.79</v>
      </c>
      <c r="D321">
        <v>6.625</v>
      </c>
      <c r="E321">
        <v>7.6159999999999997</v>
      </c>
      <c r="F321">
        <v>1352847.7350000001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0.70128755364806805</v>
      </c>
      <c r="Q321">
        <f t="shared" si="965"/>
        <v>948735.27853647992</v>
      </c>
      <c r="R321">
        <f t="shared" si="966"/>
        <v>-10002994.533611629</v>
      </c>
      <c r="S321">
        <f t="shared" si="967"/>
        <v>-100.02994533611628</v>
      </c>
      <c r="T321">
        <f t="shared" si="968"/>
        <v>-0.10002994533611628</v>
      </c>
    </row>
    <row r="322" spans="1:20" x14ac:dyDescent="0.25">
      <c r="A322" s="5">
        <v>44271</v>
      </c>
      <c r="B322">
        <v>6.4740000000000002</v>
      </c>
      <c r="C322">
        <v>7.99</v>
      </c>
      <c r="D322">
        <v>6.431</v>
      </c>
      <c r="E322">
        <v>7.109</v>
      </c>
      <c r="F322">
        <v>1773425.1259999999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-0.13021167415009638</v>
      </c>
      <c r="Q322">
        <f t="shared" si="965"/>
        <v>-230920.65463630561</v>
      </c>
      <c r="R322">
        <f t="shared" si="966"/>
        <v>-10951729.812148109</v>
      </c>
      <c r="S322">
        <f t="shared" si="967"/>
        <v>-109.51729812148109</v>
      </c>
      <c r="T322">
        <f t="shared" si="968"/>
        <v>-0.10951729812148109</v>
      </c>
    </row>
    <row r="323" spans="1:20" x14ac:dyDescent="0.25">
      <c r="A323" s="5">
        <v>44270</v>
      </c>
      <c r="B323">
        <v>6.492</v>
      </c>
      <c r="C323">
        <v>6.8129999999999997</v>
      </c>
      <c r="D323">
        <v>6.0250000000000004</v>
      </c>
      <c r="E323">
        <v>6.4619999999999997</v>
      </c>
      <c r="F323">
        <v>1246716.4809999999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0.10913705583756279</v>
      </c>
      <c r="Q323">
        <f t="shared" si="965"/>
        <v>136062.96620050678</v>
      </c>
      <c r="R323">
        <f t="shared" si="966"/>
        <v>-10720809.157511804</v>
      </c>
      <c r="S323">
        <f t="shared" si="967"/>
        <v>-107.20809157511805</v>
      </c>
      <c r="T323">
        <f t="shared" si="968"/>
        <v>-0.10720809157511804</v>
      </c>
    </row>
    <row r="324" spans="1:20" x14ac:dyDescent="0.25">
      <c r="A324" s="5">
        <v>44269</v>
      </c>
      <c r="B324">
        <v>6.9820000000000002</v>
      </c>
      <c r="C324">
        <v>7.649</v>
      </c>
      <c r="D324">
        <v>6.4740000000000002</v>
      </c>
      <c r="E324">
        <v>6.4740000000000002</v>
      </c>
      <c r="F324">
        <v>1621670.5360000001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-1</v>
      </c>
      <c r="Q324">
        <f t="shared" si="965"/>
        <v>-1621670.5360000001</v>
      </c>
      <c r="R324">
        <f t="shared" si="966"/>
        <v>-10856872.123712311</v>
      </c>
      <c r="S324">
        <f t="shared" si="967"/>
        <v>-108.5687212371231</v>
      </c>
      <c r="T324">
        <f t="shared" si="968"/>
        <v>-0.10856872123712311</v>
      </c>
    </row>
    <row r="325" spans="1:20" x14ac:dyDescent="0.25">
      <c r="A325" s="5">
        <v>44268</v>
      </c>
      <c r="B325">
        <v>5.9779999999999998</v>
      </c>
      <c r="C325">
        <v>7.2350000000000003</v>
      </c>
      <c r="D325">
        <v>5.6639999999999997</v>
      </c>
      <c r="E325">
        <v>6.9820000000000002</v>
      </c>
      <c r="F325">
        <v>1837189.078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0.67791215786123482</v>
      </c>
      <c r="Q325">
        <f t="shared" si="965"/>
        <v>1245452.8122660725</v>
      </c>
      <c r="R325">
        <f t="shared" si="966"/>
        <v>-9235201.5877123103</v>
      </c>
      <c r="S325">
        <f t="shared" si="967"/>
        <v>-92.352015877123108</v>
      </c>
      <c r="T325">
        <f t="shared" si="968"/>
        <v>-9.2352015877123106E-2</v>
      </c>
    </row>
    <row r="326" spans="1:20" x14ac:dyDescent="0.25">
      <c r="A326" s="5">
        <v>44267</v>
      </c>
      <c r="B326">
        <v>6.3440000000000003</v>
      </c>
      <c r="C326">
        <v>6.5369999999999999</v>
      </c>
      <c r="D326">
        <v>5.7910000000000004</v>
      </c>
      <c r="E326">
        <v>5.9640000000000004</v>
      </c>
      <c r="F326">
        <v>1935804.5919999999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-0.5361930294906162</v>
      </c>
      <c r="Q326">
        <f t="shared" ref="Q326:Q389" si="970">F326*P326</f>
        <v>-1037964.9286863263</v>
      </c>
      <c r="R326">
        <f t="shared" ref="R326:R389" si="971">R327+Q326</f>
        <v>-10480654.399978383</v>
      </c>
      <c r="S326">
        <f t="shared" ref="S326:S389" si="972">R326/100000</f>
        <v>-104.80654399978383</v>
      </c>
      <c r="T326">
        <f t="shared" ref="T326:T389" si="973">S326/1000</f>
        <v>-0.10480654399978383</v>
      </c>
    </row>
    <row r="327" spans="1:20" x14ac:dyDescent="0.25">
      <c r="A327" s="5">
        <v>44266</v>
      </c>
      <c r="B327">
        <v>6.5179999999999998</v>
      </c>
      <c r="C327">
        <v>8</v>
      </c>
      <c r="D327">
        <v>6.3289999999999997</v>
      </c>
      <c r="E327">
        <v>6.3419999999999996</v>
      </c>
      <c r="F327">
        <v>5841489.5039999997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-0.98444045481747466</v>
      </c>
      <c r="Q327">
        <f t="shared" si="970"/>
        <v>-5750598.5841292646</v>
      </c>
      <c r="R327">
        <f t="shared" si="971"/>
        <v>-9442689.4712920561</v>
      </c>
      <c r="S327">
        <f t="shared" si="972"/>
        <v>-94.426894712920557</v>
      </c>
      <c r="T327">
        <f t="shared" si="973"/>
        <v>-9.4426894712920553E-2</v>
      </c>
    </row>
    <row r="328" spans="1:20" x14ac:dyDescent="0.25">
      <c r="A328" s="5">
        <v>44265</v>
      </c>
      <c r="B328">
        <v>4.7869999999999999</v>
      </c>
      <c r="C328">
        <v>6.7110000000000003</v>
      </c>
      <c r="D328">
        <v>4.4240000000000004</v>
      </c>
      <c r="E328">
        <v>6.508</v>
      </c>
      <c r="F328">
        <v>3011985.2740000002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0.82247485789243524</v>
      </c>
      <c r="Q328">
        <f t="shared" si="970"/>
        <v>2477282.1602072576</v>
      </c>
      <c r="R328">
        <f t="shared" si="971"/>
        <v>-3692090.8871627906</v>
      </c>
      <c r="S328">
        <f t="shared" si="972"/>
        <v>-36.920908871627908</v>
      </c>
      <c r="T328">
        <f t="shared" si="973"/>
        <v>-3.6920908871627911E-2</v>
      </c>
    </row>
    <row r="329" spans="1:20" x14ac:dyDescent="0.25">
      <c r="A329" s="5">
        <v>44264</v>
      </c>
      <c r="B329">
        <v>4.58</v>
      </c>
      <c r="C329">
        <v>4.9980000000000002</v>
      </c>
      <c r="D329">
        <v>4.4989999999999997</v>
      </c>
      <c r="E329">
        <v>4.7770000000000001</v>
      </c>
      <c r="F329">
        <v>774633.32900000003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0.1142284569138283</v>
      </c>
      <c r="Q329">
        <f t="shared" si="970"/>
        <v>88485.169845691882</v>
      </c>
      <c r="R329">
        <f t="shared" si="971"/>
        <v>-6169373.0473700482</v>
      </c>
      <c r="S329">
        <f t="shared" si="972"/>
        <v>-61.693730473700484</v>
      </c>
      <c r="T329">
        <f t="shared" si="973"/>
        <v>-6.1693730473700484E-2</v>
      </c>
    </row>
    <row r="330" spans="1:20" x14ac:dyDescent="0.25">
      <c r="A330" s="5">
        <v>44263</v>
      </c>
      <c r="B330">
        <v>4.2919999999999998</v>
      </c>
      <c r="C330">
        <v>4.76</v>
      </c>
      <c r="D330">
        <v>4.2220000000000004</v>
      </c>
      <c r="E330">
        <v>4.5789999999999997</v>
      </c>
      <c r="F330">
        <v>913231.13899999997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0.32713754646840049</v>
      </c>
      <c r="Q330">
        <f t="shared" si="970"/>
        <v>298752.19417100277</v>
      </c>
      <c r="R330">
        <f t="shared" si="971"/>
        <v>-6257858.2172157401</v>
      </c>
      <c r="S330">
        <f t="shared" si="972"/>
        <v>-62.578582172157404</v>
      </c>
      <c r="T330">
        <f t="shared" si="973"/>
        <v>-6.2578582172157407E-2</v>
      </c>
    </row>
    <row r="331" spans="1:20" x14ac:dyDescent="0.25">
      <c r="A331" s="5">
        <v>44262</v>
      </c>
      <c r="B331">
        <v>4.0910000000000002</v>
      </c>
      <c r="C331">
        <v>4.3890000000000002</v>
      </c>
      <c r="D331">
        <v>4.0839999999999996</v>
      </c>
      <c r="E331">
        <v>4.2919999999999998</v>
      </c>
      <c r="F331">
        <v>531750.46699999995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0.36393442622950672</v>
      </c>
      <c r="Q331">
        <f t="shared" si="970"/>
        <v>193522.30110491722</v>
      </c>
      <c r="R331">
        <f t="shared" si="971"/>
        <v>-6556610.4113867432</v>
      </c>
      <c r="S331">
        <f t="shared" si="972"/>
        <v>-65.566104113867425</v>
      </c>
      <c r="T331">
        <f t="shared" si="973"/>
        <v>-6.5566104113867429E-2</v>
      </c>
    </row>
    <row r="332" spans="1:20" x14ac:dyDescent="0.25">
      <c r="A332" s="5">
        <v>44261</v>
      </c>
      <c r="B332">
        <v>4.0229999999999997</v>
      </c>
      <c r="C332">
        <v>4.1289999999999996</v>
      </c>
      <c r="D332">
        <v>3.9020000000000001</v>
      </c>
      <c r="E332">
        <v>4.08</v>
      </c>
      <c r="F332">
        <v>232212.94399999999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0.56828193832599461</v>
      </c>
      <c r="Q332">
        <f t="shared" si="970"/>
        <v>131962.42192070564</v>
      </c>
      <c r="R332">
        <f t="shared" si="971"/>
        <v>-6750132.7124916604</v>
      </c>
      <c r="S332">
        <f t="shared" si="972"/>
        <v>-67.5013271249166</v>
      </c>
      <c r="T332">
        <f t="shared" si="973"/>
        <v>-6.7501327124916605E-2</v>
      </c>
    </row>
    <row r="333" spans="1:20" x14ac:dyDescent="0.25">
      <c r="A333" s="5">
        <v>44260</v>
      </c>
      <c r="B333">
        <v>4.2350000000000003</v>
      </c>
      <c r="C333">
        <v>4.2969999999999997</v>
      </c>
      <c r="D333">
        <v>3.6960000000000002</v>
      </c>
      <c r="E333">
        <v>4.0190000000000001</v>
      </c>
      <c r="F333">
        <v>809095.04299999995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7.4875207986689535E-2</v>
      </c>
      <c r="Q333">
        <f t="shared" si="970"/>
        <v>60581.15962562451</v>
      </c>
      <c r="R333">
        <f t="shared" si="971"/>
        <v>-6882095.134412366</v>
      </c>
      <c r="S333">
        <f t="shared" si="972"/>
        <v>-68.820951344123657</v>
      </c>
      <c r="T333">
        <f t="shared" si="973"/>
        <v>-6.8820951344123651E-2</v>
      </c>
    </row>
    <row r="334" spans="1:20" x14ac:dyDescent="0.25">
      <c r="A334" s="5">
        <v>44259</v>
      </c>
      <c r="B334">
        <v>4.1740000000000004</v>
      </c>
      <c r="C334">
        <v>4.4989999999999997</v>
      </c>
      <c r="D334">
        <v>4.0439999999999996</v>
      </c>
      <c r="E334">
        <v>4.234</v>
      </c>
      <c r="F334">
        <v>819167.23300000001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-0.16483516483516325</v>
      </c>
      <c r="Q334">
        <f t="shared" si="970"/>
        <v>-135027.56587911959</v>
      </c>
      <c r="R334">
        <f t="shared" si="971"/>
        <v>-6942676.2940379903</v>
      </c>
      <c r="S334">
        <f t="shared" si="972"/>
        <v>-69.426762940379902</v>
      </c>
      <c r="T334">
        <f t="shared" si="973"/>
        <v>-6.9426762940379902E-2</v>
      </c>
    </row>
    <row r="335" spans="1:20" x14ac:dyDescent="0.25">
      <c r="A335" s="5">
        <v>44258</v>
      </c>
      <c r="B335">
        <v>4.0590000000000002</v>
      </c>
      <c r="C335">
        <v>4.32</v>
      </c>
      <c r="D335">
        <v>3.9460000000000002</v>
      </c>
      <c r="E335">
        <v>4.1760000000000002</v>
      </c>
      <c r="F335">
        <v>526624.76399999997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0.22994652406417065</v>
      </c>
      <c r="Q335">
        <f t="shared" si="970"/>
        <v>121095.53396791419</v>
      </c>
      <c r="R335">
        <f t="shared" si="971"/>
        <v>-6807648.7281588707</v>
      </c>
      <c r="S335">
        <f t="shared" si="972"/>
        <v>-68.076487281588712</v>
      </c>
      <c r="T335">
        <f t="shared" si="973"/>
        <v>-6.8076487281588716E-2</v>
      </c>
    </row>
    <row r="336" spans="1:20" x14ac:dyDescent="0.25">
      <c r="A336" s="5">
        <v>44257</v>
      </c>
      <c r="B336">
        <v>4.2249999999999996</v>
      </c>
      <c r="C336">
        <v>4.28</v>
      </c>
      <c r="D336">
        <v>3.9</v>
      </c>
      <c r="E336">
        <v>4.0579999999999998</v>
      </c>
      <c r="F336">
        <v>845020.70400000003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-0.16842105263158011</v>
      </c>
      <c r="Q336">
        <f t="shared" si="970"/>
        <v>-142319.27646315889</v>
      </c>
      <c r="R336">
        <f t="shared" si="971"/>
        <v>-6928744.2621267848</v>
      </c>
      <c r="S336">
        <f t="shared" si="972"/>
        <v>-69.287442621267843</v>
      </c>
      <c r="T336">
        <f t="shared" si="973"/>
        <v>-6.9287442621267847E-2</v>
      </c>
    </row>
    <row r="337" spans="1:20" x14ac:dyDescent="0.25">
      <c r="A337" s="5">
        <v>44256</v>
      </c>
      <c r="B337">
        <v>4.1989999999999998</v>
      </c>
      <c r="C337">
        <v>4.42</v>
      </c>
      <c r="D337">
        <v>4.08</v>
      </c>
      <c r="E337">
        <v>4.2149999999999999</v>
      </c>
      <c r="F337">
        <v>664926.40500000003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-0.2058823529411774</v>
      </c>
      <c r="Q337">
        <f t="shared" si="970"/>
        <v>-136896.61279411826</v>
      </c>
      <c r="R337">
        <f t="shared" si="971"/>
        <v>-6786424.9856636254</v>
      </c>
      <c r="S337">
        <f t="shared" si="972"/>
        <v>-67.864249856636249</v>
      </c>
      <c r="T337">
        <f t="shared" si="973"/>
        <v>-6.786424985663625E-2</v>
      </c>
    </row>
    <row r="338" spans="1:20" x14ac:dyDescent="0.25">
      <c r="A338" s="5">
        <v>44255</v>
      </c>
      <c r="B338">
        <v>3.8570000000000002</v>
      </c>
      <c r="C338">
        <v>4.3499999999999996</v>
      </c>
      <c r="D338">
        <v>3.51</v>
      </c>
      <c r="E338">
        <v>4.21</v>
      </c>
      <c r="F338">
        <v>1382285.923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0.66666666666666741</v>
      </c>
      <c r="Q338">
        <f t="shared" si="970"/>
        <v>921523.94866666768</v>
      </c>
      <c r="R338">
        <f t="shared" si="971"/>
        <v>-6649528.3728695074</v>
      </c>
      <c r="S338">
        <f t="shared" si="972"/>
        <v>-66.495283728695071</v>
      </c>
      <c r="T338">
        <f t="shared" si="973"/>
        <v>-6.6495283728695065E-2</v>
      </c>
    </row>
    <row r="339" spans="1:20" x14ac:dyDescent="0.25">
      <c r="A339" s="5">
        <v>44254</v>
      </c>
      <c r="B339">
        <v>3.9540000000000002</v>
      </c>
      <c r="C339">
        <v>4.1390000000000002</v>
      </c>
      <c r="D339">
        <v>3.7749999999999999</v>
      </c>
      <c r="E339">
        <v>3.8570000000000002</v>
      </c>
      <c r="F339">
        <v>476453.66499999998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-0.54945054945054828</v>
      </c>
      <c r="Q339">
        <f t="shared" si="970"/>
        <v>-261787.72802197744</v>
      </c>
      <c r="R339">
        <f t="shared" si="971"/>
        <v>-7571052.321536175</v>
      </c>
      <c r="S339">
        <f t="shared" si="972"/>
        <v>-75.710523215361746</v>
      </c>
      <c r="T339">
        <f t="shared" si="973"/>
        <v>-7.5710523215361744E-2</v>
      </c>
    </row>
    <row r="340" spans="1:20" x14ac:dyDescent="0.25">
      <c r="A340" s="5">
        <v>44253</v>
      </c>
      <c r="B340">
        <v>3.6640000000000001</v>
      </c>
      <c r="C340">
        <v>4.25</v>
      </c>
      <c r="D340">
        <v>3.4</v>
      </c>
      <c r="E340">
        <v>3.9540000000000002</v>
      </c>
      <c r="F340">
        <v>1112678.534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0.30352941176470638</v>
      </c>
      <c r="Q340">
        <f t="shared" si="970"/>
        <v>337730.66090823582</v>
      </c>
      <c r="R340">
        <f t="shared" si="971"/>
        <v>-7309264.5935141975</v>
      </c>
      <c r="S340">
        <f t="shared" si="972"/>
        <v>-73.092645935141974</v>
      </c>
      <c r="T340">
        <f t="shared" si="973"/>
        <v>-7.3092645935141975E-2</v>
      </c>
    </row>
    <row r="341" spans="1:20" x14ac:dyDescent="0.25">
      <c r="A341" s="5">
        <v>44252</v>
      </c>
      <c r="B341">
        <v>3.6389999999999998</v>
      </c>
      <c r="C341">
        <v>4.2450000000000001</v>
      </c>
      <c r="D341">
        <v>3.581</v>
      </c>
      <c r="E341">
        <v>3.6640000000000001</v>
      </c>
      <c r="F341">
        <v>1188192.1200000001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-0.74999999999999944</v>
      </c>
      <c r="Q341">
        <f t="shared" si="970"/>
        <v>-891144.08999999939</v>
      </c>
      <c r="R341">
        <f t="shared" si="971"/>
        <v>-7646995.2544224337</v>
      </c>
      <c r="S341">
        <f t="shared" si="972"/>
        <v>-76.469952544224341</v>
      </c>
      <c r="T341">
        <f t="shared" si="973"/>
        <v>-7.646995254422434E-2</v>
      </c>
    </row>
    <row r="342" spans="1:20" x14ac:dyDescent="0.25">
      <c r="A342" s="5">
        <v>44251</v>
      </c>
      <c r="B342">
        <v>3.2789999999999999</v>
      </c>
      <c r="C342">
        <v>3.6640000000000001</v>
      </c>
      <c r="D342">
        <v>3.056</v>
      </c>
      <c r="E342">
        <v>3.6389999999999998</v>
      </c>
      <c r="F342">
        <v>865856.78899999999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0.91776315789473573</v>
      </c>
      <c r="Q342">
        <f t="shared" si="970"/>
        <v>794651.46095723589</v>
      </c>
      <c r="R342">
        <f t="shared" si="971"/>
        <v>-6755851.1644224348</v>
      </c>
      <c r="S342">
        <f t="shared" si="972"/>
        <v>-67.558511644224353</v>
      </c>
      <c r="T342">
        <f t="shared" si="973"/>
        <v>-6.7558511644224356E-2</v>
      </c>
    </row>
    <row r="343" spans="1:20" x14ac:dyDescent="0.25">
      <c r="A343" s="5">
        <v>44250</v>
      </c>
      <c r="B343">
        <v>3.6320000000000001</v>
      </c>
      <c r="C343">
        <v>3.7</v>
      </c>
      <c r="D343">
        <v>2.4119999999999999</v>
      </c>
      <c r="E343">
        <v>3.2829999999999999</v>
      </c>
      <c r="F343">
        <v>1681723.351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0.35248447204968919</v>
      </c>
      <c r="Q343">
        <f t="shared" si="970"/>
        <v>592781.36751086917</v>
      </c>
      <c r="R343">
        <f t="shared" si="971"/>
        <v>-7550502.6253796704</v>
      </c>
      <c r="S343">
        <f t="shared" si="972"/>
        <v>-75.5050262537967</v>
      </c>
      <c r="T343">
        <f t="shared" si="973"/>
        <v>-7.5505026253796695E-2</v>
      </c>
    </row>
    <row r="344" spans="1:20" x14ac:dyDescent="0.25">
      <c r="A344" s="5">
        <v>44249</v>
      </c>
      <c r="B344">
        <v>4.2050000000000001</v>
      </c>
      <c r="C344">
        <v>4.2089999999999996</v>
      </c>
      <c r="D344">
        <v>2.8340000000000001</v>
      </c>
      <c r="E344">
        <v>3.6320000000000001</v>
      </c>
      <c r="F344">
        <v>1121379.5220000001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0.16072727272727316</v>
      </c>
      <c r="Q344">
        <f t="shared" si="970"/>
        <v>180236.27226327325</v>
      </c>
      <c r="R344">
        <f t="shared" si="971"/>
        <v>-8143283.9928905396</v>
      </c>
      <c r="S344">
        <f t="shared" si="972"/>
        <v>-81.432839928905395</v>
      </c>
      <c r="T344">
        <f t="shared" si="973"/>
        <v>-8.143283992890539E-2</v>
      </c>
    </row>
    <row r="345" spans="1:20" x14ac:dyDescent="0.25">
      <c r="A345" s="5">
        <v>44248</v>
      </c>
      <c r="B345">
        <v>4.1100000000000003</v>
      </c>
      <c r="C345">
        <v>4.3490000000000002</v>
      </c>
      <c r="D345">
        <v>3.9820000000000002</v>
      </c>
      <c r="E345">
        <v>4.21</v>
      </c>
      <c r="F345">
        <v>463748.93800000002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0.24250681198909951</v>
      </c>
      <c r="Q345">
        <f t="shared" si="970"/>
        <v>112462.27651771058</v>
      </c>
      <c r="R345">
        <f t="shared" si="971"/>
        <v>-8323520.2651538132</v>
      </c>
      <c r="S345">
        <f t="shared" si="972"/>
        <v>-83.235202651538131</v>
      </c>
      <c r="T345">
        <f t="shared" si="973"/>
        <v>-8.3235202651538137E-2</v>
      </c>
    </row>
    <row r="346" spans="1:20" x14ac:dyDescent="0.25">
      <c r="A346" s="5">
        <v>44247</v>
      </c>
      <c r="B346">
        <v>4.5650000000000004</v>
      </c>
      <c r="C346">
        <v>4.5999999999999996</v>
      </c>
      <c r="D346">
        <v>3.839</v>
      </c>
      <c r="E346">
        <v>4.1109999999999998</v>
      </c>
      <c r="F346">
        <v>1033277.28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-0.28515111695138001</v>
      </c>
      <c r="Q346">
        <f t="shared" si="970"/>
        <v>-294640.17051248386</v>
      </c>
      <c r="R346">
        <f t="shared" si="971"/>
        <v>-8435982.5416715238</v>
      </c>
      <c r="S346">
        <f t="shared" si="972"/>
        <v>-84.359825416715239</v>
      </c>
      <c r="T346">
        <f t="shared" si="973"/>
        <v>-8.4359825416715245E-2</v>
      </c>
    </row>
    <row r="347" spans="1:20" x14ac:dyDescent="0.25">
      <c r="A347" s="5">
        <v>44246</v>
      </c>
      <c r="B347">
        <v>4.21</v>
      </c>
      <c r="C347">
        <v>4.7300000000000004</v>
      </c>
      <c r="D347">
        <v>4.0339999999999998</v>
      </c>
      <c r="E347">
        <v>4.5789999999999997</v>
      </c>
      <c r="F347">
        <v>2251211.179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0.56609195402298695</v>
      </c>
      <c r="Q347">
        <f t="shared" si="970"/>
        <v>1274392.5352385023</v>
      </c>
      <c r="R347">
        <f t="shared" si="971"/>
        <v>-8141342.3711590394</v>
      </c>
      <c r="S347">
        <f t="shared" si="972"/>
        <v>-81.413423711590397</v>
      </c>
      <c r="T347">
        <f t="shared" si="973"/>
        <v>-8.1413423711590396E-2</v>
      </c>
    </row>
    <row r="348" spans="1:20" x14ac:dyDescent="0.25">
      <c r="A348" s="5">
        <v>44245</v>
      </c>
      <c r="B348">
        <v>4.0990000000000002</v>
      </c>
      <c r="C348">
        <v>4.3460000000000001</v>
      </c>
      <c r="D348">
        <v>3.9409999999999998</v>
      </c>
      <c r="E348">
        <v>4.21</v>
      </c>
      <c r="F348">
        <v>1192871.8600000001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0.32839506172839489</v>
      </c>
      <c r="Q348">
        <f t="shared" si="970"/>
        <v>391733.22809876525</v>
      </c>
      <c r="R348">
        <f t="shared" si="971"/>
        <v>-9415734.906397542</v>
      </c>
      <c r="S348">
        <f t="shared" si="972"/>
        <v>-94.157349063975417</v>
      </c>
      <c r="T348">
        <f t="shared" si="973"/>
        <v>-9.4157349063975423E-2</v>
      </c>
    </row>
    <row r="349" spans="1:20" x14ac:dyDescent="0.25">
      <c r="A349" s="5">
        <v>44244</v>
      </c>
      <c r="B349">
        <v>4.1619999999999999</v>
      </c>
      <c r="C349">
        <v>4.3049999999999997</v>
      </c>
      <c r="D349">
        <v>3.8130000000000002</v>
      </c>
      <c r="E349">
        <v>4.101</v>
      </c>
      <c r="F349">
        <v>903959.47100000002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0.17073170731707349</v>
      </c>
      <c r="Q349">
        <f t="shared" si="970"/>
        <v>154334.54382926857</v>
      </c>
      <c r="R349">
        <f t="shared" si="971"/>
        <v>-9807468.134496307</v>
      </c>
      <c r="S349">
        <f t="shared" si="972"/>
        <v>-98.074681344963068</v>
      </c>
      <c r="T349">
        <f t="shared" si="973"/>
        <v>-9.8074681344963069E-2</v>
      </c>
    </row>
    <row r="350" spans="1:20" x14ac:dyDescent="0.25">
      <c r="A350" s="5">
        <v>44243</v>
      </c>
      <c r="B350">
        <v>3.9790000000000001</v>
      </c>
      <c r="C350">
        <v>4.7510000000000003</v>
      </c>
      <c r="D350">
        <v>3.7719999999999998</v>
      </c>
      <c r="E350">
        <v>4.1609999999999996</v>
      </c>
      <c r="F350">
        <v>1738717.567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-0.20531154239019495</v>
      </c>
      <c r="Q350">
        <f t="shared" si="970"/>
        <v>-356978.78546169715</v>
      </c>
      <c r="R350">
        <f t="shared" si="971"/>
        <v>-9961802.6783255748</v>
      </c>
      <c r="S350">
        <f t="shared" si="972"/>
        <v>-99.618026783255743</v>
      </c>
      <c r="T350">
        <f t="shared" si="973"/>
        <v>-9.9618026783255736E-2</v>
      </c>
    </row>
    <row r="351" spans="1:20" x14ac:dyDescent="0.25">
      <c r="A351" s="5">
        <v>44242</v>
      </c>
      <c r="B351">
        <v>4.5910000000000002</v>
      </c>
      <c r="C351">
        <v>5</v>
      </c>
      <c r="D351">
        <v>3.7029999999999998</v>
      </c>
      <c r="E351">
        <v>3.976</v>
      </c>
      <c r="F351">
        <v>2074591.1440000001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-0.57902852737085564</v>
      </c>
      <c r="Q351">
        <f t="shared" si="970"/>
        <v>-1201247.4550069387</v>
      </c>
      <c r="R351">
        <f t="shared" si="971"/>
        <v>-9604823.8928638771</v>
      </c>
      <c r="S351">
        <f t="shared" si="972"/>
        <v>-96.048238928638767</v>
      </c>
      <c r="T351">
        <f t="shared" si="973"/>
        <v>-9.6048238928638771E-2</v>
      </c>
    </row>
    <row r="352" spans="1:20" x14ac:dyDescent="0.25">
      <c r="A352" s="5">
        <v>44241</v>
      </c>
      <c r="B352">
        <v>4.4029999999999996</v>
      </c>
      <c r="C352">
        <v>5.18</v>
      </c>
      <c r="D352">
        <v>4.0999999999999996</v>
      </c>
      <c r="E352">
        <v>4.59</v>
      </c>
      <c r="F352">
        <v>1731101.01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-9.2592592592592254E-2</v>
      </c>
      <c r="Q352">
        <f t="shared" si="970"/>
        <v>-160287.13055555496</v>
      </c>
      <c r="R352">
        <f t="shared" si="971"/>
        <v>-8403576.4378569387</v>
      </c>
      <c r="S352">
        <f t="shared" si="972"/>
        <v>-84.035764378569382</v>
      </c>
      <c r="T352">
        <f t="shared" si="973"/>
        <v>-8.4035764378569383E-2</v>
      </c>
    </row>
    <row r="353" spans="1:20" x14ac:dyDescent="0.25">
      <c r="A353" s="5">
        <v>44240</v>
      </c>
      <c r="B353">
        <v>4.5970000000000004</v>
      </c>
      <c r="C353">
        <v>4.8499999999999996</v>
      </c>
      <c r="D353">
        <v>4.0890000000000004</v>
      </c>
      <c r="E353">
        <v>4.3890000000000002</v>
      </c>
      <c r="F353">
        <v>841376.50399999996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-0.21156373193166852</v>
      </c>
      <c r="Q353">
        <f t="shared" si="970"/>
        <v>-178004.75314586042</v>
      </c>
      <c r="R353">
        <f t="shared" si="971"/>
        <v>-8243289.3073013835</v>
      </c>
      <c r="S353">
        <f t="shared" si="972"/>
        <v>-82.43289307301383</v>
      </c>
      <c r="T353">
        <f t="shared" si="973"/>
        <v>-8.2432893073013824E-2</v>
      </c>
    </row>
    <row r="354" spans="1:20" x14ac:dyDescent="0.25">
      <c r="A354" s="5">
        <v>44239</v>
      </c>
      <c r="B354">
        <v>4.0830000000000002</v>
      </c>
      <c r="C354">
        <v>4.92</v>
      </c>
      <c r="D354">
        <v>3.8540000000000001</v>
      </c>
      <c r="E354">
        <v>4.5869999999999997</v>
      </c>
      <c r="F354">
        <v>1639206.088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0.37523452157598453</v>
      </c>
      <c r="Q354">
        <f t="shared" si="970"/>
        <v>615086.71219512122</v>
      </c>
      <c r="R354">
        <f t="shared" si="971"/>
        <v>-8065284.554155523</v>
      </c>
      <c r="S354">
        <f t="shared" si="972"/>
        <v>-80.652845541555223</v>
      </c>
      <c r="T354">
        <f t="shared" si="973"/>
        <v>-8.0652845541555218E-2</v>
      </c>
    </row>
    <row r="355" spans="1:20" x14ac:dyDescent="0.25">
      <c r="A355" s="5">
        <v>44238</v>
      </c>
      <c r="B355">
        <v>3.6890000000000001</v>
      </c>
      <c r="C355">
        <v>4.38</v>
      </c>
      <c r="D355">
        <v>3.5750000000000002</v>
      </c>
      <c r="E355">
        <v>4.0750000000000002</v>
      </c>
      <c r="F355">
        <v>1252544.2409999999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0.24223602484472093</v>
      </c>
      <c r="Q355">
        <f t="shared" si="970"/>
        <v>303411.33788198809</v>
      </c>
      <c r="R355">
        <f t="shared" si="971"/>
        <v>-8680371.2663506437</v>
      </c>
      <c r="S355">
        <f t="shared" si="972"/>
        <v>-86.803712663506431</v>
      </c>
      <c r="T355">
        <f t="shared" si="973"/>
        <v>-8.6803712663506435E-2</v>
      </c>
    </row>
    <row r="356" spans="1:20" x14ac:dyDescent="0.25">
      <c r="A356" s="5">
        <v>44237</v>
      </c>
      <c r="B356">
        <v>3.9540000000000002</v>
      </c>
      <c r="C356">
        <v>4.1989999999999998</v>
      </c>
      <c r="D356">
        <v>3.34</v>
      </c>
      <c r="E356">
        <v>3.6840000000000002</v>
      </c>
      <c r="F356">
        <v>1377785.7339999999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-0.19906868451687937</v>
      </c>
      <c r="Q356">
        <f t="shared" si="970"/>
        <v>-274273.99361350306</v>
      </c>
      <c r="R356">
        <f t="shared" si="971"/>
        <v>-8983782.6042326316</v>
      </c>
      <c r="S356">
        <f t="shared" si="972"/>
        <v>-89.837826042326313</v>
      </c>
      <c r="T356">
        <f t="shared" si="973"/>
        <v>-8.9837826042326319E-2</v>
      </c>
    </row>
    <row r="357" spans="1:20" x14ac:dyDescent="0.25">
      <c r="A357" s="5">
        <v>44236</v>
      </c>
      <c r="B357">
        <v>3.718</v>
      </c>
      <c r="C357">
        <v>4.1959999999999997</v>
      </c>
      <c r="D357">
        <v>3.5950000000000002</v>
      </c>
      <c r="E357">
        <v>3.9430000000000001</v>
      </c>
      <c r="F357">
        <v>1374551.99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0.15806988352745469</v>
      </c>
      <c r="Q357">
        <f t="shared" si="970"/>
        <v>217275.27296173107</v>
      </c>
      <c r="R357">
        <f t="shared" si="971"/>
        <v>-8709508.6106191278</v>
      </c>
      <c r="S357">
        <f t="shared" si="972"/>
        <v>-87.095086106191275</v>
      </c>
      <c r="T357">
        <f t="shared" si="973"/>
        <v>-8.709508610619128E-2</v>
      </c>
    </row>
    <row r="358" spans="1:20" x14ac:dyDescent="0.25">
      <c r="A358" s="5">
        <v>44235</v>
      </c>
      <c r="B358">
        <v>3.41</v>
      </c>
      <c r="C358">
        <v>3.98</v>
      </c>
      <c r="D358">
        <v>3.2</v>
      </c>
      <c r="E358">
        <v>3.7170000000000001</v>
      </c>
      <c r="F358">
        <v>1349366.69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0.32564102564102571</v>
      </c>
      <c r="Q358">
        <f t="shared" si="970"/>
        <v>439409.15289743594</v>
      </c>
      <c r="R358">
        <f t="shared" si="971"/>
        <v>-8926783.8835808579</v>
      </c>
      <c r="S358">
        <f t="shared" si="972"/>
        <v>-89.267838835808575</v>
      </c>
      <c r="T358">
        <f t="shared" si="973"/>
        <v>-8.9267838835808577E-2</v>
      </c>
    </row>
    <row r="359" spans="1:20" x14ac:dyDescent="0.25">
      <c r="A359" s="5">
        <v>44234</v>
      </c>
      <c r="B359">
        <v>3.6579999999999999</v>
      </c>
      <c r="C359">
        <v>3.99</v>
      </c>
      <c r="D359">
        <v>3.145</v>
      </c>
      <c r="E359">
        <v>3.41</v>
      </c>
      <c r="F359">
        <v>1687270.655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-0.37278106508875725</v>
      </c>
      <c r="Q359">
        <f t="shared" si="970"/>
        <v>-628982.55186390504</v>
      </c>
      <c r="R359">
        <f t="shared" si="971"/>
        <v>-9366193.0364782941</v>
      </c>
      <c r="S359">
        <f t="shared" si="972"/>
        <v>-93.661930364782947</v>
      </c>
      <c r="T359">
        <f t="shared" si="973"/>
        <v>-9.3661930364782944E-2</v>
      </c>
    </row>
    <row r="360" spans="1:20" x14ac:dyDescent="0.25">
      <c r="A360" s="5">
        <v>44233</v>
      </c>
      <c r="B360">
        <v>3.15</v>
      </c>
      <c r="C360">
        <v>3.992</v>
      </c>
      <c r="D360">
        <v>2.77</v>
      </c>
      <c r="E360">
        <v>3.6360000000000001</v>
      </c>
      <c r="F360">
        <v>2974315.1170000001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0.41734860883797076</v>
      </c>
      <c r="Q360">
        <f t="shared" si="970"/>
        <v>1241326.2763256964</v>
      </c>
      <c r="R360">
        <f t="shared" si="971"/>
        <v>-8737210.484614389</v>
      </c>
      <c r="S360">
        <f t="shared" si="972"/>
        <v>-87.372104846143884</v>
      </c>
      <c r="T360">
        <f t="shared" si="973"/>
        <v>-8.7372104846143883E-2</v>
      </c>
    </row>
    <row r="361" spans="1:20" x14ac:dyDescent="0.25">
      <c r="A361" s="5">
        <v>44232</v>
      </c>
      <c r="B361">
        <v>2.7949999999999999</v>
      </c>
      <c r="C361">
        <v>3.194</v>
      </c>
      <c r="D361">
        <v>2.7749999999999999</v>
      </c>
      <c r="E361">
        <v>3.1440000000000001</v>
      </c>
      <c r="F361">
        <v>990663.01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0.76133651551312731</v>
      </c>
      <c r="Q361">
        <f t="shared" si="970"/>
        <v>754227.92408114637</v>
      </c>
      <c r="R361">
        <f t="shared" si="971"/>
        <v>-9978536.7609400861</v>
      </c>
      <c r="S361">
        <f t="shared" si="972"/>
        <v>-99.785367609400865</v>
      </c>
      <c r="T361">
        <f t="shared" si="973"/>
        <v>-9.9785367609400863E-2</v>
      </c>
    </row>
    <row r="362" spans="1:20" x14ac:dyDescent="0.25">
      <c r="A362" s="5">
        <v>44231</v>
      </c>
      <c r="B362">
        <v>2.6379999999999999</v>
      </c>
      <c r="C362">
        <v>2.931</v>
      </c>
      <c r="D362">
        <v>2.4660000000000002</v>
      </c>
      <c r="E362">
        <v>2.7959999999999998</v>
      </c>
      <c r="F362">
        <v>1445849.557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0.41935483870967627</v>
      </c>
      <c r="Q362">
        <f t="shared" si="970"/>
        <v>606324.00777419191</v>
      </c>
      <c r="R362">
        <f t="shared" si="971"/>
        <v>-10732764.685021233</v>
      </c>
      <c r="S362">
        <f t="shared" si="972"/>
        <v>-107.32764685021233</v>
      </c>
      <c r="T362">
        <f t="shared" si="973"/>
        <v>-0.10732764685021233</v>
      </c>
    </row>
    <row r="363" spans="1:20" x14ac:dyDescent="0.25">
      <c r="A363" s="5">
        <v>44230</v>
      </c>
      <c r="B363">
        <v>2.363</v>
      </c>
      <c r="C363">
        <v>2.7469999999999999</v>
      </c>
      <c r="D363">
        <v>2.3330000000000002</v>
      </c>
      <c r="E363">
        <v>2.6389999999999998</v>
      </c>
      <c r="F363">
        <v>865689.09600000002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0.47826086956521657</v>
      </c>
      <c r="Q363">
        <f t="shared" si="970"/>
        <v>414025.21982608625</v>
      </c>
      <c r="R363">
        <f t="shared" si="971"/>
        <v>-11339088.692795424</v>
      </c>
      <c r="S363">
        <f t="shared" si="972"/>
        <v>-113.39088692795424</v>
      </c>
      <c r="T363">
        <f t="shared" si="973"/>
        <v>-0.11339088692795424</v>
      </c>
    </row>
    <row r="364" spans="1:20" x14ac:dyDescent="0.25">
      <c r="A364" s="5">
        <v>44229</v>
      </c>
      <c r="B364">
        <v>2.367</v>
      </c>
      <c r="C364">
        <v>2.4860000000000002</v>
      </c>
      <c r="D364">
        <v>2.2909999999999999</v>
      </c>
      <c r="E364">
        <v>2.363</v>
      </c>
      <c r="F364">
        <v>586271.33400000003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-0.26153846153846194</v>
      </c>
      <c r="Q364">
        <f t="shared" si="970"/>
        <v>-153332.50273846177</v>
      </c>
      <c r="R364">
        <f t="shared" si="971"/>
        <v>-11753113.912621509</v>
      </c>
      <c r="S364">
        <f t="shared" si="972"/>
        <v>-117.53113912621509</v>
      </c>
      <c r="T364">
        <f t="shared" si="973"/>
        <v>-0.1175311391262151</v>
      </c>
    </row>
    <row r="365" spans="1:20" x14ac:dyDescent="0.25">
      <c r="A365" s="5">
        <v>44228</v>
      </c>
      <c r="B365">
        <v>2.2629999999999999</v>
      </c>
      <c r="C365">
        <v>2.6040000000000001</v>
      </c>
      <c r="D365">
        <v>2.16</v>
      </c>
      <c r="E365">
        <v>2.3690000000000002</v>
      </c>
      <c r="F365">
        <v>1161419.0390000001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-5.855855855855812E-2</v>
      </c>
      <c r="Q365">
        <f t="shared" si="970"/>
        <v>-68011.02480630581</v>
      </c>
      <c r="R365">
        <f t="shared" si="971"/>
        <v>-11599781.409883048</v>
      </c>
      <c r="S365">
        <f t="shared" si="972"/>
        <v>-115.99781409883049</v>
      </c>
      <c r="T365">
        <f t="shared" si="973"/>
        <v>-0.11599781409883049</v>
      </c>
    </row>
    <row r="366" spans="1:20" x14ac:dyDescent="0.25">
      <c r="A366" s="5">
        <v>44227</v>
      </c>
      <c r="B366">
        <v>2.3439999999999999</v>
      </c>
      <c r="C366">
        <v>2.61</v>
      </c>
      <c r="D366">
        <v>2.2160000000000002</v>
      </c>
      <c r="E366">
        <v>2.2629999999999999</v>
      </c>
      <c r="F366">
        <v>1266605.8740000001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-0.7614213197969556</v>
      </c>
      <c r="Q366">
        <f t="shared" si="970"/>
        <v>-964420.71624365647</v>
      </c>
      <c r="R366">
        <f t="shared" si="971"/>
        <v>-11531770.385076743</v>
      </c>
      <c r="S366">
        <f t="shared" si="972"/>
        <v>-115.31770385076743</v>
      </c>
      <c r="T366">
        <f t="shared" si="973"/>
        <v>-0.11531770385076744</v>
      </c>
    </row>
    <row r="367" spans="1:20" x14ac:dyDescent="0.25">
      <c r="A367" s="5">
        <v>44226</v>
      </c>
      <c r="B367">
        <v>2.3109999999999999</v>
      </c>
      <c r="C367">
        <v>2.3879999999999999</v>
      </c>
      <c r="D367">
        <v>2.1589999999999998</v>
      </c>
      <c r="E367">
        <v>2.343</v>
      </c>
      <c r="F367">
        <v>840339.603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0.60698689956331953</v>
      </c>
      <c r="Q367">
        <f t="shared" si="970"/>
        <v>510075.1302052408</v>
      </c>
      <c r="R367">
        <f t="shared" si="971"/>
        <v>-10567349.668833086</v>
      </c>
      <c r="S367">
        <f t="shared" si="972"/>
        <v>-105.67349668833086</v>
      </c>
      <c r="T367">
        <f t="shared" si="973"/>
        <v>-0.10567349668833086</v>
      </c>
    </row>
    <row r="368" spans="1:20" x14ac:dyDescent="0.25">
      <c r="A368" s="5">
        <v>44225</v>
      </c>
      <c r="B368">
        <v>2.4820000000000002</v>
      </c>
      <c r="C368">
        <v>2.5070000000000001</v>
      </c>
      <c r="D368">
        <v>2.032</v>
      </c>
      <c r="E368">
        <v>2.3109999999999999</v>
      </c>
      <c r="F368">
        <v>1521351.3940000001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0.17473684210526258</v>
      </c>
      <c r="Q368">
        <f t="shared" si="970"/>
        <v>265836.13831999915</v>
      </c>
      <c r="R368">
        <f t="shared" si="971"/>
        <v>-11077424.799038326</v>
      </c>
      <c r="S368">
        <f t="shared" si="972"/>
        <v>-110.77424799038326</v>
      </c>
      <c r="T368">
        <f t="shared" si="973"/>
        <v>-0.11077424799038325</v>
      </c>
    </row>
    <row r="369" spans="1:20" x14ac:dyDescent="0.25">
      <c r="A369" s="5">
        <v>44224</v>
      </c>
      <c r="B369">
        <v>2.0750000000000002</v>
      </c>
      <c r="C369">
        <v>2.61</v>
      </c>
      <c r="D369">
        <v>2.0289999999999999</v>
      </c>
      <c r="E369">
        <v>2.488</v>
      </c>
      <c r="F369">
        <v>2565424.298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0.58003442340791778</v>
      </c>
      <c r="Q369">
        <f t="shared" si="970"/>
        <v>1488034.4034870921</v>
      </c>
      <c r="R369">
        <f t="shared" si="971"/>
        <v>-11343260.937358325</v>
      </c>
      <c r="S369">
        <f t="shared" si="972"/>
        <v>-113.43260937358325</v>
      </c>
      <c r="T369">
        <f t="shared" si="973"/>
        <v>-0.11343260937358325</v>
      </c>
    </row>
    <row r="370" spans="1:20" x14ac:dyDescent="0.25">
      <c r="A370" s="5">
        <v>44223</v>
      </c>
      <c r="B370">
        <v>2.0350000000000001</v>
      </c>
      <c r="C370">
        <v>2.153</v>
      </c>
      <c r="D370">
        <v>1.833</v>
      </c>
      <c r="E370">
        <v>2.0750000000000002</v>
      </c>
      <c r="F370">
        <v>1398068.6580000001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0.51250000000000107</v>
      </c>
      <c r="Q370">
        <f t="shared" si="970"/>
        <v>716510.18722500151</v>
      </c>
      <c r="R370">
        <f t="shared" si="971"/>
        <v>-12831295.340845417</v>
      </c>
      <c r="S370">
        <f t="shared" si="972"/>
        <v>-128.31295340845418</v>
      </c>
      <c r="T370">
        <f t="shared" si="973"/>
        <v>-0.12831295340845417</v>
      </c>
    </row>
    <row r="371" spans="1:20" x14ac:dyDescent="0.25">
      <c r="A371" s="5">
        <v>44222</v>
      </c>
      <c r="B371">
        <v>2.097</v>
      </c>
      <c r="C371">
        <v>2.298</v>
      </c>
      <c r="D371">
        <v>1.839</v>
      </c>
      <c r="E371">
        <v>2.0379999999999998</v>
      </c>
      <c r="F371">
        <v>2148590.9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-0.13289760348583959</v>
      </c>
      <c r="Q371">
        <f t="shared" si="970"/>
        <v>-285542.58148148324</v>
      </c>
      <c r="R371">
        <f t="shared" si="971"/>
        <v>-13547805.528070418</v>
      </c>
      <c r="S371">
        <f t="shared" si="972"/>
        <v>-135.47805528070418</v>
      </c>
      <c r="T371">
        <f t="shared" si="973"/>
        <v>-0.1354780552807042</v>
      </c>
    </row>
    <row r="372" spans="1:20" x14ac:dyDescent="0.25">
      <c r="A372" s="5">
        <v>44221</v>
      </c>
      <c r="B372">
        <v>1.7769999999999999</v>
      </c>
      <c r="C372">
        <v>2.222</v>
      </c>
      <c r="D372">
        <v>1.77</v>
      </c>
      <c r="E372">
        <v>2.1</v>
      </c>
      <c r="F372">
        <v>3286416.3149999999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0.46017699115044292</v>
      </c>
      <c r="Q372">
        <f t="shared" si="970"/>
        <v>1512333.1715044263</v>
      </c>
      <c r="R372">
        <f t="shared" si="971"/>
        <v>-13262262.946588935</v>
      </c>
      <c r="S372">
        <f t="shared" si="972"/>
        <v>-132.62262946588936</v>
      </c>
      <c r="T372">
        <f t="shared" si="973"/>
        <v>-0.13262262946588937</v>
      </c>
    </row>
    <row r="373" spans="1:20" x14ac:dyDescent="0.25">
      <c r="A373" s="5">
        <v>44220</v>
      </c>
      <c r="B373">
        <v>1.825</v>
      </c>
      <c r="C373">
        <v>1.8380000000000001</v>
      </c>
      <c r="D373">
        <v>1.657</v>
      </c>
      <c r="E373">
        <v>1.7769999999999999</v>
      </c>
      <c r="F373">
        <v>804428.41099999996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0.32596685082872762</v>
      </c>
      <c r="Q373">
        <f t="shared" si="970"/>
        <v>262216.99585082737</v>
      </c>
      <c r="R373">
        <f t="shared" si="971"/>
        <v>-14774596.118093362</v>
      </c>
      <c r="S373">
        <f t="shared" si="972"/>
        <v>-147.74596118093362</v>
      </c>
      <c r="T373">
        <f t="shared" si="973"/>
        <v>-0.14774596118093361</v>
      </c>
    </row>
    <row r="374" spans="1:20" x14ac:dyDescent="0.25">
      <c r="A374" s="5">
        <v>44219</v>
      </c>
      <c r="B374">
        <v>1.6120000000000001</v>
      </c>
      <c r="C374">
        <v>1.8360000000000001</v>
      </c>
      <c r="D374">
        <v>1.5980000000000001</v>
      </c>
      <c r="E374">
        <v>1.825</v>
      </c>
      <c r="F374">
        <v>1256640.1850000001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0.90756302521008303</v>
      </c>
      <c r="Q374">
        <f t="shared" si="970"/>
        <v>1140480.1678991586</v>
      </c>
      <c r="R374">
        <f t="shared" si="971"/>
        <v>-15036813.11394419</v>
      </c>
      <c r="S374">
        <f t="shared" si="972"/>
        <v>-150.36813113944189</v>
      </c>
      <c r="T374">
        <f t="shared" si="973"/>
        <v>-0.15036813113944189</v>
      </c>
    </row>
    <row r="375" spans="1:20" x14ac:dyDescent="0.25">
      <c r="A375" s="5">
        <v>44218</v>
      </c>
      <c r="B375">
        <v>1.4690000000000001</v>
      </c>
      <c r="C375">
        <v>1.7</v>
      </c>
      <c r="D375">
        <v>1.3939999999999999</v>
      </c>
      <c r="E375">
        <v>1.611</v>
      </c>
      <c r="F375">
        <v>1038598.427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0.41830065359477153</v>
      </c>
      <c r="Q375">
        <f t="shared" si="970"/>
        <v>434446.40083660162</v>
      </c>
      <c r="R375">
        <f t="shared" si="971"/>
        <v>-16177293.281843347</v>
      </c>
      <c r="S375">
        <f t="shared" si="972"/>
        <v>-161.77293281843347</v>
      </c>
      <c r="T375">
        <f t="shared" si="973"/>
        <v>-0.16177293281843347</v>
      </c>
    </row>
    <row r="376" spans="1:20" x14ac:dyDescent="0.25">
      <c r="A376" s="5">
        <v>44217</v>
      </c>
      <c r="B376">
        <v>1.758</v>
      </c>
      <c r="C376">
        <v>1.764</v>
      </c>
      <c r="D376">
        <v>1.45</v>
      </c>
      <c r="E376">
        <v>1.4690000000000001</v>
      </c>
      <c r="F376">
        <v>1035500.2120000001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-0.87898089171974447</v>
      </c>
      <c r="Q376">
        <f t="shared" si="970"/>
        <v>-910184.89971974446</v>
      </c>
      <c r="R376">
        <f t="shared" si="971"/>
        <v>-16611739.682679949</v>
      </c>
      <c r="S376">
        <f t="shared" si="972"/>
        <v>-166.11739682679951</v>
      </c>
      <c r="T376">
        <f t="shared" si="973"/>
        <v>-0.16611739682679952</v>
      </c>
    </row>
    <row r="377" spans="1:20" x14ac:dyDescent="0.25">
      <c r="A377" s="5">
        <v>44216</v>
      </c>
      <c r="B377">
        <v>1.83</v>
      </c>
      <c r="C377">
        <v>1.93</v>
      </c>
      <c r="D377">
        <v>1.6040000000000001</v>
      </c>
      <c r="E377">
        <v>1.7509999999999999</v>
      </c>
      <c r="F377">
        <v>1007583.9350000001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-9.8159509202454809E-2</v>
      </c>
      <c r="Q377">
        <f t="shared" si="970"/>
        <v>-98903.944539878139</v>
      </c>
      <c r="R377">
        <f t="shared" si="971"/>
        <v>-15701554.782960204</v>
      </c>
      <c r="S377">
        <f t="shared" si="972"/>
        <v>-157.01554782960204</v>
      </c>
      <c r="T377">
        <f t="shared" si="973"/>
        <v>-0.15701554782960203</v>
      </c>
    </row>
    <row r="378" spans="1:20" x14ac:dyDescent="0.25">
      <c r="A378" s="5">
        <v>44215</v>
      </c>
      <c r="B378">
        <v>1.73</v>
      </c>
      <c r="C378">
        <v>1.98</v>
      </c>
      <c r="D378">
        <v>1.675</v>
      </c>
      <c r="E378">
        <v>1.823</v>
      </c>
      <c r="F378">
        <v>1366605.88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-2.9508196721311872E-2</v>
      </c>
      <c r="Q378">
        <f t="shared" si="970"/>
        <v>-40326.075147541524</v>
      </c>
      <c r="R378">
        <f t="shared" si="971"/>
        <v>-15602650.838420326</v>
      </c>
      <c r="S378">
        <f t="shared" si="972"/>
        <v>-156.02650838420325</v>
      </c>
      <c r="T378">
        <f t="shared" si="973"/>
        <v>-0.15602650838420326</v>
      </c>
    </row>
    <row r="379" spans="1:20" x14ac:dyDescent="0.25">
      <c r="A379" s="5">
        <v>44214</v>
      </c>
      <c r="B379">
        <v>1.7290000000000001</v>
      </c>
      <c r="C379">
        <v>1.847</v>
      </c>
      <c r="D379">
        <v>1.63</v>
      </c>
      <c r="E379">
        <v>1.728</v>
      </c>
      <c r="F379">
        <v>1055865.1189999999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-9.6774193548386636E-2</v>
      </c>
      <c r="Q379">
        <f t="shared" si="970"/>
        <v>-102180.49538709628</v>
      </c>
      <c r="R379">
        <f t="shared" si="971"/>
        <v>-15562324.763272785</v>
      </c>
      <c r="S379">
        <f t="shared" si="972"/>
        <v>-155.62324763272784</v>
      </c>
      <c r="T379">
        <f t="shared" si="973"/>
        <v>-0.15562324763272783</v>
      </c>
    </row>
    <row r="380" spans="1:20" x14ac:dyDescent="0.25">
      <c r="A380" s="5">
        <v>44213</v>
      </c>
      <c r="B380">
        <v>1.536</v>
      </c>
      <c r="C380">
        <v>1.78</v>
      </c>
      <c r="D380">
        <v>1.385</v>
      </c>
      <c r="E380">
        <v>1.7290000000000001</v>
      </c>
      <c r="F380">
        <v>1996189.352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0.74177215189873447</v>
      </c>
      <c r="Q380">
        <f t="shared" si="970"/>
        <v>1480717.6712303802</v>
      </c>
      <c r="R380">
        <f t="shared" si="971"/>
        <v>-15460144.267885689</v>
      </c>
      <c r="S380">
        <f t="shared" si="972"/>
        <v>-154.6014426788569</v>
      </c>
      <c r="T380">
        <f t="shared" si="973"/>
        <v>-0.15460144267885689</v>
      </c>
    </row>
    <row r="381" spans="1:20" x14ac:dyDescent="0.25">
      <c r="A381" s="5">
        <v>44212</v>
      </c>
      <c r="B381">
        <v>1.5640000000000001</v>
      </c>
      <c r="C381">
        <v>1.78</v>
      </c>
      <c r="D381">
        <v>1.508</v>
      </c>
      <c r="E381">
        <v>1.534</v>
      </c>
      <c r="F381">
        <v>1489608.0889999999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-0.8088235294117645</v>
      </c>
      <c r="Q381">
        <f t="shared" si="970"/>
        <v>-1204830.0719852936</v>
      </c>
      <c r="R381">
        <f t="shared" si="971"/>
        <v>-16940861.939116068</v>
      </c>
      <c r="S381">
        <f t="shared" si="972"/>
        <v>-169.40861939116067</v>
      </c>
      <c r="T381">
        <f t="shared" si="973"/>
        <v>-0.16940861939116067</v>
      </c>
    </row>
    <row r="382" spans="1:20" x14ac:dyDescent="0.25">
      <c r="A382" s="5">
        <v>44211</v>
      </c>
      <c r="B382">
        <v>1.44</v>
      </c>
      <c r="C382">
        <v>1.6040000000000001</v>
      </c>
      <c r="D382">
        <v>1.385</v>
      </c>
      <c r="E382">
        <v>1.5580000000000001</v>
      </c>
      <c r="F382">
        <v>1061485.8060000001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0.57990867579908656</v>
      </c>
      <c r="Q382">
        <f t="shared" si="970"/>
        <v>615564.82813698612</v>
      </c>
      <c r="R382">
        <f t="shared" si="971"/>
        <v>-15736031.867130775</v>
      </c>
      <c r="S382">
        <f t="shared" si="972"/>
        <v>-157.36031867130774</v>
      </c>
      <c r="T382">
        <f t="shared" si="973"/>
        <v>-0.15736031867130773</v>
      </c>
    </row>
    <row r="383" spans="1:20" x14ac:dyDescent="0.25">
      <c r="A383" s="5">
        <v>44210</v>
      </c>
      <c r="B383">
        <v>1.415</v>
      </c>
      <c r="C383">
        <v>1.4490000000000001</v>
      </c>
      <c r="D383">
        <v>1.3360000000000001</v>
      </c>
      <c r="E383">
        <v>1.4370000000000001</v>
      </c>
      <c r="F383">
        <v>379986.65299999999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0.78761061946902633</v>
      </c>
      <c r="Q383">
        <f t="shared" si="970"/>
        <v>299281.52315929194</v>
      </c>
      <c r="R383">
        <f t="shared" si="971"/>
        <v>-16351596.695267761</v>
      </c>
      <c r="S383">
        <f t="shared" si="972"/>
        <v>-163.51596695267762</v>
      </c>
      <c r="T383">
        <f t="shared" si="973"/>
        <v>-0.16351596695267762</v>
      </c>
    </row>
    <row r="384" spans="1:20" x14ac:dyDescent="0.25">
      <c r="A384" s="5">
        <v>44209</v>
      </c>
      <c r="B384">
        <v>1.32</v>
      </c>
      <c r="C384">
        <v>1.44</v>
      </c>
      <c r="D384">
        <v>1.2609999999999999</v>
      </c>
      <c r="E384">
        <v>1.413</v>
      </c>
      <c r="F384">
        <v>414266.43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0.69832402234636981</v>
      </c>
      <c r="Q384">
        <f t="shared" si="970"/>
        <v>289292.19972067082</v>
      </c>
      <c r="R384">
        <f t="shared" si="971"/>
        <v>-16650878.218427053</v>
      </c>
      <c r="S384">
        <f t="shared" si="972"/>
        <v>-166.50878218427053</v>
      </c>
      <c r="T384">
        <f t="shared" si="973"/>
        <v>-0.16650878218427054</v>
      </c>
    </row>
    <row r="385" spans="1:20" x14ac:dyDescent="0.25">
      <c r="A385" s="5">
        <v>44208</v>
      </c>
      <c r="B385">
        <v>1.2649999999999999</v>
      </c>
      <c r="C385">
        <v>1.3979999999999999</v>
      </c>
      <c r="D385">
        <v>1.2310000000000001</v>
      </c>
      <c r="E385">
        <v>1.3069999999999999</v>
      </c>
      <c r="F385">
        <v>533573.11800000002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-8.9820359281437973E-2</v>
      </c>
      <c r="Q385">
        <f t="shared" si="970"/>
        <v>-47925.729161677104</v>
      </c>
      <c r="R385">
        <f t="shared" si="971"/>
        <v>-16940170.418147724</v>
      </c>
      <c r="S385">
        <f t="shared" si="972"/>
        <v>-169.40170418147724</v>
      </c>
      <c r="T385">
        <f t="shared" si="973"/>
        <v>-0.16940170418147724</v>
      </c>
    </row>
    <row r="386" spans="1:20" x14ac:dyDescent="0.25">
      <c r="A386" s="5">
        <v>44207</v>
      </c>
      <c r="B386">
        <v>1.4590000000000001</v>
      </c>
      <c r="C386">
        <v>1.4590000000000001</v>
      </c>
      <c r="D386">
        <v>1.181</v>
      </c>
      <c r="E386">
        <v>1.268</v>
      </c>
      <c r="F386">
        <v>953464.97699999996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-0.37410071942446071</v>
      </c>
      <c r="Q386">
        <f t="shared" si="970"/>
        <v>-356691.93384172686</v>
      </c>
      <c r="R386">
        <f t="shared" si="971"/>
        <v>-16892244.688986048</v>
      </c>
      <c r="S386">
        <f t="shared" si="972"/>
        <v>-168.92244688986048</v>
      </c>
      <c r="T386">
        <f t="shared" si="973"/>
        <v>-0.16892244688986049</v>
      </c>
    </row>
    <row r="387" spans="1:20" x14ac:dyDescent="0.25">
      <c r="A387" s="5">
        <v>44206</v>
      </c>
      <c r="B387">
        <v>1.5329999999999999</v>
      </c>
      <c r="C387">
        <v>1.62</v>
      </c>
      <c r="D387">
        <v>1.3280000000000001</v>
      </c>
      <c r="E387">
        <v>1.456</v>
      </c>
      <c r="F387">
        <v>1044925.768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-0.12328767123287757</v>
      </c>
      <c r="Q387">
        <f t="shared" si="970"/>
        <v>-128826.4645479461</v>
      </c>
      <c r="R387">
        <f t="shared" si="971"/>
        <v>-16535552.755144322</v>
      </c>
      <c r="S387">
        <f t="shared" si="972"/>
        <v>-165.35552755144323</v>
      </c>
      <c r="T387">
        <f t="shared" si="973"/>
        <v>-0.16535552755144323</v>
      </c>
    </row>
    <row r="388" spans="1:20" x14ac:dyDescent="0.25">
      <c r="A388" s="5">
        <v>44205</v>
      </c>
      <c r="B388">
        <v>1.431</v>
      </c>
      <c r="C388">
        <v>1.6279999999999999</v>
      </c>
      <c r="D388">
        <v>1.4039999999999999</v>
      </c>
      <c r="E388">
        <v>1.536</v>
      </c>
      <c r="F388">
        <v>981837.50300000003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0.17857142857142974</v>
      </c>
      <c r="Q388">
        <f t="shared" si="970"/>
        <v>175328.12553571543</v>
      </c>
      <c r="R388">
        <f t="shared" si="971"/>
        <v>-16406726.290596377</v>
      </c>
      <c r="S388">
        <f t="shared" si="972"/>
        <v>-164.06726290596376</v>
      </c>
      <c r="T388">
        <f t="shared" si="973"/>
        <v>-0.16406726290596377</v>
      </c>
    </row>
    <row r="389" spans="1:20" x14ac:dyDescent="0.25">
      <c r="A389" s="5">
        <v>44204</v>
      </c>
      <c r="B389">
        <v>1.4019999999999999</v>
      </c>
      <c r="C389">
        <v>1.4530000000000001</v>
      </c>
      <c r="D389">
        <v>1.278</v>
      </c>
      <c r="E389">
        <v>1.43</v>
      </c>
      <c r="F389">
        <v>617093.05900000001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0.73714285714285566</v>
      </c>
      <c r="Q389">
        <f t="shared" si="970"/>
        <v>454885.7406342848</v>
      </c>
      <c r="R389">
        <f t="shared" si="971"/>
        <v>-16582054.416132092</v>
      </c>
      <c r="S389">
        <f t="shared" si="972"/>
        <v>-165.82054416132092</v>
      </c>
      <c r="T389">
        <f t="shared" si="973"/>
        <v>-0.16582054416132092</v>
      </c>
    </row>
    <row r="390" spans="1:20" x14ac:dyDescent="0.25">
      <c r="A390" s="5">
        <v>44203</v>
      </c>
      <c r="B390">
        <v>1.506</v>
      </c>
      <c r="C390">
        <v>1.5209999999999999</v>
      </c>
      <c r="D390">
        <v>1.3360000000000001</v>
      </c>
      <c r="E390">
        <v>1.401</v>
      </c>
      <c r="F390">
        <v>815984.94499999995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-0.29729729729729726</v>
      </c>
      <c r="Q390">
        <f t="shared" ref="Q390:Q453" si="975">F390*P390</f>
        <v>-242590.11878378375</v>
      </c>
      <c r="R390">
        <f t="shared" ref="R390:R453" si="976">R391+Q390</f>
        <v>-17036940.156766377</v>
      </c>
      <c r="S390">
        <f t="shared" ref="S390:S453" si="977">R390/100000</f>
        <v>-170.36940156766377</v>
      </c>
      <c r="T390">
        <f t="shared" ref="T390:T453" si="978">S390/1000</f>
        <v>-0.17036940156766378</v>
      </c>
    </row>
    <row r="391" spans="1:20" x14ac:dyDescent="0.25">
      <c r="A391" s="5">
        <v>44202</v>
      </c>
      <c r="B391">
        <v>1.4810000000000001</v>
      </c>
      <c r="C391">
        <v>1.641</v>
      </c>
      <c r="D391">
        <v>1.35</v>
      </c>
      <c r="E391">
        <v>1.5069999999999999</v>
      </c>
      <c r="F391">
        <v>982015.19700000004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7.9037800687284165E-2</v>
      </c>
      <c r="Q391">
        <f t="shared" si="975"/>
        <v>77616.321412370104</v>
      </c>
      <c r="R391">
        <f t="shared" si="976"/>
        <v>-16794350.037982594</v>
      </c>
      <c r="S391">
        <f t="shared" si="977"/>
        <v>-167.94350037982593</v>
      </c>
      <c r="T391">
        <f t="shared" si="978"/>
        <v>-0.16794350037982594</v>
      </c>
    </row>
    <row r="392" spans="1:20" x14ac:dyDescent="0.25">
      <c r="A392" s="5">
        <v>44201</v>
      </c>
      <c r="B392">
        <v>1.363</v>
      </c>
      <c r="C392">
        <v>1.57</v>
      </c>
      <c r="D392">
        <v>1.3180000000000001</v>
      </c>
      <c r="E392">
        <v>1.4810000000000001</v>
      </c>
      <c r="F392">
        <v>458603.13699999999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0.29365079365079388</v>
      </c>
      <c r="Q392">
        <f t="shared" si="975"/>
        <v>134669.17515079374</v>
      </c>
      <c r="R392">
        <f t="shared" si="976"/>
        <v>-16871966.359394964</v>
      </c>
      <c r="S392">
        <f t="shared" si="977"/>
        <v>-168.71966359394963</v>
      </c>
      <c r="T392">
        <f t="shared" si="978"/>
        <v>-0.16871966359394963</v>
      </c>
    </row>
    <row r="393" spans="1:20" x14ac:dyDescent="0.25">
      <c r="A393" s="5">
        <v>44200</v>
      </c>
      <c r="B393">
        <v>1.3109999999999999</v>
      </c>
      <c r="C393">
        <v>1.4550000000000001</v>
      </c>
      <c r="D393">
        <v>1.274</v>
      </c>
      <c r="E393">
        <v>1.363</v>
      </c>
      <c r="F393">
        <v>429610.66499999998</v>
      </c>
      <c r="G393">
        <v>0</v>
      </c>
      <c r="L393" t="s">
        <v>8</v>
      </c>
      <c r="M393" t="s">
        <v>7</v>
      </c>
      <c r="N393" t="s">
        <v>8</v>
      </c>
      <c r="P393">
        <f t="shared" si="974"/>
        <v>-1.657458563535974E-2</v>
      </c>
      <c r="Q393">
        <f t="shared" si="975"/>
        <v>-7120.618756906345</v>
      </c>
      <c r="R393">
        <f t="shared" si="976"/>
        <v>-17006635.534545757</v>
      </c>
      <c r="S393">
        <f t="shared" si="977"/>
        <v>-170.06635534545757</v>
      </c>
      <c r="T393">
        <f t="shared" si="978"/>
        <v>-0.17006635534545755</v>
      </c>
    </row>
    <row r="394" spans="1:20" x14ac:dyDescent="0.25">
      <c r="A394" s="5">
        <v>44199</v>
      </c>
      <c r="B394">
        <v>1.292</v>
      </c>
      <c r="C394">
        <v>1.359</v>
      </c>
      <c r="D394">
        <v>1.22</v>
      </c>
      <c r="E394">
        <v>1.3109999999999999</v>
      </c>
      <c r="F394">
        <v>388299.05800000002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0.30935251798561098</v>
      </c>
      <c r="Q394">
        <f t="shared" si="975"/>
        <v>120121.29132374081</v>
      </c>
      <c r="R394">
        <f t="shared" si="976"/>
        <v>-16999514.915788852</v>
      </c>
      <c r="S394">
        <f t="shared" si="977"/>
        <v>-169.99514915788851</v>
      </c>
      <c r="T394">
        <f t="shared" si="978"/>
        <v>-0.16999514915788849</v>
      </c>
    </row>
    <row r="395" spans="1:20" x14ac:dyDescent="0.25">
      <c r="A395" s="5">
        <v>44198</v>
      </c>
      <c r="B395">
        <v>1.355</v>
      </c>
      <c r="C395">
        <v>1.397</v>
      </c>
      <c r="D395">
        <v>1.26</v>
      </c>
      <c r="E395">
        <v>1.292</v>
      </c>
      <c r="F395">
        <v>323050.12800000003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-0.53284671532846672</v>
      </c>
      <c r="Q395">
        <f t="shared" si="975"/>
        <v>-172136.19959124076</v>
      </c>
      <c r="R395">
        <f t="shared" si="976"/>
        <v>-17119636.207112592</v>
      </c>
      <c r="S395">
        <f t="shared" si="977"/>
        <v>-171.19636207112592</v>
      </c>
      <c r="T395">
        <f t="shared" si="978"/>
        <v>-0.17119636207112593</v>
      </c>
    </row>
    <row r="396" spans="1:20" x14ac:dyDescent="0.25">
      <c r="A396" s="5">
        <v>44197</v>
      </c>
      <c r="B396">
        <v>1.2909999999999999</v>
      </c>
      <c r="C396">
        <v>1.4350000000000001</v>
      </c>
      <c r="D396">
        <v>1.2849999999999999</v>
      </c>
      <c r="E396">
        <v>1.359</v>
      </c>
      <c r="F396">
        <v>364793.005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-1.3333333333333334E-2</v>
      </c>
      <c r="Q396">
        <f t="shared" si="975"/>
        <v>-4863.9067333333342</v>
      </c>
      <c r="R396">
        <f t="shared" si="976"/>
        <v>-16947500.00752135</v>
      </c>
      <c r="S396">
        <f t="shared" si="977"/>
        <v>-169.4750000752135</v>
      </c>
      <c r="T396">
        <f t="shared" si="978"/>
        <v>-0.16947500007521349</v>
      </c>
    </row>
    <row r="397" spans="1:20" x14ac:dyDescent="0.25">
      <c r="A397" s="5">
        <v>44196</v>
      </c>
      <c r="B397">
        <v>1.266</v>
      </c>
      <c r="C397">
        <v>1.35</v>
      </c>
      <c r="D397">
        <v>1.232</v>
      </c>
      <c r="E397">
        <v>1.2949999999999999</v>
      </c>
      <c r="F397">
        <v>261149.204</v>
      </c>
      <c r="G397">
        <v>0</v>
      </c>
      <c r="L397" t="s">
        <v>8</v>
      </c>
      <c r="M397" t="s">
        <v>7</v>
      </c>
      <c r="N397" t="s">
        <v>8</v>
      </c>
      <c r="P397">
        <f t="shared" si="974"/>
        <v>6.7796610169489638E-2</v>
      </c>
      <c r="Q397">
        <f t="shared" si="975"/>
        <v>17705.030779660523</v>
      </c>
      <c r="R397">
        <f t="shared" si="976"/>
        <v>-16942636.100788016</v>
      </c>
      <c r="S397">
        <f t="shared" si="977"/>
        <v>-169.42636100788016</v>
      </c>
      <c r="T397">
        <f t="shared" si="978"/>
        <v>-0.16942636100788017</v>
      </c>
    </row>
    <row r="398" spans="1:20" x14ac:dyDescent="0.25">
      <c r="A398" s="5">
        <v>44195</v>
      </c>
      <c r="B398">
        <v>1.284</v>
      </c>
      <c r="C398">
        <v>1.3360000000000001</v>
      </c>
      <c r="D398">
        <v>1.2350000000000001</v>
      </c>
      <c r="E398">
        <v>1.2649999999999999</v>
      </c>
      <c r="F398">
        <v>351442.25699999998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-0.40594059405940969</v>
      </c>
      <c r="Q398">
        <f t="shared" si="975"/>
        <v>-142664.67858415973</v>
      </c>
      <c r="R398">
        <f t="shared" si="976"/>
        <v>-16960341.131567676</v>
      </c>
      <c r="S398">
        <f t="shared" si="977"/>
        <v>-169.60341131567677</v>
      </c>
      <c r="T398">
        <f t="shared" si="978"/>
        <v>-0.16960341131567677</v>
      </c>
    </row>
    <row r="399" spans="1:20" x14ac:dyDescent="0.25">
      <c r="A399" s="5">
        <v>44194</v>
      </c>
      <c r="B399">
        <v>1.4319999999999999</v>
      </c>
      <c r="C399">
        <v>1.464</v>
      </c>
      <c r="D399">
        <v>1.22</v>
      </c>
      <c r="E399">
        <v>1.2809999999999999</v>
      </c>
      <c r="F399">
        <v>519679.33600000001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-0.50000000000000044</v>
      </c>
      <c r="Q399">
        <f t="shared" si="975"/>
        <v>-259839.66800000024</v>
      </c>
      <c r="R399">
        <f t="shared" si="976"/>
        <v>-16817676.452983517</v>
      </c>
      <c r="S399">
        <f t="shared" si="977"/>
        <v>-168.17676452983517</v>
      </c>
      <c r="T399">
        <f t="shared" si="978"/>
        <v>-0.16817676452983515</v>
      </c>
    </row>
    <row r="400" spans="1:20" x14ac:dyDescent="0.25">
      <c r="A400" s="5">
        <v>44193</v>
      </c>
      <c r="B400">
        <v>1.343</v>
      </c>
      <c r="C400">
        <v>1.5</v>
      </c>
      <c r="D400">
        <v>1.3149999999999999</v>
      </c>
      <c r="E400">
        <v>1.429</v>
      </c>
      <c r="F400">
        <v>568300.49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0.23243243243243317</v>
      </c>
      <c r="Q400">
        <f t="shared" si="975"/>
        <v>132091.46524324367</v>
      </c>
      <c r="R400">
        <f t="shared" si="976"/>
        <v>-16557836.784983516</v>
      </c>
      <c r="S400">
        <f t="shared" si="977"/>
        <v>-165.57836784983516</v>
      </c>
      <c r="T400">
        <f t="shared" si="978"/>
        <v>-0.16557836784983515</v>
      </c>
    </row>
    <row r="401" spans="1:20" x14ac:dyDescent="0.25">
      <c r="A401" s="5">
        <v>44192</v>
      </c>
      <c r="B401">
        <v>1.452</v>
      </c>
      <c r="C401">
        <v>1.66</v>
      </c>
      <c r="D401">
        <v>1.294</v>
      </c>
      <c r="E401">
        <v>1.34</v>
      </c>
      <c r="F401">
        <v>1183379.5090000001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-0.74863387978142049</v>
      </c>
      <c r="Q401">
        <f t="shared" si="975"/>
        <v>-885917.99307650246</v>
      </c>
      <c r="R401">
        <f t="shared" si="976"/>
        <v>-16689928.25022676</v>
      </c>
      <c r="S401">
        <f t="shared" si="977"/>
        <v>-166.8992825022676</v>
      </c>
      <c r="T401">
        <f t="shared" si="978"/>
        <v>-0.1668992825022676</v>
      </c>
    </row>
    <row r="402" spans="1:20" x14ac:dyDescent="0.25">
      <c r="A402" s="5">
        <v>44191</v>
      </c>
      <c r="B402">
        <v>1.2749999999999999</v>
      </c>
      <c r="C402">
        <v>1.458</v>
      </c>
      <c r="D402">
        <v>1.2569999999999999</v>
      </c>
      <c r="E402">
        <v>1.45</v>
      </c>
      <c r="F402">
        <v>423936.53200000001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0.92039800995024867</v>
      </c>
      <c r="Q402">
        <f t="shared" si="975"/>
        <v>390190.34039800992</v>
      </c>
      <c r="R402">
        <f t="shared" si="976"/>
        <v>-15804010.257150257</v>
      </c>
      <c r="S402">
        <f t="shared" si="977"/>
        <v>-158.04010257150256</v>
      </c>
      <c r="T402">
        <f t="shared" si="978"/>
        <v>-0.15804010257150256</v>
      </c>
    </row>
    <row r="403" spans="1:20" x14ac:dyDescent="0.25">
      <c r="A403" s="5">
        <v>44190</v>
      </c>
      <c r="B403">
        <v>1.383</v>
      </c>
      <c r="C403">
        <v>1.403</v>
      </c>
      <c r="D403">
        <v>1.2509999999999999</v>
      </c>
      <c r="E403">
        <v>1.2789999999999999</v>
      </c>
      <c r="F403">
        <v>282021.36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-0.63157894736842102</v>
      </c>
      <c r="Q403">
        <f t="shared" si="975"/>
        <v>-178118.7536842105</v>
      </c>
      <c r="R403">
        <f t="shared" si="976"/>
        <v>-16194200.597548267</v>
      </c>
      <c r="S403">
        <f t="shared" si="977"/>
        <v>-161.94200597548266</v>
      </c>
      <c r="T403">
        <f t="shared" si="978"/>
        <v>-0.16194200597548267</v>
      </c>
    </row>
    <row r="404" spans="1:20" x14ac:dyDescent="0.25">
      <c r="A404" s="5">
        <v>44189</v>
      </c>
      <c r="B404">
        <v>1.2290000000000001</v>
      </c>
      <c r="C404">
        <v>1.4259999999999999</v>
      </c>
      <c r="D404">
        <v>1.2</v>
      </c>
      <c r="E404">
        <v>1.377</v>
      </c>
      <c r="F404">
        <v>466305.09899999999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0.56637168141592975</v>
      </c>
      <c r="Q404">
        <f t="shared" si="975"/>
        <v>264102.00297345157</v>
      </c>
      <c r="R404">
        <f t="shared" si="976"/>
        <v>-16016081.843864057</v>
      </c>
      <c r="S404">
        <f t="shared" si="977"/>
        <v>-160.16081843864058</v>
      </c>
      <c r="T404">
        <f t="shared" si="978"/>
        <v>-0.16016081843864058</v>
      </c>
    </row>
    <row r="405" spans="1:20" x14ac:dyDescent="0.25">
      <c r="A405" s="5">
        <v>44188</v>
      </c>
      <c r="B405">
        <v>1.569</v>
      </c>
      <c r="C405">
        <v>1.5780000000000001</v>
      </c>
      <c r="D405">
        <v>1.1100000000000001</v>
      </c>
      <c r="E405">
        <v>1.22</v>
      </c>
      <c r="F405">
        <v>1059711.7660000001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-0.52991452991453036</v>
      </c>
      <c r="Q405">
        <f t="shared" si="975"/>
        <v>-561556.66232478688</v>
      </c>
      <c r="R405">
        <f t="shared" si="976"/>
        <v>-16280183.846837509</v>
      </c>
      <c r="S405">
        <f t="shared" si="977"/>
        <v>-162.80183846837508</v>
      </c>
      <c r="T405">
        <f t="shared" si="978"/>
        <v>-0.16280183846837509</v>
      </c>
    </row>
    <row r="406" spans="1:20" x14ac:dyDescent="0.25">
      <c r="A406" s="5">
        <v>44187</v>
      </c>
      <c r="B406">
        <v>1.4219999999999999</v>
      </c>
      <c r="C406">
        <v>1.869</v>
      </c>
      <c r="D406">
        <v>1.411</v>
      </c>
      <c r="E406">
        <v>1.569</v>
      </c>
      <c r="F406">
        <v>2981988.8509999998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-0.31004366812227102</v>
      </c>
      <c r="Q406">
        <f t="shared" si="975"/>
        <v>-924546.76166375622</v>
      </c>
      <c r="R406">
        <f t="shared" si="976"/>
        <v>-15718627.184512723</v>
      </c>
      <c r="S406">
        <f t="shared" si="977"/>
        <v>-157.18627184512724</v>
      </c>
      <c r="T406">
        <f t="shared" si="978"/>
        <v>-0.15718627184512723</v>
      </c>
    </row>
    <row r="407" spans="1:20" x14ac:dyDescent="0.25">
      <c r="A407" s="5">
        <v>44186</v>
      </c>
      <c r="B407">
        <v>1.423</v>
      </c>
      <c r="C407">
        <v>1.4490000000000001</v>
      </c>
      <c r="D407">
        <v>1.35</v>
      </c>
      <c r="E407">
        <v>1.421</v>
      </c>
      <c r="F407">
        <v>304286.46100000001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0.4343434343434337</v>
      </c>
      <c r="Q407">
        <f t="shared" si="975"/>
        <v>132164.82649494932</v>
      </c>
      <c r="R407">
        <f t="shared" si="976"/>
        <v>-14794080.422848968</v>
      </c>
      <c r="S407">
        <f t="shared" si="977"/>
        <v>-147.94080422848967</v>
      </c>
      <c r="T407">
        <f t="shared" si="978"/>
        <v>-0.14794080422848968</v>
      </c>
    </row>
    <row r="408" spans="1:20" x14ac:dyDescent="0.25">
      <c r="A408" s="5">
        <v>44185</v>
      </c>
      <c r="B408">
        <v>1.44</v>
      </c>
      <c r="C408">
        <v>1.4750000000000001</v>
      </c>
      <c r="D408">
        <v>1.393</v>
      </c>
      <c r="E408">
        <v>1.425</v>
      </c>
      <c r="F408">
        <v>207086.598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-0.21951219512195122</v>
      </c>
      <c r="Q408">
        <f t="shared" si="975"/>
        <v>-45458.033707317074</v>
      </c>
      <c r="R408">
        <f t="shared" si="976"/>
        <v>-14926245.249343917</v>
      </c>
      <c r="S408">
        <f t="shared" si="977"/>
        <v>-149.26245249343916</v>
      </c>
      <c r="T408">
        <f t="shared" si="978"/>
        <v>-0.14926245249343917</v>
      </c>
    </row>
    <row r="409" spans="1:20" x14ac:dyDescent="0.25">
      <c r="A409" s="5">
        <v>44184</v>
      </c>
      <c r="B409">
        <v>1.472</v>
      </c>
      <c r="C409">
        <v>1.5169999999999999</v>
      </c>
      <c r="D409">
        <v>1.3919999999999999</v>
      </c>
      <c r="E409">
        <v>1.4430000000000001</v>
      </c>
      <c r="F409">
        <v>438292.58600000001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-0.1839999999999975</v>
      </c>
      <c r="Q409">
        <f t="shared" si="975"/>
        <v>-80645.835823998903</v>
      </c>
      <c r="R409">
        <f t="shared" si="976"/>
        <v>-14880787.2156366</v>
      </c>
      <c r="S409">
        <f t="shared" si="977"/>
        <v>-148.80787215636599</v>
      </c>
      <c r="T409">
        <f t="shared" si="978"/>
        <v>-0.14880787215636598</v>
      </c>
    </row>
    <row r="410" spans="1:20" x14ac:dyDescent="0.25">
      <c r="A410" s="5">
        <v>44183</v>
      </c>
      <c r="B410">
        <v>1.2869999999999999</v>
      </c>
      <c r="C410">
        <v>1.5</v>
      </c>
      <c r="D410">
        <v>1.2649999999999999</v>
      </c>
      <c r="E410">
        <v>1.47</v>
      </c>
      <c r="F410">
        <v>853186.09900000005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0.74468085106382964</v>
      </c>
      <c r="Q410">
        <f t="shared" si="975"/>
        <v>635351.35031914886</v>
      </c>
      <c r="R410">
        <f t="shared" si="976"/>
        <v>-14800141.3798126</v>
      </c>
      <c r="S410">
        <f t="shared" si="977"/>
        <v>-148.00141379812601</v>
      </c>
      <c r="T410">
        <f t="shared" si="978"/>
        <v>-0.14800141379812601</v>
      </c>
    </row>
    <row r="411" spans="1:20" x14ac:dyDescent="0.25">
      <c r="A411" s="5">
        <v>44182</v>
      </c>
      <c r="B411">
        <v>1.3180000000000001</v>
      </c>
      <c r="C411">
        <v>1.3360000000000001</v>
      </c>
      <c r="D411">
        <v>1.254</v>
      </c>
      <c r="E411">
        <v>1.2909999999999999</v>
      </c>
      <c r="F411">
        <v>447247.86300000001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-9.7560975609758807E-2</v>
      </c>
      <c r="Q411">
        <f t="shared" si="975"/>
        <v>-43633.937853659751</v>
      </c>
      <c r="R411">
        <f t="shared" si="976"/>
        <v>-15435492.730131749</v>
      </c>
      <c r="S411">
        <f t="shared" si="977"/>
        <v>-154.3549273013175</v>
      </c>
      <c r="T411">
        <f t="shared" si="978"/>
        <v>-0.1543549273013175</v>
      </c>
    </row>
    <row r="412" spans="1:20" x14ac:dyDescent="0.25">
      <c r="A412" s="5">
        <v>44181</v>
      </c>
      <c r="B412">
        <v>1.2989999999999999</v>
      </c>
      <c r="C412">
        <v>1.3240000000000001</v>
      </c>
      <c r="D412">
        <v>1.232</v>
      </c>
      <c r="E412">
        <v>1.3160000000000001</v>
      </c>
      <c r="F412">
        <v>316991.92499999999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0.82608695652173914</v>
      </c>
      <c r="Q412">
        <f t="shared" si="975"/>
        <v>261862.89456521737</v>
      </c>
      <c r="R412">
        <f t="shared" si="976"/>
        <v>-15391858.792278089</v>
      </c>
      <c r="S412">
        <f t="shared" si="977"/>
        <v>-153.91858792278089</v>
      </c>
      <c r="T412">
        <f t="shared" si="978"/>
        <v>-0.15391858792278088</v>
      </c>
    </row>
    <row r="413" spans="1:20" x14ac:dyDescent="0.25">
      <c r="A413" s="5">
        <v>44180</v>
      </c>
      <c r="B413">
        <v>1.2589999999999999</v>
      </c>
      <c r="C413">
        <v>1.3320000000000001</v>
      </c>
      <c r="D413">
        <v>1.2529999999999999</v>
      </c>
      <c r="E413">
        <v>1.2969999999999999</v>
      </c>
      <c r="F413">
        <v>212759.26500000001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0.11392405063290982</v>
      </c>
      <c r="Q413">
        <f t="shared" si="975"/>
        <v>24238.397278480679</v>
      </c>
      <c r="R413">
        <f t="shared" si="976"/>
        <v>-15653721.686843306</v>
      </c>
      <c r="S413">
        <f t="shared" si="977"/>
        <v>-156.53721686843306</v>
      </c>
      <c r="T413">
        <f t="shared" si="978"/>
        <v>-0.15653721686843305</v>
      </c>
    </row>
    <row r="414" spans="1:20" x14ac:dyDescent="0.25">
      <c r="A414" s="5">
        <v>44179</v>
      </c>
      <c r="B414">
        <v>1.258</v>
      </c>
      <c r="C414">
        <v>1.294</v>
      </c>
      <c r="D414">
        <v>1.226</v>
      </c>
      <c r="E414">
        <v>1.2589999999999999</v>
      </c>
      <c r="F414">
        <v>260889.39499999999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-2.9411764705885617E-2</v>
      </c>
      <c r="Q414">
        <f t="shared" si="975"/>
        <v>-7673.217500000851</v>
      </c>
      <c r="R414">
        <f t="shared" si="976"/>
        <v>-15677960.084121786</v>
      </c>
      <c r="S414">
        <f t="shared" si="977"/>
        <v>-156.77960084121787</v>
      </c>
      <c r="T414">
        <f t="shared" si="978"/>
        <v>-0.15677960084121786</v>
      </c>
    </row>
    <row r="415" spans="1:20" x14ac:dyDescent="0.25">
      <c r="A415" s="5">
        <v>44178</v>
      </c>
      <c r="B415">
        <v>1.196</v>
      </c>
      <c r="C415">
        <v>1.2649999999999999</v>
      </c>
      <c r="D415">
        <v>1.17</v>
      </c>
      <c r="E415">
        <v>1.258</v>
      </c>
      <c r="F415">
        <v>226214.465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0.85263157894737063</v>
      </c>
      <c r="Q415">
        <f t="shared" si="975"/>
        <v>192877.59647368471</v>
      </c>
      <c r="R415">
        <f t="shared" si="976"/>
        <v>-15670286.866621785</v>
      </c>
      <c r="S415">
        <f t="shared" si="977"/>
        <v>-156.70286866621785</v>
      </c>
      <c r="T415">
        <f t="shared" si="978"/>
        <v>-0.15670286866621785</v>
      </c>
    </row>
    <row r="416" spans="1:20" x14ac:dyDescent="0.25">
      <c r="A416" s="5">
        <v>44177</v>
      </c>
      <c r="B416">
        <v>1.157</v>
      </c>
      <c r="C416">
        <v>1.2310000000000001</v>
      </c>
      <c r="D416">
        <v>1.157</v>
      </c>
      <c r="E416">
        <v>1.1919999999999999</v>
      </c>
      <c r="F416">
        <v>191524.13699999999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-5.4054054054057055E-2</v>
      </c>
      <c r="Q416">
        <f t="shared" si="975"/>
        <v>-10352.656054054629</v>
      </c>
      <c r="R416">
        <f t="shared" si="976"/>
        <v>-15863164.463095469</v>
      </c>
      <c r="S416">
        <f t="shared" si="977"/>
        <v>-158.6316446309547</v>
      </c>
      <c r="T416">
        <f t="shared" si="978"/>
        <v>-0.15863164463095469</v>
      </c>
    </row>
    <row r="417" spans="1:20" x14ac:dyDescent="0.25">
      <c r="A417" s="5">
        <v>44176</v>
      </c>
      <c r="B417">
        <v>1.262</v>
      </c>
      <c r="C417">
        <v>1.262</v>
      </c>
      <c r="D417">
        <v>1.1559999999999999</v>
      </c>
      <c r="E417">
        <v>1.157</v>
      </c>
      <c r="F417">
        <v>277001.53000000003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-0.98113207547169601</v>
      </c>
      <c r="Q417">
        <f t="shared" si="975"/>
        <v>-271775.08603773528</v>
      </c>
      <c r="R417">
        <f t="shared" si="976"/>
        <v>-15852811.807041414</v>
      </c>
      <c r="S417">
        <f t="shared" si="977"/>
        <v>-158.52811807041414</v>
      </c>
      <c r="T417">
        <f t="shared" si="978"/>
        <v>-0.15852811807041414</v>
      </c>
    </row>
    <row r="418" spans="1:20" x14ac:dyDescent="0.25">
      <c r="A418" s="5">
        <v>44175</v>
      </c>
      <c r="B418">
        <v>1.3660000000000001</v>
      </c>
      <c r="C418">
        <v>1.369</v>
      </c>
      <c r="D418">
        <v>1.2549999999999999</v>
      </c>
      <c r="E418">
        <v>1.26</v>
      </c>
      <c r="F418">
        <v>261200.42600000001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-0.91228070175438403</v>
      </c>
      <c r="Q418">
        <f t="shared" si="975"/>
        <v>-238288.10792982407</v>
      </c>
      <c r="R418">
        <f t="shared" si="976"/>
        <v>-15581036.72100368</v>
      </c>
      <c r="S418">
        <f t="shared" si="977"/>
        <v>-155.81036721003679</v>
      </c>
      <c r="T418">
        <f t="shared" si="978"/>
        <v>-0.1558103672100368</v>
      </c>
    </row>
    <row r="419" spans="1:20" x14ac:dyDescent="0.25">
      <c r="A419" s="5">
        <v>44174</v>
      </c>
      <c r="B419">
        <v>1.319</v>
      </c>
      <c r="C419">
        <v>1.4059999999999999</v>
      </c>
      <c r="D419">
        <v>1.28</v>
      </c>
      <c r="E419">
        <v>1.363</v>
      </c>
      <c r="F419">
        <v>356079.40600000002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0.317460317460318</v>
      </c>
      <c r="Q419">
        <f t="shared" si="975"/>
        <v>113041.08126984147</v>
      </c>
      <c r="R419">
        <f t="shared" si="976"/>
        <v>-15342748.613073856</v>
      </c>
      <c r="S419">
        <f t="shared" si="977"/>
        <v>-153.42748613073854</v>
      </c>
      <c r="T419">
        <f t="shared" si="978"/>
        <v>-0.15342748613073853</v>
      </c>
    </row>
    <row r="420" spans="1:20" x14ac:dyDescent="0.25">
      <c r="A420" s="5">
        <v>44173</v>
      </c>
      <c r="B420">
        <v>1.415</v>
      </c>
      <c r="C420">
        <v>1.4419999999999999</v>
      </c>
      <c r="D420">
        <v>1.3</v>
      </c>
      <c r="E420">
        <v>1.331</v>
      </c>
      <c r="F420">
        <v>438463.77399999998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-0.56338028169014176</v>
      </c>
      <c r="Q420">
        <f t="shared" si="975"/>
        <v>-247021.84450704264</v>
      </c>
      <c r="R420">
        <f t="shared" si="976"/>
        <v>-15455789.694343697</v>
      </c>
      <c r="S420">
        <f t="shared" si="977"/>
        <v>-154.55789694343699</v>
      </c>
      <c r="T420">
        <f t="shared" si="978"/>
        <v>-0.154557896943437</v>
      </c>
    </row>
    <row r="421" spans="1:20" x14ac:dyDescent="0.25">
      <c r="A421" s="5">
        <v>44172</v>
      </c>
      <c r="B421">
        <v>1.5069999999999999</v>
      </c>
      <c r="C421">
        <v>1.508</v>
      </c>
      <c r="D421">
        <v>1.343</v>
      </c>
      <c r="E421">
        <v>1.417</v>
      </c>
      <c r="F421">
        <v>464446.15700000001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-0.10303030303030243</v>
      </c>
      <c r="Q421">
        <f t="shared" si="975"/>
        <v>-47852.028296969416</v>
      </c>
      <c r="R421">
        <f t="shared" si="976"/>
        <v>-15208767.849836655</v>
      </c>
      <c r="S421">
        <f t="shared" si="977"/>
        <v>-152.08767849836656</v>
      </c>
      <c r="T421">
        <f t="shared" si="978"/>
        <v>-0.15208767849836655</v>
      </c>
    </row>
    <row r="422" spans="1:20" x14ac:dyDescent="0.25">
      <c r="A422" s="5">
        <v>44171</v>
      </c>
      <c r="B422">
        <v>1.5760000000000001</v>
      </c>
      <c r="C422">
        <v>1.65</v>
      </c>
      <c r="D422">
        <v>1.48</v>
      </c>
      <c r="E422">
        <v>1.498</v>
      </c>
      <c r="F422">
        <v>376773.77500000002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-0.78823529411764681</v>
      </c>
      <c r="Q422">
        <f t="shared" si="975"/>
        <v>-296986.38735294109</v>
      </c>
      <c r="R422">
        <f t="shared" si="976"/>
        <v>-15160915.821539685</v>
      </c>
      <c r="S422">
        <f t="shared" si="977"/>
        <v>-151.60915821539686</v>
      </c>
      <c r="T422">
        <f t="shared" si="978"/>
        <v>-0.15160915821539686</v>
      </c>
    </row>
    <row r="423" spans="1:20" x14ac:dyDescent="0.25">
      <c r="A423" s="5">
        <v>44170</v>
      </c>
      <c r="B423">
        <v>1.544</v>
      </c>
      <c r="C423">
        <v>1.6539999999999999</v>
      </c>
      <c r="D423">
        <v>1.5</v>
      </c>
      <c r="E423">
        <v>1.5760000000000001</v>
      </c>
      <c r="F423">
        <v>485577.52799999999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-1.2987012987011564E-2</v>
      </c>
      <c r="Q423">
        <f t="shared" si="975"/>
        <v>-6306.2016623369709</v>
      </c>
      <c r="R423">
        <f t="shared" si="976"/>
        <v>-14863929.434186744</v>
      </c>
      <c r="S423">
        <f t="shared" si="977"/>
        <v>-148.63929434186744</v>
      </c>
      <c r="T423">
        <f t="shared" si="978"/>
        <v>-0.14863929434186743</v>
      </c>
    </row>
    <row r="424" spans="1:20" x14ac:dyDescent="0.25">
      <c r="A424" s="5">
        <v>44169</v>
      </c>
      <c r="B424">
        <v>1.49</v>
      </c>
      <c r="C424">
        <v>1.619</v>
      </c>
      <c r="D424">
        <v>1.4710000000000001</v>
      </c>
      <c r="E424">
        <v>1.5429999999999999</v>
      </c>
      <c r="F424">
        <v>625586.19700000004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-2.7027027027028569E-2</v>
      </c>
      <c r="Q424">
        <f t="shared" si="975"/>
        <v>-16907.735054055021</v>
      </c>
      <c r="R424">
        <f t="shared" si="976"/>
        <v>-14857623.232524406</v>
      </c>
      <c r="S424">
        <f t="shared" si="977"/>
        <v>-148.57623232524406</v>
      </c>
      <c r="T424">
        <f t="shared" si="978"/>
        <v>-0.14857623232524406</v>
      </c>
    </row>
    <row r="425" spans="1:20" x14ac:dyDescent="0.25">
      <c r="A425" s="5">
        <v>44168</v>
      </c>
      <c r="B425">
        <v>1.4419999999999999</v>
      </c>
      <c r="C425">
        <v>1.5309999999999999</v>
      </c>
      <c r="D425">
        <v>1.415</v>
      </c>
      <c r="E425">
        <v>1.4910000000000001</v>
      </c>
      <c r="F425">
        <v>328065.821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0.3103448275862094</v>
      </c>
      <c r="Q425">
        <f t="shared" si="975"/>
        <v>101813.53065517324</v>
      </c>
      <c r="R425">
        <f t="shared" si="976"/>
        <v>-14840715.497470351</v>
      </c>
      <c r="S425">
        <f t="shared" si="977"/>
        <v>-148.4071549747035</v>
      </c>
      <c r="T425">
        <f t="shared" si="978"/>
        <v>-0.1484071549747035</v>
      </c>
    </row>
    <row r="426" spans="1:20" x14ac:dyDescent="0.25">
      <c r="A426" s="5">
        <v>44167</v>
      </c>
      <c r="B426">
        <v>1.357</v>
      </c>
      <c r="C426">
        <v>1.4490000000000001</v>
      </c>
      <c r="D426">
        <v>1.3</v>
      </c>
      <c r="E426">
        <v>1.4430000000000001</v>
      </c>
      <c r="F426">
        <v>196929.454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0.91946308724832204</v>
      </c>
      <c r="Q426">
        <f t="shared" si="975"/>
        <v>181069.36374496642</v>
      </c>
      <c r="R426">
        <f t="shared" si="976"/>
        <v>-14942529.028125525</v>
      </c>
      <c r="S426">
        <f t="shared" si="977"/>
        <v>-149.42529028125526</v>
      </c>
      <c r="T426">
        <f t="shared" si="978"/>
        <v>-0.14942529028125526</v>
      </c>
    </row>
    <row r="427" spans="1:20" x14ac:dyDescent="0.25">
      <c r="A427" s="5">
        <v>44166</v>
      </c>
      <c r="B427">
        <v>1.423</v>
      </c>
      <c r="C427">
        <v>1.5209999999999999</v>
      </c>
      <c r="D427">
        <v>1.3340000000000001</v>
      </c>
      <c r="E427">
        <v>1.3620000000000001</v>
      </c>
      <c r="F427">
        <v>460415.462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-0.70053475935828824</v>
      </c>
      <c r="Q427">
        <f t="shared" si="975"/>
        <v>-322537.03487700509</v>
      </c>
      <c r="R427">
        <f t="shared" si="976"/>
        <v>-15123598.391870491</v>
      </c>
      <c r="S427">
        <f t="shared" si="977"/>
        <v>-151.2359839187049</v>
      </c>
      <c r="T427">
        <f t="shared" si="978"/>
        <v>-0.15123598391870491</v>
      </c>
    </row>
    <row r="428" spans="1:20" x14ac:dyDescent="0.25">
      <c r="A428" s="5">
        <v>44165</v>
      </c>
      <c r="B428">
        <v>1.401</v>
      </c>
      <c r="C428">
        <v>1.5589999999999999</v>
      </c>
      <c r="D428">
        <v>1.36</v>
      </c>
      <c r="E428">
        <v>1.427</v>
      </c>
      <c r="F428">
        <v>507567.41700000002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-0.3266331658291457</v>
      </c>
      <c r="Q428">
        <f t="shared" si="975"/>
        <v>-165788.35228643214</v>
      </c>
      <c r="R428">
        <f t="shared" si="976"/>
        <v>-14801061.356993485</v>
      </c>
      <c r="S428">
        <f t="shared" si="977"/>
        <v>-148.01061356993486</v>
      </c>
      <c r="T428">
        <f t="shared" si="978"/>
        <v>-0.14801061356993486</v>
      </c>
    </row>
    <row r="429" spans="1:20" x14ac:dyDescent="0.25">
      <c r="A429" s="5">
        <v>44164</v>
      </c>
      <c r="B429">
        <v>1.3620000000000001</v>
      </c>
      <c r="C429">
        <v>1.41</v>
      </c>
      <c r="D429">
        <v>1.234</v>
      </c>
      <c r="E429">
        <v>1.401</v>
      </c>
      <c r="F429">
        <v>244252.64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0.89772727272727382</v>
      </c>
      <c r="Q429">
        <f t="shared" si="975"/>
        <v>219272.25636363664</v>
      </c>
      <c r="R429">
        <f t="shared" si="976"/>
        <v>-14635273.004707053</v>
      </c>
      <c r="S429">
        <f t="shared" si="977"/>
        <v>-146.35273004707054</v>
      </c>
      <c r="T429">
        <f t="shared" si="978"/>
        <v>-0.14635273004707053</v>
      </c>
    </row>
    <row r="430" spans="1:20" x14ac:dyDescent="0.25">
      <c r="A430" s="5">
        <v>44163</v>
      </c>
      <c r="B430">
        <v>1.323</v>
      </c>
      <c r="C430">
        <v>1.4319999999999999</v>
      </c>
      <c r="D430">
        <v>1.28</v>
      </c>
      <c r="E430">
        <v>1.3620000000000001</v>
      </c>
      <c r="F430">
        <v>237874.92199999999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7.8947368421054209E-2</v>
      </c>
      <c r="Q430">
        <f t="shared" si="975"/>
        <v>18779.599105263533</v>
      </c>
      <c r="R430">
        <f t="shared" si="976"/>
        <v>-14854545.261070689</v>
      </c>
      <c r="S430">
        <f t="shared" si="977"/>
        <v>-148.54545261070689</v>
      </c>
      <c r="T430">
        <f t="shared" si="978"/>
        <v>-0.1485454526107069</v>
      </c>
    </row>
    <row r="431" spans="1:20" x14ac:dyDescent="0.25">
      <c r="A431" s="5">
        <v>44162</v>
      </c>
      <c r="B431">
        <v>1.375</v>
      </c>
      <c r="C431">
        <v>1.49</v>
      </c>
      <c r="D431">
        <v>1.2569999999999999</v>
      </c>
      <c r="E431">
        <v>1.3240000000000001</v>
      </c>
      <c r="F431">
        <v>443077.37900000002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-0.4248927038626597</v>
      </c>
      <c r="Q431">
        <f t="shared" si="975"/>
        <v>-188260.34558369045</v>
      </c>
      <c r="R431">
        <f t="shared" si="976"/>
        <v>-14873324.860175952</v>
      </c>
      <c r="S431">
        <f t="shared" si="977"/>
        <v>-148.73324860175953</v>
      </c>
      <c r="T431">
        <f t="shared" si="978"/>
        <v>-0.14873324860175952</v>
      </c>
    </row>
    <row r="432" spans="1:20" x14ac:dyDescent="0.25">
      <c r="A432" s="5">
        <v>44161</v>
      </c>
      <c r="B432">
        <v>1.496</v>
      </c>
      <c r="C432">
        <v>1.5169999999999999</v>
      </c>
      <c r="D432">
        <v>1.119</v>
      </c>
      <c r="E432">
        <v>1.38</v>
      </c>
      <c r="F432">
        <v>811586.01399999997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0.31155778894472341</v>
      </c>
      <c r="Q432">
        <f t="shared" si="975"/>
        <v>252855.94406030132</v>
      </c>
      <c r="R432">
        <f t="shared" si="976"/>
        <v>-14685064.514592262</v>
      </c>
      <c r="S432">
        <f t="shared" si="977"/>
        <v>-146.85064514592261</v>
      </c>
      <c r="T432">
        <f t="shared" si="978"/>
        <v>-0.14685064514592261</v>
      </c>
    </row>
    <row r="433" spans="1:20" x14ac:dyDescent="0.25">
      <c r="A433" s="5">
        <v>44160</v>
      </c>
      <c r="B433">
        <v>1.641</v>
      </c>
      <c r="C433">
        <v>1.6559999999999999</v>
      </c>
      <c r="D433">
        <v>1.46</v>
      </c>
      <c r="E433">
        <v>1.5049999999999999</v>
      </c>
      <c r="F433">
        <v>484138.815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-0.54081632653061285</v>
      </c>
      <c r="Q433">
        <f t="shared" si="975"/>
        <v>-261830.17545918396</v>
      </c>
      <c r="R433">
        <f t="shared" si="976"/>
        <v>-14937920.458652563</v>
      </c>
      <c r="S433">
        <f t="shared" si="977"/>
        <v>-149.37920458652565</v>
      </c>
      <c r="T433">
        <f t="shared" si="978"/>
        <v>-0.14937920458652565</v>
      </c>
    </row>
    <row r="434" spans="1:20" x14ac:dyDescent="0.25">
      <c r="A434" s="5">
        <v>44159</v>
      </c>
      <c r="B434">
        <v>1.7669999999999999</v>
      </c>
      <c r="C434">
        <v>1.8009999999999999</v>
      </c>
      <c r="D434">
        <v>1.5529999999999999</v>
      </c>
      <c r="E434">
        <v>1.641</v>
      </c>
      <c r="F434">
        <v>636210.11699999997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-0.29032258064516064</v>
      </c>
      <c r="Q434">
        <f t="shared" si="975"/>
        <v>-184706.16299999959</v>
      </c>
      <c r="R434">
        <f t="shared" si="976"/>
        <v>-14676090.28319338</v>
      </c>
      <c r="S434">
        <f t="shared" si="977"/>
        <v>-146.76090283193381</v>
      </c>
      <c r="T434">
        <f t="shared" si="978"/>
        <v>-0.1467609028319338</v>
      </c>
    </row>
    <row r="435" spans="1:20" x14ac:dyDescent="0.25">
      <c r="A435" s="5">
        <v>44158</v>
      </c>
      <c r="B435">
        <v>1.669</v>
      </c>
      <c r="C435">
        <v>1.895</v>
      </c>
      <c r="D435">
        <v>1.6220000000000001</v>
      </c>
      <c r="E435">
        <v>1.766</v>
      </c>
      <c r="F435">
        <v>553931.723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5.4945054945054604E-2</v>
      </c>
      <c r="Q435">
        <f t="shared" si="975"/>
        <v>30435.808956043766</v>
      </c>
      <c r="R435">
        <f t="shared" si="976"/>
        <v>-14491384.120193381</v>
      </c>
      <c r="S435">
        <f t="shared" si="977"/>
        <v>-144.91384120193382</v>
      </c>
      <c r="T435">
        <f t="shared" si="978"/>
        <v>-0.14491384120193382</v>
      </c>
    </row>
    <row r="436" spans="1:20" x14ac:dyDescent="0.25">
      <c r="A436" s="5">
        <v>44157</v>
      </c>
      <c r="B436">
        <v>1.821</v>
      </c>
      <c r="C436">
        <v>1.837</v>
      </c>
      <c r="D436">
        <v>1.522</v>
      </c>
      <c r="E436">
        <v>1.667</v>
      </c>
      <c r="F436">
        <v>548206.24399999995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-7.9365079365079097E-2</v>
      </c>
      <c r="Q436">
        <f t="shared" si="975"/>
        <v>-43508.432063491913</v>
      </c>
      <c r="R436">
        <f t="shared" si="976"/>
        <v>-14521819.929149425</v>
      </c>
      <c r="S436">
        <f t="shared" si="977"/>
        <v>-145.21819929149424</v>
      </c>
      <c r="T436">
        <f t="shared" si="978"/>
        <v>-0.14521819929149424</v>
      </c>
    </row>
    <row r="437" spans="1:20" x14ac:dyDescent="0.25">
      <c r="A437" s="5">
        <v>44156</v>
      </c>
      <c r="B437">
        <v>1.7210000000000001</v>
      </c>
      <c r="C437">
        <v>1.9339999999999999</v>
      </c>
      <c r="D437">
        <v>1.663</v>
      </c>
      <c r="E437">
        <v>1.8160000000000001</v>
      </c>
      <c r="F437">
        <v>734033.473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0.12915129151291571</v>
      </c>
      <c r="Q437">
        <f t="shared" si="975"/>
        <v>94801.371051660943</v>
      </c>
      <c r="R437">
        <f t="shared" si="976"/>
        <v>-14478311.497085933</v>
      </c>
      <c r="S437">
        <f t="shared" si="977"/>
        <v>-144.78311497085932</v>
      </c>
      <c r="T437">
        <f t="shared" si="978"/>
        <v>-0.14478311497085933</v>
      </c>
    </row>
    <row r="438" spans="1:20" x14ac:dyDescent="0.25">
      <c r="A438" s="5">
        <v>44155</v>
      </c>
      <c r="B438">
        <v>1.65</v>
      </c>
      <c r="C438">
        <v>1.8320000000000001</v>
      </c>
      <c r="D438">
        <v>1.573</v>
      </c>
      <c r="E438">
        <v>1.7170000000000001</v>
      </c>
      <c r="F438">
        <v>615489.83100000001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0.11196911196911244</v>
      </c>
      <c r="Q438">
        <f t="shared" si="975"/>
        <v>68915.849803089091</v>
      </c>
      <c r="R438">
        <f t="shared" si="976"/>
        <v>-14573112.868137594</v>
      </c>
      <c r="S438">
        <f t="shared" si="977"/>
        <v>-145.73112868137594</v>
      </c>
      <c r="T438">
        <f t="shared" si="978"/>
        <v>-0.14573112868137594</v>
      </c>
    </row>
    <row r="439" spans="1:20" x14ac:dyDescent="0.25">
      <c r="A439" s="5">
        <v>44154</v>
      </c>
      <c r="B439">
        <v>1.4710000000000001</v>
      </c>
      <c r="C439">
        <v>1.71</v>
      </c>
      <c r="D439">
        <v>1.45</v>
      </c>
      <c r="E439">
        <v>1.6539999999999999</v>
      </c>
      <c r="F439">
        <v>961601.10699999996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0.56923076923076887</v>
      </c>
      <c r="Q439">
        <f t="shared" si="975"/>
        <v>547372.93783076887</v>
      </c>
      <c r="R439">
        <f t="shared" si="976"/>
        <v>-14642028.717940683</v>
      </c>
      <c r="S439">
        <f t="shared" si="977"/>
        <v>-146.42028717940681</v>
      </c>
      <c r="T439">
        <f t="shared" si="978"/>
        <v>-0.14642028717940681</v>
      </c>
    </row>
    <row r="440" spans="1:20" x14ac:dyDescent="0.25">
      <c r="A440" s="5">
        <v>44153</v>
      </c>
      <c r="B440">
        <v>1.4259999999999999</v>
      </c>
      <c r="C440">
        <v>1.5269999999999999</v>
      </c>
      <c r="D440">
        <v>1.2749999999999999</v>
      </c>
      <c r="E440">
        <v>1.4690000000000001</v>
      </c>
      <c r="F440">
        <v>876467.37100000004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0.53968253968254098</v>
      </c>
      <c r="Q440">
        <f t="shared" si="975"/>
        <v>473014.13673015987</v>
      </c>
      <c r="R440">
        <f t="shared" si="976"/>
        <v>-15189401.655771451</v>
      </c>
      <c r="S440">
        <f t="shared" si="977"/>
        <v>-151.89401655771451</v>
      </c>
      <c r="T440">
        <f t="shared" si="978"/>
        <v>-0.15189401655771451</v>
      </c>
    </row>
    <row r="441" spans="1:20" x14ac:dyDescent="0.25">
      <c r="A441" s="5">
        <v>44152</v>
      </c>
      <c r="B441">
        <v>1.2649999999999999</v>
      </c>
      <c r="C441">
        <v>1.4790000000000001</v>
      </c>
      <c r="D441">
        <v>1.2649999999999999</v>
      </c>
      <c r="E441">
        <v>1.4259999999999999</v>
      </c>
      <c r="F441">
        <v>993636.94400000002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0.50467289719626063</v>
      </c>
      <c r="Q441">
        <f t="shared" si="975"/>
        <v>501461.63528971857</v>
      </c>
      <c r="R441">
        <f t="shared" si="976"/>
        <v>-15662415.792501612</v>
      </c>
      <c r="S441">
        <f t="shared" si="977"/>
        <v>-156.62415792501611</v>
      </c>
      <c r="T441">
        <f t="shared" si="978"/>
        <v>-0.15662415792501611</v>
      </c>
    </row>
    <row r="442" spans="1:20" x14ac:dyDescent="0.25">
      <c r="A442" s="5">
        <v>44151</v>
      </c>
      <c r="B442">
        <v>1.163</v>
      </c>
      <c r="C442">
        <v>1.3240000000000001</v>
      </c>
      <c r="D442">
        <v>1.143</v>
      </c>
      <c r="E442">
        <v>1.2649999999999999</v>
      </c>
      <c r="F442">
        <v>503757.12300000002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0.34806629834253983</v>
      </c>
      <c r="Q442">
        <f t="shared" si="975"/>
        <v>175340.87706629754</v>
      </c>
      <c r="R442">
        <f t="shared" si="976"/>
        <v>-16163877.427791331</v>
      </c>
      <c r="S442">
        <f t="shared" si="977"/>
        <v>-161.63877427791331</v>
      </c>
      <c r="T442">
        <f t="shared" si="978"/>
        <v>-0.16163877427791332</v>
      </c>
    </row>
    <row r="443" spans="1:20" x14ac:dyDescent="0.25">
      <c r="A443" s="5">
        <v>44150</v>
      </c>
      <c r="B443">
        <v>1.157</v>
      </c>
      <c r="C443">
        <v>1.296</v>
      </c>
      <c r="D443">
        <v>1.123</v>
      </c>
      <c r="E443">
        <v>1.1659999999999999</v>
      </c>
      <c r="F443">
        <v>612191.28599999996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-0.50289017341040554</v>
      </c>
      <c r="Q443">
        <f t="shared" si="975"/>
        <v>-307864.98197687918</v>
      </c>
      <c r="R443">
        <f t="shared" si="976"/>
        <v>-16339218.304857628</v>
      </c>
      <c r="S443">
        <f t="shared" si="977"/>
        <v>-163.39218304857627</v>
      </c>
      <c r="T443">
        <f t="shared" si="978"/>
        <v>-0.16339218304857628</v>
      </c>
    </row>
    <row r="444" spans="1:20" x14ac:dyDescent="0.25">
      <c r="A444" s="5">
        <v>44149</v>
      </c>
      <c r="B444">
        <v>1.151</v>
      </c>
      <c r="C444">
        <v>1.2310000000000001</v>
      </c>
      <c r="D444">
        <v>1.048</v>
      </c>
      <c r="E444">
        <v>1.1559999999999999</v>
      </c>
      <c r="F444">
        <v>537568.07799999998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0.1803278688524573</v>
      </c>
      <c r="Q444">
        <f t="shared" si="975"/>
        <v>96938.505868851527</v>
      </c>
      <c r="R444">
        <f t="shared" si="976"/>
        <v>-16031353.322880749</v>
      </c>
      <c r="S444">
        <f t="shared" si="977"/>
        <v>-160.3135332288075</v>
      </c>
      <c r="T444">
        <f t="shared" si="978"/>
        <v>-0.16031353322880751</v>
      </c>
    </row>
    <row r="445" spans="1:20" x14ac:dyDescent="0.25">
      <c r="A445" s="5">
        <v>44148</v>
      </c>
      <c r="B445">
        <v>1.054</v>
      </c>
      <c r="C445">
        <v>1.153</v>
      </c>
      <c r="D445">
        <v>1.046</v>
      </c>
      <c r="E445">
        <v>1.1499999999999999</v>
      </c>
      <c r="F445">
        <v>216958.144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0.9439252336448577</v>
      </c>
      <c r="Q445">
        <f t="shared" si="975"/>
        <v>204792.26676635467</v>
      </c>
      <c r="R445">
        <f t="shared" si="976"/>
        <v>-16128291.828749601</v>
      </c>
      <c r="S445">
        <f t="shared" si="977"/>
        <v>-161.28291828749602</v>
      </c>
      <c r="T445">
        <f t="shared" si="978"/>
        <v>-0.16128291828749602</v>
      </c>
    </row>
    <row r="446" spans="1:20" x14ac:dyDescent="0.25">
      <c r="A446" s="5">
        <v>44147</v>
      </c>
      <c r="B446">
        <v>1.07</v>
      </c>
      <c r="C446">
        <v>1.0880000000000001</v>
      </c>
      <c r="D446">
        <v>0.99399999999999999</v>
      </c>
      <c r="E446">
        <v>1.0509999999999999</v>
      </c>
      <c r="F446">
        <v>223132.217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0.21276595744680615</v>
      </c>
      <c r="Q446">
        <f t="shared" si="975"/>
        <v>47474.939787233518</v>
      </c>
      <c r="R446">
        <f t="shared" si="976"/>
        <v>-16333084.095515955</v>
      </c>
      <c r="S446">
        <f t="shared" si="977"/>
        <v>-163.33084095515954</v>
      </c>
      <c r="T446">
        <f t="shared" si="978"/>
        <v>-0.16333084095515954</v>
      </c>
    </row>
    <row r="447" spans="1:20" x14ac:dyDescent="0.25">
      <c r="A447" s="5">
        <v>44146</v>
      </c>
      <c r="B447">
        <v>1.151</v>
      </c>
      <c r="C447">
        <v>1.2</v>
      </c>
      <c r="D447">
        <v>1.052</v>
      </c>
      <c r="E447">
        <v>1.07</v>
      </c>
      <c r="F447">
        <v>211063.40900000001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-0.75675675675675635</v>
      </c>
      <c r="Q447">
        <f t="shared" si="975"/>
        <v>-159723.6608648648</v>
      </c>
      <c r="R447">
        <f t="shared" si="976"/>
        <v>-16380559.035303188</v>
      </c>
      <c r="S447">
        <f t="shared" si="977"/>
        <v>-163.80559035303187</v>
      </c>
      <c r="T447">
        <f t="shared" si="978"/>
        <v>-0.16380559035303188</v>
      </c>
    </row>
    <row r="448" spans="1:20" x14ac:dyDescent="0.25">
      <c r="A448" s="5">
        <v>44145</v>
      </c>
      <c r="B448">
        <v>1.0820000000000001</v>
      </c>
      <c r="C448">
        <v>1.169</v>
      </c>
      <c r="D448">
        <v>1.0720000000000001</v>
      </c>
      <c r="E448">
        <v>1.1479999999999999</v>
      </c>
      <c r="F448">
        <v>207608.924</v>
      </c>
      <c r="G448">
        <v>0</v>
      </c>
      <c r="L448" t="s">
        <v>7</v>
      </c>
      <c r="M448" t="s">
        <v>8</v>
      </c>
      <c r="N448" t="s">
        <v>8</v>
      </c>
      <c r="P448">
        <f t="shared" si="974"/>
        <v>0.56701030927834772</v>
      </c>
      <c r="Q448">
        <f t="shared" si="975"/>
        <v>117716.40020618499</v>
      </c>
      <c r="R448">
        <f t="shared" si="976"/>
        <v>-16220835.374438323</v>
      </c>
      <c r="S448">
        <f t="shared" si="977"/>
        <v>-162.20835374438323</v>
      </c>
      <c r="T448">
        <f t="shared" si="978"/>
        <v>-0.16220835374438322</v>
      </c>
    </row>
    <row r="449" spans="1:20" x14ac:dyDescent="0.25">
      <c r="A449" s="5">
        <v>44144</v>
      </c>
      <c r="B449">
        <v>1.1950000000000001</v>
      </c>
      <c r="C449">
        <v>1.2190000000000001</v>
      </c>
      <c r="D449">
        <v>1.0469999999999999</v>
      </c>
      <c r="E449">
        <v>1.087</v>
      </c>
      <c r="F449">
        <v>474253.12900000002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-0.53488372093023251</v>
      </c>
      <c r="Q449">
        <f t="shared" si="975"/>
        <v>-253670.27830232558</v>
      </c>
      <c r="R449">
        <f t="shared" si="976"/>
        <v>-16338551.774644509</v>
      </c>
      <c r="S449">
        <f t="shared" si="977"/>
        <v>-163.38551774644509</v>
      </c>
      <c r="T449">
        <f t="shared" si="978"/>
        <v>-0.16338551774644508</v>
      </c>
    </row>
    <row r="450" spans="1:20" x14ac:dyDescent="0.25">
      <c r="A450" s="5">
        <v>44143</v>
      </c>
      <c r="B450">
        <v>1.0069999999999999</v>
      </c>
      <c r="C450">
        <v>1.256</v>
      </c>
      <c r="D450">
        <v>0.85599999999999998</v>
      </c>
      <c r="E450">
        <v>1.2</v>
      </c>
      <c r="F450">
        <v>566279.35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0.71999999999999975</v>
      </c>
      <c r="Q450">
        <f t="shared" si="975"/>
        <v>407721.13199999987</v>
      </c>
      <c r="R450">
        <f t="shared" si="976"/>
        <v>-16084881.496342184</v>
      </c>
      <c r="S450">
        <f t="shared" si="977"/>
        <v>-160.84881496342183</v>
      </c>
      <c r="T450">
        <f t="shared" si="978"/>
        <v>-0.16084881496342182</v>
      </c>
    </row>
    <row r="451" spans="1:20" x14ac:dyDescent="0.25">
      <c r="A451" s="5">
        <v>44142</v>
      </c>
      <c r="B451">
        <v>1.0660000000000001</v>
      </c>
      <c r="C451">
        <v>1.2549999999999999</v>
      </c>
      <c r="D451">
        <v>0.95</v>
      </c>
      <c r="E451">
        <v>1.01</v>
      </c>
      <c r="F451">
        <v>587996.12100000004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-0.60655737704917989</v>
      </c>
      <c r="Q451">
        <f t="shared" si="975"/>
        <v>-356653.38486885221</v>
      </c>
      <c r="R451">
        <f t="shared" si="976"/>
        <v>-16492602.628342183</v>
      </c>
      <c r="S451">
        <f t="shared" si="977"/>
        <v>-164.92602628342183</v>
      </c>
      <c r="T451">
        <f t="shared" si="978"/>
        <v>-0.16492602628342184</v>
      </c>
    </row>
    <row r="452" spans="1:20" x14ac:dyDescent="0.25">
      <c r="A452" s="5">
        <v>44141</v>
      </c>
      <c r="B452">
        <v>0.89100000000000001</v>
      </c>
      <c r="C452">
        <v>1.07</v>
      </c>
      <c r="D452">
        <v>0.88200000000000001</v>
      </c>
      <c r="E452">
        <v>1.06</v>
      </c>
      <c r="F452">
        <v>319467.38299999997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0.8936170212765957</v>
      </c>
      <c r="Q452">
        <f t="shared" si="975"/>
        <v>285481.49119148933</v>
      </c>
      <c r="R452">
        <f t="shared" si="976"/>
        <v>-16135949.243473331</v>
      </c>
      <c r="S452">
        <f t="shared" si="977"/>
        <v>-161.35949243473331</v>
      </c>
      <c r="T452">
        <f t="shared" si="978"/>
        <v>-0.1613594924347333</v>
      </c>
    </row>
    <row r="453" spans="1:20" x14ac:dyDescent="0.25">
      <c r="A453" s="5">
        <v>44140</v>
      </c>
      <c r="B453">
        <v>0.77200000000000002</v>
      </c>
      <c r="C453">
        <v>0.91</v>
      </c>
      <c r="D453">
        <v>0.76900000000000002</v>
      </c>
      <c r="E453">
        <v>0.88900000000000001</v>
      </c>
      <c r="F453">
        <v>455357.98499999999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0.70212765957446788</v>
      </c>
      <c r="Q453">
        <f t="shared" si="975"/>
        <v>319719.43627659563</v>
      </c>
      <c r="R453">
        <f t="shared" si="976"/>
        <v>-16421430.73466482</v>
      </c>
      <c r="S453">
        <f t="shared" si="977"/>
        <v>-164.21430734664821</v>
      </c>
      <c r="T453">
        <f t="shared" si="978"/>
        <v>-0.16421430734664821</v>
      </c>
    </row>
    <row r="454" spans="1:20" x14ac:dyDescent="0.25">
      <c r="A454" s="5">
        <v>44139</v>
      </c>
      <c r="B454">
        <v>0.73099999999999998</v>
      </c>
      <c r="C454">
        <v>0.78400000000000003</v>
      </c>
      <c r="D454">
        <v>0.68600000000000005</v>
      </c>
      <c r="E454">
        <v>0.77200000000000002</v>
      </c>
      <c r="F454">
        <v>419836.36499999999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0.75510204081632626</v>
      </c>
      <c r="Q454">
        <f t="shared" ref="Q454:Q517" si="980">F454*P454</f>
        <v>317019.29602040804</v>
      </c>
      <c r="R454">
        <f t="shared" ref="R454:R517" si="981">R455+Q454</f>
        <v>-16741150.170941416</v>
      </c>
      <c r="S454">
        <f t="shared" ref="S454:S517" si="982">R454/100000</f>
        <v>-167.41150170941415</v>
      </c>
      <c r="T454">
        <f t="shared" ref="T454:T517" si="983">S454/1000</f>
        <v>-0.16741150170941416</v>
      </c>
    </row>
    <row r="455" spans="1:20" x14ac:dyDescent="0.25">
      <c r="A455" s="5">
        <v>44138</v>
      </c>
      <c r="B455">
        <v>0.77100000000000002</v>
      </c>
      <c r="C455">
        <v>0.77200000000000002</v>
      </c>
      <c r="D455">
        <v>0.71699999999999997</v>
      </c>
      <c r="E455">
        <v>0.73299999999999998</v>
      </c>
      <c r="F455">
        <v>296836.69300000003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-0.41818181818181815</v>
      </c>
      <c r="Q455">
        <f t="shared" si="980"/>
        <v>-124131.70798181818</v>
      </c>
      <c r="R455">
        <f t="shared" si="981"/>
        <v>-17058169.466961823</v>
      </c>
      <c r="S455">
        <f t="shared" si="982"/>
        <v>-170.58169466961823</v>
      </c>
      <c r="T455">
        <f t="shared" si="983"/>
        <v>-0.17058169466961823</v>
      </c>
    </row>
    <row r="456" spans="1:20" x14ac:dyDescent="0.25">
      <c r="A456" s="5">
        <v>44137</v>
      </c>
      <c r="B456">
        <v>0.79900000000000004</v>
      </c>
      <c r="C456">
        <v>0.83899999999999997</v>
      </c>
      <c r="D456">
        <v>0.77</v>
      </c>
      <c r="E456">
        <v>0.77300000000000002</v>
      </c>
      <c r="F456">
        <v>764471.70700000005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-0.9130434782608694</v>
      </c>
      <c r="Q456">
        <f t="shared" si="980"/>
        <v>-697995.90639130422</v>
      </c>
      <c r="R456">
        <f t="shared" si="981"/>
        <v>-16934037.758980006</v>
      </c>
      <c r="S456">
        <f t="shared" si="982"/>
        <v>-169.34037758980006</v>
      </c>
      <c r="T456">
        <f t="shared" si="983"/>
        <v>-0.16934037758980006</v>
      </c>
    </row>
    <row r="457" spans="1:20" x14ac:dyDescent="0.25">
      <c r="A457" s="5">
        <v>44136</v>
      </c>
      <c r="B457">
        <v>0.83299999999999996</v>
      </c>
      <c r="C457">
        <v>0.876</v>
      </c>
      <c r="D457">
        <v>0.78100000000000003</v>
      </c>
      <c r="E457">
        <v>0.79900000000000004</v>
      </c>
      <c r="F457">
        <v>524628.652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-0.62105263157894697</v>
      </c>
      <c r="Q457">
        <f t="shared" si="980"/>
        <v>-325822.00492631557</v>
      </c>
      <c r="R457">
        <f t="shared" si="981"/>
        <v>-16236041.8525887</v>
      </c>
      <c r="S457">
        <f t="shared" si="982"/>
        <v>-162.36041852588701</v>
      </c>
      <c r="T457">
        <f t="shared" si="983"/>
        <v>-0.16236041852588701</v>
      </c>
    </row>
    <row r="458" spans="1:20" x14ac:dyDescent="0.25">
      <c r="A458" s="5">
        <v>44135</v>
      </c>
      <c r="B458">
        <v>0.83299999999999996</v>
      </c>
      <c r="C458">
        <v>0.84899999999999998</v>
      </c>
      <c r="D458">
        <v>0.80300000000000005</v>
      </c>
      <c r="E458">
        <v>0.83399999999999996</v>
      </c>
      <c r="F458">
        <v>319190.07199999999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0.34782608695652018</v>
      </c>
      <c r="Q458">
        <f t="shared" si="980"/>
        <v>111022.63373912993</v>
      </c>
      <c r="R458">
        <f t="shared" si="981"/>
        <v>-15910219.847662384</v>
      </c>
      <c r="S458">
        <f t="shared" si="982"/>
        <v>-159.10219847662384</v>
      </c>
      <c r="T458">
        <f t="shared" si="983"/>
        <v>-0.15910219847662385</v>
      </c>
    </row>
    <row r="459" spans="1:20" x14ac:dyDescent="0.25">
      <c r="A459" s="5">
        <v>44134</v>
      </c>
      <c r="B459">
        <v>0.88300000000000001</v>
      </c>
      <c r="C459">
        <v>0.89600000000000002</v>
      </c>
      <c r="D459">
        <v>0.81899999999999995</v>
      </c>
      <c r="E459">
        <v>0.83399999999999996</v>
      </c>
      <c r="F459">
        <v>364262.538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-0.61038961038961037</v>
      </c>
      <c r="Q459">
        <f t="shared" si="980"/>
        <v>-222342.06864935064</v>
      </c>
      <c r="R459">
        <f t="shared" si="981"/>
        <v>-16021242.481401514</v>
      </c>
      <c r="S459">
        <f t="shared" si="982"/>
        <v>-160.21242481401515</v>
      </c>
      <c r="T459">
        <f t="shared" si="983"/>
        <v>-0.16021242481401515</v>
      </c>
    </row>
    <row r="460" spans="1:20" x14ac:dyDescent="0.25">
      <c r="A460" s="5">
        <v>44133</v>
      </c>
      <c r="B460">
        <v>0.98399999999999999</v>
      </c>
      <c r="C460">
        <v>0.995</v>
      </c>
      <c r="D460">
        <v>0.85899999999999999</v>
      </c>
      <c r="E460">
        <v>0.88</v>
      </c>
      <c r="F460">
        <v>362171.31300000002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-0.69117647058823506</v>
      </c>
      <c r="Q460">
        <f t="shared" si="980"/>
        <v>-250324.28986764699</v>
      </c>
      <c r="R460">
        <f t="shared" si="981"/>
        <v>-15798900.412752165</v>
      </c>
      <c r="S460">
        <f t="shared" si="982"/>
        <v>-157.98900412752164</v>
      </c>
      <c r="T460">
        <f t="shared" si="983"/>
        <v>-0.15798900412752165</v>
      </c>
    </row>
    <row r="461" spans="1:20" x14ac:dyDescent="0.25">
      <c r="A461" s="5">
        <v>44132</v>
      </c>
      <c r="B461">
        <v>1.08</v>
      </c>
      <c r="C461">
        <v>1.095</v>
      </c>
      <c r="D461">
        <v>0.96499999999999997</v>
      </c>
      <c r="E461">
        <v>0.98299999999999998</v>
      </c>
      <c r="F461">
        <v>282634.57699999999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-0.72307692307692284</v>
      </c>
      <c r="Q461">
        <f t="shared" si="980"/>
        <v>-204366.54029230762</v>
      </c>
      <c r="R461">
        <f t="shared" si="981"/>
        <v>-15548576.122884518</v>
      </c>
      <c r="S461">
        <f t="shared" si="982"/>
        <v>-155.48576122884518</v>
      </c>
      <c r="T461">
        <f t="shared" si="983"/>
        <v>-0.15548576122884517</v>
      </c>
    </row>
    <row r="462" spans="1:20" x14ac:dyDescent="0.25">
      <c r="A462" s="5">
        <v>44131</v>
      </c>
      <c r="B462">
        <v>1.052</v>
      </c>
      <c r="C462">
        <v>1.1200000000000001</v>
      </c>
      <c r="D462">
        <v>1.0389999999999999</v>
      </c>
      <c r="E462">
        <v>1.077</v>
      </c>
      <c r="F462">
        <v>319894.25599999999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-6.1728395061729682E-2</v>
      </c>
      <c r="Q462">
        <f t="shared" si="980"/>
        <v>-19746.55901234609</v>
      </c>
      <c r="R462">
        <f t="shared" si="981"/>
        <v>-15344209.58259221</v>
      </c>
      <c r="S462">
        <f t="shared" si="982"/>
        <v>-153.44209582592211</v>
      </c>
      <c r="T462">
        <f t="shared" si="983"/>
        <v>-0.15344209582592211</v>
      </c>
    </row>
    <row r="463" spans="1:20" x14ac:dyDescent="0.25">
      <c r="A463" s="5">
        <v>44130</v>
      </c>
      <c r="B463">
        <v>1.044</v>
      </c>
      <c r="C463">
        <v>1.149</v>
      </c>
      <c r="D463">
        <v>1.0269999999999999</v>
      </c>
      <c r="E463">
        <v>1.0509999999999999</v>
      </c>
      <c r="F463">
        <v>683020.32900000003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-0.60655737704918034</v>
      </c>
      <c r="Q463">
        <f t="shared" si="980"/>
        <v>-414291.01922950824</v>
      </c>
      <c r="R463">
        <f t="shared" si="981"/>
        <v>-15324463.023579864</v>
      </c>
      <c r="S463">
        <f t="shared" si="982"/>
        <v>-153.24463023579864</v>
      </c>
      <c r="T463">
        <f t="shared" si="983"/>
        <v>-0.15324463023579865</v>
      </c>
    </row>
    <row r="464" spans="1:20" x14ac:dyDescent="0.25">
      <c r="A464" s="5">
        <v>44129</v>
      </c>
      <c r="B464">
        <v>1.0289999999999999</v>
      </c>
      <c r="C464">
        <v>1.0620000000000001</v>
      </c>
      <c r="D464">
        <v>0.997</v>
      </c>
      <c r="E464">
        <v>1.0409999999999999</v>
      </c>
      <c r="F464">
        <v>333922.65500000003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0.35384615384615042</v>
      </c>
      <c r="Q464">
        <f t="shared" si="980"/>
        <v>118157.24715384502</v>
      </c>
      <c r="R464">
        <f t="shared" si="981"/>
        <v>-14910172.004350355</v>
      </c>
      <c r="S464">
        <f t="shared" si="982"/>
        <v>-149.10172004350355</v>
      </c>
      <c r="T464">
        <f t="shared" si="983"/>
        <v>-0.14910172004350356</v>
      </c>
    </row>
    <row r="465" spans="1:20" x14ac:dyDescent="0.25">
      <c r="A465" s="5">
        <v>44128</v>
      </c>
      <c r="B465">
        <v>1.06</v>
      </c>
      <c r="C465">
        <v>1.07</v>
      </c>
      <c r="D465">
        <v>1.02</v>
      </c>
      <c r="E465">
        <v>1.034</v>
      </c>
      <c r="F465">
        <v>151592.82199999999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-0.44</v>
      </c>
      <c r="Q465">
        <f t="shared" si="980"/>
        <v>-66700.841679999998</v>
      </c>
      <c r="R465">
        <f t="shared" si="981"/>
        <v>-15028329.2515042</v>
      </c>
      <c r="S465">
        <f t="shared" si="982"/>
        <v>-150.28329251504201</v>
      </c>
      <c r="T465">
        <f t="shared" si="983"/>
        <v>-0.15028329251504199</v>
      </c>
    </row>
    <row r="466" spans="1:20" x14ac:dyDescent="0.25">
      <c r="A466" s="5">
        <v>44127</v>
      </c>
      <c r="B466">
        <v>1.131</v>
      </c>
      <c r="C466">
        <v>1.1379999999999999</v>
      </c>
      <c r="D466">
        <v>1.0309999999999999</v>
      </c>
      <c r="E466">
        <v>1.0549999999999999</v>
      </c>
      <c r="F466">
        <v>182546.49299999999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-0.55140186915887801</v>
      </c>
      <c r="Q466">
        <f t="shared" si="980"/>
        <v>-100656.47744859803</v>
      </c>
      <c r="R466">
        <f t="shared" si="981"/>
        <v>-14961628.4098242</v>
      </c>
      <c r="S466">
        <f t="shared" si="982"/>
        <v>-149.61628409824201</v>
      </c>
      <c r="T466">
        <f t="shared" si="983"/>
        <v>-0.14961628409824201</v>
      </c>
    </row>
    <row r="467" spans="1:20" x14ac:dyDescent="0.25">
      <c r="A467" s="5">
        <v>44126</v>
      </c>
      <c r="B467">
        <v>1.1060000000000001</v>
      </c>
      <c r="C467">
        <v>1.165</v>
      </c>
      <c r="D467">
        <v>1.0860000000000001</v>
      </c>
      <c r="E467">
        <v>1.1299999999999999</v>
      </c>
      <c r="F467">
        <v>166740.00599999999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0.11392405063290734</v>
      </c>
      <c r="Q467">
        <f t="shared" si="980"/>
        <v>18995.696886075271</v>
      </c>
      <c r="R467">
        <f t="shared" si="981"/>
        <v>-14860971.932375602</v>
      </c>
      <c r="S467">
        <f t="shared" si="982"/>
        <v>-148.60971932375602</v>
      </c>
      <c r="T467">
        <f t="shared" si="983"/>
        <v>-0.14860971932375602</v>
      </c>
    </row>
    <row r="468" spans="1:20" x14ac:dyDescent="0.25">
      <c r="A468" s="5">
        <v>44125</v>
      </c>
      <c r="B468">
        <v>1.085</v>
      </c>
      <c r="C468">
        <v>1.1499999999999999</v>
      </c>
      <c r="D468">
        <v>1.085</v>
      </c>
      <c r="E468">
        <v>1.105</v>
      </c>
      <c r="F468">
        <v>130456.057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-0.38461538461538358</v>
      </c>
      <c r="Q468">
        <f t="shared" si="980"/>
        <v>-50175.4065384614</v>
      </c>
      <c r="R468">
        <f t="shared" si="981"/>
        <v>-14879967.629261678</v>
      </c>
      <c r="S468">
        <f t="shared" si="982"/>
        <v>-148.79967629261679</v>
      </c>
      <c r="T468">
        <f t="shared" si="983"/>
        <v>-0.14879967629261678</v>
      </c>
    </row>
    <row r="469" spans="1:20" x14ac:dyDescent="0.25">
      <c r="A469" s="5">
        <v>44124</v>
      </c>
      <c r="B469">
        <v>1.161</v>
      </c>
      <c r="C469">
        <v>1.165</v>
      </c>
      <c r="D469">
        <v>1.0649999999999999</v>
      </c>
      <c r="E469">
        <v>1.081</v>
      </c>
      <c r="F469">
        <v>158201.93299999999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-0.68</v>
      </c>
      <c r="Q469">
        <f t="shared" si="980"/>
        <v>-107577.31444</v>
      </c>
      <c r="R469">
        <f t="shared" si="981"/>
        <v>-14829792.222723216</v>
      </c>
      <c r="S469">
        <f t="shared" si="982"/>
        <v>-148.29792222723216</v>
      </c>
      <c r="T469">
        <f t="shared" si="983"/>
        <v>-0.14829792222723218</v>
      </c>
    </row>
    <row r="470" spans="1:20" x14ac:dyDescent="0.25">
      <c r="A470" s="5">
        <v>44123</v>
      </c>
      <c r="B470">
        <v>1.248</v>
      </c>
      <c r="C470">
        <v>1.25</v>
      </c>
      <c r="D470">
        <v>1.1579999999999999</v>
      </c>
      <c r="E470">
        <v>1.1579999999999999</v>
      </c>
      <c r="F470">
        <v>147554.70300000001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-1</v>
      </c>
      <c r="Q470">
        <f t="shared" si="980"/>
        <v>-147554.70300000001</v>
      </c>
      <c r="R470">
        <f t="shared" si="981"/>
        <v>-14722214.908283215</v>
      </c>
      <c r="S470">
        <f t="shared" si="982"/>
        <v>-147.22214908283215</v>
      </c>
      <c r="T470">
        <f t="shared" si="983"/>
        <v>-0.14722214908283215</v>
      </c>
    </row>
    <row r="471" spans="1:20" x14ac:dyDescent="0.25">
      <c r="A471" s="5">
        <v>44122</v>
      </c>
      <c r="B471">
        <v>1.1779999999999999</v>
      </c>
      <c r="C471">
        <v>1.27</v>
      </c>
      <c r="D471">
        <v>1.1779999999999999</v>
      </c>
      <c r="E471">
        <v>1.25</v>
      </c>
      <c r="F471">
        <v>214832.86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0.56521739130434778</v>
      </c>
      <c r="Q471">
        <f t="shared" si="980"/>
        <v>121427.26869565215</v>
      </c>
      <c r="R471">
        <f t="shared" si="981"/>
        <v>-14574660.205283215</v>
      </c>
      <c r="S471">
        <f t="shared" si="982"/>
        <v>-145.74660205283215</v>
      </c>
      <c r="T471">
        <f t="shared" si="983"/>
        <v>-0.14574660205283216</v>
      </c>
    </row>
    <row r="472" spans="1:20" x14ac:dyDescent="0.25">
      <c r="A472" s="5">
        <v>44121</v>
      </c>
      <c r="B472">
        <v>1.1739999999999999</v>
      </c>
      <c r="C472">
        <v>1.218</v>
      </c>
      <c r="D472">
        <v>1.1479999999999999</v>
      </c>
      <c r="E472">
        <v>1.1819999999999999</v>
      </c>
      <c r="F472">
        <v>180676.48199999999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-2.8571428571428571E-2</v>
      </c>
      <c r="Q472">
        <f t="shared" si="980"/>
        <v>-5162.1851999999999</v>
      </c>
      <c r="R472">
        <f t="shared" si="981"/>
        <v>-14696087.473978868</v>
      </c>
      <c r="S472">
        <f t="shared" si="982"/>
        <v>-146.96087473978866</v>
      </c>
      <c r="T472">
        <f t="shared" si="983"/>
        <v>-0.14696087473978867</v>
      </c>
    </row>
    <row r="473" spans="1:20" x14ac:dyDescent="0.25">
      <c r="A473" s="5">
        <v>44120</v>
      </c>
      <c r="B473">
        <v>1.327</v>
      </c>
      <c r="C473">
        <v>1.327</v>
      </c>
      <c r="D473">
        <v>1.151</v>
      </c>
      <c r="E473">
        <v>1.1659999999999999</v>
      </c>
      <c r="F473">
        <v>247978.63699999999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-0.82954545454545559</v>
      </c>
      <c r="Q473">
        <f t="shared" si="980"/>
        <v>-205709.55114772753</v>
      </c>
      <c r="R473">
        <f t="shared" si="981"/>
        <v>-14690925.288778868</v>
      </c>
      <c r="S473">
        <f t="shared" si="982"/>
        <v>-146.90925288778868</v>
      </c>
      <c r="T473">
        <f t="shared" si="983"/>
        <v>-0.14690925288778869</v>
      </c>
    </row>
    <row r="474" spans="1:20" x14ac:dyDescent="0.25">
      <c r="A474" s="5">
        <v>44119</v>
      </c>
      <c r="B474">
        <v>1.341</v>
      </c>
      <c r="C474">
        <v>1.3740000000000001</v>
      </c>
      <c r="D474">
        <v>1.3089999999999999</v>
      </c>
      <c r="E474">
        <v>1.329</v>
      </c>
      <c r="F474">
        <v>169503.916</v>
      </c>
      <c r="G474">
        <v>0</v>
      </c>
      <c r="L474" t="s">
        <v>8</v>
      </c>
      <c r="M474" t="s">
        <v>7</v>
      </c>
      <c r="N474" t="s">
        <v>8</v>
      </c>
      <c r="P474">
        <f t="shared" si="979"/>
        <v>-0.38461538461538569</v>
      </c>
      <c r="Q474">
        <f t="shared" si="980"/>
        <v>-65193.813846154029</v>
      </c>
      <c r="R474">
        <f t="shared" si="981"/>
        <v>-14485215.73763114</v>
      </c>
      <c r="S474">
        <f t="shared" si="982"/>
        <v>-144.8521573763114</v>
      </c>
      <c r="T474">
        <f t="shared" si="983"/>
        <v>-0.14485215737631141</v>
      </c>
    </row>
    <row r="475" spans="1:20" x14ac:dyDescent="0.25">
      <c r="A475" s="5">
        <v>44118</v>
      </c>
      <c r="B475">
        <v>1.339</v>
      </c>
      <c r="C475">
        <v>1.3620000000000001</v>
      </c>
      <c r="D475">
        <v>1.2709999999999999</v>
      </c>
      <c r="E475">
        <v>1.341</v>
      </c>
      <c r="F475">
        <v>130165.461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0.53846153846153655</v>
      </c>
      <c r="Q475">
        <f t="shared" si="980"/>
        <v>70089.094384615135</v>
      </c>
      <c r="R475">
        <f t="shared" si="981"/>
        <v>-14420021.923784986</v>
      </c>
      <c r="S475">
        <f t="shared" si="982"/>
        <v>-144.20021923784986</v>
      </c>
      <c r="T475">
        <f t="shared" si="983"/>
        <v>-0.14420021923784987</v>
      </c>
    </row>
    <row r="476" spans="1:20" x14ac:dyDescent="0.25">
      <c r="A476" s="5">
        <v>44117</v>
      </c>
      <c r="B476">
        <v>1.365</v>
      </c>
      <c r="C476">
        <v>1.373</v>
      </c>
      <c r="D476">
        <v>1.28</v>
      </c>
      <c r="E476">
        <v>1.339</v>
      </c>
      <c r="F476">
        <v>191433.32399999999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0.26881720430107442</v>
      </c>
      <c r="Q476">
        <f t="shared" si="980"/>
        <v>51460.570967741769</v>
      </c>
      <c r="R476">
        <f t="shared" si="981"/>
        <v>-14490111.018169601</v>
      </c>
      <c r="S476">
        <f t="shared" si="982"/>
        <v>-144.901110181696</v>
      </c>
      <c r="T476">
        <f t="shared" si="983"/>
        <v>-0.14490111018169599</v>
      </c>
    </row>
    <row r="477" spans="1:20" x14ac:dyDescent="0.25">
      <c r="A477" s="5">
        <v>44116</v>
      </c>
      <c r="B477">
        <v>1.3720000000000001</v>
      </c>
      <c r="C477">
        <v>1.43</v>
      </c>
      <c r="D477">
        <v>1.302</v>
      </c>
      <c r="E477">
        <v>1.359</v>
      </c>
      <c r="F477">
        <v>267392.40100000001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-0.10937500000000019</v>
      </c>
      <c r="Q477">
        <f t="shared" si="980"/>
        <v>-29246.043859375055</v>
      </c>
      <c r="R477">
        <f t="shared" si="981"/>
        <v>-14541571.589137342</v>
      </c>
      <c r="S477">
        <f t="shared" si="982"/>
        <v>-145.41571589137342</v>
      </c>
      <c r="T477">
        <f t="shared" si="983"/>
        <v>-0.14541571589137342</v>
      </c>
    </row>
    <row r="478" spans="1:20" x14ac:dyDescent="0.25">
      <c r="A478" s="5">
        <v>44115</v>
      </c>
      <c r="B478">
        <v>1.4730000000000001</v>
      </c>
      <c r="C478">
        <v>1.4750000000000001</v>
      </c>
      <c r="D478">
        <v>1.34</v>
      </c>
      <c r="E478">
        <v>1.3720000000000001</v>
      </c>
      <c r="F478">
        <v>353725.27299999999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-0.52592592592592557</v>
      </c>
      <c r="Q478">
        <f t="shared" si="980"/>
        <v>-186033.29172592578</v>
      </c>
      <c r="R478">
        <f t="shared" si="981"/>
        <v>-14512325.545277966</v>
      </c>
      <c r="S478">
        <f t="shared" si="982"/>
        <v>-145.12325545277966</v>
      </c>
      <c r="T478">
        <f t="shared" si="983"/>
        <v>-0.14512325545277965</v>
      </c>
    </row>
    <row r="479" spans="1:20" x14ac:dyDescent="0.25">
      <c r="A479" s="5">
        <v>44114</v>
      </c>
      <c r="B479">
        <v>1.2789999999999999</v>
      </c>
      <c r="C479">
        <v>1.538</v>
      </c>
      <c r="D479">
        <v>1.2789999999999999</v>
      </c>
      <c r="E479">
        <v>1.472</v>
      </c>
      <c r="F479">
        <v>610824.45700000005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0.49034749034749014</v>
      </c>
      <c r="Q479">
        <f t="shared" si="980"/>
        <v>299516.23953281844</v>
      </c>
      <c r="R479">
        <f t="shared" si="981"/>
        <v>-14326292.25355204</v>
      </c>
      <c r="S479">
        <f t="shared" si="982"/>
        <v>-143.2629225355204</v>
      </c>
      <c r="T479">
        <f t="shared" si="983"/>
        <v>-0.14326292253552039</v>
      </c>
    </row>
    <row r="480" spans="1:20" x14ac:dyDescent="0.25">
      <c r="A480" s="5">
        <v>44113</v>
      </c>
      <c r="B480">
        <v>1.304</v>
      </c>
      <c r="C480">
        <v>1.44</v>
      </c>
      <c r="D480">
        <v>1.2529999999999999</v>
      </c>
      <c r="E480">
        <v>1.2869999999999999</v>
      </c>
      <c r="F480">
        <v>364776.473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-0.63636363636363613</v>
      </c>
      <c r="Q480">
        <f t="shared" si="980"/>
        <v>-232130.48281818174</v>
      </c>
      <c r="R480">
        <f t="shared" si="981"/>
        <v>-14625808.493084859</v>
      </c>
      <c r="S480">
        <f t="shared" si="982"/>
        <v>-146.25808493084858</v>
      </c>
      <c r="T480">
        <f t="shared" si="983"/>
        <v>-0.14625808493084858</v>
      </c>
    </row>
    <row r="481" spans="1:20" x14ac:dyDescent="0.25">
      <c r="A481" s="5">
        <v>44112</v>
      </c>
      <c r="B481">
        <v>1.212</v>
      </c>
      <c r="C481">
        <v>1.3120000000000001</v>
      </c>
      <c r="D481">
        <v>1.087</v>
      </c>
      <c r="E481">
        <v>1.304</v>
      </c>
      <c r="F481">
        <v>828714.22600000002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0.92888888888888888</v>
      </c>
      <c r="Q481">
        <f t="shared" si="980"/>
        <v>769783.43659555551</v>
      </c>
      <c r="R481">
        <f t="shared" si="981"/>
        <v>-14393678.010266677</v>
      </c>
      <c r="S481">
        <f t="shared" si="982"/>
        <v>-143.93678010266677</v>
      </c>
      <c r="T481">
        <f t="shared" si="983"/>
        <v>-0.14393678010266678</v>
      </c>
    </row>
    <row r="482" spans="1:20" x14ac:dyDescent="0.25">
      <c r="A482" s="5">
        <v>44111</v>
      </c>
      <c r="B482">
        <v>0.98899999999999999</v>
      </c>
      <c r="C482">
        <v>1.256</v>
      </c>
      <c r="D482">
        <v>0.97599999999999998</v>
      </c>
      <c r="E482">
        <v>1.212</v>
      </c>
      <c r="F482">
        <v>1050071.023</v>
      </c>
      <c r="G482">
        <v>0</v>
      </c>
      <c r="L482" t="s">
        <v>8</v>
      </c>
      <c r="M482" t="s">
        <v>8</v>
      </c>
      <c r="N482" t="s">
        <v>7</v>
      </c>
      <c r="P482">
        <f t="shared" si="979"/>
        <v>0.6857142857142855</v>
      </c>
      <c r="Q482">
        <f t="shared" si="980"/>
        <v>720048.70148571406</v>
      </c>
      <c r="R482">
        <f t="shared" si="981"/>
        <v>-15163461.446862232</v>
      </c>
      <c r="S482">
        <f t="shared" si="982"/>
        <v>-151.63461446862232</v>
      </c>
      <c r="T482">
        <f t="shared" si="983"/>
        <v>-0.15163461446862231</v>
      </c>
    </row>
    <row r="483" spans="1:20" x14ac:dyDescent="0.25">
      <c r="A483" s="5">
        <v>44110</v>
      </c>
      <c r="B483">
        <v>1.2410000000000001</v>
      </c>
      <c r="C483">
        <v>1.294</v>
      </c>
      <c r="D483">
        <v>0.96099999999999997</v>
      </c>
      <c r="E483">
        <v>0.97899999999999998</v>
      </c>
      <c r="F483">
        <v>758889.56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-0.89189189189189177</v>
      </c>
      <c r="Q483">
        <f t="shared" si="980"/>
        <v>-676847.44540540536</v>
      </c>
      <c r="R483">
        <f t="shared" si="981"/>
        <v>-15883510.148347946</v>
      </c>
      <c r="S483">
        <f t="shared" si="982"/>
        <v>-158.83510148347946</v>
      </c>
      <c r="T483">
        <f t="shared" si="983"/>
        <v>-0.15883510148347946</v>
      </c>
    </row>
    <row r="484" spans="1:20" x14ac:dyDescent="0.25">
      <c r="A484" s="5">
        <v>44109</v>
      </c>
      <c r="B484">
        <v>1.357</v>
      </c>
      <c r="C484">
        <v>1.381</v>
      </c>
      <c r="D484">
        <v>1.2130000000000001</v>
      </c>
      <c r="E484">
        <v>1.2390000000000001</v>
      </c>
      <c r="F484">
        <v>536297.554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-0.69047619047619002</v>
      </c>
      <c r="Q484">
        <f t="shared" si="980"/>
        <v>-370300.6920476188</v>
      </c>
      <c r="R484">
        <f t="shared" si="981"/>
        <v>-15206662.702942541</v>
      </c>
      <c r="S484">
        <f t="shared" si="982"/>
        <v>-152.0666270294254</v>
      </c>
      <c r="T484">
        <f t="shared" si="983"/>
        <v>-0.15206662702942542</v>
      </c>
    </row>
    <row r="485" spans="1:20" x14ac:dyDescent="0.25">
      <c r="A485" s="5">
        <v>44108</v>
      </c>
      <c r="B485">
        <v>1.4490000000000001</v>
      </c>
      <c r="C485">
        <v>1.4650000000000001</v>
      </c>
      <c r="D485">
        <v>1.3260000000000001</v>
      </c>
      <c r="E485">
        <v>1.357</v>
      </c>
      <c r="F485">
        <v>243461.83799999999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-0.55395683453237532</v>
      </c>
      <c r="Q485">
        <f t="shared" si="980"/>
        <v>-134867.34910791396</v>
      </c>
      <c r="R485">
        <f t="shared" si="981"/>
        <v>-14836362.010894923</v>
      </c>
      <c r="S485">
        <f t="shared" si="982"/>
        <v>-148.36362010894922</v>
      </c>
      <c r="T485">
        <f t="shared" si="983"/>
        <v>-0.14836362010894921</v>
      </c>
    </row>
    <row r="486" spans="1:20" x14ac:dyDescent="0.25">
      <c r="A486" s="5">
        <v>44107</v>
      </c>
      <c r="B486">
        <v>1.536</v>
      </c>
      <c r="C486">
        <v>1.599</v>
      </c>
      <c r="D486">
        <v>1.4450000000000001</v>
      </c>
      <c r="E486">
        <v>1.4490000000000001</v>
      </c>
      <c r="F486">
        <v>255323.02900000001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-0.94805194805194792</v>
      </c>
      <c r="Q486">
        <f t="shared" si="980"/>
        <v>-242059.495025974</v>
      </c>
      <c r="R486">
        <f t="shared" si="981"/>
        <v>-14701494.661787009</v>
      </c>
      <c r="S486">
        <f t="shared" si="982"/>
        <v>-147.01494661787009</v>
      </c>
      <c r="T486">
        <f t="shared" si="983"/>
        <v>-0.1470149466178701</v>
      </c>
    </row>
    <row r="487" spans="1:20" x14ac:dyDescent="0.25">
      <c r="A487" s="5">
        <v>44106</v>
      </c>
      <c r="B487">
        <v>1.538</v>
      </c>
      <c r="C487">
        <v>1.5720000000000001</v>
      </c>
      <c r="D487">
        <v>1.456</v>
      </c>
      <c r="E487">
        <v>1.536</v>
      </c>
      <c r="F487">
        <v>372277.32400000002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0.37931034482758619</v>
      </c>
      <c r="Q487">
        <f t="shared" si="980"/>
        <v>141208.64013793104</v>
      </c>
      <c r="R487">
        <f t="shared" si="981"/>
        <v>-14459435.166761035</v>
      </c>
      <c r="S487">
        <f t="shared" si="982"/>
        <v>-144.59435166761034</v>
      </c>
      <c r="T487">
        <f t="shared" si="983"/>
        <v>-0.14459435166761034</v>
      </c>
    </row>
    <row r="488" spans="1:20" x14ac:dyDescent="0.25">
      <c r="A488" s="5">
        <v>44105</v>
      </c>
      <c r="B488">
        <v>1.571</v>
      </c>
      <c r="C488">
        <v>1.744</v>
      </c>
      <c r="D488">
        <v>1.4710000000000001</v>
      </c>
      <c r="E488">
        <v>1.5389999999999999</v>
      </c>
      <c r="F488">
        <v>563906.02899999998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-0.50183150183150282</v>
      </c>
      <c r="Q488">
        <f t="shared" si="980"/>
        <v>-282985.80942490895</v>
      </c>
      <c r="R488">
        <f t="shared" si="981"/>
        <v>-14600643.806898966</v>
      </c>
      <c r="S488">
        <f t="shared" si="982"/>
        <v>-146.00643806898967</v>
      </c>
      <c r="T488">
        <f t="shared" si="983"/>
        <v>-0.14600643806898966</v>
      </c>
    </row>
    <row r="489" spans="1:20" x14ac:dyDescent="0.25">
      <c r="A489" s="5">
        <v>44104</v>
      </c>
      <c r="B489">
        <v>1.6359999999999999</v>
      </c>
      <c r="C489">
        <v>1.6419999999999999</v>
      </c>
      <c r="D489">
        <v>1.524</v>
      </c>
      <c r="E489">
        <v>1.569</v>
      </c>
      <c r="F489">
        <v>379001.36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-0.23728813559322079</v>
      </c>
      <c r="Q489">
        <f t="shared" si="980"/>
        <v>-89932.526101695083</v>
      </c>
      <c r="R489">
        <f t="shared" si="981"/>
        <v>-14317657.997474058</v>
      </c>
      <c r="S489">
        <f t="shared" si="982"/>
        <v>-143.17657997474058</v>
      </c>
      <c r="T489">
        <f t="shared" si="983"/>
        <v>-0.14317657997474056</v>
      </c>
    </row>
    <row r="490" spans="1:20" x14ac:dyDescent="0.25">
      <c r="A490" s="5">
        <v>44103</v>
      </c>
      <c r="B490">
        <v>1.653</v>
      </c>
      <c r="C490">
        <v>1.724</v>
      </c>
      <c r="D490">
        <v>1.5</v>
      </c>
      <c r="E490">
        <v>1.637</v>
      </c>
      <c r="F490">
        <v>757923.58299999998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0.22321428571428595</v>
      </c>
      <c r="Q490">
        <f t="shared" si="980"/>
        <v>169179.37120535731</v>
      </c>
      <c r="R490">
        <f t="shared" si="981"/>
        <v>-14227725.471372362</v>
      </c>
      <c r="S490">
        <f t="shared" si="982"/>
        <v>-142.27725471372364</v>
      </c>
      <c r="T490">
        <f t="shared" si="983"/>
        <v>-0.14227725471372363</v>
      </c>
    </row>
    <row r="491" spans="1:20" x14ac:dyDescent="0.25">
      <c r="A491" s="5">
        <v>44102</v>
      </c>
      <c r="B491">
        <v>1.5249999999999999</v>
      </c>
      <c r="C491">
        <v>1.9850000000000001</v>
      </c>
      <c r="D491">
        <v>1.5249999999999999</v>
      </c>
      <c r="E491">
        <v>1.653</v>
      </c>
      <c r="F491">
        <v>3572524.673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-0.44347826086956493</v>
      </c>
      <c r="Q491">
        <f t="shared" si="980"/>
        <v>-1584337.0288956512</v>
      </c>
      <c r="R491">
        <f t="shared" si="981"/>
        <v>-14396904.84257772</v>
      </c>
      <c r="S491">
        <f t="shared" si="982"/>
        <v>-143.9690484257772</v>
      </c>
      <c r="T491">
        <f t="shared" si="983"/>
        <v>-0.14396904842577721</v>
      </c>
    </row>
    <row r="492" spans="1:20" x14ac:dyDescent="0.25">
      <c r="A492" s="5">
        <v>44101</v>
      </c>
      <c r="B492">
        <v>1.772</v>
      </c>
      <c r="C492">
        <v>1.7969999999999999</v>
      </c>
      <c r="D492">
        <v>1.5109999999999999</v>
      </c>
      <c r="E492">
        <v>1.5269999999999999</v>
      </c>
      <c r="F492">
        <v>559925.80000000005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-0.88811188811188801</v>
      </c>
      <c r="Q492">
        <f t="shared" si="980"/>
        <v>-497276.75944055943</v>
      </c>
      <c r="R492">
        <f t="shared" si="981"/>
        <v>-12812567.813682068</v>
      </c>
      <c r="S492">
        <f t="shared" si="982"/>
        <v>-128.12567813682068</v>
      </c>
      <c r="T492">
        <f t="shared" si="983"/>
        <v>-0.12812567813682069</v>
      </c>
    </row>
    <row r="493" spans="1:20" x14ac:dyDescent="0.25">
      <c r="A493" s="5">
        <v>44100</v>
      </c>
      <c r="B493">
        <v>1.8720000000000001</v>
      </c>
      <c r="C493">
        <v>1.9359999999999999</v>
      </c>
      <c r="D493">
        <v>1.738</v>
      </c>
      <c r="E493">
        <v>1.772</v>
      </c>
      <c r="F493">
        <v>1138049.1059999999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-0.65656565656565613</v>
      </c>
      <c r="Q493">
        <f t="shared" si="980"/>
        <v>-747203.95848484791</v>
      </c>
      <c r="R493">
        <f t="shared" si="981"/>
        <v>-12315291.054241508</v>
      </c>
      <c r="S493">
        <f t="shared" si="982"/>
        <v>-123.15291054241509</v>
      </c>
      <c r="T493">
        <f t="shared" si="983"/>
        <v>-0.12315291054241509</v>
      </c>
    </row>
    <row r="494" spans="1:20" x14ac:dyDescent="0.25">
      <c r="A494" s="5">
        <v>44099</v>
      </c>
      <c r="B494">
        <v>2.2879999999999998</v>
      </c>
      <c r="C494">
        <v>2.3380000000000001</v>
      </c>
      <c r="D494">
        <v>1.85</v>
      </c>
      <c r="E494">
        <v>1.8720000000000001</v>
      </c>
      <c r="F494">
        <v>2100299.9819999998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-0.90983606557377039</v>
      </c>
      <c r="Q494">
        <f t="shared" si="980"/>
        <v>-1910928.6721475406</v>
      </c>
      <c r="R494">
        <f t="shared" si="981"/>
        <v>-11568087.095756661</v>
      </c>
      <c r="S494">
        <f t="shared" si="982"/>
        <v>-115.68087095756661</v>
      </c>
      <c r="T494">
        <f t="shared" si="983"/>
        <v>-0.11568087095756661</v>
      </c>
    </row>
    <row r="495" spans="1:20" x14ac:dyDescent="0.25">
      <c r="A495" s="5">
        <v>44098</v>
      </c>
      <c r="B495">
        <v>1.86</v>
      </c>
      <c r="C495">
        <v>8</v>
      </c>
      <c r="D495">
        <v>1.86</v>
      </c>
      <c r="E495">
        <v>2.29</v>
      </c>
      <c r="F495">
        <v>11230104.682</v>
      </c>
      <c r="G495">
        <v>0</v>
      </c>
      <c r="P495">
        <f t="shared" si="979"/>
        <v>-0.85993485342019549</v>
      </c>
      <c r="Q495">
        <f t="shared" si="980"/>
        <v>-9657158.4236091208</v>
      </c>
      <c r="R495">
        <f t="shared" si="981"/>
        <v>-9657158.4236091208</v>
      </c>
      <c r="S495">
        <f t="shared" si="982"/>
        <v>-96.571584236091212</v>
      </c>
      <c r="T495">
        <f t="shared" si="983"/>
        <v>-9.6571584236091218E-2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419" sqref="IR41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$A$418</v>
      </c>
      <c r="D111" s="1" t="str">
        <f>ADDRESS(C121-1,D121,1,1)</f>
        <v>$IR$418</v>
      </c>
      <c r="E111"/>
    </row>
    <row r="112" spans="1:5" x14ac:dyDescent="0.25">
      <c r="A112" s="7">
        <v>12164.144957890772</v>
      </c>
      <c r="C112" s="1" t="str">
        <f>ADDRESS(C121,1,1,1)</f>
        <v>$A$419</v>
      </c>
      <c r="D112" s="1" t="str">
        <f>ADDRESS(C121,D121-1,1,1)</f>
        <v>$IQ$419</v>
      </c>
      <c r="E112"/>
    </row>
    <row r="113" spans="1:5" x14ac:dyDescent="0.25">
      <c r="A113" s="7">
        <v>11925.63231165762</v>
      </c>
      <c r="C113" s="1" t="str">
        <f>ADDRESS(C121+1,1,1,1)</f>
        <v>$A$420</v>
      </c>
      <c r="D113" s="1" t="str">
        <f>ADDRESS(C121-1,D121+1,1,1)</f>
        <v>$IS$418</v>
      </c>
    </row>
    <row r="114" spans="1:5" x14ac:dyDescent="0.25">
      <c r="A114" s="7">
        <v>11691.796383978059</v>
      </c>
      <c r="C114" s="1" t="str">
        <f>ADDRESS(C121,D121,1,1)</f>
        <v>$IR$419</v>
      </c>
      <c r="D114" s="1" t="str">
        <f>ADDRESS(C121+1,D121+1,1,1)</f>
        <v>$IS$420</v>
      </c>
    </row>
    <row r="115" spans="1:5" x14ac:dyDescent="0.25">
      <c r="A115" s="7">
        <v>11462.545474488292</v>
      </c>
      <c r="C115" s="1" t="str">
        <f>ADDRESS(C121+1,D121,1,1)</f>
        <v>$IR$420</v>
      </c>
    </row>
    <row r="116" spans="1:5" x14ac:dyDescent="0.25">
      <c r="A116" s="7">
        <v>11237.789680870874</v>
      </c>
      <c r="C116" s="1">
        <f>C117-1</f>
        <v>418</v>
      </c>
    </row>
    <row r="117" spans="1:5" x14ac:dyDescent="0.25">
      <c r="A117" s="7">
        <v>11017.440863598895</v>
      </c>
      <c r="C117" s="1">
        <f>C121</f>
        <v>419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420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419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R419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27.850234480856578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208" x14ac:dyDescent="0.25">
      <c r="A369" s="7">
        <v>74.961357735566622</v>
      </c>
      <c r="B369"/>
      <c r="C369"/>
      <c r="D369"/>
      <c r="E369"/>
    </row>
    <row r="370" spans="1:208" x14ac:dyDescent="0.25">
      <c r="A370" s="7">
        <v>73.491527191731976</v>
      </c>
      <c r="B370"/>
      <c r="C370"/>
      <c r="D370"/>
      <c r="E370"/>
    </row>
    <row r="371" spans="1:208" x14ac:dyDescent="0.25">
      <c r="A371" s="7">
        <v>72.050516854639184</v>
      </c>
      <c r="B371"/>
      <c r="C371"/>
      <c r="D371"/>
      <c r="E371"/>
    </row>
    <row r="372" spans="1:208" x14ac:dyDescent="0.25">
      <c r="A372" s="7">
        <v>70.637761622195271</v>
      </c>
      <c r="B372"/>
      <c r="C372"/>
      <c r="D372"/>
      <c r="E372"/>
    </row>
    <row r="373" spans="1:208" x14ac:dyDescent="0.25">
      <c r="A373" s="7">
        <v>69.252707472740454</v>
      </c>
      <c r="B373"/>
      <c r="C373"/>
      <c r="D373"/>
      <c r="E373"/>
    </row>
    <row r="374" spans="1:208" x14ac:dyDescent="0.25">
      <c r="A374" s="7">
        <v>67.894811247784759</v>
      </c>
      <c r="B374"/>
      <c r="C374"/>
      <c r="D374"/>
      <c r="E374"/>
    </row>
    <row r="375" spans="1:208" x14ac:dyDescent="0.25">
      <c r="A375" s="7">
        <v>66.563540439004669</v>
      </c>
      <c r="B375"/>
      <c r="C375"/>
      <c r="D375"/>
      <c r="E375"/>
    </row>
    <row r="376" spans="1:208" x14ac:dyDescent="0.25">
      <c r="A376" s="7">
        <v>65.258372979416336</v>
      </c>
      <c r="B376"/>
      <c r="C376"/>
      <c r="D376"/>
      <c r="E376"/>
    </row>
    <row r="377" spans="1:208" x14ac:dyDescent="0.25">
      <c r="A377" s="7">
        <v>63.978797038643471</v>
      </c>
      <c r="B377"/>
      <c r="C377"/>
      <c r="D377"/>
      <c r="E377"/>
    </row>
    <row r="378" spans="1:208" x14ac:dyDescent="0.25">
      <c r="A378" s="7">
        <v>62.724310822199477</v>
      </c>
      <c r="B378"/>
      <c r="C378"/>
      <c r="D378"/>
      <c r="E378"/>
    </row>
    <row r="379" spans="1:208" x14ac:dyDescent="0.25">
      <c r="A379" s="7">
        <v>61.494422374705366</v>
      </c>
      <c r="B379"/>
      <c r="C379"/>
      <c r="D379"/>
      <c r="E379"/>
    </row>
    <row r="380" spans="1:208" x14ac:dyDescent="0.25">
      <c r="A380" s="7">
        <v>60.288649386966043</v>
      </c>
      <c r="B380"/>
      <c r="C380"/>
      <c r="D380"/>
      <c r="E380"/>
    </row>
    <row r="381" spans="1:208" x14ac:dyDescent="0.25">
      <c r="A381" s="7">
        <v>59.106519006829451</v>
      </c>
      <c r="B381"/>
      <c r="C381"/>
      <c r="D381"/>
      <c r="E381"/>
      <c r="GY381" s="27" t="s">
        <v>8</v>
      </c>
    </row>
    <row r="382" spans="1:208" x14ac:dyDescent="0.25">
      <c r="A382" s="7">
        <v>57.947567653754362</v>
      </c>
      <c r="B382"/>
      <c r="C382"/>
      <c r="D382"/>
      <c r="E382"/>
      <c r="GY382" s="27" t="s">
        <v>8</v>
      </c>
      <c r="GZ382" s="27" t="s">
        <v>7</v>
      </c>
    </row>
    <row r="383" spans="1:208" x14ac:dyDescent="0.25">
      <c r="A383" s="7">
        <v>56.811340837014079</v>
      </c>
      <c r="B383"/>
      <c r="C383"/>
      <c r="D383"/>
      <c r="E383"/>
      <c r="GY383" s="27" t="s">
        <v>8</v>
      </c>
      <c r="GZ383" s="27" t="s">
        <v>7</v>
      </c>
    </row>
    <row r="384" spans="1:208" x14ac:dyDescent="0.25">
      <c r="A384" s="7">
        <v>55.69739297746478</v>
      </c>
      <c r="B384"/>
      <c r="C384"/>
      <c r="D384"/>
      <c r="E384"/>
      <c r="GY384" s="27" t="s">
        <v>8</v>
      </c>
      <c r="GZ384" s="27" t="s">
        <v>7</v>
      </c>
    </row>
    <row r="385" spans="1:242" x14ac:dyDescent="0.25">
      <c r="A385" s="7">
        <v>54.605287232808607</v>
      </c>
      <c r="B385"/>
      <c r="C385"/>
      <c r="D385"/>
      <c r="E385"/>
      <c r="GY385" s="27" t="s">
        <v>8</v>
      </c>
      <c r="GZ385" s="27" t="s">
        <v>7</v>
      </c>
      <c r="HC385" s="27" t="s">
        <v>8</v>
      </c>
      <c r="HE385" s="27" t="s">
        <v>8</v>
      </c>
    </row>
    <row r="386" spans="1:242" x14ac:dyDescent="0.25">
      <c r="A386" s="7">
        <v>53.534595326282947</v>
      </c>
      <c r="B386"/>
      <c r="C386"/>
      <c r="D386"/>
      <c r="E386"/>
      <c r="GY386" s="27" t="s">
        <v>8</v>
      </c>
      <c r="GZ386" s="27" t="s">
        <v>7</v>
      </c>
      <c r="HC386" s="27" t="s">
        <v>8</v>
      </c>
      <c r="HD386" s="27" t="s">
        <v>7</v>
      </c>
      <c r="HE386" s="27" t="s">
        <v>8</v>
      </c>
      <c r="HF386" s="27" t="s">
        <v>7</v>
      </c>
    </row>
    <row r="387" spans="1:242" x14ac:dyDescent="0.25">
      <c r="A387" s="7">
        <v>52.484897378708773</v>
      </c>
      <c r="B387"/>
      <c r="C387"/>
      <c r="D387"/>
      <c r="E387"/>
      <c r="GY387" s="27" t="s">
        <v>8</v>
      </c>
      <c r="GZ387" s="27" t="s">
        <v>7</v>
      </c>
      <c r="HA387" s="27" t="s">
        <v>8</v>
      </c>
      <c r="HC387" s="27" t="s">
        <v>8</v>
      </c>
      <c r="HD387" s="27" t="s">
        <v>7</v>
      </c>
      <c r="HE387" s="27" t="s">
        <v>8</v>
      </c>
      <c r="HF387" s="27" t="s">
        <v>7</v>
      </c>
    </row>
    <row r="388" spans="1:242" x14ac:dyDescent="0.25">
      <c r="A388" s="7">
        <v>51.455781743832127</v>
      </c>
      <c r="B388"/>
      <c r="C388"/>
      <c r="D388"/>
      <c r="E388"/>
      <c r="GY388" s="27" t="s">
        <v>8</v>
      </c>
      <c r="GZ388" s="27" t="s">
        <v>7</v>
      </c>
      <c r="HA388" s="27" t="s">
        <v>8</v>
      </c>
      <c r="HB388" s="27" t="s">
        <v>7</v>
      </c>
      <c r="HC388" s="27" t="s">
        <v>8</v>
      </c>
      <c r="HD388" s="27" t="s">
        <v>7</v>
      </c>
      <c r="HE388" s="27" t="s">
        <v>8</v>
      </c>
      <c r="HF388" s="27" t="s">
        <v>7</v>
      </c>
    </row>
    <row r="389" spans="1:242" x14ac:dyDescent="0.25">
      <c r="A389" s="7">
        <v>50.446844846894244</v>
      </c>
      <c r="B389"/>
      <c r="C389"/>
      <c r="D389"/>
      <c r="E389"/>
      <c r="GY389" s="27" t="s">
        <v>8</v>
      </c>
      <c r="GZ389" s="27" t="s">
        <v>7</v>
      </c>
      <c r="HA389" s="27" t="s">
        <v>8</v>
      </c>
      <c r="HB389" s="27" t="s">
        <v>7</v>
      </c>
      <c r="HC389" s="27" t="s">
        <v>8</v>
      </c>
      <c r="HD389" s="27" t="s">
        <v>7</v>
      </c>
      <c r="HE389" s="27" t="s">
        <v>8</v>
      </c>
      <c r="HF389" s="27" t="s">
        <v>7</v>
      </c>
    </row>
    <row r="390" spans="1:242" x14ac:dyDescent="0.25">
      <c r="A390" s="7">
        <v>49.457691026366902</v>
      </c>
      <c r="B390"/>
      <c r="C390"/>
      <c r="D390"/>
      <c r="E390"/>
      <c r="GY390" s="27" t="s">
        <v>8</v>
      </c>
      <c r="GZ390" s="27" t="s">
        <v>7</v>
      </c>
      <c r="HA390" s="27" t="s">
        <v>8</v>
      </c>
      <c r="HB390" s="27" t="s">
        <v>7</v>
      </c>
      <c r="HC390" s="27" t="s">
        <v>8</v>
      </c>
      <c r="HD390" s="27" t="s">
        <v>7</v>
      </c>
      <c r="HE390" s="27" t="s">
        <v>8</v>
      </c>
      <c r="HF390" s="27" t="s">
        <v>7</v>
      </c>
    </row>
    <row r="391" spans="1:242" x14ac:dyDescent="0.25">
      <c r="A391" s="7">
        <v>48.487932378791079</v>
      </c>
      <c r="B391"/>
      <c r="C391"/>
      <c r="D391"/>
      <c r="E391"/>
      <c r="GY391" s="27" t="s">
        <v>8</v>
      </c>
      <c r="GZ391" s="27" t="s">
        <v>7</v>
      </c>
      <c r="HA391" s="27" t="s">
        <v>8</v>
      </c>
      <c r="HB391" s="27" t="s">
        <v>7</v>
      </c>
      <c r="HC391" s="27" t="s">
        <v>8</v>
      </c>
      <c r="HD391" s="27" t="s">
        <v>7</v>
      </c>
      <c r="HE391" s="27" t="s">
        <v>8</v>
      </c>
      <c r="HF391" s="27" t="s">
        <v>7</v>
      </c>
    </row>
    <row r="392" spans="1:242" x14ac:dyDescent="0.25">
      <c r="A392" s="7">
        <v>47.537188606657921</v>
      </c>
      <c r="B392"/>
      <c r="C392"/>
      <c r="D392"/>
      <c r="E392"/>
      <c r="GY392" s="27" t="s">
        <v>8</v>
      </c>
      <c r="GZ392" s="27" t="s">
        <v>7</v>
      </c>
      <c r="HA392" s="27" t="s">
        <v>8</v>
      </c>
      <c r="HB392" s="27" t="s">
        <v>7</v>
      </c>
      <c r="HC392" s="27" t="s">
        <v>8</v>
      </c>
      <c r="HD392" s="27" t="s">
        <v>7</v>
      </c>
      <c r="HE392" s="27" t="s">
        <v>8</v>
      </c>
      <c r="HF392" s="27" t="s">
        <v>7</v>
      </c>
      <c r="HG392" s="27" t="s">
        <v>8</v>
      </c>
      <c r="HI392" s="27" t="s">
        <v>8</v>
      </c>
      <c r="HK392" s="27" t="s">
        <v>8</v>
      </c>
    </row>
    <row r="393" spans="1:242" x14ac:dyDescent="0.25">
      <c r="A393" s="7">
        <v>46.605086869272469</v>
      </c>
      <c r="B393"/>
      <c r="C393"/>
      <c r="D393"/>
      <c r="E393"/>
      <c r="GY393" s="27" t="s">
        <v>8</v>
      </c>
      <c r="GZ393" s="27" t="s">
        <v>7</v>
      </c>
      <c r="HA393" s="27" t="s">
        <v>8</v>
      </c>
      <c r="HB393" s="27" t="s">
        <v>7</v>
      </c>
      <c r="HC393" s="27" t="s">
        <v>8</v>
      </c>
      <c r="HD393" s="27" t="s">
        <v>7</v>
      </c>
      <c r="HF393" s="27" t="s">
        <v>7</v>
      </c>
      <c r="HG393" s="27" t="s">
        <v>8</v>
      </c>
      <c r="HH393" s="27" t="s">
        <v>7</v>
      </c>
      <c r="HI393" s="27" t="s">
        <v>8</v>
      </c>
      <c r="HJ393" s="27" t="s">
        <v>7</v>
      </c>
      <c r="HK393" s="27" t="s">
        <v>8</v>
      </c>
      <c r="HL393" s="27" t="s">
        <v>7</v>
      </c>
    </row>
    <row r="394" spans="1:242" x14ac:dyDescent="0.25">
      <c r="A394" s="7">
        <v>45.691261636541633</v>
      </c>
      <c r="B394"/>
      <c r="C394"/>
      <c r="D394"/>
      <c r="E394"/>
      <c r="GY394" s="27" t="s">
        <v>8</v>
      </c>
      <c r="GZ394" s="27" t="s">
        <v>7</v>
      </c>
      <c r="HA394" s="27" t="s">
        <v>8</v>
      </c>
      <c r="HB394" s="27" t="s">
        <v>7</v>
      </c>
      <c r="HC394" s="27" t="s">
        <v>8</v>
      </c>
      <c r="HF394" s="27" t="s">
        <v>7</v>
      </c>
      <c r="HG394" s="27" t="s">
        <v>8</v>
      </c>
      <c r="HH394" s="27" t="s">
        <v>7</v>
      </c>
      <c r="HI394" s="27" t="s">
        <v>8</v>
      </c>
      <c r="HJ394" s="27" t="s">
        <v>7</v>
      </c>
      <c r="HK394" s="27" t="s">
        <v>8</v>
      </c>
      <c r="HL394" s="27" t="s">
        <v>7</v>
      </c>
    </row>
    <row r="395" spans="1:242" x14ac:dyDescent="0.25">
      <c r="A395" s="7">
        <v>44.795354545629053</v>
      </c>
      <c r="B395"/>
      <c r="C395"/>
      <c r="D395"/>
      <c r="E395"/>
      <c r="GY395" s="27" t="s">
        <v>8</v>
      </c>
      <c r="GZ395" s="27" t="s">
        <v>7</v>
      </c>
      <c r="HA395" s="27" t="s">
        <v>8</v>
      </c>
      <c r="HB395" s="27" t="s">
        <v>7</v>
      </c>
      <c r="HC395" s="27" t="s">
        <v>8</v>
      </c>
      <c r="HF395" s="27" t="s">
        <v>7</v>
      </c>
      <c r="HG395" s="27" t="s">
        <v>8</v>
      </c>
      <c r="HH395" s="27" t="s">
        <v>7</v>
      </c>
      <c r="HI395" s="27" t="s">
        <v>8</v>
      </c>
      <c r="HJ395" s="27" t="s">
        <v>7</v>
      </c>
      <c r="HK395" s="27" t="s">
        <v>8</v>
      </c>
      <c r="HL395" s="27" t="s">
        <v>7</v>
      </c>
    </row>
    <row r="396" spans="1:242" x14ac:dyDescent="0.25">
      <c r="A396" s="7">
        <v>43.917014260420636</v>
      </c>
      <c r="B396"/>
      <c r="C396"/>
      <c r="D396"/>
      <c r="E396"/>
      <c r="GY396" s="27" t="s">
        <v>8</v>
      </c>
      <c r="GZ396" s="27" t="s">
        <v>7</v>
      </c>
      <c r="HA396" s="27" t="s">
        <v>8</v>
      </c>
      <c r="HB396" s="27" t="s">
        <v>7</v>
      </c>
      <c r="HC396" s="27" t="s">
        <v>8</v>
      </c>
      <c r="HF396" s="27" t="s">
        <v>7</v>
      </c>
      <c r="HG396" s="27" t="s">
        <v>8</v>
      </c>
      <c r="HH396" s="27" t="s">
        <v>7</v>
      </c>
      <c r="HI396" s="27" t="s">
        <v>8</v>
      </c>
      <c r="HJ396" s="27" t="s">
        <v>7</v>
      </c>
      <c r="HK396" s="27" t="s">
        <v>8</v>
      </c>
      <c r="HL396" s="27" t="s">
        <v>7</v>
      </c>
    </row>
    <row r="397" spans="1:242" x14ac:dyDescent="0.25">
      <c r="A397" s="7">
        <v>43.055896333745721</v>
      </c>
      <c r="B397"/>
      <c r="C397"/>
      <c r="D397"/>
      <c r="E397"/>
      <c r="GY397" s="27" t="s">
        <v>8</v>
      </c>
      <c r="GZ397" s="27" t="s">
        <v>7</v>
      </c>
      <c r="HA397" s="27" t="s">
        <v>8</v>
      </c>
      <c r="HB397" s="27" t="s">
        <v>7</v>
      </c>
      <c r="HC397" s="27" t="s">
        <v>8</v>
      </c>
      <c r="HF397" s="27" t="s">
        <v>7</v>
      </c>
      <c r="HH397" s="27" t="s">
        <v>7</v>
      </c>
      <c r="HI397" s="27" t="s">
        <v>8</v>
      </c>
      <c r="HJ397" s="27" t="s">
        <v>7</v>
      </c>
      <c r="HK397" s="27" t="s">
        <v>8</v>
      </c>
      <c r="HL397" s="27" t="s">
        <v>7</v>
      </c>
      <c r="HY397" s="27" t="s">
        <v>8</v>
      </c>
    </row>
    <row r="398" spans="1:242" x14ac:dyDescent="0.25">
      <c r="A398" s="7">
        <v>42.211663072299729</v>
      </c>
      <c r="B398"/>
      <c r="C398"/>
      <c r="D398"/>
      <c r="E398"/>
      <c r="GY398" s="27" t="s">
        <v>8</v>
      </c>
      <c r="GZ398" s="27" t="s">
        <v>7</v>
      </c>
      <c r="HA398" s="27" t="s">
        <v>8</v>
      </c>
      <c r="HB398" s="27" t="s">
        <v>7</v>
      </c>
      <c r="HC398" s="27" t="s">
        <v>8</v>
      </c>
      <c r="HH398" s="27" t="s">
        <v>7</v>
      </c>
      <c r="HI398" s="27" t="s">
        <v>8</v>
      </c>
      <c r="HJ398" s="27" t="s">
        <v>7</v>
      </c>
      <c r="HK398" s="27" t="s">
        <v>8</v>
      </c>
      <c r="HL398" s="27" t="s">
        <v>7</v>
      </c>
      <c r="HM398" s="27" t="s">
        <v>8</v>
      </c>
      <c r="HO398" s="27" t="s">
        <v>8</v>
      </c>
      <c r="HY398" s="27" t="s">
        <v>8</v>
      </c>
      <c r="HZ398" s="27" t="s">
        <v>7</v>
      </c>
      <c r="IG398" s="27" t="s">
        <v>8</v>
      </c>
    </row>
    <row r="399" spans="1:242" x14ac:dyDescent="0.25">
      <c r="A399" s="7">
        <v>41.383983404215421</v>
      </c>
      <c r="B399"/>
      <c r="C399"/>
      <c r="D399"/>
      <c r="E399"/>
      <c r="GY399" s="27" t="s">
        <v>8</v>
      </c>
      <c r="GZ399" s="27" t="s">
        <v>7</v>
      </c>
      <c r="HB399" s="27" t="s">
        <v>7</v>
      </c>
      <c r="HH399" s="27" t="s">
        <v>7</v>
      </c>
      <c r="HI399" s="27" t="s">
        <v>8</v>
      </c>
      <c r="HJ399" s="27" t="s">
        <v>7</v>
      </c>
      <c r="HL399" s="27" t="s">
        <v>7</v>
      </c>
      <c r="HM399" s="27" t="s">
        <v>8</v>
      </c>
      <c r="HN399" s="27" t="s">
        <v>7</v>
      </c>
      <c r="HO399" s="27" t="s">
        <v>8</v>
      </c>
      <c r="HP399" s="27" t="s">
        <v>7</v>
      </c>
      <c r="HY399" s="27" t="s">
        <v>8</v>
      </c>
      <c r="HZ399" s="27" t="s">
        <v>7</v>
      </c>
      <c r="IC399" s="27" t="s">
        <v>8</v>
      </c>
      <c r="IG399" s="27" t="s">
        <v>8</v>
      </c>
      <c r="IH399" s="27" t="s">
        <v>7</v>
      </c>
    </row>
    <row r="400" spans="1:242" x14ac:dyDescent="0.25">
      <c r="A400" s="7">
        <v>40.572532749230803</v>
      </c>
      <c r="B400"/>
      <c r="C400"/>
      <c r="D400"/>
      <c r="E400"/>
      <c r="GY400" s="27" t="s">
        <v>8</v>
      </c>
      <c r="HH400" s="27" t="s">
        <v>7</v>
      </c>
      <c r="HI400" s="27" t="s">
        <v>8</v>
      </c>
      <c r="HL400" s="27" t="s">
        <v>7</v>
      </c>
      <c r="HM400" s="27" t="s">
        <v>8</v>
      </c>
      <c r="HN400" s="27" t="s">
        <v>7</v>
      </c>
      <c r="HO400" s="27" t="s">
        <v>8</v>
      </c>
      <c r="HP400" s="27" t="s">
        <v>7</v>
      </c>
      <c r="HY400" s="27" t="s">
        <v>8</v>
      </c>
      <c r="HZ400" s="27" t="s">
        <v>7</v>
      </c>
      <c r="IC400" s="27" t="s">
        <v>8</v>
      </c>
      <c r="ID400" s="27" t="s">
        <v>7</v>
      </c>
      <c r="IG400" s="27" t="s">
        <v>8</v>
      </c>
      <c r="IH400" s="27" t="s">
        <v>7</v>
      </c>
    </row>
    <row r="401" spans="1:252" x14ac:dyDescent="0.25">
      <c r="A401" s="7">
        <v>39.776992891402749</v>
      </c>
      <c r="B401"/>
      <c r="C401"/>
      <c r="D401"/>
      <c r="E401"/>
      <c r="GY401" s="27" t="s">
        <v>8</v>
      </c>
      <c r="HH401" s="27" t="s">
        <v>7</v>
      </c>
      <c r="HI401" s="27" t="s">
        <v>8</v>
      </c>
      <c r="HL401" s="27" t="s">
        <v>7</v>
      </c>
      <c r="HN401" s="27" t="s">
        <v>7</v>
      </c>
      <c r="HO401" s="27" t="s">
        <v>8</v>
      </c>
      <c r="HP401" s="27" t="s">
        <v>7</v>
      </c>
      <c r="HY401" s="27" t="s">
        <v>8</v>
      </c>
      <c r="HZ401" s="27" t="s">
        <v>7</v>
      </c>
      <c r="IC401" s="27" t="s">
        <v>8</v>
      </c>
      <c r="ID401" s="27" t="s">
        <v>7</v>
      </c>
      <c r="IG401" s="27" t="s">
        <v>8</v>
      </c>
      <c r="IH401" s="27" t="s">
        <v>7</v>
      </c>
    </row>
    <row r="402" spans="1:252" x14ac:dyDescent="0.25">
      <c r="A402" s="7">
        <v>38.997051854316418</v>
      </c>
      <c r="B402"/>
      <c r="C402"/>
      <c r="D402"/>
      <c r="E402"/>
      <c r="GY402" s="27" t="s">
        <v>8</v>
      </c>
      <c r="HH402" s="27" t="s">
        <v>7</v>
      </c>
      <c r="HI402" s="27" t="s">
        <v>8</v>
      </c>
      <c r="HN402" s="27" t="s">
        <v>7</v>
      </c>
      <c r="HO402" s="27" t="s">
        <v>8</v>
      </c>
      <c r="HP402" s="27" t="s">
        <v>7</v>
      </c>
      <c r="HY402" s="27" t="s">
        <v>8</v>
      </c>
      <c r="HZ402" s="27" t="s">
        <v>7</v>
      </c>
      <c r="IA402" s="27" t="s">
        <v>8</v>
      </c>
      <c r="IC402" s="27" t="s">
        <v>8</v>
      </c>
      <c r="ID402" s="27" t="s">
        <v>7</v>
      </c>
      <c r="IE402" s="27" t="s">
        <v>8</v>
      </c>
      <c r="IG402" s="27" t="s">
        <v>8</v>
      </c>
      <c r="IH402" s="27" t="s">
        <v>7</v>
      </c>
    </row>
    <row r="403" spans="1:252" x14ac:dyDescent="0.25">
      <c r="A403" s="7">
        <v>38.232403778741585</v>
      </c>
      <c r="B403"/>
      <c r="C403"/>
      <c r="D403"/>
      <c r="E403"/>
      <c r="GY403" s="27" t="s">
        <v>8</v>
      </c>
      <c r="HH403" s="27" t="s">
        <v>7</v>
      </c>
      <c r="HN403" s="27" t="s">
        <v>7</v>
      </c>
      <c r="HO403" s="27" t="s">
        <v>8</v>
      </c>
      <c r="HP403" s="27" t="s">
        <v>7</v>
      </c>
      <c r="HY403" s="27" t="s">
        <v>8</v>
      </c>
      <c r="HZ403" s="27" t="s">
        <v>7</v>
      </c>
      <c r="IA403" s="27" t="s">
        <v>8</v>
      </c>
      <c r="IB403" s="27" t="s">
        <v>7</v>
      </c>
      <c r="IC403" s="27" t="s">
        <v>8</v>
      </c>
      <c r="ID403" s="27" t="s">
        <v>7</v>
      </c>
      <c r="IE403" s="27" t="s">
        <v>8</v>
      </c>
      <c r="IF403" s="27" t="s">
        <v>7</v>
      </c>
      <c r="IG403" s="27" t="s">
        <v>8</v>
      </c>
      <c r="IH403" s="27" t="s">
        <v>7</v>
      </c>
    </row>
    <row r="404" spans="1:252" x14ac:dyDescent="0.25">
      <c r="A404" s="7">
        <v>37.48274880268783</v>
      </c>
      <c r="B404"/>
      <c r="C404"/>
      <c r="D404"/>
      <c r="E404"/>
      <c r="GY404" s="27" t="s">
        <v>8</v>
      </c>
      <c r="HN404" s="27" t="s">
        <v>7</v>
      </c>
      <c r="HO404" s="27" t="s">
        <v>8</v>
      </c>
      <c r="HP404" s="27" t="s">
        <v>7</v>
      </c>
      <c r="HY404" s="27" t="s">
        <v>8</v>
      </c>
      <c r="HZ404" s="27" t="s">
        <v>7</v>
      </c>
      <c r="IA404" s="27" t="s">
        <v>8</v>
      </c>
      <c r="IB404" s="27" t="s">
        <v>7</v>
      </c>
      <c r="IC404" s="27" t="s">
        <v>8</v>
      </c>
      <c r="ID404" s="27" t="s">
        <v>7</v>
      </c>
      <c r="IE404" s="27" t="s">
        <v>8</v>
      </c>
      <c r="IF404" s="27" t="s">
        <v>7</v>
      </c>
      <c r="IG404" s="27" t="s">
        <v>8</v>
      </c>
      <c r="IH404" s="27" t="s">
        <v>7</v>
      </c>
    </row>
    <row r="405" spans="1:252" x14ac:dyDescent="0.25">
      <c r="A405" s="7">
        <v>36.747792943811596</v>
      </c>
      <c r="B405"/>
      <c r="C405"/>
      <c r="D405"/>
      <c r="E405"/>
      <c r="GY405" s="27" t="s">
        <v>8</v>
      </c>
      <c r="HN405" s="27" t="s">
        <v>7</v>
      </c>
      <c r="HO405" s="27" t="s">
        <v>8</v>
      </c>
      <c r="HP405" s="27" t="s">
        <v>7</v>
      </c>
      <c r="HY405" s="27" t="s">
        <v>8</v>
      </c>
      <c r="HZ405" s="27" t="s">
        <v>7</v>
      </c>
      <c r="IB405" s="27" t="s">
        <v>7</v>
      </c>
      <c r="ID405" s="27" t="s">
        <v>7</v>
      </c>
      <c r="IE405" s="27" t="s">
        <v>8</v>
      </c>
      <c r="IF405" s="27" t="s">
        <v>7</v>
      </c>
      <c r="IH405" s="27" t="s">
        <v>7</v>
      </c>
    </row>
    <row r="406" spans="1:252" x14ac:dyDescent="0.25">
      <c r="A406" s="7">
        <v>36.027247984129012</v>
      </c>
      <c r="B406"/>
      <c r="C406"/>
      <c r="D406"/>
      <c r="E406"/>
      <c r="GY406" s="27" t="s">
        <v>8</v>
      </c>
      <c r="HN406" s="27" t="s">
        <v>7</v>
      </c>
      <c r="HP406" s="27" t="s">
        <v>7</v>
      </c>
      <c r="HQ406" s="27" t="s">
        <v>8</v>
      </c>
      <c r="HY406" s="27" t="s">
        <v>8</v>
      </c>
      <c r="ID406" s="27" t="s">
        <v>7</v>
      </c>
      <c r="IH406" s="27" t="s">
        <v>7</v>
      </c>
      <c r="IK406" s="27" t="s">
        <v>8</v>
      </c>
    </row>
    <row r="407" spans="1:252" x14ac:dyDescent="0.25">
      <c r="A407" s="7">
        <v>35.320831356989224</v>
      </c>
      <c r="B407"/>
      <c r="C407"/>
      <c r="D407"/>
      <c r="E407"/>
      <c r="GY407" s="27" t="s">
        <v>8</v>
      </c>
      <c r="HP407" s="27" t="s">
        <v>7</v>
      </c>
      <c r="HQ407" s="27" t="s">
        <v>8</v>
      </c>
      <c r="HR407" s="27" t="s">
        <v>7</v>
      </c>
      <c r="HW407" s="27" t="s">
        <v>8</v>
      </c>
      <c r="HY407" s="27" t="s">
        <v>8</v>
      </c>
      <c r="IH407" s="27" t="s">
        <v>7</v>
      </c>
      <c r="IK407" s="27" t="s">
        <v>8</v>
      </c>
      <c r="IL407" s="27" t="s">
        <v>7</v>
      </c>
    </row>
    <row r="408" spans="1:252" x14ac:dyDescent="0.25">
      <c r="A408" s="7">
        <v>34.628266036263945</v>
      </c>
      <c r="B408"/>
      <c r="C408"/>
      <c r="D408"/>
      <c r="E408"/>
      <c r="GY408" s="27" t="s">
        <v>8</v>
      </c>
      <c r="HP408" s="27" t="s">
        <v>7</v>
      </c>
      <c r="HQ408" s="27" t="s">
        <v>8</v>
      </c>
      <c r="HR408" s="27" t="s">
        <v>7</v>
      </c>
      <c r="HS408" s="27" t="s">
        <v>8</v>
      </c>
      <c r="HW408" s="27" t="s">
        <v>8</v>
      </c>
      <c r="HX408" s="27" t="s">
        <v>7</v>
      </c>
      <c r="HY408" s="27" t="s">
        <v>8</v>
      </c>
      <c r="IH408" s="27" t="s">
        <v>7</v>
      </c>
      <c r="IK408" s="27" t="s">
        <v>8</v>
      </c>
      <c r="IL408" s="27" t="s">
        <v>7</v>
      </c>
      <c r="IM408" s="27" t="s">
        <v>8</v>
      </c>
    </row>
    <row r="409" spans="1:252" x14ac:dyDescent="0.25">
      <c r="A409" s="7">
        <v>33.949280427709752</v>
      </c>
      <c r="B409"/>
      <c r="C409"/>
      <c r="D409"/>
      <c r="E409"/>
      <c r="GY409" s="27" t="s">
        <v>8</v>
      </c>
      <c r="HP409" s="27" t="s">
        <v>7</v>
      </c>
      <c r="HQ409" s="27" t="s">
        <v>8</v>
      </c>
      <c r="HR409" s="27" t="s">
        <v>7</v>
      </c>
      <c r="HS409" s="27" t="s">
        <v>8</v>
      </c>
      <c r="HT409" s="27" t="s">
        <v>7</v>
      </c>
      <c r="HW409" s="27" t="s">
        <v>8</v>
      </c>
      <c r="HX409" s="27" t="s">
        <v>7</v>
      </c>
      <c r="HY409" s="27" t="s">
        <v>8</v>
      </c>
      <c r="IH409" s="27" t="s">
        <v>7</v>
      </c>
      <c r="II409" s="27" t="s">
        <v>8</v>
      </c>
      <c r="IK409" s="27" t="s">
        <v>8</v>
      </c>
      <c r="IL409" s="27" t="s">
        <v>7</v>
      </c>
      <c r="IM409" s="27" t="s">
        <v>8</v>
      </c>
      <c r="IN409" s="27" t="s">
        <v>7</v>
      </c>
    </row>
    <row r="410" spans="1:252" x14ac:dyDescent="0.25">
      <c r="A410" s="7">
        <v>33.28360826246054</v>
      </c>
      <c r="B410"/>
      <c r="C410"/>
      <c r="D410"/>
      <c r="E410"/>
      <c r="GY410" s="27" t="s">
        <v>8</v>
      </c>
      <c r="HP410" s="27" t="s">
        <v>7</v>
      </c>
      <c r="HQ410" s="27" t="s">
        <v>8</v>
      </c>
      <c r="HR410" s="27" t="s">
        <v>7</v>
      </c>
      <c r="HS410" s="27" t="s">
        <v>8</v>
      </c>
      <c r="HT410" s="27" t="s">
        <v>7</v>
      </c>
      <c r="HW410" s="27" t="s">
        <v>8</v>
      </c>
      <c r="HX410" s="27" t="s">
        <v>7</v>
      </c>
      <c r="HY410" s="27" t="s">
        <v>8</v>
      </c>
      <c r="IH410" s="27" t="s">
        <v>7</v>
      </c>
      <c r="II410" s="27" t="s">
        <v>8</v>
      </c>
      <c r="IJ410" s="27" t="s">
        <v>7</v>
      </c>
      <c r="IK410" s="27" t="s">
        <v>8</v>
      </c>
      <c r="IL410" s="27" t="s">
        <v>7</v>
      </c>
      <c r="IM410" s="27" t="s">
        <v>8</v>
      </c>
      <c r="IN410" s="27" t="s">
        <v>7</v>
      </c>
    </row>
    <row r="411" spans="1:252" x14ac:dyDescent="0.25">
      <c r="A411" s="7">
        <v>32.630988492608374</v>
      </c>
      <c r="B411"/>
      <c r="C411"/>
      <c r="D411"/>
      <c r="E411"/>
      <c r="GY411" s="27" t="s">
        <v>8</v>
      </c>
      <c r="HP411" s="27" t="s">
        <v>7</v>
      </c>
      <c r="HQ411" s="27" t="s">
        <v>8</v>
      </c>
      <c r="HR411" s="27" t="s">
        <v>7</v>
      </c>
      <c r="HS411" s="27" t="s">
        <v>8</v>
      </c>
      <c r="HT411" s="27" t="s">
        <v>7</v>
      </c>
      <c r="HW411" s="27" t="s">
        <v>8</v>
      </c>
      <c r="HX411" s="27" t="s">
        <v>7</v>
      </c>
      <c r="HY411" s="27" t="s">
        <v>8</v>
      </c>
      <c r="IH411" s="27" t="s">
        <v>7</v>
      </c>
      <c r="II411" s="27" t="s">
        <v>8</v>
      </c>
      <c r="IJ411" s="27" t="s">
        <v>7</v>
      </c>
      <c r="IK411" s="27" t="s">
        <v>8</v>
      </c>
      <c r="IL411" s="27" t="s">
        <v>7</v>
      </c>
      <c r="IM411" s="27" t="s">
        <v>8</v>
      </c>
      <c r="IN411" s="27" t="s">
        <v>7</v>
      </c>
    </row>
    <row r="412" spans="1:252" x14ac:dyDescent="0.25">
      <c r="A412" s="7">
        <v>31.99116518883174</v>
      </c>
      <c r="B412"/>
      <c r="C412"/>
      <c r="D412"/>
      <c r="E412"/>
      <c r="GU412" s="27" t="s">
        <v>8</v>
      </c>
      <c r="GY412" s="27" t="s">
        <v>8</v>
      </c>
      <c r="HP412" s="27" t="s">
        <v>7</v>
      </c>
      <c r="HQ412" s="27" t="s">
        <v>8</v>
      </c>
      <c r="HR412" s="27" t="s">
        <v>7</v>
      </c>
      <c r="HS412" s="27" t="s">
        <v>8</v>
      </c>
      <c r="HT412" s="27" t="s">
        <v>7</v>
      </c>
      <c r="HW412" s="27" t="s">
        <v>8</v>
      </c>
      <c r="HX412" s="27" t="s">
        <v>7</v>
      </c>
      <c r="HY412" s="27" t="s">
        <v>8</v>
      </c>
      <c r="IH412" s="27" t="s">
        <v>7</v>
      </c>
      <c r="II412" s="27" t="s">
        <v>8</v>
      </c>
      <c r="IJ412" s="27" t="s">
        <v>7</v>
      </c>
      <c r="IK412" s="27" t="s">
        <v>8</v>
      </c>
      <c r="IL412" s="27" t="s">
        <v>7</v>
      </c>
      <c r="IM412" s="27" t="s">
        <v>8</v>
      </c>
      <c r="IN412" s="27" t="s">
        <v>7</v>
      </c>
    </row>
    <row r="413" spans="1:252" x14ac:dyDescent="0.25">
      <c r="A413" s="7">
        <v>31.363887440031117</v>
      </c>
      <c r="B413"/>
      <c r="C413"/>
      <c r="D413"/>
      <c r="E413"/>
      <c r="GU413" s="27" t="s">
        <v>8</v>
      </c>
      <c r="GV413" s="27" t="s">
        <v>7</v>
      </c>
      <c r="GY413" s="27" t="s">
        <v>8</v>
      </c>
      <c r="HP413" s="27" t="s">
        <v>7</v>
      </c>
      <c r="HQ413" s="27" t="s">
        <v>8</v>
      </c>
      <c r="HR413" s="27" t="s">
        <v>7</v>
      </c>
      <c r="HS413" s="27" t="s">
        <v>8</v>
      </c>
      <c r="HT413" s="27" t="s">
        <v>7</v>
      </c>
      <c r="HW413" s="27" t="s">
        <v>8</v>
      </c>
      <c r="HX413" s="27" t="s">
        <v>7</v>
      </c>
      <c r="HY413" s="27" t="s">
        <v>8</v>
      </c>
      <c r="IH413" s="27" t="s">
        <v>7</v>
      </c>
      <c r="IJ413" s="27" t="s">
        <v>7</v>
      </c>
      <c r="IK413" s="27" t="s">
        <v>8</v>
      </c>
      <c r="IL413" s="27" t="s">
        <v>7</v>
      </c>
      <c r="IN413" s="27" t="s">
        <v>7</v>
      </c>
      <c r="IO413" s="27" t="s">
        <v>8</v>
      </c>
    </row>
    <row r="414" spans="1:252" x14ac:dyDescent="0.25">
      <c r="A414" s="7">
        <v>30.748909254932467</v>
      </c>
      <c r="B414"/>
      <c r="C414"/>
      <c r="D414"/>
      <c r="E414"/>
      <c r="GU414" s="27" t="s">
        <v>8</v>
      </c>
      <c r="GV414" s="27" t="s">
        <v>7</v>
      </c>
      <c r="GY414" s="27" t="s">
        <v>8</v>
      </c>
      <c r="HP414" s="27" t="s">
        <v>7</v>
      </c>
      <c r="HQ414" s="27" t="s">
        <v>8</v>
      </c>
      <c r="HR414" s="27" t="s">
        <v>7</v>
      </c>
      <c r="HS414" s="27" t="s">
        <v>8</v>
      </c>
      <c r="HT414" s="27" t="s">
        <v>7</v>
      </c>
      <c r="HW414" s="27" t="s">
        <v>8</v>
      </c>
      <c r="HX414" s="27" t="s">
        <v>7</v>
      </c>
      <c r="HY414" s="27" t="s">
        <v>8</v>
      </c>
      <c r="IJ414" s="27" t="s">
        <v>7</v>
      </c>
      <c r="IK414" s="27" t="s">
        <v>8</v>
      </c>
      <c r="IN414" s="27" t="s">
        <v>7</v>
      </c>
      <c r="IO414" s="27" t="s">
        <v>8</v>
      </c>
      <c r="IP414" s="27" t="s">
        <v>7</v>
      </c>
      <c r="IQ414" s="27" t="s">
        <v>8</v>
      </c>
    </row>
    <row r="415" spans="1:252" x14ac:dyDescent="0.25">
      <c r="A415" s="7">
        <v>30.145989465620065</v>
      </c>
      <c r="B415"/>
      <c r="C415"/>
      <c r="D415"/>
      <c r="E415"/>
      <c r="GU415" s="27" t="s">
        <v>8</v>
      </c>
      <c r="GV415" s="27" t="s">
        <v>7</v>
      </c>
      <c r="GY415" s="27" t="s">
        <v>8</v>
      </c>
      <c r="HP415" s="27" t="s">
        <v>7</v>
      </c>
      <c r="HQ415" s="27" t="s">
        <v>8</v>
      </c>
      <c r="HR415" s="27" t="s">
        <v>7</v>
      </c>
      <c r="HS415" s="27" t="s">
        <v>8</v>
      </c>
      <c r="HT415" s="27" t="s">
        <v>7</v>
      </c>
      <c r="HU415" s="27" t="s">
        <v>8</v>
      </c>
      <c r="HW415" s="27" t="s">
        <v>8</v>
      </c>
      <c r="HX415" s="27" t="s">
        <v>7</v>
      </c>
      <c r="IJ415" s="27" t="s">
        <v>7</v>
      </c>
      <c r="IK415" s="27" t="s">
        <v>8</v>
      </c>
      <c r="IN415" s="27" t="s">
        <v>7</v>
      </c>
      <c r="IO415" s="27" t="s">
        <v>8</v>
      </c>
      <c r="IP415" s="27" t="s">
        <v>7</v>
      </c>
      <c r="IQ415" s="27" t="s">
        <v>8</v>
      </c>
      <c r="IR415" s="27" t="s">
        <v>7</v>
      </c>
    </row>
    <row r="416" spans="1:252" x14ac:dyDescent="0.25">
      <c r="A416" s="7">
        <v>29.55489163296085</v>
      </c>
      <c r="B416"/>
      <c r="C416"/>
      <c r="D416"/>
      <c r="E416"/>
      <c r="GU416" s="27" t="s">
        <v>8</v>
      </c>
      <c r="GV416" s="27" t="s">
        <v>7</v>
      </c>
      <c r="GY416" s="27" t="s">
        <v>8</v>
      </c>
      <c r="HP416" s="27" t="s">
        <v>7</v>
      </c>
      <c r="HQ416" s="27" t="s">
        <v>8</v>
      </c>
      <c r="HR416" s="27" t="s">
        <v>7</v>
      </c>
      <c r="HS416" s="27" t="s">
        <v>8</v>
      </c>
      <c r="HT416" s="27" t="s">
        <v>7</v>
      </c>
      <c r="HU416" s="27" t="s">
        <v>8</v>
      </c>
      <c r="HV416" s="27" t="s">
        <v>7</v>
      </c>
      <c r="HW416" s="27" t="s">
        <v>8</v>
      </c>
      <c r="IJ416" s="27" t="s">
        <v>7</v>
      </c>
      <c r="IN416" s="27" t="s">
        <v>7</v>
      </c>
      <c r="IO416" s="27" t="s">
        <v>8</v>
      </c>
      <c r="IP416" s="27" t="s">
        <v>7</v>
      </c>
      <c r="IQ416" s="27" t="s">
        <v>8</v>
      </c>
      <c r="IR416" s="27" t="s">
        <v>7</v>
      </c>
    </row>
    <row r="417" spans="1:252" x14ac:dyDescent="0.25">
      <c r="A417" s="7">
        <v>28.975383953883185</v>
      </c>
      <c r="B417"/>
      <c r="C417"/>
      <c r="D417"/>
      <c r="E417"/>
      <c r="GU417" s="27" t="s">
        <v>8</v>
      </c>
      <c r="GV417" s="27" t="s">
        <v>7</v>
      </c>
      <c r="GW417" s="27" t="s">
        <v>8</v>
      </c>
      <c r="GY417" s="27" t="s">
        <v>8</v>
      </c>
      <c r="HP417" s="27" t="s">
        <v>7</v>
      </c>
      <c r="HQ417" s="27" t="s">
        <v>8</v>
      </c>
      <c r="HR417" s="27" t="s">
        <v>7</v>
      </c>
      <c r="HS417" s="27" t="s">
        <v>8</v>
      </c>
      <c r="HT417" s="27" t="s">
        <v>7</v>
      </c>
      <c r="HU417" s="27" t="s">
        <v>8</v>
      </c>
      <c r="HV417" s="27" t="s">
        <v>7</v>
      </c>
      <c r="HW417" s="27" t="s">
        <v>8</v>
      </c>
      <c r="IN417" s="27" t="s">
        <v>7</v>
      </c>
      <c r="IO417" s="27" t="s">
        <v>8</v>
      </c>
      <c r="IP417" s="27" t="s">
        <v>7</v>
      </c>
      <c r="IQ417" s="27" t="s">
        <v>8</v>
      </c>
      <c r="IR417" s="27" t="s">
        <v>7</v>
      </c>
    </row>
    <row r="418" spans="1:252" x14ac:dyDescent="0.25">
      <c r="A418" s="7">
        <v>28.407239170473709</v>
      </c>
      <c r="B418"/>
      <c r="C418"/>
      <c r="D418"/>
      <c r="E418"/>
      <c r="GU418" s="27" t="s">
        <v>8</v>
      </c>
      <c r="GV418" s="27" t="s">
        <v>7</v>
      </c>
      <c r="GW418" s="27" t="s">
        <v>8</v>
      </c>
      <c r="GX418" s="27" t="s">
        <v>7</v>
      </c>
      <c r="GY418" s="27" t="s">
        <v>8</v>
      </c>
      <c r="HP418" s="27" t="s">
        <v>7</v>
      </c>
      <c r="HQ418" s="27" t="s">
        <v>8</v>
      </c>
      <c r="HR418" s="27" t="s">
        <v>7</v>
      </c>
      <c r="HT418" s="27" t="s">
        <v>7</v>
      </c>
      <c r="HU418" s="27" t="s">
        <v>8</v>
      </c>
      <c r="HV418" s="27" t="s">
        <v>7</v>
      </c>
      <c r="HW418" s="27" t="s">
        <v>8</v>
      </c>
      <c r="IN418" s="27" t="s">
        <v>7</v>
      </c>
      <c r="IP418" s="27" t="s">
        <v>7</v>
      </c>
      <c r="IQ418" s="27" t="s">
        <v>8</v>
      </c>
      <c r="IR418" s="27" t="s">
        <v>7</v>
      </c>
    </row>
    <row r="419" spans="1:252" x14ac:dyDescent="0.25">
      <c r="A419" s="7">
        <v>27.850234480856578</v>
      </c>
      <c r="B419"/>
      <c r="C419"/>
      <c r="D419"/>
      <c r="E419"/>
      <c r="GU419" s="27" t="s">
        <v>8</v>
      </c>
      <c r="GV419" s="27" t="s">
        <v>7</v>
      </c>
      <c r="GW419" s="27" t="s">
        <v>8</v>
      </c>
      <c r="GX419" s="27" t="s">
        <v>7</v>
      </c>
      <c r="GY419" s="27" t="s">
        <v>8</v>
      </c>
      <c r="HP419" s="27" t="s">
        <v>7</v>
      </c>
      <c r="HQ419" s="27" t="s">
        <v>8</v>
      </c>
      <c r="HT419" s="27" t="s">
        <v>7</v>
      </c>
      <c r="HU419" s="27" t="s">
        <v>8</v>
      </c>
      <c r="HV419" s="27" t="s">
        <v>7</v>
      </c>
      <c r="HW419" s="27" t="s">
        <v>8</v>
      </c>
      <c r="IP419" s="27" t="s">
        <v>7</v>
      </c>
      <c r="IQ419" s="27" t="s">
        <v>8</v>
      </c>
      <c r="IR419" s="27" t="s">
        <v>7</v>
      </c>
    </row>
    <row r="420" spans="1:252" x14ac:dyDescent="0.25">
      <c r="A420" s="7">
        <v>27.304151451820175</v>
      </c>
      <c r="B420"/>
      <c r="C420"/>
      <c r="D420"/>
      <c r="E420"/>
      <c r="GU420" s="27" t="s">
        <v>8</v>
      </c>
      <c r="GV420" s="27" t="s">
        <v>7</v>
      </c>
      <c r="GX420" s="27" t="s">
        <v>7</v>
      </c>
      <c r="GY420" s="27" t="s">
        <v>8</v>
      </c>
      <c r="HP420" s="27" t="s">
        <v>7</v>
      </c>
      <c r="HQ420" s="27" t="s">
        <v>8</v>
      </c>
      <c r="HT420" s="27" t="s">
        <v>7</v>
      </c>
      <c r="HU420" s="27" t="s">
        <v>8</v>
      </c>
      <c r="HV420" s="27" t="s">
        <v>7</v>
      </c>
      <c r="HW420" s="27" t="s">
        <v>8</v>
      </c>
      <c r="IP420" s="27" t="s">
        <v>7</v>
      </c>
      <c r="IQ420" s="27" t="s">
        <v>8</v>
      </c>
    </row>
    <row r="421" spans="1:252" x14ac:dyDescent="0.25">
      <c r="A421" s="7">
        <v>26.768775933157034</v>
      </c>
      <c r="B421"/>
      <c r="C421"/>
      <c r="D421"/>
      <c r="E421"/>
      <c r="GU421" s="27" t="s">
        <v>8</v>
      </c>
      <c r="GX421" s="27" t="s">
        <v>7</v>
      </c>
      <c r="HP421" s="27" t="s">
        <v>7</v>
      </c>
      <c r="HQ421" s="27" t="s">
        <v>8</v>
      </c>
      <c r="HT421" s="27" t="s">
        <v>7</v>
      </c>
      <c r="HV421" s="27" t="s">
        <v>7</v>
      </c>
      <c r="HW421" s="27" t="s">
        <v>8</v>
      </c>
      <c r="IP421" s="27" t="s">
        <v>7</v>
      </c>
      <c r="IQ421" s="27" t="s">
        <v>8</v>
      </c>
    </row>
    <row r="422" spans="1:252" x14ac:dyDescent="0.25">
      <c r="A422" s="7">
        <v>26.243897973683367</v>
      </c>
      <c r="B422"/>
      <c r="C422"/>
      <c r="D422"/>
      <c r="E422"/>
      <c r="FQ422" s="27" t="s">
        <v>8</v>
      </c>
      <c r="GU422" s="27" t="s">
        <v>8</v>
      </c>
      <c r="HP422" s="27" t="s">
        <v>7</v>
      </c>
      <c r="HQ422" s="27" t="s">
        <v>8</v>
      </c>
      <c r="HV422" s="27" t="s">
        <v>7</v>
      </c>
      <c r="HW422" s="27" t="s">
        <v>8</v>
      </c>
      <c r="IP422" s="27" t="s">
        <v>7</v>
      </c>
      <c r="IQ422" s="27" t="s">
        <v>8</v>
      </c>
    </row>
    <row r="423" spans="1:252" x14ac:dyDescent="0.25">
      <c r="A423" s="7">
        <v>25.729311738905263</v>
      </c>
      <c r="B423"/>
      <c r="C423"/>
      <c r="D423"/>
      <c r="E423"/>
      <c r="FQ423" s="27" t="s">
        <v>8</v>
      </c>
      <c r="FR423" s="27" t="s">
        <v>7</v>
      </c>
      <c r="GU423" s="27" t="s">
        <v>8</v>
      </c>
      <c r="HP423" s="27" t="s">
        <v>7</v>
      </c>
      <c r="HQ423" s="27" t="s">
        <v>8</v>
      </c>
      <c r="HV423" s="27" t="s">
        <v>7</v>
      </c>
      <c r="IP423" s="27" t="s">
        <v>7</v>
      </c>
      <c r="IQ423" s="27" t="s">
        <v>8</v>
      </c>
    </row>
    <row r="424" spans="1:252" x14ac:dyDescent="0.25">
      <c r="A424" s="7">
        <v>25.224815430299277</v>
      </c>
      <c r="B424"/>
      <c r="C424"/>
      <c r="D424"/>
      <c r="E424"/>
      <c r="FO424" s="27" t="s">
        <v>8</v>
      </c>
      <c r="FQ424" s="27" t="s">
        <v>8</v>
      </c>
      <c r="FR424" s="27" t="s">
        <v>7</v>
      </c>
      <c r="FW424" s="27" t="s">
        <v>8</v>
      </c>
      <c r="GU424" s="27" t="s">
        <v>8</v>
      </c>
      <c r="HP424" s="27" t="s">
        <v>7</v>
      </c>
      <c r="IP424" s="27" t="s">
        <v>7</v>
      </c>
      <c r="IQ424" s="27" t="s">
        <v>8</v>
      </c>
    </row>
    <row r="425" spans="1:252" x14ac:dyDescent="0.25">
      <c r="A425" s="7">
        <v>24.73021120617576</v>
      </c>
      <c r="B425"/>
      <c r="C425"/>
      <c r="D425"/>
      <c r="E425"/>
      <c r="FO425" s="27" t="s">
        <v>8</v>
      </c>
      <c r="FP425" s="27" t="s">
        <v>7</v>
      </c>
      <c r="FQ425" s="27" t="s">
        <v>8</v>
      </c>
      <c r="FR425" s="27" t="s">
        <v>7</v>
      </c>
      <c r="FU425" s="27" t="s">
        <v>8</v>
      </c>
      <c r="FW425" s="27" t="s">
        <v>8</v>
      </c>
      <c r="FX425" s="27" t="s">
        <v>7</v>
      </c>
      <c r="GU425" s="27" t="s">
        <v>8</v>
      </c>
      <c r="IP425" s="27" t="s">
        <v>7</v>
      </c>
      <c r="IQ425" s="27" t="s">
        <v>8</v>
      </c>
    </row>
    <row r="426" spans="1:252" x14ac:dyDescent="0.25">
      <c r="A426" s="7">
        <v>24.24530510409388</v>
      </c>
      <c r="B426"/>
      <c r="C426"/>
      <c r="D426"/>
      <c r="E426"/>
      <c r="FO426" s="27" t="s">
        <v>8</v>
      </c>
      <c r="FP426" s="27" t="s">
        <v>7</v>
      </c>
      <c r="FQ426" s="27" t="s">
        <v>8</v>
      </c>
      <c r="FR426" s="27" t="s">
        <v>7</v>
      </c>
      <c r="FS426" s="27" t="s">
        <v>8</v>
      </c>
      <c r="FU426" s="27" t="s">
        <v>8</v>
      </c>
      <c r="FV426" s="27" t="s">
        <v>7</v>
      </c>
      <c r="FW426" s="27" t="s">
        <v>8</v>
      </c>
      <c r="FX426" s="27" t="s">
        <v>7</v>
      </c>
      <c r="GU426" s="27" t="s">
        <v>8</v>
      </c>
      <c r="IP426" s="27" t="s">
        <v>7</v>
      </c>
      <c r="IQ426" s="27" t="s">
        <v>8</v>
      </c>
    </row>
    <row r="427" spans="1:252" x14ac:dyDescent="0.25">
      <c r="A427" s="7">
        <v>23.769906964797922</v>
      </c>
      <c r="B427"/>
      <c r="C427"/>
      <c r="D427"/>
      <c r="E427"/>
      <c r="DY427" s="27" t="s">
        <v>8</v>
      </c>
      <c r="FO427" s="27" t="s">
        <v>8</v>
      </c>
      <c r="FP427" s="27" t="s">
        <v>7</v>
      </c>
      <c r="FQ427" s="27" t="s">
        <v>8</v>
      </c>
      <c r="FR427" s="27" t="s">
        <v>7</v>
      </c>
      <c r="FS427" s="27" t="s">
        <v>8</v>
      </c>
      <c r="FT427" s="27" t="s">
        <v>7</v>
      </c>
      <c r="FU427" s="27" t="s">
        <v>8</v>
      </c>
      <c r="FV427" s="27" t="s">
        <v>7</v>
      </c>
      <c r="FW427" s="27" t="s">
        <v>8</v>
      </c>
      <c r="FX427" s="27" t="s">
        <v>7</v>
      </c>
      <c r="GU427" s="27" t="s">
        <v>8</v>
      </c>
      <c r="IP427" s="27" t="s">
        <v>7</v>
      </c>
      <c r="IQ427" s="27" t="s">
        <v>8</v>
      </c>
    </row>
    <row r="428" spans="1:252" x14ac:dyDescent="0.25">
      <c r="A428" s="7">
        <v>23.303830357645023</v>
      </c>
      <c r="B428"/>
      <c r="C428"/>
      <c r="D428"/>
      <c r="E428"/>
      <c r="DY428" s="27" t="s">
        <v>8</v>
      </c>
      <c r="DZ428" s="27" t="s">
        <v>7</v>
      </c>
      <c r="FM428" s="27" t="s">
        <v>8</v>
      </c>
      <c r="FO428" s="27" t="s">
        <v>8</v>
      </c>
      <c r="FP428" s="27" t="s">
        <v>7</v>
      </c>
      <c r="FQ428" s="27" t="s">
        <v>8</v>
      </c>
      <c r="FR428" s="27" t="s">
        <v>7</v>
      </c>
      <c r="FS428" s="27" t="s">
        <v>8</v>
      </c>
      <c r="FT428" s="27" t="s">
        <v>7</v>
      </c>
      <c r="FU428" s="27" t="s">
        <v>8</v>
      </c>
      <c r="FV428" s="27" t="s">
        <v>7</v>
      </c>
      <c r="FW428" s="27" t="s">
        <v>8</v>
      </c>
      <c r="FX428" s="27" t="s">
        <v>7</v>
      </c>
      <c r="GU428" s="27" t="s">
        <v>8</v>
      </c>
      <c r="IP428" s="27" t="s">
        <v>7</v>
      </c>
      <c r="IQ428" s="27" t="s">
        <v>8</v>
      </c>
    </row>
    <row r="429" spans="1:252" x14ac:dyDescent="0.25">
      <c r="A429" s="7">
        <v>22.84689250749512</v>
      </c>
      <c r="B429"/>
      <c r="C429"/>
      <c r="D429"/>
      <c r="E429"/>
      <c r="DY429" s="27" t="s">
        <v>8</v>
      </c>
      <c r="DZ429" s="27" t="s">
        <v>7</v>
      </c>
      <c r="FM429" s="27" t="s">
        <v>8</v>
      </c>
      <c r="FN429" s="27" t="s">
        <v>7</v>
      </c>
      <c r="FO429" s="27" t="s">
        <v>8</v>
      </c>
      <c r="FP429" s="27" t="s">
        <v>7</v>
      </c>
      <c r="FQ429" s="27" t="s">
        <v>8</v>
      </c>
      <c r="FR429" s="27" t="s">
        <v>7</v>
      </c>
      <c r="FS429" s="27" t="s">
        <v>8</v>
      </c>
      <c r="FT429" s="27" t="s">
        <v>7</v>
      </c>
      <c r="FU429" s="27" t="s">
        <v>8</v>
      </c>
      <c r="FV429" s="27" t="s">
        <v>7</v>
      </c>
      <c r="FW429" s="27" t="s">
        <v>8</v>
      </c>
      <c r="FX429" s="27" t="s">
        <v>7</v>
      </c>
      <c r="GK429" s="27" t="s">
        <v>8</v>
      </c>
      <c r="GQ429" s="27" t="s">
        <v>8</v>
      </c>
      <c r="GS429" s="27" t="s">
        <v>8</v>
      </c>
      <c r="GU429" s="27" t="s">
        <v>8</v>
      </c>
      <c r="IP429" s="27" t="s">
        <v>7</v>
      </c>
      <c r="IQ429" s="27" t="s">
        <v>8</v>
      </c>
    </row>
    <row r="430" spans="1:252" x14ac:dyDescent="0.25">
      <c r="A430" s="7">
        <v>22.398914223034431</v>
      </c>
      <c r="B430"/>
      <c r="C430"/>
      <c r="D430"/>
      <c r="E430"/>
      <c r="DY430" s="27" t="s">
        <v>8</v>
      </c>
      <c r="DZ430" s="27" t="s">
        <v>7</v>
      </c>
      <c r="FM430" s="27" t="s">
        <v>8</v>
      </c>
      <c r="FN430" s="27" t="s">
        <v>7</v>
      </c>
      <c r="FO430" s="27" t="s">
        <v>8</v>
      </c>
      <c r="FP430" s="27" t="s">
        <v>7</v>
      </c>
      <c r="FR430" s="27" t="s">
        <v>7</v>
      </c>
      <c r="FS430" s="27" t="s">
        <v>8</v>
      </c>
      <c r="FT430" s="27" t="s">
        <v>7</v>
      </c>
      <c r="FU430" s="27" t="s">
        <v>8</v>
      </c>
      <c r="FV430" s="27" t="s">
        <v>7</v>
      </c>
      <c r="FX430" s="27" t="s">
        <v>7</v>
      </c>
      <c r="FY430" s="27" t="s">
        <v>8</v>
      </c>
      <c r="GK430" s="27" t="s">
        <v>8</v>
      </c>
      <c r="GL430" s="27" t="s">
        <v>7</v>
      </c>
      <c r="GO430" s="27" t="s">
        <v>8</v>
      </c>
      <c r="GQ430" s="27" t="s">
        <v>8</v>
      </c>
      <c r="GR430" s="27" t="s">
        <v>7</v>
      </c>
      <c r="GS430" s="27" t="s">
        <v>8</v>
      </c>
      <c r="GT430" s="27" t="s">
        <v>7</v>
      </c>
      <c r="GU430" s="27" t="s">
        <v>8</v>
      </c>
      <c r="IP430" s="27" t="s">
        <v>7</v>
      </c>
      <c r="IQ430" s="27" t="s">
        <v>8</v>
      </c>
    </row>
    <row r="431" spans="1:252" x14ac:dyDescent="0.25">
      <c r="A431" s="7">
        <v>21.959719826504344</v>
      </c>
      <c r="B431"/>
      <c r="C431"/>
      <c r="D431"/>
      <c r="E431"/>
      <c r="DY431" s="27" t="s">
        <v>8</v>
      </c>
      <c r="DZ431" s="27" t="s">
        <v>7</v>
      </c>
      <c r="FM431" s="27" t="s">
        <v>8</v>
      </c>
      <c r="FN431" s="27" t="s">
        <v>7</v>
      </c>
      <c r="FO431" s="27" t="s">
        <v>8</v>
      </c>
      <c r="FR431" s="27" t="s">
        <v>7</v>
      </c>
      <c r="FS431" s="27" t="s">
        <v>8</v>
      </c>
      <c r="FT431" s="27" t="s">
        <v>7</v>
      </c>
      <c r="FU431" s="27" t="s">
        <v>8</v>
      </c>
      <c r="FX431" s="27" t="s">
        <v>7</v>
      </c>
      <c r="FY431" s="27" t="s">
        <v>8</v>
      </c>
      <c r="FZ431" s="27" t="s">
        <v>7</v>
      </c>
      <c r="GA431" s="27" t="s">
        <v>8</v>
      </c>
      <c r="GI431" s="27" t="s">
        <v>8</v>
      </c>
      <c r="GK431" s="27" t="s">
        <v>8</v>
      </c>
      <c r="GL431" s="27" t="s">
        <v>7</v>
      </c>
      <c r="GO431" s="27" t="s">
        <v>8</v>
      </c>
      <c r="GP431" s="27" t="s">
        <v>7</v>
      </c>
      <c r="GQ431" s="27" t="s">
        <v>8</v>
      </c>
      <c r="GR431" s="27" t="s">
        <v>7</v>
      </c>
      <c r="GS431" s="27" t="s">
        <v>8</v>
      </c>
      <c r="GT431" s="27" t="s">
        <v>7</v>
      </c>
      <c r="GU431" s="27" t="s">
        <v>8</v>
      </c>
      <c r="IP431" s="27" t="s">
        <v>7</v>
      </c>
      <c r="IQ431" s="27" t="s">
        <v>8</v>
      </c>
    </row>
    <row r="432" spans="1:252" x14ac:dyDescent="0.25">
      <c r="A432" s="7">
        <v>21.52913708480818</v>
      </c>
      <c r="B432"/>
      <c r="C432"/>
      <c r="D432"/>
      <c r="E432"/>
      <c r="DY432" s="27" t="s">
        <v>8</v>
      </c>
      <c r="DZ432" s="27" t="s">
        <v>7</v>
      </c>
      <c r="FM432" s="27" t="s">
        <v>8</v>
      </c>
      <c r="FN432" s="27" t="s">
        <v>7</v>
      </c>
      <c r="FO432" s="27" t="s">
        <v>8</v>
      </c>
      <c r="FR432" s="27" t="s">
        <v>7</v>
      </c>
      <c r="FS432" s="27" t="s">
        <v>8</v>
      </c>
      <c r="FT432" s="27" t="s">
        <v>7</v>
      </c>
      <c r="FU432" s="27" t="s">
        <v>8</v>
      </c>
      <c r="FX432" s="27" t="s">
        <v>7</v>
      </c>
      <c r="FY432" s="27" t="s">
        <v>8</v>
      </c>
      <c r="FZ432" s="27" t="s">
        <v>7</v>
      </c>
      <c r="GA432" s="27" t="s">
        <v>8</v>
      </c>
      <c r="GB432" s="27" t="s">
        <v>7</v>
      </c>
      <c r="GI432" s="27" t="s">
        <v>8</v>
      </c>
      <c r="GJ432" s="27" t="s">
        <v>7</v>
      </c>
      <c r="GK432" s="27" t="s">
        <v>8</v>
      </c>
      <c r="GL432" s="27" t="s">
        <v>7</v>
      </c>
      <c r="GM432" s="27" t="s">
        <v>8</v>
      </c>
      <c r="GO432" s="27" t="s">
        <v>8</v>
      </c>
      <c r="GP432" s="27" t="s">
        <v>7</v>
      </c>
      <c r="GQ432" s="27" t="s">
        <v>8</v>
      </c>
      <c r="GR432" s="27" t="s">
        <v>7</v>
      </c>
      <c r="GS432" s="27" t="s">
        <v>8</v>
      </c>
      <c r="GT432" s="27" t="s">
        <v>7</v>
      </c>
      <c r="GU432" s="27" t="s">
        <v>8</v>
      </c>
      <c r="IP432" s="27" t="s">
        <v>7</v>
      </c>
      <c r="IQ432" s="27" t="s">
        <v>8</v>
      </c>
    </row>
    <row r="433" spans="1:251" x14ac:dyDescent="0.25">
      <c r="A433" s="7">
        <v>21.106997141968804</v>
      </c>
      <c r="B433"/>
      <c r="C433"/>
      <c r="D433"/>
      <c r="E433"/>
      <c r="CU433" s="27" t="s">
        <v>8</v>
      </c>
      <c r="DY433" s="27" t="s">
        <v>8</v>
      </c>
      <c r="DZ433" s="27" t="s">
        <v>7</v>
      </c>
      <c r="FM433" s="27" t="s">
        <v>8</v>
      </c>
      <c r="FN433" s="27" t="s">
        <v>7</v>
      </c>
      <c r="FO433" s="27" t="s">
        <v>8</v>
      </c>
      <c r="FR433" s="27" t="s">
        <v>7</v>
      </c>
      <c r="FS433" s="27" t="s">
        <v>8</v>
      </c>
      <c r="FT433" s="27" t="s">
        <v>7</v>
      </c>
      <c r="FU433" s="27" t="s">
        <v>8</v>
      </c>
      <c r="FX433" s="27" t="s">
        <v>7</v>
      </c>
      <c r="FY433" s="27" t="s">
        <v>8</v>
      </c>
      <c r="FZ433" s="27" t="s">
        <v>7</v>
      </c>
      <c r="GA433" s="27" t="s">
        <v>8</v>
      </c>
      <c r="GB433" s="27" t="s">
        <v>7</v>
      </c>
      <c r="GI433" s="27" t="s">
        <v>8</v>
      </c>
      <c r="GJ433" s="27" t="s">
        <v>7</v>
      </c>
      <c r="GK433" s="27" t="s">
        <v>8</v>
      </c>
      <c r="GL433" s="27" t="s">
        <v>7</v>
      </c>
      <c r="GM433" s="27" t="s">
        <v>8</v>
      </c>
      <c r="GN433" s="27" t="s">
        <v>7</v>
      </c>
      <c r="GO433" s="27" t="s">
        <v>8</v>
      </c>
      <c r="GP433" s="27" t="s">
        <v>7</v>
      </c>
      <c r="GQ433" s="27" t="s">
        <v>8</v>
      </c>
      <c r="GR433" s="27" t="s">
        <v>7</v>
      </c>
      <c r="GT433" s="27" t="s">
        <v>7</v>
      </c>
      <c r="GU433" s="27" t="s">
        <v>8</v>
      </c>
      <c r="IP433" s="27" t="s">
        <v>7</v>
      </c>
      <c r="IQ433" s="27" t="s">
        <v>8</v>
      </c>
    </row>
    <row r="434" spans="1:251" x14ac:dyDescent="0.25">
      <c r="A434" s="7">
        <v>20.693134452910591</v>
      </c>
      <c r="B434"/>
      <c r="C434"/>
      <c r="D434"/>
      <c r="E434"/>
      <c r="CU434" s="27" t="s">
        <v>8</v>
      </c>
      <c r="CV434" s="27" t="s">
        <v>7</v>
      </c>
      <c r="DY434" s="27" t="s">
        <v>8</v>
      </c>
      <c r="DZ434" s="27" t="s">
        <v>7</v>
      </c>
      <c r="FM434" s="27" t="s">
        <v>8</v>
      </c>
      <c r="FN434" s="27" t="s">
        <v>7</v>
      </c>
      <c r="FO434" s="27" t="s">
        <v>8</v>
      </c>
      <c r="FR434" s="27" t="s">
        <v>7</v>
      </c>
      <c r="FS434" s="27" t="s">
        <v>8</v>
      </c>
      <c r="FT434" s="27" t="s">
        <v>7</v>
      </c>
      <c r="FX434" s="27" t="s">
        <v>7</v>
      </c>
      <c r="FY434" s="27" t="s">
        <v>8</v>
      </c>
      <c r="FZ434" s="27" t="s">
        <v>7</v>
      </c>
      <c r="GA434" s="27" t="s">
        <v>8</v>
      </c>
      <c r="GB434" s="27" t="s">
        <v>7</v>
      </c>
      <c r="GC434" s="27" t="s">
        <v>8</v>
      </c>
      <c r="GI434" s="27" t="s">
        <v>8</v>
      </c>
      <c r="GJ434" s="27" t="s">
        <v>7</v>
      </c>
      <c r="GK434" s="27" t="s">
        <v>8</v>
      </c>
      <c r="GL434" s="27" t="s">
        <v>7</v>
      </c>
      <c r="GM434" s="27" t="s">
        <v>8</v>
      </c>
      <c r="GN434" s="27" t="s">
        <v>7</v>
      </c>
      <c r="GO434" s="27" t="s">
        <v>8</v>
      </c>
      <c r="GP434" s="27" t="s">
        <v>7</v>
      </c>
      <c r="GT434" s="27" t="s">
        <v>7</v>
      </c>
      <c r="IP434" s="27" t="s">
        <v>7</v>
      </c>
      <c r="IQ434" s="27" t="s">
        <v>8</v>
      </c>
    </row>
    <row r="435" spans="1:251" x14ac:dyDescent="0.25">
      <c r="A435" s="7">
        <v>20.287386718539796</v>
      </c>
      <c r="B435"/>
      <c r="C435"/>
      <c r="D435"/>
      <c r="E435"/>
      <c r="CU435" s="27" t="s">
        <v>8</v>
      </c>
      <c r="CV435" s="27" t="s">
        <v>7</v>
      </c>
      <c r="DY435" s="27" t="s">
        <v>8</v>
      </c>
      <c r="DZ435" s="27" t="s">
        <v>7</v>
      </c>
      <c r="FM435" s="27" t="s">
        <v>8</v>
      </c>
      <c r="FN435" s="27" t="s">
        <v>7</v>
      </c>
      <c r="FO435" s="27" t="s">
        <v>8</v>
      </c>
      <c r="FR435" s="27" t="s">
        <v>7</v>
      </c>
      <c r="FS435" s="27" t="s">
        <v>8</v>
      </c>
      <c r="FX435" s="27" t="s">
        <v>7</v>
      </c>
      <c r="FY435" s="27" t="s">
        <v>8</v>
      </c>
      <c r="FZ435" s="27" t="s">
        <v>7</v>
      </c>
      <c r="GA435" s="27" t="s">
        <v>8</v>
      </c>
      <c r="GB435" s="27" t="s">
        <v>7</v>
      </c>
      <c r="GC435" s="27" t="s">
        <v>8</v>
      </c>
      <c r="GD435" s="27" t="s">
        <v>7</v>
      </c>
      <c r="GI435" s="27" t="s">
        <v>8</v>
      </c>
      <c r="GJ435" s="27" t="s">
        <v>7</v>
      </c>
      <c r="GK435" s="27" t="s">
        <v>8</v>
      </c>
      <c r="GL435" s="27" t="s">
        <v>7</v>
      </c>
      <c r="GN435" s="27" t="s">
        <v>7</v>
      </c>
      <c r="GO435" s="27" t="s">
        <v>8</v>
      </c>
      <c r="IP435" s="27" t="s">
        <v>7</v>
      </c>
      <c r="IQ435" s="27" t="s">
        <v>8</v>
      </c>
    </row>
    <row r="436" spans="1:251" x14ac:dyDescent="0.25">
      <c r="A436" s="7">
        <v>19.889594822097838</v>
      </c>
      <c r="B436"/>
      <c r="C436"/>
      <c r="D436"/>
      <c r="E436"/>
      <c r="CU436" s="27" t="s">
        <v>8</v>
      </c>
      <c r="CV436" s="27" t="s">
        <v>7</v>
      </c>
      <c r="DI436" s="27" t="s">
        <v>8</v>
      </c>
      <c r="DY436" s="27" t="s">
        <v>8</v>
      </c>
      <c r="DZ436" s="27" t="s">
        <v>7</v>
      </c>
      <c r="FM436" s="27" t="s">
        <v>8</v>
      </c>
      <c r="FN436" s="27" t="s">
        <v>7</v>
      </c>
      <c r="FO436" s="27" t="s">
        <v>8</v>
      </c>
      <c r="FR436" s="27" t="s">
        <v>7</v>
      </c>
      <c r="FX436" s="27" t="s">
        <v>7</v>
      </c>
      <c r="FY436" s="27" t="s">
        <v>8</v>
      </c>
      <c r="FZ436" s="27" t="s">
        <v>7</v>
      </c>
      <c r="GA436" s="27" t="s">
        <v>8</v>
      </c>
      <c r="GB436" s="27" t="s">
        <v>7</v>
      </c>
      <c r="GC436" s="27" t="s">
        <v>8</v>
      </c>
      <c r="GD436" s="27" t="s">
        <v>7</v>
      </c>
      <c r="GI436" s="27" t="s">
        <v>8</v>
      </c>
      <c r="GJ436" s="27" t="s">
        <v>7</v>
      </c>
      <c r="GN436" s="27" t="s">
        <v>7</v>
      </c>
      <c r="GO436" s="27" t="s">
        <v>8</v>
      </c>
      <c r="IP436" s="27" t="s">
        <v>7</v>
      </c>
    </row>
    <row r="437" spans="1:251" x14ac:dyDescent="0.25">
      <c r="A437" s="7">
        <v>19.499602766762585</v>
      </c>
      <c r="B437"/>
      <c r="C437"/>
      <c r="D437"/>
      <c r="E437"/>
      <c r="CU437" s="27" t="s">
        <v>8</v>
      </c>
      <c r="CV437" s="27" t="s">
        <v>7</v>
      </c>
      <c r="DI437" s="27" t="s">
        <v>8</v>
      </c>
      <c r="DJ437" s="27" t="s">
        <v>7</v>
      </c>
      <c r="DY437" s="27" t="s">
        <v>8</v>
      </c>
      <c r="DZ437" s="27" t="s">
        <v>7</v>
      </c>
      <c r="FI437" s="27" t="s">
        <v>8</v>
      </c>
      <c r="FM437" s="27" t="s">
        <v>8</v>
      </c>
      <c r="FN437" s="27" t="s">
        <v>7</v>
      </c>
      <c r="FO437" s="27" t="s">
        <v>8</v>
      </c>
      <c r="FX437" s="27" t="s">
        <v>7</v>
      </c>
      <c r="FY437" s="27" t="s">
        <v>8</v>
      </c>
      <c r="FZ437" s="27" t="s">
        <v>7</v>
      </c>
      <c r="GA437" s="27" t="s">
        <v>8</v>
      </c>
      <c r="GB437" s="27" t="s">
        <v>7</v>
      </c>
      <c r="GC437" s="27" t="s">
        <v>8</v>
      </c>
      <c r="GD437" s="27" t="s">
        <v>7</v>
      </c>
      <c r="GI437" s="27" t="s">
        <v>8</v>
      </c>
      <c r="GN437" s="27" t="s">
        <v>7</v>
      </c>
      <c r="GO437" s="27" t="s">
        <v>8</v>
      </c>
    </row>
    <row r="438" spans="1:251" x14ac:dyDescent="0.25">
      <c r="A438" s="7">
        <v>19.117257614473122</v>
      </c>
      <c r="B438"/>
      <c r="C438"/>
      <c r="D438"/>
      <c r="E438"/>
      <c r="CU438" s="27" t="s">
        <v>8</v>
      </c>
      <c r="CV438" s="27" t="s">
        <v>7</v>
      </c>
      <c r="DI438" s="27" t="s">
        <v>8</v>
      </c>
      <c r="DJ438" s="27" t="s">
        <v>7</v>
      </c>
      <c r="DK438" s="27" t="s">
        <v>8</v>
      </c>
      <c r="DS438" s="27" t="s">
        <v>8</v>
      </c>
      <c r="DY438" s="27" t="s">
        <v>8</v>
      </c>
      <c r="DZ438" s="27" t="s">
        <v>7</v>
      </c>
      <c r="FI438" s="27" t="s">
        <v>8</v>
      </c>
      <c r="FJ438" s="27" t="s">
        <v>7</v>
      </c>
      <c r="FM438" s="27" t="s">
        <v>8</v>
      </c>
      <c r="FN438" s="27" t="s">
        <v>7</v>
      </c>
      <c r="FO438" s="27" t="s">
        <v>8</v>
      </c>
      <c r="FX438" s="27" t="s">
        <v>7</v>
      </c>
      <c r="FY438" s="27" t="s">
        <v>8</v>
      </c>
      <c r="FZ438" s="27" t="s">
        <v>7</v>
      </c>
      <c r="GB438" s="27" t="s">
        <v>7</v>
      </c>
      <c r="GD438" s="27" t="s">
        <v>7</v>
      </c>
      <c r="GE438" s="27" t="s">
        <v>8</v>
      </c>
      <c r="GI438" s="27" t="s">
        <v>8</v>
      </c>
      <c r="GN438" s="27" t="s">
        <v>7</v>
      </c>
      <c r="GO438" s="27" t="s">
        <v>8</v>
      </c>
    </row>
    <row r="439" spans="1:251" x14ac:dyDescent="0.25">
      <c r="A439" s="7">
        <v>18.74240942595404</v>
      </c>
      <c r="B439"/>
      <c r="C439"/>
      <c r="D439"/>
      <c r="E439"/>
      <c r="CS439" s="27" t="s">
        <v>8</v>
      </c>
      <c r="CU439" s="27" t="s">
        <v>8</v>
      </c>
      <c r="CV439" s="27" t="s">
        <v>7</v>
      </c>
      <c r="DE439" s="27" t="s">
        <v>8</v>
      </c>
      <c r="DI439" s="27" t="s">
        <v>8</v>
      </c>
      <c r="DJ439" s="27" t="s">
        <v>7</v>
      </c>
      <c r="DK439" s="27" t="s">
        <v>8</v>
      </c>
      <c r="DL439" s="27" t="s">
        <v>7</v>
      </c>
      <c r="DS439" s="27" t="s">
        <v>8</v>
      </c>
      <c r="DT439" s="27" t="s">
        <v>7</v>
      </c>
      <c r="DY439" s="27" t="s">
        <v>8</v>
      </c>
      <c r="DZ439" s="27" t="s">
        <v>7</v>
      </c>
      <c r="FI439" s="27" t="s">
        <v>8</v>
      </c>
      <c r="FJ439" s="27" t="s">
        <v>7</v>
      </c>
      <c r="FM439" s="27" t="s">
        <v>8</v>
      </c>
      <c r="FN439" s="27" t="s">
        <v>7</v>
      </c>
      <c r="FO439" s="27" t="s">
        <v>8</v>
      </c>
      <c r="FX439" s="27" t="s">
        <v>7</v>
      </c>
      <c r="FY439" s="27" t="s">
        <v>8</v>
      </c>
      <c r="GD439" s="27" t="s">
        <v>7</v>
      </c>
      <c r="GE439" s="27" t="s">
        <v>8</v>
      </c>
      <c r="GF439" s="27" t="s">
        <v>7</v>
      </c>
      <c r="GG439" s="27" t="s">
        <v>8</v>
      </c>
      <c r="GI439" s="27" t="s">
        <v>8</v>
      </c>
      <c r="GN439" s="27" t="s">
        <v>7</v>
      </c>
      <c r="GO439" s="27" t="s">
        <v>8</v>
      </c>
    </row>
    <row r="440" spans="1:251" x14ac:dyDescent="0.25">
      <c r="A440" s="7">
        <v>18.374911201915726</v>
      </c>
      <c r="B440"/>
      <c r="C440"/>
      <c r="D440"/>
      <c r="E440"/>
      <c r="CS440" s="27" t="s">
        <v>8</v>
      </c>
      <c r="CT440" s="27" t="s">
        <v>7</v>
      </c>
      <c r="CU440" s="27" t="s">
        <v>8</v>
      </c>
      <c r="CV440" s="27" t="s">
        <v>7</v>
      </c>
      <c r="DE440" s="27" t="s">
        <v>8</v>
      </c>
      <c r="DF440" s="27" t="s">
        <v>7</v>
      </c>
      <c r="DI440" s="27" t="s">
        <v>8</v>
      </c>
      <c r="DJ440" s="27" t="s">
        <v>7</v>
      </c>
      <c r="DK440" s="27" t="s">
        <v>8</v>
      </c>
      <c r="DL440" s="27" t="s">
        <v>7</v>
      </c>
      <c r="DM440" s="27" t="s">
        <v>8</v>
      </c>
      <c r="DS440" s="27" t="s">
        <v>8</v>
      </c>
      <c r="DT440" s="27" t="s">
        <v>7</v>
      </c>
      <c r="DY440" s="27" t="s">
        <v>8</v>
      </c>
      <c r="DZ440" s="27" t="s">
        <v>7</v>
      </c>
      <c r="FI440" s="27" t="s">
        <v>8</v>
      </c>
      <c r="FJ440" s="27" t="s">
        <v>7</v>
      </c>
      <c r="FM440" s="27" t="s">
        <v>8</v>
      </c>
      <c r="FN440" s="27" t="s">
        <v>7</v>
      </c>
      <c r="FX440" s="27" t="s">
        <v>7</v>
      </c>
      <c r="FY440" s="27" t="s">
        <v>8</v>
      </c>
      <c r="GD440" s="27" t="s">
        <v>7</v>
      </c>
      <c r="GE440" s="27" t="s">
        <v>8</v>
      </c>
      <c r="GF440" s="27" t="s">
        <v>7</v>
      </c>
      <c r="GG440" s="27" t="s">
        <v>8</v>
      </c>
      <c r="GH440" s="27" t="s">
        <v>7</v>
      </c>
      <c r="GI440" s="27" t="s">
        <v>8</v>
      </c>
      <c r="GN440" s="27" t="s">
        <v>7</v>
      </c>
      <c r="GO440" s="27" t="s">
        <v>8</v>
      </c>
    </row>
    <row r="441" spans="1:251" x14ac:dyDescent="0.25">
      <c r="A441" s="7">
        <v>18.014618825407574</v>
      </c>
      <c r="B441"/>
      <c r="C441"/>
      <c r="D441"/>
      <c r="E441"/>
      <c r="CS441" s="27" t="s">
        <v>8</v>
      </c>
      <c r="CT441" s="27" t="s">
        <v>7</v>
      </c>
      <c r="CU441" s="27" t="s">
        <v>8</v>
      </c>
      <c r="CV441" s="27" t="s">
        <v>7</v>
      </c>
      <c r="CW441" s="27" t="s">
        <v>8</v>
      </c>
      <c r="DE441" s="27" t="s">
        <v>8</v>
      </c>
      <c r="DF441" s="27" t="s">
        <v>7</v>
      </c>
      <c r="DI441" s="27" t="s">
        <v>8</v>
      </c>
      <c r="DJ441" s="27" t="s">
        <v>7</v>
      </c>
      <c r="DK441" s="27" t="s">
        <v>8</v>
      </c>
      <c r="DL441" s="27" t="s">
        <v>7</v>
      </c>
      <c r="DM441" s="27" t="s">
        <v>8</v>
      </c>
      <c r="DN441" s="27" t="s">
        <v>7</v>
      </c>
      <c r="DS441" s="27" t="s">
        <v>8</v>
      </c>
      <c r="DT441" s="27" t="s">
        <v>7</v>
      </c>
      <c r="DY441" s="27" t="s">
        <v>8</v>
      </c>
      <c r="DZ441" s="27" t="s">
        <v>7</v>
      </c>
      <c r="FI441" s="27" t="s">
        <v>8</v>
      </c>
      <c r="FJ441" s="27" t="s">
        <v>7</v>
      </c>
      <c r="FM441" s="27" t="s">
        <v>8</v>
      </c>
      <c r="FX441" s="27" t="s">
        <v>7</v>
      </c>
      <c r="FY441" s="27" t="s">
        <v>8</v>
      </c>
      <c r="GD441" s="27" t="s">
        <v>7</v>
      </c>
      <c r="GE441" s="27" t="s">
        <v>8</v>
      </c>
      <c r="GF441" s="27" t="s">
        <v>7</v>
      </c>
      <c r="GG441" s="27" t="s">
        <v>8</v>
      </c>
      <c r="GH441" s="27" t="s">
        <v>7</v>
      </c>
      <c r="GI441" s="27" t="s">
        <v>8</v>
      </c>
      <c r="GN441" s="27" t="s">
        <v>7</v>
      </c>
    </row>
    <row r="442" spans="1:251" x14ac:dyDescent="0.25">
      <c r="A442" s="7">
        <v>17.661391005301542</v>
      </c>
      <c r="B442"/>
      <c r="C442"/>
      <c r="D442"/>
      <c r="E442"/>
      <c r="CS442" s="27" t="s">
        <v>8</v>
      </c>
      <c r="CT442" s="27" t="s">
        <v>7</v>
      </c>
      <c r="CU442" s="27" t="s">
        <v>8</v>
      </c>
      <c r="CV442" s="27" t="s">
        <v>7</v>
      </c>
      <c r="CW442" s="27" t="s">
        <v>8</v>
      </c>
      <c r="CX442" s="27" t="s">
        <v>7</v>
      </c>
      <c r="DE442" s="27" t="s">
        <v>8</v>
      </c>
      <c r="DF442" s="27" t="s">
        <v>7</v>
      </c>
      <c r="DI442" s="27" t="s">
        <v>8</v>
      </c>
      <c r="DJ442" s="27" t="s">
        <v>7</v>
      </c>
      <c r="DK442" s="27" t="s">
        <v>8</v>
      </c>
      <c r="DL442" s="27" t="s">
        <v>7</v>
      </c>
      <c r="DM442" s="27" t="s">
        <v>8</v>
      </c>
      <c r="DN442" s="27" t="s">
        <v>7</v>
      </c>
      <c r="DS442" s="27" t="s">
        <v>8</v>
      </c>
      <c r="DT442" s="27" t="s">
        <v>7</v>
      </c>
      <c r="DY442" s="27" t="s">
        <v>8</v>
      </c>
      <c r="DZ442" s="27" t="s">
        <v>7</v>
      </c>
      <c r="FI442" s="27" t="s">
        <v>8</v>
      </c>
      <c r="FJ442" s="27" t="s">
        <v>7</v>
      </c>
      <c r="FM442" s="27" t="s">
        <v>8</v>
      </c>
      <c r="FX442" s="27" t="s">
        <v>7</v>
      </c>
      <c r="FY442" s="27" t="s">
        <v>8</v>
      </c>
      <c r="GD442" s="27" t="s">
        <v>7</v>
      </c>
      <c r="GE442" s="27" t="s">
        <v>8</v>
      </c>
      <c r="GF442" s="27" t="s">
        <v>7</v>
      </c>
      <c r="GG442" s="27" t="s">
        <v>8</v>
      </c>
      <c r="GH442" s="27" t="s">
        <v>7</v>
      </c>
      <c r="GI442" s="27" t="s">
        <v>8</v>
      </c>
    </row>
    <row r="443" spans="1:251" x14ac:dyDescent="0.25">
      <c r="A443" s="7">
        <v>17.315089220883866</v>
      </c>
      <c r="B443"/>
      <c r="C443"/>
      <c r="D443"/>
      <c r="E443"/>
      <c r="CS443" s="27" t="s">
        <v>8</v>
      </c>
      <c r="CT443" s="27" t="s">
        <v>7</v>
      </c>
      <c r="CU443" s="27" t="s">
        <v>8</v>
      </c>
      <c r="CV443" s="27" t="s">
        <v>7</v>
      </c>
      <c r="CW443" s="27" t="s">
        <v>8</v>
      </c>
      <c r="CX443" s="27" t="s">
        <v>7</v>
      </c>
      <c r="DE443" s="27" t="s">
        <v>8</v>
      </c>
      <c r="DF443" s="27" t="s">
        <v>7</v>
      </c>
      <c r="DG443" s="27" t="s">
        <v>8</v>
      </c>
      <c r="DI443" s="27" t="s">
        <v>8</v>
      </c>
      <c r="DJ443" s="27" t="s">
        <v>7</v>
      </c>
      <c r="DK443" s="27" t="s">
        <v>8</v>
      </c>
      <c r="DL443" s="27" t="s">
        <v>7</v>
      </c>
      <c r="DM443" s="27" t="s">
        <v>8</v>
      </c>
      <c r="DN443" s="27" t="s">
        <v>7</v>
      </c>
      <c r="DO443" s="27" t="s">
        <v>8</v>
      </c>
      <c r="DS443" s="27" t="s">
        <v>8</v>
      </c>
      <c r="DT443" s="27" t="s">
        <v>7</v>
      </c>
      <c r="DY443" s="27" t="s">
        <v>8</v>
      </c>
      <c r="DZ443" s="27" t="s">
        <v>7</v>
      </c>
      <c r="FI443" s="27" t="s">
        <v>8</v>
      </c>
      <c r="FJ443" s="27" t="s">
        <v>7</v>
      </c>
      <c r="FK443" s="27" t="s">
        <v>8</v>
      </c>
      <c r="FM443" s="27" t="s">
        <v>8</v>
      </c>
      <c r="FX443" s="27" t="s">
        <v>7</v>
      </c>
      <c r="GD443" s="27" t="s">
        <v>7</v>
      </c>
      <c r="GE443" s="27" t="s">
        <v>8</v>
      </c>
      <c r="GF443" s="27" t="s">
        <v>7</v>
      </c>
      <c r="GG443" s="27" t="s">
        <v>8</v>
      </c>
      <c r="GH443" s="27" t="s">
        <v>7</v>
      </c>
      <c r="GI443" s="27" t="s">
        <v>8</v>
      </c>
    </row>
    <row r="444" spans="1:251" x14ac:dyDescent="0.25">
      <c r="A444" s="7">
        <v>16.975577667533202</v>
      </c>
      <c r="B444"/>
      <c r="C444"/>
      <c r="D444"/>
      <c r="E444"/>
      <c r="CS444" s="27" t="s">
        <v>8</v>
      </c>
      <c r="CT444" s="27" t="s">
        <v>7</v>
      </c>
      <c r="CU444" s="27" t="s">
        <v>8</v>
      </c>
      <c r="CV444" s="27" t="s">
        <v>7</v>
      </c>
      <c r="CW444" s="27" t="s">
        <v>8</v>
      </c>
      <c r="CX444" s="27" t="s">
        <v>7</v>
      </c>
      <c r="DA444" s="27" t="s">
        <v>8</v>
      </c>
      <c r="DE444" s="27" t="s">
        <v>8</v>
      </c>
      <c r="DF444" s="27" t="s">
        <v>7</v>
      </c>
      <c r="DG444" s="27" t="s">
        <v>8</v>
      </c>
      <c r="DH444" s="27" t="s">
        <v>7</v>
      </c>
      <c r="DI444" s="27" t="s">
        <v>8</v>
      </c>
      <c r="DJ444" s="27" t="s">
        <v>7</v>
      </c>
      <c r="DK444" s="27" t="s">
        <v>8</v>
      </c>
      <c r="DL444" s="27" t="s">
        <v>7</v>
      </c>
      <c r="DN444" s="27" t="s">
        <v>7</v>
      </c>
      <c r="DO444" s="27" t="s">
        <v>8</v>
      </c>
      <c r="DP444" s="27" t="s">
        <v>7</v>
      </c>
      <c r="DS444" s="27" t="s">
        <v>8</v>
      </c>
      <c r="DT444" s="27" t="s">
        <v>7</v>
      </c>
      <c r="DY444" s="27" t="s">
        <v>8</v>
      </c>
      <c r="DZ444" s="27" t="s">
        <v>7</v>
      </c>
      <c r="FI444" s="27" t="s">
        <v>8</v>
      </c>
      <c r="FJ444" s="27" t="s">
        <v>7</v>
      </c>
      <c r="FK444" s="27" t="s">
        <v>8</v>
      </c>
      <c r="FL444" s="27" t="s">
        <v>7</v>
      </c>
      <c r="FM444" s="27" t="s">
        <v>8</v>
      </c>
      <c r="GD444" s="27" t="s">
        <v>7</v>
      </c>
      <c r="GE444" s="27" t="s">
        <v>8</v>
      </c>
      <c r="GF444" s="27" t="s">
        <v>7</v>
      </c>
      <c r="GG444" s="27" t="s">
        <v>8</v>
      </c>
      <c r="GH444" s="27" t="s">
        <v>7</v>
      </c>
      <c r="GI444" s="27" t="s">
        <v>8</v>
      </c>
    </row>
    <row r="445" spans="1:251" x14ac:dyDescent="0.25">
      <c r="A445" s="7">
        <v>16.642723203463923</v>
      </c>
      <c r="B445"/>
      <c r="C445"/>
      <c r="D445"/>
      <c r="E445"/>
      <c r="CS445" s="27" t="s">
        <v>8</v>
      </c>
      <c r="CT445" s="27" t="s">
        <v>7</v>
      </c>
      <c r="CU445" s="27" t="s">
        <v>8</v>
      </c>
      <c r="CV445" s="27" t="s">
        <v>7</v>
      </c>
      <c r="CW445" s="27" t="s">
        <v>8</v>
      </c>
      <c r="CX445" s="27" t="s">
        <v>7</v>
      </c>
      <c r="DA445" s="27" t="s">
        <v>8</v>
      </c>
      <c r="DB445" s="27" t="s">
        <v>7</v>
      </c>
      <c r="DE445" s="27" t="s">
        <v>8</v>
      </c>
      <c r="DF445" s="27" t="s">
        <v>7</v>
      </c>
      <c r="DG445" s="27" t="s">
        <v>8</v>
      </c>
      <c r="DH445" s="27" t="s">
        <v>7</v>
      </c>
      <c r="DI445" s="27" t="s">
        <v>8</v>
      </c>
      <c r="DJ445" s="27" t="s">
        <v>7</v>
      </c>
      <c r="DN445" s="27" t="s">
        <v>7</v>
      </c>
      <c r="DO445" s="27" t="s">
        <v>8</v>
      </c>
      <c r="DP445" s="27" t="s">
        <v>7</v>
      </c>
      <c r="DS445" s="27" t="s">
        <v>8</v>
      </c>
      <c r="DT445" s="27" t="s">
        <v>7</v>
      </c>
      <c r="DY445" s="27" t="s">
        <v>8</v>
      </c>
      <c r="DZ445" s="27" t="s">
        <v>7</v>
      </c>
      <c r="EA445" s="27" t="s">
        <v>8</v>
      </c>
      <c r="FI445" s="27" t="s">
        <v>8</v>
      </c>
      <c r="FJ445" s="27" t="s">
        <v>7</v>
      </c>
      <c r="FK445" s="27" t="s">
        <v>8</v>
      </c>
      <c r="FL445" s="27" t="s">
        <v>7</v>
      </c>
      <c r="FM445" s="27" t="s">
        <v>8</v>
      </c>
      <c r="GD445" s="27" t="s">
        <v>7</v>
      </c>
      <c r="GF445" s="27" t="s">
        <v>7</v>
      </c>
      <c r="GG445" s="27" t="s">
        <v>8</v>
      </c>
      <c r="GH445" s="27" t="s">
        <v>7</v>
      </c>
    </row>
    <row r="446" spans="1:251" x14ac:dyDescent="0.25">
      <c r="A446" s="7">
        <v>16.316395297513651</v>
      </c>
      <c r="B446"/>
      <c r="C446"/>
      <c r="D446"/>
      <c r="E446"/>
      <c r="CS446" s="27" t="s">
        <v>8</v>
      </c>
      <c r="CT446" s="27" t="s">
        <v>7</v>
      </c>
      <c r="CU446" s="27" t="s">
        <v>8</v>
      </c>
      <c r="CV446" s="27" t="s">
        <v>7</v>
      </c>
      <c r="CW446" s="27" t="s">
        <v>8</v>
      </c>
      <c r="CX446" s="27" t="s">
        <v>7</v>
      </c>
      <c r="DA446" s="27" t="s">
        <v>8</v>
      </c>
      <c r="DB446" s="27" t="s">
        <v>7</v>
      </c>
      <c r="DE446" s="27" t="s">
        <v>8</v>
      </c>
      <c r="DF446" s="27" t="s">
        <v>7</v>
      </c>
      <c r="DG446" s="27" t="s">
        <v>8</v>
      </c>
      <c r="DH446" s="27" t="s">
        <v>7</v>
      </c>
      <c r="DN446" s="27" t="s">
        <v>7</v>
      </c>
      <c r="DO446" s="27" t="s">
        <v>8</v>
      </c>
      <c r="DP446" s="27" t="s">
        <v>7</v>
      </c>
      <c r="DS446" s="27" t="s">
        <v>8</v>
      </c>
      <c r="DT446" s="27" t="s">
        <v>7</v>
      </c>
      <c r="DU446" s="27" t="s">
        <v>8</v>
      </c>
      <c r="DY446" s="27" t="s">
        <v>8</v>
      </c>
      <c r="DZ446" s="27" t="s">
        <v>7</v>
      </c>
      <c r="EA446" s="27" t="s">
        <v>8</v>
      </c>
      <c r="EB446" s="27" t="s">
        <v>7</v>
      </c>
      <c r="FI446" s="27" t="s">
        <v>8</v>
      </c>
      <c r="FJ446" s="27" t="s">
        <v>7</v>
      </c>
      <c r="FK446" s="27" t="s">
        <v>8</v>
      </c>
      <c r="FL446" s="27" t="s">
        <v>7</v>
      </c>
      <c r="FM446" s="27" t="s">
        <v>8</v>
      </c>
      <c r="GF446" s="27" t="s">
        <v>7</v>
      </c>
    </row>
    <row r="447" spans="1:251" x14ac:dyDescent="0.25">
      <c r="A447" s="7">
        <v>15.996465977954561</v>
      </c>
      <c r="B447"/>
      <c r="C447"/>
      <c r="D447"/>
      <c r="E447"/>
      <c r="CS447" s="27" t="s">
        <v>8</v>
      </c>
      <c r="CT447" s="27" t="s">
        <v>7</v>
      </c>
      <c r="CU447" s="27" t="s">
        <v>8</v>
      </c>
      <c r="CV447" s="27" t="s">
        <v>7</v>
      </c>
      <c r="CW447" s="27" t="s">
        <v>8</v>
      </c>
      <c r="CX447" s="27" t="s">
        <v>7</v>
      </c>
      <c r="DA447" s="27" t="s">
        <v>8</v>
      </c>
      <c r="DB447" s="27" t="s">
        <v>7</v>
      </c>
      <c r="DE447" s="27" t="s">
        <v>8</v>
      </c>
      <c r="DF447" s="27" t="s">
        <v>7</v>
      </c>
      <c r="DN447" s="27" t="s">
        <v>7</v>
      </c>
      <c r="DO447" s="27" t="s">
        <v>8</v>
      </c>
      <c r="DP447" s="27" t="s">
        <v>7</v>
      </c>
      <c r="DQ447" s="27" t="s">
        <v>8</v>
      </c>
      <c r="DS447" s="27" t="s">
        <v>8</v>
      </c>
      <c r="DT447" s="27" t="s">
        <v>7</v>
      </c>
      <c r="DU447" s="27" t="s">
        <v>8</v>
      </c>
      <c r="DV447" s="27" t="s">
        <v>7</v>
      </c>
      <c r="DY447" s="27" t="s">
        <v>8</v>
      </c>
      <c r="DZ447" s="27" t="s">
        <v>7</v>
      </c>
      <c r="EA447" s="27" t="s">
        <v>8</v>
      </c>
      <c r="EB447" s="27" t="s">
        <v>7</v>
      </c>
      <c r="EC447" s="27" t="s">
        <v>8</v>
      </c>
      <c r="FI447" s="27" t="s">
        <v>8</v>
      </c>
      <c r="FJ447" s="27" t="s">
        <v>7</v>
      </c>
      <c r="FK447" s="27" t="s">
        <v>8</v>
      </c>
      <c r="FL447" s="27" t="s">
        <v>7</v>
      </c>
    </row>
    <row r="448" spans="1:251" x14ac:dyDescent="0.25">
      <c r="A448" s="7">
        <v>15.682809782308393</v>
      </c>
      <c r="B448"/>
      <c r="C448"/>
      <c r="D448"/>
      <c r="E448"/>
      <c r="CS448" s="27" t="s">
        <v>8</v>
      </c>
      <c r="CT448" s="27" t="s">
        <v>7</v>
      </c>
      <c r="CU448" s="27" t="s">
        <v>8</v>
      </c>
      <c r="CV448" s="27" t="s">
        <v>7</v>
      </c>
      <c r="CW448" s="27" t="s">
        <v>8</v>
      </c>
      <c r="CX448" s="27" t="s">
        <v>7</v>
      </c>
      <c r="CY448" s="27" t="s">
        <v>8</v>
      </c>
      <c r="DA448" s="27" t="s">
        <v>8</v>
      </c>
      <c r="DB448" s="27" t="s">
        <v>7</v>
      </c>
      <c r="DE448" s="27" t="s">
        <v>8</v>
      </c>
      <c r="DN448" s="27" t="s">
        <v>7</v>
      </c>
      <c r="DP448" s="27" t="s">
        <v>7</v>
      </c>
      <c r="DQ448" s="27" t="s">
        <v>8</v>
      </c>
      <c r="DR448" s="27" t="s">
        <v>7</v>
      </c>
      <c r="DS448" s="27" t="s">
        <v>8</v>
      </c>
      <c r="DT448" s="27" t="s">
        <v>7</v>
      </c>
      <c r="DU448" s="27" t="s">
        <v>8</v>
      </c>
      <c r="DV448" s="27" t="s">
        <v>7</v>
      </c>
      <c r="DY448" s="27" t="s">
        <v>8</v>
      </c>
      <c r="DZ448" s="27" t="s">
        <v>7</v>
      </c>
      <c r="EA448" s="27" t="s">
        <v>8</v>
      </c>
      <c r="EB448" s="27" t="s">
        <v>7</v>
      </c>
      <c r="EC448" s="27" t="s">
        <v>8</v>
      </c>
      <c r="ED448" s="27" t="s">
        <v>7</v>
      </c>
      <c r="FI448" s="27" t="s">
        <v>8</v>
      </c>
      <c r="FJ448" s="27" t="s">
        <v>7</v>
      </c>
      <c r="FK448" s="27" t="s">
        <v>8</v>
      </c>
    </row>
    <row r="449" spans="1:166" x14ac:dyDescent="0.25">
      <c r="A449" s="7">
        <v>15.375303708145482</v>
      </c>
      <c r="B449"/>
      <c r="C449"/>
      <c r="D449"/>
      <c r="E449"/>
      <c r="CS449" s="27" t="s">
        <v>8</v>
      </c>
      <c r="CT449" s="27" t="s">
        <v>7</v>
      </c>
      <c r="CU449" s="27" t="s">
        <v>8</v>
      </c>
      <c r="CV449" s="27" t="s">
        <v>7</v>
      </c>
      <c r="CX449" s="27" t="s">
        <v>7</v>
      </c>
      <c r="CY449" s="27" t="s">
        <v>8</v>
      </c>
      <c r="CZ449" s="27" t="s">
        <v>7</v>
      </c>
      <c r="DA449" s="27" t="s">
        <v>8</v>
      </c>
      <c r="DB449" s="27" t="s">
        <v>7</v>
      </c>
      <c r="DE449" s="27" t="s">
        <v>8</v>
      </c>
      <c r="DP449" s="27" t="s">
        <v>7</v>
      </c>
      <c r="DQ449" s="27" t="s">
        <v>8</v>
      </c>
      <c r="DR449" s="27" t="s">
        <v>7</v>
      </c>
      <c r="DS449" s="27" t="s">
        <v>8</v>
      </c>
      <c r="DT449" s="27" t="s">
        <v>7</v>
      </c>
      <c r="DU449" s="27" t="s">
        <v>8</v>
      </c>
      <c r="DV449" s="27" t="s">
        <v>7</v>
      </c>
      <c r="DY449" s="27" t="s">
        <v>8</v>
      </c>
      <c r="DZ449" s="27" t="s">
        <v>7</v>
      </c>
      <c r="EA449" s="27" t="s">
        <v>8</v>
      </c>
      <c r="EB449" s="27" t="s">
        <v>7</v>
      </c>
      <c r="EC449" s="27" t="s">
        <v>8</v>
      </c>
      <c r="ED449" s="27" t="s">
        <v>7</v>
      </c>
      <c r="FI449" s="27" t="s">
        <v>8</v>
      </c>
      <c r="FJ449" s="27" t="s">
        <v>7</v>
      </c>
    </row>
    <row r="450" spans="1:166" x14ac:dyDescent="0.25">
      <c r="A450" s="7">
        <v>15.073827164848511</v>
      </c>
      <c r="B450"/>
      <c r="C450"/>
      <c r="D450"/>
      <c r="E450"/>
      <c r="CS450" s="27" t="s">
        <v>8</v>
      </c>
      <c r="CT450" s="27" t="s">
        <v>7</v>
      </c>
      <c r="CX450" s="27" t="s">
        <v>7</v>
      </c>
      <c r="CY450" s="27" t="s">
        <v>8</v>
      </c>
      <c r="CZ450" s="27" t="s">
        <v>7</v>
      </c>
      <c r="DA450" s="27" t="s">
        <v>8</v>
      </c>
      <c r="DB450" s="27" t="s">
        <v>7</v>
      </c>
      <c r="DE450" s="27" t="s">
        <v>8</v>
      </c>
      <c r="DP450" s="27" t="s">
        <v>7</v>
      </c>
      <c r="DQ450" s="27" t="s">
        <v>8</v>
      </c>
      <c r="DR450" s="27" t="s">
        <v>7</v>
      </c>
      <c r="DS450" s="27" t="s">
        <v>8</v>
      </c>
      <c r="DT450" s="27" t="s">
        <v>7</v>
      </c>
      <c r="DU450" s="27" t="s">
        <v>8</v>
      </c>
      <c r="DV450" s="27" t="s">
        <v>7</v>
      </c>
      <c r="DW450" s="27" t="s">
        <v>8</v>
      </c>
      <c r="DY450" s="27" t="s">
        <v>8</v>
      </c>
      <c r="DZ450" s="27" t="s">
        <v>7</v>
      </c>
      <c r="EA450" s="27" t="s">
        <v>8</v>
      </c>
      <c r="EB450" s="27" t="s">
        <v>7</v>
      </c>
      <c r="EC450" s="27" t="s">
        <v>8</v>
      </c>
      <c r="ED450" s="27" t="s">
        <v>7</v>
      </c>
      <c r="EG450" s="27" t="s">
        <v>8</v>
      </c>
      <c r="FG450" s="27" t="s">
        <v>8</v>
      </c>
      <c r="FI450" s="27" t="s">
        <v>8</v>
      </c>
    </row>
    <row r="451" spans="1:166" x14ac:dyDescent="0.25">
      <c r="A451" s="7">
        <v>14.77826192632207</v>
      </c>
      <c r="B451"/>
      <c r="C451"/>
      <c r="D451"/>
      <c r="E451"/>
      <c r="CS451" s="27" t="s">
        <v>8</v>
      </c>
      <c r="CX451" s="27" t="s">
        <v>7</v>
      </c>
      <c r="CY451" s="27" t="s">
        <v>8</v>
      </c>
      <c r="CZ451" s="27" t="s">
        <v>7</v>
      </c>
      <c r="DA451" s="27" t="s">
        <v>8</v>
      </c>
      <c r="DB451" s="27" t="s">
        <v>7</v>
      </c>
      <c r="DC451" s="27" t="s">
        <v>8</v>
      </c>
      <c r="DE451" s="27" t="s">
        <v>8</v>
      </c>
      <c r="DP451" s="27" t="s">
        <v>7</v>
      </c>
      <c r="DQ451" s="27" t="s">
        <v>8</v>
      </c>
      <c r="DR451" s="27" t="s">
        <v>7</v>
      </c>
      <c r="DS451" s="27" t="s">
        <v>8</v>
      </c>
      <c r="DT451" s="27" t="s">
        <v>7</v>
      </c>
      <c r="DU451" s="27" t="s">
        <v>8</v>
      </c>
      <c r="DV451" s="27" t="s">
        <v>7</v>
      </c>
      <c r="DW451" s="27" t="s">
        <v>8</v>
      </c>
      <c r="DX451" s="27" t="s">
        <v>7</v>
      </c>
      <c r="DY451" s="27" t="s">
        <v>8</v>
      </c>
      <c r="DZ451" s="27" t="s">
        <v>7</v>
      </c>
      <c r="EB451" s="27" t="s">
        <v>7</v>
      </c>
      <c r="ED451" s="27" t="s">
        <v>7</v>
      </c>
      <c r="EE451" s="27" t="s">
        <v>8</v>
      </c>
      <c r="EG451" s="27" t="s">
        <v>8</v>
      </c>
      <c r="EH451" s="27" t="s">
        <v>7</v>
      </c>
      <c r="FG451" s="27" t="s">
        <v>8</v>
      </c>
      <c r="FH451" s="27" t="s">
        <v>7</v>
      </c>
      <c r="FI451" s="27" t="s">
        <v>8</v>
      </c>
    </row>
    <row r="452" spans="1:166" x14ac:dyDescent="0.25">
      <c r="A452" s="7">
        <v>14.488492084629481</v>
      </c>
      <c r="B452"/>
      <c r="C452"/>
      <c r="D452"/>
      <c r="E452"/>
      <c r="CS452" s="27" t="s">
        <v>8</v>
      </c>
      <c r="CX452" s="27" t="s">
        <v>7</v>
      </c>
      <c r="CY452" s="27" t="s">
        <v>8</v>
      </c>
      <c r="CZ452" s="27" t="s">
        <v>7</v>
      </c>
      <c r="DA452" s="27" t="s">
        <v>8</v>
      </c>
      <c r="DB452" s="27" t="s">
        <v>7</v>
      </c>
      <c r="DC452" s="27" t="s">
        <v>8</v>
      </c>
      <c r="DD452" s="27" t="s">
        <v>7</v>
      </c>
      <c r="DE452" s="27" t="s">
        <v>8</v>
      </c>
      <c r="DP452" s="27" t="s">
        <v>7</v>
      </c>
      <c r="DQ452" s="27" t="s">
        <v>8</v>
      </c>
      <c r="DR452" s="27" t="s">
        <v>7</v>
      </c>
      <c r="DS452" s="27" t="s">
        <v>8</v>
      </c>
      <c r="DT452" s="27" t="s">
        <v>7</v>
      </c>
      <c r="DU452" s="27" t="s">
        <v>8</v>
      </c>
      <c r="DV452" s="27" t="s">
        <v>7</v>
      </c>
      <c r="DW452" s="27" t="s">
        <v>8</v>
      </c>
      <c r="DX452" s="27" t="s">
        <v>7</v>
      </c>
      <c r="DY452" s="27" t="s">
        <v>8</v>
      </c>
      <c r="ED452" s="27" t="s">
        <v>7</v>
      </c>
      <c r="EE452" s="27" t="s">
        <v>8</v>
      </c>
      <c r="EF452" s="27" t="s">
        <v>7</v>
      </c>
      <c r="EG452" s="27" t="s">
        <v>8</v>
      </c>
      <c r="EH452" s="27" t="s">
        <v>7</v>
      </c>
      <c r="FG452" s="27" t="s">
        <v>8</v>
      </c>
      <c r="FH452" s="27" t="s">
        <v>7</v>
      </c>
      <c r="FI452" s="27" t="s">
        <v>8</v>
      </c>
    </row>
    <row r="453" spans="1:166" x14ac:dyDescent="0.25">
      <c r="A453" s="7">
        <v>14.204404004538707</v>
      </c>
      <c r="B453"/>
      <c r="C453"/>
      <c r="D453"/>
      <c r="E453"/>
      <c r="CS453" s="27" t="s">
        <v>8</v>
      </c>
      <c r="CX453" s="27" t="s">
        <v>7</v>
      </c>
      <c r="CY453" s="27" t="s">
        <v>8</v>
      </c>
      <c r="CZ453" s="27" t="s">
        <v>7</v>
      </c>
      <c r="DA453" s="27" t="s">
        <v>8</v>
      </c>
      <c r="DB453" s="27" t="s">
        <v>7</v>
      </c>
      <c r="DC453" s="27" t="s">
        <v>8</v>
      </c>
      <c r="DD453" s="27" t="s">
        <v>7</v>
      </c>
      <c r="DE453" s="27" t="s">
        <v>8</v>
      </c>
      <c r="DP453" s="27" t="s">
        <v>7</v>
      </c>
      <c r="DQ453" s="27" t="s">
        <v>8</v>
      </c>
      <c r="DR453" s="27" t="s">
        <v>7</v>
      </c>
      <c r="DS453" s="27" t="s">
        <v>8</v>
      </c>
      <c r="DT453" s="27" t="s">
        <v>7</v>
      </c>
      <c r="DU453" s="27" t="s">
        <v>8</v>
      </c>
      <c r="DV453" s="27" t="s">
        <v>7</v>
      </c>
      <c r="DW453" s="27" t="s">
        <v>8</v>
      </c>
      <c r="DX453" s="27" t="s">
        <v>7</v>
      </c>
      <c r="DY453" s="27" t="s">
        <v>8</v>
      </c>
      <c r="ED453" s="27" t="s">
        <v>7</v>
      </c>
      <c r="EE453" s="27" t="s">
        <v>8</v>
      </c>
      <c r="EF453" s="27" t="s">
        <v>7</v>
      </c>
      <c r="EG453" s="27" t="s">
        <v>8</v>
      </c>
      <c r="EH453" s="27" t="s">
        <v>7</v>
      </c>
      <c r="EM453" s="27" t="s">
        <v>8</v>
      </c>
      <c r="FG453" s="27" t="s">
        <v>8</v>
      </c>
      <c r="FH453" s="27" t="s">
        <v>7</v>
      </c>
      <c r="FI453" s="27" t="s">
        <v>8</v>
      </c>
    </row>
    <row r="454" spans="1:166" x14ac:dyDescent="0.25">
      <c r="A454" s="7">
        <v>13.925886278959517</v>
      </c>
      <c r="B454"/>
      <c r="C454"/>
      <c r="D454"/>
      <c r="E454"/>
      <c r="CS454" s="27" t="s">
        <v>8</v>
      </c>
      <c r="CX454" s="27" t="s">
        <v>7</v>
      </c>
      <c r="CY454" s="27" t="s">
        <v>8</v>
      </c>
      <c r="CZ454" s="27" t="s">
        <v>7</v>
      </c>
      <c r="DB454" s="27" t="s">
        <v>7</v>
      </c>
      <c r="DC454" s="27" t="s">
        <v>8</v>
      </c>
      <c r="DD454" s="27" t="s">
        <v>7</v>
      </c>
      <c r="DE454" s="27" t="s">
        <v>8</v>
      </c>
      <c r="DP454" s="27" t="s">
        <v>7</v>
      </c>
      <c r="DR454" s="27" t="s">
        <v>7</v>
      </c>
      <c r="DS454" s="27" t="s">
        <v>8</v>
      </c>
      <c r="DT454" s="27" t="s">
        <v>7</v>
      </c>
      <c r="DU454" s="27" t="s">
        <v>8</v>
      </c>
      <c r="DV454" s="27" t="s">
        <v>7</v>
      </c>
      <c r="DW454" s="27" t="s">
        <v>8</v>
      </c>
      <c r="DX454" s="27" t="s">
        <v>7</v>
      </c>
      <c r="DY454" s="27" t="s">
        <v>8</v>
      </c>
      <c r="ED454" s="27" t="s">
        <v>7</v>
      </c>
      <c r="EF454" s="27" t="s">
        <v>7</v>
      </c>
      <c r="EG454" s="27" t="s">
        <v>8</v>
      </c>
      <c r="EH454" s="27" t="s">
        <v>7</v>
      </c>
      <c r="EI454" s="27" t="s">
        <v>8</v>
      </c>
      <c r="EK454" s="27" t="s">
        <v>8</v>
      </c>
      <c r="EM454" s="27" t="s">
        <v>8</v>
      </c>
      <c r="EN454" s="27" t="s">
        <v>7</v>
      </c>
      <c r="EU454" s="27" t="s">
        <v>8</v>
      </c>
      <c r="FG454" s="27" t="s">
        <v>8</v>
      </c>
      <c r="FH454" s="27" t="s">
        <v>7</v>
      </c>
      <c r="FI454" s="27" t="s">
        <v>8</v>
      </c>
    </row>
    <row r="455" spans="1:166" x14ac:dyDescent="0.25">
      <c r="A455" s="7">
        <v>13.652829685254428</v>
      </c>
      <c r="B455"/>
      <c r="C455"/>
      <c r="D455"/>
      <c r="E455"/>
      <c r="CS455" s="27" t="s">
        <v>8</v>
      </c>
      <c r="CX455" s="27" t="s">
        <v>7</v>
      </c>
      <c r="DB455" s="27" t="s">
        <v>7</v>
      </c>
      <c r="DC455" s="27" t="s">
        <v>8</v>
      </c>
      <c r="DD455" s="27" t="s">
        <v>7</v>
      </c>
      <c r="DE455" s="27" t="s">
        <v>8</v>
      </c>
      <c r="DR455" s="27" t="s">
        <v>7</v>
      </c>
      <c r="DS455" s="27" t="s">
        <v>8</v>
      </c>
      <c r="DT455" s="27" t="s">
        <v>7</v>
      </c>
      <c r="DU455" s="27" t="s">
        <v>8</v>
      </c>
      <c r="DV455" s="27" t="s">
        <v>7</v>
      </c>
      <c r="DW455" s="27" t="s">
        <v>8</v>
      </c>
      <c r="DX455" s="27" t="s">
        <v>7</v>
      </c>
      <c r="DY455" s="27" t="s">
        <v>8</v>
      </c>
      <c r="EF455" s="27" t="s">
        <v>7</v>
      </c>
      <c r="EG455" s="27" t="s">
        <v>8</v>
      </c>
      <c r="EH455" s="27" t="s">
        <v>7</v>
      </c>
      <c r="EI455" s="27" t="s">
        <v>8</v>
      </c>
      <c r="EJ455" s="27" t="s">
        <v>7</v>
      </c>
      <c r="EK455" s="27" t="s">
        <v>8</v>
      </c>
      <c r="EL455" s="27" t="s">
        <v>7</v>
      </c>
      <c r="EM455" s="27" t="s">
        <v>8</v>
      </c>
      <c r="EN455" s="27" t="s">
        <v>7</v>
      </c>
      <c r="EU455" s="27" t="s">
        <v>8</v>
      </c>
      <c r="EV455" s="27" t="s">
        <v>7</v>
      </c>
      <c r="FG455" s="27" t="s">
        <v>8</v>
      </c>
      <c r="FH455" s="27" t="s">
        <v>7</v>
      </c>
      <c r="FI455" s="27" t="s">
        <v>8</v>
      </c>
    </row>
    <row r="456" spans="1:166" x14ac:dyDescent="0.25">
      <c r="A456" s="7">
        <v>13.385127142406303</v>
      </c>
      <c r="B456"/>
      <c r="C456"/>
      <c r="D456"/>
      <c r="E456"/>
      <c r="CS456" s="27" t="s">
        <v>8</v>
      </c>
      <c r="DB456" s="27" t="s">
        <v>7</v>
      </c>
      <c r="DC456" s="27" t="s">
        <v>8</v>
      </c>
      <c r="DD456" s="27" t="s">
        <v>7</v>
      </c>
      <c r="DE456" s="27" t="s">
        <v>8</v>
      </c>
      <c r="DR456" s="27" t="s">
        <v>7</v>
      </c>
      <c r="DS456" s="27" t="s">
        <v>8</v>
      </c>
      <c r="DT456" s="27" t="s">
        <v>7</v>
      </c>
      <c r="DU456" s="27" t="s">
        <v>8</v>
      </c>
      <c r="DV456" s="27" t="s">
        <v>7</v>
      </c>
      <c r="DW456" s="27" t="s">
        <v>8</v>
      </c>
      <c r="DX456" s="27" t="s">
        <v>7</v>
      </c>
      <c r="DY456" s="27" t="s">
        <v>8</v>
      </c>
      <c r="EF456" s="27" t="s">
        <v>7</v>
      </c>
      <c r="EG456" s="27" t="s">
        <v>8</v>
      </c>
      <c r="EH456" s="27" t="s">
        <v>7</v>
      </c>
      <c r="EI456" s="27" t="s">
        <v>8</v>
      </c>
      <c r="EJ456" s="27" t="s">
        <v>7</v>
      </c>
      <c r="EK456" s="27" t="s">
        <v>8</v>
      </c>
      <c r="EL456" s="27" t="s">
        <v>7</v>
      </c>
      <c r="EM456" s="27" t="s">
        <v>8</v>
      </c>
      <c r="EN456" s="27" t="s">
        <v>7</v>
      </c>
      <c r="EQ456" s="27" t="s">
        <v>8</v>
      </c>
      <c r="ES456" s="27" t="s">
        <v>8</v>
      </c>
      <c r="EU456" s="27" t="s">
        <v>8</v>
      </c>
      <c r="EV456" s="27" t="s">
        <v>7</v>
      </c>
      <c r="EW456" s="27" t="s">
        <v>8</v>
      </c>
      <c r="EY456" s="27" t="s">
        <v>8</v>
      </c>
      <c r="FG456" s="27" t="s">
        <v>8</v>
      </c>
      <c r="FH456" s="27" t="s">
        <v>7</v>
      </c>
      <c r="FI456" s="27" t="s">
        <v>8</v>
      </c>
    </row>
    <row r="457" spans="1:166" x14ac:dyDescent="0.25">
      <c r="A457" s="7">
        <v>13.122673669025787</v>
      </c>
      <c r="B457"/>
      <c r="C457"/>
      <c r="D457"/>
      <c r="E457"/>
      <c r="CS457" s="27" t="s">
        <v>8</v>
      </c>
      <c r="DB457" s="27" t="s">
        <v>7</v>
      </c>
      <c r="DC457" s="27" t="s">
        <v>8</v>
      </c>
      <c r="DD457" s="27" t="s">
        <v>7</v>
      </c>
      <c r="DE457" s="27" t="s">
        <v>8</v>
      </c>
      <c r="DR457" s="27" t="s">
        <v>7</v>
      </c>
      <c r="DS457" s="27" t="s">
        <v>8</v>
      </c>
      <c r="DT457" s="27" t="s">
        <v>7</v>
      </c>
      <c r="DU457" s="27" t="s">
        <v>8</v>
      </c>
      <c r="DV457" s="27" t="s">
        <v>7</v>
      </c>
      <c r="DW457" s="27" t="s">
        <v>8</v>
      </c>
      <c r="DX457" s="27" t="s">
        <v>7</v>
      </c>
      <c r="DY457" s="27" t="s">
        <v>8</v>
      </c>
      <c r="EF457" s="27" t="s">
        <v>7</v>
      </c>
      <c r="EG457" s="27" t="s">
        <v>8</v>
      </c>
      <c r="EH457" s="27" t="s">
        <v>7</v>
      </c>
      <c r="EI457" s="27" t="s">
        <v>8</v>
      </c>
      <c r="EJ457" s="27" t="s">
        <v>7</v>
      </c>
      <c r="EK457" s="27" t="s">
        <v>8</v>
      </c>
      <c r="EL457" s="27" t="s">
        <v>7</v>
      </c>
      <c r="EM457" s="27" t="s">
        <v>8</v>
      </c>
      <c r="EN457" s="27" t="s">
        <v>7</v>
      </c>
      <c r="EQ457" s="27" t="s">
        <v>8</v>
      </c>
      <c r="ER457" s="27" t="s">
        <v>7</v>
      </c>
      <c r="ES457" s="27" t="s">
        <v>8</v>
      </c>
      <c r="ET457" s="27" t="s">
        <v>7</v>
      </c>
      <c r="EU457" s="27" t="s">
        <v>8</v>
      </c>
      <c r="EV457" s="27" t="s">
        <v>7</v>
      </c>
      <c r="EW457" s="27" t="s">
        <v>8</v>
      </c>
      <c r="EX457" s="27" t="s">
        <v>7</v>
      </c>
      <c r="EY457" s="27" t="s">
        <v>8</v>
      </c>
      <c r="EZ457" s="27" t="s">
        <v>7</v>
      </c>
      <c r="FG457" s="27" t="s">
        <v>8</v>
      </c>
      <c r="FH457" s="27" t="s">
        <v>7</v>
      </c>
      <c r="FI457" s="27" t="s">
        <v>8</v>
      </c>
    </row>
    <row r="458" spans="1:166" x14ac:dyDescent="0.25">
      <c r="A458" s="7">
        <v>12.865366342182144</v>
      </c>
      <c r="B458"/>
      <c r="C458"/>
      <c r="D458"/>
      <c r="E458"/>
      <c r="CS458" s="27" t="s">
        <v>8</v>
      </c>
      <c r="DB458" s="27" t="s">
        <v>7</v>
      </c>
      <c r="DC458" s="27" t="s">
        <v>8</v>
      </c>
      <c r="DD458" s="27" t="s">
        <v>7</v>
      </c>
      <c r="DE458" s="27" t="s">
        <v>8</v>
      </c>
      <c r="DR458" s="27" t="s">
        <v>7</v>
      </c>
      <c r="DS458" s="27" t="s">
        <v>8</v>
      </c>
      <c r="DT458" s="27" t="s">
        <v>7</v>
      </c>
      <c r="DU458" s="27" t="s">
        <v>8</v>
      </c>
      <c r="DV458" s="27" t="s">
        <v>7</v>
      </c>
      <c r="DW458" s="27" t="s">
        <v>8</v>
      </c>
      <c r="DX458" s="27" t="s">
        <v>7</v>
      </c>
      <c r="DY458" s="27" t="s">
        <v>8</v>
      </c>
      <c r="EF458" s="27" t="s">
        <v>7</v>
      </c>
      <c r="EG458" s="27" t="s">
        <v>8</v>
      </c>
      <c r="EH458" s="27" t="s">
        <v>7</v>
      </c>
      <c r="EJ458" s="27" t="s">
        <v>7</v>
      </c>
      <c r="EK458" s="27" t="s">
        <v>8</v>
      </c>
      <c r="EL458" s="27" t="s">
        <v>7</v>
      </c>
      <c r="EN458" s="27" t="s">
        <v>7</v>
      </c>
      <c r="EQ458" s="27" t="s">
        <v>8</v>
      </c>
      <c r="ER458" s="27" t="s">
        <v>7</v>
      </c>
      <c r="ES458" s="27" t="s">
        <v>8</v>
      </c>
      <c r="ET458" s="27" t="s">
        <v>7</v>
      </c>
      <c r="EU458" s="27" t="s">
        <v>8</v>
      </c>
      <c r="EV458" s="27" t="s">
        <v>7</v>
      </c>
      <c r="EW458" s="27" t="s">
        <v>8</v>
      </c>
      <c r="EX458" s="27" t="s">
        <v>7</v>
      </c>
      <c r="EY458" s="27" t="s">
        <v>8</v>
      </c>
      <c r="EZ458" s="27" t="s">
        <v>7</v>
      </c>
      <c r="FG458" s="27" t="s">
        <v>8</v>
      </c>
      <c r="FH458" s="27" t="s">
        <v>7</v>
      </c>
    </row>
    <row r="459" spans="1:166" x14ac:dyDescent="0.25">
      <c r="A459" s="7">
        <v>12.613104257041318</v>
      </c>
      <c r="B459"/>
      <c r="C459"/>
      <c r="D459"/>
      <c r="E459"/>
      <c r="CS459" s="27" t="s">
        <v>8</v>
      </c>
      <c r="DB459" s="27" t="s">
        <v>7</v>
      </c>
      <c r="DC459" s="27" t="s">
        <v>8</v>
      </c>
      <c r="DD459" s="27" t="s">
        <v>7</v>
      </c>
      <c r="DR459" s="27" t="s">
        <v>7</v>
      </c>
      <c r="DS459" s="27" t="s">
        <v>8</v>
      </c>
      <c r="DT459" s="27" t="s">
        <v>7</v>
      </c>
      <c r="DU459" s="27" t="s">
        <v>8</v>
      </c>
      <c r="DV459" s="27" t="s">
        <v>7</v>
      </c>
      <c r="DW459" s="27" t="s">
        <v>8</v>
      </c>
      <c r="DX459" s="27" t="s">
        <v>7</v>
      </c>
      <c r="EF459" s="27" t="s">
        <v>7</v>
      </c>
      <c r="EG459" s="27" t="s">
        <v>8</v>
      </c>
      <c r="EJ459" s="27" t="s">
        <v>7</v>
      </c>
      <c r="EK459" s="27" t="s">
        <v>8</v>
      </c>
      <c r="EN459" s="27" t="s">
        <v>7</v>
      </c>
      <c r="EO459" s="27" t="s">
        <v>8</v>
      </c>
      <c r="EQ459" s="27" t="s">
        <v>8</v>
      </c>
      <c r="ER459" s="27" t="s">
        <v>7</v>
      </c>
      <c r="ES459" s="27" t="s">
        <v>8</v>
      </c>
      <c r="ET459" s="27" t="s">
        <v>7</v>
      </c>
      <c r="EU459" s="27" t="s">
        <v>8</v>
      </c>
      <c r="EV459" s="27" t="s">
        <v>7</v>
      </c>
      <c r="EW459" s="27" t="s">
        <v>8</v>
      </c>
      <c r="EX459" s="27" t="s">
        <v>7</v>
      </c>
      <c r="EY459" s="27" t="s">
        <v>8</v>
      </c>
      <c r="EZ459" s="27" t="s">
        <v>7</v>
      </c>
      <c r="FE459" s="27" t="s">
        <v>8</v>
      </c>
      <c r="FG459" s="27" t="s">
        <v>8</v>
      </c>
    </row>
    <row r="460" spans="1:166" x14ac:dyDescent="0.25">
      <c r="A460" s="7">
        <v>12.36578848729541</v>
      </c>
      <c r="B460"/>
      <c r="C460"/>
      <c r="D460"/>
      <c r="E460"/>
      <c r="CS460" s="27" t="s">
        <v>8</v>
      </c>
      <c r="DB460" s="27" t="s">
        <v>7</v>
      </c>
      <c r="DC460" s="27" t="s">
        <v>8</v>
      </c>
      <c r="DR460" s="27" t="s">
        <v>7</v>
      </c>
      <c r="DT460" s="27" t="s">
        <v>7</v>
      </c>
      <c r="DU460" s="27" t="s">
        <v>8</v>
      </c>
      <c r="DV460" s="27" t="s">
        <v>7</v>
      </c>
      <c r="DW460" s="27" t="s">
        <v>8</v>
      </c>
      <c r="EF460" s="27" t="s">
        <v>7</v>
      </c>
      <c r="EG460" s="27" t="s">
        <v>8</v>
      </c>
      <c r="EJ460" s="27" t="s">
        <v>7</v>
      </c>
      <c r="EK460" s="27" t="s">
        <v>8</v>
      </c>
      <c r="EN460" s="27" t="s">
        <v>7</v>
      </c>
      <c r="EO460" s="27" t="s">
        <v>8</v>
      </c>
      <c r="EP460" s="27" t="s">
        <v>7</v>
      </c>
      <c r="EQ460" s="27" t="s">
        <v>8</v>
      </c>
      <c r="ER460" s="27" t="s">
        <v>7</v>
      </c>
      <c r="ES460" s="27" t="s">
        <v>8</v>
      </c>
      <c r="ET460" s="27" t="s">
        <v>7</v>
      </c>
      <c r="EU460" s="27" t="s">
        <v>8</v>
      </c>
      <c r="EV460" s="27" t="s">
        <v>7</v>
      </c>
      <c r="EX460" s="27" t="s">
        <v>7</v>
      </c>
      <c r="EY460" s="27" t="s">
        <v>8</v>
      </c>
      <c r="EZ460" s="27" t="s">
        <v>7</v>
      </c>
      <c r="FE460" s="27" t="s">
        <v>8</v>
      </c>
      <c r="FF460" s="27" t="s">
        <v>7</v>
      </c>
      <c r="FG460" s="27" t="s">
        <v>8</v>
      </c>
    </row>
    <row r="461" spans="1:166" x14ac:dyDescent="0.25">
      <c r="A461" s="7">
        <v>12.123322046368049</v>
      </c>
      <c r="B461"/>
      <c r="C461"/>
      <c r="D461"/>
      <c r="E461"/>
      <c r="CS461" s="27" t="s">
        <v>8</v>
      </c>
      <c r="DB461" s="27" t="s">
        <v>7</v>
      </c>
      <c r="DC461" s="27" t="s">
        <v>8</v>
      </c>
      <c r="DT461" s="27" t="s">
        <v>7</v>
      </c>
      <c r="DU461" s="27" t="s">
        <v>8</v>
      </c>
      <c r="DV461" s="27" t="s">
        <v>7</v>
      </c>
      <c r="DW461" s="27" t="s">
        <v>8</v>
      </c>
      <c r="EF461" s="27" t="s">
        <v>7</v>
      </c>
      <c r="EG461" s="27" t="s">
        <v>8</v>
      </c>
      <c r="EJ461" s="27" t="s">
        <v>7</v>
      </c>
      <c r="EN461" s="27" t="s">
        <v>7</v>
      </c>
      <c r="EO461" s="27" t="s">
        <v>8</v>
      </c>
      <c r="EP461" s="27" t="s">
        <v>7</v>
      </c>
      <c r="EQ461" s="27" t="s">
        <v>8</v>
      </c>
      <c r="ER461" s="27" t="s">
        <v>7</v>
      </c>
      <c r="ET461" s="27" t="s">
        <v>7</v>
      </c>
      <c r="EU461" s="27" t="s">
        <v>8</v>
      </c>
      <c r="EX461" s="27" t="s">
        <v>7</v>
      </c>
      <c r="EY461" s="27" t="s">
        <v>8</v>
      </c>
      <c r="EZ461" s="27" t="s">
        <v>7</v>
      </c>
      <c r="FE461" s="27" t="s">
        <v>8</v>
      </c>
      <c r="FF461" s="27" t="s">
        <v>7</v>
      </c>
      <c r="FG461" s="27" t="s">
        <v>8</v>
      </c>
    </row>
    <row r="462" spans="1:166" x14ac:dyDescent="0.25">
      <c r="A462" s="7">
        <v>11.88560984938044</v>
      </c>
      <c r="B462"/>
      <c r="C462"/>
      <c r="D462"/>
      <c r="E462"/>
      <c r="CQ462" s="27" t="s">
        <v>8</v>
      </c>
      <c r="CS462" s="27" t="s">
        <v>8</v>
      </c>
      <c r="DB462" s="27" t="s">
        <v>7</v>
      </c>
      <c r="DC462" s="27" t="s">
        <v>8</v>
      </c>
      <c r="DT462" s="27" t="s">
        <v>7</v>
      </c>
      <c r="DU462" s="27" t="s">
        <v>8</v>
      </c>
      <c r="DV462" s="27" t="s">
        <v>7</v>
      </c>
      <c r="DW462" s="27" t="s">
        <v>8</v>
      </c>
      <c r="EF462" s="27" t="s">
        <v>7</v>
      </c>
      <c r="EG462" s="27" t="s">
        <v>8</v>
      </c>
      <c r="EN462" s="27" t="s">
        <v>7</v>
      </c>
      <c r="EO462" s="27" t="s">
        <v>8</v>
      </c>
      <c r="EP462" s="27" t="s">
        <v>7</v>
      </c>
      <c r="EQ462" s="27" t="s">
        <v>8</v>
      </c>
      <c r="ET462" s="27" t="s">
        <v>7</v>
      </c>
      <c r="EX462" s="27" t="s">
        <v>7</v>
      </c>
      <c r="EY462" s="27" t="s">
        <v>8</v>
      </c>
      <c r="EZ462" s="27" t="s">
        <v>7</v>
      </c>
      <c r="FA462" s="27" t="s">
        <v>8</v>
      </c>
      <c r="FC462" s="27" t="s">
        <v>8</v>
      </c>
      <c r="FE462" s="27" t="s">
        <v>8</v>
      </c>
      <c r="FF462" s="27" t="s">
        <v>7</v>
      </c>
      <c r="FG462" s="27" t="s">
        <v>8</v>
      </c>
    </row>
    <row r="463" spans="1:166" x14ac:dyDescent="0.25">
      <c r="A463" s="7">
        <v>11.652558675863176</v>
      </c>
      <c r="B463"/>
      <c r="C463"/>
      <c r="D463"/>
      <c r="E463"/>
      <c r="CQ463" s="27" t="s">
        <v>8</v>
      </c>
      <c r="CR463" s="27" t="s">
        <v>7</v>
      </c>
      <c r="CS463" s="27" t="s">
        <v>8</v>
      </c>
      <c r="DB463" s="27" t="s">
        <v>7</v>
      </c>
      <c r="DC463" s="27" t="s">
        <v>8</v>
      </c>
      <c r="DT463" s="27" t="s">
        <v>7</v>
      </c>
      <c r="DU463" s="27" t="s">
        <v>8</v>
      </c>
      <c r="DV463" s="27" t="s">
        <v>7</v>
      </c>
      <c r="DW463" s="27" t="s">
        <v>8</v>
      </c>
      <c r="EF463" s="27" t="s">
        <v>7</v>
      </c>
      <c r="EG463" s="27" t="s">
        <v>8</v>
      </c>
      <c r="EN463" s="27" t="s">
        <v>7</v>
      </c>
      <c r="EO463" s="27" t="s">
        <v>8</v>
      </c>
      <c r="EP463" s="27" t="s">
        <v>7</v>
      </c>
      <c r="EQ463" s="27" t="s">
        <v>8</v>
      </c>
      <c r="EX463" s="27" t="s">
        <v>7</v>
      </c>
      <c r="EZ463" s="27" t="s">
        <v>7</v>
      </c>
      <c r="FA463" s="27" t="s">
        <v>8</v>
      </c>
      <c r="FB463" s="27" t="s">
        <v>7</v>
      </c>
      <c r="FC463" s="27" t="s">
        <v>8</v>
      </c>
      <c r="FD463" s="27" t="s">
        <v>7</v>
      </c>
      <c r="FE463" s="27" t="s">
        <v>8</v>
      </c>
      <c r="FF463" s="27" t="s">
        <v>7</v>
      </c>
      <c r="FG463" s="27" t="s">
        <v>8</v>
      </c>
    </row>
    <row r="464" spans="1:166" x14ac:dyDescent="0.25">
      <c r="A464" s="7">
        <v>11.424077133199193</v>
      </c>
      <c r="B464"/>
      <c r="C464"/>
      <c r="D464"/>
      <c r="E464"/>
      <c r="CQ464" s="27" t="s">
        <v>8</v>
      </c>
      <c r="CR464" s="27" t="s">
        <v>7</v>
      </c>
      <c r="CS464" s="27" t="s">
        <v>8</v>
      </c>
      <c r="DB464" s="27" t="s">
        <v>7</v>
      </c>
      <c r="DT464" s="27" t="s">
        <v>7</v>
      </c>
      <c r="DU464" s="27" t="s">
        <v>8</v>
      </c>
      <c r="DV464" s="27" t="s">
        <v>7</v>
      </c>
      <c r="DW464" s="27" t="s">
        <v>8</v>
      </c>
      <c r="EF464" s="27" t="s">
        <v>7</v>
      </c>
      <c r="EN464" s="27" t="s">
        <v>7</v>
      </c>
      <c r="EO464" s="27" t="s">
        <v>8</v>
      </c>
      <c r="EP464" s="27" t="s">
        <v>7</v>
      </c>
      <c r="EQ464" s="27" t="s">
        <v>8</v>
      </c>
      <c r="EZ464" s="27" t="s">
        <v>7</v>
      </c>
      <c r="FA464" s="27" t="s">
        <v>8</v>
      </c>
      <c r="FB464" s="27" t="s">
        <v>7</v>
      </c>
      <c r="FC464" s="27" t="s">
        <v>8</v>
      </c>
      <c r="FD464" s="27" t="s">
        <v>7</v>
      </c>
      <c r="FE464" s="27" t="s">
        <v>8</v>
      </c>
      <c r="FF464" s="27" t="s">
        <v>7</v>
      </c>
      <c r="FG464" s="27" t="s">
        <v>8</v>
      </c>
    </row>
    <row r="465" spans="1:163" x14ac:dyDescent="0.25">
      <c r="A465" s="7">
        <v>11.200075620783522</v>
      </c>
      <c r="B465"/>
      <c r="C465"/>
      <c r="D465"/>
      <c r="E465"/>
      <c r="CQ465" s="27" t="s">
        <v>8</v>
      </c>
      <c r="CR465" s="27" t="s">
        <v>7</v>
      </c>
      <c r="CS465" s="27" t="s">
        <v>8</v>
      </c>
      <c r="DT465" s="27" t="s">
        <v>7</v>
      </c>
      <c r="DU465" s="27" t="s">
        <v>8</v>
      </c>
      <c r="DV465" s="27" t="s">
        <v>7</v>
      </c>
      <c r="DW465" s="27" t="s">
        <v>8</v>
      </c>
      <c r="EN465" s="27" t="s">
        <v>7</v>
      </c>
      <c r="EO465" s="27" t="s">
        <v>8</v>
      </c>
      <c r="EP465" s="27" t="s">
        <v>7</v>
      </c>
      <c r="EQ465" s="27" t="s">
        <v>8</v>
      </c>
      <c r="EZ465" s="27" t="s">
        <v>7</v>
      </c>
      <c r="FA465" s="27" t="s">
        <v>8</v>
      </c>
      <c r="FB465" s="27" t="s">
        <v>7</v>
      </c>
      <c r="FC465" s="27" t="s">
        <v>8</v>
      </c>
      <c r="FD465" s="27" t="s">
        <v>7</v>
      </c>
      <c r="FE465" s="27" t="s">
        <v>8</v>
      </c>
      <c r="FF465" s="27" t="s">
        <v>7</v>
      </c>
      <c r="FG465" s="27" t="s">
        <v>8</v>
      </c>
    </row>
    <row r="466" spans="1:163" x14ac:dyDescent="0.25">
      <c r="A466" s="7">
        <v>10.980466294885806</v>
      </c>
      <c r="B466"/>
      <c r="C466"/>
      <c r="D466"/>
      <c r="E466"/>
      <c r="CQ466" s="27" t="s">
        <v>8</v>
      </c>
      <c r="CR466" s="27" t="s">
        <v>7</v>
      </c>
      <c r="CS466" s="27" t="s">
        <v>8</v>
      </c>
      <c r="DT466" s="27" t="s">
        <v>7</v>
      </c>
      <c r="DU466" s="27" t="s">
        <v>8</v>
      </c>
      <c r="DV466" s="27" t="s">
        <v>7</v>
      </c>
      <c r="DW466" s="27" t="s">
        <v>8</v>
      </c>
      <c r="EN466" s="27" t="s">
        <v>7</v>
      </c>
      <c r="EO466" s="27" t="s">
        <v>8</v>
      </c>
      <c r="EP466" s="27" t="s">
        <v>7</v>
      </c>
      <c r="EQ466" s="27" t="s">
        <v>8</v>
      </c>
      <c r="EZ466" s="27" t="s">
        <v>7</v>
      </c>
      <c r="FA466" s="27" t="s">
        <v>8</v>
      </c>
      <c r="FB466" s="27" t="s">
        <v>7</v>
      </c>
      <c r="FC466" s="27" t="s">
        <v>8</v>
      </c>
      <c r="FD466" s="27" t="s">
        <v>7</v>
      </c>
      <c r="FF466" s="27" t="s">
        <v>7</v>
      </c>
    </row>
    <row r="467" spans="1:163" x14ac:dyDescent="0.25">
      <c r="A467" s="7">
        <v>10.765163034201771</v>
      </c>
      <c r="B467"/>
      <c r="C467"/>
      <c r="D467"/>
      <c r="E467"/>
      <c r="CQ467" s="27" t="s">
        <v>8</v>
      </c>
      <c r="CR467" s="27" t="s">
        <v>7</v>
      </c>
      <c r="CS467" s="27" t="s">
        <v>8</v>
      </c>
      <c r="DT467" s="27" t="s">
        <v>7</v>
      </c>
      <c r="DU467" s="27" t="s">
        <v>8</v>
      </c>
      <c r="DV467" s="27" t="s">
        <v>7</v>
      </c>
      <c r="DW467" s="27" t="s">
        <v>8</v>
      </c>
      <c r="EN467" s="27" t="s">
        <v>7</v>
      </c>
      <c r="EO467" s="27" t="s">
        <v>8</v>
      </c>
      <c r="EP467" s="27" t="s">
        <v>7</v>
      </c>
      <c r="EQ467" s="27" t="s">
        <v>8</v>
      </c>
      <c r="EZ467" s="27" t="s">
        <v>7</v>
      </c>
      <c r="FA467" s="27" t="s">
        <v>8</v>
      </c>
      <c r="FB467" s="27" t="s">
        <v>7</v>
      </c>
      <c r="FC467" s="27" t="s">
        <v>8</v>
      </c>
    </row>
    <row r="468" spans="1:163" x14ac:dyDescent="0.25">
      <c r="A468" s="7">
        <v>10.554081406080169</v>
      </c>
      <c r="B468"/>
      <c r="C468"/>
      <c r="D468"/>
      <c r="E468"/>
      <c r="CQ468" s="27" t="s">
        <v>8</v>
      </c>
      <c r="CR468" s="27" t="s">
        <v>7</v>
      </c>
      <c r="CS468" s="27" t="s">
        <v>8</v>
      </c>
      <c r="DT468" s="27" t="s">
        <v>7</v>
      </c>
      <c r="DV468" s="27" t="s">
        <v>7</v>
      </c>
      <c r="DW468" s="27" t="s">
        <v>8</v>
      </c>
      <c r="EN468" s="27" t="s">
        <v>7</v>
      </c>
      <c r="EO468" s="27" t="s">
        <v>8</v>
      </c>
      <c r="EP468" s="27" t="s">
        <v>7</v>
      </c>
      <c r="EZ468" s="27" t="s">
        <v>7</v>
      </c>
      <c r="FA468" s="27" t="s">
        <v>8</v>
      </c>
      <c r="FB468" s="27" t="s">
        <v>7</v>
      </c>
      <c r="FC468" s="27" t="s">
        <v>8</v>
      </c>
    </row>
    <row r="469" spans="1:163" x14ac:dyDescent="0.25">
      <c r="A469" s="7">
        <v>10.34713863341193</v>
      </c>
      <c r="B469"/>
      <c r="C469"/>
      <c r="D469"/>
      <c r="E469"/>
      <c r="CQ469" s="27" t="s">
        <v>8</v>
      </c>
      <c r="CR469" s="27" t="s">
        <v>7</v>
      </c>
      <c r="CS469" s="27" t="s">
        <v>8</v>
      </c>
      <c r="DV469" s="27" t="s">
        <v>7</v>
      </c>
      <c r="DW469" s="27" t="s">
        <v>8</v>
      </c>
      <c r="EN469" s="27" t="s">
        <v>7</v>
      </c>
      <c r="EO469" s="27" t="s">
        <v>8</v>
      </c>
      <c r="EZ469" s="27" t="s">
        <v>7</v>
      </c>
      <c r="FB469" s="27" t="s">
        <v>7</v>
      </c>
      <c r="FC469" s="27" t="s">
        <v>8</v>
      </c>
    </row>
    <row r="470" spans="1:163" x14ac:dyDescent="0.25">
      <c r="A470" s="7">
        <v>10.14425356216856</v>
      </c>
      <c r="B470"/>
      <c r="C470"/>
      <c r="D470"/>
      <c r="E470"/>
      <c r="CQ470" s="27" t="s">
        <v>8</v>
      </c>
      <c r="CR470" s="27" t="s">
        <v>7</v>
      </c>
      <c r="CS470" s="27" t="s">
        <v>8</v>
      </c>
      <c r="DV470" s="27" t="s">
        <v>7</v>
      </c>
      <c r="DW470" s="27" t="s">
        <v>8</v>
      </c>
      <c r="EN470" s="27" t="s">
        <v>7</v>
      </c>
      <c r="EO470" s="27" t="s">
        <v>8</v>
      </c>
      <c r="FB470" s="27" t="s">
        <v>7</v>
      </c>
      <c r="FC470" s="27" t="s">
        <v>8</v>
      </c>
    </row>
    <row r="471" spans="1:163" x14ac:dyDescent="0.25">
      <c r="A471" s="7">
        <v>9.9453466295770188</v>
      </c>
      <c r="B471"/>
      <c r="C471"/>
      <c r="D471"/>
      <c r="E471"/>
      <c r="CO471" s="27" t="s">
        <v>8</v>
      </c>
      <c r="CQ471" s="27" t="s">
        <v>8</v>
      </c>
      <c r="CR471" s="27" t="s">
        <v>7</v>
      </c>
      <c r="DV471" s="27" t="s">
        <v>7</v>
      </c>
      <c r="DW471" s="27" t="s">
        <v>8</v>
      </c>
      <c r="EN471" s="27" t="s">
        <v>7</v>
      </c>
      <c r="EO471" s="27" t="s">
        <v>8</v>
      </c>
      <c r="FB471" s="18" t="s">
        <v>7</v>
      </c>
      <c r="FC471" s="27" t="s">
        <v>8</v>
      </c>
    </row>
    <row r="472" spans="1:163" x14ac:dyDescent="0.25">
      <c r="A472" s="7">
        <v>9.7503398329186464</v>
      </c>
      <c r="B472"/>
      <c r="C472"/>
      <c r="D472"/>
      <c r="E472"/>
      <c r="CO472" s="27" t="s">
        <v>8</v>
      </c>
      <c r="CP472" s="27" t="s">
        <v>7</v>
      </c>
      <c r="CQ472" s="27" t="s">
        <v>8</v>
      </c>
      <c r="DV472" s="27" t="s">
        <v>7</v>
      </c>
      <c r="DW472" s="27" t="s">
        <v>8</v>
      </c>
      <c r="EN472" s="27" t="s">
        <v>7</v>
      </c>
      <c r="EO472" s="27" t="s">
        <v>8</v>
      </c>
      <c r="FB472" s="27" t="s">
        <v>7</v>
      </c>
      <c r="FC472" s="27" t="s">
        <v>8</v>
      </c>
    </row>
    <row r="473" spans="1:163" x14ac:dyDescent="0.25">
      <c r="A473" s="7">
        <v>9.5591566989398498</v>
      </c>
      <c r="B473"/>
      <c r="C473"/>
      <c r="D473"/>
      <c r="E473"/>
      <c r="CO473" s="27" t="s">
        <v>8</v>
      </c>
      <c r="CP473" s="27" t="s">
        <v>7</v>
      </c>
      <c r="CQ473" s="27" t="s">
        <v>8</v>
      </c>
      <c r="DV473" s="27" t="s">
        <v>7</v>
      </c>
      <c r="DW473" s="27" t="s">
        <v>8</v>
      </c>
      <c r="EN473" s="27" t="s">
        <v>7</v>
      </c>
      <c r="EO473" s="27" t="s">
        <v>8</v>
      </c>
      <c r="FB473" s="27" t="s">
        <v>7</v>
      </c>
      <c r="FC473" s="27" t="s">
        <v>8</v>
      </c>
    </row>
    <row r="474" spans="1:163" x14ac:dyDescent="0.25">
      <c r="A474" s="7">
        <v>9.3717222538625968</v>
      </c>
      <c r="B474"/>
      <c r="C474"/>
      <c r="D474"/>
      <c r="E474"/>
      <c r="CO474" s="27" t="s">
        <v>8</v>
      </c>
      <c r="CP474" s="27" t="s">
        <v>7</v>
      </c>
      <c r="CQ474" s="27" t="s">
        <v>8</v>
      </c>
      <c r="DV474" s="27" t="s">
        <v>7</v>
      </c>
      <c r="DW474" s="27" t="s">
        <v>8</v>
      </c>
      <c r="EN474" s="27" t="s">
        <v>7</v>
      </c>
      <c r="EO474" s="27" t="s">
        <v>8</v>
      </c>
      <c r="FB474" s="27" t="s">
        <v>7</v>
      </c>
    </row>
    <row r="475" spans="1:163" x14ac:dyDescent="0.25">
      <c r="A475" s="7">
        <v>9.1879629939829375</v>
      </c>
      <c r="B475"/>
      <c r="C475"/>
      <c r="D475"/>
      <c r="E475"/>
      <c r="CO475" s="27" t="s">
        <v>8</v>
      </c>
      <c r="CP475" s="27" t="s">
        <v>7</v>
      </c>
      <c r="CQ475" s="27" t="s">
        <v>8</v>
      </c>
      <c r="DV475" s="27" t="s">
        <v>7</v>
      </c>
      <c r="DW475" s="27" t="s">
        <v>8</v>
      </c>
      <c r="EN475" s="27" t="s">
        <v>7</v>
      </c>
      <c r="EO475" s="27" t="s">
        <v>8</v>
      </c>
    </row>
    <row r="476" spans="1:163" x14ac:dyDescent="0.25">
      <c r="A476" s="7">
        <v>9.0078068568460168</v>
      </c>
      <c r="B476"/>
      <c r="C476"/>
      <c r="D476"/>
      <c r="E476"/>
      <c r="CO476" s="27" t="s">
        <v>8</v>
      </c>
      <c r="CP476" s="27" t="s">
        <v>7</v>
      </c>
      <c r="CQ476" s="27" t="s">
        <v>8</v>
      </c>
      <c r="DV476" s="27" t="s">
        <v>7</v>
      </c>
      <c r="DW476" s="27" t="s">
        <v>8</v>
      </c>
      <c r="EN476" s="27" t="s">
        <v>7</v>
      </c>
      <c r="EO476" s="27" t="s">
        <v>8</v>
      </c>
    </row>
    <row r="477" spans="1:163" x14ac:dyDescent="0.25">
      <c r="A477" s="7">
        <v>8.8311831929862912</v>
      </c>
      <c r="B477"/>
      <c r="C477"/>
      <c r="D477"/>
      <c r="E477"/>
      <c r="CO477" s="27" t="s">
        <v>8</v>
      </c>
      <c r="CP477" s="27" t="s">
        <v>7</v>
      </c>
      <c r="CQ477" s="27" t="s">
        <v>8</v>
      </c>
      <c r="DV477" s="27" t="s">
        <v>7</v>
      </c>
      <c r="DW477" s="27" t="s">
        <v>8</v>
      </c>
      <c r="EN477" s="27" t="s">
        <v>7</v>
      </c>
    </row>
    <row r="478" spans="1:163" x14ac:dyDescent="0.25">
      <c r="A478" s="7">
        <v>8.6580227382218542</v>
      </c>
      <c r="B478"/>
      <c r="C478"/>
      <c r="D478"/>
      <c r="E478"/>
      <c r="CO478" s="27" t="s">
        <v>8</v>
      </c>
      <c r="CP478" s="27" t="s">
        <v>7</v>
      </c>
      <c r="CQ478" s="27" t="s">
        <v>8</v>
      </c>
      <c r="DV478" s="27" t="s">
        <v>7</v>
      </c>
      <c r="DW478" s="27" t="s">
        <v>8</v>
      </c>
    </row>
    <row r="479" spans="1:163" x14ac:dyDescent="0.25">
      <c r="A479" s="7">
        <v>8.4882575864920131</v>
      </c>
      <c r="B479"/>
      <c r="C479"/>
      <c r="D479"/>
      <c r="E479"/>
      <c r="CO479" s="27" t="s">
        <v>8</v>
      </c>
      <c r="CP479" s="27" t="s">
        <v>7</v>
      </c>
      <c r="CQ479" s="27" t="s">
        <v>8</v>
      </c>
      <c r="DV479" s="27" t="s">
        <v>7</v>
      </c>
    </row>
    <row r="480" spans="1:163" x14ac:dyDescent="0.25">
      <c r="A480" s="7">
        <v>8.3218211632274635</v>
      </c>
      <c r="B480"/>
      <c r="C480"/>
      <c r="D480"/>
      <c r="E480"/>
      <c r="CO480" s="27" t="s">
        <v>8</v>
      </c>
      <c r="CP480" s="27" t="s">
        <v>7</v>
      </c>
      <c r="CQ480" s="27" t="s">
        <v>8</v>
      </c>
    </row>
    <row r="481" spans="1:95" x14ac:dyDescent="0.25">
      <c r="A481" s="7">
        <v>8.1586481992426112</v>
      </c>
      <c r="B481"/>
      <c r="C481"/>
      <c r="D481"/>
      <c r="E481"/>
      <c r="CO481" s="27" t="s">
        <v>8</v>
      </c>
      <c r="CP481" s="27" t="s">
        <v>7</v>
      </c>
      <c r="CQ481" s="27" t="s">
        <v>8</v>
      </c>
    </row>
    <row r="482" spans="1:95" x14ac:dyDescent="0.25">
      <c r="A482" s="7">
        <v>7.9986747051398144</v>
      </c>
      <c r="B482"/>
      <c r="C482"/>
      <c r="D482"/>
      <c r="E482"/>
      <c r="CI482" s="27" t="s">
        <v>8</v>
      </c>
      <c r="CO482" s="27" t="s">
        <v>8</v>
      </c>
      <c r="CP482" s="27" t="s">
        <v>7</v>
      </c>
      <c r="CQ482" s="27" t="s">
        <v>8</v>
      </c>
    </row>
    <row r="483" spans="1:95" x14ac:dyDescent="0.25">
      <c r="A483" s="7">
        <v>7.8418379462155041</v>
      </c>
      <c r="B483"/>
      <c r="C483"/>
      <c r="D483"/>
      <c r="E483"/>
      <c r="CI483" s="27" t="s">
        <v>8</v>
      </c>
      <c r="CJ483" s="27" t="s">
        <v>7</v>
      </c>
      <c r="CM483" s="27" t="s">
        <v>8</v>
      </c>
      <c r="CO483" s="27" t="s">
        <v>8</v>
      </c>
      <c r="CP483" s="27" t="s">
        <v>7</v>
      </c>
      <c r="CQ483" s="27" t="s">
        <v>8</v>
      </c>
    </row>
    <row r="484" spans="1:95" x14ac:dyDescent="0.25">
      <c r="A484" s="7">
        <v>7.688076417858337</v>
      </c>
      <c r="B484"/>
      <c r="C484"/>
      <c r="D484"/>
      <c r="E484"/>
      <c r="CI484" s="27" t="s">
        <v>8</v>
      </c>
      <c r="CJ484" s="27" t="s">
        <v>7</v>
      </c>
      <c r="CM484" s="27" t="s">
        <v>8</v>
      </c>
      <c r="CN484" s="27" t="s">
        <v>7</v>
      </c>
      <c r="CO484" s="27" t="s">
        <v>8</v>
      </c>
      <c r="CP484" s="27" t="s">
        <v>7</v>
      </c>
      <c r="CQ484" s="27" t="s">
        <v>8</v>
      </c>
    </row>
    <row r="485" spans="1:95" x14ac:dyDescent="0.25">
      <c r="A485" s="7">
        <v>7.5373298214297417</v>
      </c>
      <c r="B485"/>
      <c r="C485"/>
      <c r="D485"/>
      <c r="E485"/>
      <c r="CI485" s="27" t="s">
        <v>8</v>
      </c>
      <c r="CJ485" s="27" t="s">
        <v>7</v>
      </c>
      <c r="CK485" s="27" t="s">
        <v>8</v>
      </c>
      <c r="CM485" s="27" t="s">
        <v>8</v>
      </c>
      <c r="CN485" s="27" t="s">
        <v>7</v>
      </c>
      <c r="CO485" s="27" t="s">
        <v>8</v>
      </c>
      <c r="CP485" s="27" t="s">
        <v>7</v>
      </c>
      <c r="CQ485" s="27" t="s">
        <v>8</v>
      </c>
    </row>
    <row r="486" spans="1:95" x14ac:dyDescent="0.25">
      <c r="A486" s="7">
        <v>7.389539040617394</v>
      </c>
      <c r="B486"/>
      <c r="C486"/>
      <c r="D486"/>
      <c r="E486"/>
      <c r="CI486" s="27" t="s">
        <v>8</v>
      </c>
      <c r="CJ486" s="27" t="s">
        <v>7</v>
      </c>
      <c r="CK486" s="27" t="s">
        <v>8</v>
      </c>
      <c r="CL486" s="27" t="s">
        <v>7</v>
      </c>
      <c r="CM486" s="27" t="s">
        <v>8</v>
      </c>
      <c r="CN486" s="27" t="s">
        <v>7</v>
      </c>
      <c r="CO486" s="27" t="s">
        <v>8</v>
      </c>
      <c r="CP486" s="27" t="s">
        <v>7</v>
      </c>
      <c r="CQ486" s="27" t="s">
        <v>8</v>
      </c>
    </row>
    <row r="487" spans="1:95" x14ac:dyDescent="0.25">
      <c r="A487" s="7">
        <v>7.2446461182523469</v>
      </c>
      <c r="B487"/>
      <c r="C487"/>
      <c r="D487"/>
      <c r="E487"/>
      <c r="CI487" s="27" t="s">
        <v>8</v>
      </c>
      <c r="CJ487" s="27" t="s">
        <v>7</v>
      </c>
      <c r="CK487" s="27" t="s">
        <v>8</v>
      </c>
      <c r="CL487" s="27" t="s">
        <v>7</v>
      </c>
      <c r="CM487" s="27" t="s">
        <v>8</v>
      </c>
      <c r="CN487" s="27" t="s">
        <v>7</v>
      </c>
      <c r="CO487" s="27" t="s">
        <v>8</v>
      </c>
      <c r="CP487" s="27" t="s">
        <v>7</v>
      </c>
      <c r="CQ487" s="27" t="s">
        <v>8</v>
      </c>
    </row>
    <row r="488" spans="1:95" x14ac:dyDescent="0.25">
      <c r="A488" s="7">
        <v>7.1025942335807324</v>
      </c>
      <c r="B488"/>
      <c r="C488"/>
      <c r="D488"/>
      <c r="E488"/>
      <c r="CI488" s="27" t="s">
        <v>8</v>
      </c>
      <c r="CJ488" s="27" t="s">
        <v>7</v>
      </c>
      <c r="CK488" s="27" t="s">
        <v>8</v>
      </c>
      <c r="CL488" s="27" t="s">
        <v>7</v>
      </c>
      <c r="CM488" s="27" t="s">
        <v>8</v>
      </c>
      <c r="CN488" s="27" t="s">
        <v>7</v>
      </c>
      <c r="CO488" s="27" t="s">
        <v>8</v>
      </c>
      <c r="CP488" s="27" t="s">
        <v>7</v>
      </c>
      <c r="CQ488" s="27" t="s">
        <v>8</v>
      </c>
    </row>
    <row r="489" spans="1:95" x14ac:dyDescent="0.25">
      <c r="A489" s="7">
        <v>6.9633276799811101</v>
      </c>
      <c r="B489"/>
      <c r="C489"/>
      <c r="D489"/>
      <c r="E489"/>
      <c r="CI489" s="27" t="s">
        <v>8</v>
      </c>
      <c r="CJ489" s="27" t="s">
        <v>7</v>
      </c>
      <c r="CK489" s="27" t="s">
        <v>8</v>
      </c>
      <c r="CL489" s="27" t="s">
        <v>7</v>
      </c>
      <c r="CM489" s="27" t="s">
        <v>8</v>
      </c>
      <c r="CN489" s="27" t="s">
        <v>7</v>
      </c>
      <c r="CO489" s="27" t="s">
        <v>8</v>
      </c>
      <c r="CP489" s="27" t="s">
        <v>7</v>
      </c>
      <c r="CQ489" s="27" t="s">
        <v>8</v>
      </c>
    </row>
    <row r="490" spans="1:95" x14ac:dyDescent="0.25">
      <c r="A490" s="7">
        <v>6.8267918431187349</v>
      </c>
      <c r="B490"/>
      <c r="C490"/>
      <c r="D490"/>
      <c r="E490"/>
      <c r="CI490" s="27" t="s">
        <v>8</v>
      </c>
      <c r="CJ490" s="27" t="s">
        <v>7</v>
      </c>
      <c r="CK490" s="27" t="s">
        <v>8</v>
      </c>
      <c r="CL490" s="27" t="s">
        <v>7</v>
      </c>
      <c r="CM490" s="27" t="s">
        <v>8</v>
      </c>
      <c r="CN490" s="27" t="s">
        <v>7</v>
      </c>
      <c r="CO490" s="27" t="s">
        <v>8</v>
      </c>
      <c r="CP490" s="27" t="s">
        <v>7</v>
      </c>
      <c r="CQ490" s="27" t="s">
        <v>8</v>
      </c>
    </row>
    <row r="491" spans="1:95" x14ac:dyDescent="0.25">
      <c r="A491" s="7">
        <v>6.692933179528171</v>
      </c>
      <c r="B491"/>
      <c r="C491"/>
      <c r="D491"/>
      <c r="E491"/>
      <c r="CI491" s="27" t="s">
        <v>8</v>
      </c>
      <c r="CJ491" s="27" t="s">
        <v>7</v>
      </c>
      <c r="CK491" s="27" t="s">
        <v>8</v>
      </c>
      <c r="CL491" s="27" t="s">
        <v>7</v>
      </c>
      <c r="CM491" s="27" t="s">
        <v>8</v>
      </c>
      <c r="CN491" s="27" t="s">
        <v>7</v>
      </c>
      <c r="CP491" s="27" t="s">
        <v>7</v>
      </c>
      <c r="CQ491" s="27" t="s">
        <v>8</v>
      </c>
    </row>
    <row r="492" spans="1:95" x14ac:dyDescent="0.25">
      <c r="A492" s="7">
        <v>6.5616991956158541</v>
      </c>
      <c r="B492"/>
      <c r="C492"/>
      <c r="D492"/>
      <c r="E492"/>
      <c r="CI492" s="27" t="s">
        <v>8</v>
      </c>
      <c r="CJ492" s="27" t="s">
        <v>7</v>
      </c>
      <c r="CK492" s="27" t="s">
        <v>8</v>
      </c>
      <c r="CL492" s="27" t="s">
        <v>7</v>
      </c>
      <c r="CM492" s="27" t="s">
        <v>8</v>
      </c>
      <c r="CP492" s="27" t="s">
        <v>7</v>
      </c>
    </row>
    <row r="493" spans="1:95" x14ac:dyDescent="0.25">
      <c r="A493" s="7">
        <v>6.4330384270743668</v>
      </c>
      <c r="B493"/>
      <c r="C493"/>
      <c r="D493"/>
      <c r="E493"/>
      <c r="CI493" s="27" t="s">
        <v>8</v>
      </c>
      <c r="CJ493" s="27" t="s">
        <v>7</v>
      </c>
      <c r="CK493" s="27" t="s">
        <v>8</v>
      </c>
      <c r="CL493" s="27" t="s">
        <v>7</v>
      </c>
      <c r="CM493" s="27" t="s">
        <v>8</v>
      </c>
    </row>
    <row r="494" spans="1:95" x14ac:dyDescent="0.25">
      <c r="A494" s="7">
        <v>6.3069004187003594</v>
      </c>
      <c r="B494"/>
      <c r="C494"/>
      <c r="D494"/>
      <c r="E494"/>
      <c r="CI494" s="27" t="s">
        <v>8</v>
      </c>
      <c r="CJ494" s="27" t="s">
        <v>7</v>
      </c>
      <c r="CK494" s="27" t="s">
        <v>8</v>
      </c>
      <c r="CL494" s="27" t="s">
        <v>7</v>
      </c>
      <c r="CM494" s="27" t="s">
        <v>8</v>
      </c>
    </row>
    <row r="495" spans="1:95" x14ac:dyDescent="0.25">
      <c r="A495" s="7">
        <v>6.1832357046081956</v>
      </c>
      <c r="B495"/>
      <c r="C495"/>
      <c r="D495"/>
      <c r="E495"/>
      <c r="CI495" s="27" t="s">
        <v>8</v>
      </c>
      <c r="CJ495" s="27" t="s">
        <v>7</v>
      </c>
      <c r="CK495" s="27" t="s">
        <v>8</v>
      </c>
      <c r="CL495" s="27" t="s">
        <v>7</v>
      </c>
      <c r="CM495" s="27" t="s">
        <v>8</v>
      </c>
    </row>
    <row r="496" spans="1:95" x14ac:dyDescent="0.25">
      <c r="A496" s="7">
        <v>6.0619957888315641</v>
      </c>
      <c r="B496"/>
      <c r="C496"/>
      <c r="D496"/>
      <c r="E496"/>
      <c r="CI496" s="27" t="s">
        <v>8</v>
      </c>
      <c r="CJ496" s="27" t="s">
        <v>7</v>
      </c>
      <c r="CK496" s="27" t="s">
        <v>8</v>
      </c>
      <c r="CL496" s="27" t="s">
        <v>7</v>
      </c>
    </row>
    <row r="497" spans="1:89" x14ac:dyDescent="0.25">
      <c r="A497" s="7">
        <v>5.9431331263054545</v>
      </c>
      <c r="B497"/>
      <c r="C497"/>
      <c r="D497"/>
      <c r="E497"/>
      <c r="CI497" s="27" t="s">
        <v>8</v>
      </c>
      <c r="CJ497" s="27" t="s">
        <v>7</v>
      </c>
      <c r="CK497" s="27" t="s">
        <v>8</v>
      </c>
    </row>
    <row r="498" spans="1:89" x14ac:dyDescent="0.25">
      <c r="A498" s="7">
        <v>5.8266011042210337</v>
      </c>
      <c r="B498"/>
      <c r="C498"/>
      <c r="D498"/>
      <c r="E498"/>
      <c r="CI498" s="27" t="s">
        <v>8</v>
      </c>
      <c r="CJ498" s="27" t="s">
        <v>7</v>
      </c>
      <c r="CK498" s="27" t="s">
        <v>8</v>
      </c>
    </row>
    <row r="499" spans="1:89" x14ac:dyDescent="0.25">
      <c r="A499" s="7">
        <v>5.7123540237461112</v>
      </c>
      <c r="B499"/>
      <c r="C499"/>
      <c r="D499"/>
      <c r="E499"/>
      <c r="CI499" s="27" t="s">
        <v>8</v>
      </c>
      <c r="CJ499" s="27" t="s">
        <v>7</v>
      </c>
    </row>
    <row r="500" spans="1:89" x14ac:dyDescent="0.25">
      <c r="A500" s="7">
        <v>5.6003470821040304</v>
      </c>
      <c r="B500"/>
      <c r="C500"/>
      <c r="D500"/>
      <c r="E500"/>
      <c r="CI500" s="27" t="s">
        <v>8</v>
      </c>
    </row>
    <row r="501" spans="1:89" x14ac:dyDescent="0.25">
      <c r="A501" s="7">
        <v>5.4905363550039512</v>
      </c>
      <c r="B501"/>
      <c r="C501"/>
      <c r="D501"/>
      <c r="E501"/>
      <c r="CI501" s="27" t="s">
        <v>8</v>
      </c>
    </row>
    <row r="502" spans="1:89" x14ac:dyDescent="0.25">
      <c r="A502" s="7">
        <v>5.3828787794156385</v>
      </c>
      <c r="B502"/>
      <c r="C502"/>
      <c r="D502"/>
      <c r="E502"/>
      <c r="CI502" s="27" t="s">
        <v>8</v>
      </c>
    </row>
    <row r="503" spans="1:89" x14ac:dyDescent="0.25">
      <c r="A503" s="7">
        <v>5.2773321366819985</v>
      </c>
      <c r="B503"/>
      <c r="C503"/>
      <c r="D503"/>
      <c r="E503"/>
      <c r="CI503" s="27" t="s">
        <v>8</v>
      </c>
    </row>
    <row r="504" spans="1:89" x14ac:dyDescent="0.25">
      <c r="A504" s="7">
        <v>5.1738550359627435</v>
      </c>
      <c r="B504"/>
      <c r="C504"/>
      <c r="D504"/>
      <c r="E504"/>
      <c r="BU504" s="27" t="s">
        <v>8</v>
      </c>
      <c r="CI504" s="27" t="s">
        <v>8</v>
      </c>
    </row>
    <row r="505" spans="1:89" x14ac:dyDescent="0.25">
      <c r="A505" s="7">
        <v>5.07240689800269</v>
      </c>
      <c r="B505"/>
      <c r="C505"/>
      <c r="D505"/>
      <c r="E505"/>
      <c r="BU505" s="27" t="s">
        <v>8</v>
      </c>
      <c r="BV505" s="27" t="s">
        <v>7</v>
      </c>
      <c r="CI505" s="27" t="s">
        <v>8</v>
      </c>
    </row>
    <row r="506" spans="1:89" x14ac:dyDescent="0.25">
      <c r="A506" s="7">
        <v>4.9729479392183231</v>
      </c>
      <c r="B506"/>
      <c r="C506"/>
      <c r="D506"/>
      <c r="E506"/>
      <c r="BU506" s="27" t="s">
        <v>8</v>
      </c>
      <c r="BV506" s="27" t="s">
        <v>7</v>
      </c>
      <c r="CI506" s="27" t="s">
        <v>8</v>
      </c>
    </row>
    <row r="507" spans="1:89" x14ac:dyDescent="0.25">
      <c r="A507" s="7">
        <v>4.8754391560963954</v>
      </c>
      <c r="B507"/>
      <c r="C507"/>
      <c r="D507"/>
      <c r="E507"/>
      <c r="BS507" s="27" t="s">
        <v>8</v>
      </c>
      <c r="BU507" s="27" t="s">
        <v>8</v>
      </c>
      <c r="BV507" s="27" t="s">
        <v>7</v>
      </c>
      <c r="CI507" s="27" t="s">
        <v>8</v>
      </c>
    </row>
    <row r="508" spans="1:89" x14ac:dyDescent="0.25">
      <c r="A508" s="7">
        <v>4.7798423098984264</v>
      </c>
      <c r="B508"/>
      <c r="C508"/>
      <c r="D508"/>
      <c r="E508"/>
      <c r="BS508" s="27" t="s">
        <v>8</v>
      </c>
      <c r="BT508" s="27" t="s">
        <v>7</v>
      </c>
      <c r="BU508" s="27" t="s">
        <v>8</v>
      </c>
      <c r="BV508" s="27" t="s">
        <v>7</v>
      </c>
      <c r="CI508" s="27" t="s">
        <v>8</v>
      </c>
    </row>
    <row r="509" spans="1:89" x14ac:dyDescent="0.25">
      <c r="A509" s="7">
        <v>4.6861199116651235</v>
      </c>
      <c r="B509"/>
      <c r="C509"/>
      <c r="D509"/>
      <c r="E509"/>
      <c r="BS509" s="27" t="s">
        <v>8</v>
      </c>
      <c r="BT509" s="27" t="s">
        <v>7</v>
      </c>
      <c r="BU509" s="27" t="s">
        <v>8</v>
      </c>
      <c r="BV509" s="27" t="s">
        <v>7</v>
      </c>
      <c r="BW509" s="27" t="s">
        <v>8</v>
      </c>
      <c r="BY509" s="27" t="s">
        <v>8</v>
      </c>
      <c r="CI509" s="27" t="s">
        <v>8</v>
      </c>
    </row>
    <row r="510" spans="1:89" x14ac:dyDescent="0.25">
      <c r="A510" s="7">
        <v>4.5942352075148269</v>
      </c>
      <c r="B510"/>
      <c r="C510"/>
      <c r="D510"/>
      <c r="E510"/>
      <c r="BS510" s="27" t="s">
        <v>8</v>
      </c>
      <c r="BT510" s="27" t="s">
        <v>7</v>
      </c>
      <c r="BU510" s="27" t="s">
        <v>8</v>
      </c>
      <c r="BV510" s="27" t="s">
        <v>7</v>
      </c>
      <c r="BW510" s="27" t="s">
        <v>8</v>
      </c>
      <c r="BX510" s="27" t="s">
        <v>7</v>
      </c>
      <c r="BY510" s="27" t="s">
        <v>8</v>
      </c>
      <c r="BZ510" s="27" t="s">
        <v>7</v>
      </c>
      <c r="CI510" s="27" t="s">
        <v>8</v>
      </c>
    </row>
    <row r="511" spans="1:89" x14ac:dyDescent="0.25">
      <c r="A511" s="7">
        <v>4.5041521642302227</v>
      </c>
      <c r="B511"/>
      <c r="C511"/>
      <c r="D511"/>
      <c r="E511"/>
      <c r="BS511" s="27" t="s">
        <v>8</v>
      </c>
      <c r="BT511" s="27" t="s">
        <v>7</v>
      </c>
      <c r="BU511" s="27" t="s">
        <v>8</v>
      </c>
      <c r="BV511" s="27" t="s">
        <v>7</v>
      </c>
      <c r="BW511" s="27" t="s">
        <v>8</v>
      </c>
      <c r="BX511" s="27" t="s">
        <v>7</v>
      </c>
      <c r="BY511" s="27" t="s">
        <v>8</v>
      </c>
      <c r="BZ511" s="27" t="s">
        <v>7</v>
      </c>
      <c r="CI511" s="27" t="s">
        <v>8</v>
      </c>
    </row>
    <row r="512" spans="1:89" x14ac:dyDescent="0.25">
      <c r="A512" s="7">
        <v>4.4158354551276693</v>
      </c>
      <c r="B512"/>
      <c r="C512"/>
      <c r="D512"/>
      <c r="E512"/>
      <c r="BS512" s="27" t="s">
        <v>8</v>
      </c>
      <c r="BT512" s="27" t="s">
        <v>7</v>
      </c>
      <c r="BU512" s="27" t="s">
        <v>8</v>
      </c>
      <c r="BV512" s="27" t="s">
        <v>7</v>
      </c>
      <c r="BW512" s="27" t="s">
        <v>8</v>
      </c>
      <c r="BX512" s="27" t="s">
        <v>7</v>
      </c>
      <c r="BY512" s="27" t="s">
        <v>8</v>
      </c>
      <c r="BZ512" s="27" t="s">
        <v>7</v>
      </c>
      <c r="CE512" s="27" t="s">
        <v>8</v>
      </c>
      <c r="CG512" s="27" t="s">
        <v>8</v>
      </c>
      <c r="CI512" s="27" t="s">
        <v>8</v>
      </c>
    </row>
    <row r="513" spans="1:87" x14ac:dyDescent="0.25">
      <c r="A513" s="7">
        <v>4.3292504462035977</v>
      </c>
      <c r="B513"/>
      <c r="C513"/>
      <c r="D513"/>
      <c r="E513"/>
      <c r="BS513" s="27" t="s">
        <v>8</v>
      </c>
      <c r="BT513" s="27" t="s">
        <v>7</v>
      </c>
      <c r="BU513" s="27" t="s">
        <v>8</v>
      </c>
      <c r="BV513" s="27" t="s">
        <v>7</v>
      </c>
      <c r="BW513" s="27" t="s">
        <v>8</v>
      </c>
      <c r="BX513" s="27" t="s">
        <v>7</v>
      </c>
      <c r="BY513" s="27" t="s">
        <v>8</v>
      </c>
      <c r="BZ513" s="27" t="s">
        <v>7</v>
      </c>
      <c r="CA513" s="27" t="s">
        <v>8</v>
      </c>
      <c r="CE513" s="27" t="s">
        <v>8</v>
      </c>
      <c r="CF513" s="27" t="s">
        <v>7</v>
      </c>
      <c r="CG513" s="27" t="s">
        <v>8</v>
      </c>
      <c r="CH513" s="27" t="s">
        <v>7</v>
      </c>
      <c r="CI513" s="27" t="s">
        <v>8</v>
      </c>
    </row>
    <row r="514" spans="1:87" x14ac:dyDescent="0.25">
      <c r="A514" s="7">
        <v>4.2443631825525463</v>
      </c>
      <c r="B514"/>
      <c r="C514"/>
      <c r="D514"/>
      <c r="E514"/>
      <c r="BS514" s="27" t="s">
        <v>8</v>
      </c>
      <c r="BT514" s="27" t="s">
        <v>7</v>
      </c>
      <c r="BU514" s="27" t="s">
        <v>8</v>
      </c>
      <c r="BV514" s="27" t="s">
        <v>7</v>
      </c>
      <c r="BW514" s="27" t="s">
        <v>8</v>
      </c>
      <c r="BX514" s="27" t="s">
        <v>7</v>
      </c>
      <c r="BY514" s="27" t="s">
        <v>8</v>
      </c>
      <c r="BZ514" s="27" t="s">
        <v>7</v>
      </c>
      <c r="CA514" s="27" t="s">
        <v>8</v>
      </c>
      <c r="CB514" s="27" t="s">
        <v>7</v>
      </c>
      <c r="CC514" s="27" t="s">
        <v>8</v>
      </c>
      <c r="CE514" s="27" t="s">
        <v>8</v>
      </c>
      <c r="CF514" s="27" t="s">
        <v>7</v>
      </c>
      <c r="CG514" s="27" t="s">
        <v>8</v>
      </c>
      <c r="CH514" s="27" t="s">
        <v>7</v>
      </c>
      <c r="CI514" s="27" t="s">
        <v>8</v>
      </c>
    </row>
    <row r="515" spans="1:87" x14ac:dyDescent="0.25">
      <c r="A515" s="7">
        <v>4.1611403750515157</v>
      </c>
      <c r="B515"/>
      <c r="C515"/>
      <c r="D515"/>
      <c r="E515"/>
      <c r="BQ515" s="27" t="s">
        <v>8</v>
      </c>
      <c r="BS515" s="27" t="s">
        <v>8</v>
      </c>
      <c r="BT515" s="27" t="s">
        <v>7</v>
      </c>
      <c r="BV515" s="27" t="s">
        <v>7</v>
      </c>
      <c r="BW515" s="27" t="s">
        <v>8</v>
      </c>
      <c r="BX515" s="27" t="s">
        <v>7</v>
      </c>
      <c r="BY515" s="27" t="s">
        <v>8</v>
      </c>
      <c r="BZ515" s="27" t="s">
        <v>7</v>
      </c>
      <c r="CA515" s="27" t="s">
        <v>8</v>
      </c>
      <c r="CB515" s="27" t="s">
        <v>7</v>
      </c>
      <c r="CC515" s="27" t="s">
        <v>8</v>
      </c>
      <c r="CD515" s="27" t="s">
        <v>7</v>
      </c>
      <c r="CE515" s="27" t="s">
        <v>8</v>
      </c>
      <c r="CF515" s="27" t="s">
        <v>7</v>
      </c>
      <c r="CG515" s="27" t="s">
        <v>8</v>
      </c>
      <c r="CH515" s="27" t="s">
        <v>7</v>
      </c>
      <c r="CI515" s="27" t="s">
        <v>8</v>
      </c>
    </row>
    <row r="516" spans="1:87" x14ac:dyDescent="0.25">
      <c r="A516" s="7">
        <v>4.0795493873054074</v>
      </c>
      <c r="B516"/>
      <c r="C516"/>
      <c r="D516"/>
      <c r="E516"/>
      <c r="BQ516" s="27" t="s">
        <v>8</v>
      </c>
      <c r="BR516" s="27" t="s">
        <v>7</v>
      </c>
      <c r="BS516" s="27" t="s">
        <v>8</v>
      </c>
      <c r="BV516" s="27" t="s">
        <v>7</v>
      </c>
      <c r="BW516" s="27" t="s">
        <v>8</v>
      </c>
      <c r="BX516" s="27" t="s">
        <v>7</v>
      </c>
      <c r="BY516" s="27" t="s">
        <v>8</v>
      </c>
      <c r="BZ516" s="27" t="s">
        <v>7</v>
      </c>
      <c r="CA516" s="27" t="s">
        <v>8</v>
      </c>
      <c r="CB516" s="27" t="s">
        <v>7</v>
      </c>
      <c r="CC516" s="27" t="s">
        <v>8</v>
      </c>
      <c r="CD516" s="27" t="s">
        <v>7</v>
      </c>
      <c r="CE516" s="27" t="s">
        <v>8</v>
      </c>
      <c r="CF516" s="27" t="s">
        <v>7</v>
      </c>
      <c r="CG516" s="27" t="s">
        <v>8</v>
      </c>
      <c r="CH516" s="27" t="s">
        <v>7</v>
      </c>
      <c r="CI516" s="27" t="s">
        <v>8</v>
      </c>
    </row>
    <row r="517" spans="1:87" x14ac:dyDescent="0.25">
      <c r="A517" s="7">
        <v>3.9995582228484383</v>
      </c>
      <c r="B517"/>
      <c r="C517"/>
      <c r="D517"/>
      <c r="E517"/>
      <c r="BQ517" s="27" t="s">
        <v>8</v>
      </c>
      <c r="BR517" s="27" t="s">
        <v>7</v>
      </c>
      <c r="BS517" s="27" t="s">
        <v>8</v>
      </c>
      <c r="BV517" s="27" t="s">
        <v>7</v>
      </c>
      <c r="BW517" s="27" t="s">
        <v>8</v>
      </c>
      <c r="BX517" s="27" t="s">
        <v>7</v>
      </c>
      <c r="BY517" s="27" t="s">
        <v>8</v>
      </c>
      <c r="BZ517" s="27" t="s">
        <v>7</v>
      </c>
      <c r="CA517" s="27" t="s">
        <v>8</v>
      </c>
      <c r="CB517" s="27" t="s">
        <v>7</v>
      </c>
      <c r="CC517" s="27" t="s">
        <v>8</v>
      </c>
      <c r="CD517" s="27" t="s">
        <v>7</v>
      </c>
      <c r="CE517" s="27" t="s">
        <v>8</v>
      </c>
      <c r="CF517" s="27" t="s">
        <v>7</v>
      </c>
      <c r="CG517" s="27" t="s">
        <v>8</v>
      </c>
      <c r="CH517" s="27" t="s">
        <v>7</v>
      </c>
      <c r="CI517" s="27" t="s">
        <v>8</v>
      </c>
    </row>
    <row r="518" spans="1:87" x14ac:dyDescent="0.25">
      <c r="A518" s="7">
        <v>3.9211355125965079</v>
      </c>
      <c r="B518"/>
      <c r="C518"/>
      <c r="D518"/>
      <c r="E518"/>
      <c r="BO518" s="27" t="s">
        <v>8</v>
      </c>
      <c r="BQ518" s="27" t="s">
        <v>8</v>
      </c>
      <c r="BR518" s="27" t="s">
        <v>7</v>
      </c>
      <c r="BS518" s="27" t="s">
        <v>8</v>
      </c>
      <c r="BV518" s="27" t="s">
        <v>7</v>
      </c>
      <c r="BW518" s="27" t="s">
        <v>8</v>
      </c>
      <c r="BX518" s="27" t="s">
        <v>7</v>
      </c>
      <c r="BY518" s="27" t="s">
        <v>8</v>
      </c>
      <c r="BZ518" s="27" t="s">
        <v>7</v>
      </c>
      <c r="CA518" s="27" t="s">
        <v>8</v>
      </c>
      <c r="CB518" s="27" t="s">
        <v>7</v>
      </c>
      <c r="CC518" s="27" t="s">
        <v>8</v>
      </c>
      <c r="CD518" s="27" t="s">
        <v>7</v>
      </c>
      <c r="CE518" s="27" t="s">
        <v>8</v>
      </c>
      <c r="CF518" s="27" t="s">
        <v>7</v>
      </c>
      <c r="CH518" s="27" t="s">
        <v>7</v>
      </c>
      <c r="CI518" s="27" t="s">
        <v>8</v>
      </c>
    </row>
    <row r="519" spans="1:87" x14ac:dyDescent="0.25">
      <c r="A519" s="7">
        <v>3.844250502545596</v>
      </c>
      <c r="B519"/>
      <c r="C519"/>
      <c r="D519"/>
      <c r="E519"/>
      <c r="BO519" s="27" t="s">
        <v>8</v>
      </c>
      <c r="BP519" s="27" t="s">
        <v>7</v>
      </c>
      <c r="BQ519" s="27" t="s">
        <v>8</v>
      </c>
      <c r="BR519" s="27" t="s">
        <v>7</v>
      </c>
      <c r="BS519" s="27" t="s">
        <v>8</v>
      </c>
      <c r="BV519" s="27" t="s">
        <v>7</v>
      </c>
      <c r="BW519" s="27" t="s">
        <v>8</v>
      </c>
      <c r="BX519" s="27" t="s">
        <v>7</v>
      </c>
      <c r="BZ519" s="27" t="s">
        <v>7</v>
      </c>
      <c r="CB519" s="27" t="s">
        <v>7</v>
      </c>
      <c r="CC519" s="27" t="s">
        <v>8</v>
      </c>
      <c r="CD519" s="27" t="s">
        <v>7</v>
      </c>
      <c r="CE519" s="27" t="s">
        <v>8</v>
      </c>
      <c r="CH519" s="27" t="s">
        <v>7</v>
      </c>
      <c r="CI519" s="27" t="s">
        <v>8</v>
      </c>
    </row>
    <row r="520" spans="1:87" x14ac:dyDescent="0.25">
      <c r="A520" s="7">
        <v>3.7688730417113687</v>
      </c>
      <c r="B520"/>
      <c r="C520"/>
      <c r="D520"/>
      <c r="E520"/>
      <c r="BO520" s="27" t="s">
        <v>8</v>
      </c>
      <c r="BP520" s="27" t="s">
        <v>7</v>
      </c>
      <c r="BQ520" s="27" t="s">
        <v>8</v>
      </c>
      <c r="BR520" s="27" t="s">
        <v>7</v>
      </c>
      <c r="BS520" s="27" t="s">
        <v>8</v>
      </c>
      <c r="BV520" s="27" t="s">
        <v>7</v>
      </c>
      <c r="CB520" s="27" t="s">
        <v>7</v>
      </c>
      <c r="CC520" s="27" t="s">
        <v>8</v>
      </c>
      <c r="CD520" s="27" t="s">
        <v>7</v>
      </c>
      <c r="CE520" s="27" t="s">
        <v>8</v>
      </c>
      <c r="CH520" s="27" t="s">
        <v>7</v>
      </c>
    </row>
    <row r="521" spans="1:87" x14ac:dyDescent="0.25">
      <c r="A521" s="7">
        <v>3.6949735703052635</v>
      </c>
      <c r="B521"/>
      <c r="C521"/>
      <c r="D521"/>
      <c r="E521"/>
      <c r="BO521" s="27" t="s">
        <v>8</v>
      </c>
      <c r="BP521" s="27" t="s">
        <v>7</v>
      </c>
      <c r="BQ521" s="27" t="s">
        <v>8</v>
      </c>
      <c r="BR521" s="27" t="s">
        <v>7</v>
      </c>
      <c r="BS521" s="27" t="s">
        <v>8</v>
      </c>
      <c r="CB521" s="27" t="s">
        <v>7</v>
      </c>
      <c r="CC521" s="27" t="s">
        <v>8</v>
      </c>
      <c r="CD521" s="27" t="s">
        <v>7</v>
      </c>
      <c r="CE521" s="27" t="s">
        <v>8</v>
      </c>
    </row>
    <row r="522" spans="1:87" x14ac:dyDescent="0.25">
      <c r="A522" s="7">
        <v>3.6225231081424152</v>
      </c>
      <c r="B522"/>
      <c r="C522"/>
      <c r="D522"/>
      <c r="E522"/>
      <c r="BO522" s="27" t="s">
        <v>8</v>
      </c>
      <c r="BP522" s="27" t="s">
        <v>7</v>
      </c>
      <c r="BQ522" s="27" t="s">
        <v>8</v>
      </c>
      <c r="BR522" s="27" t="s">
        <v>7</v>
      </c>
      <c r="BS522" s="27" t="s">
        <v>8</v>
      </c>
      <c r="CB522" s="27" t="s">
        <v>7</v>
      </c>
      <c r="CC522" s="27" t="s">
        <v>8</v>
      </c>
      <c r="CD522" s="27" t="s">
        <v>7</v>
      </c>
      <c r="CE522" s="27" t="s">
        <v>8</v>
      </c>
    </row>
    <row r="523" spans="1:87" x14ac:dyDescent="0.25">
      <c r="A523" s="7">
        <v>3.5514932432768775</v>
      </c>
      <c r="B523"/>
      <c r="C523"/>
      <c r="D523"/>
      <c r="E523"/>
      <c r="BO523" s="27" t="s">
        <v>8</v>
      </c>
      <c r="BP523" s="27" t="s">
        <v>7</v>
      </c>
      <c r="BQ523" s="27" t="s">
        <v>8</v>
      </c>
      <c r="BR523" s="27" t="s">
        <v>7</v>
      </c>
      <c r="BS523" s="27" t="s">
        <v>8</v>
      </c>
      <c r="CB523" s="27" t="s">
        <v>7</v>
      </c>
      <c r="CC523" s="27" t="s">
        <v>8</v>
      </c>
      <c r="CD523" s="27" t="s">
        <v>7</v>
      </c>
      <c r="CE523" s="27" t="s">
        <v>8</v>
      </c>
    </row>
    <row r="524" spans="1:87" x14ac:dyDescent="0.25">
      <c r="A524" s="7">
        <v>3.4818561208596837</v>
      </c>
      <c r="B524"/>
      <c r="C524"/>
      <c r="D524"/>
      <c r="E524"/>
      <c r="BO524" s="27" t="s">
        <v>8</v>
      </c>
      <c r="BP524" s="27" t="s">
        <v>7</v>
      </c>
      <c r="BQ524" s="27" t="s">
        <v>8</v>
      </c>
      <c r="BR524" s="27" t="s">
        <v>7</v>
      </c>
      <c r="BS524" s="27" t="s">
        <v>8</v>
      </c>
      <c r="CB524" s="27" t="s">
        <v>7</v>
      </c>
      <c r="CC524" s="27" t="s">
        <v>8</v>
      </c>
      <c r="CD524" s="27" t="s">
        <v>7</v>
      </c>
      <c r="CE524" s="27" t="s">
        <v>8</v>
      </c>
    </row>
    <row r="525" spans="1:87" x14ac:dyDescent="0.25">
      <c r="A525" s="7">
        <v>3.4135844322153761</v>
      </c>
      <c r="B525"/>
      <c r="C525"/>
      <c r="D525"/>
      <c r="E525"/>
      <c r="BO525" s="27" t="s">
        <v>8</v>
      </c>
      <c r="BP525" s="27" t="s">
        <v>7</v>
      </c>
      <c r="BQ525" s="27" t="s">
        <v>8</v>
      </c>
      <c r="BR525" s="27" t="s">
        <v>7</v>
      </c>
      <c r="BS525" s="27" t="s">
        <v>8</v>
      </c>
      <c r="CB525" s="27" t="s">
        <v>7</v>
      </c>
      <c r="CC525" s="27" t="s">
        <v>8</v>
      </c>
      <c r="CD525" s="27" t="s">
        <v>7</v>
      </c>
    </row>
    <row r="526" spans="1:87" x14ac:dyDescent="0.25">
      <c r="A526" s="7">
        <v>3.3466514041327216</v>
      </c>
      <c r="B526"/>
      <c r="C526"/>
      <c r="D526"/>
      <c r="E526"/>
      <c r="BO526" s="27" t="s">
        <v>8</v>
      </c>
      <c r="BP526" s="27" t="s">
        <v>7</v>
      </c>
      <c r="BQ526" s="27" t="s">
        <v>8</v>
      </c>
      <c r="BR526" s="27" t="s">
        <v>7</v>
      </c>
      <c r="CB526" s="27" t="s">
        <v>7</v>
      </c>
      <c r="CC526" s="27" t="s">
        <v>8</v>
      </c>
    </row>
    <row r="527" spans="1:87" x14ac:dyDescent="0.25">
      <c r="A527" s="7">
        <v>3.2810307883654133</v>
      </c>
      <c r="B527"/>
      <c r="C527"/>
      <c r="D527"/>
      <c r="E527"/>
      <c r="BO527" s="27" t="s">
        <v>8</v>
      </c>
      <c r="BP527" s="27" t="s">
        <v>7</v>
      </c>
      <c r="BQ527" s="27" t="s">
        <v>8</v>
      </c>
      <c r="CB527" s="27" t="s">
        <v>7</v>
      </c>
      <c r="CC527" s="27" t="s">
        <v>8</v>
      </c>
    </row>
    <row r="528" spans="1:87" x14ac:dyDescent="0.25">
      <c r="A528" s="7">
        <v>3.2166968513386403</v>
      </c>
      <c r="B528"/>
      <c r="C528"/>
      <c r="D528"/>
      <c r="E528"/>
      <c r="BO528" s="27" t="s">
        <v>8</v>
      </c>
      <c r="BP528" s="27" t="s">
        <v>7</v>
      </c>
      <c r="BQ528" s="27" t="s">
        <v>8</v>
      </c>
      <c r="CB528" s="27" t="s">
        <v>7</v>
      </c>
      <c r="CC528" s="27" t="s">
        <v>8</v>
      </c>
    </row>
    <row r="529" spans="1:81" x14ac:dyDescent="0.25">
      <c r="A529" s="7">
        <v>3.1536243640574906</v>
      </c>
      <c r="B529"/>
      <c r="C529"/>
      <c r="D529"/>
      <c r="E529"/>
      <c r="BO529" s="27" t="s">
        <v>8</v>
      </c>
      <c r="BP529" s="27" t="s">
        <v>7</v>
      </c>
      <c r="CB529" s="27" t="s">
        <v>7</v>
      </c>
      <c r="CC529" s="27" t="s">
        <v>8</v>
      </c>
    </row>
    <row r="530" spans="1:81" x14ac:dyDescent="0.25">
      <c r="A530" s="7">
        <v>3.0917885922132262</v>
      </c>
      <c r="B530"/>
      <c r="C530"/>
      <c r="D530"/>
      <c r="E530"/>
      <c r="BO530" s="27" t="s">
        <v>8</v>
      </c>
      <c r="CB530" s="27" t="s">
        <v>7</v>
      </c>
      <c r="CC530" s="27" t="s">
        <v>8</v>
      </c>
    </row>
    <row r="531" spans="1:81" x14ac:dyDescent="0.25">
      <c r="A531" s="7">
        <v>3.0311652864835552</v>
      </c>
      <c r="B531"/>
      <c r="C531"/>
      <c r="D531"/>
      <c r="E531"/>
      <c r="BO531" s="27" t="s">
        <v>8</v>
      </c>
      <c r="CB531" s="27" t="s">
        <v>7</v>
      </c>
      <c r="CC531" s="27" t="s">
        <v>8</v>
      </c>
    </row>
    <row r="532" spans="1:81" x14ac:dyDescent="0.25">
      <c r="A532" s="7">
        <v>2.9717306730230932</v>
      </c>
      <c r="B532"/>
      <c r="C532"/>
      <c r="D532"/>
      <c r="E532"/>
      <c r="BO532" s="27" t="s">
        <v>8</v>
      </c>
      <c r="CB532" s="27" t="s">
        <v>7</v>
      </c>
      <c r="CC532" s="27" t="s">
        <v>8</v>
      </c>
    </row>
    <row r="533" spans="1:81" x14ac:dyDescent="0.25">
      <c r="A533" s="7">
        <v>2.9134614441402875</v>
      </c>
      <c r="B533"/>
      <c r="C533"/>
      <c r="D533"/>
      <c r="E533"/>
      <c r="BO533" s="27" t="s">
        <v>8</v>
      </c>
      <c r="CB533" s="27" t="s">
        <v>7</v>
      </c>
      <c r="CC533" s="27" t="s">
        <v>8</v>
      </c>
    </row>
    <row r="534" spans="1:81" x14ac:dyDescent="0.25">
      <c r="A534" s="7">
        <v>2.8563347491571447</v>
      </c>
      <c r="B534"/>
      <c r="C534"/>
      <c r="D534"/>
      <c r="E534"/>
      <c r="BO534" s="27" t="s">
        <v>8</v>
      </c>
      <c r="CB534" s="27" t="s">
        <v>7</v>
      </c>
      <c r="CC534" s="27" t="s">
        <v>8</v>
      </c>
    </row>
    <row r="535" spans="1:81" x14ac:dyDescent="0.25">
      <c r="A535" s="7">
        <v>2.8003281854481812</v>
      </c>
      <c r="B535"/>
      <c r="C535"/>
      <c r="D535"/>
      <c r="E535"/>
      <c r="BO535" s="27" t="s">
        <v>8</v>
      </c>
      <c r="CB535" s="27" t="s">
        <v>7</v>
      </c>
      <c r="CC535" s="27" t="s">
        <v>8</v>
      </c>
    </row>
    <row r="536" spans="1:81" x14ac:dyDescent="0.25">
      <c r="A536" s="7">
        <v>2.7454197896550796</v>
      </c>
      <c r="B536"/>
      <c r="C536"/>
      <c r="D536"/>
      <c r="E536"/>
      <c r="BO536" s="27" t="s">
        <v>8</v>
      </c>
      <c r="CB536" s="27" t="s">
        <v>7</v>
      </c>
      <c r="CC536" s="27" t="s">
        <v>8</v>
      </c>
    </row>
    <row r="537" spans="1:81" x14ac:dyDescent="0.25">
      <c r="A537" s="7">
        <v>2.6915880290736074</v>
      </c>
      <c r="B537"/>
      <c r="C537"/>
      <c r="D537"/>
      <c r="E537"/>
      <c r="BO537" s="27" t="s">
        <v>8</v>
      </c>
      <c r="CB537" s="27" t="s">
        <v>7</v>
      </c>
      <c r="CC537" s="27" t="s">
        <v>8</v>
      </c>
    </row>
    <row r="538" spans="1:81" x14ac:dyDescent="0.25">
      <c r="A538" s="7">
        <v>2.6388117932094191</v>
      </c>
      <c r="B538"/>
      <c r="C538"/>
      <c r="D538"/>
      <c r="E538"/>
      <c r="BO538" s="27" t="s">
        <v>8</v>
      </c>
      <c r="CB538" s="27" t="s">
        <v>7</v>
      </c>
      <c r="CC538" s="27" t="s">
        <v>8</v>
      </c>
    </row>
    <row r="539" spans="1:81" x14ac:dyDescent="0.25">
      <c r="A539" s="7">
        <v>2.5870703854994304</v>
      </c>
      <c r="B539"/>
      <c r="C539"/>
      <c r="D539"/>
      <c r="E539"/>
      <c r="BK539" s="27" t="s">
        <v>8</v>
      </c>
      <c r="BM539" s="27" t="s">
        <v>8</v>
      </c>
      <c r="BO539" s="27" t="s">
        <v>8</v>
      </c>
      <c r="CB539" s="27" t="s">
        <v>7</v>
      </c>
      <c r="CC539" s="27" t="s">
        <v>8</v>
      </c>
    </row>
    <row r="540" spans="1:81" x14ac:dyDescent="0.25">
      <c r="A540" s="7">
        <v>2.53634351519552</v>
      </c>
      <c r="B540"/>
      <c r="C540"/>
      <c r="D540"/>
      <c r="E540"/>
      <c r="BK540" s="27" t="s">
        <v>8</v>
      </c>
      <c r="BL540" s="27" t="s">
        <v>7</v>
      </c>
      <c r="BM540" s="27" t="s">
        <v>8</v>
      </c>
      <c r="BN540" s="27" t="s">
        <v>7</v>
      </c>
      <c r="BO540" s="27" t="s">
        <v>8</v>
      </c>
      <c r="CB540" s="27" t="s">
        <v>7</v>
      </c>
      <c r="CC540" s="27" t="s">
        <v>8</v>
      </c>
    </row>
    <row r="541" spans="1:81" x14ac:dyDescent="0.25">
      <c r="A541" s="7">
        <v>2.4866112894073726</v>
      </c>
      <c r="B541"/>
      <c r="C541"/>
      <c r="D541"/>
      <c r="E541"/>
      <c r="BK541" s="27" t="s">
        <v>8</v>
      </c>
      <c r="BL541" s="27" t="s">
        <v>7</v>
      </c>
      <c r="BM541" s="27" t="s">
        <v>8</v>
      </c>
      <c r="BN541" s="27" t="s">
        <v>7</v>
      </c>
      <c r="BO541" s="27" t="s">
        <v>8</v>
      </c>
      <c r="CB541" s="27" t="s">
        <v>7</v>
      </c>
      <c r="CC541" s="27" t="s">
        <v>8</v>
      </c>
    </row>
    <row r="542" spans="1:81" x14ac:dyDescent="0.25">
      <c r="A542" s="7">
        <v>2.4378542053013459</v>
      </c>
      <c r="B542"/>
      <c r="C542"/>
      <c r="D542"/>
      <c r="E542"/>
      <c r="BK542" s="27" t="s">
        <v>8</v>
      </c>
      <c r="BL542" s="27" t="s">
        <v>7</v>
      </c>
      <c r="BM542" s="27" t="s">
        <v>8</v>
      </c>
      <c r="BN542" s="27" t="s">
        <v>7</v>
      </c>
      <c r="BO542" s="27" t="s">
        <v>8</v>
      </c>
      <c r="CB542" s="27" t="s">
        <v>7</v>
      </c>
    </row>
    <row r="543" spans="1:81" x14ac:dyDescent="0.25">
      <c r="A543" s="7">
        <v>2.3900531424522997</v>
      </c>
      <c r="B543"/>
      <c r="C543"/>
      <c r="D543"/>
      <c r="E543"/>
      <c r="BK543" s="27" t="s">
        <v>8</v>
      </c>
      <c r="BL543" s="27" t="s">
        <v>7</v>
      </c>
      <c r="BM543" s="27" t="s">
        <v>8</v>
      </c>
      <c r="BN543" s="27" t="s">
        <v>7</v>
      </c>
      <c r="BO543" s="27" t="s">
        <v>8</v>
      </c>
    </row>
    <row r="544" spans="1:81" x14ac:dyDescent="0.25">
      <c r="A544" s="7">
        <v>2.343189355345392</v>
      </c>
      <c r="B544"/>
      <c r="C544"/>
      <c r="D544"/>
      <c r="E544"/>
      <c r="BK544" s="27" t="s">
        <v>8</v>
      </c>
      <c r="BL544" s="27" t="s">
        <v>7</v>
      </c>
      <c r="BM544" s="27" t="s">
        <v>8</v>
      </c>
      <c r="BN544" s="27" t="s">
        <v>7</v>
      </c>
      <c r="BO544" s="27" t="s">
        <v>8</v>
      </c>
    </row>
    <row r="545" spans="1:67" x14ac:dyDescent="0.25">
      <c r="A545" s="7">
        <v>2.2972444660248938</v>
      </c>
      <c r="B545"/>
      <c r="C545"/>
      <c r="D545"/>
      <c r="E545" t="s">
        <v>8</v>
      </c>
      <c r="BI545" s="27" t="s">
        <v>8</v>
      </c>
      <c r="BK545" s="27" t="s">
        <v>8</v>
      </c>
      <c r="BL545" s="27" t="s">
        <v>7</v>
      </c>
      <c r="BM545" s="27" t="s">
        <v>8</v>
      </c>
      <c r="BN545" s="27" t="s">
        <v>7</v>
      </c>
      <c r="BO545" s="27" t="s">
        <v>8</v>
      </c>
    </row>
    <row r="546" spans="1:67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BI546" s="27" t="s">
        <v>8</v>
      </c>
      <c r="BJ546" s="27" t="s">
        <v>7</v>
      </c>
      <c r="BK546" s="27" t="s">
        <v>8</v>
      </c>
      <c r="BL546" s="27" t="s">
        <v>7</v>
      </c>
      <c r="BM546" s="27" t="s">
        <v>8</v>
      </c>
      <c r="BN546" s="27" t="s">
        <v>7</v>
      </c>
      <c r="BO546" s="27" t="s">
        <v>8</v>
      </c>
    </row>
    <row r="547" spans="1:67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BI547" s="27" t="s">
        <v>8</v>
      </c>
      <c r="BJ547" s="27" t="s">
        <v>7</v>
      </c>
      <c r="BK547" s="27" t="s">
        <v>8</v>
      </c>
      <c r="BL547" s="27" t="s">
        <v>7</v>
      </c>
      <c r="BM547" s="27" t="s">
        <v>8</v>
      </c>
      <c r="BN547" s="27" t="s">
        <v>7</v>
      </c>
      <c r="BO547" s="27" t="s">
        <v>8</v>
      </c>
    </row>
    <row r="548" spans="1:67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BI548" s="27" t="s">
        <v>8</v>
      </c>
      <c r="BJ548" s="27" t="s">
        <v>7</v>
      </c>
      <c r="BK548" s="27" t="s">
        <v>8</v>
      </c>
      <c r="BL548" s="27" t="s">
        <v>7</v>
      </c>
      <c r="BM548" s="27" t="s">
        <v>8</v>
      </c>
      <c r="BN548" s="27" t="s">
        <v>7</v>
      </c>
    </row>
    <row r="549" spans="1:67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BI549" s="27" t="s">
        <v>8</v>
      </c>
      <c r="BJ549" s="27" t="s">
        <v>7</v>
      </c>
      <c r="BK549" s="27" t="s">
        <v>8</v>
      </c>
      <c r="BL549" s="27" t="s">
        <v>7</v>
      </c>
      <c r="BM549" s="27" t="s">
        <v>8</v>
      </c>
    </row>
    <row r="550" spans="1:67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BI550" s="27" t="s">
        <v>8</v>
      </c>
      <c r="BJ550" s="27" t="s">
        <v>7</v>
      </c>
      <c r="BK550" s="27" t="s">
        <v>8</v>
      </c>
      <c r="BL550" s="27" t="s">
        <v>7</v>
      </c>
      <c r="BM550" s="27" t="s">
        <v>8</v>
      </c>
    </row>
    <row r="551" spans="1:67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BI551" s="27" t="s">
        <v>8</v>
      </c>
      <c r="BJ551" s="27" t="s">
        <v>7</v>
      </c>
      <c r="BK551" s="27" t="s">
        <v>8</v>
      </c>
      <c r="BL551" s="27" t="s">
        <v>7</v>
      </c>
    </row>
    <row r="552" spans="1:67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BI552" s="27" t="s">
        <v>8</v>
      </c>
      <c r="BJ552" s="27" t="s">
        <v>7</v>
      </c>
      <c r="BK552" s="27" t="s">
        <v>8</v>
      </c>
    </row>
    <row r="553" spans="1:67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BE553" s="27" t="s">
        <v>8</v>
      </c>
      <c r="BI553" s="27" t="s">
        <v>8</v>
      </c>
      <c r="BJ553" s="27" t="s">
        <v>7</v>
      </c>
      <c r="BK553" s="27" t="s">
        <v>8</v>
      </c>
    </row>
    <row r="554" spans="1:67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AA554" s="27" t="s">
        <v>8</v>
      </c>
      <c r="BE554" s="27" t="s">
        <v>8</v>
      </c>
      <c r="BF554" s="27" t="s">
        <v>7</v>
      </c>
      <c r="BI554" s="27" t="s">
        <v>8</v>
      </c>
      <c r="BJ554" s="27" t="s">
        <v>7</v>
      </c>
      <c r="BK554" s="27" t="s">
        <v>8</v>
      </c>
    </row>
    <row r="555" spans="1:67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G555" s="27" t="s">
        <v>8</v>
      </c>
      <c r="H555" s="27" t="s">
        <v>7</v>
      </c>
      <c r="AA555" s="27" t="s">
        <v>8</v>
      </c>
      <c r="AB555" s="27" t="s">
        <v>7</v>
      </c>
      <c r="AC555" s="27" t="s">
        <v>8</v>
      </c>
      <c r="BE555" s="27" t="s">
        <v>8</v>
      </c>
      <c r="BF555" s="27" t="s">
        <v>7</v>
      </c>
      <c r="BI555" s="27" t="s">
        <v>8</v>
      </c>
      <c r="BJ555" s="27" t="s">
        <v>7</v>
      </c>
      <c r="BK555" s="27" t="s">
        <v>8</v>
      </c>
    </row>
    <row r="556" spans="1:67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G556" s="27" t="s">
        <v>8</v>
      </c>
      <c r="H556" s="27" t="s">
        <v>7</v>
      </c>
      <c r="AA556" s="27" t="s">
        <v>8</v>
      </c>
      <c r="AB556" s="27" t="s">
        <v>7</v>
      </c>
      <c r="AC556" s="27" t="s">
        <v>8</v>
      </c>
      <c r="AD556" s="27" t="s">
        <v>7</v>
      </c>
      <c r="AO556" s="27" t="s">
        <v>8</v>
      </c>
      <c r="BE556" s="27" t="s">
        <v>8</v>
      </c>
      <c r="BF556" s="27" t="s">
        <v>7</v>
      </c>
      <c r="BI556" s="27" t="s">
        <v>8</v>
      </c>
      <c r="BJ556" s="27" t="s">
        <v>7</v>
      </c>
    </row>
    <row r="557" spans="1:67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G557" s="27" t="s">
        <v>8</v>
      </c>
      <c r="H557" s="27" t="s">
        <v>7</v>
      </c>
      <c r="AA557" s="27" t="s">
        <v>8</v>
      </c>
      <c r="AB557" s="27" t="s">
        <v>7</v>
      </c>
      <c r="AC557" s="27" t="s">
        <v>8</v>
      </c>
      <c r="AD557" s="27" t="s">
        <v>7</v>
      </c>
      <c r="AO557" s="27" t="s">
        <v>8</v>
      </c>
      <c r="AP557" s="27" t="s">
        <v>7</v>
      </c>
      <c r="BE557" s="27" t="s">
        <v>8</v>
      </c>
      <c r="BF557" s="27" t="s">
        <v>7</v>
      </c>
      <c r="BG557" s="27" t="s">
        <v>8</v>
      </c>
      <c r="BI557" s="27" t="s">
        <v>8</v>
      </c>
    </row>
    <row r="558" spans="1:67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G558" s="27" t="s">
        <v>8</v>
      </c>
      <c r="H558" s="27" t="s">
        <v>7</v>
      </c>
      <c r="AA558" s="27" t="s">
        <v>8</v>
      </c>
      <c r="AB558" s="27" t="s">
        <v>7</v>
      </c>
      <c r="AC558" s="27" t="s">
        <v>8</v>
      </c>
      <c r="AD558" s="27" t="s">
        <v>7</v>
      </c>
      <c r="AO558" s="27" t="s">
        <v>8</v>
      </c>
      <c r="AP558" s="27" t="s">
        <v>7</v>
      </c>
      <c r="BC558" s="27" t="s">
        <v>8</v>
      </c>
      <c r="BE558" s="27" t="s">
        <v>8</v>
      </c>
      <c r="BF558" s="27" t="s">
        <v>7</v>
      </c>
      <c r="BG558" s="27" t="s">
        <v>8</v>
      </c>
      <c r="BH558" s="27" t="s">
        <v>7</v>
      </c>
      <c r="BI558" s="27" t="s">
        <v>8</v>
      </c>
    </row>
    <row r="559" spans="1:67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H559" s="27" t="s">
        <v>7</v>
      </c>
      <c r="I559" s="27" t="s">
        <v>8</v>
      </c>
      <c r="AA559" s="27" t="s">
        <v>8</v>
      </c>
      <c r="AB559" s="27" t="s">
        <v>7</v>
      </c>
      <c r="AC559" s="27" t="s">
        <v>8</v>
      </c>
      <c r="AD559" s="27" t="s">
        <v>7</v>
      </c>
      <c r="AO559" s="27" t="s">
        <v>8</v>
      </c>
      <c r="AP559" s="27" t="s">
        <v>7</v>
      </c>
      <c r="BC559" s="27" t="s">
        <v>8</v>
      </c>
      <c r="BD559" s="27" t="s">
        <v>7</v>
      </c>
      <c r="BE559" s="27" t="s">
        <v>8</v>
      </c>
      <c r="BF559" s="27" t="s">
        <v>7</v>
      </c>
      <c r="BG559" s="27" t="s">
        <v>8</v>
      </c>
      <c r="BH559" s="27" t="s">
        <v>7</v>
      </c>
      <c r="BI559" s="27" t="s">
        <v>8</v>
      </c>
    </row>
    <row r="560" spans="1:67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H560" s="27" t="s">
        <v>7</v>
      </c>
      <c r="I560" s="27" t="s">
        <v>8</v>
      </c>
      <c r="J560" s="27" t="s">
        <v>7</v>
      </c>
      <c r="AA560" s="27" t="s">
        <v>8</v>
      </c>
      <c r="AB560" s="27" t="s">
        <v>7</v>
      </c>
      <c r="AC560" s="27" t="s">
        <v>8</v>
      </c>
      <c r="AD560" s="27" t="s">
        <v>7</v>
      </c>
      <c r="AO560" s="27" t="s">
        <v>8</v>
      </c>
      <c r="AP560" s="27" t="s">
        <v>7</v>
      </c>
      <c r="BC560" s="27" t="s">
        <v>8</v>
      </c>
      <c r="BD560" s="27" t="s">
        <v>7</v>
      </c>
      <c r="BE560" s="27" t="s">
        <v>8</v>
      </c>
      <c r="BF560" s="27" t="s">
        <v>7</v>
      </c>
      <c r="BG560" s="27" t="s">
        <v>8</v>
      </c>
      <c r="BH560" s="27" t="s">
        <v>7</v>
      </c>
      <c r="BI560" s="27" t="s">
        <v>8</v>
      </c>
    </row>
    <row r="561" spans="1:60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G561" s="27" t="s">
        <v>8</v>
      </c>
      <c r="H561" s="27" t="s">
        <v>7</v>
      </c>
      <c r="I561" s="27" t="s">
        <v>8</v>
      </c>
      <c r="J561" s="27" t="s">
        <v>7</v>
      </c>
      <c r="AA561" s="27" t="s">
        <v>8</v>
      </c>
      <c r="AB561" s="27" t="s">
        <v>7</v>
      </c>
      <c r="AC561" s="27" t="s">
        <v>8</v>
      </c>
      <c r="AD561" s="27" t="s">
        <v>7</v>
      </c>
      <c r="AO561" s="27" t="s">
        <v>8</v>
      </c>
      <c r="AP561" s="27" t="s">
        <v>7</v>
      </c>
      <c r="BC561" s="27" t="s">
        <v>8</v>
      </c>
      <c r="BD561" s="27" t="s">
        <v>7</v>
      </c>
      <c r="BE561" s="27" t="s">
        <v>8</v>
      </c>
      <c r="BF561" s="27" t="s">
        <v>7</v>
      </c>
      <c r="BG561" s="27" t="s">
        <v>8</v>
      </c>
      <c r="BH561" s="27" t="s">
        <v>7</v>
      </c>
    </row>
    <row r="562" spans="1:60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G562" s="27" t="s">
        <v>8</v>
      </c>
      <c r="H562" s="27" t="s">
        <v>7</v>
      </c>
      <c r="I562" s="27" t="s">
        <v>8</v>
      </c>
      <c r="J562" s="27" t="s">
        <v>7</v>
      </c>
      <c r="AA562" s="27" t="s">
        <v>8</v>
      </c>
      <c r="AB562" s="27" t="s">
        <v>7</v>
      </c>
      <c r="AC562" s="27" t="s">
        <v>8</v>
      </c>
      <c r="AD562" s="27" t="s">
        <v>7</v>
      </c>
      <c r="AI562" s="27" t="s">
        <v>8</v>
      </c>
      <c r="AO562" s="27" t="s">
        <v>8</v>
      </c>
      <c r="AP562" s="27" t="s">
        <v>7</v>
      </c>
      <c r="AS562" s="27" t="s">
        <v>8</v>
      </c>
      <c r="AW562" s="27" t="s">
        <v>8</v>
      </c>
      <c r="BC562" s="27" t="s">
        <v>8</v>
      </c>
      <c r="BD562" s="27" t="s">
        <v>7</v>
      </c>
      <c r="BE562" s="27" t="s">
        <v>8</v>
      </c>
      <c r="BF562" s="27" t="s">
        <v>7</v>
      </c>
      <c r="BG562" s="27" t="s">
        <v>8</v>
      </c>
    </row>
    <row r="563" spans="1:60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G563" s="27" t="s">
        <v>8</v>
      </c>
      <c r="H563" s="27" t="s">
        <v>7</v>
      </c>
      <c r="I563" s="27" t="s">
        <v>8</v>
      </c>
      <c r="J563" s="27" t="s">
        <v>7</v>
      </c>
      <c r="AA563" s="27" t="s">
        <v>8</v>
      </c>
      <c r="AB563" s="27" t="s">
        <v>7</v>
      </c>
      <c r="AC563" s="27" t="s">
        <v>8</v>
      </c>
      <c r="AD563" s="27" t="s">
        <v>7</v>
      </c>
      <c r="AI563" s="27" t="s">
        <v>8</v>
      </c>
      <c r="AJ563" s="27" t="s">
        <v>7</v>
      </c>
      <c r="AO563" s="27" t="s">
        <v>8</v>
      </c>
      <c r="AP563" s="27" t="s">
        <v>7</v>
      </c>
      <c r="AS563" s="27" t="s">
        <v>8</v>
      </c>
      <c r="AT563" s="27" t="s">
        <v>7</v>
      </c>
      <c r="AW563" s="27" t="s">
        <v>8</v>
      </c>
      <c r="AX563" s="27" t="s">
        <v>7</v>
      </c>
      <c r="AY563" s="27" t="s">
        <v>8</v>
      </c>
      <c r="BC563" s="27" t="s">
        <v>8</v>
      </c>
      <c r="BD563" s="27" t="s">
        <v>7</v>
      </c>
      <c r="BE563" s="27" t="s">
        <v>8</v>
      </c>
      <c r="BF563" s="27" t="s">
        <v>7</v>
      </c>
      <c r="BG563" s="27" t="s">
        <v>8</v>
      </c>
    </row>
    <row r="564" spans="1:60" x14ac:dyDescent="0.25">
      <c r="A564" s="7">
        <v>1.5768992641913981</v>
      </c>
      <c r="B564"/>
      <c r="C564"/>
      <c r="D564"/>
      <c r="E564" t="s">
        <v>8</v>
      </c>
      <c r="F564" s="27" t="s">
        <v>7</v>
      </c>
      <c r="G564" s="27" t="s">
        <v>8</v>
      </c>
      <c r="H564" s="27" t="s">
        <v>7</v>
      </c>
      <c r="I564" s="27" t="s">
        <v>8</v>
      </c>
      <c r="J564" s="27" t="s">
        <v>7</v>
      </c>
      <c r="K564" s="27" t="s">
        <v>8</v>
      </c>
      <c r="AA564" s="27" t="s">
        <v>8</v>
      </c>
      <c r="AB564" s="27" t="s">
        <v>7</v>
      </c>
      <c r="AC564" s="27" t="s">
        <v>8</v>
      </c>
      <c r="AD564" s="27" t="s">
        <v>7</v>
      </c>
      <c r="AI564" s="27" t="s">
        <v>8</v>
      </c>
      <c r="AJ564" s="27" t="s">
        <v>7</v>
      </c>
      <c r="AO564" s="27" t="s">
        <v>8</v>
      </c>
      <c r="AP564" s="27" t="s">
        <v>7</v>
      </c>
      <c r="AS564" s="27" t="s">
        <v>8</v>
      </c>
      <c r="AT564" s="27" t="s">
        <v>7</v>
      </c>
      <c r="AW564" s="27" t="s">
        <v>8</v>
      </c>
      <c r="AX564" s="27" t="s">
        <v>7</v>
      </c>
      <c r="AY564" s="27" t="s">
        <v>8</v>
      </c>
      <c r="AZ564" s="27" t="s">
        <v>7</v>
      </c>
      <c r="BC564" s="27" t="s">
        <v>8</v>
      </c>
      <c r="BD564" s="27" t="s">
        <v>7</v>
      </c>
      <c r="BE564" s="27" t="s">
        <v>8</v>
      </c>
      <c r="BF564" s="27" t="s">
        <v>7</v>
      </c>
      <c r="BG564" s="27" t="s">
        <v>8</v>
      </c>
    </row>
    <row r="565" spans="1:60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G565" s="27" t="s">
        <v>8</v>
      </c>
      <c r="H565" s="27" t="s">
        <v>7</v>
      </c>
      <c r="I565" s="27" t="s">
        <v>8</v>
      </c>
      <c r="J565" s="27" t="s">
        <v>7</v>
      </c>
      <c r="K565" s="27" t="s">
        <v>8</v>
      </c>
      <c r="L565" s="27" t="s">
        <v>7</v>
      </c>
      <c r="AA565" s="27" t="s">
        <v>8</v>
      </c>
      <c r="AB565" s="27" t="s">
        <v>7</v>
      </c>
      <c r="AD565" s="27" t="s">
        <v>7</v>
      </c>
      <c r="AG565" s="27" t="s">
        <v>8</v>
      </c>
      <c r="AI565" s="27" t="s">
        <v>8</v>
      </c>
      <c r="AJ565" s="27" t="s">
        <v>7</v>
      </c>
      <c r="AO565" s="27" t="s">
        <v>8</v>
      </c>
      <c r="AP565" s="27" t="s">
        <v>7</v>
      </c>
      <c r="AS565" s="27" t="s">
        <v>8</v>
      </c>
      <c r="AT565" s="27" t="s">
        <v>7</v>
      </c>
      <c r="AW565" s="27" t="s">
        <v>8</v>
      </c>
      <c r="AX565" s="27" t="s">
        <v>7</v>
      </c>
      <c r="AY565" s="27" t="s">
        <v>8</v>
      </c>
      <c r="AZ565" s="27" t="s">
        <v>7</v>
      </c>
      <c r="BC565" s="27" t="s">
        <v>8</v>
      </c>
      <c r="BD565" s="27" t="s">
        <v>7</v>
      </c>
      <c r="BE565" s="27" t="s">
        <v>8</v>
      </c>
      <c r="BF565" s="27" t="s">
        <v>7</v>
      </c>
      <c r="BG565" s="27" t="s">
        <v>8</v>
      </c>
    </row>
    <row r="566" spans="1:60" x14ac:dyDescent="0.25">
      <c r="A566" s="7">
        <v>1.5156663438979221</v>
      </c>
      <c r="B566"/>
      <c r="C566"/>
      <c r="D566"/>
      <c r="E566" t="s">
        <v>8</v>
      </c>
      <c r="F566" s="27" t="s">
        <v>7</v>
      </c>
      <c r="H566" s="27" t="s">
        <v>7</v>
      </c>
      <c r="J566" s="27" t="s">
        <v>7</v>
      </c>
      <c r="K566" s="27" t="s">
        <v>8</v>
      </c>
      <c r="L566" s="27" t="s">
        <v>7</v>
      </c>
      <c r="M566" s="27" t="s">
        <v>8</v>
      </c>
      <c r="AA566" s="27" t="s">
        <v>8</v>
      </c>
      <c r="AD566" s="27" t="s">
        <v>7</v>
      </c>
      <c r="AG566" s="27" t="s">
        <v>8</v>
      </c>
      <c r="AH566" s="27" t="s">
        <v>7</v>
      </c>
      <c r="AI566" s="27" t="s">
        <v>8</v>
      </c>
      <c r="AJ566" s="27" t="s">
        <v>7</v>
      </c>
      <c r="AM566" s="27" t="s">
        <v>8</v>
      </c>
      <c r="AO566" s="27" t="s">
        <v>8</v>
      </c>
      <c r="AP566" s="27" t="s">
        <v>7</v>
      </c>
      <c r="AS566" s="27" t="s">
        <v>8</v>
      </c>
      <c r="AT566" s="27" t="s">
        <v>7</v>
      </c>
      <c r="AW566" s="27" t="s">
        <v>8</v>
      </c>
      <c r="AX566" s="27" t="s">
        <v>7</v>
      </c>
      <c r="AY566" s="27" t="s">
        <v>8</v>
      </c>
      <c r="AZ566" s="27" t="s">
        <v>7</v>
      </c>
      <c r="BC566" s="27" t="s">
        <v>8</v>
      </c>
      <c r="BD566" s="27" t="s">
        <v>7</v>
      </c>
      <c r="BE566" s="27" t="s">
        <v>8</v>
      </c>
      <c r="BF566" s="27" t="s">
        <v>7</v>
      </c>
      <c r="BG566" s="27" t="s">
        <v>8</v>
      </c>
    </row>
    <row r="567" spans="1:60" x14ac:dyDescent="0.25">
      <c r="A567" s="7">
        <v>1.4859473959783549</v>
      </c>
      <c r="B567"/>
      <c r="C567"/>
      <c r="D567"/>
      <c r="E567" t="s">
        <v>8</v>
      </c>
      <c r="J567" s="27" t="s">
        <v>7</v>
      </c>
      <c r="K567" s="27" t="s">
        <v>8</v>
      </c>
      <c r="L567" s="27" t="s">
        <v>7</v>
      </c>
      <c r="M567" s="27" t="s">
        <v>8</v>
      </c>
      <c r="N567" s="27" t="s">
        <v>7</v>
      </c>
      <c r="AA567" s="27" t="s">
        <v>8</v>
      </c>
      <c r="AD567" s="27" t="s">
        <v>7</v>
      </c>
      <c r="AE567" s="27" t="s">
        <v>8</v>
      </c>
      <c r="AG567" s="27" t="s">
        <v>8</v>
      </c>
      <c r="AH567" s="27" t="s">
        <v>7</v>
      </c>
      <c r="AI567" s="27" t="s">
        <v>8</v>
      </c>
      <c r="AJ567" s="27" t="s">
        <v>7</v>
      </c>
      <c r="AM567" s="27" t="s">
        <v>8</v>
      </c>
      <c r="AN567" s="27" t="s">
        <v>7</v>
      </c>
      <c r="AO567" s="27" t="s">
        <v>8</v>
      </c>
      <c r="AP567" s="27" t="s">
        <v>7</v>
      </c>
      <c r="AS567" s="27" t="s">
        <v>8</v>
      </c>
      <c r="AT567" s="27" t="s">
        <v>7</v>
      </c>
      <c r="AW567" s="27" t="s">
        <v>8</v>
      </c>
      <c r="AX567" s="27" t="s">
        <v>7</v>
      </c>
      <c r="AY567" s="27" t="s">
        <v>8</v>
      </c>
      <c r="AZ567" s="27" t="s">
        <v>7</v>
      </c>
      <c r="BC567" s="27" t="s">
        <v>8</v>
      </c>
      <c r="BD567" s="27" t="s">
        <v>7</v>
      </c>
      <c r="BE567" s="27" t="s">
        <v>8</v>
      </c>
      <c r="BF567" s="27" t="s">
        <v>7</v>
      </c>
      <c r="BG567" s="27" t="s">
        <v>8</v>
      </c>
    </row>
    <row r="568" spans="1:60" x14ac:dyDescent="0.25">
      <c r="A568" s="7">
        <v>1.4568111725277988</v>
      </c>
      <c r="B568"/>
      <c r="C568"/>
      <c r="D568"/>
      <c r="E568" t="s">
        <v>8</v>
      </c>
      <c r="J568" s="27" t="s">
        <v>7</v>
      </c>
      <c r="L568" s="27" t="s">
        <v>7</v>
      </c>
      <c r="M568" s="27" t="s">
        <v>8</v>
      </c>
      <c r="N568" s="27" t="s">
        <v>7</v>
      </c>
      <c r="AA568" s="27" t="s">
        <v>8</v>
      </c>
      <c r="AD568" s="27" t="s">
        <v>7</v>
      </c>
      <c r="AE568" s="27" t="s">
        <v>8</v>
      </c>
      <c r="AF568" s="27" t="s">
        <v>7</v>
      </c>
      <c r="AG568" s="27" t="s">
        <v>8</v>
      </c>
      <c r="AH568" s="27" t="s">
        <v>7</v>
      </c>
      <c r="AI568" s="27" t="s">
        <v>8</v>
      </c>
      <c r="AJ568" s="27" t="s">
        <v>7</v>
      </c>
      <c r="AM568" s="27" t="s">
        <v>8</v>
      </c>
      <c r="AN568" s="27" t="s">
        <v>7</v>
      </c>
      <c r="AO568" s="27" t="s">
        <v>8</v>
      </c>
      <c r="AP568" s="27" t="s">
        <v>7</v>
      </c>
      <c r="AS568" s="27" t="s">
        <v>8</v>
      </c>
      <c r="AT568" s="27" t="s">
        <v>7</v>
      </c>
      <c r="AW568" s="27" t="s">
        <v>8</v>
      </c>
      <c r="AX568" s="27" t="s">
        <v>7</v>
      </c>
      <c r="AY568" s="27" t="s">
        <v>8</v>
      </c>
      <c r="AZ568" s="27" t="s">
        <v>7</v>
      </c>
      <c r="BC568" s="27" t="s">
        <v>8</v>
      </c>
      <c r="BD568" s="27" t="s">
        <v>7</v>
      </c>
      <c r="BE568" s="27" t="s">
        <v>8</v>
      </c>
      <c r="BF568" s="27" t="s">
        <v>7</v>
      </c>
      <c r="BG568" s="27" t="s">
        <v>8</v>
      </c>
    </row>
    <row r="569" spans="1:60" x14ac:dyDescent="0.25">
      <c r="A569" s="7">
        <v>1.4282462475762734</v>
      </c>
      <c r="B569"/>
      <c r="C569"/>
      <c r="D569"/>
      <c r="E569" t="s">
        <v>8</v>
      </c>
      <c r="L569" s="27" t="s">
        <v>7</v>
      </c>
      <c r="M569" s="27" t="s">
        <v>8</v>
      </c>
      <c r="N569" s="27" t="s">
        <v>7</v>
      </c>
      <c r="AA569" s="27" t="s">
        <v>8</v>
      </c>
      <c r="AD569" s="27" t="s">
        <v>7</v>
      </c>
      <c r="AE569" s="27" t="s">
        <v>8</v>
      </c>
      <c r="AF569" s="27" t="s">
        <v>7</v>
      </c>
      <c r="AG569" s="27" t="s">
        <v>8</v>
      </c>
      <c r="AH569" s="27" t="s">
        <v>7</v>
      </c>
      <c r="AI569" s="27" t="s">
        <v>8</v>
      </c>
      <c r="AJ569" s="27" t="s">
        <v>7</v>
      </c>
      <c r="AM569" s="27" t="s">
        <v>8</v>
      </c>
      <c r="AN569" s="27" t="s">
        <v>7</v>
      </c>
      <c r="AO569" s="27" t="s">
        <v>8</v>
      </c>
      <c r="AP569" s="27" t="s">
        <v>7</v>
      </c>
      <c r="AS569" s="27" t="s">
        <v>8</v>
      </c>
      <c r="AT569" s="27" t="s">
        <v>7</v>
      </c>
      <c r="AU569" s="27" t="s">
        <v>8</v>
      </c>
      <c r="AW569" s="27" t="s">
        <v>8</v>
      </c>
      <c r="AX569" s="27" t="s">
        <v>7</v>
      </c>
      <c r="AY569" s="27" t="s">
        <v>8</v>
      </c>
      <c r="AZ569" s="27" t="s">
        <v>7</v>
      </c>
      <c r="BA569" s="27" t="s">
        <v>8</v>
      </c>
      <c r="BC569" s="27" t="s">
        <v>8</v>
      </c>
      <c r="BD569" s="27" t="s">
        <v>7</v>
      </c>
      <c r="BE569" s="27" t="s">
        <v>8</v>
      </c>
      <c r="BF569" s="27" t="s">
        <v>7</v>
      </c>
      <c r="BG569" s="27" t="s">
        <v>8</v>
      </c>
    </row>
    <row r="570" spans="1:60" x14ac:dyDescent="0.25">
      <c r="A570" s="7">
        <v>1.4002414191924248</v>
      </c>
      <c r="B570"/>
      <c r="C570"/>
      <c r="D570"/>
      <c r="E570" t="s">
        <v>8</v>
      </c>
      <c r="L570" s="27" t="s">
        <v>7</v>
      </c>
      <c r="M570" s="27" t="s">
        <v>8</v>
      </c>
      <c r="N570" s="27" t="s">
        <v>7</v>
      </c>
      <c r="AA570" s="27" t="s">
        <v>8</v>
      </c>
      <c r="AD570" s="27" t="s">
        <v>7</v>
      </c>
      <c r="AE570" s="27" t="s">
        <v>8</v>
      </c>
      <c r="AF570" s="27" t="s">
        <v>7</v>
      </c>
      <c r="AG570" s="27" t="s">
        <v>8</v>
      </c>
      <c r="AH570" s="27" t="s">
        <v>7</v>
      </c>
      <c r="AI570" s="27" t="s">
        <v>8</v>
      </c>
      <c r="AJ570" s="27" t="s">
        <v>7</v>
      </c>
      <c r="AM570" s="27" t="s">
        <v>8</v>
      </c>
      <c r="AN570" s="27" t="s">
        <v>7</v>
      </c>
      <c r="AO570" s="27" t="s">
        <v>8</v>
      </c>
      <c r="AP570" s="27" t="s">
        <v>7</v>
      </c>
      <c r="AQ570" s="27" t="s">
        <v>8</v>
      </c>
      <c r="AS570" s="27" t="s">
        <v>8</v>
      </c>
      <c r="AT570" s="27" t="s">
        <v>7</v>
      </c>
      <c r="AU570" s="27" t="s">
        <v>8</v>
      </c>
      <c r="AV570" s="27" t="s">
        <v>7</v>
      </c>
      <c r="AW570" s="27" t="s">
        <v>8</v>
      </c>
      <c r="AX570" s="27" t="s">
        <v>7</v>
      </c>
      <c r="AY570" s="27" t="s">
        <v>8</v>
      </c>
      <c r="AZ570" s="27" t="s">
        <v>7</v>
      </c>
      <c r="BA570" s="27" t="s">
        <v>8</v>
      </c>
      <c r="BB570" s="27" t="s">
        <v>7</v>
      </c>
      <c r="BC570" s="27" t="s">
        <v>8</v>
      </c>
      <c r="BD570" s="27" t="s">
        <v>7</v>
      </c>
      <c r="BF570" s="27" t="s">
        <v>7</v>
      </c>
    </row>
    <row r="571" spans="1:60" x14ac:dyDescent="0.25">
      <c r="A571" s="7">
        <v>1.3727857050906125</v>
      </c>
      <c r="B571"/>
      <c r="C571"/>
      <c r="D571"/>
      <c r="E571" t="s">
        <v>8</v>
      </c>
      <c r="L571" s="27" t="s">
        <v>7</v>
      </c>
      <c r="M571" s="27" t="s">
        <v>8</v>
      </c>
      <c r="N571" s="27" t="s">
        <v>7</v>
      </c>
      <c r="O571" s="27" t="s">
        <v>8</v>
      </c>
      <c r="AA571" s="27" t="s">
        <v>8</v>
      </c>
      <c r="AD571" s="27" t="s">
        <v>7</v>
      </c>
      <c r="AE571" s="27" t="s">
        <v>8</v>
      </c>
      <c r="AF571" s="27" t="s">
        <v>7</v>
      </c>
      <c r="AG571" s="27" t="s">
        <v>8</v>
      </c>
      <c r="AH571" s="27" t="s">
        <v>7</v>
      </c>
      <c r="AI571" s="27" t="s">
        <v>8</v>
      </c>
      <c r="AJ571" s="27" t="s">
        <v>7</v>
      </c>
      <c r="AM571" s="27" t="s">
        <v>8</v>
      </c>
      <c r="AN571" s="27" t="s">
        <v>7</v>
      </c>
      <c r="AP571" s="27" t="s">
        <v>7</v>
      </c>
      <c r="AQ571" s="27" t="s">
        <v>8</v>
      </c>
      <c r="AR571" s="27" t="s">
        <v>7</v>
      </c>
      <c r="AS571" s="27" t="s">
        <v>8</v>
      </c>
      <c r="AT571" s="27" t="s">
        <v>7</v>
      </c>
      <c r="AU571" s="27" t="s">
        <v>8</v>
      </c>
      <c r="AV571" s="27" t="s">
        <v>7</v>
      </c>
      <c r="AW571" s="27" t="s">
        <v>8</v>
      </c>
      <c r="AX571" s="27" t="s">
        <v>7</v>
      </c>
      <c r="AY571" s="27" t="s">
        <v>8</v>
      </c>
      <c r="AZ571" s="27" t="s">
        <v>7</v>
      </c>
      <c r="BA571" s="27" t="s">
        <v>8</v>
      </c>
      <c r="BB571" s="27" t="s">
        <v>7</v>
      </c>
      <c r="BC571" s="27" t="s">
        <v>8</v>
      </c>
    </row>
    <row r="572" spans="1:60" x14ac:dyDescent="0.25">
      <c r="A572" s="7">
        <v>1.3458683383241299</v>
      </c>
      <c r="B572"/>
      <c r="C572"/>
      <c r="D572"/>
      <c r="E572" t="s">
        <v>8</v>
      </c>
      <c r="L572" s="27" t="s">
        <v>7</v>
      </c>
      <c r="M572" s="27" t="s">
        <v>8</v>
      </c>
      <c r="N572" s="27" t="s">
        <v>7</v>
      </c>
      <c r="O572" s="27" t="s">
        <v>8</v>
      </c>
      <c r="P572" s="27" t="s">
        <v>7</v>
      </c>
      <c r="AA572" s="27" t="s">
        <v>8</v>
      </c>
      <c r="AD572" s="27" t="s">
        <v>7</v>
      </c>
      <c r="AE572" s="27" t="s">
        <v>8</v>
      </c>
      <c r="AF572" s="27" t="s">
        <v>7</v>
      </c>
      <c r="AG572" s="27" t="s">
        <v>8</v>
      </c>
      <c r="AH572" s="27" t="s">
        <v>7</v>
      </c>
      <c r="AI572" s="27" t="s">
        <v>8</v>
      </c>
      <c r="AJ572" s="27" t="s">
        <v>7</v>
      </c>
      <c r="AM572" s="27" t="s">
        <v>8</v>
      </c>
      <c r="AP572" s="27" t="s">
        <v>7</v>
      </c>
      <c r="AQ572" s="27" t="s">
        <v>8</v>
      </c>
      <c r="AR572" s="27" t="s">
        <v>7</v>
      </c>
      <c r="AS572" s="27" t="s">
        <v>8</v>
      </c>
      <c r="AT572" s="27" t="s">
        <v>7</v>
      </c>
      <c r="AU572" s="27" t="s">
        <v>8</v>
      </c>
      <c r="AV572" s="27" t="s">
        <v>7</v>
      </c>
      <c r="AW572" s="27" t="s">
        <v>8</v>
      </c>
      <c r="AX572" s="27" t="s">
        <v>7</v>
      </c>
      <c r="AY572" s="27" t="s">
        <v>8</v>
      </c>
      <c r="AZ572" s="27" t="s">
        <v>7</v>
      </c>
      <c r="BA572" s="27" t="s">
        <v>8</v>
      </c>
      <c r="BB572" s="27" t="s">
        <v>7</v>
      </c>
    </row>
    <row r="573" spans="1:60" x14ac:dyDescent="0.25">
      <c r="A573" s="7">
        <v>1.3194787630628724</v>
      </c>
      <c r="B573"/>
      <c r="C573"/>
      <c r="D573"/>
      <c r="E573" t="s">
        <v>8</v>
      </c>
      <c r="L573" s="27" t="s">
        <v>7</v>
      </c>
      <c r="M573" s="27" t="s">
        <v>8</v>
      </c>
      <c r="N573" s="27" t="s">
        <v>7</v>
      </c>
      <c r="O573" s="27" t="s">
        <v>8</v>
      </c>
      <c r="P573" s="27" t="s">
        <v>7</v>
      </c>
      <c r="AA573" s="27" t="s">
        <v>8</v>
      </c>
      <c r="AD573" s="27" t="s">
        <v>7</v>
      </c>
      <c r="AE573" s="27" t="s">
        <v>8</v>
      </c>
      <c r="AF573" s="27" t="s">
        <v>7</v>
      </c>
      <c r="AG573" s="27" t="s">
        <v>8</v>
      </c>
      <c r="AH573" s="27" t="s">
        <v>7</v>
      </c>
      <c r="AJ573" s="27" t="s">
        <v>7</v>
      </c>
      <c r="AK573" s="27" t="s">
        <v>8</v>
      </c>
      <c r="AM573" s="27" t="s">
        <v>8</v>
      </c>
      <c r="AP573" s="27" t="s">
        <v>7</v>
      </c>
      <c r="AQ573" s="27" t="s">
        <v>8</v>
      </c>
      <c r="AR573" s="27" t="s">
        <v>7</v>
      </c>
      <c r="AS573" s="27" t="s">
        <v>8</v>
      </c>
      <c r="AT573" s="27" t="s">
        <v>7</v>
      </c>
      <c r="AU573" s="27" t="s">
        <v>8</v>
      </c>
      <c r="AV573" s="27" t="s">
        <v>7</v>
      </c>
      <c r="AW573" s="27" t="s">
        <v>8</v>
      </c>
      <c r="AX573" s="27" t="s">
        <v>7</v>
      </c>
      <c r="AY573" s="27" t="s">
        <v>8</v>
      </c>
      <c r="AZ573" s="27" t="s">
        <v>7</v>
      </c>
      <c r="BA573" s="27" t="s">
        <v>8</v>
      </c>
    </row>
    <row r="574" spans="1:60" x14ac:dyDescent="0.25">
      <c r="A574" s="7">
        <v>1.2936066304537963</v>
      </c>
      <c r="B574"/>
      <c r="C574"/>
      <c r="D574"/>
      <c r="E574" t="s">
        <v>8</v>
      </c>
      <c r="L574" s="27" t="s">
        <v>7</v>
      </c>
      <c r="M574" s="27" t="s">
        <v>8</v>
      </c>
      <c r="N574" s="27" t="s">
        <v>7</v>
      </c>
      <c r="P574" s="27" t="s">
        <v>7</v>
      </c>
      <c r="AA574" s="27" t="s">
        <v>8</v>
      </c>
      <c r="AD574" s="27" t="s">
        <v>7</v>
      </c>
      <c r="AE574" s="27" t="s">
        <v>8</v>
      </c>
      <c r="AF574" s="27" t="s">
        <v>7</v>
      </c>
      <c r="AG574" s="27" t="s">
        <v>8</v>
      </c>
      <c r="AJ574" s="27" t="s">
        <v>7</v>
      </c>
      <c r="AK574" s="27" t="s">
        <v>8</v>
      </c>
      <c r="AL574" s="27" t="s">
        <v>7</v>
      </c>
      <c r="AM574" s="27" t="s">
        <v>8</v>
      </c>
      <c r="AP574" s="27" t="s">
        <v>7</v>
      </c>
      <c r="AQ574" s="27" t="s">
        <v>8</v>
      </c>
      <c r="AR574" s="27" t="s">
        <v>7</v>
      </c>
      <c r="AS574" s="27" t="s">
        <v>8</v>
      </c>
      <c r="AT574" s="27" t="s">
        <v>7</v>
      </c>
      <c r="AU574" s="27" t="s">
        <v>8</v>
      </c>
      <c r="AV574" s="27" t="s">
        <v>7</v>
      </c>
      <c r="AW574" s="27" t="s">
        <v>8</v>
      </c>
      <c r="AX574" s="27" t="s">
        <v>7</v>
      </c>
      <c r="AZ574" s="27" t="s">
        <v>7</v>
      </c>
      <c r="BA574" s="27" t="s">
        <v>8</v>
      </c>
    </row>
    <row r="575" spans="1:60" x14ac:dyDescent="0.25">
      <c r="A575" s="7">
        <v>1.2682417945625455</v>
      </c>
      <c r="B575"/>
      <c r="C575"/>
      <c r="D575"/>
      <c r="E575" t="s">
        <v>8</v>
      </c>
      <c r="L575" s="27" t="s">
        <v>7</v>
      </c>
      <c r="M575" s="27" t="s">
        <v>8</v>
      </c>
      <c r="P575" s="27" t="s">
        <v>7</v>
      </c>
      <c r="Q575" s="27" t="s">
        <v>8</v>
      </c>
      <c r="AA575" s="27" t="s">
        <v>8</v>
      </c>
      <c r="AD575" s="27" t="s">
        <v>7</v>
      </c>
      <c r="AE575" s="27" t="s">
        <v>8</v>
      </c>
      <c r="AF575" s="27" t="s">
        <v>7</v>
      </c>
      <c r="AG575" s="27" t="s">
        <v>8</v>
      </c>
      <c r="AJ575" s="27" t="s">
        <v>7</v>
      </c>
      <c r="AK575" s="27" t="s">
        <v>8</v>
      </c>
      <c r="AL575" s="27" t="s">
        <v>7</v>
      </c>
      <c r="AM575" s="27" t="s">
        <v>8</v>
      </c>
      <c r="AP575" s="27" t="s">
        <v>7</v>
      </c>
      <c r="AQ575" s="27" t="s">
        <v>8</v>
      </c>
      <c r="AR575" s="27" t="s">
        <v>7</v>
      </c>
      <c r="AT575" s="27" t="s">
        <v>7</v>
      </c>
      <c r="AU575" s="27" t="s">
        <v>8</v>
      </c>
      <c r="AV575" s="27" t="s">
        <v>7</v>
      </c>
      <c r="AW575" s="27" t="s">
        <v>8</v>
      </c>
      <c r="AZ575" s="27" t="s">
        <v>7</v>
      </c>
      <c r="BA575" s="27" t="s">
        <v>8</v>
      </c>
    </row>
    <row r="576" spans="1:60" x14ac:dyDescent="0.25">
      <c r="A576" s="7">
        <v>1.2433743083946525</v>
      </c>
      <c r="B576"/>
      <c r="C576"/>
      <c r="D576"/>
      <c r="E576" t="s">
        <v>8</v>
      </c>
      <c r="L576" s="27" t="s">
        <v>7</v>
      </c>
      <c r="M576" s="27" t="s">
        <v>8</v>
      </c>
      <c r="P576" s="27" t="s">
        <v>7</v>
      </c>
      <c r="Q576" s="27" t="s">
        <v>8</v>
      </c>
      <c r="R576" s="27" t="s">
        <v>7</v>
      </c>
      <c r="W576" s="27" t="s">
        <v>8</v>
      </c>
      <c r="AA576" s="27" t="s">
        <v>8</v>
      </c>
      <c r="AD576" s="27" t="s">
        <v>7</v>
      </c>
      <c r="AE576" s="27" t="s">
        <v>8</v>
      </c>
      <c r="AF576" s="27" t="s">
        <v>7</v>
      </c>
      <c r="AJ576" s="27" t="s">
        <v>7</v>
      </c>
      <c r="AK576" s="27" t="s">
        <v>8</v>
      </c>
      <c r="AL576" s="27" t="s">
        <v>7</v>
      </c>
      <c r="AP576" s="27" t="s">
        <v>7</v>
      </c>
      <c r="AQ576" s="27" t="s">
        <v>8</v>
      </c>
      <c r="AT576" s="27" t="s">
        <v>7</v>
      </c>
      <c r="AV576" s="27" t="s">
        <v>7</v>
      </c>
      <c r="AZ576" s="27" t="s">
        <v>7</v>
      </c>
      <c r="BA576" s="27" t="s">
        <v>8</v>
      </c>
    </row>
    <row r="577" spans="1:53" x14ac:dyDescent="0.25">
      <c r="A577" s="7">
        <v>1.2189944199947573</v>
      </c>
      <c r="B577"/>
      <c r="C577"/>
      <c r="D577"/>
      <c r="E577" t="s">
        <v>8</v>
      </c>
      <c r="L577" s="27" t="s">
        <v>7</v>
      </c>
      <c r="M577" s="27" t="s">
        <v>8</v>
      </c>
      <c r="P577" s="27" t="s">
        <v>7</v>
      </c>
      <c r="Q577" s="27" t="s">
        <v>8</v>
      </c>
      <c r="R577" s="27" t="s">
        <v>7</v>
      </c>
      <c r="W577" s="27" t="s">
        <v>8</v>
      </c>
      <c r="X577" s="27" t="s">
        <v>7</v>
      </c>
      <c r="Y577" s="27" t="s">
        <v>8</v>
      </c>
      <c r="AA577" s="27" t="s">
        <v>8</v>
      </c>
      <c r="AD577" s="27" t="s">
        <v>7</v>
      </c>
      <c r="AE577" s="27" t="s">
        <v>8</v>
      </c>
      <c r="AJ577" s="27" t="s">
        <v>7</v>
      </c>
      <c r="AK577" s="27" t="s">
        <v>8</v>
      </c>
      <c r="AP577" s="27" t="s">
        <v>7</v>
      </c>
      <c r="AQ577" s="27" t="s">
        <v>8</v>
      </c>
      <c r="AZ577" s="27" t="s">
        <v>7</v>
      </c>
      <c r="BA577" s="27" t="s">
        <v>8</v>
      </c>
    </row>
    <row r="578" spans="1:53" x14ac:dyDescent="0.25">
      <c r="A578" s="7">
        <v>1.1950925686223111</v>
      </c>
      <c r="B578"/>
      <c r="C578"/>
      <c r="D578"/>
      <c r="E578" t="s">
        <v>8</v>
      </c>
      <c r="L578" s="27" t="s">
        <v>7</v>
      </c>
      <c r="M578" s="27" t="s">
        <v>8</v>
      </c>
      <c r="P578" s="27" t="s">
        <v>7</v>
      </c>
      <c r="Q578" s="27" t="s">
        <v>8</v>
      </c>
      <c r="R578" s="27" t="s">
        <v>7</v>
      </c>
      <c r="W578" s="27" t="s">
        <v>8</v>
      </c>
      <c r="X578" s="27" t="s">
        <v>7</v>
      </c>
      <c r="Y578" s="27" t="s">
        <v>8</v>
      </c>
      <c r="Z578" s="27" t="s">
        <v>7</v>
      </c>
      <c r="AA578" s="27" t="s">
        <v>8</v>
      </c>
      <c r="AD578" s="27" t="s">
        <v>7</v>
      </c>
      <c r="AE578" s="27" t="s">
        <v>8</v>
      </c>
      <c r="AJ578" s="27" t="s">
        <v>7</v>
      </c>
      <c r="AK578" s="27" t="s">
        <v>8</v>
      </c>
      <c r="AP578" s="27" t="s">
        <v>7</v>
      </c>
      <c r="AQ578" s="27" t="s">
        <v>8</v>
      </c>
      <c r="AZ578" s="27" t="s">
        <v>7</v>
      </c>
    </row>
    <row r="579" spans="1:53" x14ac:dyDescent="0.25">
      <c r="A579" s="7">
        <v>1.1716593810022657</v>
      </c>
      <c r="B579"/>
      <c r="C579"/>
      <c r="D579"/>
      <c r="E579" t="s">
        <v>8</v>
      </c>
      <c r="L579" s="27" t="s">
        <v>7</v>
      </c>
      <c r="M579" s="27" t="s">
        <v>8</v>
      </c>
      <c r="P579" s="27" t="s">
        <v>7</v>
      </c>
      <c r="Q579" s="27" t="s">
        <v>8</v>
      </c>
      <c r="R579" s="27" t="s">
        <v>7</v>
      </c>
      <c r="W579" s="27" t="s">
        <v>8</v>
      </c>
      <c r="X579" s="27" t="s">
        <v>7</v>
      </c>
      <c r="Y579" s="27" t="s">
        <v>8</v>
      </c>
      <c r="Z579" s="27" t="s">
        <v>7</v>
      </c>
      <c r="AA579" s="27" t="s">
        <v>8</v>
      </c>
      <c r="AD579" s="27" t="s">
        <v>7</v>
      </c>
      <c r="AE579" s="27" t="s">
        <v>8</v>
      </c>
      <c r="AJ579" s="27" t="s">
        <v>7</v>
      </c>
      <c r="AP579" s="27" t="s">
        <v>7</v>
      </c>
      <c r="AQ579" s="27" t="s">
        <v>8</v>
      </c>
    </row>
    <row r="580" spans="1:53" x14ac:dyDescent="0.25">
      <c r="A580" s="7">
        <v>1.14868566764928</v>
      </c>
      <c r="B580"/>
      <c r="C580"/>
      <c r="D580"/>
      <c r="E580" t="s">
        <v>8</v>
      </c>
      <c r="L580" s="27" t="s">
        <v>7</v>
      </c>
      <c r="M580" s="27" t="s">
        <v>8</v>
      </c>
      <c r="P580" s="27" t="s">
        <v>7</v>
      </c>
      <c r="R580" s="27" t="s">
        <v>7</v>
      </c>
      <c r="S580" s="27" t="s">
        <v>8</v>
      </c>
      <c r="U580" s="27" t="s">
        <v>8</v>
      </c>
      <c r="W580" s="27" t="s">
        <v>8</v>
      </c>
      <c r="X580" s="27" t="s">
        <v>7</v>
      </c>
      <c r="Y580" s="27" t="s">
        <v>8</v>
      </c>
      <c r="Z580" s="27" t="s">
        <v>7</v>
      </c>
      <c r="AA580" s="27" t="s">
        <v>8</v>
      </c>
      <c r="AD580" s="27" t="s">
        <v>7</v>
      </c>
      <c r="AE580" s="27" t="s">
        <v>8</v>
      </c>
      <c r="AP580" s="27" t="s">
        <v>7</v>
      </c>
      <c r="AQ580" s="27" t="s">
        <v>8</v>
      </c>
    </row>
    <row r="581" spans="1:53" x14ac:dyDescent="0.25">
      <c r="A581" s="7">
        <v>1.1261624192640001</v>
      </c>
      <c r="B581"/>
      <c r="C581"/>
      <c r="D581"/>
      <c r="E581" t="s">
        <v>8</v>
      </c>
      <c r="L581" s="27" t="s">
        <v>7</v>
      </c>
      <c r="M581" s="27" t="s">
        <v>8</v>
      </c>
      <c r="R581" s="27" t="s">
        <v>7</v>
      </c>
      <c r="S581" s="27" t="s">
        <v>8</v>
      </c>
      <c r="T581" s="27" t="s">
        <v>7</v>
      </c>
      <c r="U581" s="27" t="s">
        <v>8</v>
      </c>
      <c r="V581" s="27" t="s">
        <v>7</v>
      </c>
      <c r="W581" s="27" t="s">
        <v>8</v>
      </c>
      <c r="X581" s="27" t="s">
        <v>7</v>
      </c>
      <c r="Y581" s="27" t="s">
        <v>8</v>
      </c>
      <c r="Z581" s="27" t="s">
        <v>7</v>
      </c>
      <c r="AA581" s="27" t="s">
        <v>8</v>
      </c>
      <c r="AD581" s="27" t="s">
        <v>7</v>
      </c>
      <c r="AP581" s="27" t="s">
        <v>7</v>
      </c>
    </row>
    <row r="582" spans="1:53" x14ac:dyDescent="0.25">
      <c r="A582" s="7">
        <v>1.1040808032</v>
      </c>
      <c r="B582"/>
      <c r="C582"/>
      <c r="D582"/>
      <c r="E582" t="s">
        <v>8</v>
      </c>
      <c r="L582" s="27" t="s">
        <v>7</v>
      </c>
      <c r="M582" s="27" t="s">
        <v>8</v>
      </c>
      <c r="R582" s="27" t="s">
        <v>7</v>
      </c>
      <c r="S582" s="27" t="s">
        <v>8</v>
      </c>
      <c r="T582" s="27" t="s">
        <v>7</v>
      </c>
      <c r="U582" s="27" t="s">
        <v>8</v>
      </c>
      <c r="V582" s="27" t="s">
        <v>7</v>
      </c>
      <c r="W582" s="27" t="s">
        <v>8</v>
      </c>
      <c r="X582" s="27" t="s">
        <v>7</v>
      </c>
      <c r="Y582" s="27" t="s">
        <v>8</v>
      </c>
      <c r="Z582" s="27" t="s">
        <v>7</v>
      </c>
      <c r="AA582" s="27" t="s">
        <v>8</v>
      </c>
    </row>
    <row r="583" spans="1:53" x14ac:dyDescent="0.25">
      <c r="A583" s="7">
        <v>1.08243216</v>
      </c>
      <c r="B583"/>
      <c r="C583"/>
      <c r="D583"/>
      <c r="E583" t="s">
        <v>8</v>
      </c>
      <c r="L583" s="27" t="s">
        <v>7</v>
      </c>
      <c r="M583" s="27" t="s">
        <v>8</v>
      </c>
      <c r="R583" s="27" t="s">
        <v>7</v>
      </c>
      <c r="T583" s="27" t="s">
        <v>7</v>
      </c>
      <c r="U583" s="27" t="s">
        <v>8</v>
      </c>
      <c r="V583" s="27" t="s">
        <v>7</v>
      </c>
      <c r="W583" s="27" t="s">
        <v>8</v>
      </c>
      <c r="X583" s="27" t="s">
        <v>7</v>
      </c>
      <c r="Y583" s="27" t="s">
        <v>8</v>
      </c>
      <c r="Z583" s="27" t="s">
        <v>7</v>
      </c>
      <c r="AA583" s="27" t="s">
        <v>8</v>
      </c>
    </row>
    <row r="584" spans="1:53" x14ac:dyDescent="0.25">
      <c r="A584" s="7">
        <v>1.0612079999999999</v>
      </c>
      <c r="B584"/>
      <c r="C584"/>
      <c r="D584"/>
      <c r="E584" t="s">
        <v>8</v>
      </c>
      <c r="L584" s="27" t="s">
        <v>7</v>
      </c>
      <c r="M584" s="27" t="s">
        <v>8</v>
      </c>
      <c r="T584" s="27" t="s">
        <v>7</v>
      </c>
      <c r="U584" s="27" t="s">
        <v>8</v>
      </c>
      <c r="V584" s="27" t="s">
        <v>7</v>
      </c>
      <c r="W584" s="27" t="s">
        <v>8</v>
      </c>
      <c r="X584" s="27" t="s">
        <v>7</v>
      </c>
      <c r="Y584" s="27" t="s">
        <v>8</v>
      </c>
      <c r="Z584" s="27" t="s">
        <v>7</v>
      </c>
      <c r="AA584" s="27" t="s">
        <v>8</v>
      </c>
    </row>
    <row r="585" spans="1:53" x14ac:dyDescent="0.25">
      <c r="A585" s="7">
        <v>1.0404</v>
      </c>
      <c r="B585"/>
      <c r="C585"/>
      <c r="D585"/>
      <c r="E585" t="s">
        <v>8</v>
      </c>
      <c r="L585" s="27" t="s">
        <v>7</v>
      </c>
      <c r="M585" s="27" t="s">
        <v>8</v>
      </c>
      <c r="T585" s="27" t="s">
        <v>7</v>
      </c>
      <c r="U585" s="27" t="s">
        <v>8</v>
      </c>
      <c r="V585" s="27" t="s">
        <v>7</v>
      </c>
      <c r="W585" s="27" t="s">
        <v>8</v>
      </c>
      <c r="X585" s="27" t="s">
        <v>7</v>
      </c>
      <c r="Y585" s="27" t="s">
        <v>8</v>
      </c>
      <c r="Z585" s="27" t="s">
        <v>7</v>
      </c>
      <c r="AA585" s="27" t="s">
        <v>8</v>
      </c>
    </row>
    <row r="586" spans="1:53" x14ac:dyDescent="0.25">
      <c r="A586" s="7">
        <v>1.02</v>
      </c>
      <c r="B586"/>
      <c r="C586"/>
      <c r="D586"/>
      <c r="E586" t="s">
        <v>8</v>
      </c>
      <c r="L586" s="27" t="s">
        <v>7</v>
      </c>
      <c r="M586" s="27" t="s">
        <v>8</v>
      </c>
      <c r="T586" s="27" t="s">
        <v>7</v>
      </c>
      <c r="U586" s="27" t="s">
        <v>8</v>
      </c>
      <c r="V586" s="27" t="s">
        <v>7</v>
      </c>
      <c r="W586" s="27" t="s">
        <v>8</v>
      </c>
      <c r="X586" s="27" t="s">
        <v>7</v>
      </c>
      <c r="Y586" s="27" t="s">
        <v>8</v>
      </c>
      <c r="Z586" s="27" t="s">
        <v>7</v>
      </c>
      <c r="AA586" s="27" t="s">
        <v>8</v>
      </c>
    </row>
    <row r="587" spans="1:53" x14ac:dyDescent="0.25">
      <c r="A587" s="7">
        <v>1</v>
      </c>
      <c r="B587"/>
      <c r="C587"/>
      <c r="D587"/>
      <c r="E587" s="29" t="s">
        <v>8</v>
      </c>
      <c r="L587" s="27" t="s">
        <v>7</v>
      </c>
      <c r="M587" s="27" t="s">
        <v>8</v>
      </c>
      <c r="T587" s="27" t="s">
        <v>7</v>
      </c>
      <c r="V587" s="27" t="s">
        <v>7</v>
      </c>
      <c r="W587" s="27" t="s">
        <v>8</v>
      </c>
      <c r="X587" s="27" t="s">
        <v>7</v>
      </c>
      <c r="Y587" s="27" t="s">
        <v>8</v>
      </c>
      <c r="Z587" s="27" t="s">
        <v>7</v>
      </c>
    </row>
    <row r="588" spans="1:53" x14ac:dyDescent="0.25">
      <c r="A588" s="7">
        <v>0.98039215686274506</v>
      </c>
      <c r="B588"/>
      <c r="C588"/>
      <c r="D588"/>
      <c r="E588"/>
      <c r="L588" s="27" t="s">
        <v>7</v>
      </c>
      <c r="M588" s="27" t="s">
        <v>8</v>
      </c>
      <c r="V588" s="27" t="s">
        <v>7</v>
      </c>
      <c r="W588" s="27" t="s">
        <v>8</v>
      </c>
      <c r="X588" s="27" t="s">
        <v>7</v>
      </c>
      <c r="Y588" s="27" t="s">
        <v>8</v>
      </c>
    </row>
    <row r="589" spans="1:53" x14ac:dyDescent="0.25">
      <c r="A589" s="7">
        <v>0.96116878123798544</v>
      </c>
      <c r="B589"/>
      <c r="C589"/>
      <c r="D589"/>
      <c r="E589"/>
      <c r="L589" s="27" t="s">
        <v>7</v>
      </c>
      <c r="V589" s="27" t="s">
        <v>7</v>
      </c>
      <c r="W589" s="27" t="s">
        <v>8</v>
      </c>
      <c r="X589" s="27" t="s">
        <v>7</v>
      </c>
      <c r="Y589" s="27" t="s">
        <v>8</v>
      </c>
    </row>
    <row r="590" spans="1:53" x14ac:dyDescent="0.25">
      <c r="A590" s="7">
        <v>0.94232233454704462</v>
      </c>
      <c r="B590"/>
      <c r="C590"/>
      <c r="D590"/>
      <c r="E590"/>
      <c r="V590" s="27" t="s">
        <v>7</v>
      </c>
      <c r="W590" s="27" t="s">
        <v>8</v>
      </c>
      <c r="X590" s="27" t="s">
        <v>7</v>
      </c>
      <c r="Y590" s="27" t="s">
        <v>8</v>
      </c>
    </row>
    <row r="591" spans="1:53" x14ac:dyDescent="0.25">
      <c r="A591" s="7">
        <v>0.92384542602651432</v>
      </c>
      <c r="B591"/>
      <c r="C591"/>
      <c r="D591"/>
      <c r="E591"/>
      <c r="V591" s="27" t="s">
        <v>7</v>
      </c>
      <c r="W591" s="27" t="s">
        <v>8</v>
      </c>
      <c r="X591" s="27" t="s">
        <v>7</v>
      </c>
      <c r="Y591" s="27" t="s">
        <v>8</v>
      </c>
    </row>
    <row r="592" spans="1:53" x14ac:dyDescent="0.25">
      <c r="A592" s="7">
        <v>0.90573080982991594</v>
      </c>
      <c r="B592"/>
      <c r="C592"/>
      <c r="D592"/>
      <c r="E592"/>
      <c r="V592" s="27" t="s">
        <v>7</v>
      </c>
      <c r="W592" s="27" t="s">
        <v>8</v>
      </c>
      <c r="X592" s="27" t="s">
        <v>7</v>
      </c>
      <c r="Y592" s="27" t="s">
        <v>8</v>
      </c>
    </row>
    <row r="593" spans="1:25" x14ac:dyDescent="0.25">
      <c r="A593" s="7">
        <v>0.8879713821861922</v>
      </c>
      <c r="B593"/>
      <c r="C593"/>
      <c r="D593"/>
      <c r="E593"/>
      <c r="V593" s="27" t="s">
        <v>7</v>
      </c>
      <c r="W593" s="27" t="s">
        <v>8</v>
      </c>
      <c r="X593" s="27" t="s">
        <v>7</v>
      </c>
      <c r="Y593" s="27" t="s">
        <v>8</v>
      </c>
    </row>
    <row r="594" spans="1:25" x14ac:dyDescent="0.25">
      <c r="A594" s="7">
        <v>0.87056017861391399</v>
      </c>
      <c r="B594"/>
      <c r="C594"/>
      <c r="D594"/>
      <c r="E594"/>
      <c r="V594" s="27" t="s">
        <v>7</v>
      </c>
      <c r="W594" s="27" t="s">
        <v>8</v>
      </c>
      <c r="X594" s="27" t="s">
        <v>7</v>
      </c>
    </row>
    <row r="595" spans="1:25" x14ac:dyDescent="0.25">
      <c r="A595" s="7">
        <v>0.85349037119011173</v>
      </c>
      <c r="B595"/>
      <c r="C595"/>
      <c r="D595"/>
      <c r="E595"/>
      <c r="V595" s="27" t="s">
        <v>7</v>
      </c>
      <c r="W595" s="27" t="s">
        <v>8</v>
      </c>
    </row>
    <row r="596" spans="1:25" x14ac:dyDescent="0.25">
      <c r="A596" s="7">
        <v>0.83675526587265858</v>
      </c>
      <c r="B596"/>
      <c r="C596"/>
      <c r="D596"/>
      <c r="E596"/>
      <c r="V596" s="27" t="s">
        <v>7</v>
      </c>
      <c r="W596" s="27" t="s">
        <v>8</v>
      </c>
    </row>
    <row r="597" spans="1:25" x14ac:dyDescent="0.25">
      <c r="A597" s="7">
        <v>0.82034829987515545</v>
      </c>
      <c r="B597"/>
      <c r="C597"/>
      <c r="D597"/>
      <c r="E597"/>
      <c r="V597" s="27" t="s">
        <v>7</v>
      </c>
      <c r="W597" s="27" t="s">
        <v>8</v>
      </c>
    </row>
    <row r="598" spans="1:25" x14ac:dyDescent="0.25">
      <c r="A598" s="7">
        <v>0.80426303909328967</v>
      </c>
      <c r="B598"/>
      <c r="C598"/>
      <c r="D598"/>
      <c r="E598"/>
      <c r="V598" s="27" t="s">
        <v>7</v>
      </c>
      <c r="W598" s="27" t="s">
        <v>8</v>
      </c>
    </row>
    <row r="599" spans="1:25" x14ac:dyDescent="0.25">
      <c r="A599" s="7">
        <v>0.78849317558165644</v>
      </c>
      <c r="B599"/>
      <c r="C599"/>
      <c r="D599"/>
      <c r="E599"/>
      <c r="V599" s="27" t="s">
        <v>7</v>
      </c>
      <c r="W599" s="27" t="s">
        <v>8</v>
      </c>
    </row>
    <row r="600" spans="1:25" x14ac:dyDescent="0.25">
      <c r="A600" s="7">
        <v>0.77303252508005538</v>
      </c>
      <c r="B600"/>
      <c r="C600"/>
      <c r="D600"/>
      <c r="E600"/>
      <c r="V600" s="27" t="s">
        <v>7</v>
      </c>
      <c r="W600" s="27" t="s">
        <v>8</v>
      </c>
    </row>
    <row r="601" spans="1:25" x14ac:dyDescent="0.25">
      <c r="A601" s="7">
        <v>0.75787502458828959</v>
      </c>
      <c r="B601"/>
      <c r="C601"/>
      <c r="D601"/>
      <c r="E601"/>
      <c r="V601" s="27" t="s">
        <v>7</v>
      </c>
      <c r="W601" s="27" t="s">
        <v>8</v>
      </c>
    </row>
    <row r="602" spans="1:25" x14ac:dyDescent="0.25">
      <c r="A602" s="7">
        <v>0.74301472998851925</v>
      </c>
      <c r="B602"/>
      <c r="C602"/>
      <c r="D602"/>
      <c r="E602"/>
      <c r="V602" s="27" t="s">
        <v>7</v>
      </c>
      <c r="W602" s="27" t="s">
        <v>8</v>
      </c>
    </row>
    <row r="603" spans="1:25" x14ac:dyDescent="0.25">
      <c r="A603" s="7">
        <v>0.72844581371423456</v>
      </c>
      <c r="B603"/>
      <c r="C603"/>
      <c r="D603"/>
      <c r="E603"/>
      <c r="V603" s="27" t="s">
        <v>7</v>
      </c>
      <c r="W603" s="27" t="s">
        <v>8</v>
      </c>
    </row>
    <row r="604" spans="1:25" x14ac:dyDescent="0.25">
      <c r="A604" s="7">
        <v>0.71416256246493581</v>
      </c>
      <c r="B604"/>
      <c r="C604"/>
      <c r="D604"/>
      <c r="E604"/>
      <c r="V604" s="27" t="s">
        <v>7</v>
      </c>
      <c r="W604" s="27" t="s">
        <v>8</v>
      </c>
    </row>
    <row r="605" spans="1:25" x14ac:dyDescent="0.25">
      <c r="A605" s="7">
        <v>0.7001593749656233</v>
      </c>
      <c r="B605"/>
      <c r="C605"/>
      <c r="D605"/>
      <c r="E605"/>
      <c r="V605" s="27" t="s">
        <v>7</v>
      </c>
      <c r="W605" s="27" t="s">
        <v>8</v>
      </c>
    </row>
    <row r="606" spans="1:25" x14ac:dyDescent="0.25">
      <c r="A606" s="7">
        <v>0.68643075977021883</v>
      </c>
      <c r="B606"/>
      <c r="C606"/>
      <c r="D606"/>
      <c r="E606"/>
      <c r="V606" s="27" t="s">
        <v>7</v>
      </c>
    </row>
    <row r="607" spans="1:25" x14ac:dyDescent="0.25">
      <c r="A607" s="7">
        <v>0.67297133310805768</v>
      </c>
      <c r="B607"/>
      <c r="C607"/>
      <c r="D607"/>
      <c r="E607"/>
    </row>
    <row r="608" spans="1:2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6" operator="equal">
      <formula>$U$1</formula>
    </cfRule>
    <cfRule type="cellIs" dxfId="89" priority="897" operator="equal">
      <formula>$S$1</formula>
    </cfRule>
  </conditionalFormatting>
  <conditionalFormatting sqref="D27">
    <cfRule type="cellIs" dxfId="88" priority="894" operator="equal">
      <formula>$S$1</formula>
    </cfRule>
    <cfRule type="cellIs" dxfId="87" priority="895" operator="equal">
      <formula>$U$1</formula>
    </cfRule>
  </conditionalFormatting>
  <conditionalFormatting sqref="C164">
    <cfRule type="cellIs" dxfId="86" priority="892" operator="equal">
      <formula>$U$1</formula>
    </cfRule>
    <cfRule type="cellIs" dxfId="85" priority="893" operator="equal">
      <formula>$S$1</formula>
    </cfRule>
  </conditionalFormatting>
  <conditionalFormatting sqref="D164">
    <cfRule type="cellIs" dxfId="84" priority="890" operator="equal">
      <formula>$S$1</formula>
    </cfRule>
    <cfRule type="cellIs" dxfId="83" priority="891" operator="equal">
      <formula>$U$1</formula>
    </cfRule>
  </conditionalFormatting>
  <conditionalFormatting sqref="C55">
    <cfRule type="cellIs" dxfId="82" priority="888" operator="equal">
      <formula>$U$1</formula>
    </cfRule>
    <cfRule type="cellIs" dxfId="81" priority="889" operator="equal">
      <formula>$S$1</formula>
    </cfRule>
  </conditionalFormatting>
  <conditionalFormatting sqref="D55">
    <cfRule type="cellIs" dxfId="80" priority="886" operator="equal">
      <formula>$S$1</formula>
    </cfRule>
    <cfRule type="cellIs" dxfId="79" priority="887" operator="equal">
      <formula>$U$1</formula>
    </cfRule>
  </conditionalFormatting>
  <conditionalFormatting sqref="C89">
    <cfRule type="cellIs" dxfId="78" priority="884" operator="equal">
      <formula>$U$1</formula>
    </cfRule>
    <cfRule type="cellIs" dxfId="77" priority="885" operator="equal">
      <formula>$S$1</formula>
    </cfRule>
  </conditionalFormatting>
  <conditionalFormatting sqref="D89">
    <cfRule type="cellIs" dxfId="76" priority="882" operator="equal">
      <formula>$S$1</formula>
    </cfRule>
    <cfRule type="cellIs" dxfId="75" priority="883" operator="equal">
      <formula>$U$1</formula>
    </cfRule>
  </conditionalFormatting>
  <conditionalFormatting sqref="C136">
    <cfRule type="cellIs" dxfId="74" priority="880" operator="equal">
      <formula>$U$1</formula>
    </cfRule>
    <cfRule type="cellIs" dxfId="73" priority="881" operator="equal">
      <formula>$S$1</formula>
    </cfRule>
  </conditionalFormatting>
  <conditionalFormatting sqref="D136">
    <cfRule type="cellIs" dxfId="72" priority="878" operator="equal">
      <formula>$S$1</formula>
    </cfRule>
    <cfRule type="cellIs" dxfId="71" priority="879" operator="equal">
      <formula>$U$1</formula>
    </cfRule>
  </conditionalFormatting>
  <conditionalFormatting sqref="C1">
    <cfRule type="cellIs" dxfId="70" priority="8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1" zoomScale="90" zoomScaleNormal="90" workbookViewId="0">
      <pane xSplit="4" topLeftCell="BR1" activePane="topRight" state="frozen"/>
      <selection activeCell="A109" sqref="A109"/>
      <selection pane="topRight" activeCell="EK170" sqref="EK17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$A$169</v>
      </c>
      <c r="D111" s="1" t="str">
        <f>ADDRESS(C121-1,D121,1,1)</f>
        <v>$EK$169</v>
      </c>
      <c r="E111"/>
    </row>
    <row r="112" spans="1:5" x14ac:dyDescent="0.25">
      <c r="A112" s="30">
        <v>515.50191262726139</v>
      </c>
      <c r="C112" s="1" t="str">
        <f>ADDRESS(C121,1,1,1)</f>
        <v>$A$170</v>
      </c>
      <c r="D112" s="1" t="str">
        <f>ADDRESS(C121,D121-1,1,1)</f>
        <v>$EJ$170</v>
      </c>
      <c r="E112"/>
    </row>
    <row r="113" spans="1:5" x14ac:dyDescent="0.25">
      <c r="A113" s="30">
        <v>490.95420250215363</v>
      </c>
      <c r="C113" s="1" t="str">
        <f>ADDRESS(C121+1,1,1,1)</f>
        <v>$A$171</v>
      </c>
      <c r="D113" s="1" t="str">
        <f>ADDRESS(C121-1,D121+1,1,1)</f>
        <v>$EL$169</v>
      </c>
    </row>
    <row r="114" spans="1:5" x14ac:dyDescent="0.25">
      <c r="A114" s="30">
        <v>467.57543095443202</v>
      </c>
      <c r="C114" s="1" t="str">
        <f>ADDRESS(C121,D121,1,1)</f>
        <v>$EK$170</v>
      </c>
      <c r="D114" s="1" t="str">
        <f>ADDRESS(C121+1,D121+1,1,1)</f>
        <v>$EL$171</v>
      </c>
    </row>
    <row r="115" spans="1:5" x14ac:dyDescent="0.25">
      <c r="A115" s="30">
        <v>445.30993424231622</v>
      </c>
      <c r="C115" s="1" t="str">
        <f>ADDRESS(C121+1,D121,1,1)</f>
        <v>$EK$171</v>
      </c>
    </row>
    <row r="116" spans="1:5" x14ac:dyDescent="0.25">
      <c r="A116" s="30">
        <v>424.10469927839637</v>
      </c>
      <c r="C116" s="1">
        <f>C117-1</f>
        <v>169</v>
      </c>
    </row>
    <row r="117" spans="1:5" x14ac:dyDescent="0.25">
      <c r="A117" s="30">
        <v>403.9092374079965</v>
      </c>
      <c r="C117" s="1">
        <f>C121</f>
        <v>170</v>
      </c>
      <c r="D117" s="1">
        <f>D121</f>
        <v>141</v>
      </c>
    </row>
    <row r="118" spans="1:5" x14ac:dyDescent="0.25">
      <c r="A118" s="30">
        <v>384.6754641980919</v>
      </c>
      <c r="C118" s="1">
        <f>C117+1</f>
        <v>171</v>
      </c>
      <c r="D118" s="1">
        <f>D117+1</f>
        <v>142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170</v>
      </c>
      <c r="D121" s="19">
        <v>141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R170</v>
      </c>
      <c r="D123" s="1" t="str">
        <f>"C"&amp;D121</f>
        <v>C141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30.426425535513939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24" x14ac:dyDescent="0.25">
      <c r="A145" s="30">
        <v>103.03467644609493</v>
      </c>
      <c r="E145"/>
    </row>
    <row r="146" spans="1:124" x14ac:dyDescent="0.25">
      <c r="A146" s="30">
        <v>98.128263281995174</v>
      </c>
      <c r="E146"/>
    </row>
    <row r="147" spans="1:124" x14ac:dyDescent="0.25">
      <c r="A147" s="30">
        <v>93.455488839995397</v>
      </c>
      <c r="E147"/>
    </row>
    <row r="148" spans="1:124" x14ac:dyDescent="0.25">
      <c r="A148" s="30">
        <v>89.005227466662276</v>
      </c>
      <c r="E148"/>
    </row>
    <row r="149" spans="1:124" x14ac:dyDescent="0.25">
      <c r="A149" s="30">
        <v>84.766883301583121</v>
      </c>
      <c r="E149"/>
    </row>
    <row r="150" spans="1:124" x14ac:dyDescent="0.25">
      <c r="A150" s="30">
        <v>80.730365049126775</v>
      </c>
      <c r="E150"/>
    </row>
    <row r="151" spans="1:124" x14ac:dyDescent="0.25">
      <c r="A151" s="30">
        <v>76.886061951549308</v>
      </c>
      <c r="E151"/>
    </row>
    <row r="152" spans="1:124" x14ac:dyDescent="0.25">
      <c r="A152" s="30">
        <v>73.22482090623744</v>
      </c>
      <c r="E152"/>
    </row>
    <row r="153" spans="1:124" x14ac:dyDescent="0.25">
      <c r="A153" s="30">
        <v>69.737924672607079</v>
      </c>
      <c r="C153" s="7"/>
      <c r="D153"/>
      <c r="E153"/>
    </row>
    <row r="154" spans="1:124" x14ac:dyDescent="0.25">
      <c r="A154" s="30">
        <v>66.417071116768639</v>
      </c>
      <c r="E154"/>
    </row>
    <row r="155" spans="1:124" x14ac:dyDescent="0.25">
      <c r="A155" s="30">
        <v>63.254353444541557</v>
      </c>
      <c r="E155"/>
    </row>
    <row r="156" spans="1:124" x14ac:dyDescent="0.25">
      <c r="A156" s="30">
        <v>60.242241375753864</v>
      </c>
      <c r="C156"/>
      <c r="D156"/>
      <c r="E156"/>
    </row>
    <row r="157" spans="1:124" x14ac:dyDescent="0.25">
      <c r="A157" s="30">
        <v>57.373563215003678</v>
      </c>
      <c r="E157"/>
      <c r="DM157" s="27" t="s">
        <v>8</v>
      </c>
    </row>
    <row r="158" spans="1:124" x14ac:dyDescent="0.25">
      <c r="A158" s="30">
        <v>54.641488776193974</v>
      </c>
      <c r="E158"/>
      <c r="DM158" s="27" t="s">
        <v>8</v>
      </c>
      <c r="DN158" s="27" t="s">
        <v>7</v>
      </c>
      <c r="DQ158" s="34" t="s">
        <v>8</v>
      </c>
      <c r="DS158" s="34" t="s">
        <v>8</v>
      </c>
    </row>
    <row r="159" spans="1:124" x14ac:dyDescent="0.25">
      <c r="A159" s="30">
        <v>52.039513120184736</v>
      </c>
      <c r="E159"/>
      <c r="DM159" s="27" t="s">
        <v>8</v>
      </c>
      <c r="DN159" s="27" t="s">
        <v>7</v>
      </c>
      <c r="DO159" s="27" t="s">
        <v>8</v>
      </c>
      <c r="DQ159" s="27" t="s">
        <v>8</v>
      </c>
      <c r="DR159" s="27" t="s">
        <v>7</v>
      </c>
      <c r="DS159" s="27" t="s">
        <v>8</v>
      </c>
      <c r="DT159" s="27" t="s">
        <v>7</v>
      </c>
    </row>
    <row r="160" spans="1:124" x14ac:dyDescent="0.25">
      <c r="A160" s="30">
        <v>49.561441066842605</v>
      </c>
      <c r="C160"/>
      <c r="E160"/>
      <c r="DM160" s="27" t="s">
        <v>8</v>
      </c>
      <c r="DN160" s="27" t="s">
        <v>7</v>
      </c>
      <c r="DO160" s="27" t="s">
        <v>8</v>
      </c>
      <c r="DP160" s="27" t="s">
        <v>7</v>
      </c>
      <c r="DQ160" s="27" t="s">
        <v>8</v>
      </c>
      <c r="DR160" s="27" t="s">
        <v>7</v>
      </c>
      <c r="DS160" s="27" t="s">
        <v>8</v>
      </c>
      <c r="DT160" s="27" t="s">
        <v>7</v>
      </c>
    </row>
    <row r="161" spans="1:141" x14ac:dyDescent="0.25">
      <c r="A161" s="30">
        <v>47.201372444612005</v>
      </c>
      <c r="E161"/>
      <c r="DM161" s="27" t="s">
        <v>8</v>
      </c>
      <c r="DN161" s="27" t="s">
        <v>7</v>
      </c>
      <c r="DO161" s="27" t="s">
        <v>8</v>
      </c>
      <c r="DP161" s="27" t="s">
        <v>7</v>
      </c>
      <c r="DQ161" s="27" t="s">
        <v>8</v>
      </c>
      <c r="DR161" s="27" t="s">
        <v>7</v>
      </c>
      <c r="DT161" s="27" t="s">
        <v>7</v>
      </c>
      <c r="DU161" s="27" t="s">
        <v>8</v>
      </c>
    </row>
    <row r="162" spans="1:141" x14ac:dyDescent="0.25">
      <c r="A162" s="30">
        <v>44.95368804248762</v>
      </c>
      <c r="E162"/>
      <c r="DM162" s="27" t="s">
        <v>8</v>
      </c>
      <c r="DN162" s="27" t="s">
        <v>7</v>
      </c>
      <c r="DO162" s="27" t="s">
        <v>8</v>
      </c>
      <c r="DP162" s="27" t="s">
        <v>7</v>
      </c>
      <c r="DQ162" s="27" t="s">
        <v>8</v>
      </c>
      <c r="DT162" s="27" t="s">
        <v>7</v>
      </c>
      <c r="DU162" s="27" t="s">
        <v>8</v>
      </c>
      <c r="DV162" s="27" t="s">
        <v>7</v>
      </c>
      <c r="EE162" s="27" t="s">
        <v>8</v>
      </c>
    </row>
    <row r="163" spans="1:141" x14ac:dyDescent="0.25">
      <c r="A163" s="30">
        <v>42.81303623094059</v>
      </c>
      <c r="E163"/>
      <c r="DM163" s="27" t="s">
        <v>8</v>
      </c>
      <c r="DN163" s="27" t="s">
        <v>7</v>
      </c>
      <c r="DP163" s="27" t="s">
        <v>7</v>
      </c>
      <c r="DQ163" s="27" t="s">
        <v>8</v>
      </c>
      <c r="DT163" s="27" t="s">
        <v>7</v>
      </c>
      <c r="DU163" s="27" t="s">
        <v>8</v>
      </c>
      <c r="DV163" s="27" t="s">
        <v>7</v>
      </c>
      <c r="EC163" s="27" t="s">
        <v>8</v>
      </c>
      <c r="EE163" s="27" t="s">
        <v>8</v>
      </c>
      <c r="EF163" s="27" t="s">
        <v>7</v>
      </c>
    </row>
    <row r="164" spans="1:141" x14ac:dyDescent="0.25">
      <c r="A164" s="30">
        <v>40.774320219943419</v>
      </c>
      <c r="E164"/>
      <c r="DM164" s="27" t="s">
        <v>8</v>
      </c>
      <c r="DP164" s="27" t="s">
        <v>7</v>
      </c>
      <c r="DT164" s="27" t="s">
        <v>7</v>
      </c>
      <c r="DU164" s="27" t="s">
        <v>8</v>
      </c>
      <c r="DV164" s="27" t="s">
        <v>7</v>
      </c>
      <c r="EC164" s="27" t="s">
        <v>8</v>
      </c>
      <c r="ED164" s="27" t="s">
        <v>7</v>
      </c>
      <c r="EE164" s="27" t="s">
        <v>8</v>
      </c>
      <c r="EF164" s="27" t="s">
        <v>7</v>
      </c>
    </row>
    <row r="165" spans="1:141" x14ac:dyDescent="0.25">
      <c r="A165" s="30">
        <v>38.832685923755633</v>
      </c>
      <c r="E165"/>
      <c r="DM165" s="27" t="s">
        <v>8</v>
      </c>
      <c r="DT165" s="27" t="s">
        <v>7</v>
      </c>
      <c r="DV165" s="27" t="s">
        <v>7</v>
      </c>
      <c r="EC165" s="27" t="s">
        <v>8</v>
      </c>
      <c r="ED165" s="27" t="s">
        <v>7</v>
      </c>
      <c r="EE165" s="27" t="s">
        <v>8</v>
      </c>
      <c r="EF165" s="27" t="s">
        <v>7</v>
      </c>
    </row>
    <row r="166" spans="1:141" x14ac:dyDescent="0.25">
      <c r="A166" s="30">
        <v>36.983510403576794</v>
      </c>
      <c r="E166"/>
      <c r="DM166" s="27" t="s">
        <v>8</v>
      </c>
      <c r="DV166" s="27" t="s">
        <v>7</v>
      </c>
      <c r="EC166" s="27" t="s">
        <v>8</v>
      </c>
      <c r="ED166" s="27" t="s">
        <v>7</v>
      </c>
      <c r="EF166" s="27" t="s">
        <v>7</v>
      </c>
    </row>
    <row r="167" spans="1:141" x14ac:dyDescent="0.25">
      <c r="A167" s="30">
        <v>35.222390860549325</v>
      </c>
      <c r="E167"/>
      <c r="DM167" s="27" t="s">
        <v>8</v>
      </c>
      <c r="DV167" s="27" t="s">
        <v>7</v>
      </c>
      <c r="DW167" s="31" t="s">
        <v>8</v>
      </c>
      <c r="EA167" s="27" t="s">
        <v>8</v>
      </c>
      <c r="EC167" s="27" t="s">
        <v>8</v>
      </c>
      <c r="EF167" s="27" t="s">
        <v>7</v>
      </c>
      <c r="EG167" s="27" t="s">
        <v>8</v>
      </c>
    </row>
    <row r="168" spans="1:141" x14ac:dyDescent="0.25">
      <c r="A168" s="30">
        <v>33.545134152904119</v>
      </c>
      <c r="E168"/>
      <c r="DM168" s="27" t="s">
        <v>8</v>
      </c>
      <c r="DV168" s="31" t="s">
        <v>7</v>
      </c>
      <c r="DW168" s="27" t="s">
        <v>8</v>
      </c>
      <c r="DX168" s="27" t="s">
        <v>7</v>
      </c>
      <c r="DY168" s="27" t="s">
        <v>8</v>
      </c>
      <c r="EA168" s="27" t="s">
        <v>8</v>
      </c>
      <c r="EB168" s="27" t="s">
        <v>7</v>
      </c>
      <c r="EC168" s="27" t="s">
        <v>8</v>
      </c>
      <c r="EF168" s="27" t="s">
        <v>7</v>
      </c>
      <c r="EG168" s="27" t="s">
        <v>8</v>
      </c>
      <c r="EH168" s="27" t="s">
        <v>7</v>
      </c>
    </row>
    <row r="169" spans="1:141" x14ac:dyDescent="0.25">
      <c r="A169" s="30">
        <v>31.947746812289637</v>
      </c>
      <c r="E169"/>
      <c r="DK169" s="27" t="s">
        <v>8</v>
      </c>
      <c r="DM169" s="27" t="s">
        <v>8</v>
      </c>
      <c r="DU169" s="31"/>
      <c r="DV169" s="27" t="s">
        <v>7</v>
      </c>
      <c r="DW169" s="27" t="s">
        <v>8</v>
      </c>
      <c r="DX169" s="27" t="s">
        <v>7</v>
      </c>
      <c r="DY169" s="27" t="s">
        <v>8</v>
      </c>
      <c r="DZ169" s="27" t="s">
        <v>7</v>
      </c>
      <c r="EA169" s="27" t="s">
        <v>8</v>
      </c>
      <c r="EB169" s="27" t="s">
        <v>7</v>
      </c>
      <c r="EC169" s="27" t="s">
        <v>8</v>
      </c>
      <c r="EF169" s="27" t="s">
        <v>7</v>
      </c>
      <c r="EG169" s="27" t="s">
        <v>8</v>
      </c>
      <c r="EH169" s="27" t="s">
        <v>7</v>
      </c>
    </row>
    <row r="170" spans="1:141" x14ac:dyDescent="0.25">
      <c r="A170" s="30">
        <v>30.426425535513939</v>
      </c>
      <c r="E170"/>
      <c r="DK170" s="27" t="s">
        <v>8</v>
      </c>
      <c r="DL170" s="27" t="s">
        <v>7</v>
      </c>
      <c r="DM170" s="27" t="s">
        <v>8</v>
      </c>
      <c r="DT170" s="31"/>
      <c r="DV170" s="27" t="s">
        <v>7</v>
      </c>
      <c r="DW170" s="27" t="s">
        <v>8</v>
      </c>
      <c r="DX170" s="27" t="s">
        <v>7</v>
      </c>
      <c r="DY170" s="27" t="s">
        <v>8</v>
      </c>
      <c r="DZ170" s="27" t="s">
        <v>7</v>
      </c>
      <c r="EA170" s="27" t="s">
        <v>8</v>
      </c>
      <c r="EB170" s="27" t="s">
        <v>7</v>
      </c>
      <c r="EF170" s="27" t="s">
        <v>7</v>
      </c>
      <c r="EH170" s="27" t="s">
        <v>7</v>
      </c>
      <c r="EK170" s="27" t="s">
        <v>8</v>
      </c>
    </row>
    <row r="171" spans="1:141" x14ac:dyDescent="0.25">
      <c r="A171" s="30">
        <v>28.977548129060892</v>
      </c>
      <c r="E171"/>
      <c r="DK171" s="27" t="s">
        <v>8</v>
      </c>
      <c r="DL171" s="27" t="s">
        <v>7</v>
      </c>
      <c r="DM171" s="27" t="s">
        <v>8</v>
      </c>
      <c r="DS171" s="31"/>
      <c r="DV171" s="27" t="s">
        <v>7</v>
      </c>
      <c r="DW171" s="27" t="s">
        <v>8</v>
      </c>
      <c r="DX171" s="27" t="s">
        <v>7</v>
      </c>
      <c r="DZ171" s="27" t="s">
        <v>7</v>
      </c>
      <c r="EA171" s="27" t="s">
        <v>8</v>
      </c>
      <c r="EH171" s="27" t="s">
        <v>7</v>
      </c>
      <c r="EK171" s="27" t="s">
        <v>8</v>
      </c>
    </row>
    <row r="172" spans="1:141" x14ac:dyDescent="0.25">
      <c r="A172" s="30">
        <v>27.597664884819896</v>
      </c>
      <c r="E172"/>
      <c r="DK172" s="27" t="s">
        <v>8</v>
      </c>
      <c r="DL172" s="27" t="s">
        <v>7</v>
      </c>
      <c r="DR172" s="31"/>
      <c r="DV172" s="27" t="s">
        <v>7</v>
      </c>
      <c r="DW172" s="27" t="s">
        <v>8</v>
      </c>
      <c r="DZ172" s="27" t="s">
        <v>7</v>
      </c>
      <c r="EA172" s="27" t="s">
        <v>8</v>
      </c>
      <c r="EH172" s="27" t="s">
        <v>7</v>
      </c>
      <c r="EK172" s="27" t="s">
        <v>8</v>
      </c>
    </row>
    <row r="173" spans="1:141" x14ac:dyDescent="0.25">
      <c r="A173" s="30">
        <v>26.283490366495137</v>
      </c>
      <c r="E173"/>
      <c r="DA173" s="27" t="s">
        <v>8</v>
      </c>
      <c r="DK173" s="27" t="s">
        <v>8</v>
      </c>
      <c r="DQ173" s="31"/>
      <c r="DV173" s="27" t="s">
        <v>7</v>
      </c>
      <c r="DW173" s="27" t="s">
        <v>8</v>
      </c>
      <c r="DZ173" s="27" t="s">
        <v>7</v>
      </c>
      <c r="EH173" s="27" t="s">
        <v>7</v>
      </c>
      <c r="EK173" s="27" t="s">
        <v>8</v>
      </c>
    </row>
    <row r="174" spans="1:141" x14ac:dyDescent="0.25">
      <c r="A174" s="30">
        <v>25.031895587138223</v>
      </c>
      <c r="E174"/>
      <c r="DA174" s="27" t="s">
        <v>8</v>
      </c>
      <c r="DB174" s="27" t="s">
        <v>7</v>
      </c>
      <c r="DE174" s="27" t="s">
        <v>8</v>
      </c>
      <c r="DK174" s="27" t="s">
        <v>8</v>
      </c>
      <c r="DP174" s="31"/>
      <c r="DV174" s="27" t="s">
        <v>7</v>
      </c>
      <c r="EH174" s="27" t="s">
        <v>7</v>
      </c>
      <c r="EK174" s="27" t="s">
        <v>8</v>
      </c>
    </row>
    <row r="175" spans="1:141" x14ac:dyDescent="0.25">
      <c r="A175" s="30">
        <v>23.839900559179259</v>
      </c>
      <c r="E175"/>
      <c r="CO175" s="31" t="s">
        <v>8</v>
      </c>
      <c r="DA175" s="27" t="s">
        <v>8</v>
      </c>
      <c r="DB175" s="27" t="s">
        <v>7</v>
      </c>
      <c r="DC175" s="27" t="s">
        <v>8</v>
      </c>
      <c r="DE175" s="27" t="s">
        <v>8</v>
      </c>
      <c r="DF175" s="27" t="s">
        <v>7</v>
      </c>
      <c r="DK175" s="27" t="s">
        <v>8</v>
      </c>
      <c r="DO175" s="31"/>
      <c r="EH175" s="27" t="s">
        <v>7</v>
      </c>
      <c r="EI175" s="27" t="s">
        <v>8</v>
      </c>
      <c r="EK175" s="27" t="s">
        <v>8</v>
      </c>
    </row>
    <row r="176" spans="1:141" x14ac:dyDescent="0.25">
      <c r="A176" s="30">
        <v>22.704667199218342</v>
      </c>
      <c r="E176"/>
      <c r="CO176" s="27" t="s">
        <v>8</v>
      </c>
      <c r="CP176" s="31" t="s">
        <v>7</v>
      </c>
      <c r="CY176" s="27" t="s">
        <v>8</v>
      </c>
      <c r="DA176" s="27" t="s">
        <v>8</v>
      </c>
      <c r="DB176" s="27" t="s">
        <v>7</v>
      </c>
      <c r="DC176" s="27" t="s">
        <v>8</v>
      </c>
      <c r="DD176" s="27" t="s">
        <v>7</v>
      </c>
      <c r="DE176" s="27" t="s">
        <v>8</v>
      </c>
      <c r="DF176" s="27" t="s">
        <v>7</v>
      </c>
      <c r="DI176" s="27" t="s">
        <v>8</v>
      </c>
      <c r="DK176" s="27" t="s">
        <v>8</v>
      </c>
      <c r="DN176" s="31"/>
      <c r="EH176" s="27" t="s">
        <v>7</v>
      </c>
      <c r="EI176" s="27" t="s">
        <v>8</v>
      </c>
      <c r="EJ176" s="27" t="s">
        <v>7</v>
      </c>
      <c r="EK176" s="27" t="s">
        <v>8</v>
      </c>
    </row>
    <row r="177" spans="1:141" x14ac:dyDescent="0.25">
      <c r="A177" s="30">
        <v>21.623492570684135</v>
      </c>
      <c r="E177"/>
      <c r="CO177" s="27" t="s">
        <v>8</v>
      </c>
      <c r="CP177" s="27" t="s">
        <v>7</v>
      </c>
      <c r="CQ177" s="31"/>
      <c r="CY177" s="27" t="s">
        <v>8</v>
      </c>
      <c r="CZ177" s="27" t="s">
        <v>7</v>
      </c>
      <c r="DA177" s="27" t="s">
        <v>8</v>
      </c>
      <c r="DB177" s="27" t="s">
        <v>7</v>
      </c>
      <c r="DC177" s="27" t="s">
        <v>8</v>
      </c>
      <c r="DD177" s="27" t="s">
        <v>7</v>
      </c>
      <c r="DE177" s="27" t="s">
        <v>8</v>
      </c>
      <c r="DF177" s="27" t="s">
        <v>7</v>
      </c>
      <c r="DG177" s="27" t="s">
        <v>8</v>
      </c>
      <c r="DI177" s="27" t="s">
        <v>8</v>
      </c>
      <c r="DJ177" s="27" t="s">
        <v>7</v>
      </c>
      <c r="DK177" s="27" t="s">
        <v>8</v>
      </c>
      <c r="DM177" s="31"/>
      <c r="EH177" s="27" t="s">
        <v>7</v>
      </c>
      <c r="EI177" s="27" t="s">
        <v>8</v>
      </c>
      <c r="EJ177" s="27" t="s">
        <v>7</v>
      </c>
      <c r="EK177" s="27" t="s">
        <v>8</v>
      </c>
    </row>
    <row r="178" spans="1:141" x14ac:dyDescent="0.25">
      <c r="A178" s="30">
        <v>20.593802448270605</v>
      </c>
      <c r="C178" s="7"/>
      <c r="D178"/>
      <c r="E178"/>
      <c r="BW178" s="27" t="s">
        <v>8</v>
      </c>
      <c r="CO178" s="27" t="s">
        <v>8</v>
      </c>
      <c r="CP178" s="27" t="s">
        <v>7</v>
      </c>
      <c r="CR178" s="31"/>
      <c r="CY178" s="27" t="s">
        <v>8</v>
      </c>
      <c r="CZ178" s="27" t="s">
        <v>7</v>
      </c>
      <c r="DA178" s="27" t="s">
        <v>8</v>
      </c>
      <c r="DB178" s="27" t="s">
        <v>7</v>
      </c>
      <c r="DC178" s="27" t="s">
        <v>8</v>
      </c>
      <c r="DD178" s="27" t="s">
        <v>7</v>
      </c>
      <c r="DF178" s="27" t="s">
        <v>7</v>
      </c>
      <c r="DG178" s="27" t="s">
        <v>8</v>
      </c>
      <c r="DH178" s="27" t="s">
        <v>7</v>
      </c>
      <c r="DI178" s="27" t="s">
        <v>8</v>
      </c>
      <c r="DJ178" s="27" t="s">
        <v>7</v>
      </c>
      <c r="DK178" s="27" t="s">
        <v>8</v>
      </c>
      <c r="DL178" s="31"/>
      <c r="EH178" s="27" t="s">
        <v>7</v>
      </c>
      <c r="EJ178" s="27" t="s">
        <v>7</v>
      </c>
    </row>
    <row r="179" spans="1:141" x14ac:dyDescent="0.25">
      <c r="A179" s="30">
        <v>19.613145188829147</v>
      </c>
      <c r="E179"/>
      <c r="BW179" s="27" t="s">
        <v>8</v>
      </c>
      <c r="BX179" s="27" t="s">
        <v>7</v>
      </c>
      <c r="CG179" s="27" t="s">
        <v>8</v>
      </c>
      <c r="CO179" s="27" t="s">
        <v>8</v>
      </c>
      <c r="CP179" s="27" t="s">
        <v>7</v>
      </c>
      <c r="CS179" s="31"/>
      <c r="CW179" s="27" t="s">
        <v>8</v>
      </c>
      <c r="CY179" s="27" t="s">
        <v>8</v>
      </c>
      <c r="CZ179" s="27" t="s">
        <v>7</v>
      </c>
      <c r="DA179" s="27" t="s">
        <v>8</v>
      </c>
      <c r="DB179" s="27" t="s">
        <v>7</v>
      </c>
      <c r="DF179" s="27" t="s">
        <v>7</v>
      </c>
      <c r="DG179" s="27" t="s">
        <v>8</v>
      </c>
      <c r="DH179" s="27" t="s">
        <v>7</v>
      </c>
      <c r="DI179" s="27" t="s">
        <v>8</v>
      </c>
      <c r="DJ179" s="27" t="s">
        <v>7</v>
      </c>
      <c r="DK179" s="31" t="s">
        <v>8</v>
      </c>
    </row>
    <row r="180" spans="1:141" x14ac:dyDescent="0.25">
      <c r="A180" s="30">
        <v>18.679185894122998</v>
      </c>
      <c r="E180"/>
      <c r="BU180" s="27" t="s">
        <v>8</v>
      </c>
      <c r="BW180" s="27" t="s">
        <v>8</v>
      </c>
      <c r="BX180" s="27" t="s">
        <v>7</v>
      </c>
      <c r="CE180" s="27" t="s">
        <v>8</v>
      </c>
      <c r="CG180" s="27" t="s">
        <v>8</v>
      </c>
      <c r="CH180" s="27" t="s">
        <v>7</v>
      </c>
      <c r="CI180" s="27" t="s">
        <v>8</v>
      </c>
      <c r="CO180" s="27" t="s">
        <v>8</v>
      </c>
      <c r="CP180" s="27" t="s">
        <v>7</v>
      </c>
      <c r="CT180" s="31"/>
      <c r="CW180" s="27" t="s">
        <v>8</v>
      </c>
      <c r="CX180" s="27" t="s">
        <v>7</v>
      </c>
      <c r="CY180" s="27" t="s">
        <v>8</v>
      </c>
      <c r="CZ180" s="27" t="s">
        <v>7</v>
      </c>
      <c r="DF180" s="27" t="s">
        <v>7</v>
      </c>
      <c r="DG180" s="27" t="s">
        <v>8</v>
      </c>
      <c r="DH180" s="27" t="s">
        <v>7</v>
      </c>
      <c r="DI180" s="27" t="s">
        <v>8</v>
      </c>
      <c r="DJ180" s="31" t="s">
        <v>7</v>
      </c>
    </row>
    <row r="181" spans="1:141" x14ac:dyDescent="0.25">
      <c r="A181" s="30">
        <v>17.78970085154571</v>
      </c>
      <c r="C181"/>
      <c r="D181"/>
      <c r="E181"/>
      <c r="BU181" s="27" t="s">
        <v>8</v>
      </c>
      <c r="BV181" s="27" t="s">
        <v>7</v>
      </c>
      <c r="BW181" s="27" t="s">
        <v>8</v>
      </c>
      <c r="BX181" s="27" t="s">
        <v>7</v>
      </c>
      <c r="BY181" s="27" t="s">
        <v>8</v>
      </c>
      <c r="CE181" s="27" t="s">
        <v>8</v>
      </c>
      <c r="CF181" s="27" t="s">
        <v>7</v>
      </c>
      <c r="CG181" s="27" t="s">
        <v>8</v>
      </c>
      <c r="CH181" s="27" t="s">
        <v>7</v>
      </c>
      <c r="CI181" s="27" t="s">
        <v>8</v>
      </c>
      <c r="CJ181" s="27" t="s">
        <v>7</v>
      </c>
      <c r="CO181" s="27" t="s">
        <v>8</v>
      </c>
      <c r="CP181" s="27" t="s">
        <v>7</v>
      </c>
      <c r="CU181" s="31"/>
      <c r="CW181" s="27" t="s">
        <v>8</v>
      </c>
      <c r="CX181" s="27" t="s">
        <v>7</v>
      </c>
      <c r="CY181" s="27" t="s">
        <v>8</v>
      </c>
      <c r="DF181" s="27" t="s">
        <v>7</v>
      </c>
      <c r="DH181" s="27" t="s">
        <v>7</v>
      </c>
      <c r="DI181" s="31" t="s">
        <v>8</v>
      </c>
    </row>
    <row r="182" spans="1:141" x14ac:dyDescent="0.25">
      <c r="A182" s="30">
        <v>16.942572239567344</v>
      </c>
      <c r="E182"/>
      <c r="BU182" s="27" t="s">
        <v>8</v>
      </c>
      <c r="BV182" s="27" t="s">
        <v>7</v>
      </c>
      <c r="BW182" s="27" t="s">
        <v>8</v>
      </c>
      <c r="BX182" s="27" t="s">
        <v>7</v>
      </c>
      <c r="BY182" s="27" t="s">
        <v>8</v>
      </c>
      <c r="BZ182" s="27" t="s">
        <v>7</v>
      </c>
      <c r="CE182" s="27" t="s">
        <v>8</v>
      </c>
      <c r="CF182" s="27" t="s">
        <v>7</v>
      </c>
      <c r="CG182" s="27" t="s">
        <v>8</v>
      </c>
      <c r="CH182" s="27" t="s">
        <v>7</v>
      </c>
      <c r="CI182" s="27" t="s">
        <v>8</v>
      </c>
      <c r="CJ182" s="27" t="s">
        <v>7</v>
      </c>
      <c r="CO182" s="27" t="s">
        <v>8</v>
      </c>
      <c r="CP182" s="27" t="s">
        <v>7</v>
      </c>
      <c r="CV182" s="31"/>
      <c r="CW182" s="27" t="s">
        <v>8</v>
      </c>
      <c r="CX182" s="27" t="s">
        <v>7</v>
      </c>
      <c r="CY182" s="27" t="s">
        <v>8</v>
      </c>
      <c r="DH182" s="31" t="s">
        <v>7</v>
      </c>
    </row>
    <row r="183" spans="1:141" x14ac:dyDescent="0.25">
      <c r="A183" s="30">
        <v>16.135783085302233</v>
      </c>
      <c r="E183"/>
      <c r="BU183" s="27" t="s">
        <v>8</v>
      </c>
      <c r="BV183" s="27" t="s">
        <v>7</v>
      </c>
      <c r="BW183" s="27" t="s">
        <v>8</v>
      </c>
      <c r="BX183" s="27" t="s">
        <v>7</v>
      </c>
      <c r="BY183" s="27" t="s">
        <v>8</v>
      </c>
      <c r="BZ183" s="27" t="s">
        <v>7</v>
      </c>
      <c r="CA183" s="27" t="s">
        <v>8</v>
      </c>
      <c r="CE183" s="27" t="s">
        <v>8</v>
      </c>
      <c r="CF183" s="27" t="s">
        <v>7</v>
      </c>
      <c r="CH183" s="27" t="s">
        <v>7</v>
      </c>
      <c r="CI183" s="27" t="s">
        <v>8</v>
      </c>
      <c r="CJ183" s="27" t="s">
        <v>7</v>
      </c>
      <c r="CK183" s="27" t="s">
        <v>8</v>
      </c>
      <c r="CO183" s="27" t="s">
        <v>8</v>
      </c>
      <c r="CP183" s="27" t="s">
        <v>7</v>
      </c>
      <c r="CW183" s="31" t="s">
        <v>8</v>
      </c>
      <c r="CX183" s="27" t="s">
        <v>7</v>
      </c>
      <c r="CY183" s="27" t="s">
        <v>8</v>
      </c>
      <c r="DG183" s="31"/>
    </row>
    <row r="184" spans="1:141" x14ac:dyDescent="0.25">
      <c r="A184" s="30">
        <v>15.367412462192602</v>
      </c>
      <c r="E184"/>
      <c r="BU184" s="27" t="s">
        <v>8</v>
      </c>
      <c r="BV184" s="27" t="s">
        <v>7</v>
      </c>
      <c r="BX184" s="27" t="s">
        <v>7</v>
      </c>
      <c r="BZ184" s="27" t="s">
        <v>7</v>
      </c>
      <c r="CA184" s="27" t="s">
        <v>8</v>
      </c>
      <c r="CB184" s="27" t="s">
        <v>7</v>
      </c>
      <c r="CE184" s="27" t="s">
        <v>8</v>
      </c>
      <c r="CH184" s="32" t="s">
        <v>7</v>
      </c>
      <c r="CI184" s="27" t="s">
        <v>8</v>
      </c>
      <c r="CJ184" s="27" t="s">
        <v>7</v>
      </c>
      <c r="CK184" s="27" t="s">
        <v>8</v>
      </c>
      <c r="CL184" s="27" t="s">
        <v>7</v>
      </c>
      <c r="CO184" s="33" t="s">
        <v>8</v>
      </c>
      <c r="CP184" s="27" t="s">
        <v>7</v>
      </c>
      <c r="CW184" s="27" t="s">
        <v>8</v>
      </c>
      <c r="CX184" s="31" t="s">
        <v>7</v>
      </c>
      <c r="DF184" s="31"/>
    </row>
    <row r="185" spans="1:141" x14ac:dyDescent="0.25">
      <c r="A185" s="30">
        <v>14.635630916373906</v>
      </c>
      <c r="C185"/>
      <c r="E185"/>
      <c r="BU185" s="27" t="s">
        <v>8</v>
      </c>
      <c r="BZ185" s="27" t="s">
        <v>7</v>
      </c>
      <c r="CA185" s="27" t="s">
        <v>8</v>
      </c>
      <c r="CB185" s="27" t="s">
        <v>7</v>
      </c>
      <c r="CC185" s="27" t="s">
        <v>8</v>
      </c>
      <c r="CE185" s="27" t="s">
        <v>8</v>
      </c>
      <c r="CH185" s="27" t="s">
        <v>7</v>
      </c>
      <c r="CI185" s="27" t="s">
        <v>8</v>
      </c>
      <c r="CJ185" s="27" t="s">
        <v>7</v>
      </c>
      <c r="CK185" s="27" t="s">
        <v>8</v>
      </c>
      <c r="CL185" s="27" t="s">
        <v>7</v>
      </c>
      <c r="CM185" s="27" t="s">
        <v>8</v>
      </c>
      <c r="CO185" s="27" t="s">
        <v>8</v>
      </c>
      <c r="CP185" s="27" t="s">
        <v>7</v>
      </c>
      <c r="CQ185" s="27" t="s">
        <v>8</v>
      </c>
      <c r="CW185" s="33" t="s">
        <v>8</v>
      </c>
      <c r="CY185" s="31"/>
      <c r="DE185" s="31"/>
    </row>
    <row r="186" spans="1:141" x14ac:dyDescent="0.25">
      <c r="A186" s="30">
        <v>13.938696110832291</v>
      </c>
      <c r="E186"/>
      <c r="BU186" s="27" t="s">
        <v>8</v>
      </c>
      <c r="BZ186" s="27" t="s">
        <v>7</v>
      </c>
      <c r="CA186" s="27" t="s">
        <v>8</v>
      </c>
      <c r="CB186" s="27" t="s">
        <v>7</v>
      </c>
      <c r="CC186" s="27" t="s">
        <v>8</v>
      </c>
      <c r="CD186" s="27" t="s">
        <v>7</v>
      </c>
      <c r="CE186" s="27" t="s">
        <v>8</v>
      </c>
      <c r="CH186" s="27" t="s">
        <v>7</v>
      </c>
      <c r="CI186" s="27" t="s">
        <v>8</v>
      </c>
      <c r="CJ186" s="27" t="s">
        <v>7</v>
      </c>
      <c r="CK186" s="27" t="s">
        <v>8</v>
      </c>
      <c r="CL186" s="27" t="s">
        <v>7</v>
      </c>
      <c r="CM186" s="27" t="s">
        <v>8</v>
      </c>
      <c r="CN186" s="27" t="s">
        <v>7</v>
      </c>
      <c r="CO186" s="27" t="s">
        <v>8</v>
      </c>
      <c r="CP186" s="27" t="s">
        <v>7</v>
      </c>
      <c r="CQ186" s="27" t="s">
        <v>8</v>
      </c>
      <c r="CR186" s="27" t="s">
        <v>7</v>
      </c>
      <c r="CU186" s="27" t="s">
        <v>8</v>
      </c>
      <c r="CW186" s="27" t="s">
        <v>8</v>
      </c>
      <c r="DD186" s="31"/>
    </row>
    <row r="187" spans="1:141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U187" s="27" t="s">
        <v>8</v>
      </c>
      <c r="BZ187" s="27" t="s">
        <v>7</v>
      </c>
      <c r="CA187" s="27" t="s">
        <v>8</v>
      </c>
      <c r="CB187" s="27" t="s">
        <v>7</v>
      </c>
      <c r="CC187" s="27" t="s">
        <v>8</v>
      </c>
      <c r="CD187" s="27" t="s">
        <v>7</v>
      </c>
      <c r="CE187" s="27" t="s">
        <v>8</v>
      </c>
      <c r="CH187" s="27" t="s">
        <v>7</v>
      </c>
      <c r="CI187" s="27" t="s">
        <v>8</v>
      </c>
      <c r="CJ187" s="27" t="s">
        <v>7</v>
      </c>
      <c r="CK187" s="27" t="s">
        <v>8</v>
      </c>
      <c r="CL187" s="27" t="s">
        <v>7</v>
      </c>
      <c r="CM187" s="27" t="s">
        <v>8</v>
      </c>
      <c r="CN187" s="27" t="s">
        <v>7</v>
      </c>
      <c r="CO187" s="27" t="s">
        <v>8</v>
      </c>
      <c r="CP187" s="27" t="s">
        <v>7</v>
      </c>
      <c r="CQ187" s="27" t="s">
        <v>8</v>
      </c>
      <c r="CR187" s="27" t="s">
        <v>7</v>
      </c>
      <c r="CU187" s="33" t="s">
        <v>8</v>
      </c>
      <c r="CV187" s="27" t="s">
        <v>7</v>
      </c>
      <c r="CW187" s="27" t="s">
        <v>8</v>
      </c>
      <c r="DC187" s="31"/>
    </row>
    <row r="188" spans="1:141" x14ac:dyDescent="0.25">
      <c r="A188" s="30">
        <v>12.64280826379346</v>
      </c>
      <c r="E188"/>
      <c r="BU188" s="27" t="s">
        <v>8</v>
      </c>
      <c r="BZ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H188" s="27" t="s">
        <v>7</v>
      </c>
      <c r="CJ188" s="27" t="s">
        <v>7</v>
      </c>
      <c r="CK188" s="27" t="s">
        <v>8</v>
      </c>
      <c r="CL188" s="27" t="s">
        <v>7</v>
      </c>
      <c r="CM188" s="27" t="s">
        <v>8</v>
      </c>
      <c r="CN188" s="27" t="s">
        <v>7</v>
      </c>
      <c r="CP188" s="27" t="s">
        <v>7</v>
      </c>
      <c r="CQ188" s="27" t="s">
        <v>8</v>
      </c>
      <c r="CR188" s="27" t="s">
        <v>7</v>
      </c>
      <c r="CS188" s="27" t="s">
        <v>8</v>
      </c>
      <c r="CU188" s="27" t="s">
        <v>8</v>
      </c>
      <c r="CV188" s="27" t="s">
        <v>7</v>
      </c>
      <c r="CW188" s="27" t="s">
        <v>8</v>
      </c>
      <c r="DB188" s="31"/>
    </row>
    <row r="189" spans="1:141" x14ac:dyDescent="0.25">
      <c r="A189" s="30">
        <v>12.04076977504139</v>
      </c>
      <c r="E189"/>
      <c r="BS189" s="27" t="s">
        <v>8</v>
      </c>
      <c r="BU189" s="27" t="s">
        <v>8</v>
      </c>
      <c r="BZ189" s="27" t="s">
        <v>7</v>
      </c>
      <c r="CA189" s="27" t="s">
        <v>8</v>
      </c>
      <c r="CB189" s="27" t="s">
        <v>7</v>
      </c>
      <c r="CC189" s="27" t="s">
        <v>8</v>
      </c>
      <c r="CJ189" s="27" t="s">
        <v>7</v>
      </c>
      <c r="CK189" s="27" t="s">
        <v>8</v>
      </c>
      <c r="CL189" s="27" t="s">
        <v>7</v>
      </c>
      <c r="CM189" s="27" t="s">
        <v>8</v>
      </c>
      <c r="CP189" s="32" t="s">
        <v>7</v>
      </c>
      <c r="CQ189" s="27" t="s">
        <v>8</v>
      </c>
      <c r="CR189" s="27" t="s">
        <v>7</v>
      </c>
      <c r="CS189" s="27" t="s">
        <v>8</v>
      </c>
      <c r="CT189" s="27" t="s">
        <v>7</v>
      </c>
      <c r="CU189" s="27" t="s">
        <v>8</v>
      </c>
      <c r="CV189" s="27" t="s">
        <v>7</v>
      </c>
      <c r="CW189" s="27" t="s">
        <v>8</v>
      </c>
      <c r="DA189" s="31"/>
    </row>
    <row r="190" spans="1:141" x14ac:dyDescent="0.25">
      <c r="A190" s="30">
        <v>11.467399785753704</v>
      </c>
      <c r="E190"/>
      <c r="BS190" s="27" t="s">
        <v>8</v>
      </c>
      <c r="BT190" s="27" t="s">
        <v>7</v>
      </c>
      <c r="BU190" s="27" t="s">
        <v>8</v>
      </c>
      <c r="BZ190" s="27" t="s">
        <v>7</v>
      </c>
      <c r="CA190" s="27" t="s">
        <v>8</v>
      </c>
      <c r="CB190" s="27" t="s">
        <v>7</v>
      </c>
      <c r="CJ190" s="27" t="s">
        <v>7</v>
      </c>
      <c r="CK190" s="27" t="s">
        <v>8</v>
      </c>
      <c r="CL190" s="27" t="s">
        <v>7</v>
      </c>
      <c r="CM190" s="27" t="s">
        <v>8</v>
      </c>
      <c r="CP190" s="27" t="s">
        <v>7</v>
      </c>
      <c r="CR190" s="27" t="s">
        <v>7</v>
      </c>
      <c r="CS190" s="27" t="s">
        <v>8</v>
      </c>
      <c r="CT190" s="27" t="s">
        <v>7</v>
      </c>
      <c r="CU190" s="27" t="s">
        <v>8</v>
      </c>
      <c r="CV190" s="27" t="s">
        <v>7</v>
      </c>
      <c r="CW190" s="27" t="s">
        <v>8</v>
      </c>
      <c r="CZ190" s="31"/>
    </row>
    <row r="191" spans="1:141" x14ac:dyDescent="0.25">
      <c r="A191" s="30">
        <v>10.921333129289241</v>
      </c>
      <c r="E191"/>
      <c r="BS191" s="27" t="s">
        <v>8</v>
      </c>
      <c r="BT191" s="27" t="s">
        <v>7</v>
      </c>
      <c r="BU191" s="27" t="s">
        <v>8</v>
      </c>
      <c r="BZ191" s="27" t="s">
        <v>7</v>
      </c>
      <c r="CA191" s="27" t="s">
        <v>8</v>
      </c>
      <c r="CJ191" s="27" t="s">
        <v>7</v>
      </c>
      <c r="CL191" s="27" t="s">
        <v>7</v>
      </c>
      <c r="CM191" s="27" t="s">
        <v>8</v>
      </c>
      <c r="CR191" s="27" t="s">
        <v>7</v>
      </c>
      <c r="CS191" s="27" t="s">
        <v>8</v>
      </c>
      <c r="CT191" s="27" t="s">
        <v>7</v>
      </c>
      <c r="CU191" s="27" t="s">
        <v>8</v>
      </c>
      <c r="CV191" s="27" t="s">
        <v>7</v>
      </c>
      <c r="CW191" s="27" t="s">
        <v>8</v>
      </c>
      <c r="CY191" s="31"/>
    </row>
    <row r="192" spans="1:141" x14ac:dyDescent="0.25">
      <c r="A192" s="30">
        <v>10.401269646942135</v>
      </c>
      <c r="E192"/>
      <c r="BS192" s="27" t="s">
        <v>8</v>
      </c>
      <c r="BT192" s="27" t="s">
        <v>7</v>
      </c>
      <c r="BU192" s="27" t="s">
        <v>8</v>
      </c>
      <c r="BZ192" s="27" t="s">
        <v>7</v>
      </c>
      <c r="CA192" s="27" t="s">
        <v>8</v>
      </c>
      <c r="CL192" s="27" t="s">
        <v>7</v>
      </c>
      <c r="CM192" s="27" t="s">
        <v>8</v>
      </c>
      <c r="CR192" s="27" t="s">
        <v>7</v>
      </c>
      <c r="CS192" s="27" t="s">
        <v>8</v>
      </c>
      <c r="CT192" s="27" t="s">
        <v>7</v>
      </c>
      <c r="CV192" s="27" t="s">
        <v>7</v>
      </c>
      <c r="CW192" s="27" t="s">
        <v>8</v>
      </c>
      <c r="CX192" s="31"/>
    </row>
    <row r="193" spans="1:101" x14ac:dyDescent="0.25">
      <c r="A193" s="30">
        <v>9.9059710923258422</v>
      </c>
      <c r="E193"/>
      <c r="BQ193" s="27" t="s">
        <v>8</v>
      </c>
      <c r="BS193" s="27" t="s">
        <v>8</v>
      </c>
      <c r="BT193" s="27" t="s">
        <v>7</v>
      </c>
      <c r="BU193" s="27" t="s">
        <v>8</v>
      </c>
      <c r="BZ193" s="27" t="s">
        <v>7</v>
      </c>
      <c r="CA193" s="27" t="s">
        <v>8</v>
      </c>
      <c r="CL193" s="27" t="s">
        <v>7</v>
      </c>
      <c r="CM193" s="27" t="s">
        <v>8</v>
      </c>
      <c r="CR193" s="27" t="s">
        <v>7</v>
      </c>
      <c r="CS193" s="27" t="s">
        <v>8</v>
      </c>
      <c r="CV193" s="32" t="s">
        <v>7</v>
      </c>
      <c r="CW193" s="31" t="s">
        <v>8</v>
      </c>
    </row>
    <row r="194" spans="1:101" x14ac:dyDescent="0.25">
      <c r="A194" s="30">
        <v>9.4342581831674686</v>
      </c>
      <c r="E194"/>
      <c r="BO194" s="27" t="s">
        <v>8</v>
      </c>
      <c r="BQ194" s="27" t="s">
        <v>8</v>
      </c>
      <c r="BR194" s="27" t="s">
        <v>7</v>
      </c>
      <c r="BS194" s="27" t="s">
        <v>8</v>
      </c>
      <c r="BT194" s="27" t="s">
        <v>7</v>
      </c>
      <c r="BZ194" s="27" t="s">
        <v>7</v>
      </c>
      <c r="CL194" s="27" t="s">
        <v>7</v>
      </c>
      <c r="CM194" s="27" t="s">
        <v>8</v>
      </c>
      <c r="CR194" s="27" t="s">
        <v>7</v>
      </c>
      <c r="CS194" s="27" t="s">
        <v>8</v>
      </c>
      <c r="CV194" s="31" t="s">
        <v>7</v>
      </c>
    </row>
    <row r="195" spans="1:101" x14ac:dyDescent="0.25">
      <c r="A195" s="30">
        <v>8.9850077934928265</v>
      </c>
      <c r="E195"/>
      <c r="BO195" s="27" t="s">
        <v>8</v>
      </c>
      <c r="BP195" s="27" t="s">
        <v>7</v>
      </c>
      <c r="BQ195" s="27" t="s">
        <v>8</v>
      </c>
      <c r="BR195" s="27" t="s">
        <v>7</v>
      </c>
      <c r="BS195" s="27" t="s">
        <v>8</v>
      </c>
      <c r="CL195" s="27" t="s">
        <v>7</v>
      </c>
      <c r="CM195" s="27" t="s">
        <v>8</v>
      </c>
      <c r="CR195" s="27" t="s">
        <v>7</v>
      </c>
    </row>
    <row r="196" spans="1:101" x14ac:dyDescent="0.25">
      <c r="A196" s="30">
        <v>8.5571502795169767</v>
      </c>
      <c r="E196"/>
      <c r="BO196" s="27" t="s">
        <v>8</v>
      </c>
      <c r="BP196" s="27" t="s">
        <v>7</v>
      </c>
      <c r="BQ196" s="27" t="s">
        <v>8</v>
      </c>
      <c r="BR196" s="27" t="s">
        <v>7</v>
      </c>
      <c r="BS196" s="27" t="s">
        <v>8</v>
      </c>
      <c r="CL196" s="27" t="s">
        <v>7</v>
      </c>
    </row>
    <row r="197" spans="1:101" x14ac:dyDescent="0.25">
      <c r="A197" s="30">
        <v>8.1496669328733109</v>
      </c>
      <c r="E197"/>
      <c r="BO197" s="27" t="s">
        <v>8</v>
      </c>
      <c r="BP197" s="27" t="s">
        <v>7</v>
      </c>
      <c r="BR197" s="27" t="s">
        <v>7</v>
      </c>
      <c r="BS197" s="27" t="s">
        <v>8</v>
      </c>
    </row>
    <row r="198" spans="1:101" x14ac:dyDescent="0.25">
      <c r="A198" s="30">
        <v>7.7615875551174378</v>
      </c>
      <c r="E198"/>
      <c r="BI198" s="27" t="s">
        <v>8</v>
      </c>
      <c r="BM198" s="27" t="s">
        <v>8</v>
      </c>
      <c r="BO198" s="27" t="s">
        <v>8</v>
      </c>
      <c r="BR198" s="27" t="s">
        <v>7</v>
      </c>
      <c r="BS198" s="27" t="s">
        <v>8</v>
      </c>
    </row>
    <row r="199" spans="1:101" x14ac:dyDescent="0.25">
      <c r="A199" s="30">
        <v>7.3919881477308929</v>
      </c>
      <c r="E199"/>
      <c r="BI199" s="27" t="s">
        <v>8</v>
      </c>
      <c r="BJ199" s="27" t="s">
        <v>7</v>
      </c>
      <c r="BK199" s="27" t="s">
        <v>8</v>
      </c>
      <c r="BM199" s="27" t="s">
        <v>8</v>
      </c>
      <c r="BN199" s="27" t="s">
        <v>7</v>
      </c>
      <c r="BO199" s="27" t="s">
        <v>8</v>
      </c>
      <c r="BR199" s="27" t="s">
        <v>7</v>
      </c>
      <c r="BS199" s="27" t="s">
        <v>8</v>
      </c>
    </row>
    <row r="200" spans="1:101" x14ac:dyDescent="0.25">
      <c r="A200" s="30">
        <v>7.0399887121246598</v>
      </c>
      <c r="E200"/>
      <c r="BI200" s="27" t="s">
        <v>8</v>
      </c>
      <c r="BJ200" s="27" t="s">
        <v>7</v>
      </c>
      <c r="BK200" s="27" t="s">
        <v>8</v>
      </c>
      <c r="BL200" s="27" t="s">
        <v>7</v>
      </c>
      <c r="BM200" s="27" t="s">
        <v>8</v>
      </c>
      <c r="BN200" s="27" t="s">
        <v>7</v>
      </c>
      <c r="BO200" s="27" t="s">
        <v>8</v>
      </c>
      <c r="BR200" s="27" t="s">
        <v>7</v>
      </c>
      <c r="BS200" s="27" t="s">
        <v>8</v>
      </c>
    </row>
    <row r="201" spans="1:101" x14ac:dyDescent="0.25">
      <c r="A201" s="30">
        <v>6.7047511544044376</v>
      </c>
      <c r="E201"/>
      <c r="BI201" s="27" t="s">
        <v>8</v>
      </c>
      <c r="BJ201" s="27" t="s">
        <v>7</v>
      </c>
      <c r="BK201" s="27" t="s">
        <v>8</v>
      </c>
      <c r="BL201" s="27" t="s">
        <v>7</v>
      </c>
      <c r="BM201" s="27" t="s">
        <v>8</v>
      </c>
      <c r="BN201" s="27" t="s">
        <v>7</v>
      </c>
      <c r="BR201" s="27" t="s">
        <v>7</v>
      </c>
    </row>
    <row r="202" spans="1:101" x14ac:dyDescent="0.25">
      <c r="A202" s="30">
        <v>6.3854772899089882</v>
      </c>
      <c r="E202"/>
      <c r="BI202" s="27" t="s">
        <v>8</v>
      </c>
      <c r="BJ202" s="27" t="s">
        <v>7</v>
      </c>
      <c r="BK202" s="27" t="s">
        <v>8</v>
      </c>
      <c r="BL202" s="27" t="s">
        <v>7</v>
      </c>
      <c r="BM202" s="27" t="s">
        <v>8</v>
      </c>
    </row>
    <row r="203" spans="1:101" x14ac:dyDescent="0.25">
      <c r="A203" s="30">
        <v>6.0814069427704647</v>
      </c>
      <c r="C203" s="7"/>
      <c r="D203"/>
      <c r="E203"/>
      <c r="BI203" s="27" t="s">
        <v>8</v>
      </c>
      <c r="BJ203" s="27" t="s">
        <v>7</v>
      </c>
      <c r="BK203" s="27" t="s">
        <v>8</v>
      </c>
      <c r="BL203" s="27" t="s">
        <v>7</v>
      </c>
    </row>
    <row r="204" spans="1:101" x14ac:dyDescent="0.25">
      <c r="A204" s="30">
        <v>5.7918161359718709</v>
      </c>
      <c r="E204"/>
      <c r="BI204" s="27" t="s">
        <v>8</v>
      </c>
      <c r="BJ204" s="27" t="s">
        <v>7</v>
      </c>
    </row>
    <row r="205" spans="1:101" x14ac:dyDescent="0.25">
      <c r="A205" s="30">
        <v>5.5160153675922574</v>
      </c>
      <c r="E205"/>
      <c r="BI205" s="27" t="s">
        <v>8</v>
      </c>
    </row>
    <row r="206" spans="1:101" x14ac:dyDescent="0.25">
      <c r="A206" s="30">
        <v>5.2533479691354827</v>
      </c>
      <c r="C206"/>
      <c r="D206"/>
      <c r="E206"/>
      <c r="BI206" s="27" t="s">
        <v>8</v>
      </c>
    </row>
    <row r="207" spans="1:101" x14ac:dyDescent="0.25">
      <c r="A207" s="30">
        <v>5.0031885420337927</v>
      </c>
      <c r="E207"/>
      <c r="AY207" s="27" t="s">
        <v>8</v>
      </c>
      <c r="BI207" s="27" t="s">
        <v>8</v>
      </c>
    </row>
    <row r="208" spans="1:101" x14ac:dyDescent="0.25">
      <c r="A208" s="30">
        <v>4.7649414686036122</v>
      </c>
      <c r="E208"/>
      <c r="AW208" s="27" t="s">
        <v>8</v>
      </c>
      <c r="AY208" s="27" t="s">
        <v>8</v>
      </c>
      <c r="AZ208" s="27" t="s">
        <v>7</v>
      </c>
      <c r="BI208" s="27" t="s">
        <v>8</v>
      </c>
    </row>
    <row r="209" spans="1:61" x14ac:dyDescent="0.25">
      <c r="A209" s="30">
        <v>4.5380394939082018</v>
      </c>
      <c r="E209"/>
      <c r="AW209" s="27" t="s">
        <v>8</v>
      </c>
      <c r="AX209" s="27" t="s">
        <v>7</v>
      </c>
      <c r="AY209" s="27" t="s">
        <v>8</v>
      </c>
      <c r="AZ209" s="27" t="s">
        <v>7</v>
      </c>
      <c r="BA209" s="27" t="s">
        <v>8</v>
      </c>
      <c r="BC209" s="27" t="s">
        <v>8</v>
      </c>
      <c r="BI209" s="27" t="s">
        <v>8</v>
      </c>
    </row>
    <row r="210" spans="1:61" x14ac:dyDescent="0.25">
      <c r="A210" s="30">
        <v>4.3219423751506678</v>
      </c>
      <c r="C210"/>
      <c r="E210"/>
      <c r="AW210" s="27" t="s">
        <v>8</v>
      </c>
      <c r="AX210" s="27" t="s">
        <v>7</v>
      </c>
      <c r="AY210" s="27" t="s">
        <v>8</v>
      </c>
      <c r="AZ210" s="27" t="s">
        <v>7</v>
      </c>
      <c r="BA210" s="27" t="s">
        <v>8</v>
      </c>
      <c r="BB210" s="27" t="s">
        <v>7</v>
      </c>
      <c r="BC210" s="27" t="s">
        <v>8</v>
      </c>
      <c r="BD210" s="27" t="s">
        <v>7</v>
      </c>
      <c r="BG210" s="27" t="s">
        <v>8</v>
      </c>
      <c r="BI210" s="27" t="s">
        <v>8</v>
      </c>
    </row>
    <row r="211" spans="1:61" x14ac:dyDescent="0.25">
      <c r="A211" s="30">
        <v>4.1161355953815884</v>
      </c>
      <c r="E211"/>
      <c r="AU211" s="27" t="s">
        <v>8</v>
      </c>
      <c r="AW211" s="27" t="s">
        <v>8</v>
      </c>
      <c r="AX211" s="27" t="s">
        <v>7</v>
      </c>
      <c r="AZ211" s="27" t="s">
        <v>7</v>
      </c>
      <c r="BA211" s="27" t="s">
        <v>8</v>
      </c>
      <c r="BB211" s="27" t="s">
        <v>7</v>
      </c>
      <c r="BC211" s="27" t="s">
        <v>8</v>
      </c>
      <c r="BD211" s="27" t="s">
        <v>7</v>
      </c>
      <c r="BE211" s="27" t="s">
        <v>8</v>
      </c>
      <c r="BG211" s="27" t="s">
        <v>8</v>
      </c>
      <c r="BH211" s="27" t="s">
        <v>7</v>
      </c>
      <c r="BI211" s="27" t="s">
        <v>8</v>
      </c>
    </row>
    <row r="212" spans="1:61" x14ac:dyDescent="0.25">
      <c r="A212" s="30">
        <v>3.9201291384586554</v>
      </c>
      <c r="E212"/>
      <c r="AS212" s="27" t="s">
        <v>8</v>
      </c>
      <c r="AU212" s="27" t="s">
        <v>8</v>
      </c>
      <c r="AV212" s="27" t="s">
        <v>7</v>
      </c>
      <c r="AW212" s="27" t="s">
        <v>8</v>
      </c>
      <c r="AZ212" s="27" t="s">
        <v>7</v>
      </c>
      <c r="BA212" s="27" t="s">
        <v>8</v>
      </c>
      <c r="BB212" s="27" t="s">
        <v>7</v>
      </c>
      <c r="BD212" s="27" t="s">
        <v>7</v>
      </c>
      <c r="BE212" s="27" t="s">
        <v>8</v>
      </c>
      <c r="BF212" s="27" t="s">
        <v>7</v>
      </c>
      <c r="BG212" s="27" t="s">
        <v>8</v>
      </c>
      <c r="BH212" s="27" t="s">
        <v>7</v>
      </c>
      <c r="BI212" s="27" t="s">
        <v>8</v>
      </c>
    </row>
    <row r="213" spans="1:61" x14ac:dyDescent="0.25">
      <c r="A213" s="30">
        <v>3.7334563223415764</v>
      </c>
      <c r="E213"/>
      <c r="AS213" s="27" t="s">
        <v>8</v>
      </c>
      <c r="AT213" s="27" t="s">
        <v>7</v>
      </c>
      <c r="AU213" s="27" t="s">
        <v>8</v>
      </c>
      <c r="AV213" s="27" t="s">
        <v>7</v>
      </c>
      <c r="AW213" s="27" t="s">
        <v>8</v>
      </c>
      <c r="AZ213" s="27" t="s">
        <v>7</v>
      </c>
      <c r="BD213" s="27" t="s">
        <v>7</v>
      </c>
      <c r="BE213" s="27" t="s">
        <v>8</v>
      </c>
      <c r="BF213" s="27" t="s">
        <v>7</v>
      </c>
      <c r="BG213" s="27" t="s">
        <v>8</v>
      </c>
      <c r="BH213" s="27" t="s">
        <v>7</v>
      </c>
    </row>
    <row r="214" spans="1:61" x14ac:dyDescent="0.25">
      <c r="A214" s="30">
        <v>3.5556726879443583</v>
      </c>
      <c r="E214"/>
      <c r="AS214" s="27" t="s">
        <v>8</v>
      </c>
      <c r="AT214" s="27" t="s">
        <v>7</v>
      </c>
      <c r="AU214" s="27" t="s">
        <v>8</v>
      </c>
      <c r="AV214" s="27" t="s">
        <v>7</v>
      </c>
      <c r="AW214" s="27" t="s">
        <v>8</v>
      </c>
      <c r="BD214" s="27" t="s">
        <v>7</v>
      </c>
      <c r="BE214" s="27" t="s">
        <v>8</v>
      </c>
      <c r="BF214" s="27" t="s">
        <v>7</v>
      </c>
    </row>
    <row r="215" spans="1:61" x14ac:dyDescent="0.25">
      <c r="A215" s="30">
        <v>3.3863549408993889</v>
      </c>
      <c r="E215"/>
      <c r="AS215" s="27" t="s">
        <v>8</v>
      </c>
      <c r="AT215" s="27" t="s">
        <v>7</v>
      </c>
      <c r="AU215" s="27" t="s">
        <v>8</v>
      </c>
      <c r="AV215" s="27" t="s">
        <v>7</v>
      </c>
      <c r="BD215" s="27" t="s">
        <v>7</v>
      </c>
      <c r="BE215" s="27" t="s">
        <v>8</v>
      </c>
    </row>
    <row r="216" spans="1:61" x14ac:dyDescent="0.25">
      <c r="A216" s="30">
        <v>3.2250999437137038</v>
      </c>
      <c r="E216"/>
      <c r="AS216" s="27" t="s">
        <v>8</v>
      </c>
      <c r="AT216" s="27" t="s">
        <v>7</v>
      </c>
      <c r="BD216" s="27" t="s">
        <v>7</v>
      </c>
      <c r="BE216" s="27" t="s">
        <v>8</v>
      </c>
    </row>
    <row r="217" spans="1:61" x14ac:dyDescent="0.25">
      <c r="A217" s="30">
        <v>3.0715237559178128</v>
      </c>
      <c r="E217"/>
      <c r="AS217" s="27" t="s">
        <v>8</v>
      </c>
      <c r="BD217" s="27" t="s">
        <v>7</v>
      </c>
      <c r="BE217" s="27" t="s">
        <v>8</v>
      </c>
    </row>
    <row r="218" spans="1:61" x14ac:dyDescent="0.25">
      <c r="A218" s="30">
        <v>2.9252607199217264</v>
      </c>
      <c r="E218"/>
      <c r="AS218" s="27" t="s">
        <v>8</v>
      </c>
      <c r="BD218" s="27" t="s">
        <v>7</v>
      </c>
      <c r="BE218" s="27" t="s">
        <v>8</v>
      </c>
    </row>
    <row r="219" spans="1:61" x14ac:dyDescent="0.25">
      <c r="A219" s="30">
        <v>2.7859625904016441</v>
      </c>
      <c r="E219"/>
      <c r="AS219" s="27" t="s">
        <v>8</v>
      </c>
      <c r="BD219" s="27" t="s">
        <v>7</v>
      </c>
      <c r="BE219" s="27" t="s">
        <v>8</v>
      </c>
    </row>
    <row r="220" spans="1:61" x14ac:dyDescent="0.25">
      <c r="A220" s="30">
        <v>2.6532977051444226</v>
      </c>
      <c r="E220"/>
      <c r="AS220" s="27" t="s">
        <v>8</v>
      </c>
      <c r="BD220" s="27" t="s">
        <v>7</v>
      </c>
      <c r="BE220" s="27" t="s">
        <v>8</v>
      </c>
    </row>
    <row r="221" spans="1:61" x14ac:dyDescent="0.25">
      <c r="A221" s="30">
        <v>2.5269501953756404</v>
      </c>
      <c r="E221"/>
      <c r="AO221" s="27" t="s">
        <v>8</v>
      </c>
      <c r="AQ221" s="27" t="s">
        <v>8</v>
      </c>
      <c r="AS221" s="27" t="s">
        <v>8</v>
      </c>
      <c r="BD221" s="27" t="s">
        <v>7</v>
      </c>
    </row>
    <row r="222" spans="1:61" x14ac:dyDescent="0.25">
      <c r="A222" s="30">
        <v>2.4066192336910861</v>
      </c>
      <c r="E222"/>
      <c r="AO222" s="27" t="s">
        <v>8</v>
      </c>
      <c r="AP222" s="27" t="s">
        <v>7</v>
      </c>
      <c r="AQ222" s="27" t="s">
        <v>8</v>
      </c>
      <c r="AR222" s="27" t="s">
        <v>7</v>
      </c>
      <c r="AS222" s="27" t="s">
        <v>8</v>
      </c>
    </row>
    <row r="223" spans="1:61" x14ac:dyDescent="0.25">
      <c r="A223" s="30">
        <v>2.2920183178010345</v>
      </c>
      <c r="E223" t="s">
        <v>8</v>
      </c>
      <c r="AM223" s="27" t="s">
        <v>8</v>
      </c>
      <c r="AO223" s="27" t="s">
        <v>8</v>
      </c>
      <c r="AP223" s="27" t="s">
        <v>7</v>
      </c>
      <c r="AQ223" s="27" t="s">
        <v>8</v>
      </c>
      <c r="AR223" s="27" t="s">
        <v>7</v>
      </c>
      <c r="AS223" s="27" t="s">
        <v>8</v>
      </c>
    </row>
    <row r="224" spans="1:61" x14ac:dyDescent="0.25">
      <c r="A224" s="30">
        <v>2.1828745883819374</v>
      </c>
      <c r="E224" t="s">
        <v>8</v>
      </c>
      <c r="F224" s="27" t="s">
        <v>7</v>
      </c>
      <c r="AM224" s="27" t="s">
        <v>8</v>
      </c>
      <c r="AN224" s="27" t="s">
        <v>7</v>
      </c>
      <c r="AO224" s="27" t="s">
        <v>8</v>
      </c>
      <c r="AP224" s="27" t="s">
        <v>7</v>
      </c>
      <c r="AQ224" s="27" t="s">
        <v>8</v>
      </c>
      <c r="AR224" s="27" t="s">
        <v>7</v>
      </c>
    </row>
    <row r="225" spans="1:42" x14ac:dyDescent="0.25">
      <c r="A225" s="30">
        <v>2.0789281794113688</v>
      </c>
      <c r="E225" t="s">
        <v>8</v>
      </c>
      <c r="F225" s="27" t="s">
        <v>7</v>
      </c>
      <c r="AM225" s="27" t="s">
        <v>8</v>
      </c>
      <c r="AN225" s="27" t="s">
        <v>7</v>
      </c>
      <c r="AO225" s="27" t="s">
        <v>8</v>
      </c>
      <c r="AP225" s="27" t="s">
        <v>7</v>
      </c>
    </row>
    <row r="226" spans="1:42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AK226" s="27" t="s">
        <v>8</v>
      </c>
      <c r="AM226" s="27" t="s">
        <v>8</v>
      </c>
      <c r="AN226" s="27" t="s">
        <v>7</v>
      </c>
      <c r="AO226" s="27" t="s">
        <v>8</v>
      </c>
    </row>
    <row r="227" spans="1:42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H227" s="27" t="s">
        <v>7</v>
      </c>
      <c r="Q227" s="27" t="s">
        <v>8</v>
      </c>
      <c r="S227" s="27" t="s">
        <v>8</v>
      </c>
      <c r="AK227" s="27" t="s">
        <v>8</v>
      </c>
      <c r="AL227" s="27" t="s">
        <v>7</v>
      </c>
      <c r="AM227" s="27" t="s">
        <v>8</v>
      </c>
      <c r="AN227" s="27" t="s">
        <v>7</v>
      </c>
    </row>
    <row r="228" spans="1:42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H228" s="27" t="s">
        <v>7</v>
      </c>
      <c r="Q228" s="27" t="s">
        <v>8</v>
      </c>
      <c r="R228" s="27" t="s">
        <v>7</v>
      </c>
      <c r="S228" s="27" t="s">
        <v>8</v>
      </c>
      <c r="T228" s="27" t="s">
        <v>7</v>
      </c>
      <c r="AA228" s="27" t="s">
        <v>8</v>
      </c>
      <c r="AK228" s="27" t="s">
        <v>8</v>
      </c>
      <c r="AL228" s="27" t="s">
        <v>7</v>
      </c>
      <c r="AM228" s="27" t="s">
        <v>8</v>
      </c>
    </row>
    <row r="229" spans="1:42" x14ac:dyDescent="0.25">
      <c r="A229" s="30">
        <v>1.7103393581163142</v>
      </c>
      <c r="E229" t="s">
        <v>8</v>
      </c>
      <c r="F229" s="27" t="s">
        <v>7</v>
      </c>
      <c r="G229" s="27" t="s">
        <v>8</v>
      </c>
      <c r="H229" s="27" t="s">
        <v>7</v>
      </c>
      <c r="Q229" s="27" t="s">
        <v>8</v>
      </c>
      <c r="R229" s="27" t="s">
        <v>7</v>
      </c>
      <c r="S229" s="27" t="s">
        <v>8</v>
      </c>
      <c r="T229" s="27" t="s">
        <v>7</v>
      </c>
      <c r="AA229" s="27" t="s">
        <v>8</v>
      </c>
      <c r="AB229" s="27" t="s">
        <v>7</v>
      </c>
      <c r="AI229" s="27" t="s">
        <v>8</v>
      </c>
      <c r="AK229" s="27" t="s">
        <v>8</v>
      </c>
      <c r="AL229" s="27" t="s">
        <v>7</v>
      </c>
      <c r="AM229" s="27" t="s">
        <v>8</v>
      </c>
    </row>
    <row r="230" spans="1:42" x14ac:dyDescent="0.25">
      <c r="A230" s="30">
        <v>1.628894626777442</v>
      </c>
      <c r="E230" t="s">
        <v>8</v>
      </c>
      <c r="F230" s="27" t="s">
        <v>7</v>
      </c>
      <c r="G230" s="27" t="s">
        <v>8</v>
      </c>
      <c r="H230" s="27" t="s">
        <v>7</v>
      </c>
      <c r="Q230" s="27" t="s">
        <v>8</v>
      </c>
      <c r="R230" s="27" t="s">
        <v>7</v>
      </c>
      <c r="S230" s="27" t="s">
        <v>8</v>
      </c>
      <c r="T230" s="27" t="s">
        <v>7</v>
      </c>
      <c r="Y230" s="27" t="s">
        <v>8</v>
      </c>
      <c r="AA230" s="27" t="s">
        <v>8</v>
      </c>
      <c r="AB230" s="27" t="s">
        <v>7</v>
      </c>
      <c r="AC230" s="27" t="s">
        <v>8</v>
      </c>
      <c r="AE230" s="27" t="s">
        <v>8</v>
      </c>
      <c r="AI230" s="27" t="s">
        <v>8</v>
      </c>
      <c r="AJ230" s="27" t="s">
        <v>7</v>
      </c>
      <c r="AK230" s="27" t="s">
        <v>8</v>
      </c>
      <c r="AL230" s="27" t="s">
        <v>7</v>
      </c>
      <c r="AM230" s="27" t="s">
        <v>8</v>
      </c>
    </row>
    <row r="231" spans="1:42" x14ac:dyDescent="0.25">
      <c r="A231" s="30">
        <v>1.5513282159785162</v>
      </c>
      <c r="C231"/>
      <c r="D231"/>
      <c r="E231" t="s">
        <v>8</v>
      </c>
      <c r="F231" s="27" t="s">
        <v>7</v>
      </c>
      <c r="H231" s="27" t="s">
        <v>7</v>
      </c>
      <c r="Q231" s="27" t="s">
        <v>8</v>
      </c>
      <c r="R231" s="27" t="s">
        <v>7</v>
      </c>
      <c r="T231" s="27" t="s">
        <v>7</v>
      </c>
      <c r="W231" s="27" t="s">
        <v>8</v>
      </c>
      <c r="Y231" s="27" t="s">
        <v>8</v>
      </c>
      <c r="Z231" s="27" t="s">
        <v>7</v>
      </c>
      <c r="AA231" s="27" t="s">
        <v>8</v>
      </c>
      <c r="AB231" s="27" t="s">
        <v>7</v>
      </c>
      <c r="AC231" s="27" t="s">
        <v>8</v>
      </c>
      <c r="AD231" s="27" t="s">
        <v>7</v>
      </c>
      <c r="AE231" s="27" t="s">
        <v>8</v>
      </c>
      <c r="AF231" s="27" t="s">
        <v>7</v>
      </c>
      <c r="AG231" s="27" t="s">
        <v>8</v>
      </c>
      <c r="AI231" s="27" t="s">
        <v>8</v>
      </c>
      <c r="AJ231" s="27" t="s">
        <v>7</v>
      </c>
      <c r="AK231" s="27" t="s">
        <v>8</v>
      </c>
      <c r="AL231" s="27" t="s">
        <v>7</v>
      </c>
      <c r="AM231" s="27" t="s">
        <v>8</v>
      </c>
    </row>
    <row r="232" spans="1:42" x14ac:dyDescent="0.25">
      <c r="A232" s="30">
        <v>1.477455443789063</v>
      </c>
      <c r="E232" t="s">
        <v>8</v>
      </c>
      <c r="H232" s="27" t="s">
        <v>7</v>
      </c>
      <c r="I232" s="27" t="s">
        <v>8</v>
      </c>
      <c r="O232" s="27" t="s">
        <v>8</v>
      </c>
      <c r="Q232" s="27" t="s">
        <v>8</v>
      </c>
      <c r="T232" s="27" t="s">
        <v>7</v>
      </c>
      <c r="U232" s="27" t="s">
        <v>8</v>
      </c>
      <c r="W232" s="27" t="s">
        <v>8</v>
      </c>
      <c r="X232" s="27" t="s">
        <v>7</v>
      </c>
      <c r="Y232" s="27" t="s">
        <v>8</v>
      </c>
      <c r="Z232" s="27" t="s">
        <v>7</v>
      </c>
      <c r="AA232" s="27" t="s">
        <v>8</v>
      </c>
      <c r="AB232" s="27" t="s">
        <v>7</v>
      </c>
      <c r="AC232" s="27" t="s">
        <v>8</v>
      </c>
      <c r="AD232" s="27" t="s">
        <v>7</v>
      </c>
      <c r="AE232" s="27" t="s">
        <v>8</v>
      </c>
      <c r="AF232" s="27" t="s">
        <v>7</v>
      </c>
      <c r="AG232" s="27" t="s">
        <v>8</v>
      </c>
      <c r="AH232" s="27" t="s">
        <v>7</v>
      </c>
      <c r="AI232" s="27" t="s">
        <v>8</v>
      </c>
      <c r="AJ232" s="27" t="s">
        <v>7</v>
      </c>
      <c r="AK232" s="27" t="s">
        <v>8</v>
      </c>
      <c r="AL232" s="27" t="s">
        <v>7</v>
      </c>
      <c r="AM232" s="27" t="s">
        <v>8</v>
      </c>
    </row>
    <row r="233" spans="1:42" x14ac:dyDescent="0.25">
      <c r="A233" s="30">
        <v>1.4071004226562505</v>
      </c>
      <c r="E233" t="s">
        <v>8</v>
      </c>
      <c r="H233" s="27" t="s">
        <v>7</v>
      </c>
      <c r="I233" s="27" t="s">
        <v>8</v>
      </c>
      <c r="J233" s="27" t="s">
        <v>7</v>
      </c>
      <c r="O233" s="27" t="s">
        <v>8</v>
      </c>
      <c r="P233" s="27" t="s">
        <v>7</v>
      </c>
      <c r="Q233" s="27" t="s">
        <v>8</v>
      </c>
      <c r="T233" s="27" t="s">
        <v>7</v>
      </c>
      <c r="U233" s="27" t="s">
        <v>8</v>
      </c>
      <c r="V233" s="27" t="s">
        <v>7</v>
      </c>
      <c r="W233" s="27" t="s">
        <v>8</v>
      </c>
      <c r="X233" s="27" t="s">
        <v>7</v>
      </c>
      <c r="Y233" s="27" t="s">
        <v>8</v>
      </c>
      <c r="Z233" s="27" t="s">
        <v>7</v>
      </c>
      <c r="AA233" s="27" t="s">
        <v>8</v>
      </c>
      <c r="AB233" s="27" t="s">
        <v>7</v>
      </c>
      <c r="AC233" s="27" t="s">
        <v>8</v>
      </c>
      <c r="AD233" s="27" t="s">
        <v>7</v>
      </c>
      <c r="AE233" s="27" t="s">
        <v>8</v>
      </c>
      <c r="AF233" s="27" t="s">
        <v>7</v>
      </c>
      <c r="AG233" s="27" t="s">
        <v>8</v>
      </c>
      <c r="AH233" s="27" t="s">
        <v>7</v>
      </c>
      <c r="AI233" s="27" t="s">
        <v>8</v>
      </c>
      <c r="AJ233" s="27" t="s">
        <v>7</v>
      </c>
      <c r="AL233" s="27" t="s">
        <v>7</v>
      </c>
    </row>
    <row r="234" spans="1:42" x14ac:dyDescent="0.25">
      <c r="A234" s="30">
        <v>1.3400956406250004</v>
      </c>
      <c r="E234" t="s">
        <v>8</v>
      </c>
      <c r="H234" s="27" t="s">
        <v>7</v>
      </c>
      <c r="I234" s="27" t="s">
        <v>8</v>
      </c>
      <c r="J234" s="27" t="s">
        <v>7</v>
      </c>
      <c r="O234" s="27" t="s">
        <v>8</v>
      </c>
      <c r="P234" s="27" t="s">
        <v>7</v>
      </c>
      <c r="Q234" s="27" t="s">
        <v>8</v>
      </c>
      <c r="T234" s="27" t="s">
        <v>7</v>
      </c>
      <c r="U234" s="27" t="s">
        <v>8</v>
      </c>
      <c r="V234" s="27" t="s">
        <v>7</v>
      </c>
      <c r="W234" s="27" t="s">
        <v>8</v>
      </c>
      <c r="X234" s="27" t="s">
        <v>7</v>
      </c>
      <c r="Z234" s="27" t="s">
        <v>7</v>
      </c>
      <c r="AA234" s="27" t="s">
        <v>8</v>
      </c>
      <c r="AB234" s="27" t="s">
        <v>7</v>
      </c>
      <c r="AC234" s="27" t="s">
        <v>8</v>
      </c>
      <c r="AD234" s="27" t="s">
        <v>7</v>
      </c>
      <c r="AE234" s="27" t="s">
        <v>8</v>
      </c>
      <c r="AF234" s="27" t="s">
        <v>7</v>
      </c>
      <c r="AH234" s="27" t="s">
        <v>7</v>
      </c>
      <c r="AI234" s="27" t="s">
        <v>8</v>
      </c>
    </row>
    <row r="235" spans="1:42" x14ac:dyDescent="0.25">
      <c r="A235" s="30">
        <v>1.2762815625000004</v>
      </c>
      <c r="C235"/>
      <c r="E235" t="s">
        <v>8</v>
      </c>
      <c r="H235" s="27" t="s">
        <v>7</v>
      </c>
      <c r="I235" s="27" t="s">
        <v>8</v>
      </c>
      <c r="J235" s="27" t="s">
        <v>7</v>
      </c>
      <c r="O235" s="27" t="s">
        <v>8</v>
      </c>
      <c r="P235" s="27" t="s">
        <v>7</v>
      </c>
      <c r="T235" s="27" t="s">
        <v>7</v>
      </c>
      <c r="U235" s="27" t="s">
        <v>8</v>
      </c>
      <c r="V235" s="27" t="s">
        <v>7</v>
      </c>
      <c r="Z235" s="27" t="s">
        <v>7</v>
      </c>
      <c r="AA235" s="27" t="s">
        <v>8</v>
      </c>
      <c r="AB235" s="27" t="s">
        <v>7</v>
      </c>
      <c r="AC235" s="27" t="s">
        <v>8</v>
      </c>
      <c r="AD235" s="27" t="s">
        <v>7</v>
      </c>
      <c r="AH235" s="27" t="s">
        <v>7</v>
      </c>
      <c r="AI235" s="27" t="s">
        <v>8</v>
      </c>
    </row>
    <row r="236" spans="1:42" x14ac:dyDescent="0.25">
      <c r="A236" s="30">
        <v>1.2155062500000002</v>
      </c>
      <c r="E236" t="s">
        <v>8</v>
      </c>
      <c r="H236" s="27" t="s">
        <v>7</v>
      </c>
      <c r="I236" s="27" t="s">
        <v>8</v>
      </c>
      <c r="J236" s="27" t="s">
        <v>7</v>
      </c>
      <c r="K236" s="27" t="s">
        <v>8</v>
      </c>
      <c r="M236" s="27" t="s">
        <v>8</v>
      </c>
      <c r="O236" s="27" t="s">
        <v>8</v>
      </c>
      <c r="T236" s="27" t="s">
        <v>7</v>
      </c>
      <c r="U236" s="27" t="s">
        <v>8</v>
      </c>
      <c r="Z236" s="27" t="s">
        <v>7</v>
      </c>
      <c r="AA236" s="27" t="s">
        <v>8</v>
      </c>
      <c r="AB236" s="27" t="s">
        <v>7</v>
      </c>
      <c r="AC236" s="27" t="s">
        <v>8</v>
      </c>
      <c r="AH236" s="27" t="s">
        <v>7</v>
      </c>
    </row>
    <row r="237" spans="1:4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H237" s="27" t="s">
        <v>7</v>
      </c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O237" s="27" t="s">
        <v>8</v>
      </c>
      <c r="T237" s="27" t="s">
        <v>7</v>
      </c>
      <c r="Z237" s="27" t="s">
        <v>7</v>
      </c>
      <c r="AB237" s="27" t="s">
        <v>7</v>
      </c>
    </row>
    <row r="238" spans="1:42" x14ac:dyDescent="0.25">
      <c r="A238" s="30">
        <v>1.1025</v>
      </c>
      <c r="E238" t="s">
        <v>8</v>
      </c>
      <c r="H238" s="27" t="s">
        <v>7</v>
      </c>
      <c r="I238" s="27" t="s">
        <v>8</v>
      </c>
      <c r="J238" s="27" t="s">
        <v>7</v>
      </c>
      <c r="K238" s="27" t="s">
        <v>8</v>
      </c>
      <c r="L238" s="27" t="s">
        <v>7</v>
      </c>
      <c r="M238" s="27" t="s">
        <v>8</v>
      </c>
      <c r="N238" s="27" t="s">
        <v>7</v>
      </c>
      <c r="O238" s="27" t="s">
        <v>8</v>
      </c>
    </row>
    <row r="239" spans="1:42" x14ac:dyDescent="0.25">
      <c r="A239" s="30">
        <v>1.05</v>
      </c>
      <c r="E239" t="s">
        <v>8</v>
      </c>
      <c r="H239" s="27" t="s">
        <v>7</v>
      </c>
      <c r="I239" s="27" t="s">
        <v>8</v>
      </c>
      <c r="J239" s="27" t="s">
        <v>7</v>
      </c>
      <c r="K239" s="27" t="s">
        <v>8</v>
      </c>
      <c r="L239" s="27" t="s">
        <v>7</v>
      </c>
      <c r="M239" s="27" t="s">
        <v>8</v>
      </c>
      <c r="N239" s="27" t="s">
        <v>7</v>
      </c>
      <c r="O239" s="27" t="s">
        <v>8</v>
      </c>
    </row>
    <row r="240" spans="1:42" x14ac:dyDescent="0.25">
      <c r="A240" s="30">
        <v>1</v>
      </c>
      <c r="E240" s="29" t="s">
        <v>8</v>
      </c>
      <c r="H240" s="27" t="s">
        <v>7</v>
      </c>
      <c r="J240" s="27" t="s">
        <v>7</v>
      </c>
      <c r="K240" s="27" t="s">
        <v>8</v>
      </c>
      <c r="L240" s="27" t="s">
        <v>7</v>
      </c>
      <c r="M240" s="27" t="s">
        <v>8</v>
      </c>
      <c r="N240" s="27" t="s">
        <v>7</v>
      </c>
    </row>
    <row r="241" spans="1:13" x14ac:dyDescent="0.25">
      <c r="A241" s="30">
        <v>0.952380952380952</v>
      </c>
      <c r="B241"/>
      <c r="C241"/>
      <c r="D241"/>
      <c r="E241"/>
      <c r="J241" s="27" t="s">
        <v>7</v>
      </c>
      <c r="K241" s="27" t="s">
        <v>8</v>
      </c>
      <c r="L241" s="27" t="s">
        <v>7</v>
      </c>
      <c r="M241" s="27" t="s">
        <v>8</v>
      </c>
    </row>
    <row r="242" spans="1:13" x14ac:dyDescent="0.25">
      <c r="A242" s="30">
        <v>0.90702947845804915</v>
      </c>
      <c r="B242"/>
      <c r="C242"/>
      <c r="D242"/>
      <c r="E242"/>
      <c r="J242" s="27" t="s">
        <v>7</v>
      </c>
      <c r="K242" s="27" t="s">
        <v>8</v>
      </c>
      <c r="L242" s="27" t="s">
        <v>7</v>
      </c>
      <c r="M242" s="27" t="s">
        <v>8</v>
      </c>
    </row>
    <row r="243" spans="1:13" x14ac:dyDescent="0.25">
      <c r="A243" s="30">
        <v>0.86383759853147501</v>
      </c>
      <c r="B243"/>
      <c r="C243"/>
      <c r="D243"/>
      <c r="E243"/>
      <c r="J243" s="27" t="s">
        <v>7</v>
      </c>
      <c r="K243" s="27" t="s">
        <v>8</v>
      </c>
      <c r="L243" s="27" t="s">
        <v>7</v>
      </c>
    </row>
    <row r="244" spans="1:13" x14ac:dyDescent="0.25">
      <c r="A244" s="30">
        <v>0.82270247479188063</v>
      </c>
      <c r="B244"/>
      <c r="C244"/>
      <c r="D244"/>
      <c r="E244"/>
      <c r="J244" s="27" t="s">
        <v>7</v>
      </c>
      <c r="K244" s="27" t="s">
        <v>8</v>
      </c>
    </row>
    <row r="245" spans="1:13" x14ac:dyDescent="0.25">
      <c r="A245" s="30">
        <v>0.78352616646845741</v>
      </c>
      <c r="B245"/>
      <c r="C245"/>
      <c r="D245"/>
      <c r="E245"/>
      <c r="J245" s="27" t="s">
        <v>7</v>
      </c>
      <c r="K245" s="27" t="s">
        <v>8</v>
      </c>
    </row>
    <row r="246" spans="1:13" x14ac:dyDescent="0.25">
      <c r="A246" s="30">
        <v>0.74621539663662584</v>
      </c>
      <c r="B246"/>
      <c r="C246"/>
      <c r="D246"/>
      <c r="E246"/>
      <c r="J246" s="27" t="s">
        <v>7</v>
      </c>
      <c r="K246" s="27" t="s">
        <v>8</v>
      </c>
    </row>
    <row r="247" spans="1:13" x14ac:dyDescent="0.25">
      <c r="A247" s="30">
        <v>0.71068133013011958</v>
      </c>
      <c r="B247"/>
      <c r="C247"/>
      <c r="D247"/>
      <c r="E247"/>
      <c r="J247" s="27" t="s">
        <v>7</v>
      </c>
    </row>
    <row r="248" spans="1:13" x14ac:dyDescent="0.25">
      <c r="A248" s="30">
        <v>0.676839362028685</v>
      </c>
      <c r="B248"/>
      <c r="C248"/>
      <c r="D248"/>
      <c r="E248"/>
    </row>
    <row r="249" spans="1:13" x14ac:dyDescent="0.25">
      <c r="A249" s="30">
        <v>0.64460891621779492</v>
      </c>
      <c r="B249"/>
      <c r="C249"/>
      <c r="D249"/>
      <c r="E249"/>
    </row>
    <row r="250" spans="1:13" x14ac:dyDescent="0.25">
      <c r="A250" s="30">
        <v>0.61391325354075688</v>
      </c>
      <c r="B250"/>
      <c r="C250"/>
      <c r="D250"/>
      <c r="E250"/>
    </row>
    <row r="251" spans="1:13" x14ac:dyDescent="0.25">
      <c r="A251" s="30">
        <v>0.58467928908643485</v>
      </c>
      <c r="B251"/>
      <c r="C251"/>
      <c r="D251"/>
      <c r="E251"/>
    </row>
    <row r="252" spans="1:13" x14ac:dyDescent="0.25">
      <c r="A252" s="30">
        <v>0.55683741817755672</v>
      </c>
      <c r="B252"/>
      <c r="C252"/>
      <c r="D252"/>
      <c r="E252"/>
    </row>
    <row r="253" spans="1:13" x14ac:dyDescent="0.25">
      <c r="A253" s="30">
        <v>0.53032135064529184</v>
      </c>
      <c r="B253"/>
      <c r="C253"/>
      <c r="D253"/>
      <c r="E253"/>
    </row>
    <row r="254" spans="1:13" x14ac:dyDescent="0.25">
      <c r="A254" s="30">
        <v>0.50506795299551588</v>
      </c>
      <c r="B254"/>
      <c r="C254"/>
      <c r="D254"/>
      <c r="E254"/>
    </row>
    <row r="255" spans="1:13" x14ac:dyDescent="0.25">
      <c r="A255" s="30">
        <v>0.48101709809096732</v>
      </c>
      <c r="E255"/>
    </row>
    <row r="256" spans="1:13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1" operator="equal">
      <formula>$U$1</formula>
    </cfRule>
    <cfRule type="cellIs" dxfId="67" priority="912" operator="equal">
      <formula>$S$1</formula>
    </cfRule>
  </conditionalFormatting>
  <conditionalFormatting sqref="D136">
    <cfRule type="cellIs" dxfId="66" priority="909" operator="equal">
      <formula>$S$1</formula>
    </cfRule>
    <cfRule type="cellIs" dxfId="65" priority="910" operator="equal">
      <formula>$U$1</formula>
    </cfRule>
  </conditionalFormatting>
  <conditionalFormatting sqref="C162">
    <cfRule type="cellIs" dxfId="64" priority="907" operator="equal">
      <formula>$U$1</formula>
    </cfRule>
    <cfRule type="cellIs" dxfId="63" priority="908" operator="equal">
      <formula>$S$1</formula>
    </cfRule>
  </conditionalFormatting>
  <conditionalFormatting sqref="D162">
    <cfRule type="cellIs" dxfId="62" priority="905" operator="equal">
      <formula>$S$1</formula>
    </cfRule>
    <cfRule type="cellIs" dxfId="61" priority="906" operator="equal">
      <formula>$U$1</formula>
    </cfRule>
  </conditionalFormatting>
  <conditionalFormatting sqref="C187">
    <cfRule type="cellIs" dxfId="60" priority="903" operator="equal">
      <formula>$U$1</formula>
    </cfRule>
    <cfRule type="cellIs" dxfId="59" priority="904" operator="equal">
      <formula>$S$1</formula>
    </cfRule>
  </conditionalFormatting>
  <conditionalFormatting sqref="D187">
    <cfRule type="cellIs" dxfId="58" priority="901" operator="equal">
      <formula>$S$1</formula>
    </cfRule>
    <cfRule type="cellIs" dxfId="57" priority="902" operator="equal">
      <formula>$U$1</formula>
    </cfRule>
  </conditionalFormatting>
  <conditionalFormatting sqref="C212">
    <cfRule type="cellIs" dxfId="56" priority="899" operator="equal">
      <formula>$U$1</formula>
    </cfRule>
    <cfRule type="cellIs" dxfId="55" priority="900" operator="equal">
      <formula>$S$1</formula>
    </cfRule>
  </conditionalFormatting>
  <conditionalFormatting sqref="D212">
    <cfRule type="cellIs" dxfId="54" priority="897" operator="equal">
      <formula>$S$1</formula>
    </cfRule>
    <cfRule type="cellIs" dxfId="53" priority="898" operator="equal">
      <formula>$U$1</formula>
    </cfRule>
  </conditionalFormatting>
  <conditionalFormatting sqref="C237">
    <cfRule type="cellIs" dxfId="52" priority="895" operator="equal">
      <formula>$U$1</formula>
    </cfRule>
    <cfRule type="cellIs" dxfId="51" priority="896" operator="equal">
      <formula>$S$1</formula>
    </cfRule>
  </conditionalFormatting>
  <conditionalFormatting sqref="D237">
    <cfRule type="cellIs" dxfId="50" priority="893" operator="equal">
      <formula>$S$1</formula>
    </cfRule>
    <cfRule type="cellIs" dxfId="49" priority="894" operator="equal">
      <formula>$U$1</formula>
    </cfRule>
  </conditionalFormatting>
  <conditionalFormatting sqref="C106">
    <cfRule type="cellIs" dxfId="48" priority="891" operator="equal">
      <formula>$U$1</formula>
    </cfRule>
    <cfRule type="cellIs" dxfId="47" priority="892" operator="equal">
      <formula>$S$1</formula>
    </cfRule>
  </conditionalFormatting>
  <conditionalFormatting sqref="D106">
    <cfRule type="cellIs" dxfId="46" priority="889" operator="equal">
      <formula>$S$1</formula>
    </cfRule>
    <cfRule type="cellIs" dxfId="45" priority="890" operator="equal">
      <formula>$U$1</formula>
    </cfRule>
  </conditionalFormatting>
  <conditionalFormatting sqref="C81">
    <cfRule type="cellIs" dxfId="44" priority="887" operator="equal">
      <formula>$U$1</formula>
    </cfRule>
    <cfRule type="cellIs" dxfId="43" priority="888" operator="equal">
      <formula>$S$1</formula>
    </cfRule>
  </conditionalFormatting>
  <conditionalFormatting sqref="D81">
    <cfRule type="cellIs" dxfId="42" priority="885" operator="equal">
      <formula>$S$1</formula>
    </cfRule>
    <cfRule type="cellIs" dxfId="41" priority="886" operator="equal">
      <formula>$U$1</formula>
    </cfRule>
  </conditionalFormatting>
  <conditionalFormatting sqref="C56">
    <cfRule type="cellIs" dxfId="40" priority="883" operator="equal">
      <formula>$U$1</formula>
    </cfRule>
    <cfRule type="cellIs" dxfId="39" priority="884" operator="equal">
      <formula>$S$1</formula>
    </cfRule>
  </conditionalFormatting>
  <conditionalFormatting sqref="D56">
    <cfRule type="cellIs" dxfId="38" priority="881" operator="equal">
      <formula>$S$1</formula>
    </cfRule>
    <cfRule type="cellIs" dxfId="37" priority="882" operator="equal">
      <formula>$U$1</formula>
    </cfRule>
  </conditionalFormatting>
  <conditionalFormatting sqref="C31">
    <cfRule type="cellIs" dxfId="36" priority="879" operator="equal">
      <formula>$U$1</formula>
    </cfRule>
    <cfRule type="cellIs" dxfId="35" priority="880" operator="equal">
      <formula>$S$1</formula>
    </cfRule>
  </conditionalFormatting>
  <conditionalFormatting sqref="D31">
    <cfRule type="cellIs" dxfId="34" priority="877" operator="equal">
      <formula>$S$1</formula>
    </cfRule>
    <cfRule type="cellIs" dxfId="33" priority="8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1" zoomScale="90" zoomScaleNormal="90" workbookViewId="0">
      <pane xSplit="4" topLeftCell="G1" activePane="topRight" state="frozen"/>
      <selection activeCell="A109" sqref="A109"/>
      <selection pane="topRight" activeCell="AU85" sqref="AU8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4" x14ac:dyDescent="0.25">
      <c r="A65" s="30">
        <v>207.96505671840671</v>
      </c>
      <c r="E65"/>
    </row>
    <row r="66" spans="1:44" x14ac:dyDescent="0.25">
      <c r="A66" s="30">
        <v>189.05914247127882</v>
      </c>
      <c r="E66"/>
    </row>
    <row r="67" spans="1:44" x14ac:dyDescent="0.25">
      <c r="A67" s="30">
        <v>171.87194770116255</v>
      </c>
      <c r="C67" s="1" t="s">
        <v>15</v>
      </c>
      <c r="E67"/>
    </row>
    <row r="68" spans="1:44" x14ac:dyDescent="0.25">
      <c r="A68" s="30">
        <v>156.24722518287504</v>
      </c>
      <c r="C68" s="7">
        <v>0.11167815779424731</v>
      </c>
      <c r="D68"/>
      <c r="E68"/>
    </row>
    <row r="69" spans="1:44" x14ac:dyDescent="0.25">
      <c r="A69" s="30">
        <v>142.04293198443185</v>
      </c>
      <c r="E69"/>
    </row>
    <row r="70" spans="1:44" x14ac:dyDescent="0.25">
      <c r="A70" s="30">
        <v>129.1299381676653</v>
      </c>
      <c r="C70" s="1" t="s">
        <v>11</v>
      </c>
      <c r="D70" s="1" t="s">
        <v>12</v>
      </c>
      <c r="E70"/>
    </row>
    <row r="71" spans="1:44" x14ac:dyDescent="0.25">
      <c r="A71" s="30">
        <v>117.39085287969573</v>
      </c>
      <c r="C71"/>
      <c r="D71"/>
      <c r="E71"/>
    </row>
    <row r="72" spans="1:44" x14ac:dyDescent="0.25">
      <c r="A72" s="30">
        <v>106.71895716335975</v>
      </c>
      <c r="E72"/>
    </row>
    <row r="73" spans="1:44" x14ac:dyDescent="0.25">
      <c r="A73" s="30">
        <v>97.017233784872488</v>
      </c>
      <c r="C73" s="1" t="s">
        <v>13</v>
      </c>
      <c r="E73"/>
    </row>
    <row r="74" spans="1:44" x14ac:dyDescent="0.25">
      <c r="A74" s="30">
        <v>88.197485258974979</v>
      </c>
      <c r="C74" s="1">
        <f>C63</f>
        <v>0</v>
      </c>
      <c r="E74"/>
    </row>
    <row r="75" spans="1:44" x14ac:dyDescent="0.25">
      <c r="A75" s="30">
        <v>80.179532053613613</v>
      </c>
      <c r="C75"/>
      <c r="D75"/>
      <c r="E75"/>
    </row>
    <row r="76" spans="1:44" x14ac:dyDescent="0.25">
      <c r="A76" s="30">
        <v>72.890483685103277</v>
      </c>
      <c r="C76" s="1" t="s">
        <v>14</v>
      </c>
      <c r="E76"/>
    </row>
    <row r="77" spans="1:4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44" x14ac:dyDescent="0.25">
      <c r="A78" s="30">
        <v>60.240069161242367</v>
      </c>
      <c r="E78"/>
    </row>
    <row r="79" spans="1:44" x14ac:dyDescent="0.25">
      <c r="A79" s="30">
        <v>54.763699237493057</v>
      </c>
      <c r="E79"/>
      <c r="AO79" s="27" t="s">
        <v>8</v>
      </c>
      <c r="AQ79" s="27" t="s">
        <v>8</v>
      </c>
    </row>
    <row r="80" spans="1:44" x14ac:dyDescent="0.25">
      <c r="A80" s="30">
        <v>49.785181124993684</v>
      </c>
      <c r="E80"/>
      <c r="AO80" s="27" t="s">
        <v>8</v>
      </c>
      <c r="AP80" s="27" t="s">
        <v>7</v>
      </c>
      <c r="AQ80" s="27" t="s">
        <v>8</v>
      </c>
      <c r="AR80" s="27" t="s">
        <v>7</v>
      </c>
    </row>
    <row r="81" spans="1:49" x14ac:dyDescent="0.25">
      <c r="A81" s="30">
        <v>45.259255568176073</v>
      </c>
      <c r="E81"/>
      <c r="AO81" s="27" t="s">
        <v>8</v>
      </c>
      <c r="AP81" s="27" t="s">
        <v>7</v>
      </c>
      <c r="AQ81" s="27" t="s">
        <v>8</v>
      </c>
      <c r="AR81" s="27" t="s">
        <v>7</v>
      </c>
    </row>
    <row r="82" spans="1:49" x14ac:dyDescent="0.25">
      <c r="A82" s="30">
        <v>41.144777789250973</v>
      </c>
      <c r="E82"/>
      <c r="AO82" s="27" t="s">
        <v>8</v>
      </c>
      <c r="AP82" s="27" t="s">
        <v>7</v>
      </c>
      <c r="AR82" s="27" t="s">
        <v>7</v>
      </c>
      <c r="AS82" s="27" t="s">
        <v>8</v>
      </c>
    </row>
    <row r="83" spans="1:49" x14ac:dyDescent="0.25">
      <c r="A83" s="30">
        <v>37.404343444773609</v>
      </c>
      <c r="E83"/>
      <c r="AO83" s="27" t="s">
        <v>8</v>
      </c>
      <c r="AR83" s="27" t="s">
        <v>7</v>
      </c>
      <c r="AS83" s="27" t="s">
        <v>8</v>
      </c>
      <c r="AT83" s="27" t="s">
        <v>7</v>
      </c>
    </row>
    <row r="84" spans="1:49" x14ac:dyDescent="0.25">
      <c r="A84" s="30">
        <v>34.003948586157826</v>
      </c>
      <c r="E84"/>
      <c r="AO84" s="27" t="s">
        <v>8</v>
      </c>
      <c r="AR84" s="27" t="s">
        <v>7</v>
      </c>
      <c r="AS84" s="27" t="s">
        <v>8</v>
      </c>
      <c r="AT84" s="27" t="s">
        <v>7</v>
      </c>
    </row>
    <row r="85" spans="1:49" x14ac:dyDescent="0.25">
      <c r="A85" s="30">
        <v>30.912680532870748</v>
      </c>
      <c r="E85"/>
      <c r="AO85" s="27" t="s">
        <v>8</v>
      </c>
      <c r="AR85" s="27" t="s">
        <v>7</v>
      </c>
      <c r="AS85" s="27" t="s">
        <v>8</v>
      </c>
      <c r="AT85" s="27" t="s">
        <v>7</v>
      </c>
      <c r="AU85" s="27" t="s">
        <v>8</v>
      </c>
    </row>
    <row r="86" spans="1:49" x14ac:dyDescent="0.25">
      <c r="A86" s="30">
        <v>28.102436848064315</v>
      </c>
      <c r="E86"/>
      <c r="AO86" s="27" t="s">
        <v>8</v>
      </c>
      <c r="AR86" s="27" t="s">
        <v>7</v>
      </c>
      <c r="AS86" s="27" t="s">
        <v>8</v>
      </c>
      <c r="AT86" s="27" t="s">
        <v>7</v>
      </c>
      <c r="AU86" s="27" t="s">
        <v>8</v>
      </c>
    </row>
    <row r="87" spans="1:49" x14ac:dyDescent="0.25">
      <c r="A87" s="30">
        <v>25.547669861876649</v>
      </c>
      <c r="E87"/>
      <c r="AM87" s="27" t="s">
        <v>8</v>
      </c>
      <c r="AO87" s="27" t="s">
        <v>8</v>
      </c>
      <c r="AR87" s="27" t="s">
        <v>7</v>
      </c>
      <c r="AT87" s="27" t="s">
        <v>7</v>
      </c>
      <c r="AU87" s="27" t="s">
        <v>8</v>
      </c>
    </row>
    <row r="88" spans="1:49" x14ac:dyDescent="0.25">
      <c r="A88" s="30">
        <v>23.225154419887861</v>
      </c>
      <c r="E88"/>
      <c r="AI88" s="27" t="s">
        <v>8</v>
      </c>
      <c r="AM88" s="27" t="s">
        <v>8</v>
      </c>
      <c r="AN88" s="27" t="s">
        <v>7</v>
      </c>
      <c r="AO88" s="27" t="s">
        <v>8</v>
      </c>
      <c r="AT88" s="27" t="s">
        <v>7</v>
      </c>
      <c r="AU88" s="27" t="s">
        <v>8</v>
      </c>
      <c r="AW88" s="31"/>
    </row>
    <row r="89" spans="1:49" x14ac:dyDescent="0.25">
      <c r="A89" s="30">
        <v>21.113776745352599</v>
      </c>
      <c r="E89"/>
      <c r="Y89" s="27" t="s">
        <v>8</v>
      </c>
      <c r="AI89" s="27" t="s">
        <v>8</v>
      </c>
      <c r="AJ89" s="27" t="s">
        <v>7</v>
      </c>
      <c r="AM89" s="27" t="s">
        <v>8</v>
      </c>
      <c r="AN89" s="27" t="s">
        <v>7</v>
      </c>
      <c r="AO89" s="27" t="s">
        <v>8</v>
      </c>
      <c r="AT89" s="27" t="s">
        <v>7</v>
      </c>
      <c r="AV89" s="31"/>
    </row>
    <row r="90" spans="1:49" x14ac:dyDescent="0.25">
      <c r="A90" s="30">
        <v>19.194342495775089</v>
      </c>
      <c r="E90"/>
      <c r="Y90" s="27" t="s">
        <v>8</v>
      </c>
      <c r="Z90" s="27" t="s">
        <v>7</v>
      </c>
      <c r="AC90" s="27" t="s">
        <v>8</v>
      </c>
      <c r="AE90" s="27" t="s">
        <v>8</v>
      </c>
      <c r="AI90" s="27" t="s">
        <v>8</v>
      </c>
      <c r="AJ90" s="27" t="s">
        <v>7</v>
      </c>
      <c r="AM90" s="27" t="s">
        <v>8</v>
      </c>
      <c r="AN90" s="27" t="s">
        <v>7</v>
      </c>
      <c r="AO90" s="27" t="s">
        <v>8</v>
      </c>
      <c r="AU90" s="31"/>
    </row>
    <row r="91" spans="1:49" x14ac:dyDescent="0.25">
      <c r="A91" s="30">
        <v>17.449402268886445</v>
      </c>
      <c r="E91"/>
      <c r="Y91" s="27" t="s">
        <v>8</v>
      </c>
      <c r="Z91" s="27" t="s">
        <v>7</v>
      </c>
      <c r="AC91" s="27" t="s">
        <v>8</v>
      </c>
      <c r="AD91" s="27" t="s">
        <v>7</v>
      </c>
      <c r="AE91" s="27" t="s">
        <v>8</v>
      </c>
      <c r="AF91" s="27" t="s">
        <v>7</v>
      </c>
      <c r="AI91" s="27" t="s">
        <v>8</v>
      </c>
      <c r="AJ91" s="27" t="s">
        <v>7</v>
      </c>
      <c r="AM91" s="27" t="s">
        <v>8</v>
      </c>
      <c r="AN91" s="27" t="s">
        <v>7</v>
      </c>
      <c r="AT91" s="31"/>
    </row>
    <row r="92" spans="1:49" x14ac:dyDescent="0.25">
      <c r="A92" s="30">
        <v>15.863092971714948</v>
      </c>
      <c r="C92" s="1" t="s">
        <v>15</v>
      </c>
      <c r="E92"/>
      <c r="Y92" s="27" t="s">
        <v>8</v>
      </c>
      <c r="Z92" s="27" t="s">
        <v>7</v>
      </c>
      <c r="AA92" s="27" t="s">
        <v>8</v>
      </c>
      <c r="AC92" s="27" t="s">
        <v>8</v>
      </c>
      <c r="AD92" s="27" t="s">
        <v>7</v>
      </c>
      <c r="AE92" s="27" t="s">
        <v>8</v>
      </c>
      <c r="AF92" s="27" t="s">
        <v>7</v>
      </c>
      <c r="AG92" s="27" t="s">
        <v>8</v>
      </c>
      <c r="AI92" s="27" t="s">
        <v>8</v>
      </c>
      <c r="AJ92" s="27" t="s">
        <v>7</v>
      </c>
      <c r="AM92" s="27" t="s">
        <v>8</v>
      </c>
      <c r="AS92" s="31"/>
    </row>
    <row r="93" spans="1:49" x14ac:dyDescent="0.25">
      <c r="A93" s="30">
        <v>14.420993610649951</v>
      </c>
      <c r="C93" s="7">
        <v>0.11167815779424731</v>
      </c>
      <c r="D93"/>
      <c r="E93"/>
      <c r="Y93" s="27" t="s">
        <v>8</v>
      </c>
      <c r="Z93" s="27" t="s">
        <v>7</v>
      </c>
      <c r="AA93" s="27" t="s">
        <v>8</v>
      </c>
      <c r="AB93" s="27" t="s">
        <v>7</v>
      </c>
      <c r="AC93" s="27" t="s">
        <v>8</v>
      </c>
      <c r="AD93" s="27" t="s">
        <v>7</v>
      </c>
      <c r="AE93" s="27" t="s">
        <v>8</v>
      </c>
      <c r="AF93" s="27" t="s">
        <v>7</v>
      </c>
      <c r="AG93" s="27" t="s">
        <v>8</v>
      </c>
      <c r="AH93" s="27" t="s">
        <v>7</v>
      </c>
      <c r="AI93" s="27" t="s">
        <v>8</v>
      </c>
      <c r="AJ93" s="27" t="s">
        <v>7</v>
      </c>
      <c r="AM93" s="27" t="s">
        <v>8</v>
      </c>
      <c r="AR93" s="31"/>
    </row>
    <row r="94" spans="1:49" x14ac:dyDescent="0.25">
      <c r="A94" s="30">
        <v>13.109994191499954</v>
      </c>
      <c r="E94"/>
      <c r="Y94" s="27" t="s">
        <v>8</v>
      </c>
      <c r="Z94" s="27" t="s">
        <v>7</v>
      </c>
      <c r="AA94" s="27" t="s">
        <v>8</v>
      </c>
      <c r="AB94" s="27" t="s">
        <v>7</v>
      </c>
      <c r="AC94" s="27" t="s">
        <v>8</v>
      </c>
      <c r="AD94" s="27" t="s">
        <v>7</v>
      </c>
      <c r="AF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K94" s="18" t="s">
        <v>8</v>
      </c>
      <c r="AM94" s="27" t="s">
        <v>8</v>
      </c>
      <c r="AQ94" s="31"/>
    </row>
    <row r="95" spans="1:49" x14ac:dyDescent="0.25">
      <c r="A95" s="30">
        <v>11.918176537727231</v>
      </c>
      <c r="C95" s="1" t="s">
        <v>11</v>
      </c>
      <c r="D95" s="1" t="s">
        <v>12</v>
      </c>
      <c r="E95"/>
      <c r="Y95" s="27" t="s">
        <v>8</v>
      </c>
      <c r="Z95" s="27" t="s">
        <v>7</v>
      </c>
      <c r="AA95" s="27" t="s">
        <v>8</v>
      </c>
      <c r="AB95" s="27" t="s">
        <v>7</v>
      </c>
      <c r="AF95" s="27" t="s">
        <v>7</v>
      </c>
      <c r="AG95" s="27" t="s">
        <v>8</v>
      </c>
      <c r="AH95" s="27" t="s">
        <v>7</v>
      </c>
      <c r="AI95" s="27" t="s">
        <v>8</v>
      </c>
      <c r="AJ95" s="27" t="s">
        <v>7</v>
      </c>
      <c r="AK95" s="27" t="s">
        <v>8</v>
      </c>
      <c r="AL95" s="27" t="s">
        <v>7</v>
      </c>
      <c r="AM95" s="27" t="s">
        <v>8</v>
      </c>
      <c r="AP95" s="31"/>
    </row>
    <row r="96" spans="1:49" x14ac:dyDescent="0.25">
      <c r="A96" s="30">
        <v>10.834705943388391</v>
      </c>
      <c r="C96"/>
      <c r="D96"/>
      <c r="E96"/>
      <c r="Y96" s="27" t="s">
        <v>8</v>
      </c>
      <c r="Z96" s="27" t="s">
        <v>7</v>
      </c>
      <c r="AA96" s="27" t="s">
        <v>8</v>
      </c>
      <c r="AF96" s="27" t="s">
        <v>7</v>
      </c>
      <c r="AH96" s="27" t="s">
        <v>7</v>
      </c>
      <c r="AI96" s="27" t="s">
        <v>8</v>
      </c>
      <c r="AJ96" s="27" t="s">
        <v>7</v>
      </c>
      <c r="AK96" s="27" t="s">
        <v>8</v>
      </c>
      <c r="AL96" s="27" t="s">
        <v>7</v>
      </c>
      <c r="AM96" s="27" t="s">
        <v>8</v>
      </c>
      <c r="AO96" s="31"/>
    </row>
    <row r="97" spans="1:40" x14ac:dyDescent="0.25">
      <c r="A97" s="30">
        <v>9.849732675807628</v>
      </c>
      <c r="E97"/>
      <c r="W97" s="27" t="s">
        <v>8</v>
      </c>
      <c r="Y97" s="27" t="s">
        <v>8</v>
      </c>
      <c r="Z97" s="27" t="s">
        <v>7</v>
      </c>
      <c r="AH97" s="27" t="s">
        <v>7</v>
      </c>
      <c r="AI97" s="27" t="s">
        <v>8</v>
      </c>
      <c r="AJ97" s="27" t="s">
        <v>7</v>
      </c>
      <c r="AK97" s="27" t="s">
        <v>8</v>
      </c>
      <c r="AL97" s="27" t="s">
        <v>7</v>
      </c>
      <c r="AN97" s="31"/>
    </row>
    <row r="98" spans="1:40" x14ac:dyDescent="0.25">
      <c r="A98" s="30">
        <v>8.9543024325523888</v>
      </c>
      <c r="C98" s="1" t="s">
        <v>13</v>
      </c>
      <c r="E98"/>
      <c r="W98" s="27" t="s">
        <v>8</v>
      </c>
      <c r="X98" s="27" t="s">
        <v>7</v>
      </c>
      <c r="Y98" s="27" t="s">
        <v>8</v>
      </c>
      <c r="AH98" s="27" t="s">
        <v>7</v>
      </c>
      <c r="AJ98" s="27" t="s">
        <v>7</v>
      </c>
      <c r="AM98" s="31"/>
    </row>
    <row r="99" spans="1:40" x14ac:dyDescent="0.25">
      <c r="A99" s="30">
        <v>8.140274938683989</v>
      </c>
      <c r="C99" s="1">
        <f>C88</f>
        <v>0</v>
      </c>
      <c r="E99"/>
      <c r="W99" s="27" t="s">
        <v>8</v>
      </c>
      <c r="X99" s="27" t="s">
        <v>7</v>
      </c>
      <c r="Y99" s="27" t="s">
        <v>8</v>
      </c>
      <c r="AL99" s="31"/>
    </row>
    <row r="100" spans="1:40" x14ac:dyDescent="0.25">
      <c r="A100" s="30">
        <v>7.4002499442581717</v>
      </c>
      <c r="C100"/>
      <c r="D100"/>
      <c r="E100"/>
      <c r="W100" s="27" t="s">
        <v>8</v>
      </c>
      <c r="X100" s="27" t="s">
        <v>7</v>
      </c>
      <c r="Y100" s="27" t="s">
        <v>8</v>
      </c>
      <c r="AK100" s="31"/>
    </row>
    <row r="101" spans="1:40" x14ac:dyDescent="0.25">
      <c r="A101" s="30">
        <v>6.72749994932561</v>
      </c>
      <c r="C101" s="1" t="s">
        <v>14</v>
      </c>
      <c r="E101"/>
      <c r="W101" s="27" t="s">
        <v>8</v>
      </c>
      <c r="X101" s="27" t="s">
        <v>7</v>
      </c>
      <c r="AJ101" s="31"/>
    </row>
    <row r="102" spans="1:4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W102" s="27" t="s">
        <v>8</v>
      </c>
      <c r="AI102" s="31"/>
    </row>
    <row r="103" spans="1:40" x14ac:dyDescent="0.25">
      <c r="A103" s="30">
        <v>5.5599173134922388</v>
      </c>
      <c r="E103"/>
      <c r="W103" s="27" t="s">
        <v>8</v>
      </c>
      <c r="AH103" s="31"/>
    </row>
    <row r="104" spans="1:40" x14ac:dyDescent="0.25">
      <c r="A104" s="30">
        <v>5.0544702849929442</v>
      </c>
      <c r="E104"/>
      <c r="U104" s="27" t="s">
        <v>8</v>
      </c>
      <c r="W104" s="27" t="s">
        <v>8</v>
      </c>
      <c r="AG104" s="31"/>
    </row>
    <row r="105" spans="1:40" x14ac:dyDescent="0.25">
      <c r="A105" s="30">
        <v>4.594972986357222</v>
      </c>
      <c r="E105"/>
      <c r="U105" s="27" t="s">
        <v>8</v>
      </c>
      <c r="V105" s="27" t="s">
        <v>7</v>
      </c>
      <c r="W105" s="27" t="s">
        <v>8</v>
      </c>
      <c r="AF105" s="31"/>
    </row>
    <row r="106" spans="1:40" x14ac:dyDescent="0.25">
      <c r="A106" s="30">
        <v>4.1772481694156562</v>
      </c>
      <c r="E106"/>
      <c r="U106" s="27" t="s">
        <v>8</v>
      </c>
      <c r="V106" s="27" t="s">
        <v>7</v>
      </c>
      <c r="W106" s="27" t="s">
        <v>8</v>
      </c>
      <c r="AE106" s="31"/>
    </row>
    <row r="107" spans="1:40" x14ac:dyDescent="0.25">
      <c r="A107" s="30">
        <v>3.7974983358324148</v>
      </c>
      <c r="E107"/>
      <c r="U107" s="27" t="s">
        <v>8</v>
      </c>
      <c r="V107" s="27" t="s">
        <v>7</v>
      </c>
      <c r="W107" s="27" t="s">
        <v>8</v>
      </c>
      <c r="AD107" s="31"/>
    </row>
    <row r="108" spans="1:40" x14ac:dyDescent="0.25">
      <c r="A108" s="30">
        <v>3.4522712143931042</v>
      </c>
      <c r="E108"/>
      <c r="U108" s="27" t="s">
        <v>8</v>
      </c>
      <c r="V108" s="27" t="s">
        <v>7</v>
      </c>
      <c r="W108" s="27" t="s">
        <v>8</v>
      </c>
      <c r="AC108" s="31"/>
    </row>
    <row r="109" spans="1:40" x14ac:dyDescent="0.25">
      <c r="A109" s="30">
        <v>3.1384283767210035</v>
      </c>
      <c r="E109"/>
      <c r="U109" s="27" t="s">
        <v>8</v>
      </c>
      <c r="V109" s="27" t="s">
        <v>7</v>
      </c>
      <c r="W109" s="27" t="s">
        <v>8</v>
      </c>
      <c r="AB109" s="31"/>
    </row>
    <row r="110" spans="1:40" x14ac:dyDescent="0.25">
      <c r="A110" s="30">
        <v>2.8531167061100029</v>
      </c>
      <c r="E110"/>
      <c r="U110" s="27" t="s">
        <v>8</v>
      </c>
      <c r="V110" s="27" t="s">
        <v>7</v>
      </c>
      <c r="W110" s="27" t="s">
        <v>8</v>
      </c>
      <c r="AA110" s="31"/>
    </row>
    <row r="111" spans="1:40" x14ac:dyDescent="0.25">
      <c r="A111" s="30">
        <v>2.5937424601000023</v>
      </c>
      <c r="C111" s="1" t="str">
        <f>ADDRESS(C121-1,1,1,1)</f>
        <v>$A$84</v>
      </c>
      <c r="D111" s="1" t="str">
        <f>ADDRESS(C121-1,D121,1,1)</f>
        <v>$AU$84</v>
      </c>
      <c r="E111"/>
      <c r="U111" s="27" t="s">
        <v>8</v>
      </c>
      <c r="V111" s="27" t="s">
        <v>7</v>
      </c>
      <c r="Z111" s="31"/>
    </row>
    <row r="112" spans="1:40" x14ac:dyDescent="0.25">
      <c r="A112" s="30">
        <v>2.3579476910000019</v>
      </c>
      <c r="C112" s="1" t="str">
        <f>ADDRESS(C121,1,1,1)</f>
        <v>$A$85</v>
      </c>
      <c r="D112" s="1" t="str">
        <f>ADDRESS(C121,D121-1,1,1)</f>
        <v>$AT$85</v>
      </c>
      <c r="E112"/>
      <c r="U112" s="27" t="s">
        <v>8</v>
      </c>
      <c r="Y112" s="31"/>
    </row>
    <row r="113" spans="1:24" x14ac:dyDescent="0.25">
      <c r="A113" s="30">
        <v>2.1435888100000016</v>
      </c>
      <c r="C113" s="1" t="str">
        <f>ADDRESS(C121+1,1,1,1)</f>
        <v>$A$86</v>
      </c>
      <c r="D113" s="1" t="str">
        <f>ADDRESS(C121-1,D121+1,1,1)</f>
        <v>$AV$84</v>
      </c>
      <c r="E113" s="1" t="s">
        <v>8</v>
      </c>
      <c r="U113" s="27" t="s">
        <v>8</v>
      </c>
      <c r="X113" s="31"/>
    </row>
    <row r="114" spans="1:24" x14ac:dyDescent="0.25">
      <c r="A114" s="30">
        <v>1.9487171000000014</v>
      </c>
      <c r="C114" s="1" t="str">
        <f>ADDRESS(C121,D121,1,1)</f>
        <v>$AU$85</v>
      </c>
      <c r="D114" s="1" t="str">
        <f>ADDRESS(C121+1,D121+1,1,1)</f>
        <v>$AV$86</v>
      </c>
      <c r="E114" s="1" t="s">
        <v>8</v>
      </c>
      <c r="F114" s="27" t="s">
        <v>7</v>
      </c>
      <c r="S114" s="27" t="s">
        <v>8</v>
      </c>
      <c r="U114" s="27" t="s">
        <v>8</v>
      </c>
      <c r="W114" s="31"/>
    </row>
    <row r="115" spans="1:24" x14ac:dyDescent="0.25">
      <c r="A115" s="30">
        <v>1.7715610000000011</v>
      </c>
      <c r="C115" s="1" t="str">
        <f>ADDRESS(C121+1,D121,1,1)</f>
        <v>$AU$86</v>
      </c>
      <c r="E115" s="1" t="s">
        <v>8</v>
      </c>
      <c r="F115" s="27" t="s">
        <v>7</v>
      </c>
      <c r="K115" s="27" t="s">
        <v>8</v>
      </c>
      <c r="O115" s="27" t="s">
        <v>8</v>
      </c>
      <c r="S115" s="27" t="s">
        <v>8</v>
      </c>
      <c r="T115" s="27" t="s">
        <v>7</v>
      </c>
      <c r="U115" s="27" t="s">
        <v>8</v>
      </c>
      <c r="V115" s="31"/>
    </row>
    <row r="116" spans="1:24" x14ac:dyDescent="0.25">
      <c r="A116" s="30">
        <v>1.6105100000000008</v>
      </c>
      <c r="C116" s="1">
        <f>C117-1</f>
        <v>84</v>
      </c>
      <c r="E116" s="1" t="s">
        <v>8</v>
      </c>
      <c r="F116" s="27" t="s">
        <v>7</v>
      </c>
      <c r="K116" s="27" t="s">
        <v>8</v>
      </c>
      <c r="L116" s="27" t="s">
        <v>7</v>
      </c>
      <c r="M116" s="27" t="s">
        <v>8</v>
      </c>
      <c r="O116" s="27" t="s">
        <v>8</v>
      </c>
      <c r="P116" s="27" t="s">
        <v>7</v>
      </c>
      <c r="Q116" s="27" t="s">
        <v>8</v>
      </c>
      <c r="S116" s="27" t="s">
        <v>8</v>
      </c>
      <c r="T116" s="27" t="s">
        <v>7</v>
      </c>
      <c r="U116" s="31" t="s">
        <v>8</v>
      </c>
    </row>
    <row r="117" spans="1:24" x14ac:dyDescent="0.25">
      <c r="A117" s="30">
        <v>1.4641000000000006</v>
      </c>
      <c r="C117" s="1">
        <f>C121</f>
        <v>85</v>
      </c>
      <c r="D117" s="1">
        <f>D121</f>
        <v>47</v>
      </c>
      <c r="E117" s="1" t="s">
        <v>8</v>
      </c>
      <c r="F117" s="27" t="s">
        <v>7</v>
      </c>
      <c r="G117" s="27" t="s">
        <v>8</v>
      </c>
      <c r="K117" s="27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P117" s="27" t="s">
        <v>7</v>
      </c>
      <c r="Q117" s="27" t="s">
        <v>8</v>
      </c>
      <c r="R117" s="27" t="s">
        <v>7</v>
      </c>
      <c r="S117" s="27" t="s">
        <v>8</v>
      </c>
      <c r="T117" s="31" t="s">
        <v>7</v>
      </c>
    </row>
    <row r="118" spans="1:24" x14ac:dyDescent="0.25">
      <c r="A118" s="30">
        <v>1.3310000000000004</v>
      </c>
      <c r="C118" s="1">
        <f>C117+1</f>
        <v>86</v>
      </c>
      <c r="D118" s="1">
        <f>D117+1</f>
        <v>48</v>
      </c>
      <c r="E118" s="1" t="s">
        <v>8</v>
      </c>
      <c r="F118" s="27" t="s">
        <v>7</v>
      </c>
      <c r="G118" s="27" t="s">
        <v>8</v>
      </c>
      <c r="H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O118" s="27" t="s">
        <v>8</v>
      </c>
      <c r="P118" s="27" t="s">
        <v>7</v>
      </c>
      <c r="Q118" s="27" t="s">
        <v>8</v>
      </c>
      <c r="R118" s="27" t="s">
        <v>7</v>
      </c>
      <c r="S118" s="31" t="s">
        <v>8</v>
      </c>
    </row>
    <row r="119" spans="1:24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  <c r="H119" s="27" t="s">
        <v>7</v>
      </c>
      <c r="I119" s="27" t="s">
        <v>8</v>
      </c>
      <c r="K119" s="27" t="s">
        <v>8</v>
      </c>
      <c r="L119" s="27" t="s">
        <v>7</v>
      </c>
      <c r="N119" s="27" t="s">
        <v>7</v>
      </c>
      <c r="P119" s="27" t="s">
        <v>7</v>
      </c>
      <c r="R119" s="31" t="s">
        <v>7</v>
      </c>
    </row>
    <row r="120" spans="1:24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</row>
    <row r="121" spans="1:24" x14ac:dyDescent="0.25">
      <c r="A121" s="30">
        <v>1</v>
      </c>
      <c r="C121" s="18">
        <v>85</v>
      </c>
      <c r="D121" s="19">
        <v>47</v>
      </c>
      <c r="E121" s="18" t="s">
        <v>8</v>
      </c>
      <c r="F121" s="27" t="s">
        <v>7</v>
      </c>
      <c r="H121" s="27" t="s">
        <v>7</v>
      </c>
      <c r="I121" s="27" t="s">
        <v>8</v>
      </c>
      <c r="J121" s="27" t="s">
        <v>7</v>
      </c>
      <c r="K121" s="27" t="s">
        <v>8</v>
      </c>
    </row>
    <row r="122" spans="1:24" x14ac:dyDescent="0.25">
      <c r="A122" s="30">
        <v>0.90909090909090895</v>
      </c>
      <c r="C122" s="1" t="str">
        <f>INDEX(1:1048576,C117,D117)</f>
        <v>X</v>
      </c>
      <c r="H122" s="27" t="s">
        <v>7</v>
      </c>
      <c r="I122" s="27" t="s">
        <v>8</v>
      </c>
      <c r="J122" s="27" t="s">
        <v>7</v>
      </c>
    </row>
    <row r="123" spans="1:24" x14ac:dyDescent="0.25">
      <c r="A123" s="30">
        <v>0.82644628099173523</v>
      </c>
      <c r="C123" s="1" t="str">
        <f>"R"&amp;C121</f>
        <v>R85</v>
      </c>
      <c r="D123" s="1" t="str">
        <f>"C"&amp;D121</f>
        <v>C47</v>
      </c>
      <c r="H123" s="27" t="s">
        <v>7</v>
      </c>
      <c r="I123" s="27" t="s">
        <v>8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H124" s="27" t="s">
        <v>7</v>
      </c>
    </row>
    <row r="125" spans="1:24" x14ac:dyDescent="0.25">
      <c r="A125" s="30">
        <v>0.68301345536507019</v>
      </c>
    </row>
    <row r="126" spans="1:24" x14ac:dyDescent="0.25">
      <c r="A126" s="30">
        <v>0.6209213230591546</v>
      </c>
      <c r="C126" s="1" t="s">
        <v>10</v>
      </c>
    </row>
    <row r="127" spans="1:24" x14ac:dyDescent="0.25">
      <c r="A127" s="30">
        <v>0.56447393005377677</v>
      </c>
      <c r="C127" s="30">
        <v>30.912680532870748</v>
      </c>
      <c r="D127"/>
    </row>
    <row r="128" spans="1:24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5" operator="equal">
      <formula>$U$1</formula>
    </cfRule>
    <cfRule type="cellIs" dxfId="30" priority="896" operator="equal">
      <formula>$S$1</formula>
    </cfRule>
  </conditionalFormatting>
  <conditionalFormatting sqref="D136">
    <cfRule type="cellIs" dxfId="29" priority="893" operator="equal">
      <formula>$S$1</formula>
    </cfRule>
    <cfRule type="cellIs" dxfId="28" priority="894" operator="equal">
      <formula>$U$1</formula>
    </cfRule>
  </conditionalFormatting>
  <conditionalFormatting sqref="C102">
    <cfRule type="cellIs" dxfId="27" priority="891" operator="equal">
      <formula>$U$1</formula>
    </cfRule>
    <cfRule type="cellIs" dxfId="26" priority="892" operator="equal">
      <formula>$S$1</formula>
    </cfRule>
  </conditionalFormatting>
  <conditionalFormatting sqref="D102">
    <cfRule type="cellIs" dxfId="25" priority="889" operator="equal">
      <formula>$S$1</formula>
    </cfRule>
    <cfRule type="cellIs" dxfId="24" priority="890" operator="equal">
      <formula>$U$1</formula>
    </cfRule>
  </conditionalFormatting>
  <conditionalFormatting sqref="C77">
    <cfRule type="cellIs" dxfId="23" priority="887" operator="equal">
      <formula>$U$1</formula>
    </cfRule>
    <cfRule type="cellIs" dxfId="22" priority="888" operator="equal">
      <formula>$S$1</formula>
    </cfRule>
  </conditionalFormatting>
  <conditionalFormatting sqref="D77">
    <cfRule type="cellIs" dxfId="21" priority="885" operator="equal">
      <formula>$S$1</formula>
    </cfRule>
    <cfRule type="cellIs" dxfId="20" priority="886" operator="equal">
      <formula>$U$1</formula>
    </cfRule>
  </conditionalFormatting>
  <conditionalFormatting sqref="C52">
    <cfRule type="cellIs" dxfId="19" priority="883" operator="equal">
      <formula>$U$1</formula>
    </cfRule>
    <cfRule type="cellIs" dxfId="18" priority="884" operator="equal">
      <formula>$S$1</formula>
    </cfRule>
  </conditionalFormatting>
  <conditionalFormatting sqref="D52">
    <cfRule type="cellIs" dxfId="17" priority="881" operator="equal">
      <formula>$S$1</formula>
    </cfRule>
    <cfRule type="cellIs" dxfId="16" priority="882" operator="equal">
      <formula>$U$1</formula>
    </cfRule>
  </conditionalFormatting>
  <conditionalFormatting sqref="C26">
    <cfRule type="cellIs" dxfId="15" priority="879" operator="equal">
      <formula>$U$1</formula>
    </cfRule>
    <cfRule type="cellIs" dxfId="14" priority="880" operator="equal">
      <formula>$S$1</formula>
    </cfRule>
  </conditionalFormatting>
  <conditionalFormatting sqref="D26">
    <cfRule type="cellIs" dxfId="13" priority="877" operator="equal">
      <formula>$S$1</formula>
    </cfRule>
    <cfRule type="cellIs" dxfId="12" priority="8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8.9850077934928265</v>
      </c>
      <c r="F3" s="30">
        <v>10.921333129289241</v>
      </c>
      <c r="G3" s="30">
        <v>13.938696110832291</v>
      </c>
      <c r="H3" s="25">
        <f>IF(G3="","",(3*(G3-F3))+E3)</f>
        <v>18.037096738121974</v>
      </c>
      <c r="I3" s="7"/>
      <c r="J3" s="7">
        <f>(E3+G3)/2</f>
        <v>11.461851952162558</v>
      </c>
      <c r="K3" s="7">
        <f>H3/2</f>
        <v>9.0185483690609871</v>
      </c>
      <c r="M3" s="26">
        <f>IF(OR(J3="",H3=""),"",H3/J3)</f>
        <v>1.5736633847132213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9.4342581831674686</v>
      </c>
      <c r="F4" s="30">
        <v>9.9059710923258422</v>
      </c>
      <c r="G4" s="30">
        <v>19.613145188829147</v>
      </c>
      <c r="H4" s="25">
        <f t="shared" ref="H4:H25" si="0">IF(G4="","",(3*(G4-F4))+E4)</f>
        <v>38.555780472677384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2022-01-28T01:17:27Z</dcterms:modified>
</cp:coreProperties>
</file>