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4159FE2-813D-4298-8153-F4880E0BF7B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10" i="1"/>
  <c r="Q810" i="1" s="1"/>
  <c r="R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H4" i="6"/>
  <c r="S810" i="1"/>
  <c r="T810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H5" i="6"/>
  <c r="M5" i="6"/>
  <c r="O4" i="6"/>
  <c r="N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4"/>
  <c r="C122" i="5"/>
  <c r="C133" i="5" s="1"/>
  <c r="D136" i="5" s="1"/>
  <c r="C118" i="4"/>
  <c r="C116" i="5"/>
  <c r="C116" i="3"/>
  <c r="C122" i="3"/>
  <c r="C133" i="3" s="1"/>
  <c r="C136" i="3" s="1"/>
  <c r="R809" i="1"/>
  <c r="D136" i="4" l="1"/>
  <c r="C138" i="4" s="1"/>
  <c r="C136" i="5"/>
  <c r="C138" i="5" s="1"/>
  <c r="D136" i="3"/>
  <c r="C138" i="3" s="1"/>
  <c r="R808" i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S801" i="1" l="1"/>
  <c r="T801" i="1" s="1"/>
  <c r="R800" i="1"/>
  <c r="S800" i="1" l="1"/>
  <c r="T800" i="1" s="1"/>
  <c r="R799" i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S791" i="1" l="1"/>
  <c r="T791" i="1" s="1"/>
  <c r="R790" i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S777" i="1" l="1"/>
  <c r="T777" i="1" s="1"/>
  <c r="R776" i="1"/>
  <c r="S776" i="1" l="1"/>
  <c r="T776" i="1" s="1"/>
  <c r="R775" i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S767" i="1" l="1"/>
  <c r="T767" i="1" s="1"/>
  <c r="R766" i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S695" i="1" l="1"/>
  <c r="T695" i="1" s="1"/>
  <c r="R694" i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S634" i="1" l="1"/>
  <c r="T634" i="1" s="1"/>
  <c r="R633" i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S601" i="1" l="1"/>
  <c r="T601" i="1" s="1"/>
  <c r="R600" i="1"/>
  <c r="R599" i="1" l="1"/>
  <c r="S600" i="1"/>
  <c r="T600" i="1" s="1"/>
  <c r="S599" i="1" l="1"/>
  <c r="T599" i="1" s="1"/>
  <c r="R598" i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S575" i="1" l="1"/>
  <c r="T575" i="1" s="1"/>
  <c r="R574" i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S479" i="1" l="1"/>
  <c r="T479" i="1" s="1"/>
  <c r="R478" i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S442" i="1" l="1"/>
  <c r="T442" i="1" s="1"/>
  <c r="R441" i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S344" i="1" l="1"/>
  <c r="T344" i="1" s="1"/>
  <c r="R343" i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R44" i="1" l="1"/>
  <c r="S45" i="1"/>
  <c r="T45" i="1" s="1"/>
  <c r="S44" i="1" l="1"/>
  <c r="T44" i="1" s="1"/>
  <c r="R43" i="1"/>
  <c r="S43" i="1" l="1"/>
  <c r="T43" i="1" s="1"/>
  <c r="R42" i="1"/>
  <c r="R41" i="1" l="1"/>
  <c r="S42" i="1"/>
  <c r="T42" i="1" s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<sst xmlns="http://schemas.openxmlformats.org/spreadsheetml/2006/main" count="9814" uniqueCount="34">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</sst>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1.69</c:v>
                </c:pt>
                <c:pt idx="1">
                  <c:v>1.7350000000000001</c:v>
                </c:pt>
                <c:pt idx="2">
                  <c:v>1.77</c:v>
                </c:pt>
                <c:pt idx="3">
                  <c:v>1.7549999999999999</c:v>
                </c:pt>
                <c:pt idx="4">
                  <c:v>1.823</c:v>
                </c:pt>
                <c:pt idx="5">
                  <c:v>1.778</c:v>
                </c:pt>
                <c:pt idx="6">
                  <c:v>2.0019999999999998</c:v>
                </c:pt>
                <c:pt idx="7">
                  <c:v>2.3439999999999999</c:v>
                </c:pt>
                <c:pt idx="8">
                  <c:v>2.472</c:v>
                </c:pt>
                <c:pt idx="9">
                  <c:v>2.5590000000000002</c:v>
                </c:pt>
                <c:pt idx="10">
                  <c:v>2.5990000000000002</c:v>
                </c:pt>
                <c:pt idx="11">
                  <c:v>2.7029999999999998</c:v>
                </c:pt>
                <c:pt idx="12">
                  <c:v>2.7639999999999998</c:v>
                </c:pt>
                <c:pt idx="13">
                  <c:v>2.7749999999999999</c:v>
                </c:pt>
                <c:pt idx="14">
                  <c:v>2.7349999999999999</c:v>
                </c:pt>
                <c:pt idx="15">
                  <c:v>2.8980000000000001</c:v>
                </c:pt>
                <c:pt idx="16">
                  <c:v>2.8039999999999998</c:v>
                </c:pt>
                <c:pt idx="17">
                  <c:v>2.7389999999999999</c:v>
                </c:pt>
                <c:pt idx="18">
                  <c:v>2.875</c:v>
                </c:pt>
                <c:pt idx="19">
                  <c:v>2.7559999999999998</c:v>
                </c:pt>
                <c:pt idx="20">
                  <c:v>2.8319999999999999</c:v>
                </c:pt>
                <c:pt idx="21">
                  <c:v>3.0169999999999999</c:v>
                </c:pt>
                <c:pt idx="22">
                  <c:v>3.1080000000000001</c:v>
                </c:pt>
                <c:pt idx="23">
                  <c:v>3.4319999999999999</c:v>
                </c:pt>
                <c:pt idx="24">
                  <c:v>3.2530000000000001</c:v>
                </c:pt>
                <c:pt idx="25">
                  <c:v>3.206</c:v>
                </c:pt>
                <c:pt idx="26">
                  <c:v>3.1030000000000002</c:v>
                </c:pt>
                <c:pt idx="27">
                  <c:v>2.9409999999999998</c:v>
                </c:pt>
                <c:pt idx="28">
                  <c:v>3.089</c:v>
                </c:pt>
                <c:pt idx="29">
                  <c:v>3.0329999999999999</c:v>
                </c:pt>
                <c:pt idx="30">
                  <c:v>3.0310000000000001</c:v>
                </c:pt>
                <c:pt idx="31">
                  <c:v>3.3969999999999998</c:v>
                </c:pt>
                <c:pt idx="32">
                  <c:v>3.089</c:v>
                </c:pt>
                <c:pt idx="33">
                  <c:v>3.1379999999999999</c:v>
                </c:pt>
                <c:pt idx="34">
                  <c:v>3.089</c:v>
                </c:pt>
                <c:pt idx="35">
                  <c:v>3.2879999999999998</c:v>
                </c:pt>
                <c:pt idx="36">
                  <c:v>3.0779999999999998</c:v>
                </c:pt>
                <c:pt idx="37">
                  <c:v>2.9470000000000001</c:v>
                </c:pt>
                <c:pt idx="38">
                  <c:v>2.7730000000000001</c:v>
                </c:pt>
                <c:pt idx="39">
                  <c:v>2.7170000000000001</c:v>
                </c:pt>
                <c:pt idx="40">
                  <c:v>2.7970000000000002</c:v>
                </c:pt>
                <c:pt idx="41">
                  <c:v>2.7629999999999999</c:v>
                </c:pt>
                <c:pt idx="42">
                  <c:v>2.8279999999999998</c:v>
                </c:pt>
                <c:pt idx="43">
                  <c:v>2.7789999999999999</c:v>
                </c:pt>
                <c:pt idx="44">
                  <c:v>2.7690000000000001</c:v>
                </c:pt>
                <c:pt idx="45">
                  <c:v>2.71</c:v>
                </c:pt>
                <c:pt idx="46">
                  <c:v>3.0419999999999998</c:v>
                </c:pt>
                <c:pt idx="47">
                  <c:v>2.8210000000000002</c:v>
                </c:pt>
                <c:pt idx="48">
                  <c:v>2.806</c:v>
                </c:pt>
                <c:pt idx="49">
                  <c:v>3.0179999999999998</c:v>
                </c:pt>
                <c:pt idx="50">
                  <c:v>3.355</c:v>
                </c:pt>
                <c:pt idx="51">
                  <c:v>3.2949999999999999</c:v>
                </c:pt>
                <c:pt idx="52">
                  <c:v>3.3780000000000001</c:v>
                </c:pt>
                <c:pt idx="53">
                  <c:v>3.3809999999999998</c:v>
                </c:pt>
                <c:pt idx="54">
                  <c:v>3.6669999999999998</c:v>
                </c:pt>
                <c:pt idx="55">
                  <c:v>4.3109999999999999</c:v>
                </c:pt>
                <c:pt idx="56">
                  <c:v>4.1440000000000001</c:v>
                </c:pt>
                <c:pt idx="57">
                  <c:v>4.1210000000000004</c:v>
                </c:pt>
                <c:pt idx="58">
                  <c:v>4.0140000000000002</c:v>
                </c:pt>
                <c:pt idx="59">
                  <c:v>4.0629999999999997</c:v>
                </c:pt>
                <c:pt idx="60">
                  <c:v>4.0359999999999996</c:v>
                </c:pt>
                <c:pt idx="61">
                  <c:v>4.0090000000000003</c:v>
                </c:pt>
                <c:pt idx="62">
                  <c:v>3.7010000000000001</c:v>
                </c:pt>
                <c:pt idx="63">
                  <c:v>4.2220000000000004</c:v>
                </c:pt>
                <c:pt idx="64">
                  <c:v>4.03</c:v>
                </c:pt>
                <c:pt idx="65">
                  <c:v>4.0330000000000004</c:v>
                </c:pt>
                <c:pt idx="66">
                  <c:v>3.931</c:v>
                </c:pt>
                <c:pt idx="67">
                  <c:v>4.16</c:v>
                </c:pt>
                <c:pt idx="68">
                  <c:v>4.2149999999999999</c:v>
                </c:pt>
                <c:pt idx="69">
                  <c:v>3.9620000000000002</c:v>
                </c:pt>
                <c:pt idx="70">
                  <c:v>3.8450000000000002</c:v>
                </c:pt>
                <c:pt idx="71">
                  <c:v>4.1360000000000001</c:v>
                </c:pt>
                <c:pt idx="72">
                  <c:v>4.077</c:v>
                </c:pt>
                <c:pt idx="73">
                  <c:v>4.4359999999999999</c:v>
                </c:pt>
                <c:pt idx="74">
                  <c:v>4.4260000000000002</c:v>
                </c:pt>
                <c:pt idx="75">
                  <c:v>4.4850000000000003</c:v>
                </c:pt>
                <c:pt idx="76">
                  <c:v>4.3630000000000004</c:v>
                </c:pt>
                <c:pt idx="77">
                  <c:v>4.5490000000000004</c:v>
                </c:pt>
                <c:pt idx="78">
                  <c:v>4.5229999999999997</c:v>
                </c:pt>
                <c:pt idx="79">
                  <c:v>4.8890000000000002</c:v>
                </c:pt>
                <c:pt idx="80">
                  <c:v>4.9619999999999997</c:v>
                </c:pt>
                <c:pt idx="81">
                  <c:v>4.7729999999999997</c:v>
                </c:pt>
                <c:pt idx="82">
                  <c:v>4.7869999999999999</c:v>
                </c:pt>
                <c:pt idx="83">
                  <c:v>4.9390000000000001</c:v>
                </c:pt>
                <c:pt idx="84">
                  <c:v>4.9130000000000003</c:v>
                </c:pt>
                <c:pt idx="85">
                  <c:v>5.0019999999999998</c:v>
                </c:pt>
                <c:pt idx="86">
                  <c:v>5.2889999999999997</c:v>
                </c:pt>
                <c:pt idx="87">
                  <c:v>4.3280000000000003</c:v>
                </c:pt>
                <c:pt idx="88">
                  <c:v>4.3920000000000003</c:v>
                </c:pt>
                <c:pt idx="89">
                  <c:v>4.157</c:v>
                </c:pt>
                <c:pt idx="90">
                  <c:v>4.1150000000000002</c:v>
                </c:pt>
                <c:pt idx="91">
                  <c:v>3.9780000000000002</c:v>
                </c:pt>
                <c:pt idx="92">
                  <c:v>3.7989999999999999</c:v>
                </c:pt>
                <c:pt idx="93">
                  <c:v>4.2290000000000001</c:v>
                </c:pt>
                <c:pt idx="94">
                  <c:v>4.2690000000000001</c:v>
                </c:pt>
                <c:pt idx="95">
                  <c:v>4.0419999999999998</c:v>
                </c:pt>
                <c:pt idx="96">
                  <c:v>4.17</c:v>
                </c:pt>
                <c:pt idx="97">
                  <c:v>4.1230000000000002</c:v>
                </c:pt>
                <c:pt idx="98">
                  <c:v>4.1669999999999998</c:v>
                </c:pt>
                <c:pt idx="99">
                  <c:v>4.407</c:v>
                </c:pt>
                <c:pt idx="100">
                  <c:v>4.3099999999999996</c:v>
                </c:pt>
                <c:pt idx="101">
                  <c:v>4.5620000000000003</c:v>
                </c:pt>
                <c:pt idx="102">
                  <c:v>4.7539999999999996</c:v>
                </c:pt>
                <c:pt idx="103">
                  <c:v>4.548</c:v>
                </c:pt>
                <c:pt idx="104">
                  <c:v>4.5650000000000004</c:v>
                </c:pt>
                <c:pt idx="105">
                  <c:v>4.298</c:v>
                </c:pt>
                <c:pt idx="106">
                  <c:v>4.407</c:v>
                </c:pt>
                <c:pt idx="107">
                  <c:v>3.9670000000000001</c:v>
                </c:pt>
                <c:pt idx="108">
                  <c:v>3.7469999999999999</c:v>
                </c:pt>
                <c:pt idx="109">
                  <c:v>3.5649999999999999</c:v>
                </c:pt>
                <c:pt idx="110">
                  <c:v>3.839</c:v>
                </c:pt>
                <c:pt idx="111">
                  <c:v>3.798</c:v>
                </c:pt>
                <c:pt idx="112">
                  <c:v>3.8479999999999999</c:v>
                </c:pt>
                <c:pt idx="113">
                  <c:v>4.0019999999999998</c:v>
                </c:pt>
                <c:pt idx="114">
                  <c:v>4.0629999999999997</c:v>
                </c:pt>
                <c:pt idx="115">
                  <c:v>3.7570000000000001</c:v>
                </c:pt>
                <c:pt idx="116">
                  <c:v>3.9060000000000001</c:v>
                </c:pt>
                <c:pt idx="117">
                  <c:v>3.8490000000000002</c:v>
                </c:pt>
                <c:pt idx="118">
                  <c:v>3.7639999999999998</c:v>
                </c:pt>
                <c:pt idx="119">
                  <c:v>3.4740000000000002</c:v>
                </c:pt>
                <c:pt idx="120">
                  <c:v>3.2690000000000001</c:v>
                </c:pt>
                <c:pt idx="121">
                  <c:v>3.1949999999999998</c:v>
                </c:pt>
                <c:pt idx="122">
                  <c:v>3.3210000000000002</c:v>
                </c:pt>
                <c:pt idx="123">
                  <c:v>3.25</c:v>
                </c:pt>
                <c:pt idx="124">
                  <c:v>3.4260000000000002</c:v>
                </c:pt>
                <c:pt idx="125">
                  <c:v>3.1859999999999999</c:v>
                </c:pt>
                <c:pt idx="126">
                  <c:v>3.4750000000000001</c:v>
                </c:pt>
                <c:pt idx="127">
                  <c:v>3.3839999999999999</c:v>
                </c:pt>
                <c:pt idx="128">
                  <c:v>3.024</c:v>
                </c:pt>
                <c:pt idx="129">
                  <c:v>3.468</c:v>
                </c:pt>
                <c:pt idx="130">
                  <c:v>3.8420000000000001</c:v>
                </c:pt>
                <c:pt idx="131">
                  <c:v>3.9319999999999999</c:v>
                </c:pt>
                <c:pt idx="132">
                  <c:v>3.8439999999999999</c:v>
                </c:pt>
                <c:pt idx="133">
                  <c:v>4.0270000000000001</c:v>
                </c:pt>
                <c:pt idx="134">
                  <c:v>4.2439999999999998</c:v>
                </c:pt>
                <c:pt idx="135">
                  <c:v>4.0279999999999996</c:v>
                </c:pt>
                <c:pt idx="136">
                  <c:v>3.8479999999999999</c:v>
                </c:pt>
                <c:pt idx="137">
                  <c:v>4.1349999999999998</c:v>
                </c:pt>
                <c:pt idx="138">
                  <c:v>3.9350000000000001</c:v>
                </c:pt>
                <c:pt idx="139">
                  <c:v>3.8969999999999998</c:v>
                </c:pt>
                <c:pt idx="140">
                  <c:v>4.0949999999999998</c:v>
                </c:pt>
                <c:pt idx="141">
                  <c:v>4.0270000000000001</c:v>
                </c:pt>
                <c:pt idx="142">
                  <c:v>4.1289999999999996</c:v>
                </c:pt>
                <c:pt idx="143">
                  <c:v>5.2190000000000003</c:v>
                </c:pt>
                <c:pt idx="144">
                  <c:v>5.3570000000000002</c:v>
                </c:pt>
                <c:pt idx="145">
                  <c:v>5.3220000000000001</c:v>
                </c:pt>
                <c:pt idx="146">
                  <c:v>5.3579999999999997</c:v>
                </c:pt>
                <c:pt idx="147">
                  <c:v>5.1749999999999998</c:v>
                </c:pt>
                <c:pt idx="148">
                  <c:v>4.8659999999999997</c:v>
                </c:pt>
                <c:pt idx="149">
                  <c:v>4.476</c:v>
                </c:pt>
                <c:pt idx="150">
                  <c:v>4.6230000000000002</c:v>
                </c:pt>
                <c:pt idx="151">
                  <c:v>4.4409999999999998</c:v>
                </c:pt>
                <c:pt idx="152">
                  <c:v>4.5</c:v>
                </c:pt>
                <c:pt idx="153">
                  <c:v>4.6970000000000001</c:v>
                </c:pt>
                <c:pt idx="154">
                  <c:v>4.4749999999999996</c:v>
                </c:pt>
                <c:pt idx="155">
                  <c:v>5.0571999999999999</c:v>
                </c:pt>
                <c:pt idx="156">
                  <c:v>4.8882000000000003</c:v>
                </c:pt>
                <c:pt idx="157">
                  <c:v>5.3693</c:v>
                </c:pt>
                <c:pt idx="158">
                  <c:v>4.6376999999999997</c:v>
                </c:pt>
                <c:pt idx="159">
                  <c:v>4.4962</c:v>
                </c:pt>
                <c:pt idx="160">
                  <c:v>4.6089000000000002</c:v>
                </c:pt>
                <c:pt idx="161">
                  <c:v>4.4363999999999999</c:v>
                </c:pt>
                <c:pt idx="162">
                  <c:v>4.1227999999999998</c:v>
                </c:pt>
                <c:pt idx="163">
                  <c:v>4.1496000000000004</c:v>
                </c:pt>
                <c:pt idx="164">
                  <c:v>4.1139000000000001</c:v>
                </c:pt>
                <c:pt idx="165">
                  <c:v>4.1116000000000001</c:v>
                </c:pt>
                <c:pt idx="166">
                  <c:v>4.1391</c:v>
                </c:pt>
                <c:pt idx="167">
                  <c:v>4.1665999999999999</c:v>
                </c:pt>
                <c:pt idx="168">
                  <c:v>3.8037999999999998</c:v>
                </c:pt>
                <c:pt idx="169">
                  <c:v>3.8220000000000001</c:v>
                </c:pt>
                <c:pt idx="170">
                  <c:v>3.6644000000000001</c:v>
                </c:pt>
                <c:pt idx="171">
                  <c:v>3.7056</c:v>
                </c:pt>
                <c:pt idx="172">
                  <c:v>3.4422999999999999</c:v>
                </c:pt>
                <c:pt idx="173">
                  <c:v>3.72</c:v>
                </c:pt>
                <c:pt idx="174">
                  <c:v>3.4005000000000001</c:v>
                </c:pt>
                <c:pt idx="175">
                  <c:v>3.3571</c:v>
                </c:pt>
                <c:pt idx="176">
                  <c:v>3.3666999999999998</c:v>
                </c:pt>
                <c:pt idx="177">
                  <c:v>3.2684000000000002</c:v>
                </c:pt>
                <c:pt idx="178">
                  <c:v>3.4228000000000001</c:v>
                </c:pt>
                <c:pt idx="179">
                  <c:v>3.3603000000000001</c:v>
                </c:pt>
                <c:pt idx="180">
                  <c:v>3.3092999999999999</c:v>
                </c:pt>
                <c:pt idx="181">
                  <c:v>3.3448000000000002</c:v>
                </c:pt>
                <c:pt idx="182">
                  <c:v>2.7854000000000001</c:v>
                </c:pt>
                <c:pt idx="183">
                  <c:v>2.6701999999999999</c:v>
                </c:pt>
                <c:pt idx="184">
                  <c:v>2.6629</c:v>
                </c:pt>
                <c:pt idx="185">
                  <c:v>2.5453999999999999</c:v>
                </c:pt>
                <c:pt idx="186">
                  <c:v>2.5305</c:v>
                </c:pt>
                <c:pt idx="187">
                  <c:v>2.4885999999999999</c:v>
                </c:pt>
                <c:pt idx="188">
                  <c:v>2.4184000000000001</c:v>
                </c:pt>
                <c:pt idx="189">
                  <c:v>2.3601000000000001</c:v>
                </c:pt>
                <c:pt idx="190">
                  <c:v>2.3549000000000002</c:v>
                </c:pt>
                <c:pt idx="191">
                  <c:v>2.1349999999999998</c:v>
                </c:pt>
                <c:pt idx="192">
                  <c:v>2.2875000000000001</c:v>
                </c:pt>
                <c:pt idx="193">
                  <c:v>2.4396</c:v>
                </c:pt>
                <c:pt idx="194">
                  <c:v>2.4588000000000001</c:v>
                </c:pt>
                <c:pt idx="195">
                  <c:v>2.4748999999999999</c:v>
                </c:pt>
                <c:pt idx="196">
                  <c:v>2.6002000000000001</c:v>
                </c:pt>
                <c:pt idx="197">
                  <c:v>2.7504</c:v>
                </c:pt>
                <c:pt idx="198">
                  <c:v>2.7684000000000002</c:v>
                </c:pt>
                <c:pt idx="199">
                  <c:v>2.9123999999999999</c:v>
                </c:pt>
                <c:pt idx="200">
                  <c:v>3.0228000000000002</c:v>
                </c:pt>
                <c:pt idx="201">
                  <c:v>2.9769000000000001</c:v>
                </c:pt>
                <c:pt idx="202">
                  <c:v>3.0306000000000002</c:v>
                </c:pt>
                <c:pt idx="203">
                  <c:v>3.0276000000000001</c:v>
                </c:pt>
                <c:pt idx="204">
                  <c:v>3.6756000000000002</c:v>
                </c:pt>
                <c:pt idx="205">
                  <c:v>2.8401000000000001</c:v>
                </c:pt>
                <c:pt idx="206">
                  <c:v>2.7393000000000001</c:v>
                </c:pt>
                <c:pt idx="207">
                  <c:v>2.9752000000000001</c:v>
                </c:pt>
                <c:pt idx="208">
                  <c:v>2.9721000000000002</c:v>
                </c:pt>
                <c:pt idx="209">
                  <c:v>2.8197999999999999</c:v>
                </c:pt>
                <c:pt idx="210">
                  <c:v>2.7724000000000002</c:v>
                </c:pt>
                <c:pt idx="211">
                  <c:v>2.9445000000000001</c:v>
                </c:pt>
                <c:pt idx="212">
                  <c:v>3.0543</c:v>
                </c:pt>
                <c:pt idx="213">
                  <c:v>2.9058000000000002</c:v>
                </c:pt>
                <c:pt idx="214">
                  <c:v>2.8978999999999999</c:v>
                </c:pt>
                <c:pt idx="215">
                  <c:v>2.7162000000000002</c:v>
                </c:pt>
                <c:pt idx="216">
                  <c:v>2.5333000000000001</c:v>
                </c:pt>
                <c:pt idx="217">
                  <c:v>2.8113000000000001</c:v>
                </c:pt>
                <c:pt idx="218">
                  <c:v>2.8178999999999998</c:v>
                </c:pt>
                <c:pt idx="219">
                  <c:v>2.5737999999999999</c:v>
                </c:pt>
                <c:pt idx="220">
                  <c:v>2.6554000000000002</c:v>
                </c:pt>
                <c:pt idx="221">
                  <c:v>3.4274</c:v>
                </c:pt>
                <c:pt idx="222">
                  <c:v>3.3279000000000001</c:v>
                </c:pt>
                <c:pt idx="223">
                  <c:v>3.3879000000000001</c:v>
                </c:pt>
                <c:pt idx="224">
                  <c:v>3.6362000000000001</c:v>
                </c:pt>
                <c:pt idx="225">
                  <c:v>3.7652000000000001</c:v>
                </c:pt>
                <c:pt idx="226">
                  <c:v>4.0781999999999998</c:v>
                </c:pt>
                <c:pt idx="227">
                  <c:v>3.6633</c:v>
                </c:pt>
                <c:pt idx="228">
                  <c:v>3.3980999999999999</c:v>
                </c:pt>
                <c:pt idx="229">
                  <c:v>3.1812</c:v>
                </c:pt>
                <c:pt idx="230">
                  <c:v>3.3742999999999999</c:v>
                </c:pt>
                <c:pt idx="231">
                  <c:v>3.7063999999999999</c:v>
                </c:pt>
                <c:pt idx="232">
                  <c:v>4.1589999999999998</c:v>
                </c:pt>
                <c:pt idx="233">
                  <c:v>4.069</c:v>
                </c:pt>
                <c:pt idx="234">
                  <c:v>4.2267999999999999</c:v>
                </c:pt>
                <c:pt idx="235">
                  <c:v>4.7352999999999996</c:v>
                </c:pt>
                <c:pt idx="236">
                  <c:v>4.5556999999999999</c:v>
                </c:pt>
                <c:pt idx="237">
                  <c:v>4.7229000000000001</c:v>
                </c:pt>
                <c:pt idx="238">
                  <c:v>5.3836000000000004</c:v>
                </c:pt>
                <c:pt idx="239">
                  <c:v>5.2752999999999997</c:v>
                </c:pt>
                <c:pt idx="240">
                  <c:v>5.3262999999999998</c:v>
                </c:pt>
                <c:pt idx="241">
                  <c:v>4.8558000000000003</c:v>
                </c:pt>
                <c:pt idx="242">
                  <c:v>4.6215000000000002</c:v>
                </c:pt>
                <c:pt idx="243">
                  <c:v>4.4993999999999996</c:v>
                </c:pt>
                <c:pt idx="244">
                  <c:v>4.7625000000000002</c:v>
                </c:pt>
                <c:pt idx="245">
                  <c:v>5.4691000000000001</c:v>
                </c:pt>
                <c:pt idx="246">
                  <c:v>5.7988</c:v>
                </c:pt>
                <c:pt idx="247">
                  <c:v>5.4588999999999999</c:v>
                </c:pt>
                <c:pt idx="248">
                  <c:v>5.8650000000000002</c:v>
                </c:pt>
                <c:pt idx="249">
                  <c:v>5.3357000000000001</c:v>
                </c:pt>
                <c:pt idx="250">
                  <c:v>5.8992000000000004</c:v>
                </c:pt>
                <c:pt idx="251">
                  <c:v>6.3456999999999999</c:v>
                </c:pt>
                <c:pt idx="252">
                  <c:v>6.9847999999999999</c:v>
                </c:pt>
                <c:pt idx="253">
                  <c:v>4.5133000000000001</c:v>
                </c:pt>
                <c:pt idx="254">
                  <c:v>7.1835000000000004</c:v>
                </c:pt>
                <c:pt idx="255">
                  <c:v>7.2904999999999998</c:v>
                </c:pt>
                <c:pt idx="256">
                  <c:v>7.8992000000000004</c:v>
                </c:pt>
                <c:pt idx="257">
                  <c:v>8.2324999999999999</c:v>
                </c:pt>
                <c:pt idx="258">
                  <c:v>9.3719000000000001</c:v>
                </c:pt>
                <c:pt idx="259">
                  <c:v>7.1071</c:v>
                </c:pt>
                <c:pt idx="260">
                  <c:v>6.9954999999999998</c:v>
                </c:pt>
                <c:pt idx="261">
                  <c:v>9.6306999999999992</c:v>
                </c:pt>
                <c:pt idx="262">
                  <c:v>11.546200000000001</c:v>
                </c:pt>
                <c:pt idx="263">
                  <c:v>10.0366</c:v>
                </c:pt>
                <c:pt idx="264">
                  <c:v>4.9321000000000002</c:v>
                </c:pt>
                <c:pt idx="265">
                  <c:v>4.1924999999999999</c:v>
                </c:pt>
                <c:pt idx="266">
                  <c:v>4.34</c:v>
                </c:pt>
                <c:pt idx="267">
                  <c:v>4.2435999999999998</c:v>
                </c:pt>
                <c:pt idx="268">
                  <c:v>4.3105000000000002</c:v>
                </c:pt>
                <c:pt idx="269">
                  <c:v>3.2875999999999999</c:v>
                </c:pt>
                <c:pt idx="270">
                  <c:v>3.4222999999999999</c:v>
                </c:pt>
                <c:pt idx="271">
                  <c:v>3.0621999999999998</c:v>
                </c:pt>
                <c:pt idx="272">
                  <c:v>3.0417999999999998</c:v>
                </c:pt>
                <c:pt idx="273">
                  <c:v>2.7462</c:v>
                </c:pt>
                <c:pt idx="274">
                  <c:v>2.7347000000000001</c:v>
                </c:pt>
                <c:pt idx="275">
                  <c:v>2.9744999999999999</c:v>
                </c:pt>
                <c:pt idx="276">
                  <c:v>2.8753000000000002</c:v>
                </c:pt>
                <c:pt idx="277">
                  <c:v>2.1360000000000001</c:v>
                </c:pt>
                <c:pt idx="278">
                  <c:v>1.8529</c:v>
                </c:pt>
                <c:pt idx="279">
                  <c:v>2.0185</c:v>
                </c:pt>
                <c:pt idx="280">
                  <c:v>2.1989000000000001</c:v>
                </c:pt>
                <c:pt idx="281">
                  <c:v>2.5312999999999999</c:v>
                </c:pt>
                <c:pt idx="282">
                  <c:v>2.7562000000000002</c:v>
                </c:pt>
                <c:pt idx="283">
                  <c:v>2.5800999999999998</c:v>
                </c:pt>
                <c:pt idx="284">
                  <c:v>2.3673999999999999</c:v>
                </c:pt>
                <c:pt idx="285">
                  <c:v>2.7688999999999999</c:v>
                </c:pt>
                <c:pt idx="286">
                  <c:v>2.8999000000000001</c:v>
                </c:pt>
                <c:pt idx="287">
                  <c:v>2.7191999999999998</c:v>
                </c:pt>
                <c:pt idx="288">
                  <c:v>2.5486</c:v>
                </c:pt>
                <c:pt idx="289">
                  <c:v>2.6232000000000002</c:v>
                </c:pt>
                <c:pt idx="290">
                  <c:v>2.6579999999999999</c:v>
                </c:pt>
                <c:pt idx="291">
                  <c:v>2.7488000000000001</c:v>
                </c:pt>
                <c:pt idx="292">
                  <c:v>2.7336999999999998</c:v>
                </c:pt>
                <c:pt idx="293">
                  <c:v>2.9003000000000001</c:v>
                </c:pt>
                <c:pt idx="294">
                  <c:v>2.8548</c:v>
                </c:pt>
                <c:pt idx="295">
                  <c:v>2.6962000000000002</c:v>
                </c:pt>
                <c:pt idx="296">
                  <c:v>2.9849000000000001</c:v>
                </c:pt>
                <c:pt idx="297">
                  <c:v>2.9729999999999999</c:v>
                </c:pt>
                <c:pt idx="298">
                  <c:v>3.0533999999999999</c:v>
                </c:pt>
                <c:pt idx="299">
                  <c:v>2.5274000000000001</c:v>
                </c:pt>
                <c:pt idx="300">
                  <c:v>2.7711999999999999</c:v>
                </c:pt>
                <c:pt idx="301">
                  <c:v>2.585</c:v>
                </c:pt>
                <c:pt idx="302">
                  <c:v>2.6625999999999999</c:v>
                </c:pt>
                <c:pt idx="303">
                  <c:v>2.4887000000000001</c:v>
                </c:pt>
                <c:pt idx="304">
                  <c:v>2.4214000000000002</c:v>
                </c:pt>
                <c:pt idx="305">
                  <c:v>2.3637999999999999</c:v>
                </c:pt>
                <c:pt idx="306">
                  <c:v>2.2191999999999998</c:v>
                </c:pt>
                <c:pt idx="307">
                  <c:v>2.0931000000000002</c:v>
                </c:pt>
                <c:pt idx="308">
                  <c:v>1.794</c:v>
                </c:pt>
                <c:pt idx="309">
                  <c:v>1.9015</c:v>
                </c:pt>
                <c:pt idx="310">
                  <c:v>1.9921</c:v>
                </c:pt>
                <c:pt idx="311">
                  <c:v>2.0626000000000002</c:v>
                </c:pt>
                <c:pt idx="312">
                  <c:v>2.1655000000000002</c:v>
                </c:pt>
                <c:pt idx="313">
                  <c:v>2.2025000000000001</c:v>
                </c:pt>
                <c:pt idx="314">
                  <c:v>2.3176000000000001</c:v>
                </c:pt>
                <c:pt idx="315">
                  <c:v>2.2780999999999998</c:v>
                </c:pt>
                <c:pt idx="316">
                  <c:v>2.4462999999999999</c:v>
                </c:pt>
                <c:pt idx="317">
                  <c:v>2.7555999999999998</c:v>
                </c:pt>
                <c:pt idx="318">
                  <c:v>2.2993999999999999</c:v>
                </c:pt>
                <c:pt idx="319">
                  <c:v>2.2200000000000002</c:v>
                </c:pt>
                <c:pt idx="320">
                  <c:v>2.403</c:v>
                </c:pt>
                <c:pt idx="321">
                  <c:v>2.3066</c:v>
                </c:pt>
                <c:pt idx="322">
                  <c:v>2.5299</c:v>
                </c:pt>
                <c:pt idx="323">
                  <c:v>2.1387</c:v>
                </c:pt>
                <c:pt idx="324">
                  <c:v>1.9923999999999999</c:v>
                </c:pt>
                <c:pt idx="325">
                  <c:v>2.0684</c:v>
                </c:pt>
                <c:pt idx="326">
                  <c:v>1.9434</c:v>
                </c:pt>
                <c:pt idx="327">
                  <c:v>1.7423</c:v>
                </c:pt>
                <c:pt idx="328">
                  <c:v>1.6349</c:v>
                </c:pt>
                <c:pt idx="329">
                  <c:v>1.6264000000000001</c:v>
                </c:pt>
                <c:pt idx="330">
                  <c:v>1.58</c:v>
                </c:pt>
                <c:pt idx="331">
                  <c:v>1.3636999999999999</c:v>
                </c:pt>
                <c:pt idx="332">
                  <c:v>1.4032</c:v>
                </c:pt>
                <c:pt idx="333">
                  <c:v>1.2983</c:v>
                </c:pt>
                <c:pt idx="334">
                  <c:v>1.4366000000000001</c:v>
                </c:pt>
                <c:pt idx="335">
                  <c:v>1.3313999999999999</c:v>
                </c:pt>
                <c:pt idx="336">
                  <c:v>1.331</c:v>
                </c:pt>
                <c:pt idx="337">
                  <c:v>1.4329000000000001</c:v>
                </c:pt>
                <c:pt idx="338">
                  <c:v>1.431</c:v>
                </c:pt>
                <c:pt idx="339">
                  <c:v>1.8419000000000001</c:v>
                </c:pt>
                <c:pt idx="340">
                  <c:v>2.1978</c:v>
                </c:pt>
                <c:pt idx="341">
                  <c:v>1.9634</c:v>
                </c:pt>
                <c:pt idx="342">
                  <c:v>2.1429999999999998</c:v>
                </c:pt>
                <c:pt idx="343">
                  <c:v>2.1233</c:v>
                </c:pt>
                <c:pt idx="344">
                  <c:v>2.1131000000000002</c:v>
                </c:pt>
                <c:pt idx="345">
                  <c:v>1.9742</c:v>
                </c:pt>
                <c:pt idx="346">
                  <c:v>2.0781000000000001</c:v>
                </c:pt>
                <c:pt idx="347">
                  <c:v>2.2991000000000001</c:v>
                </c:pt>
                <c:pt idx="348">
                  <c:v>2.2269999999999999</c:v>
                </c:pt>
                <c:pt idx="349">
                  <c:v>2.0182000000000002</c:v>
                </c:pt>
                <c:pt idx="350">
                  <c:v>1.8499000000000001</c:v>
                </c:pt>
                <c:pt idx="351">
                  <c:v>1.8005</c:v>
                </c:pt>
                <c:pt idx="352">
                  <c:v>1.6894</c:v>
                </c:pt>
                <c:pt idx="353">
                  <c:v>1.5397000000000001</c:v>
                </c:pt>
                <c:pt idx="354">
                  <c:v>1.4772000000000001</c:v>
                </c:pt>
                <c:pt idx="355">
                  <c:v>1.4874000000000001</c:v>
                </c:pt>
                <c:pt idx="356">
                  <c:v>1.556</c:v>
                </c:pt>
                <c:pt idx="357">
                  <c:v>1.4616</c:v>
                </c:pt>
                <c:pt idx="358">
                  <c:v>1.359</c:v>
                </c:pt>
                <c:pt idx="359">
                  <c:v>1.2982</c:v>
                </c:pt>
                <c:pt idx="360">
                  <c:v>1.2529999999999999</c:v>
                </c:pt>
                <c:pt idx="361">
                  <c:v>1.1915</c:v>
                </c:pt>
                <c:pt idx="362">
                  <c:v>1.2678</c:v>
                </c:pt>
                <c:pt idx="363">
                  <c:v>1.1952</c:v>
                </c:pt>
                <c:pt idx="364">
                  <c:v>1.1785000000000001</c:v>
                </c:pt>
                <c:pt idx="365">
                  <c:v>1.1561999999999999</c:v>
                </c:pt>
                <c:pt idx="366">
                  <c:v>1.343</c:v>
                </c:pt>
                <c:pt idx="367">
                  <c:v>1.3605</c:v>
                </c:pt>
                <c:pt idx="368">
                  <c:v>1.2946</c:v>
                </c:pt>
                <c:pt idx="369">
                  <c:v>1.3289</c:v>
                </c:pt>
                <c:pt idx="370">
                  <c:v>1.1846000000000001</c:v>
                </c:pt>
                <c:pt idx="371">
                  <c:v>1.1194</c:v>
                </c:pt>
                <c:pt idx="372">
                  <c:v>1.353</c:v>
                </c:pt>
                <c:pt idx="373">
                  <c:v>1.1279999999999999</c:v>
                </c:pt>
                <c:pt idx="374">
                  <c:v>1.2718</c:v>
                </c:pt>
                <c:pt idx="375">
                  <c:v>1.208</c:v>
                </c:pt>
                <c:pt idx="376">
                  <c:v>1.1348</c:v>
                </c:pt>
                <c:pt idx="377">
                  <c:v>1.0818000000000001</c:v>
                </c:pt>
                <c:pt idx="378">
                  <c:v>1.0392999999999999</c:v>
                </c:pt>
                <c:pt idx="379">
                  <c:v>1.0201</c:v>
                </c:pt>
                <c:pt idx="380">
                  <c:v>0.93910000000000005</c:v>
                </c:pt>
                <c:pt idx="381">
                  <c:v>0.95540000000000003</c:v>
                </c:pt>
                <c:pt idx="382">
                  <c:v>1.1664000000000001</c:v>
                </c:pt>
                <c:pt idx="383">
                  <c:v>1.3357000000000001</c:v>
                </c:pt>
                <c:pt idx="384">
                  <c:v>1.159</c:v>
                </c:pt>
                <c:pt idx="385">
                  <c:v>1.0929</c:v>
                </c:pt>
                <c:pt idx="386">
                  <c:v>1.0319</c:v>
                </c:pt>
                <c:pt idx="387">
                  <c:v>0.8518</c:v>
                </c:pt>
                <c:pt idx="388">
                  <c:v>0.82320000000000004</c:v>
                </c:pt>
                <c:pt idx="389">
                  <c:v>0.79400000000000004</c:v>
                </c:pt>
                <c:pt idx="390">
                  <c:v>0.71299999999999997</c:v>
                </c:pt>
                <c:pt idx="391">
                  <c:v>0.74819999999999998</c:v>
                </c:pt>
                <c:pt idx="392">
                  <c:v>0.73229999999999995</c:v>
                </c:pt>
                <c:pt idx="393">
                  <c:v>0.75119999999999998</c:v>
                </c:pt>
                <c:pt idx="394">
                  <c:v>0.76559999999999995</c:v>
                </c:pt>
                <c:pt idx="395">
                  <c:v>0.80449999999999999</c:v>
                </c:pt>
                <c:pt idx="396">
                  <c:v>0.79569999999999996</c:v>
                </c:pt>
                <c:pt idx="397">
                  <c:v>0.77339999999999998</c:v>
                </c:pt>
                <c:pt idx="398">
                  <c:v>0.77969999999999995</c:v>
                </c:pt>
                <c:pt idx="399">
                  <c:v>0.81430000000000002</c:v>
                </c:pt>
                <c:pt idx="400">
                  <c:v>0.72750000000000004</c:v>
                </c:pt>
                <c:pt idx="401">
                  <c:v>0.88880000000000003</c:v>
                </c:pt>
                <c:pt idx="402">
                  <c:v>0.89600000000000002</c:v>
                </c:pt>
                <c:pt idx="403">
                  <c:v>0.92369999999999997</c:v>
                </c:pt>
                <c:pt idx="404">
                  <c:v>0.99419999999999997</c:v>
                </c:pt>
                <c:pt idx="405">
                  <c:v>1.0048999999999999</c:v>
                </c:pt>
                <c:pt idx="406">
                  <c:v>1.018</c:v>
                </c:pt>
                <c:pt idx="407">
                  <c:v>0.93779999999999997</c:v>
                </c:pt>
                <c:pt idx="408">
                  <c:v>0.95920000000000005</c:v>
                </c:pt>
                <c:pt idx="409">
                  <c:v>0.92200000000000004</c:v>
                </c:pt>
                <c:pt idx="410">
                  <c:v>0.89510000000000001</c:v>
                </c:pt>
                <c:pt idx="411">
                  <c:v>0.87309999999999999</c:v>
                </c:pt>
                <c:pt idx="412">
                  <c:v>0.83579999999999999</c:v>
                </c:pt>
                <c:pt idx="413">
                  <c:v>0.86429999999999996</c:v>
                </c:pt>
                <c:pt idx="414">
                  <c:v>0.92279999999999995</c:v>
                </c:pt>
                <c:pt idx="415">
                  <c:v>0.92720000000000002</c:v>
                </c:pt>
                <c:pt idx="416">
                  <c:v>0.97370000000000001</c:v>
                </c:pt>
                <c:pt idx="417">
                  <c:v>0.9748</c:v>
                </c:pt>
                <c:pt idx="418">
                  <c:v>0.98</c:v>
                </c:pt>
                <c:pt idx="419">
                  <c:v>0.92859999999999998</c:v>
                </c:pt>
                <c:pt idx="420">
                  <c:v>1.0518000000000001</c:v>
                </c:pt>
                <c:pt idx="421">
                  <c:v>0.99280000000000002</c:v>
                </c:pt>
                <c:pt idx="422">
                  <c:v>0.93730000000000002</c:v>
                </c:pt>
                <c:pt idx="423">
                  <c:v>1.0270999999999999</c:v>
                </c:pt>
                <c:pt idx="424">
                  <c:v>0.97219999999999995</c:v>
                </c:pt>
                <c:pt idx="425">
                  <c:v>0.98950000000000005</c:v>
                </c:pt>
                <c:pt idx="426">
                  <c:v>0.92659999999999998</c:v>
                </c:pt>
                <c:pt idx="427">
                  <c:v>0.93510000000000004</c:v>
                </c:pt>
                <c:pt idx="428">
                  <c:v>1.0834999999999999</c:v>
                </c:pt>
                <c:pt idx="429">
                  <c:v>1.2079</c:v>
                </c:pt>
                <c:pt idx="430">
                  <c:v>1.1598999999999999</c:v>
                </c:pt>
                <c:pt idx="431">
                  <c:v>1.0254000000000001</c:v>
                </c:pt>
                <c:pt idx="432">
                  <c:v>1.0389999999999999</c:v>
                </c:pt>
                <c:pt idx="433">
                  <c:v>0.97440000000000004</c:v>
                </c:pt>
                <c:pt idx="434">
                  <c:v>0.96289999999999998</c:v>
                </c:pt>
                <c:pt idx="435">
                  <c:v>0.97689999999999999</c:v>
                </c:pt>
                <c:pt idx="436">
                  <c:v>1.0390999999999999</c:v>
                </c:pt>
                <c:pt idx="437">
                  <c:v>1.0249999999999999</c:v>
                </c:pt>
                <c:pt idx="438">
                  <c:v>1.0128999999999999</c:v>
                </c:pt>
                <c:pt idx="439">
                  <c:v>0.99580000000000002</c:v>
                </c:pt>
                <c:pt idx="440">
                  <c:v>0.98750000000000004</c:v>
                </c:pt>
                <c:pt idx="441">
                  <c:v>0.91720000000000002</c:v>
                </c:pt>
                <c:pt idx="442">
                  <c:v>0.92689999999999995</c:v>
                </c:pt>
                <c:pt idx="443">
                  <c:v>1.0039</c:v>
                </c:pt>
                <c:pt idx="444">
                  <c:v>0.8851</c:v>
                </c:pt>
                <c:pt idx="445">
                  <c:v>0.88590000000000002</c:v>
                </c:pt>
                <c:pt idx="446">
                  <c:v>0.73580000000000001</c:v>
                </c:pt>
                <c:pt idx="447">
                  <c:v>0.78690000000000004</c:v>
                </c:pt>
                <c:pt idx="448">
                  <c:v>0.68430000000000002</c:v>
                </c:pt>
                <c:pt idx="449">
                  <c:v>0.67369999999999997</c:v>
                </c:pt>
                <c:pt idx="450">
                  <c:v>0.70740000000000003</c:v>
                </c:pt>
                <c:pt idx="451">
                  <c:v>0.72660000000000002</c:v>
                </c:pt>
                <c:pt idx="452">
                  <c:v>0.75309999999999999</c:v>
                </c:pt>
                <c:pt idx="453">
                  <c:v>0.72699999999999998</c:v>
                </c:pt>
                <c:pt idx="454">
                  <c:v>0.76780000000000004</c:v>
                </c:pt>
                <c:pt idx="455">
                  <c:v>0.75380000000000003</c:v>
                </c:pt>
                <c:pt idx="456">
                  <c:v>0.80349999999999999</c:v>
                </c:pt>
                <c:pt idx="457">
                  <c:v>0.86070000000000002</c:v>
                </c:pt>
                <c:pt idx="458">
                  <c:v>0.88129999999999997</c:v>
                </c:pt>
                <c:pt idx="459">
                  <c:v>0.90429999999999999</c:v>
                </c:pt>
                <c:pt idx="460">
                  <c:v>0.92710000000000004</c:v>
                </c:pt>
                <c:pt idx="461">
                  <c:v>0.88790000000000002</c:v>
                </c:pt>
                <c:pt idx="462">
                  <c:v>0.88970000000000005</c:v>
                </c:pt>
                <c:pt idx="463">
                  <c:v>0.86270000000000002</c:v>
                </c:pt>
                <c:pt idx="464">
                  <c:v>0.78500000000000003</c:v>
                </c:pt>
                <c:pt idx="465">
                  <c:v>0.85350000000000004</c:v>
                </c:pt>
                <c:pt idx="466">
                  <c:v>0.90480000000000005</c:v>
                </c:pt>
                <c:pt idx="467">
                  <c:v>0.86929999999999996</c:v>
                </c:pt>
                <c:pt idx="468">
                  <c:v>0.8327</c:v>
                </c:pt>
                <c:pt idx="469">
                  <c:v>0.89170000000000005</c:v>
                </c:pt>
                <c:pt idx="470">
                  <c:v>0.96399999999999997</c:v>
                </c:pt>
                <c:pt idx="471">
                  <c:v>1.0401</c:v>
                </c:pt>
                <c:pt idx="472">
                  <c:v>0.93169999999999997</c:v>
                </c:pt>
                <c:pt idx="473">
                  <c:v>0.92449999999999999</c:v>
                </c:pt>
                <c:pt idx="474">
                  <c:v>0.91830000000000001</c:v>
                </c:pt>
                <c:pt idx="475">
                  <c:v>0.83630000000000004</c:v>
                </c:pt>
                <c:pt idx="476">
                  <c:v>0.78859999999999997</c:v>
                </c:pt>
                <c:pt idx="477">
                  <c:v>0.79490000000000005</c:v>
                </c:pt>
                <c:pt idx="478">
                  <c:v>0.77249999999999996</c:v>
                </c:pt>
                <c:pt idx="479">
                  <c:v>0.90100000000000002</c:v>
                </c:pt>
                <c:pt idx="480">
                  <c:v>0.86409999999999998</c:v>
                </c:pt>
                <c:pt idx="481">
                  <c:v>0.83540000000000003</c:v>
                </c:pt>
                <c:pt idx="482">
                  <c:v>0.86970000000000003</c:v>
                </c:pt>
                <c:pt idx="483">
                  <c:v>0.91180000000000005</c:v>
                </c:pt>
                <c:pt idx="484">
                  <c:v>0.90459999999999996</c:v>
                </c:pt>
                <c:pt idx="485">
                  <c:v>0.94059999999999999</c:v>
                </c:pt>
                <c:pt idx="486">
                  <c:v>0.89439999999999997</c:v>
                </c:pt>
                <c:pt idx="487">
                  <c:v>0.9536</c:v>
                </c:pt>
                <c:pt idx="488">
                  <c:v>0.98080000000000001</c:v>
                </c:pt>
                <c:pt idx="489">
                  <c:v>0.92749999999999999</c:v>
                </c:pt>
                <c:pt idx="490">
                  <c:v>0.88539999999999996</c:v>
                </c:pt>
                <c:pt idx="491">
                  <c:v>0.81910000000000005</c:v>
                </c:pt>
                <c:pt idx="492">
                  <c:v>0.94310000000000005</c:v>
                </c:pt>
                <c:pt idx="493">
                  <c:v>0.88390000000000002</c:v>
                </c:pt>
                <c:pt idx="494">
                  <c:v>0.98809999999999998</c:v>
                </c:pt>
                <c:pt idx="495">
                  <c:v>1.0557000000000001</c:v>
                </c:pt>
                <c:pt idx="496">
                  <c:v>1.1000000000000001</c:v>
                </c:pt>
                <c:pt idx="497">
                  <c:v>1.2524999999999999</c:v>
                </c:pt>
                <c:pt idx="498">
                  <c:v>1.2035</c:v>
                </c:pt>
                <c:pt idx="499">
                  <c:v>0.98299999999999998</c:v>
                </c:pt>
                <c:pt idx="500">
                  <c:v>1.1093999999999999</c:v>
                </c:pt>
                <c:pt idx="501">
                  <c:v>1.1323000000000001</c:v>
                </c:pt>
                <c:pt idx="502">
                  <c:v>1.1922999999999999</c:v>
                </c:pt>
                <c:pt idx="503">
                  <c:v>1.1349</c:v>
                </c:pt>
                <c:pt idx="504">
                  <c:v>1.0350999999999999</c:v>
                </c:pt>
                <c:pt idx="505">
                  <c:v>1.0239</c:v>
                </c:pt>
                <c:pt idx="506">
                  <c:v>0.91090000000000004</c:v>
                </c:pt>
                <c:pt idx="507">
                  <c:v>0.98509999999999998</c:v>
                </c:pt>
                <c:pt idx="508">
                  <c:v>0.99729999999999996</c:v>
                </c:pt>
                <c:pt idx="509">
                  <c:v>0.9244</c:v>
                </c:pt>
                <c:pt idx="510">
                  <c:v>1.0860000000000001</c:v>
                </c:pt>
                <c:pt idx="511">
                  <c:v>1.0469999999999999</c:v>
                </c:pt>
                <c:pt idx="512">
                  <c:v>1.3931</c:v>
                </c:pt>
                <c:pt idx="513">
                  <c:v>1.4911000000000001</c:v>
                </c:pt>
                <c:pt idx="514">
                  <c:v>1.6045</c:v>
                </c:pt>
                <c:pt idx="515">
                  <c:v>1.6254</c:v>
                </c:pt>
                <c:pt idx="516">
                  <c:v>1.5709</c:v>
                </c:pt>
                <c:pt idx="517">
                  <c:v>1.47</c:v>
                </c:pt>
                <c:pt idx="518">
                  <c:v>1.4573</c:v>
                </c:pt>
                <c:pt idx="519">
                  <c:v>1.5862000000000001</c:v>
                </c:pt>
                <c:pt idx="520">
                  <c:v>1.4799</c:v>
                </c:pt>
                <c:pt idx="521">
                  <c:v>1.6155999999999999</c:v>
                </c:pt>
                <c:pt idx="522">
                  <c:v>1.5629</c:v>
                </c:pt>
                <c:pt idx="523">
                  <c:v>1.5173000000000001</c:v>
                </c:pt>
                <c:pt idx="524">
                  <c:v>1.4074</c:v>
                </c:pt>
                <c:pt idx="525">
                  <c:v>1.6877</c:v>
                </c:pt>
                <c:pt idx="526">
                  <c:v>1.4945999999999999</c:v>
                </c:pt>
                <c:pt idx="527">
                  <c:v>1.5680000000000001</c:v>
                </c:pt>
                <c:pt idx="528">
                  <c:v>1.6962999999999999</c:v>
                </c:pt>
                <c:pt idx="529">
                  <c:v>1.871</c:v>
                </c:pt>
                <c:pt idx="530">
                  <c:v>1.8547</c:v>
                </c:pt>
                <c:pt idx="531">
                  <c:v>1.8431999999999999</c:v>
                </c:pt>
                <c:pt idx="532">
                  <c:v>1.8809</c:v>
                </c:pt>
                <c:pt idx="533">
                  <c:v>1.7837000000000001</c:v>
                </c:pt>
                <c:pt idx="534">
                  <c:v>1.4679</c:v>
                </c:pt>
                <c:pt idx="535">
                  <c:v>1.5973999999999999</c:v>
                </c:pt>
                <c:pt idx="536">
                  <c:v>1.7141</c:v>
                </c:pt>
                <c:pt idx="537">
                  <c:v>1.5194000000000001</c:v>
                </c:pt>
                <c:pt idx="538">
                  <c:v>1.2915000000000001</c:v>
                </c:pt>
                <c:pt idx="539">
                  <c:v>1.3617999999999999</c:v>
                </c:pt>
                <c:pt idx="540">
                  <c:v>1.1716</c:v>
                </c:pt>
                <c:pt idx="541">
                  <c:v>1.2133</c:v>
                </c:pt>
                <c:pt idx="542">
                  <c:v>1.071</c:v>
                </c:pt>
                <c:pt idx="543">
                  <c:v>1.089</c:v>
                </c:pt>
                <c:pt idx="544">
                  <c:v>1.1404000000000001</c:v>
                </c:pt>
                <c:pt idx="545">
                  <c:v>1.1814</c:v>
                </c:pt>
                <c:pt idx="546">
                  <c:v>1.1740999999999999</c:v>
                </c:pt>
                <c:pt idx="547">
                  <c:v>1.0951</c:v>
                </c:pt>
                <c:pt idx="548">
                  <c:v>1.1755</c:v>
                </c:pt>
                <c:pt idx="549">
                  <c:v>1.0028999999999999</c:v>
                </c:pt>
                <c:pt idx="550">
                  <c:v>1.1673</c:v>
                </c:pt>
                <c:pt idx="551">
                  <c:v>1.1533</c:v>
                </c:pt>
                <c:pt idx="552">
                  <c:v>1.1245000000000001</c:v>
                </c:pt>
                <c:pt idx="553">
                  <c:v>1.2390000000000001</c:v>
                </c:pt>
                <c:pt idx="554">
                  <c:v>1.2793000000000001</c:v>
                </c:pt>
                <c:pt idx="555">
                  <c:v>1.4801</c:v>
                </c:pt>
                <c:pt idx="556">
                  <c:v>1.3638999999999999</c:v>
                </c:pt>
                <c:pt idx="557">
                  <c:v>1.5230999999999999</c:v>
                </c:pt>
                <c:pt idx="558">
                  <c:v>1.75</c:v>
                </c:pt>
                <c:pt idx="559">
                  <c:v>1.7698</c:v>
                </c:pt>
                <c:pt idx="560">
                  <c:v>1.21</c:v>
                </c:pt>
                <c:pt idx="561">
                  <c:v>1.1846000000000001</c:v>
                </c:pt>
                <c:pt idx="562">
                  <c:v>1.0552999999999999</c:v>
                </c:pt>
                <c:pt idx="563">
                  <c:v>1.0223</c:v>
                </c:pt>
                <c:pt idx="564">
                  <c:v>1.0602</c:v>
                </c:pt>
                <c:pt idx="565">
                  <c:v>0.90049999999999997</c:v>
                </c:pt>
                <c:pt idx="566">
                  <c:v>0.87870000000000004</c:v>
                </c:pt>
                <c:pt idx="567">
                  <c:v>0.94850000000000001</c:v>
                </c:pt>
                <c:pt idx="568">
                  <c:v>0.93110000000000004</c:v>
                </c:pt>
                <c:pt idx="569">
                  <c:v>0.8427</c:v>
                </c:pt>
                <c:pt idx="570">
                  <c:v>0.78349999999999997</c:v>
                </c:pt>
                <c:pt idx="571">
                  <c:v>0.73570000000000002</c:v>
                </c:pt>
                <c:pt idx="572">
                  <c:v>0.74739999999999995</c:v>
                </c:pt>
                <c:pt idx="573">
                  <c:v>0.66820000000000002</c:v>
                </c:pt>
                <c:pt idx="574">
                  <c:v>0.59209999999999996</c:v>
                </c:pt>
                <c:pt idx="575">
                  <c:v>0.60860000000000003</c:v>
                </c:pt>
                <c:pt idx="576">
                  <c:v>0.61709999999999998</c:v>
                </c:pt>
                <c:pt idx="577">
                  <c:v>0.61980000000000002</c:v>
                </c:pt>
                <c:pt idx="578">
                  <c:v>0.57550000000000001</c:v>
                </c:pt>
                <c:pt idx="579">
                  <c:v>0.57769999999999999</c:v>
                </c:pt>
                <c:pt idx="580">
                  <c:v>0.64759999999999995</c:v>
                </c:pt>
                <c:pt idx="581">
                  <c:v>0.67559999999999998</c:v>
                </c:pt>
                <c:pt idx="582">
                  <c:v>0.63149999999999995</c:v>
                </c:pt>
                <c:pt idx="583">
                  <c:v>0.65629999999999999</c:v>
                </c:pt>
                <c:pt idx="584">
                  <c:v>0.62949999999999995</c:v>
                </c:pt>
                <c:pt idx="585">
                  <c:v>0.58989999999999998</c:v>
                </c:pt>
                <c:pt idx="586">
                  <c:v>0.62129999999999996</c:v>
                </c:pt>
                <c:pt idx="587">
                  <c:v>0.64749999999999996</c:v>
                </c:pt>
                <c:pt idx="588">
                  <c:v>0.62229999999999996</c:v>
                </c:pt>
                <c:pt idx="589">
                  <c:v>0.56989999999999996</c:v>
                </c:pt>
                <c:pt idx="590">
                  <c:v>0.4929</c:v>
                </c:pt>
                <c:pt idx="591">
                  <c:v>0.4703</c:v>
                </c:pt>
                <c:pt idx="592">
                  <c:v>0.47920000000000001</c:v>
                </c:pt>
                <c:pt idx="593">
                  <c:v>0.50319999999999998</c:v>
                </c:pt>
                <c:pt idx="594">
                  <c:v>0.50009999999999999</c:v>
                </c:pt>
                <c:pt idx="595">
                  <c:v>0.46529999999999999</c:v>
                </c:pt>
                <c:pt idx="596">
                  <c:v>0.50849999999999995</c:v>
                </c:pt>
                <c:pt idx="597">
                  <c:v>0.54530000000000001</c:v>
                </c:pt>
                <c:pt idx="598">
                  <c:v>0.53659999999999997</c:v>
                </c:pt>
                <c:pt idx="599">
                  <c:v>0.52790000000000004</c:v>
                </c:pt>
                <c:pt idx="600">
                  <c:v>0.4839</c:v>
                </c:pt>
                <c:pt idx="601">
                  <c:v>0.49099999999999999</c:v>
                </c:pt>
                <c:pt idx="602">
                  <c:v>0.43509999999999999</c:v>
                </c:pt>
                <c:pt idx="603">
                  <c:v>0.43180000000000002</c:v>
                </c:pt>
                <c:pt idx="604">
                  <c:v>0.38040000000000002</c:v>
                </c:pt>
                <c:pt idx="605">
                  <c:v>0.39090000000000003</c:v>
                </c:pt>
                <c:pt idx="606">
                  <c:v>0.37440000000000001</c:v>
                </c:pt>
                <c:pt idx="607">
                  <c:v>0.39400000000000002</c:v>
                </c:pt>
                <c:pt idx="608">
                  <c:v>0.39439999999999997</c:v>
                </c:pt>
                <c:pt idx="609">
                  <c:v>0.37630000000000002</c:v>
                </c:pt>
                <c:pt idx="610">
                  <c:v>0.38019999999999998</c:v>
                </c:pt>
                <c:pt idx="611">
                  <c:v>0.38840000000000002</c:v>
                </c:pt>
                <c:pt idx="612">
                  <c:v>0.3579</c:v>
                </c:pt>
                <c:pt idx="613">
                  <c:v>0.3372</c:v>
                </c:pt>
                <c:pt idx="614">
                  <c:v>0.35749999999999998</c:v>
                </c:pt>
                <c:pt idx="615">
                  <c:v>0.36059999999999998</c:v>
                </c:pt>
                <c:pt idx="616">
                  <c:v>0.3402</c:v>
                </c:pt>
                <c:pt idx="617">
                  <c:v>0.35239999999999999</c:v>
                </c:pt>
                <c:pt idx="618">
                  <c:v>0.35670000000000002</c:v>
                </c:pt>
                <c:pt idx="619">
                  <c:v>0.3579</c:v>
                </c:pt>
                <c:pt idx="620">
                  <c:v>0.35820000000000002</c:v>
                </c:pt>
                <c:pt idx="621">
                  <c:v>0.36980000000000002</c:v>
                </c:pt>
                <c:pt idx="622">
                  <c:v>0.36749999999999999</c:v>
                </c:pt>
                <c:pt idx="623">
                  <c:v>0.36680000000000001</c:v>
                </c:pt>
                <c:pt idx="624">
                  <c:v>0.39860000000000001</c:v>
                </c:pt>
                <c:pt idx="625">
                  <c:v>0.37169999999999997</c:v>
                </c:pt>
                <c:pt idx="626">
                  <c:v>0.32100000000000001</c:v>
                </c:pt>
                <c:pt idx="627">
                  <c:v>0.33260000000000001</c:v>
                </c:pt>
                <c:pt idx="628">
                  <c:v>0.39129999999999998</c:v>
                </c:pt>
                <c:pt idx="629">
                  <c:v>0.32390000000000002</c:v>
                </c:pt>
                <c:pt idx="630">
                  <c:v>0.31009999999999999</c:v>
                </c:pt>
                <c:pt idx="631">
                  <c:v>0.30719999999999997</c:v>
                </c:pt>
                <c:pt idx="632">
                  <c:v>0.317</c:v>
                </c:pt>
                <c:pt idx="633">
                  <c:v>0.32550000000000001</c:v>
                </c:pt>
                <c:pt idx="634">
                  <c:v>0.3231</c:v>
                </c:pt>
                <c:pt idx="635">
                  <c:v>0.34379999999999999</c:v>
                </c:pt>
                <c:pt idx="636">
                  <c:v>0.34239999999999998</c:v>
                </c:pt>
                <c:pt idx="637">
                  <c:v>0.33789999999999998</c:v>
                </c:pt>
                <c:pt idx="638">
                  <c:v>0.36270000000000002</c:v>
                </c:pt>
                <c:pt idx="639">
                  <c:v>0.35399999999999998</c:v>
                </c:pt>
                <c:pt idx="640">
                  <c:v>0.32940000000000003</c:v>
                </c:pt>
                <c:pt idx="641">
                  <c:v>0.33600000000000002</c:v>
                </c:pt>
                <c:pt idx="642">
                  <c:v>0.33810000000000001</c:v>
                </c:pt>
                <c:pt idx="643">
                  <c:v>0.31690000000000002</c:v>
                </c:pt>
                <c:pt idx="644">
                  <c:v>0.32569999999999999</c:v>
                </c:pt>
                <c:pt idx="645">
                  <c:v>0.29559999999999997</c:v>
                </c:pt>
                <c:pt idx="646">
                  <c:v>0.28179999999999999</c:v>
                </c:pt>
                <c:pt idx="647">
                  <c:v>0.28000000000000003</c:v>
                </c:pt>
                <c:pt idx="648">
                  <c:v>0.30609999999999998</c:v>
                </c:pt>
                <c:pt idx="649">
                  <c:v>0.31879999999999997</c:v>
                </c:pt>
                <c:pt idx="650">
                  <c:v>0.30570000000000003</c:v>
                </c:pt>
                <c:pt idx="651">
                  <c:v>0.316</c:v>
                </c:pt>
                <c:pt idx="652">
                  <c:v>0.29299999999999998</c:v>
                </c:pt>
                <c:pt idx="653">
                  <c:v>0.30830000000000002</c:v>
                </c:pt>
                <c:pt idx="654">
                  <c:v>0.31280000000000002</c:v>
                </c:pt>
                <c:pt idx="655">
                  <c:v>0.32179999999999997</c:v>
                </c:pt>
                <c:pt idx="656">
                  <c:v>0.31819999999999998</c:v>
                </c:pt>
                <c:pt idx="657">
                  <c:v>0.32029999999999997</c:v>
                </c:pt>
                <c:pt idx="658">
                  <c:v>0.35580000000000001</c:v>
                </c:pt>
                <c:pt idx="659">
                  <c:v>0.3599</c:v>
                </c:pt>
                <c:pt idx="660">
                  <c:v>0.34760000000000002</c:v>
                </c:pt>
                <c:pt idx="661">
                  <c:v>0.34770000000000001</c:v>
                </c:pt>
                <c:pt idx="662">
                  <c:v>0.32419999999999999</c:v>
                </c:pt>
                <c:pt idx="663">
                  <c:v>0.31659999999999999</c:v>
                </c:pt>
                <c:pt idx="664">
                  <c:v>0.32300000000000001</c:v>
                </c:pt>
                <c:pt idx="665">
                  <c:v>0.31090000000000001</c:v>
                </c:pt>
                <c:pt idx="666">
                  <c:v>0.30309999999999998</c:v>
                </c:pt>
                <c:pt idx="667">
                  <c:v>0.30330000000000001</c:v>
                </c:pt>
                <c:pt idx="668">
                  <c:v>0.2969</c:v>
                </c:pt>
                <c:pt idx="669">
                  <c:v>0.26419999999999999</c:v>
                </c:pt>
                <c:pt idx="670">
                  <c:v>0.29759999999999998</c:v>
                </c:pt>
                <c:pt idx="671">
                  <c:v>0.30640000000000001</c:v>
                </c:pt>
                <c:pt idx="672">
                  <c:v>0.29249999999999998</c:v>
                </c:pt>
                <c:pt idx="673">
                  <c:v>0.2918</c:v>
                </c:pt>
                <c:pt idx="674">
                  <c:v>0.29599999999999999</c:v>
                </c:pt>
                <c:pt idx="675">
                  <c:v>0.29089999999999999</c:v>
                </c:pt>
                <c:pt idx="676">
                  <c:v>0.24610000000000001</c:v>
                </c:pt>
                <c:pt idx="677">
                  <c:v>0.27489999999999998</c:v>
                </c:pt>
                <c:pt idx="678">
                  <c:v>0.28199999999999997</c:v>
                </c:pt>
                <c:pt idx="679">
                  <c:v>0.27489999999999998</c:v>
                </c:pt>
                <c:pt idx="680">
                  <c:v>0.25409999999999999</c:v>
                </c:pt>
                <c:pt idx="681">
                  <c:v>0.24709999999999999</c:v>
                </c:pt>
                <c:pt idx="682">
                  <c:v>0.21029999999999999</c:v>
                </c:pt>
                <c:pt idx="683">
                  <c:v>0.24859999999999999</c:v>
                </c:pt>
                <c:pt idx="684">
                  <c:v>0.25</c:v>
                </c:pt>
                <c:pt idx="685">
                  <c:v>0.26579999999999998</c:v>
                </c:pt>
                <c:pt idx="686">
                  <c:v>0.20910000000000001</c:v>
                </c:pt>
                <c:pt idx="687">
                  <c:v>0.46060000000000001</c:v>
                </c:pt>
                <c:pt idx="688">
                  <c:v>0.47799999999999998</c:v>
                </c:pt>
                <c:pt idx="689">
                  <c:v>0.46760000000000002</c:v>
                </c:pt>
                <c:pt idx="690">
                  <c:v>0.50529999999999997</c:v>
                </c:pt>
                <c:pt idx="691">
                  <c:v>0.55620000000000003</c:v>
                </c:pt>
                <c:pt idx="692">
                  <c:v>0.60429999999999995</c:v>
                </c:pt>
                <c:pt idx="693">
                  <c:v>0.60360000000000003</c:v>
                </c:pt>
                <c:pt idx="694">
                  <c:v>0.61050000000000004</c:v>
                </c:pt>
                <c:pt idx="695">
                  <c:v>0.58050000000000002</c:v>
                </c:pt>
                <c:pt idx="696">
                  <c:v>0.55910000000000004</c:v>
                </c:pt>
                <c:pt idx="697">
                  <c:v>0.51539999999999997</c:v>
                </c:pt>
                <c:pt idx="698">
                  <c:v>0.52510000000000001</c:v>
                </c:pt>
                <c:pt idx="699">
                  <c:v>0.52449999999999997</c:v>
                </c:pt>
                <c:pt idx="700">
                  <c:v>0.53010000000000002</c:v>
                </c:pt>
                <c:pt idx="701">
                  <c:v>0.52500000000000002</c:v>
                </c:pt>
                <c:pt idx="702">
                  <c:v>0.59489999999999998</c:v>
                </c:pt>
                <c:pt idx="703">
                  <c:v>0.63649999999999995</c:v>
                </c:pt>
                <c:pt idx="704">
                  <c:v>0.68049999999999999</c:v>
                </c:pt>
                <c:pt idx="705">
                  <c:v>0.66020000000000001</c:v>
                </c:pt>
                <c:pt idx="706">
                  <c:v>0.72699999999999998</c:v>
                </c:pt>
                <c:pt idx="707">
                  <c:v>0.59350000000000003</c:v>
                </c:pt>
                <c:pt idx="708">
                  <c:v>0.61499999999999999</c:v>
                </c:pt>
                <c:pt idx="709">
                  <c:v>0.67700000000000005</c:v>
                </c:pt>
                <c:pt idx="710">
                  <c:v>0.62660000000000005</c:v>
                </c:pt>
                <c:pt idx="711">
                  <c:v>0.64390000000000003</c:v>
                </c:pt>
                <c:pt idx="712">
                  <c:v>0.68759999999999999</c:v>
                </c:pt>
                <c:pt idx="713">
                  <c:v>0.73599999999999999</c:v>
                </c:pt>
                <c:pt idx="714">
                  <c:v>0.72750000000000004</c:v>
                </c:pt>
                <c:pt idx="715">
                  <c:v>0.74260000000000004</c:v>
                </c:pt>
                <c:pt idx="716">
                  <c:v>0.77300000000000002</c:v>
                </c:pt>
                <c:pt idx="717">
                  <c:v>0.72909999999999997</c:v>
                </c:pt>
                <c:pt idx="718">
                  <c:v>0.71860000000000002</c:v>
                </c:pt>
                <c:pt idx="719">
                  <c:v>0.74050000000000005</c:v>
                </c:pt>
                <c:pt idx="720">
                  <c:v>0.77949999999999997</c:v>
                </c:pt>
                <c:pt idx="721">
                  <c:v>0.77470000000000006</c:v>
                </c:pt>
                <c:pt idx="722">
                  <c:v>0.70089999999999997</c:v>
                </c:pt>
                <c:pt idx="723">
                  <c:v>0.71589999999999998</c:v>
                </c:pt>
                <c:pt idx="724">
                  <c:v>0.70950000000000002</c:v>
                </c:pt>
                <c:pt idx="725">
                  <c:v>0.65759999999999996</c:v>
                </c:pt>
                <c:pt idx="726">
                  <c:v>0.6885</c:v>
                </c:pt>
                <c:pt idx="727">
                  <c:v>0.66839999999999999</c:v>
                </c:pt>
                <c:pt idx="728">
                  <c:v>0.68400000000000005</c:v>
                </c:pt>
                <c:pt idx="729">
                  <c:v>0.58069999999999999</c:v>
                </c:pt>
                <c:pt idx="730">
                  <c:v>0.56810000000000005</c:v>
                </c:pt>
                <c:pt idx="731">
                  <c:v>0.51200000000000001</c:v>
                </c:pt>
                <c:pt idx="732">
                  <c:v>0.5222</c:v>
                </c:pt>
                <c:pt idx="733">
                  <c:v>0.49880000000000002</c:v>
                </c:pt>
                <c:pt idx="734">
                  <c:v>0.5151</c:v>
                </c:pt>
                <c:pt idx="735">
                  <c:v>0.49440000000000001</c:v>
                </c:pt>
                <c:pt idx="736">
                  <c:v>0.50139999999999996</c:v>
                </c:pt>
                <c:pt idx="737">
                  <c:v>0.49280000000000002</c:v>
                </c:pt>
                <c:pt idx="738">
                  <c:v>0.49009999999999998</c:v>
                </c:pt>
                <c:pt idx="739">
                  <c:v>0.495</c:v>
                </c:pt>
                <c:pt idx="740">
                  <c:v>0.53300000000000003</c:v>
                </c:pt>
                <c:pt idx="741">
                  <c:v>0.55600000000000005</c:v>
                </c:pt>
                <c:pt idx="742">
                  <c:v>0.57440000000000002</c:v>
                </c:pt>
                <c:pt idx="743">
                  <c:v>0.5242</c:v>
                </c:pt>
                <c:pt idx="744">
                  <c:v>0.50049999999999994</c:v>
                </c:pt>
                <c:pt idx="745">
                  <c:v>0.47739999999999999</c:v>
                </c:pt>
                <c:pt idx="746">
                  <c:v>0.45610000000000001</c:v>
                </c:pt>
                <c:pt idx="747">
                  <c:v>0.42420000000000002</c:v>
                </c:pt>
                <c:pt idx="748">
                  <c:v>0.42970000000000003</c:v>
                </c:pt>
                <c:pt idx="749">
                  <c:v>0.4163</c:v>
                </c:pt>
                <c:pt idx="750">
                  <c:v>0.436</c:v>
                </c:pt>
                <c:pt idx="751">
                  <c:v>0.43020000000000003</c:v>
                </c:pt>
                <c:pt idx="752">
                  <c:v>0.39510000000000001</c:v>
                </c:pt>
                <c:pt idx="753">
                  <c:v>0.40500000000000003</c:v>
                </c:pt>
                <c:pt idx="754">
                  <c:v>0.39810000000000001</c:v>
                </c:pt>
                <c:pt idx="755">
                  <c:v>0.40410000000000001</c:v>
                </c:pt>
                <c:pt idx="756">
                  <c:v>0.37640000000000001</c:v>
                </c:pt>
                <c:pt idx="757">
                  <c:v>0.41770000000000002</c:v>
                </c:pt>
                <c:pt idx="758">
                  <c:v>0.40810000000000002</c:v>
                </c:pt>
                <c:pt idx="759">
                  <c:v>0.37030000000000002</c:v>
                </c:pt>
                <c:pt idx="760">
                  <c:v>0.3821</c:v>
                </c:pt>
                <c:pt idx="761">
                  <c:v>0.36990000000000001</c:v>
                </c:pt>
                <c:pt idx="762">
                  <c:v>0.38979999999999998</c:v>
                </c:pt>
                <c:pt idx="763">
                  <c:v>0.3639</c:v>
                </c:pt>
                <c:pt idx="764">
                  <c:v>0.37640000000000001</c:v>
                </c:pt>
                <c:pt idx="765">
                  <c:v>0.38990000000000002</c:v>
                </c:pt>
                <c:pt idx="766">
                  <c:v>0.38579999999999998</c:v>
                </c:pt>
                <c:pt idx="767">
                  <c:v>0.39140000000000003</c:v>
                </c:pt>
                <c:pt idx="768">
                  <c:v>0.40529999999999999</c:v>
                </c:pt>
                <c:pt idx="769">
                  <c:v>0.43140000000000001</c:v>
                </c:pt>
                <c:pt idx="770">
                  <c:v>0.44569999999999999</c:v>
                </c:pt>
                <c:pt idx="771">
                  <c:v>0.42380000000000001</c:v>
                </c:pt>
                <c:pt idx="772">
                  <c:v>0.36730000000000002</c:v>
                </c:pt>
                <c:pt idx="773">
                  <c:v>0.41880000000000001</c:v>
                </c:pt>
                <c:pt idx="774">
                  <c:v>0.46110000000000001</c:v>
                </c:pt>
                <c:pt idx="775">
                  <c:v>0.47149999999999997</c:v>
                </c:pt>
                <c:pt idx="776">
                  <c:v>0.52890000000000004</c:v>
                </c:pt>
                <c:pt idx="777">
                  <c:v>0.60729999999999995</c:v>
                </c:pt>
                <c:pt idx="778">
                  <c:v>0.55100000000000005</c:v>
                </c:pt>
                <c:pt idx="779">
                  <c:v>0.53739999999999999</c:v>
                </c:pt>
                <c:pt idx="780">
                  <c:v>0.56479999999999997</c:v>
                </c:pt>
                <c:pt idx="781">
                  <c:v>0.60750000000000004</c:v>
                </c:pt>
                <c:pt idx="782">
                  <c:v>0.54449999999999998</c:v>
                </c:pt>
                <c:pt idx="783">
                  <c:v>0.54449999999999998</c:v>
                </c:pt>
                <c:pt idx="784">
                  <c:v>0.53969999999999996</c:v>
                </c:pt>
                <c:pt idx="785">
                  <c:v>0.52229999999999999</c:v>
                </c:pt>
                <c:pt idx="786">
                  <c:v>0.54059999999999997</c:v>
                </c:pt>
                <c:pt idx="787">
                  <c:v>0.57530000000000003</c:v>
                </c:pt>
                <c:pt idx="788">
                  <c:v>0.61419999999999997</c:v>
                </c:pt>
                <c:pt idx="789">
                  <c:v>0.68279999999999996</c:v>
                </c:pt>
                <c:pt idx="790">
                  <c:v>0.70589999999999997</c:v>
                </c:pt>
                <c:pt idx="791">
                  <c:v>0.67449999999999999</c:v>
                </c:pt>
                <c:pt idx="792">
                  <c:v>0.64</c:v>
                </c:pt>
                <c:pt idx="793">
                  <c:v>0.65129999999999999</c:v>
                </c:pt>
                <c:pt idx="794">
                  <c:v>0.66279999999999994</c:v>
                </c:pt>
                <c:pt idx="795">
                  <c:v>0.66490000000000005</c:v>
                </c:pt>
                <c:pt idx="796">
                  <c:v>0.74580000000000002</c:v>
                </c:pt>
                <c:pt idx="797">
                  <c:v>0.65529999999999999</c:v>
                </c:pt>
                <c:pt idx="798">
                  <c:v>0.65759999999999996</c:v>
                </c:pt>
                <c:pt idx="799">
                  <c:v>0.74099999999999999</c:v>
                </c:pt>
                <c:pt idx="800">
                  <c:v>0.72519999999999996</c:v>
                </c:pt>
                <c:pt idx="801">
                  <c:v>0.77300000000000002</c:v>
                </c:pt>
                <c:pt idx="802">
                  <c:v>0.81589999999999996</c:v>
                </c:pt>
                <c:pt idx="803">
                  <c:v>0.75760000000000005</c:v>
                </c:pt>
                <c:pt idx="804">
                  <c:v>0.70450000000000002</c:v>
                </c:pt>
                <c:pt idx="805">
                  <c:v>0.7147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D-4ACF-B8D6-69C86E5FFED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-1.6397198105232527</c:v>
                </c:pt>
                <c:pt idx="1">
                  <c:v>-1.6389799716997229</c:v>
                </c:pt>
                <c:pt idx="2">
                  <c:v>-1.630029583555042</c:v>
                </c:pt>
                <c:pt idx="3">
                  <c:v>-1.6318962209014987</c:v>
                </c:pt>
                <c:pt idx="4">
                  <c:v>-1.6409536364570543</c:v>
                </c:pt>
                <c:pt idx="5">
                  <c:v>-1.6425316898187565</c:v>
                </c:pt>
                <c:pt idx="6">
                  <c:v>-1.6363790806831466</c:v>
                </c:pt>
                <c:pt idx="7">
                  <c:v>-1.6217472613516912</c:v>
                </c:pt>
                <c:pt idx="8">
                  <c:v>-1.6144297660439988</c:v>
                </c:pt>
                <c:pt idx="9">
                  <c:v>-1.6113327091639991</c:v>
                </c:pt>
                <c:pt idx="10">
                  <c:v>-1.6108704872916584</c:v>
                </c:pt>
                <c:pt idx="11">
                  <c:v>-1.6074287565303682</c:v>
                </c:pt>
                <c:pt idx="12">
                  <c:v>-1.601292654947035</c:v>
                </c:pt>
                <c:pt idx="13">
                  <c:v>-1.6008633327819863</c:v>
                </c:pt>
                <c:pt idx="14">
                  <c:v>-1.6000194776634091</c:v>
                </c:pt>
                <c:pt idx="15">
                  <c:v>-1.589346517663409</c:v>
                </c:pt>
                <c:pt idx="16">
                  <c:v>-1.5933376762634093</c:v>
                </c:pt>
                <c:pt idx="17">
                  <c:v>-1.5942621706193416</c:v>
                </c:pt>
                <c:pt idx="18">
                  <c:v>-1.5907035878281324</c:v>
                </c:pt>
                <c:pt idx="19">
                  <c:v>-1.5900302887304893</c:v>
                </c:pt>
                <c:pt idx="20">
                  <c:v>-1.5862513878378721</c:v>
                </c:pt>
                <c:pt idx="21">
                  <c:v>-1.5784713285499932</c:v>
                </c:pt>
                <c:pt idx="22">
                  <c:v>-1.5766492282393869</c:v>
                </c:pt>
                <c:pt idx="23">
                  <c:v>-1.5613271332620113</c:v>
                </c:pt>
                <c:pt idx="24">
                  <c:v>-1.5608232306091616</c:v>
                </c:pt>
                <c:pt idx="25">
                  <c:v>-1.5695496049727979</c:v>
                </c:pt>
                <c:pt idx="26">
                  <c:v>-1.5735643822644645</c:v>
                </c:pt>
                <c:pt idx="27">
                  <c:v>-1.5793758962644644</c:v>
                </c:pt>
                <c:pt idx="28">
                  <c:v>-1.5711985307600396</c:v>
                </c:pt>
                <c:pt idx="29">
                  <c:v>-1.5738629255882335</c:v>
                </c:pt>
                <c:pt idx="30">
                  <c:v>-1.5671166378319836</c:v>
                </c:pt>
                <c:pt idx="31">
                  <c:v>-1.5454521146799101</c:v>
                </c:pt>
                <c:pt idx="32">
                  <c:v>-1.5608819784099099</c:v>
                </c:pt>
                <c:pt idx="33">
                  <c:v>-1.5656361929713132</c:v>
                </c:pt>
                <c:pt idx="34">
                  <c:v>-1.56698132047951</c:v>
                </c:pt>
                <c:pt idx="35">
                  <c:v>-1.5600366883355101</c:v>
                </c:pt>
                <c:pt idx="36">
                  <c:v>-1.5725854400331847</c:v>
                </c:pt>
                <c:pt idx="37">
                  <c:v>-1.5686987799220735</c:v>
                </c:pt>
                <c:pt idx="38">
                  <c:v>-1.5770000773808972</c:v>
                </c:pt>
                <c:pt idx="39">
                  <c:v>-1.5868326774663672</c:v>
                </c:pt>
                <c:pt idx="40">
                  <c:v>-1.580084180539538</c:v>
                </c:pt>
                <c:pt idx="41">
                  <c:v>-1.5789344203490618</c:v>
                </c:pt>
                <c:pt idx="42">
                  <c:v>-1.5707432326393844</c:v>
                </c:pt>
                <c:pt idx="43">
                  <c:v>-1.5645164014004462</c:v>
                </c:pt>
                <c:pt idx="44">
                  <c:v>-1.5710818401439017</c:v>
                </c:pt>
                <c:pt idx="45">
                  <c:v>-1.5774295630759276</c:v>
                </c:pt>
                <c:pt idx="46">
                  <c:v>-1.5569150438674428</c:v>
                </c:pt>
                <c:pt idx="47">
                  <c:v>-1.5611104923118873</c:v>
                </c:pt>
                <c:pt idx="48">
                  <c:v>-1.5619458384718874</c:v>
                </c:pt>
                <c:pt idx="49">
                  <c:v>-1.5429927668880363</c:v>
                </c:pt>
                <c:pt idx="50">
                  <c:v>-1.5318842877929209</c:v>
                </c:pt>
                <c:pt idx="51">
                  <c:v>-1.5375449703551982</c:v>
                </c:pt>
                <c:pt idx="52">
                  <c:v>-1.5273615067958763</c:v>
                </c:pt>
                <c:pt idx="53">
                  <c:v>-1.5454184982867485</c:v>
                </c:pt>
                <c:pt idx="54">
                  <c:v>-1.5360083193406904</c:v>
                </c:pt>
                <c:pt idx="55">
                  <c:v>-1.5084438444446959</c:v>
                </c:pt>
                <c:pt idx="56">
                  <c:v>-1.3519338521406623</c:v>
                </c:pt>
                <c:pt idx="57">
                  <c:v>-1.3573830258437438</c:v>
                </c:pt>
                <c:pt idx="58">
                  <c:v>-1.3583547278437438</c:v>
                </c:pt>
                <c:pt idx="59">
                  <c:v>-1.3551282249490071</c:v>
                </c:pt>
                <c:pt idx="60">
                  <c:v>-1.3445342156756586</c:v>
                </c:pt>
                <c:pt idx="61">
                  <c:v>-1.3595752289879615</c:v>
                </c:pt>
                <c:pt idx="62">
                  <c:v>-1.3414259385007223</c:v>
                </c:pt>
                <c:pt idx="63">
                  <c:v>-1.328254329393413</c:v>
                </c:pt>
                <c:pt idx="64">
                  <c:v>-1.3398480433116691</c:v>
                </c:pt>
                <c:pt idx="65">
                  <c:v>-1.3393991248044226</c:v>
                </c:pt>
                <c:pt idx="66">
                  <c:v>-1.3477986815302292</c:v>
                </c:pt>
                <c:pt idx="67">
                  <c:v>-1.3394775048006695</c:v>
                </c:pt>
                <c:pt idx="68">
                  <c:v>-1.3248231541793929</c:v>
                </c:pt>
                <c:pt idx="69">
                  <c:v>-1.3348658495922809</c:v>
                </c:pt>
                <c:pt idx="70">
                  <c:v>-1.340443393466453</c:v>
                </c:pt>
                <c:pt idx="71">
                  <c:v>-1.3303613571862474</c:v>
                </c:pt>
                <c:pt idx="72">
                  <c:v>-1.3342460070359208</c:v>
                </c:pt>
                <c:pt idx="73">
                  <c:v>-1.3309382386041024</c:v>
                </c:pt>
                <c:pt idx="74">
                  <c:v>-1.300746353521133</c:v>
                </c:pt>
                <c:pt idx="75">
                  <c:v>-1.2975204418122723</c:v>
                </c:pt>
                <c:pt idx="76">
                  <c:v>-1.2998482230670252</c:v>
                </c:pt>
                <c:pt idx="77">
                  <c:v>-1.2965713053578054</c:v>
                </c:pt>
                <c:pt idx="78">
                  <c:v>-1.2959272393229797</c:v>
                </c:pt>
                <c:pt idx="79">
                  <c:v>-1.2947011930572452</c:v>
                </c:pt>
                <c:pt idx="80">
                  <c:v>-1.2836540224754758</c:v>
                </c:pt>
                <c:pt idx="81">
                  <c:v>-1.2881262827286402</c:v>
                </c:pt>
                <c:pt idx="82">
                  <c:v>-1.2825199241572116</c:v>
                </c:pt>
                <c:pt idx="83">
                  <c:v>-1.2779052468343606</c:v>
                </c:pt>
                <c:pt idx="84">
                  <c:v>-1.2694204043968604</c:v>
                </c:pt>
                <c:pt idx="85">
                  <c:v>-1.2583945458977153</c:v>
                </c:pt>
                <c:pt idx="86">
                  <c:v>-1.2396183171189732</c:v>
                </c:pt>
                <c:pt idx="87">
                  <c:v>-1.222452405252122</c:v>
                </c:pt>
                <c:pt idx="88">
                  <c:v>-1.2199434173697692</c:v>
                </c:pt>
                <c:pt idx="89">
                  <c:v>-1.224365983359917</c:v>
                </c:pt>
                <c:pt idx="90">
                  <c:v>-1.2262347792625716</c:v>
                </c:pt>
                <c:pt idx="91">
                  <c:v>-1.2273592009180903</c:v>
                </c:pt>
                <c:pt idx="92">
                  <c:v>-1.2304672839309108</c:v>
                </c:pt>
                <c:pt idx="93">
                  <c:v>-1.2177211819727358</c:v>
                </c:pt>
                <c:pt idx="94">
                  <c:v>-1.2127438789274683</c:v>
                </c:pt>
                <c:pt idx="95">
                  <c:v>-1.222306909696699</c:v>
                </c:pt>
                <c:pt idx="96">
                  <c:v>-1.2212940838572828</c:v>
                </c:pt>
                <c:pt idx="97">
                  <c:v>-1.2302171171545804</c:v>
                </c:pt>
                <c:pt idx="98">
                  <c:v>-1.2259078464191544</c:v>
                </c:pt>
                <c:pt idx="99">
                  <c:v>-1.2125579312762973</c:v>
                </c:pt>
                <c:pt idx="100">
                  <c:v>-1.2219150238014114</c:v>
                </c:pt>
                <c:pt idx="101">
                  <c:v>-1.2131310924985543</c:v>
                </c:pt>
                <c:pt idx="102">
                  <c:v>-1.2114839228738894</c:v>
                </c:pt>
                <c:pt idx="103">
                  <c:v>-1.2312323170019497</c:v>
                </c:pt>
                <c:pt idx="104">
                  <c:v>-1.217715168678779</c:v>
                </c:pt>
                <c:pt idx="105">
                  <c:v>-1.2164951587593242</c:v>
                </c:pt>
                <c:pt idx="106">
                  <c:v>-1.2042979303593242</c:v>
                </c:pt>
                <c:pt idx="107">
                  <c:v>-1.2194159432627003</c:v>
                </c:pt>
                <c:pt idx="108">
                  <c:v>-1.2401852362112866</c:v>
                </c:pt>
                <c:pt idx="109">
                  <c:v>-1.2437371126144279</c:v>
                </c:pt>
                <c:pt idx="110">
                  <c:v>-1.2373759724089484</c:v>
                </c:pt>
                <c:pt idx="111">
                  <c:v>-1.2357010628498086</c:v>
                </c:pt>
                <c:pt idx="112">
                  <c:v>-1.2285867670959625</c:v>
                </c:pt>
                <c:pt idx="113">
                  <c:v>-1.2211302337875514</c:v>
                </c:pt>
                <c:pt idx="114">
                  <c:v>-1.2261006451416367</c:v>
                </c:pt>
                <c:pt idx="115">
                  <c:v>-1.241618730450915</c:v>
                </c:pt>
                <c:pt idx="116">
                  <c:v>-1.2408030707454605</c:v>
                </c:pt>
                <c:pt idx="117">
                  <c:v>-1.2392388170266198</c:v>
                </c:pt>
                <c:pt idx="118">
                  <c:v>-1.2373131467506555</c:v>
                </c:pt>
                <c:pt idx="119">
                  <c:v>-1.2527407201373957</c:v>
                </c:pt>
                <c:pt idx="120">
                  <c:v>-1.2592549858864732</c:v>
                </c:pt>
                <c:pt idx="121">
                  <c:v>-1.2564162354348603</c:v>
                </c:pt>
                <c:pt idx="122">
                  <c:v>-1.2451596320784244</c:v>
                </c:pt>
                <c:pt idx="123">
                  <c:v>-1.2313287934051573</c:v>
                </c:pt>
                <c:pt idx="124">
                  <c:v>-1.2320563949249077</c:v>
                </c:pt>
                <c:pt idx="125">
                  <c:v>-1.2455113048382025</c:v>
                </c:pt>
                <c:pt idx="126">
                  <c:v>-1.2448294896577641</c:v>
                </c:pt>
                <c:pt idx="127">
                  <c:v>-1.2511430589615615</c:v>
                </c:pt>
                <c:pt idx="128">
                  <c:v>-1.2584956874418618</c:v>
                </c:pt>
                <c:pt idx="129">
                  <c:v>-1.251687667805498</c:v>
                </c:pt>
                <c:pt idx="130">
                  <c:v>-1.2462342887642135</c:v>
                </c:pt>
                <c:pt idx="131">
                  <c:v>-1.2467924926597358</c:v>
                </c:pt>
                <c:pt idx="132">
                  <c:v>-1.2437036914097359</c:v>
                </c:pt>
                <c:pt idx="133">
                  <c:v>-1.236905829089451</c:v>
                </c:pt>
                <c:pt idx="134">
                  <c:v>-1.2297626575353615</c:v>
                </c:pt>
                <c:pt idx="135">
                  <c:v>-1.2305164460494857</c:v>
                </c:pt>
                <c:pt idx="136">
                  <c:v>-1.2395864054393164</c:v>
                </c:pt>
                <c:pt idx="137">
                  <c:v>-1.2374057386777506</c:v>
                </c:pt>
                <c:pt idx="138">
                  <c:v>-1.2419478763946548</c:v>
                </c:pt>
                <c:pt idx="139">
                  <c:v>-1.237443911285959</c:v>
                </c:pt>
                <c:pt idx="140">
                  <c:v>-1.2265729803226566</c:v>
                </c:pt>
                <c:pt idx="141">
                  <c:v>-1.2273257523523593</c:v>
                </c:pt>
                <c:pt idx="142">
                  <c:v>-1.2369395727418944</c:v>
                </c:pt>
                <c:pt idx="143">
                  <c:v>-1.2224295129089133</c:v>
                </c:pt>
                <c:pt idx="144">
                  <c:v>-1.2177407133385074</c:v>
                </c:pt>
                <c:pt idx="145">
                  <c:v>-1.2127085854722655</c:v>
                </c:pt>
                <c:pt idx="146">
                  <c:v>-1.190861599041757</c:v>
                </c:pt>
                <c:pt idx="147">
                  <c:v>-1.1892058327421313</c:v>
                </c:pt>
                <c:pt idx="148">
                  <c:v>-1.2084466379096905</c:v>
                </c:pt>
                <c:pt idx="149">
                  <c:v>-1.231810313308255</c:v>
                </c:pt>
                <c:pt idx="150">
                  <c:v>-1.2196022573438845</c:v>
                </c:pt>
                <c:pt idx="151">
                  <c:v>-1.2220426708573979</c:v>
                </c:pt>
                <c:pt idx="152">
                  <c:v>-1.2205621270886293</c:v>
                </c:pt>
                <c:pt idx="153">
                  <c:v>-1.2138658604675767</c:v>
                </c:pt>
                <c:pt idx="154">
                  <c:v>-1.227414537669701</c:v>
                </c:pt>
                <c:pt idx="155">
                  <c:v>-1.206365108918958</c:v>
                </c:pt>
                <c:pt idx="156">
                  <c:v>-1.2222999377129999</c:v>
                </c:pt>
                <c:pt idx="157">
                  <c:v>-1.1983271358298664</c:v>
                </c:pt>
                <c:pt idx="158">
                  <c:v>-1.2328422330115059</c:v>
                </c:pt>
                <c:pt idx="159">
                  <c:v>-1.2352546559459046</c:v>
                </c:pt>
                <c:pt idx="160">
                  <c:v>-1.2118736996092729</c:v>
                </c:pt>
                <c:pt idx="161">
                  <c:v>-1.2090044034473504</c:v>
                </c:pt>
                <c:pt idx="162">
                  <c:v>-1.2353637929546286</c:v>
                </c:pt>
                <c:pt idx="163">
                  <c:v>-1.2164700322012869</c:v>
                </c:pt>
                <c:pt idx="164">
                  <c:v>-1.1724861758571548</c:v>
                </c:pt>
                <c:pt idx="165">
                  <c:v>-1.1465602092801375</c:v>
                </c:pt>
                <c:pt idx="166">
                  <c:v>-1.1546548280889688</c:v>
                </c:pt>
                <c:pt idx="167">
                  <c:v>-1.1527579248059618</c:v>
                </c:pt>
                <c:pt idx="168">
                  <c:v>-1.1737812084956567</c:v>
                </c:pt>
                <c:pt idx="169">
                  <c:v>-1.1650583771694776</c:v>
                </c:pt>
                <c:pt idx="170">
                  <c:v>-1.1439491758660874</c:v>
                </c:pt>
                <c:pt idx="171">
                  <c:v>-1.1361044513147052</c:v>
                </c:pt>
                <c:pt idx="172">
                  <c:v>-1.1576594262501196</c:v>
                </c:pt>
                <c:pt idx="173">
                  <c:v>-1.1428425692149073</c:v>
                </c:pt>
                <c:pt idx="174">
                  <c:v>-1.1594126189775182</c:v>
                </c:pt>
                <c:pt idx="175">
                  <c:v>-1.1579699978708347</c:v>
                </c:pt>
                <c:pt idx="176">
                  <c:v>-1.1480100897090204</c:v>
                </c:pt>
                <c:pt idx="177">
                  <c:v>-1.1601107643103219</c:v>
                </c:pt>
                <c:pt idx="178">
                  <c:v>-1.1553467022734354</c:v>
                </c:pt>
                <c:pt idx="179">
                  <c:v>-1.1571470957737551</c:v>
                </c:pt>
                <c:pt idx="180">
                  <c:v>-1.1130786378731083</c:v>
                </c:pt>
                <c:pt idx="181">
                  <c:v>-1.0260567062644392</c:v>
                </c:pt>
                <c:pt idx="182">
                  <c:v>-1.0638581363548663</c:v>
                </c:pt>
                <c:pt idx="183">
                  <c:v>-1.077910632240348</c:v>
                </c:pt>
                <c:pt idx="184">
                  <c:v>-1.0912003764560685</c:v>
                </c:pt>
                <c:pt idx="185">
                  <c:v>-1.1053839337361344</c:v>
                </c:pt>
                <c:pt idx="186">
                  <c:v>-1.0747851419722509</c:v>
                </c:pt>
                <c:pt idx="187">
                  <c:v>-1.0803652291461558</c:v>
                </c:pt>
                <c:pt idx="188">
                  <c:v>-1.0712956766344364</c:v>
                </c:pt>
                <c:pt idx="189">
                  <c:v>-1.0833769543022826</c:v>
                </c:pt>
                <c:pt idx="190">
                  <c:v>-1.0848996353420617</c:v>
                </c:pt>
                <c:pt idx="191">
                  <c:v>-1.0949057505905737</c:v>
                </c:pt>
                <c:pt idx="192">
                  <c:v>-1.086565710841163</c:v>
                </c:pt>
                <c:pt idx="193">
                  <c:v>-1.0810289342081472</c:v>
                </c:pt>
                <c:pt idx="194">
                  <c:v>-1.0756706118746318</c:v>
                </c:pt>
                <c:pt idx="195">
                  <c:v>-1.0742512501326251</c:v>
                </c:pt>
                <c:pt idx="196">
                  <c:v>-1.0613251730342201</c:v>
                </c:pt>
                <c:pt idx="197">
                  <c:v>-1.0506366923993153</c:v>
                </c:pt>
                <c:pt idx="198">
                  <c:v>-1.063132376548229</c:v>
                </c:pt>
                <c:pt idx="199">
                  <c:v>-1.0535605419543859</c:v>
                </c:pt>
                <c:pt idx="200">
                  <c:v>-1.0461206717659699</c:v>
                </c:pt>
                <c:pt idx="201">
                  <c:v>-1.0474575240656727</c:v>
                </c:pt>
                <c:pt idx="202">
                  <c:v>-1.0439792599882414</c:v>
                </c:pt>
                <c:pt idx="203">
                  <c:v>-1.0502860139301164</c:v>
                </c:pt>
                <c:pt idx="204">
                  <c:v>-0.98860299175829369</c:v>
                </c:pt>
                <c:pt idx="205">
                  <c:v>-1.0667890766998842</c:v>
                </c:pt>
                <c:pt idx="206">
                  <c:v>-1.0642056549855983</c:v>
                </c:pt>
                <c:pt idx="207">
                  <c:v>-1.0536209494642785</c:v>
                </c:pt>
                <c:pt idx="208">
                  <c:v>-1.0675654930798386</c:v>
                </c:pt>
                <c:pt idx="209">
                  <c:v>-1.0789247766813761</c:v>
                </c:pt>
                <c:pt idx="210">
                  <c:v>-1.0897208557116715</c:v>
                </c:pt>
                <c:pt idx="211">
                  <c:v>-1.0723789519962788</c:v>
                </c:pt>
                <c:pt idx="212">
                  <c:v>-1.0727714604609877</c:v>
                </c:pt>
                <c:pt idx="213">
                  <c:v>-1.0764948617474357</c:v>
                </c:pt>
                <c:pt idx="214">
                  <c:v>-1.0862613262263638</c:v>
                </c:pt>
                <c:pt idx="215">
                  <c:v>-1.1120207180377779</c:v>
                </c:pt>
                <c:pt idx="216">
                  <c:v>-1.1365943113300407</c:v>
                </c:pt>
                <c:pt idx="217">
                  <c:v>-1.1196705550873578</c:v>
                </c:pt>
                <c:pt idx="218">
                  <c:v>-1.1201131325357114</c:v>
                </c:pt>
                <c:pt idx="219">
                  <c:v>-1.12362961913993</c:v>
                </c:pt>
                <c:pt idx="220">
                  <c:v>-1.1336427123528507</c:v>
                </c:pt>
                <c:pt idx="221">
                  <c:v>-1.0867296606677996</c:v>
                </c:pt>
                <c:pt idx="222">
                  <c:v>-1.0989555346740709</c:v>
                </c:pt>
                <c:pt idx="223">
                  <c:v>-1.0583056770300476</c:v>
                </c:pt>
                <c:pt idx="224">
                  <c:v>-1.0556687008516068</c:v>
                </c:pt>
                <c:pt idx="225">
                  <c:v>-1.0336409415895749</c:v>
                </c:pt>
                <c:pt idx="226">
                  <c:v>-0.99244637272223413</c:v>
                </c:pt>
                <c:pt idx="227">
                  <c:v>-0.97609569882239611</c:v>
                </c:pt>
                <c:pt idx="228">
                  <c:v>-0.99481549503541111</c:v>
                </c:pt>
                <c:pt idx="229">
                  <c:v>-1.0049808267972073</c:v>
                </c:pt>
                <c:pt idx="230">
                  <c:v>-1.003429113046115</c:v>
                </c:pt>
                <c:pt idx="231">
                  <c:v>-0.98084487788001873</c:v>
                </c:pt>
                <c:pt idx="232">
                  <c:v>-0.9586462255504099</c:v>
                </c:pt>
                <c:pt idx="233">
                  <c:v>-0.97290605396679708</c:v>
                </c:pt>
                <c:pt idx="234">
                  <c:v>-0.9840052538551497</c:v>
                </c:pt>
                <c:pt idx="235">
                  <c:v>-0.96901881539591894</c:v>
                </c:pt>
                <c:pt idx="236">
                  <c:v>-0.97684936618065576</c:v>
                </c:pt>
                <c:pt idx="237">
                  <c:v>-0.96649488198015798</c:v>
                </c:pt>
                <c:pt idx="238">
                  <c:v>-0.94137694600289967</c:v>
                </c:pt>
                <c:pt idx="239">
                  <c:v>-0.93576777324765048</c:v>
                </c:pt>
                <c:pt idx="240">
                  <c:v>-0.91524826026236117</c:v>
                </c:pt>
                <c:pt idx="241">
                  <c:v>-0.91544136913417073</c:v>
                </c:pt>
                <c:pt idx="242">
                  <c:v>-0.92675645268122553</c:v>
                </c:pt>
                <c:pt idx="243">
                  <c:v>-0.93487948212562744</c:v>
                </c:pt>
                <c:pt idx="244">
                  <c:v>-0.92096158212372747</c:v>
                </c:pt>
                <c:pt idx="245">
                  <c:v>-0.89187281156536791</c:v>
                </c:pt>
                <c:pt idx="246">
                  <c:v>-0.88485280497035845</c:v>
                </c:pt>
                <c:pt idx="247">
                  <c:v>-0.88715761985918529</c:v>
                </c:pt>
                <c:pt idx="248">
                  <c:v>-0.84929496997353704</c:v>
                </c:pt>
                <c:pt idx="249">
                  <c:v>-0.91215576453502178</c:v>
                </c:pt>
                <c:pt idx="250">
                  <c:v>-0.93822318169044017</c:v>
                </c:pt>
                <c:pt idx="251">
                  <c:v>-0.85908199820691433</c:v>
                </c:pt>
                <c:pt idx="252">
                  <c:v>-0.63685871523066861</c:v>
                </c:pt>
                <c:pt idx="253">
                  <c:v>-0.73212965801541263</c:v>
                </c:pt>
                <c:pt idx="254">
                  <c:v>-0.67999242896857315</c:v>
                </c:pt>
                <c:pt idx="255">
                  <c:v>-0.62461564890383003</c:v>
                </c:pt>
                <c:pt idx="256">
                  <c:v>-0.56791469369691971</c:v>
                </c:pt>
                <c:pt idx="257">
                  <c:v>-0.53341444654025383</c:v>
                </c:pt>
                <c:pt idx="258">
                  <c:v>-0.40396990577209707</c:v>
                </c:pt>
                <c:pt idx="259">
                  <c:v>-0.43813152897465479</c:v>
                </c:pt>
                <c:pt idx="260">
                  <c:v>-0.41582244569106441</c:v>
                </c:pt>
                <c:pt idx="261">
                  <c:v>-0.21521476128161743</c:v>
                </c:pt>
                <c:pt idx="262">
                  <c:v>6.2030179172786144E-2</c:v>
                </c:pt>
                <c:pt idx="263">
                  <c:v>0.35915387169896162</c:v>
                </c:pt>
                <c:pt idx="264">
                  <c:v>-5.9468503755256981E-2</c:v>
                </c:pt>
                <c:pt idx="265">
                  <c:v>-0.13699304106645344</c:v>
                </c:pt>
                <c:pt idx="266">
                  <c:v>-4.6883248257285313E-2</c:v>
                </c:pt>
                <c:pt idx="267">
                  <c:v>0.15835872145400404</c:v>
                </c:pt>
                <c:pt idx="268">
                  <c:v>0.23445083753701254</c:v>
                </c:pt>
                <c:pt idx="269">
                  <c:v>0.16512916029457461</c:v>
                </c:pt>
                <c:pt idx="270">
                  <c:v>0.18868696302362442</c:v>
                </c:pt>
                <c:pt idx="271">
                  <c:v>0.15362477378092537</c:v>
                </c:pt>
                <c:pt idx="272">
                  <c:v>0.139903654776529</c:v>
                </c:pt>
                <c:pt idx="273">
                  <c:v>0.10960492548717993</c:v>
                </c:pt>
                <c:pt idx="274">
                  <c:v>9.1576971460125833E-2</c:v>
                </c:pt>
                <c:pt idx="275">
                  <c:v>0.15456237073106563</c:v>
                </c:pt>
                <c:pt idx="276">
                  <c:v>0.19222628803758338</c:v>
                </c:pt>
                <c:pt idx="277">
                  <c:v>0.11588610682002738</c:v>
                </c:pt>
                <c:pt idx="278">
                  <c:v>8.6261252778513112E-2</c:v>
                </c:pt>
                <c:pt idx="279">
                  <c:v>0.11869590398227296</c:v>
                </c:pt>
                <c:pt idx="280">
                  <c:v>0.11391636708479805</c:v>
                </c:pt>
                <c:pt idx="281">
                  <c:v>0.14901155347249034</c:v>
                </c:pt>
                <c:pt idx="282">
                  <c:v>0.22817502296137923</c:v>
                </c:pt>
                <c:pt idx="283">
                  <c:v>0.18908654489688598</c:v>
                </c:pt>
                <c:pt idx="284">
                  <c:v>0.16642091564658512</c:v>
                </c:pt>
                <c:pt idx="285">
                  <c:v>0.16056987570503223</c:v>
                </c:pt>
                <c:pt idx="286">
                  <c:v>0.18082478230903221</c:v>
                </c:pt>
                <c:pt idx="287">
                  <c:v>0.14880561425423097</c:v>
                </c:pt>
                <c:pt idx="288">
                  <c:v>0.13435682056753326</c:v>
                </c:pt>
                <c:pt idx="289">
                  <c:v>0.13666391401165304</c:v>
                </c:pt>
                <c:pt idx="290">
                  <c:v>0.13191310833051015</c:v>
                </c:pt>
                <c:pt idx="291">
                  <c:v>0.14258783542928447</c:v>
                </c:pt>
                <c:pt idx="292">
                  <c:v>0.14570690566975808</c:v>
                </c:pt>
                <c:pt idx="293">
                  <c:v>0.15670105069162399</c:v>
                </c:pt>
                <c:pt idx="294">
                  <c:v>0.16469342316457578</c:v>
                </c:pt>
                <c:pt idx="295">
                  <c:v>0.15898014403473471</c:v>
                </c:pt>
                <c:pt idx="296">
                  <c:v>0.17887045144019736</c:v>
                </c:pt>
                <c:pt idx="297">
                  <c:v>0.18817773494768342</c:v>
                </c:pt>
                <c:pt idx="298">
                  <c:v>0.19174737871706396</c:v>
                </c:pt>
                <c:pt idx="299">
                  <c:v>0.14655414324126029</c:v>
                </c:pt>
                <c:pt idx="300">
                  <c:v>0.16919918623119551</c:v>
                </c:pt>
                <c:pt idx="301">
                  <c:v>0.15683902326166591</c:v>
                </c:pt>
                <c:pt idx="302">
                  <c:v>0.1745222787750364</c:v>
                </c:pt>
                <c:pt idx="303">
                  <c:v>0.14169783059114088</c:v>
                </c:pt>
                <c:pt idx="304">
                  <c:v>0.14675297763382628</c:v>
                </c:pt>
                <c:pt idx="305">
                  <c:v>0.11781597736228774</c:v>
                </c:pt>
                <c:pt idx="306">
                  <c:v>0.10143550338145262</c:v>
                </c:pt>
                <c:pt idx="307">
                  <c:v>8.2730585233659948E-2</c:v>
                </c:pt>
                <c:pt idx="308">
                  <c:v>6.3414541934295632E-2</c:v>
                </c:pt>
                <c:pt idx="309">
                  <c:v>7.0237782622943307E-2</c:v>
                </c:pt>
                <c:pt idx="310">
                  <c:v>8.9777259763956702E-2</c:v>
                </c:pt>
                <c:pt idx="311">
                  <c:v>0.10697109046968585</c:v>
                </c:pt>
                <c:pt idx="312">
                  <c:v>0.14261921250781226</c:v>
                </c:pt>
                <c:pt idx="313">
                  <c:v>0.14088477261044099</c:v>
                </c:pt>
                <c:pt idx="314">
                  <c:v>0.15527209324176172</c:v>
                </c:pt>
                <c:pt idx="315">
                  <c:v>0.15644932996778185</c:v>
                </c:pt>
                <c:pt idx="316">
                  <c:v>0.187847659319579</c:v>
                </c:pt>
                <c:pt idx="317">
                  <c:v>0.21075187090224246</c:v>
                </c:pt>
                <c:pt idx="318">
                  <c:v>0.17158254583905116</c:v>
                </c:pt>
                <c:pt idx="319">
                  <c:v>0.15578470975011763</c:v>
                </c:pt>
                <c:pt idx="320">
                  <c:v>0.1834124291458622</c:v>
                </c:pt>
                <c:pt idx="321">
                  <c:v>0.17750528748577252</c:v>
                </c:pt>
                <c:pt idx="322">
                  <c:v>0.20262515073657722</c:v>
                </c:pt>
                <c:pt idx="323">
                  <c:v>0.15052698756891469</c:v>
                </c:pt>
                <c:pt idx="324">
                  <c:v>0.1542821602192897</c:v>
                </c:pt>
                <c:pt idx="325">
                  <c:v>0.16913362733674386</c:v>
                </c:pt>
                <c:pt idx="326">
                  <c:v>0.12397250701383787</c:v>
                </c:pt>
                <c:pt idx="327">
                  <c:v>8.3305678419698687E-2</c:v>
                </c:pt>
                <c:pt idx="328">
                  <c:v>5.837518552961303E-2</c:v>
                </c:pt>
                <c:pt idx="329">
                  <c:v>4.4838935165315792E-2</c:v>
                </c:pt>
                <c:pt idx="330">
                  <c:v>3.753587790027018E-2</c:v>
                </c:pt>
                <c:pt idx="331">
                  <c:v>1.6645356949289758E-2</c:v>
                </c:pt>
                <c:pt idx="332">
                  <c:v>2.4435754184999783E-2</c:v>
                </c:pt>
                <c:pt idx="333">
                  <c:v>1.5168853746959438E-2</c:v>
                </c:pt>
                <c:pt idx="334">
                  <c:v>2.6250198098787116E-2</c:v>
                </c:pt>
                <c:pt idx="335">
                  <c:v>2.4952958941603164E-2</c:v>
                </c:pt>
                <c:pt idx="336">
                  <c:v>2.2747954972853191E-2</c:v>
                </c:pt>
                <c:pt idx="337">
                  <c:v>5.3277750918186033E-2</c:v>
                </c:pt>
                <c:pt idx="338">
                  <c:v>5.8907290743639769E-2</c:v>
                </c:pt>
                <c:pt idx="339">
                  <c:v>7.8275933317306867E-2</c:v>
                </c:pt>
                <c:pt idx="340">
                  <c:v>8.4716977553074238E-2</c:v>
                </c:pt>
                <c:pt idx="341">
                  <c:v>6.4239051056491095E-2</c:v>
                </c:pt>
                <c:pt idx="342">
                  <c:v>7.9682036395532188E-2</c:v>
                </c:pt>
                <c:pt idx="343">
                  <c:v>7.9736083390887072E-2</c:v>
                </c:pt>
                <c:pt idx="344">
                  <c:v>0.10316927504183464</c:v>
                </c:pt>
                <c:pt idx="345">
                  <c:v>7.2163557608042023E-2</c:v>
                </c:pt>
                <c:pt idx="346">
                  <c:v>9.0748314544492573E-2</c:v>
                </c:pt>
                <c:pt idx="347">
                  <c:v>0.12672977948361358</c:v>
                </c:pt>
                <c:pt idx="348">
                  <c:v>0.1358732239857601</c:v>
                </c:pt>
                <c:pt idx="349">
                  <c:v>9.33585682156267E-2</c:v>
                </c:pt>
                <c:pt idx="350">
                  <c:v>7.1339775307160777E-2</c:v>
                </c:pt>
                <c:pt idx="351">
                  <c:v>7.0101410921231566E-2</c:v>
                </c:pt>
                <c:pt idx="352">
                  <c:v>3.4120938346155587E-2</c:v>
                </c:pt>
                <c:pt idx="353">
                  <c:v>1.0317067503685481E-2</c:v>
                </c:pt>
                <c:pt idx="354">
                  <c:v>7.5226044986777549E-3</c:v>
                </c:pt>
                <c:pt idx="355">
                  <c:v>5.5212543419686424E-3</c:v>
                </c:pt>
                <c:pt idx="356">
                  <c:v>5.3583515050716846E-2</c:v>
                </c:pt>
                <c:pt idx="357">
                  <c:v>1.5781179602135667E-2</c:v>
                </c:pt>
                <c:pt idx="358">
                  <c:v>-1.3024081606765311E-2</c:v>
                </c:pt>
                <c:pt idx="359">
                  <c:v>-2.1580538015105007E-2</c:v>
                </c:pt>
                <c:pt idx="360">
                  <c:v>-2.361666396504131E-2</c:v>
                </c:pt>
                <c:pt idx="361">
                  <c:v>-3.1553078538456424E-2</c:v>
                </c:pt>
                <c:pt idx="362">
                  <c:v>-1.2057372954439167E-2</c:v>
                </c:pt>
                <c:pt idx="363">
                  <c:v>-3.4363682526044111E-2</c:v>
                </c:pt>
                <c:pt idx="364">
                  <c:v>-2.6232172163582607E-2</c:v>
                </c:pt>
                <c:pt idx="365">
                  <c:v>-1.473530206458799E-2</c:v>
                </c:pt>
                <c:pt idx="366">
                  <c:v>9.8140692475034274E-3</c:v>
                </c:pt>
                <c:pt idx="367">
                  <c:v>1.9557438447613509E-2</c:v>
                </c:pt>
                <c:pt idx="368">
                  <c:v>3.5764737982585976E-2</c:v>
                </c:pt>
                <c:pt idx="369">
                  <c:v>4.0389397651314503E-2</c:v>
                </c:pt>
                <c:pt idx="370">
                  <c:v>2.4485873399978642E-2</c:v>
                </c:pt>
                <c:pt idx="371">
                  <c:v>1.2448874166611638E-2</c:v>
                </c:pt>
                <c:pt idx="372">
                  <c:v>6.2614693897106943E-2</c:v>
                </c:pt>
                <c:pt idx="373">
                  <c:v>3.9057964201195585E-3</c:v>
                </c:pt>
                <c:pt idx="374">
                  <c:v>2.5102799135805872E-2</c:v>
                </c:pt>
                <c:pt idx="375">
                  <c:v>5.47726610204543E-3</c:v>
                </c:pt>
                <c:pt idx="376">
                  <c:v>-1.0535581474962606E-2</c:v>
                </c:pt>
                <c:pt idx="377">
                  <c:v>-6.8459615108881237E-3</c:v>
                </c:pt>
                <c:pt idx="378">
                  <c:v>-1.4197477630888154E-2</c:v>
                </c:pt>
                <c:pt idx="379">
                  <c:v>-1.9877280518228818E-2</c:v>
                </c:pt>
                <c:pt idx="380">
                  <c:v>-3.6975314039681691E-2</c:v>
                </c:pt>
                <c:pt idx="381">
                  <c:v>-2.4054175905903322E-2</c:v>
                </c:pt>
                <c:pt idx="382">
                  <c:v>-6.11169851086128E-3</c:v>
                </c:pt>
                <c:pt idx="383">
                  <c:v>1.2044708982080205E-2</c:v>
                </c:pt>
                <c:pt idx="384">
                  <c:v>-1.007690337778423E-3</c:v>
                </c:pt>
                <c:pt idx="385">
                  <c:v>-7.0966726558480044E-3</c:v>
                </c:pt>
                <c:pt idx="386">
                  <c:v>2.9820339732643704E-2</c:v>
                </c:pt>
                <c:pt idx="387">
                  <c:v>-6.2407505482993679E-4</c:v>
                </c:pt>
                <c:pt idx="388">
                  <c:v>-1.0548639046541367E-2</c:v>
                </c:pt>
                <c:pt idx="389">
                  <c:v>-1.8879519147389869E-2</c:v>
                </c:pt>
                <c:pt idx="390">
                  <c:v>-3.4989902905544393E-2</c:v>
                </c:pt>
                <c:pt idx="391">
                  <c:v>-2.5408485228344393E-2</c:v>
                </c:pt>
                <c:pt idx="392">
                  <c:v>-2.1861953705298032E-2</c:v>
                </c:pt>
                <c:pt idx="393">
                  <c:v>-2.0689626690461788E-2</c:v>
                </c:pt>
                <c:pt idx="394">
                  <c:v>-2.3499542609625543E-2</c:v>
                </c:pt>
                <c:pt idx="395">
                  <c:v>-2.0597555296421828E-2</c:v>
                </c:pt>
                <c:pt idx="396">
                  <c:v>-1.3254801850638695E-2</c:v>
                </c:pt>
                <c:pt idx="397">
                  <c:v>-1.6523332222167071E-2</c:v>
                </c:pt>
                <c:pt idx="398">
                  <c:v>-1.5015442019113633E-2</c:v>
                </c:pt>
                <c:pt idx="399">
                  <c:v>-7.7129000605828269E-3</c:v>
                </c:pt>
                <c:pt idx="400">
                  <c:v>-1.847115020814458E-2</c:v>
                </c:pt>
                <c:pt idx="401">
                  <c:v>-1.0733276345368017E-2</c:v>
                </c:pt>
                <c:pt idx="402">
                  <c:v>-1.3256226600154641E-2</c:v>
                </c:pt>
                <c:pt idx="403">
                  <c:v>-1.1313625774794426E-2</c:v>
                </c:pt>
                <c:pt idx="404">
                  <c:v>-1.8447678867944258E-3</c:v>
                </c:pt>
                <c:pt idx="405">
                  <c:v>8.7345454119445581E-3</c:v>
                </c:pt>
                <c:pt idx="406">
                  <c:v>1.5528792381675198E-2</c:v>
                </c:pt>
                <c:pt idx="407">
                  <c:v>1.349408563688224E-3</c:v>
                </c:pt>
                <c:pt idx="408">
                  <c:v>9.7686393749757076E-3</c:v>
                </c:pt>
                <c:pt idx="409">
                  <c:v>3.0320178602177335E-3</c:v>
                </c:pt>
                <c:pt idx="410">
                  <c:v>-1.0063957079832398E-4</c:v>
                </c:pt>
                <c:pt idx="411">
                  <c:v>-9.0105337708104691E-4</c:v>
                </c:pt>
                <c:pt idx="412">
                  <c:v>-5.7008621788869184E-3</c:v>
                </c:pt>
                <c:pt idx="413">
                  <c:v>-5.3519407213296613E-3</c:v>
                </c:pt>
                <c:pt idx="414">
                  <c:v>2.3644195786703395E-3</c:v>
                </c:pt>
                <c:pt idx="415">
                  <c:v>8.2465381845413352E-4</c:v>
                </c:pt>
                <c:pt idx="416">
                  <c:v>2.2612860670801682E-3</c:v>
                </c:pt>
                <c:pt idx="417">
                  <c:v>5.659246363620537E-3</c:v>
                </c:pt>
                <c:pt idx="418">
                  <c:v>1.0015362137782626E-3</c:v>
                </c:pt>
                <c:pt idx="419">
                  <c:v>-2.510135724864034E-3</c:v>
                </c:pt>
                <c:pt idx="420">
                  <c:v>7.436456410479594E-3</c:v>
                </c:pt>
                <c:pt idx="421">
                  <c:v>-3.4357267701699522E-3</c:v>
                </c:pt>
                <c:pt idx="422">
                  <c:v>-6.4231442928465443E-3</c:v>
                </c:pt>
                <c:pt idx="423">
                  <c:v>4.0843211659188786E-3</c:v>
                </c:pt>
                <c:pt idx="424">
                  <c:v>-6.5503185994289529E-3</c:v>
                </c:pt>
                <c:pt idx="425">
                  <c:v>-3.4385980861985068E-3</c:v>
                </c:pt>
                <c:pt idx="426">
                  <c:v>-9.0840979664380192E-3</c:v>
                </c:pt>
                <c:pt idx="427">
                  <c:v>-1.3292053642463246E-2</c:v>
                </c:pt>
                <c:pt idx="428">
                  <c:v>-3.9841228160511759E-3</c:v>
                </c:pt>
                <c:pt idx="429">
                  <c:v>5.800681701805992E-3</c:v>
                </c:pt>
                <c:pt idx="430">
                  <c:v>-1.3627778702688394E-2</c:v>
                </c:pt>
                <c:pt idx="431">
                  <c:v>-3.6467614222197596E-2</c:v>
                </c:pt>
                <c:pt idx="432">
                  <c:v>-4.3354662471000963E-2</c:v>
                </c:pt>
                <c:pt idx="433">
                  <c:v>-4.7488596882506215E-2</c:v>
                </c:pt>
                <c:pt idx="434">
                  <c:v>-4.2691455986122048E-2</c:v>
                </c:pt>
                <c:pt idx="435">
                  <c:v>-4.0218950328912761E-2</c:v>
                </c:pt>
                <c:pt idx="436">
                  <c:v>-3.8616595153273647E-2</c:v>
                </c:pt>
                <c:pt idx="437">
                  <c:v>-3.4838238362193782E-2</c:v>
                </c:pt>
                <c:pt idx="438">
                  <c:v>-3.2003423707101165E-2</c:v>
                </c:pt>
                <c:pt idx="439">
                  <c:v>-2.5360669795807027E-2</c:v>
                </c:pt>
                <c:pt idx="440">
                  <c:v>-3.6803363965998113E-2</c:v>
                </c:pt>
                <c:pt idx="441">
                  <c:v>-4.0639987655550366E-2</c:v>
                </c:pt>
                <c:pt idx="442">
                  <c:v>-2.9860790166441456E-2</c:v>
                </c:pt>
                <c:pt idx="443">
                  <c:v>-1.2781893114441438E-2</c:v>
                </c:pt>
                <c:pt idx="444">
                  <c:v>-3.2149353639047092E-2</c:v>
                </c:pt>
                <c:pt idx="445">
                  <c:v>-3.1311051957505887E-2</c:v>
                </c:pt>
                <c:pt idx="446">
                  <c:v>-4.7156631414469893E-2</c:v>
                </c:pt>
                <c:pt idx="447">
                  <c:v>-3.7447275624594233E-2</c:v>
                </c:pt>
                <c:pt idx="448">
                  <c:v>-4.7557130472922503E-2</c:v>
                </c:pt>
                <c:pt idx="449">
                  <c:v>-5.1985845867815447E-2</c:v>
                </c:pt>
                <c:pt idx="450">
                  <c:v>-5.0683389094059776E-2</c:v>
                </c:pt>
                <c:pt idx="451">
                  <c:v>-4.8638255944437624E-2</c:v>
                </c:pt>
                <c:pt idx="452">
                  <c:v>-4.4351469758110544E-2</c:v>
                </c:pt>
                <c:pt idx="453">
                  <c:v>-4.9249147325967697E-2</c:v>
                </c:pt>
                <c:pt idx="454">
                  <c:v>-4.3330422303786559E-2</c:v>
                </c:pt>
                <c:pt idx="455">
                  <c:v>-4.976349329738658E-2</c:v>
                </c:pt>
                <c:pt idx="456">
                  <c:v>-4.2689193760621878E-2</c:v>
                </c:pt>
                <c:pt idx="457">
                  <c:v>-3.5237169179401215E-2</c:v>
                </c:pt>
                <c:pt idx="458">
                  <c:v>-3.3117568112152315E-2</c:v>
                </c:pt>
                <c:pt idx="459">
                  <c:v>-2.8696578213684865E-2</c:v>
                </c:pt>
                <c:pt idx="460">
                  <c:v>-1.573634355771894E-2</c:v>
                </c:pt>
                <c:pt idx="461">
                  <c:v>-2.2195093738927005E-2</c:v>
                </c:pt>
                <c:pt idx="462">
                  <c:v>-2.0207799628400698E-2</c:v>
                </c:pt>
                <c:pt idx="463">
                  <c:v>-1.868506763591176E-2</c:v>
                </c:pt>
                <c:pt idx="464">
                  <c:v>-2.4470850010347846E-2</c:v>
                </c:pt>
                <c:pt idx="465">
                  <c:v>-1.5540617978591938E-2</c:v>
                </c:pt>
                <c:pt idx="466">
                  <c:v>-9.4731959481571624E-3</c:v>
                </c:pt>
                <c:pt idx="467">
                  <c:v>-1.5418785852957168E-2</c:v>
                </c:pt>
                <c:pt idx="468">
                  <c:v>-1.9551451511219509E-2</c:v>
                </c:pt>
                <c:pt idx="469">
                  <c:v>-1.2396509469608767E-2</c:v>
                </c:pt>
                <c:pt idx="470">
                  <c:v>-3.5715909322437643E-3</c:v>
                </c:pt>
                <c:pt idx="471">
                  <c:v>1.3694773378419262E-2</c:v>
                </c:pt>
                <c:pt idx="472">
                  <c:v>2.1264388029353948E-3</c:v>
                </c:pt>
                <c:pt idx="473">
                  <c:v>1.7545620317025272E-3</c:v>
                </c:pt>
                <c:pt idx="474">
                  <c:v>5.3400145960436187E-3</c:v>
                </c:pt>
                <c:pt idx="475">
                  <c:v>3.8683689231947183E-4</c:v>
                </c:pt>
                <c:pt idx="476">
                  <c:v>-8.6005179837897478E-3</c:v>
                </c:pt>
                <c:pt idx="477">
                  <c:v>-1.6621740659399486E-2</c:v>
                </c:pt>
                <c:pt idx="478">
                  <c:v>-2.8288580268898196E-2</c:v>
                </c:pt>
                <c:pt idx="479">
                  <c:v>-1.7288155877219574E-2</c:v>
                </c:pt>
                <c:pt idx="480">
                  <c:v>-2.6305095599244908E-2</c:v>
                </c:pt>
                <c:pt idx="481">
                  <c:v>-2.7743509146414706E-2</c:v>
                </c:pt>
                <c:pt idx="482">
                  <c:v>-2.0013857737227428E-2</c:v>
                </c:pt>
                <c:pt idx="483">
                  <c:v>-2.531310826234371E-2</c:v>
                </c:pt>
                <c:pt idx="484">
                  <c:v>-2.6702048415182155E-2</c:v>
                </c:pt>
                <c:pt idx="485">
                  <c:v>-2.0982242366461578E-2</c:v>
                </c:pt>
                <c:pt idx="486">
                  <c:v>-2.8097933778146685E-2</c:v>
                </c:pt>
                <c:pt idx="487">
                  <c:v>-1.9537560928971121E-2</c:v>
                </c:pt>
                <c:pt idx="488">
                  <c:v>-2.1096537851685263E-2</c:v>
                </c:pt>
                <c:pt idx="489">
                  <c:v>-3.8794435951685267E-2</c:v>
                </c:pt>
                <c:pt idx="490">
                  <c:v>-4.729715138364015E-2</c:v>
                </c:pt>
                <c:pt idx="491">
                  <c:v>-5.1938176412910521E-2</c:v>
                </c:pt>
                <c:pt idx="492">
                  <c:v>-3.7444978376120076E-2</c:v>
                </c:pt>
                <c:pt idx="493">
                  <c:v>-4.3726358462196038E-2</c:v>
                </c:pt>
                <c:pt idx="494">
                  <c:v>-3.1657198134860884E-2</c:v>
                </c:pt>
                <c:pt idx="495">
                  <c:v>-2.4347689339381414E-2</c:v>
                </c:pt>
                <c:pt idx="496">
                  <c:v>-2.0206078484304515E-2</c:v>
                </c:pt>
                <c:pt idx="497">
                  <c:v>-2.8355075867623606E-3</c:v>
                </c:pt>
                <c:pt idx="498">
                  <c:v>9.6550718861228789E-4</c:v>
                </c:pt>
                <c:pt idx="499">
                  <c:v>-1.6065255867650775E-2</c:v>
                </c:pt>
                <c:pt idx="500">
                  <c:v>-5.2829851450701326E-3</c:v>
                </c:pt>
                <c:pt idx="501">
                  <c:v>-1.3628051688869885E-2</c:v>
                </c:pt>
                <c:pt idx="502">
                  <c:v>-1.1325903234135039E-2</c:v>
                </c:pt>
                <c:pt idx="503">
                  <c:v>-1.8529039870786204E-2</c:v>
                </c:pt>
                <c:pt idx="504">
                  <c:v>-2.8483579470118432E-2</c:v>
                </c:pt>
                <c:pt idx="505">
                  <c:v>-1.6970671240331168E-2</c:v>
                </c:pt>
                <c:pt idx="506">
                  <c:v>-2.7110487238339125E-2</c:v>
                </c:pt>
                <c:pt idx="507">
                  <c:v>-2.0273019171753188E-2</c:v>
                </c:pt>
                <c:pt idx="508">
                  <c:v>-3.2060734469465162E-2</c:v>
                </c:pt>
                <c:pt idx="509">
                  <c:v>-3.9558898493334251E-2</c:v>
                </c:pt>
                <c:pt idx="510">
                  <c:v>-2.3849898485533576E-2</c:v>
                </c:pt>
                <c:pt idx="511">
                  <c:v>-3.6698574425502034E-2</c:v>
                </c:pt>
                <c:pt idx="512">
                  <c:v>-1.3111213110790339E-2</c:v>
                </c:pt>
                <c:pt idx="513">
                  <c:v>-1.5032855582938889E-2</c:v>
                </c:pt>
                <c:pt idx="514">
                  <c:v>7.2718089689359998E-4</c:v>
                </c:pt>
                <c:pt idx="515">
                  <c:v>7.4492091529553212E-3</c:v>
                </c:pt>
                <c:pt idx="516">
                  <c:v>3.702178256526756E-3</c:v>
                </c:pt>
                <c:pt idx="517">
                  <c:v>-3.4745968500683412E-3</c:v>
                </c:pt>
                <c:pt idx="518">
                  <c:v>-3.5757616995860148E-3</c:v>
                </c:pt>
                <c:pt idx="519">
                  <c:v>3.1325480929174205E-3</c:v>
                </c:pt>
                <c:pt idx="520">
                  <c:v>-7.1588303929864053E-3</c:v>
                </c:pt>
                <c:pt idx="521">
                  <c:v>1.8053382489156451E-2</c:v>
                </c:pt>
                <c:pt idx="522">
                  <c:v>1.4667493955382045E-2</c:v>
                </c:pt>
                <c:pt idx="523">
                  <c:v>3.8703235810014329E-3</c:v>
                </c:pt>
                <c:pt idx="524">
                  <c:v>-1.1553524891142241E-2</c:v>
                </c:pt>
                <c:pt idx="525">
                  <c:v>1.5077816726084286E-2</c:v>
                </c:pt>
                <c:pt idx="526">
                  <c:v>-2.6918106663415121E-3</c:v>
                </c:pt>
                <c:pt idx="527">
                  <c:v>6.4088754385011504E-4</c:v>
                </c:pt>
                <c:pt idx="528">
                  <c:v>1.7570859864563318E-2</c:v>
                </c:pt>
                <c:pt idx="529">
                  <c:v>3.5554144079397096E-2</c:v>
                </c:pt>
                <c:pt idx="530">
                  <c:v>1.8265591910722394E-2</c:v>
                </c:pt>
                <c:pt idx="531">
                  <c:v>3.2237441067831107E-2</c:v>
                </c:pt>
                <c:pt idx="532">
                  <c:v>4.0715861554497787E-2</c:v>
                </c:pt>
                <c:pt idx="533">
                  <c:v>6.862487230904539E-2</c:v>
                </c:pt>
                <c:pt idx="534">
                  <c:v>4.1318797948238721E-2</c:v>
                </c:pt>
                <c:pt idx="535">
                  <c:v>4.8455869267650088E-2</c:v>
                </c:pt>
                <c:pt idx="536">
                  <c:v>5.8076145235437242E-2</c:v>
                </c:pt>
                <c:pt idx="537">
                  <c:v>3.2780896306865835E-2</c:v>
                </c:pt>
                <c:pt idx="538">
                  <c:v>6.365539136964837E-3</c:v>
                </c:pt>
                <c:pt idx="539">
                  <c:v>4.7532973958898175E-3</c:v>
                </c:pt>
                <c:pt idx="540">
                  <c:v>-2.0891366006542952E-2</c:v>
                </c:pt>
                <c:pt idx="541">
                  <c:v>-1.1048418734271559E-2</c:v>
                </c:pt>
                <c:pt idx="542">
                  <c:v>-3.5109505154134205E-2</c:v>
                </c:pt>
                <c:pt idx="543">
                  <c:v>-2.6384593900227918E-2</c:v>
                </c:pt>
                <c:pt idx="544">
                  <c:v>-4.4996907464227902E-2</c:v>
                </c:pt>
                <c:pt idx="545">
                  <c:v>-3.4502493686627903E-2</c:v>
                </c:pt>
                <c:pt idx="546">
                  <c:v>-3.3579207933562061E-2</c:v>
                </c:pt>
                <c:pt idx="547">
                  <c:v>-2.9022469685328411E-2</c:v>
                </c:pt>
                <c:pt idx="548">
                  <c:v>-1.7972696708951848E-2</c:v>
                </c:pt>
                <c:pt idx="549">
                  <c:v>-3.5933403626240812E-2</c:v>
                </c:pt>
                <c:pt idx="550">
                  <c:v>-2.162891446630388E-2</c:v>
                </c:pt>
                <c:pt idx="551">
                  <c:v>-2.5142516495835456E-2</c:v>
                </c:pt>
                <c:pt idx="552">
                  <c:v>-4.3379306821900209E-3</c:v>
                </c:pt>
                <c:pt idx="553">
                  <c:v>1.2743032581143317E-2</c:v>
                </c:pt>
                <c:pt idx="554">
                  <c:v>2.7629998108415977E-2</c:v>
                </c:pt>
                <c:pt idx="555">
                  <c:v>4.9594786857044791E-2</c:v>
                </c:pt>
                <c:pt idx="556">
                  <c:v>3.980231217522661E-2</c:v>
                </c:pt>
                <c:pt idx="557">
                  <c:v>6.3976388334271453E-2</c:v>
                </c:pt>
                <c:pt idx="558">
                  <c:v>7.8674517461178234E-2</c:v>
                </c:pt>
                <c:pt idx="559">
                  <c:v>7.2548824044087828E-2</c:v>
                </c:pt>
                <c:pt idx="560">
                  <c:v>4.8403721318461976E-2</c:v>
                </c:pt>
                <c:pt idx="561">
                  <c:v>4.0141074514725948E-2</c:v>
                </c:pt>
                <c:pt idx="562">
                  <c:v>2.0064638191246851E-2</c:v>
                </c:pt>
                <c:pt idx="563">
                  <c:v>2.5952235177964897E-2</c:v>
                </c:pt>
                <c:pt idx="564">
                  <c:v>3.1003678285878571E-2</c:v>
                </c:pt>
                <c:pt idx="565">
                  <c:v>1.3531090838579904E-2</c:v>
                </c:pt>
                <c:pt idx="566">
                  <c:v>1.1643081724310131E-2</c:v>
                </c:pt>
                <c:pt idx="567">
                  <c:v>1.3996892812248538E-2</c:v>
                </c:pt>
                <c:pt idx="568">
                  <c:v>3.6338148017222168E-3</c:v>
                </c:pt>
                <c:pt idx="569">
                  <c:v>-8.0916756859401289E-3</c:v>
                </c:pt>
                <c:pt idx="570">
                  <c:v>-1.6933355247743219E-2</c:v>
                </c:pt>
                <c:pt idx="571">
                  <c:v>-2.0884952463270445E-2</c:v>
                </c:pt>
                <c:pt idx="572">
                  <c:v>-2.4438926291021647E-2</c:v>
                </c:pt>
                <c:pt idx="573">
                  <c:v>-3.5289704006738719E-2</c:v>
                </c:pt>
                <c:pt idx="574">
                  <c:v>-4.4422350464171152E-2</c:v>
                </c:pt>
                <c:pt idx="575">
                  <c:v>-4.1783596594215981E-2</c:v>
                </c:pt>
                <c:pt idx="576">
                  <c:v>-4.2316572255506307E-2</c:v>
                </c:pt>
                <c:pt idx="577">
                  <c:v>-4.2134924867969208E-2</c:v>
                </c:pt>
                <c:pt idx="578">
                  <c:v>-4.6197514207775042E-2</c:v>
                </c:pt>
                <c:pt idx="579">
                  <c:v>-4.5359155710147925E-2</c:v>
                </c:pt>
                <c:pt idx="580">
                  <c:v>-4.4948935145091108E-2</c:v>
                </c:pt>
                <c:pt idx="581">
                  <c:v>-4.4990223146791249E-2</c:v>
                </c:pt>
                <c:pt idx="582">
                  <c:v>-5.0732411628475471E-2</c:v>
                </c:pt>
                <c:pt idx="583">
                  <c:v>-4.8707018278542395E-2</c:v>
                </c:pt>
                <c:pt idx="584">
                  <c:v>-5.1353694160749967E-2</c:v>
                </c:pt>
                <c:pt idx="585">
                  <c:v>-5.1590017546706377E-2</c:v>
                </c:pt>
                <c:pt idx="586">
                  <c:v>-4.8115289812119912E-2</c:v>
                </c:pt>
                <c:pt idx="587">
                  <c:v>-4.8600126377085884E-2</c:v>
                </c:pt>
                <c:pt idx="588">
                  <c:v>-5.0417468249375028E-2</c:v>
                </c:pt>
                <c:pt idx="589">
                  <c:v>-5.4826755797328992E-2</c:v>
                </c:pt>
                <c:pt idx="590">
                  <c:v>-7.2167386497329011E-2</c:v>
                </c:pt>
                <c:pt idx="591">
                  <c:v>-7.9379058030771638E-2</c:v>
                </c:pt>
                <c:pt idx="592">
                  <c:v>-8.6307961485888332E-2</c:v>
                </c:pt>
                <c:pt idx="593">
                  <c:v>-8.0811050350848318E-2</c:v>
                </c:pt>
                <c:pt idx="594">
                  <c:v>-8.2791663029795681E-2</c:v>
                </c:pt>
                <c:pt idx="595">
                  <c:v>-8.580719554419898E-2</c:v>
                </c:pt>
                <c:pt idx="596">
                  <c:v>-7.6469979315335126E-2</c:v>
                </c:pt>
                <c:pt idx="597">
                  <c:v>-7.4278708713522421E-2</c:v>
                </c:pt>
                <c:pt idx="598">
                  <c:v>-7.6852598380849138E-2</c:v>
                </c:pt>
                <c:pt idx="599">
                  <c:v>-7.6553007012292409E-2</c:v>
                </c:pt>
                <c:pt idx="600">
                  <c:v>-8.3461338344931288E-2</c:v>
                </c:pt>
                <c:pt idx="601">
                  <c:v>-8.2431330301968336E-2</c:v>
                </c:pt>
                <c:pt idx="602">
                  <c:v>-9.4358697018753171E-2</c:v>
                </c:pt>
                <c:pt idx="603">
                  <c:v>-9.6892979949787642E-2</c:v>
                </c:pt>
                <c:pt idx="604">
                  <c:v>-0.10309005385214987</c:v>
                </c:pt>
                <c:pt idx="605">
                  <c:v>-0.10178216963678463</c:v>
                </c:pt>
                <c:pt idx="606">
                  <c:v>-0.10207704306494554</c:v>
                </c:pt>
                <c:pt idx="607">
                  <c:v>-9.9913242164945543E-2</c:v>
                </c:pt>
                <c:pt idx="608">
                  <c:v>-9.6465766302876593E-2</c:v>
                </c:pt>
                <c:pt idx="609">
                  <c:v>-9.8032839969543234E-2</c:v>
                </c:pt>
                <c:pt idx="610">
                  <c:v>-9.8498085198114663E-2</c:v>
                </c:pt>
                <c:pt idx="611">
                  <c:v>-9.1186237833241229E-2</c:v>
                </c:pt>
                <c:pt idx="612">
                  <c:v>-9.554300504444288E-2</c:v>
                </c:pt>
                <c:pt idx="613">
                  <c:v>-9.7244444611109551E-2</c:v>
                </c:pt>
                <c:pt idx="614">
                  <c:v>-9.2051370611109545E-2</c:v>
                </c:pt>
                <c:pt idx="615">
                  <c:v>-9.2335011841878784E-2</c:v>
                </c:pt>
                <c:pt idx="616">
                  <c:v>-9.4922300326089296E-2</c:v>
                </c:pt>
                <c:pt idx="617">
                  <c:v>-9.4412101914235214E-2</c:v>
                </c:pt>
                <c:pt idx="618">
                  <c:v>-9.2988622366536461E-2</c:v>
                </c:pt>
                <c:pt idx="619">
                  <c:v>-9.3773219317699261E-2</c:v>
                </c:pt>
                <c:pt idx="620">
                  <c:v>-9.736909646452005E-2</c:v>
                </c:pt>
                <c:pt idx="621">
                  <c:v>-9.3926249536075632E-2</c:v>
                </c:pt>
                <c:pt idx="622">
                  <c:v>-9.3074352581173664E-2</c:v>
                </c:pt>
                <c:pt idx="623">
                  <c:v>-8.9177839937930423E-2</c:v>
                </c:pt>
                <c:pt idx="624">
                  <c:v>-7.8729144859951541E-2</c:v>
                </c:pt>
                <c:pt idx="625">
                  <c:v>-8.6817313111380121E-2</c:v>
                </c:pt>
                <c:pt idx="626">
                  <c:v>-9.3640236449020559E-2</c:v>
                </c:pt>
                <c:pt idx="627">
                  <c:v>-9.402081005053245E-2</c:v>
                </c:pt>
                <c:pt idx="628">
                  <c:v>-8.0356699334160786E-2</c:v>
                </c:pt>
                <c:pt idx="629">
                  <c:v>-7.4730674224389185E-2</c:v>
                </c:pt>
                <c:pt idx="630">
                  <c:v>-7.4523929650596094E-2</c:v>
                </c:pt>
                <c:pt idx="631">
                  <c:v>-7.3018521859419622E-2</c:v>
                </c:pt>
                <c:pt idx="632">
                  <c:v>-6.8320979568984821E-2</c:v>
                </c:pt>
                <c:pt idx="633">
                  <c:v>-6.7031116724681039E-2</c:v>
                </c:pt>
                <c:pt idx="634">
                  <c:v>-6.8006485599099636E-2</c:v>
                </c:pt>
                <c:pt idx="635">
                  <c:v>-6.4562126667727079E-2</c:v>
                </c:pt>
                <c:pt idx="636">
                  <c:v>-6.3611537144650163E-2</c:v>
                </c:pt>
                <c:pt idx="637">
                  <c:v>-6.0916507826841923E-2</c:v>
                </c:pt>
                <c:pt idx="638">
                  <c:v>-5.3746257076227662E-2</c:v>
                </c:pt>
                <c:pt idx="639">
                  <c:v>-6.5675913270407574E-2</c:v>
                </c:pt>
                <c:pt idx="640">
                  <c:v>-6.642563131998383E-2</c:v>
                </c:pt>
                <c:pt idx="641">
                  <c:v>-6.5839436224791548E-2</c:v>
                </c:pt>
                <c:pt idx="642">
                  <c:v>-6.6492514441579872E-2</c:v>
                </c:pt>
                <c:pt idx="643">
                  <c:v>-7.0323981418785736E-2</c:v>
                </c:pt>
                <c:pt idx="644">
                  <c:v>-6.5733800498006548E-2</c:v>
                </c:pt>
                <c:pt idx="645">
                  <c:v>-6.0008624971012677E-2</c:v>
                </c:pt>
                <c:pt idx="646">
                  <c:v>-6.0405578673715377E-2</c:v>
                </c:pt>
                <c:pt idx="647">
                  <c:v>-6.0647430283715373E-2</c:v>
                </c:pt>
                <c:pt idx="648">
                  <c:v>-5.6349477218368832E-2</c:v>
                </c:pt>
                <c:pt idx="649">
                  <c:v>-5.5636573644154995E-2</c:v>
                </c:pt>
                <c:pt idx="650">
                  <c:v>-5.6810041995098384E-2</c:v>
                </c:pt>
                <c:pt idx="651">
                  <c:v>-5.3425394546711302E-2</c:v>
                </c:pt>
                <c:pt idx="652">
                  <c:v>-5.6518199109534359E-2</c:v>
                </c:pt>
                <c:pt idx="653">
                  <c:v>-5.4370717309534362E-2</c:v>
                </c:pt>
                <c:pt idx="654">
                  <c:v>-5.3209738549030168E-2</c:v>
                </c:pt>
                <c:pt idx="655">
                  <c:v>-5.3897267956722485E-2</c:v>
                </c:pt>
                <c:pt idx="656">
                  <c:v>-5.2392073651147571E-2</c:v>
                </c:pt>
                <c:pt idx="657">
                  <c:v>-5.2053743194004708E-2</c:v>
                </c:pt>
                <c:pt idx="658">
                  <c:v>-4.9654044759035371E-2</c:v>
                </c:pt>
                <c:pt idx="659">
                  <c:v>-4.9322469550080149E-2</c:v>
                </c:pt>
                <c:pt idx="660">
                  <c:v>-5.1576642189474088E-2</c:v>
                </c:pt>
                <c:pt idx="661">
                  <c:v>-4.7303113458661762E-2</c:v>
                </c:pt>
                <c:pt idx="662">
                  <c:v>-5.1701125744772883E-2</c:v>
                </c:pt>
                <c:pt idx="663">
                  <c:v>-5.1313683582158903E-2</c:v>
                </c:pt>
                <c:pt idx="664">
                  <c:v>-5.0496653151868444E-2</c:v>
                </c:pt>
                <c:pt idx="665">
                  <c:v>-5.0721102725201785E-2</c:v>
                </c:pt>
                <c:pt idx="666">
                  <c:v>-4.8017976384113592E-2</c:v>
                </c:pt>
                <c:pt idx="667">
                  <c:v>-5.0219552095224704E-2</c:v>
                </c:pt>
                <c:pt idx="668">
                  <c:v>-5.0495542409070872E-2</c:v>
                </c:pt>
                <c:pt idx="669">
                  <c:v>-5.3107799967639202E-2</c:v>
                </c:pt>
                <c:pt idx="670">
                  <c:v>-5.2497779647639201E-2</c:v>
                </c:pt>
                <c:pt idx="671">
                  <c:v>-5.0035463936488764E-2</c:v>
                </c:pt>
                <c:pt idx="672">
                  <c:v>-3.7262466734546439E-2</c:v>
                </c:pt>
                <c:pt idx="673">
                  <c:v>-3.8509476005059246E-2</c:v>
                </c:pt>
                <c:pt idx="674">
                  <c:v>-3.9920694638547624E-2</c:v>
                </c:pt>
                <c:pt idx="675">
                  <c:v>-3.8739538855284014E-2</c:v>
                </c:pt>
                <c:pt idx="676">
                  <c:v>-4.0443412683855443E-2</c:v>
                </c:pt>
                <c:pt idx="677">
                  <c:v>-3.8479235407473542E-2</c:v>
                </c:pt>
                <c:pt idx="678">
                  <c:v>-3.873061741975424E-2</c:v>
                </c:pt>
                <c:pt idx="679">
                  <c:v>-3.7354501234586217E-2</c:v>
                </c:pt>
                <c:pt idx="680">
                  <c:v>-3.9110227004716072E-2</c:v>
                </c:pt>
                <c:pt idx="681">
                  <c:v>-4.0841766342216076E-2</c:v>
                </c:pt>
                <c:pt idx="682">
                  <c:v>-4.2502952933452028E-2</c:v>
                </c:pt>
                <c:pt idx="683">
                  <c:v>-4.2121089690134048E-2</c:v>
                </c:pt>
                <c:pt idx="684">
                  <c:v>-4.0921177420903274E-2</c:v>
                </c:pt>
                <c:pt idx="685">
                  <c:v>-3.7891686621711357E-2</c:v>
                </c:pt>
                <c:pt idx="686">
                  <c:v>-4.3080984804790744E-2</c:v>
                </c:pt>
                <c:pt idx="687">
                  <c:v>-4.2154049320534508E-2</c:v>
                </c:pt>
                <c:pt idx="688">
                  <c:v>-4.2516524610458163E-2</c:v>
                </c:pt>
                <c:pt idx="689">
                  <c:v>-4.1730508933411611E-2</c:v>
                </c:pt>
                <c:pt idx="690">
                  <c:v>-4.0254135427957069E-2</c:v>
                </c:pt>
                <c:pt idx="691">
                  <c:v>-3.7587284346378119E-2</c:v>
                </c:pt>
                <c:pt idx="692">
                  <c:v>-3.3568006556660888E-2</c:v>
                </c:pt>
                <c:pt idx="693">
                  <c:v>-3.3156716555770016E-2</c:v>
                </c:pt>
                <c:pt idx="694">
                  <c:v>-3.3783063557497127E-2</c:v>
                </c:pt>
                <c:pt idx="695">
                  <c:v>-3.4426104705698582E-2</c:v>
                </c:pt>
                <c:pt idx="696">
                  <c:v>-3.4101593878112381E-2</c:v>
                </c:pt>
                <c:pt idx="697">
                  <c:v>-3.553611898730779E-2</c:v>
                </c:pt>
                <c:pt idx="698">
                  <c:v>-3.5328825735543072E-2</c:v>
                </c:pt>
                <c:pt idx="699">
                  <c:v>-3.4514440829201611E-2</c:v>
                </c:pt>
                <c:pt idx="700">
                  <c:v>-3.5065307987668631E-2</c:v>
                </c:pt>
                <c:pt idx="701">
                  <c:v>-3.4792217166505469E-2</c:v>
                </c:pt>
                <c:pt idx="702">
                  <c:v>-2.9819130590782918E-2</c:v>
                </c:pt>
                <c:pt idx="703">
                  <c:v>-2.834367695005564E-2</c:v>
                </c:pt>
                <c:pt idx="704">
                  <c:v>-2.6609361367016766E-2</c:v>
                </c:pt>
                <c:pt idx="705">
                  <c:v>-2.6206386934363703E-2</c:v>
                </c:pt>
                <c:pt idx="706">
                  <c:v>-2.0900172216135205E-2</c:v>
                </c:pt>
                <c:pt idx="707">
                  <c:v>-2.5288547400967171E-2</c:v>
                </c:pt>
                <c:pt idx="708">
                  <c:v>-2.5043048006058825E-2</c:v>
                </c:pt>
                <c:pt idx="709">
                  <c:v>-2.4082199997378893E-2</c:v>
                </c:pt>
                <c:pt idx="710">
                  <c:v>-2.5061063866247766E-2</c:v>
                </c:pt>
                <c:pt idx="711">
                  <c:v>-2.5669111957452986E-2</c:v>
                </c:pt>
                <c:pt idx="712">
                  <c:v>-2.5348123426007674E-2</c:v>
                </c:pt>
                <c:pt idx="713">
                  <c:v>-2.4737210446579103E-2</c:v>
                </c:pt>
                <c:pt idx="714">
                  <c:v>-2.5903319879137236E-2</c:v>
                </c:pt>
                <c:pt idx="715">
                  <c:v>-2.5114933505031616E-2</c:v>
                </c:pt>
                <c:pt idx="716">
                  <c:v>-2.3535724130106246E-2</c:v>
                </c:pt>
                <c:pt idx="717">
                  <c:v>-2.661869269604232E-2</c:v>
                </c:pt>
                <c:pt idx="718">
                  <c:v>-2.8621637026241747E-2</c:v>
                </c:pt>
                <c:pt idx="719">
                  <c:v>-2.5860435788146511E-2</c:v>
                </c:pt>
                <c:pt idx="720">
                  <c:v>-2.5289204230348351E-2</c:v>
                </c:pt>
                <c:pt idx="721">
                  <c:v>-2.4784007156610971E-2</c:v>
                </c:pt>
                <c:pt idx="722">
                  <c:v>-2.6694466951316269E-2</c:v>
                </c:pt>
                <c:pt idx="723">
                  <c:v>-2.6227954263191265E-2</c:v>
                </c:pt>
                <c:pt idx="724">
                  <c:v>-2.8619507496289855E-2</c:v>
                </c:pt>
                <c:pt idx="725">
                  <c:v>-2.9715540288233817E-2</c:v>
                </c:pt>
                <c:pt idx="726">
                  <c:v>-2.8363431395893382E-2</c:v>
                </c:pt>
                <c:pt idx="727">
                  <c:v>-2.8419940948108569E-2</c:v>
                </c:pt>
                <c:pt idx="728">
                  <c:v>-2.5516165799473339E-2</c:v>
                </c:pt>
                <c:pt idx="729">
                  <c:v>-3.0141837834148266E-2</c:v>
                </c:pt>
                <c:pt idx="730">
                  <c:v>-2.8954221465214029E-2</c:v>
                </c:pt>
                <c:pt idx="731">
                  <c:v>-3.0692418046547369E-2</c:v>
                </c:pt>
                <c:pt idx="732">
                  <c:v>-2.9168045766219501E-2</c:v>
                </c:pt>
                <c:pt idx="733">
                  <c:v>-3.0408787673988927E-2</c:v>
                </c:pt>
                <c:pt idx="734">
                  <c:v>-3.0089564772034529E-2</c:v>
                </c:pt>
                <c:pt idx="735">
                  <c:v>-3.0259534284932856E-2</c:v>
                </c:pt>
                <c:pt idx="736">
                  <c:v>-3.0947406448762645E-2</c:v>
                </c:pt>
                <c:pt idx="737">
                  <c:v>-3.1158914872186062E-2</c:v>
                </c:pt>
                <c:pt idx="738">
                  <c:v>-3.0961311866069856E-2</c:v>
                </c:pt>
                <c:pt idx="739">
                  <c:v>-3.1487399271487464E-2</c:v>
                </c:pt>
                <c:pt idx="740">
                  <c:v>-3.0894788287824097E-2</c:v>
                </c:pt>
                <c:pt idx="741">
                  <c:v>-2.9577447381868762E-2</c:v>
                </c:pt>
                <c:pt idx="742">
                  <c:v>-2.5822717921412493E-2</c:v>
                </c:pt>
                <c:pt idx="743">
                  <c:v>-2.9262318667872669E-2</c:v>
                </c:pt>
                <c:pt idx="744">
                  <c:v>-3.1089678367872665E-2</c:v>
                </c:pt>
                <c:pt idx="745">
                  <c:v>-3.5154004214587975E-2</c:v>
                </c:pt>
                <c:pt idx="746">
                  <c:v>-3.6148728092385493E-2</c:v>
                </c:pt>
                <c:pt idx="747">
                  <c:v>-3.727234968234365E-2</c:v>
                </c:pt>
                <c:pt idx="748">
                  <c:v>-3.7361416867798203E-2</c:v>
                </c:pt>
                <c:pt idx="749">
                  <c:v>-3.8531223667798209E-2</c:v>
                </c:pt>
                <c:pt idx="750">
                  <c:v>-3.7822511134464866E-2</c:v>
                </c:pt>
                <c:pt idx="751">
                  <c:v>-3.2268094995243315E-2</c:v>
                </c:pt>
                <c:pt idx="752">
                  <c:v>-3.4918683369870189E-2</c:v>
                </c:pt>
                <c:pt idx="753">
                  <c:v>-3.4785312632727335E-2</c:v>
                </c:pt>
                <c:pt idx="754">
                  <c:v>-3.4719996715336029E-2</c:v>
                </c:pt>
                <c:pt idx="755">
                  <c:v>-3.2964257241575104E-2</c:v>
                </c:pt>
                <c:pt idx="756">
                  <c:v>-3.4372808799957751E-2</c:v>
                </c:pt>
                <c:pt idx="757">
                  <c:v>-2.9996405993291089E-2</c:v>
                </c:pt>
                <c:pt idx="758">
                  <c:v>-2.8493306629630257E-2</c:v>
                </c:pt>
                <c:pt idx="759">
                  <c:v>-2.7924006603673206E-2</c:v>
                </c:pt>
                <c:pt idx="760">
                  <c:v>-2.6246213088048219E-2</c:v>
                </c:pt>
                <c:pt idx="761">
                  <c:v>-2.6876903962886924E-2</c:v>
                </c:pt>
                <c:pt idx="762">
                  <c:v>-2.5896899764773721E-2</c:v>
                </c:pt>
                <c:pt idx="763">
                  <c:v>-2.6346994658735981E-2</c:v>
                </c:pt>
                <c:pt idx="764">
                  <c:v>-2.5935699746586448E-2</c:v>
                </c:pt>
                <c:pt idx="765">
                  <c:v>-2.5836732755639944E-2</c:v>
                </c:pt>
                <c:pt idx="766">
                  <c:v>-2.6164059975639944E-2</c:v>
                </c:pt>
                <c:pt idx="767">
                  <c:v>-2.4637906066944285E-2</c:v>
                </c:pt>
                <c:pt idx="768">
                  <c:v>-2.3358023953098137E-2</c:v>
                </c:pt>
                <c:pt idx="769">
                  <c:v>-2.1589750583448333E-2</c:v>
                </c:pt>
                <c:pt idx="770">
                  <c:v>-2.2100332622806931E-2</c:v>
                </c:pt>
                <c:pt idx="771">
                  <c:v>-2.6830750291568149E-2</c:v>
                </c:pt>
                <c:pt idx="772">
                  <c:v>-2.8713306454934487E-2</c:v>
                </c:pt>
                <c:pt idx="773">
                  <c:v>-2.5976537870597137E-2</c:v>
                </c:pt>
                <c:pt idx="774">
                  <c:v>-2.3448170886061052E-2</c:v>
                </c:pt>
                <c:pt idx="775">
                  <c:v>-2.1652399210069406E-2</c:v>
                </c:pt>
                <c:pt idx="776">
                  <c:v>-1.7199866161977797E-2</c:v>
                </c:pt>
                <c:pt idx="777">
                  <c:v>-9.6298688128448606E-3</c:v>
                </c:pt>
                <c:pt idx="778">
                  <c:v>-1.2267284198489027E-2</c:v>
                </c:pt>
                <c:pt idx="779">
                  <c:v>-1.251365802168653E-2</c:v>
                </c:pt>
                <c:pt idx="780">
                  <c:v>-1.2839589368667383E-2</c:v>
                </c:pt>
                <c:pt idx="781">
                  <c:v>-1.0565121797429029E-2</c:v>
                </c:pt>
                <c:pt idx="782">
                  <c:v>-9.1899553206798434E-3</c:v>
                </c:pt>
                <c:pt idx="783">
                  <c:v>-9.5843552620410929E-3</c:v>
                </c:pt>
                <c:pt idx="784">
                  <c:v>-1.169441909111598E-2</c:v>
                </c:pt>
                <c:pt idx="785">
                  <c:v>-1.1222520123504637E-2</c:v>
                </c:pt>
                <c:pt idx="786">
                  <c:v>-9.2387745145360283E-3</c:v>
                </c:pt>
                <c:pt idx="787">
                  <c:v>-4.8867108358693588E-3</c:v>
                </c:pt>
                <c:pt idx="788">
                  <c:v>-2.7397152058693578E-3</c:v>
                </c:pt>
                <c:pt idx="789">
                  <c:v>-6.515295392026905E-4</c:v>
                </c:pt>
                <c:pt idx="790">
                  <c:v>-5.7056968629687734E-4</c:v>
                </c:pt>
                <c:pt idx="791">
                  <c:v>-2.7455816111151524E-3</c:v>
                </c:pt>
                <c:pt idx="792">
                  <c:v>-2.0075525658854692E-3</c:v>
                </c:pt>
                <c:pt idx="793">
                  <c:v>-2.0579706617029599E-3</c:v>
                </c:pt>
                <c:pt idx="794">
                  <c:v>-4.4420064262781496E-4</c:v>
                </c:pt>
                <c:pt idx="795">
                  <c:v>3.3452715792164152E-4</c:v>
                </c:pt>
                <c:pt idx="796">
                  <c:v>2.474278462355135E-3</c:v>
                </c:pt>
                <c:pt idx="797">
                  <c:v>-1.9507036119970241E-3</c:v>
                </c:pt>
                <c:pt idx="798">
                  <c:v>-3.892238445330356E-3</c:v>
                </c:pt>
                <c:pt idx="799">
                  <c:v>-2.5784218404007759E-3</c:v>
                </c:pt>
                <c:pt idx="800">
                  <c:v>-4.1671737740290923E-3</c:v>
                </c:pt>
                <c:pt idx="801">
                  <c:v>-2.6916810161815557E-3</c:v>
                </c:pt>
                <c:pt idx="802">
                  <c:v>-1.0187975581797085E-3</c:v>
                </c:pt>
                <c:pt idx="803">
                  <c:v>-3.8473672022349987E-4</c:v>
                </c:pt>
                <c:pt idx="804">
                  <c:v>-1.2158692090147125E-3</c:v>
                </c:pt>
                <c:pt idx="805">
                  <c:v>-9.3008873243243494E-4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D-4ACF-B8D6-69C86E5FF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057216"/>
        <c:axId val="628056800"/>
      </c:lineChart>
      <c:dateAx>
        <c:axId val="62805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056800"/>
        <c:crosses val="autoZero"/>
        <c:auto val="1"/>
        <c:lblOffset val="100"/>
        <c:baseTimeUnit val="days"/>
      </c:dateAx>
      <c:valAx>
        <c:axId val="62805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0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1AE493-30FB-4E40-BA26-25657D4F4446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0B48E5-D27F-41CD-8930-01B3E83514C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16.5</v>
      </c>
      <c r="D2" s="4">
        <f>MIN(D3:D1912)</f>
        <v>1E-4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1.7370000000000001</v>
      </c>
      <c r="C5">
        <v>1.754</v>
      </c>
      <c r="D5">
        <v>1.6859999999999999</v>
      </c>
      <c r="E5">
        <v>1.69</v>
      </c>
      <c r="F5">
        <v>83848.399999999994</v>
      </c>
      <c r="G5">
        <v>1.69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-0.88235294117647056</v>
      </c>
      <c r="Q5">
        <f t="shared" ref="Q5" si="1">F5*P5</f>
        <v>-73983.882352941175</v>
      </c>
      <c r="R5">
        <f t="shared" ref="R5" si="2">R6+Q5</f>
        <v>-163971981.05232525</v>
      </c>
      <c r="S5">
        <f t="shared" ref="S5" si="3">R5/100000</f>
        <v>-1639.7198105232526</v>
      </c>
      <c r="T5">
        <f t="shared" ref="T5" si="4">S5/1000</f>
        <v>-1.6397198105232527</v>
      </c>
    </row>
    <row r="6" spans="1:20" x14ac:dyDescent="0.25">
      <c r="A6" s="5">
        <v>44587</v>
      </c>
      <c r="B6">
        <v>1.77</v>
      </c>
      <c r="C6">
        <v>1.9370000000000001</v>
      </c>
      <c r="D6">
        <v>1.702</v>
      </c>
      <c r="E6">
        <v>1.7350000000000001</v>
      </c>
      <c r="F6">
        <v>1244580.6000000001</v>
      </c>
      <c r="G6">
        <v>1.7350000000000001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-0.71914893617021169</v>
      </c>
      <c r="Q6">
        <f t="shared" ref="Q6" si="6">F6*P6</f>
        <v>-895038.81446808379</v>
      </c>
      <c r="R6">
        <f t="shared" ref="R6" si="7">R7+Q6</f>
        <v>-163897997.1699723</v>
      </c>
      <c r="S6">
        <f t="shared" ref="S6" si="8">R6/100000</f>
        <v>-1638.9799716997229</v>
      </c>
      <c r="T6">
        <f t="shared" ref="T6" si="9">S6/1000</f>
        <v>-1.6389799716997229</v>
      </c>
    </row>
    <row r="7" spans="1:20" x14ac:dyDescent="0.25">
      <c r="A7" s="5">
        <v>44586</v>
      </c>
      <c r="B7">
        <v>1.756</v>
      </c>
      <c r="C7">
        <v>1.8129999999999999</v>
      </c>
      <c r="D7">
        <v>1.6859999999999999</v>
      </c>
      <c r="E7">
        <v>1.77</v>
      </c>
      <c r="F7">
        <v>578202.30000000005</v>
      </c>
      <c r="G7">
        <v>1.77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0.32283464566929249</v>
      </c>
      <c r="Q7">
        <f t="shared" ref="Q7" si="11">F7*P7</f>
        <v>186663.73464566996</v>
      </c>
      <c r="R7">
        <f t="shared" ref="R7" si="12">R8+Q7</f>
        <v>-163002958.35550421</v>
      </c>
      <c r="S7">
        <f t="shared" ref="S7" si="13">R7/100000</f>
        <v>-1630.0295835550421</v>
      </c>
      <c r="T7">
        <f t="shared" ref="T7" si="14">S7/1000</f>
        <v>-1.630029583555042</v>
      </c>
    </row>
    <row r="8" spans="1:20" x14ac:dyDescent="0.25">
      <c r="A8" s="5">
        <v>44585</v>
      </c>
      <c r="B8">
        <v>1.823</v>
      </c>
      <c r="C8">
        <v>1.823</v>
      </c>
      <c r="D8">
        <v>1.5169999999999999</v>
      </c>
      <c r="E8">
        <v>1.7549999999999999</v>
      </c>
      <c r="F8">
        <v>1630334.8</v>
      </c>
      <c r="G8">
        <v>1.7549999999999999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0.55555555555555525</v>
      </c>
      <c r="Q8">
        <f t="shared" ref="Q8" si="16">F8*P8</f>
        <v>905741.55555555504</v>
      </c>
      <c r="R8">
        <f t="shared" ref="R8" si="17">R9+Q8</f>
        <v>-163189622.09014988</v>
      </c>
      <c r="S8">
        <f t="shared" ref="S8" si="18">R8/100000</f>
        <v>-1631.8962209014987</v>
      </c>
      <c r="T8">
        <f t="shared" ref="T8" si="19">S8/1000</f>
        <v>-1.6318962209014987</v>
      </c>
    </row>
    <row r="9" spans="1:20" x14ac:dyDescent="0.25">
      <c r="A9" s="5">
        <v>44584</v>
      </c>
      <c r="B9">
        <v>1.7729999999999999</v>
      </c>
      <c r="C9">
        <v>1.905</v>
      </c>
      <c r="D9">
        <v>1.7170000000000001</v>
      </c>
      <c r="E9">
        <v>1.823</v>
      </c>
      <c r="F9">
        <v>1236141.8</v>
      </c>
      <c r="G9">
        <v>1.823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0.12765957446808407</v>
      </c>
      <c r="Q9">
        <f t="shared" ref="Q9" si="21">F9*P9</f>
        <v>157805.33617021149</v>
      </c>
      <c r="R9">
        <f t="shared" ref="R9" si="22">R10+Q9</f>
        <v>-164095363.64570543</v>
      </c>
      <c r="S9">
        <f t="shared" ref="S9" si="23">R9/100000</f>
        <v>-1640.9536364570542</v>
      </c>
      <c r="T9">
        <f t="shared" ref="T9" si="24">S9/1000</f>
        <v>-1.6409536364570543</v>
      </c>
    </row>
    <row r="10" spans="1:20" x14ac:dyDescent="0.25">
      <c r="A10" s="5">
        <v>44583</v>
      </c>
      <c r="B10">
        <v>2.0030000000000001</v>
      </c>
      <c r="C10">
        <v>2.0449999999999999</v>
      </c>
      <c r="D10">
        <v>1.635</v>
      </c>
      <c r="E10">
        <v>1.778</v>
      </c>
      <c r="F10">
        <v>2034330.44</v>
      </c>
      <c r="G10">
        <v>1.778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-0.30243902439024367</v>
      </c>
      <c r="Q10">
        <f t="shared" ref="Q10" si="26">F10*P10</f>
        <v>-615260.91356097511</v>
      </c>
      <c r="R10">
        <f t="shared" ref="R10" si="27">R11+Q10</f>
        <v>-164253168.98187566</v>
      </c>
      <c r="S10">
        <f t="shared" ref="S10" si="28">R10/100000</f>
        <v>-1642.5316898187566</v>
      </c>
      <c r="T10">
        <f t="shared" ref="T10" si="29">S10/1000</f>
        <v>-1.6425316898187565</v>
      </c>
    </row>
    <row r="11" spans="1:20" x14ac:dyDescent="0.25">
      <c r="A11" s="5">
        <v>44582</v>
      </c>
      <c r="B11">
        <v>2.3420000000000001</v>
      </c>
      <c r="C11">
        <v>2.363</v>
      </c>
      <c r="D11">
        <v>1.9370000000000001</v>
      </c>
      <c r="E11">
        <v>2.0019999999999998</v>
      </c>
      <c r="F11">
        <v>2105795.62</v>
      </c>
      <c r="G11">
        <v>2.0019999999999998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-0.69483568075117497</v>
      </c>
      <c r="Q11">
        <f t="shared" ref="Q11" si="31">F11*P11</f>
        <v>-1463181.9331455426</v>
      </c>
      <c r="R11">
        <f t="shared" ref="R11" si="32">R12+Q11</f>
        <v>-163637908.06831467</v>
      </c>
      <c r="S11">
        <f t="shared" ref="S11" si="33">R11/100000</f>
        <v>-1636.3790806831466</v>
      </c>
      <c r="T11">
        <f t="shared" ref="T11" si="34">S11/1000</f>
        <v>-1.6363790806831466</v>
      </c>
    </row>
    <row r="12" spans="1:20" x14ac:dyDescent="0.25">
      <c r="A12" s="5">
        <v>44581</v>
      </c>
      <c r="B12">
        <v>2.472</v>
      </c>
      <c r="C12">
        <v>2.6080000000000001</v>
      </c>
      <c r="D12">
        <v>2.3220000000000001</v>
      </c>
      <c r="E12">
        <v>2.3439999999999999</v>
      </c>
      <c r="F12">
        <v>864794.9</v>
      </c>
      <c r="G12">
        <v>2.3439999999999999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-0.84615384615384759</v>
      </c>
      <c r="Q12">
        <f t="shared" ref="Q12" si="36">F12*P12</f>
        <v>-731749.53076923208</v>
      </c>
      <c r="R12">
        <f t="shared" ref="R12" si="37">R13+Q12</f>
        <v>-162174726.13516912</v>
      </c>
      <c r="S12">
        <f t="shared" ref="S12" si="38">R12/100000</f>
        <v>-1621.7472613516911</v>
      </c>
      <c r="T12">
        <f t="shared" ref="T12" si="39">S12/1000</f>
        <v>-1.6217472613516912</v>
      </c>
    </row>
    <row r="13" spans="1:20" x14ac:dyDescent="0.25">
      <c r="A13" s="5">
        <v>44580</v>
      </c>
      <c r="B13">
        <v>2.5569999999999999</v>
      </c>
      <c r="C13">
        <v>2.5840000000000001</v>
      </c>
      <c r="D13">
        <v>2.4340000000000002</v>
      </c>
      <c r="E13">
        <v>2.472</v>
      </c>
      <c r="F13">
        <v>627781.80000000005</v>
      </c>
      <c r="G13">
        <v>2.472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-0.49333333333333557</v>
      </c>
      <c r="Q13">
        <f t="shared" ref="Q13" si="41">F13*P13</f>
        <v>-309705.68800000142</v>
      </c>
      <c r="R13">
        <f t="shared" ref="R13" si="42">R14+Q13</f>
        <v>-161442976.60439989</v>
      </c>
      <c r="S13">
        <f t="shared" ref="S13" si="43">R13/100000</f>
        <v>-1614.4297660439988</v>
      </c>
      <c r="T13">
        <f t="shared" ref="T13" si="44">S13/1000</f>
        <v>-1.6144297660439988</v>
      </c>
    </row>
    <row r="14" spans="1:20" x14ac:dyDescent="0.25">
      <c r="A14" s="5">
        <v>44579</v>
      </c>
      <c r="B14">
        <v>2.6019999999999999</v>
      </c>
      <c r="C14">
        <v>2.6339999999999999</v>
      </c>
      <c r="D14">
        <v>2.4929999999999999</v>
      </c>
      <c r="E14">
        <v>2.5590000000000002</v>
      </c>
      <c r="F14">
        <v>724147.6</v>
      </c>
      <c r="G14">
        <v>2.5590000000000002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-6.3829787234038662E-2</v>
      </c>
      <c r="Q14">
        <f t="shared" ref="Q14" si="46">F14*P14</f>
        <v>-46222.187234039731</v>
      </c>
      <c r="R14">
        <f t="shared" ref="R14" si="47">R15+Q14</f>
        <v>-161133270.9163999</v>
      </c>
      <c r="S14">
        <f t="shared" ref="S14" si="48">R14/100000</f>
        <v>-1611.332709163999</v>
      </c>
      <c r="T14">
        <f t="shared" ref="T14" si="49">S14/1000</f>
        <v>-1.6113327091639991</v>
      </c>
    </row>
    <row r="15" spans="1:20" x14ac:dyDescent="0.25">
      <c r="A15" s="5">
        <v>44578</v>
      </c>
      <c r="B15">
        <v>2.7069999999999999</v>
      </c>
      <c r="C15">
        <v>2.7170000000000001</v>
      </c>
      <c r="D15">
        <v>2.5619999999999998</v>
      </c>
      <c r="E15">
        <v>2.5990000000000002</v>
      </c>
      <c r="F15">
        <v>658602.80000000005</v>
      </c>
      <c r="G15">
        <v>2.5990000000000002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-0.52258064516128633</v>
      </c>
      <c r="Q15">
        <f t="shared" ref="Q15" si="51">F15*P15</f>
        <v>-344173.07612902968</v>
      </c>
      <c r="R15">
        <f t="shared" ref="R15" si="52">R16+Q15</f>
        <v>-161087048.72916585</v>
      </c>
      <c r="S15">
        <f t="shared" ref="S15" si="53">R15/100000</f>
        <v>-1610.8704872916585</v>
      </c>
      <c r="T15">
        <f t="shared" ref="T15" si="54">S15/1000</f>
        <v>-1.6108704872916584</v>
      </c>
    </row>
    <row r="16" spans="1:20" x14ac:dyDescent="0.25">
      <c r="A16" s="5">
        <v>44577</v>
      </c>
      <c r="B16">
        <v>2.7650000000000001</v>
      </c>
      <c r="C16">
        <v>2.7949999999999999</v>
      </c>
      <c r="D16">
        <v>2.6989999999999998</v>
      </c>
      <c r="E16">
        <v>2.7029999999999998</v>
      </c>
      <c r="F16">
        <v>669392.9</v>
      </c>
      <c r="G16">
        <v>2.7029999999999998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-0.91666666666666663</v>
      </c>
      <c r="Q16">
        <f t="shared" ref="Q16" si="56">F16*P16</f>
        <v>-613610.15833333333</v>
      </c>
      <c r="R16">
        <f t="shared" ref="R16" si="57">R17+Q16</f>
        <v>-160742875.65303683</v>
      </c>
      <c r="S16">
        <f t="shared" ref="S16" si="58">R16/100000</f>
        <v>-1607.4287565303682</v>
      </c>
      <c r="T16">
        <f t="shared" ref="T16" si="59">S16/1000</f>
        <v>-1.6074287565303682</v>
      </c>
    </row>
    <row r="17" spans="1:20" x14ac:dyDescent="0.25">
      <c r="A17" s="5">
        <v>44576</v>
      </c>
      <c r="B17">
        <v>2.774</v>
      </c>
      <c r="C17">
        <v>2.819</v>
      </c>
      <c r="D17">
        <v>2.7160000000000002</v>
      </c>
      <c r="E17">
        <v>2.7639999999999998</v>
      </c>
      <c r="F17">
        <v>631716.9</v>
      </c>
      <c r="G17">
        <v>2.7639999999999998</v>
      </c>
      <c r="L17" t="s">
        <v>7</v>
      </c>
      <c r="M17" t="s">
        <v>7</v>
      </c>
      <c r="N17" t="s">
        <v>8</v>
      </c>
      <c r="P17">
        <f t="shared" ref="P17" si="60">IF(C17=D17,0,((E17-D17)-(C17-E17))/(C17-D17))</f>
        <v>-6.7961165048549294E-2</v>
      </c>
      <c r="Q17">
        <f t="shared" ref="Q17" si="61">F17*P17</f>
        <v>-42932.216504857912</v>
      </c>
      <c r="R17">
        <f t="shared" ref="R17" si="62">R18+Q17</f>
        <v>-160129265.4947035</v>
      </c>
      <c r="S17">
        <f t="shared" ref="S17" si="63">R17/100000</f>
        <v>-1601.2926549470351</v>
      </c>
      <c r="T17">
        <f t="shared" ref="T17" si="64">S17/1000</f>
        <v>-1.601292654947035</v>
      </c>
    </row>
    <row r="18" spans="1:20" x14ac:dyDescent="0.25">
      <c r="A18" s="5">
        <v>44575</v>
      </c>
      <c r="B18">
        <v>2.7309999999999999</v>
      </c>
      <c r="C18">
        <v>2.9089999999999998</v>
      </c>
      <c r="D18">
        <v>2.6560000000000001</v>
      </c>
      <c r="E18">
        <v>2.7749999999999999</v>
      </c>
      <c r="F18">
        <v>1423302.3</v>
      </c>
      <c r="G18">
        <v>2.7749999999999999</v>
      </c>
      <c r="L18" t="s">
        <v>7</v>
      </c>
      <c r="M18" t="s">
        <v>7</v>
      </c>
      <c r="N18" t="s">
        <v>8</v>
      </c>
      <c r="P18">
        <f t="shared" ref="P18" si="65">IF(C18=D18,0,((E18-D18)-(C18-E18))/(C18-D18))</f>
        <v>-5.9288537549407681E-2</v>
      </c>
      <c r="Q18">
        <f t="shared" ref="Q18" si="66">F18*P18</f>
        <v>-84385.511857708319</v>
      </c>
      <c r="R18">
        <f t="shared" ref="R18" si="67">R19+Q18</f>
        <v>-160086333.27819863</v>
      </c>
      <c r="S18">
        <f t="shared" ref="S18" si="68">R18/100000</f>
        <v>-1600.8633327819864</v>
      </c>
      <c r="T18">
        <f t="shared" ref="T18" si="69">S18/1000</f>
        <v>-1.6008633327819863</v>
      </c>
    </row>
    <row r="19" spans="1:20" x14ac:dyDescent="0.25">
      <c r="A19" s="5">
        <v>44574</v>
      </c>
      <c r="B19">
        <v>2.9009999999999998</v>
      </c>
      <c r="C19">
        <v>2.984</v>
      </c>
      <c r="D19">
        <v>2.726</v>
      </c>
      <c r="E19">
        <v>2.7349999999999999</v>
      </c>
      <c r="F19">
        <v>1147343.2</v>
      </c>
      <c r="G19">
        <v>2.7349999999999999</v>
      </c>
      <c r="L19" t="s">
        <v>8</v>
      </c>
      <c r="M19" t="s">
        <v>7</v>
      </c>
      <c r="N19" t="s">
        <v>8</v>
      </c>
      <c r="P19">
        <f t="shared" ref="P19" si="70">IF(C19=D19,0,((E19-D19)-(C19-E19))/(C19-D19))</f>
        <v>-0.93023255813953565</v>
      </c>
      <c r="Q19">
        <f t="shared" ref="Q19" si="71">F19*P19</f>
        <v>-1067296.0000000009</v>
      </c>
      <c r="R19">
        <f t="shared" ref="R19" si="72">R20+Q19</f>
        <v>-160001947.76634091</v>
      </c>
      <c r="S19">
        <f t="shared" ref="S19" si="73">R19/100000</f>
        <v>-1600.0194776634091</v>
      </c>
      <c r="T19">
        <f t="shared" ref="T19" si="74">S19/1000</f>
        <v>-1.6000194776634091</v>
      </c>
    </row>
    <row r="20" spans="1:20" x14ac:dyDescent="0.25">
      <c r="A20" s="5">
        <v>44573</v>
      </c>
      <c r="B20">
        <v>2.8039999999999998</v>
      </c>
      <c r="C20">
        <v>2.9449999999999998</v>
      </c>
      <c r="D20">
        <v>2.7850000000000001</v>
      </c>
      <c r="E20">
        <v>2.8980000000000001</v>
      </c>
      <c r="F20">
        <v>967553.6</v>
      </c>
      <c r="G20">
        <v>2.8980000000000001</v>
      </c>
      <c r="L20" t="s">
        <v>8</v>
      </c>
      <c r="M20" t="s">
        <v>7</v>
      </c>
      <c r="N20" t="s">
        <v>8</v>
      </c>
      <c r="P20">
        <f t="shared" ref="P20" si="75">IF(C20=D20,0,((E20-D20)-(C20-E20))/(C20-D20))</f>
        <v>0.41250000000000253</v>
      </c>
      <c r="Q20">
        <f t="shared" ref="Q20" si="76">F20*P20</f>
        <v>399115.86000000243</v>
      </c>
      <c r="R20">
        <f t="shared" ref="R20" si="77">R21+Q20</f>
        <v>-158934651.76634091</v>
      </c>
      <c r="S20">
        <f t="shared" ref="S20" si="78">R20/100000</f>
        <v>-1589.346517663409</v>
      </c>
      <c r="T20">
        <f t="shared" ref="T20" si="79">S20/1000</f>
        <v>-1.589346517663409</v>
      </c>
    </row>
    <row r="21" spans="1:20" x14ac:dyDescent="0.25">
      <c r="A21" s="5">
        <v>44572</v>
      </c>
      <c r="B21">
        <v>2.7410000000000001</v>
      </c>
      <c r="C21">
        <v>2.8809999999999998</v>
      </c>
      <c r="D21">
        <v>2.7040000000000002</v>
      </c>
      <c r="E21">
        <v>2.8039999999999998</v>
      </c>
      <c r="F21">
        <v>711458.7</v>
      </c>
      <c r="G21">
        <v>2.8039999999999998</v>
      </c>
      <c r="L21" t="s">
        <v>8</v>
      </c>
      <c r="M21" t="s">
        <v>7</v>
      </c>
      <c r="N21" t="s">
        <v>8</v>
      </c>
      <c r="P21">
        <f t="shared" ref="P21" si="80">IF(C21=D21,0,((E21-D21)-(C21-E21))/(C21-D21))</f>
        <v>0.12994350282485728</v>
      </c>
      <c r="Q21">
        <f t="shared" ref="Q21" si="81">F21*P21</f>
        <v>92449.435593219285</v>
      </c>
      <c r="R21">
        <f t="shared" ref="R21" si="82">R22+Q21</f>
        <v>-159333767.62634093</v>
      </c>
      <c r="S21">
        <f t="shared" ref="S21" si="83">R21/100000</f>
        <v>-1593.3376762634093</v>
      </c>
      <c r="T21">
        <f t="shared" ref="T21" si="84">S21/1000</f>
        <v>-1.5933376762634093</v>
      </c>
    </row>
    <row r="22" spans="1:20" x14ac:dyDescent="0.25">
      <c r="A22" s="5">
        <v>44571</v>
      </c>
      <c r="B22">
        <v>2.867</v>
      </c>
      <c r="C22">
        <v>2.9750000000000001</v>
      </c>
      <c r="D22">
        <v>2.6110000000000002</v>
      </c>
      <c r="E22">
        <v>2.7389999999999999</v>
      </c>
      <c r="F22">
        <v>1199374.2</v>
      </c>
      <c r="G22">
        <v>2.7389999999999999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-0.29670329670329826</v>
      </c>
      <c r="Q22">
        <f t="shared" ref="Q22" si="86">F22*P22</f>
        <v>-355858.27912088099</v>
      </c>
      <c r="R22">
        <f t="shared" ref="R22" si="87">R23+Q22</f>
        <v>-159426217.06193414</v>
      </c>
      <c r="S22">
        <f t="shared" ref="S22" si="88">R22/100000</f>
        <v>-1594.2621706193415</v>
      </c>
      <c r="T22">
        <f t="shared" ref="T22" si="89">S22/1000</f>
        <v>-1.5942621706193416</v>
      </c>
    </row>
    <row r="23" spans="1:20" x14ac:dyDescent="0.25">
      <c r="A23" s="5">
        <v>44570</v>
      </c>
      <c r="B23">
        <v>2.7610000000000001</v>
      </c>
      <c r="C23">
        <v>3.0329999999999999</v>
      </c>
      <c r="D23">
        <v>2.7360000000000002</v>
      </c>
      <c r="E23">
        <v>2.875</v>
      </c>
      <c r="F23">
        <v>1052472.8</v>
      </c>
      <c r="G23">
        <v>2.875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-6.3973063973064473E-2</v>
      </c>
      <c r="Q23">
        <f t="shared" ref="Q23" si="91">F23*P23</f>
        <v>-67329.909764310287</v>
      </c>
      <c r="R23">
        <f t="shared" ref="R23" si="92">R24+Q23</f>
        <v>-159070358.78281325</v>
      </c>
      <c r="S23">
        <f t="shared" ref="S23" si="93">R23/100000</f>
        <v>-1590.7035878281324</v>
      </c>
      <c r="T23">
        <f t="shared" ref="T23" si="94">S23/1000</f>
        <v>-1.5907035878281324</v>
      </c>
    </row>
    <row r="24" spans="1:20" x14ac:dyDescent="0.25">
      <c r="A24" s="5">
        <v>44569</v>
      </c>
      <c r="B24">
        <v>2.8340000000000001</v>
      </c>
      <c r="C24">
        <v>2.948</v>
      </c>
      <c r="D24">
        <v>2.65</v>
      </c>
      <c r="E24">
        <v>2.7559999999999998</v>
      </c>
      <c r="F24">
        <v>1309433.1000000001</v>
      </c>
      <c r="G24">
        <v>2.7559999999999998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-0.28859060402684661</v>
      </c>
      <c r="Q24">
        <f t="shared" ref="Q24" si="96">F24*P24</f>
        <v>-377890.08926174627</v>
      </c>
      <c r="R24">
        <f t="shared" ref="R24" si="97">R25+Q24</f>
        <v>-159003028.87304893</v>
      </c>
      <c r="S24">
        <f t="shared" ref="S24" si="98">R24/100000</f>
        <v>-1590.0302887304892</v>
      </c>
      <c r="T24">
        <f t="shared" ref="T24" si="99">S24/1000</f>
        <v>-1.5900302887304893</v>
      </c>
    </row>
    <row r="25" spans="1:20" x14ac:dyDescent="0.25">
      <c r="A25" s="5">
        <v>44568</v>
      </c>
      <c r="B25">
        <v>3.0150000000000001</v>
      </c>
      <c r="C25">
        <v>3.0310000000000001</v>
      </c>
      <c r="D25">
        <v>2.7669999999999999</v>
      </c>
      <c r="E25">
        <v>2.8319999999999999</v>
      </c>
      <c r="F25">
        <v>1532787.8</v>
      </c>
      <c r="G25">
        <v>2.8319999999999999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-0.50757575757575846</v>
      </c>
      <c r="Q25">
        <f t="shared" ref="Q25" si="101">F25*P25</f>
        <v>-778005.92878788011</v>
      </c>
      <c r="R25">
        <f t="shared" ref="R25" si="102">R26+Q25</f>
        <v>-158625138.78378719</v>
      </c>
      <c r="S25">
        <f t="shared" ref="S25" si="103">R25/100000</f>
        <v>-1586.251387837872</v>
      </c>
      <c r="T25">
        <f t="shared" ref="T25" si="104">S25/1000</f>
        <v>-1.5862513878378721</v>
      </c>
    </row>
    <row r="26" spans="1:20" x14ac:dyDescent="0.25">
      <c r="A26" s="5">
        <v>44567</v>
      </c>
      <c r="B26">
        <v>3.105</v>
      </c>
      <c r="C26">
        <v>3.1659999999999999</v>
      </c>
      <c r="D26">
        <v>2.9020000000000001</v>
      </c>
      <c r="E26">
        <v>3.0169999999999999</v>
      </c>
      <c r="F26">
        <v>1414807.3</v>
      </c>
      <c r="G26">
        <v>3.0169999999999999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-0.12878787878787984</v>
      </c>
      <c r="Q26">
        <f t="shared" ref="Q26" si="106">F26*P26</f>
        <v>-182210.03106060755</v>
      </c>
      <c r="R26">
        <f t="shared" ref="R26" si="107">R27+Q26</f>
        <v>-157847132.8549993</v>
      </c>
      <c r="S26">
        <f t="shared" ref="S26" si="108">R26/100000</f>
        <v>-1578.4713285499931</v>
      </c>
      <c r="T26">
        <f t="shared" ref="T26" si="109">S26/1000</f>
        <v>-1.5784713285499932</v>
      </c>
    </row>
    <row r="27" spans="1:20" x14ac:dyDescent="0.25">
      <c r="A27" s="5">
        <v>44566</v>
      </c>
      <c r="B27">
        <v>3.4260000000000002</v>
      </c>
      <c r="C27">
        <v>3.6</v>
      </c>
      <c r="D27">
        <v>2.9369999999999998</v>
      </c>
      <c r="E27">
        <v>3.1080000000000001</v>
      </c>
      <c r="F27">
        <v>3164657</v>
      </c>
      <c r="G27">
        <v>3.1080000000000001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-0.4841628959276012</v>
      </c>
      <c r="Q27">
        <f t="shared" ref="Q27" si="111">F27*P27</f>
        <v>-1532209.4977375546</v>
      </c>
      <c r="R27">
        <f t="shared" ref="R27" si="112">R28+Q27</f>
        <v>-157664922.8239387</v>
      </c>
      <c r="S27">
        <f t="shared" ref="S27" si="113">R27/100000</f>
        <v>-1576.649228239387</v>
      </c>
      <c r="T27">
        <f t="shared" ref="T27" si="114">S27/1000</f>
        <v>-1.5766492282393869</v>
      </c>
    </row>
    <row r="28" spans="1:20" x14ac:dyDescent="0.25">
      <c r="A28" s="5">
        <v>44565</v>
      </c>
      <c r="B28">
        <v>3.2530000000000001</v>
      </c>
      <c r="C28">
        <v>3.6269999999999998</v>
      </c>
      <c r="D28">
        <v>3.2410000000000001</v>
      </c>
      <c r="E28">
        <v>3.4319999999999999</v>
      </c>
      <c r="F28">
        <v>4862660.5999999996</v>
      </c>
      <c r="G28">
        <v>3.4319999999999999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-1.0362694300518152E-2</v>
      </c>
      <c r="Q28">
        <f t="shared" ref="Q28" si="116">F28*P28</f>
        <v>-50390.265284974179</v>
      </c>
      <c r="R28">
        <f t="shared" ref="R28" si="117">R29+Q28</f>
        <v>-156132713.32620114</v>
      </c>
      <c r="S28">
        <f t="shared" ref="S28" si="118">R28/100000</f>
        <v>-1561.3271332620113</v>
      </c>
      <c r="T28">
        <f t="shared" ref="T28" si="119">S28/1000</f>
        <v>-1.5613271332620113</v>
      </c>
    </row>
    <row r="29" spans="1:20" x14ac:dyDescent="0.25">
      <c r="A29" s="5">
        <v>44564</v>
      </c>
      <c r="B29">
        <v>3.202</v>
      </c>
      <c r="C29">
        <v>3.298</v>
      </c>
      <c r="D29">
        <v>3.1</v>
      </c>
      <c r="E29">
        <v>3.2530000000000001</v>
      </c>
      <c r="F29">
        <v>1599835.3</v>
      </c>
      <c r="G29">
        <v>3.2530000000000001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0.54545454545454608</v>
      </c>
      <c r="Q29">
        <f t="shared" ref="Q29" si="121">F29*P29</f>
        <v>872637.43636363745</v>
      </c>
      <c r="R29">
        <f t="shared" ref="R29" si="122">R30+Q29</f>
        <v>-156082323.06091616</v>
      </c>
      <c r="S29">
        <f t="shared" ref="S29" si="123">R29/100000</f>
        <v>-1560.8232306091616</v>
      </c>
      <c r="T29">
        <f t="shared" ref="T29" si="124">S29/1000</f>
        <v>-1.5608232306091616</v>
      </c>
    </row>
    <row r="30" spans="1:20" x14ac:dyDescent="0.25">
      <c r="A30" s="5">
        <v>44563</v>
      </c>
      <c r="B30">
        <v>3.1030000000000002</v>
      </c>
      <c r="C30">
        <v>3.3010000000000002</v>
      </c>
      <c r="D30">
        <v>3.0609999999999999</v>
      </c>
      <c r="E30">
        <v>3.206</v>
      </c>
      <c r="F30">
        <v>1927093.1</v>
      </c>
      <c r="G30">
        <v>3.206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0.2083333333333324</v>
      </c>
      <c r="Q30">
        <f t="shared" ref="Q30" si="126">F30*P30</f>
        <v>401477.72916666488</v>
      </c>
      <c r="R30">
        <f t="shared" ref="R30" si="127">R31+Q30</f>
        <v>-156954960.49727979</v>
      </c>
      <c r="S30">
        <f t="shared" ref="S30" si="128">R30/100000</f>
        <v>-1569.5496049727979</v>
      </c>
      <c r="T30">
        <f t="shared" ref="T30" si="129">S30/1000</f>
        <v>-1.5695496049727979</v>
      </c>
    </row>
    <row r="31" spans="1:20" x14ac:dyDescent="0.25">
      <c r="A31" s="5">
        <v>44562</v>
      </c>
      <c r="B31">
        <v>2.94</v>
      </c>
      <c r="C31">
        <v>3.1030000000000002</v>
      </c>
      <c r="D31">
        <v>2.9369999999999998</v>
      </c>
      <c r="E31">
        <v>3.1030000000000002</v>
      </c>
      <c r="F31">
        <v>581151.4</v>
      </c>
      <c r="G31">
        <v>3.1030000000000002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1</v>
      </c>
      <c r="Q31">
        <f t="shared" ref="Q31" si="131">F31*P31</f>
        <v>581151.4</v>
      </c>
      <c r="R31">
        <f t="shared" ref="R31" si="132">R32+Q31</f>
        <v>-157356438.22644645</v>
      </c>
      <c r="S31">
        <f t="shared" ref="S31" si="133">R31/100000</f>
        <v>-1573.5643822644645</v>
      </c>
      <c r="T31">
        <f t="shared" ref="T31" si="134">S31/1000</f>
        <v>-1.5735643822644645</v>
      </c>
    </row>
    <row r="32" spans="1:20" x14ac:dyDescent="0.25">
      <c r="A32" s="5">
        <v>44561</v>
      </c>
      <c r="B32">
        <v>3.0880000000000001</v>
      </c>
      <c r="C32">
        <v>3.133</v>
      </c>
      <c r="D32">
        <v>2.907</v>
      </c>
      <c r="E32">
        <v>2.9409999999999998</v>
      </c>
      <c r="F32">
        <v>1169673.8</v>
      </c>
      <c r="G32">
        <v>2.9409999999999998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-0.69911504424778925</v>
      </c>
      <c r="Q32">
        <f t="shared" ref="Q32" si="136">F32*P32</f>
        <v>-817736.55044247978</v>
      </c>
      <c r="R32">
        <f t="shared" ref="R32" si="137">R33+Q32</f>
        <v>-157937589.62644646</v>
      </c>
      <c r="S32">
        <f t="shared" ref="S32" si="138">R32/100000</f>
        <v>-1579.3758962644645</v>
      </c>
      <c r="T32">
        <f t="shared" ref="T32" si="139">S32/1000</f>
        <v>-1.5793758962644644</v>
      </c>
    </row>
    <row r="33" spans="1:20" x14ac:dyDescent="0.25">
      <c r="A33" s="5">
        <v>44560</v>
      </c>
      <c r="B33">
        <v>3.0339999999999998</v>
      </c>
      <c r="C33">
        <v>3.1869999999999998</v>
      </c>
      <c r="D33">
        <v>2.96</v>
      </c>
      <c r="E33">
        <v>3.089</v>
      </c>
      <c r="F33">
        <v>1951024.6</v>
      </c>
      <c r="G33">
        <v>3.089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0.13656387665198308</v>
      </c>
      <c r="Q33">
        <f t="shared" ref="Q33" si="141">F33*P33</f>
        <v>266439.48281938466</v>
      </c>
      <c r="R33">
        <f t="shared" ref="R33" si="142">R34+Q33</f>
        <v>-157119853.07600397</v>
      </c>
      <c r="S33">
        <f t="shared" ref="S33" si="143">R33/100000</f>
        <v>-1571.1985307600396</v>
      </c>
      <c r="T33">
        <f t="shared" ref="T33" si="144">S33/1000</f>
        <v>-1.5711985307600396</v>
      </c>
    </row>
    <row r="34" spans="1:20" x14ac:dyDescent="0.25">
      <c r="A34" s="5">
        <v>44559</v>
      </c>
      <c r="B34">
        <v>3.0339999999999998</v>
      </c>
      <c r="C34">
        <v>3.254</v>
      </c>
      <c r="D34">
        <v>2.9340000000000002</v>
      </c>
      <c r="E34">
        <v>3.0329999999999999</v>
      </c>
      <c r="F34">
        <v>1769518.1</v>
      </c>
      <c r="G34">
        <v>3.0329999999999999</v>
      </c>
      <c r="L34" t="s">
        <v>7</v>
      </c>
      <c r="M34" t="s">
        <v>8</v>
      </c>
      <c r="N34" t="s">
        <v>8</v>
      </c>
      <c r="P34">
        <f t="shared" ref="P34" si="145">IF(C34=D34,0,((E34-D34)-(C34-E34))/(C34-D34))</f>
        <v>-0.3812500000000012</v>
      </c>
      <c r="Q34">
        <f t="shared" ref="Q34" si="146">F34*P34</f>
        <v>-674628.7756250021</v>
      </c>
      <c r="R34">
        <f t="shared" ref="R34" si="147">R35+Q34</f>
        <v>-157386292.55882335</v>
      </c>
      <c r="S34">
        <f t="shared" ref="S34" si="148">R34/100000</f>
        <v>-1573.8629255882336</v>
      </c>
      <c r="T34">
        <f t="shared" ref="T34" si="149">S34/1000</f>
        <v>-1.5738629255882335</v>
      </c>
    </row>
    <row r="35" spans="1:20" x14ac:dyDescent="0.25">
      <c r="A35" s="5">
        <v>44558</v>
      </c>
      <c r="B35">
        <v>3.3959999999999999</v>
      </c>
      <c r="C35">
        <v>3.42</v>
      </c>
      <c r="D35">
        <v>2.9860000000000002</v>
      </c>
      <c r="E35">
        <v>3.0310000000000001</v>
      </c>
      <c r="F35">
        <v>2733256.7</v>
      </c>
      <c r="G35">
        <v>3.0310000000000001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-0.79262672811059931</v>
      </c>
      <c r="Q35">
        <f t="shared" ref="Q35" si="151">F35*P35</f>
        <v>-2166452.3152073743</v>
      </c>
      <c r="R35">
        <f t="shared" ref="R35" si="152">R36+Q35</f>
        <v>-156711663.78319836</v>
      </c>
      <c r="S35">
        <f t="shared" ref="S35" si="153">R35/100000</f>
        <v>-1567.1166378319836</v>
      </c>
      <c r="T35">
        <f t="shared" ref="T35" si="154">S35/1000</f>
        <v>-1.5671166378319836</v>
      </c>
    </row>
    <row r="36" spans="1:20" x14ac:dyDescent="0.25">
      <c r="A36" s="5">
        <v>44557</v>
      </c>
      <c r="B36">
        <v>3.089</v>
      </c>
      <c r="C36">
        <v>3.47</v>
      </c>
      <c r="D36">
        <v>3.07</v>
      </c>
      <c r="E36">
        <v>3.3969999999999998</v>
      </c>
      <c r="F36">
        <v>2429899.7999999998</v>
      </c>
      <c r="G36">
        <v>3.3969999999999998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0.63499999999999834</v>
      </c>
      <c r="Q36">
        <f t="shared" ref="Q36" si="156">F36*P36</f>
        <v>1542986.3729999959</v>
      </c>
      <c r="R36">
        <f t="shared" ref="R36" si="157">R37+Q36</f>
        <v>-154545211.46799099</v>
      </c>
      <c r="S36">
        <f t="shared" ref="S36" si="158">R36/100000</f>
        <v>-1545.45211467991</v>
      </c>
      <c r="T36">
        <f t="shared" ref="T36" si="159">S36/1000</f>
        <v>-1.5454521146799101</v>
      </c>
    </row>
    <row r="37" spans="1:20" x14ac:dyDescent="0.25">
      <c r="A37" s="5">
        <v>44556</v>
      </c>
      <c r="B37">
        <v>3.1339999999999999</v>
      </c>
      <c r="C37">
        <v>3.1680000000000001</v>
      </c>
      <c r="D37">
        <v>2.94</v>
      </c>
      <c r="E37">
        <v>3.089</v>
      </c>
      <c r="F37">
        <v>1548515.6</v>
      </c>
      <c r="G37">
        <v>3.089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0.30701754385964813</v>
      </c>
      <c r="Q37">
        <f t="shared" ref="Q37" si="161">F37*P37</f>
        <v>475421.45614034939</v>
      </c>
      <c r="R37">
        <f t="shared" ref="R37" si="162">R38+Q37</f>
        <v>-156088197.84099099</v>
      </c>
      <c r="S37">
        <f t="shared" ref="S37" si="163">R37/100000</f>
        <v>-1560.8819784099098</v>
      </c>
      <c r="T37">
        <f t="shared" ref="T37" si="164">S37/1000</f>
        <v>-1.5608819784099099</v>
      </c>
    </row>
    <row r="38" spans="1:20" x14ac:dyDescent="0.25">
      <c r="A38" s="5">
        <v>44555</v>
      </c>
      <c r="B38">
        <v>3.093</v>
      </c>
      <c r="C38">
        <v>3.1819999999999999</v>
      </c>
      <c r="D38">
        <v>3.06</v>
      </c>
      <c r="E38">
        <v>3.1379999999999999</v>
      </c>
      <c r="F38">
        <v>482663.4</v>
      </c>
      <c r="G38">
        <v>3.1379999999999999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0.27868852459016263</v>
      </c>
      <c r="Q38">
        <f t="shared" ref="Q38" si="166">F38*P38</f>
        <v>134512.75081967152</v>
      </c>
      <c r="R38">
        <f t="shared" ref="R38" si="167">R39+Q38</f>
        <v>-156563619.29713133</v>
      </c>
      <c r="S38">
        <f t="shared" ref="S38" si="168">R38/100000</f>
        <v>-1565.6361929713132</v>
      </c>
      <c r="T38">
        <f t="shared" ref="T38" si="169">S38/1000</f>
        <v>-1.5656361929713132</v>
      </c>
    </row>
    <row r="39" spans="1:20" x14ac:dyDescent="0.25">
      <c r="A39" s="5">
        <v>44554</v>
      </c>
      <c r="B39">
        <v>3.2890000000000001</v>
      </c>
      <c r="C39">
        <v>3.2930000000000001</v>
      </c>
      <c r="D39">
        <v>3.0430000000000001</v>
      </c>
      <c r="E39">
        <v>3.089</v>
      </c>
      <c r="F39">
        <v>1098834.2</v>
      </c>
      <c r="G39">
        <v>3.089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-0.63200000000000145</v>
      </c>
      <c r="Q39">
        <f t="shared" ref="Q39" si="171">F39*P39</f>
        <v>-694463.21440000157</v>
      </c>
      <c r="R39">
        <f t="shared" ref="R39" si="172">R40+Q39</f>
        <v>-156698132.04795101</v>
      </c>
      <c r="S39">
        <f t="shared" ref="S39" si="173">R39/100000</f>
        <v>-1566.98132047951</v>
      </c>
      <c r="T39">
        <f t="shared" ref="T39" si="174">S39/1000</f>
        <v>-1.56698132047951</v>
      </c>
    </row>
    <row r="40" spans="1:20" x14ac:dyDescent="0.25">
      <c r="A40" s="5">
        <v>44553</v>
      </c>
      <c r="B40">
        <v>3.0819999999999999</v>
      </c>
      <c r="C40">
        <v>3.2989999999999999</v>
      </c>
      <c r="D40">
        <v>2.9980000000000002</v>
      </c>
      <c r="E40">
        <v>3.2879999999999998</v>
      </c>
      <c r="F40">
        <v>1353825.9</v>
      </c>
      <c r="G40">
        <v>3.2879999999999998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0.92691029900332134</v>
      </c>
      <c r="Q40">
        <f t="shared" ref="Q40" si="176">F40*P40</f>
        <v>1254875.1697674405</v>
      </c>
      <c r="R40">
        <f t="shared" ref="R40" si="177">R41+Q40</f>
        <v>-156003668.83355102</v>
      </c>
      <c r="S40">
        <f t="shared" ref="S40" si="178">R40/100000</f>
        <v>-1560.0366883355102</v>
      </c>
      <c r="T40">
        <f t="shared" ref="T40" si="179">S40/1000</f>
        <v>-1.5600366883355101</v>
      </c>
    </row>
    <row r="41" spans="1:20" x14ac:dyDescent="0.25">
      <c r="A41" s="5">
        <v>44552</v>
      </c>
      <c r="B41">
        <v>2.9470000000000001</v>
      </c>
      <c r="C41">
        <v>3.2879999999999998</v>
      </c>
      <c r="D41">
        <v>2.9369999999999998</v>
      </c>
      <c r="E41">
        <v>3.0779999999999998</v>
      </c>
      <c r="F41">
        <v>1977127.1</v>
      </c>
      <c r="G41">
        <v>3.0779999999999998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-0.19658119658119644</v>
      </c>
      <c r="Q41">
        <f t="shared" ref="Q41" si="181">F41*P41</f>
        <v>-388666.01111111086</v>
      </c>
      <c r="R41">
        <f t="shared" ref="R41" si="182">R42+Q41</f>
        <v>-157258544.00331846</v>
      </c>
      <c r="S41">
        <f t="shared" ref="S41" si="183">R41/100000</f>
        <v>-1572.5854400331846</v>
      </c>
      <c r="T41">
        <f t="shared" ref="T41" si="184">S41/1000</f>
        <v>-1.5725854400331847</v>
      </c>
    </row>
    <row r="42" spans="1:20" x14ac:dyDescent="0.25">
      <c r="A42" s="5">
        <v>44551</v>
      </c>
      <c r="B42">
        <v>2.7749999999999999</v>
      </c>
      <c r="C42">
        <v>3.0710000000000002</v>
      </c>
      <c r="D42">
        <v>2.7309999999999999</v>
      </c>
      <c r="E42">
        <v>2.9470000000000001</v>
      </c>
      <c r="F42">
        <v>3067870.8</v>
      </c>
      <c r="G42">
        <v>2.9470000000000001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0.27058823529411763</v>
      </c>
      <c r="Q42">
        <f t="shared" ref="Q42" si="186">F42*P42</f>
        <v>830129.74588235281</v>
      </c>
      <c r="R42">
        <f t="shared" ref="R42" si="187">R43+Q42</f>
        <v>-156869877.99220735</v>
      </c>
      <c r="S42">
        <f t="shared" ref="S42" si="188">R42/100000</f>
        <v>-1568.6987799220735</v>
      </c>
      <c r="T42">
        <f t="shared" ref="T42" si="189">S42/1000</f>
        <v>-1.5686987799220735</v>
      </c>
    </row>
    <row r="43" spans="1:20" x14ac:dyDescent="0.25">
      <c r="A43" s="5">
        <v>44550</v>
      </c>
      <c r="B43">
        <v>2.718</v>
      </c>
      <c r="C43">
        <v>2.7869999999999999</v>
      </c>
      <c r="D43">
        <v>2.5529999999999999</v>
      </c>
      <c r="E43">
        <v>2.7730000000000001</v>
      </c>
      <c r="F43">
        <v>1116907</v>
      </c>
      <c r="G43">
        <v>2.7730000000000001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0.8803418803418821</v>
      </c>
      <c r="Q43">
        <f t="shared" ref="Q43" si="191">F43*P43</f>
        <v>983260.00854701048</v>
      </c>
      <c r="R43">
        <f t="shared" ref="R43" si="192">R44+Q43</f>
        <v>-157700007.73808971</v>
      </c>
      <c r="S43">
        <f t="shared" ref="S43" si="193">R43/100000</f>
        <v>-1577.0000773808972</v>
      </c>
      <c r="T43">
        <f t="shared" ref="T43" si="194">S43/1000</f>
        <v>-1.5770000773808972</v>
      </c>
    </row>
    <row r="44" spans="1:20" x14ac:dyDescent="0.25">
      <c r="A44" s="5">
        <v>44549</v>
      </c>
      <c r="B44">
        <v>2.7959999999999998</v>
      </c>
      <c r="C44">
        <v>2.875</v>
      </c>
      <c r="D44">
        <v>2.7109999999999999</v>
      </c>
      <c r="E44">
        <v>2.7170000000000001</v>
      </c>
      <c r="F44">
        <v>728127.3</v>
      </c>
      <c r="G44">
        <v>2.7170000000000001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-0.9268292682926802</v>
      </c>
      <c r="Q44">
        <f t="shared" ref="Q44" si="196">F44*P44</f>
        <v>-674849.69268292491</v>
      </c>
      <c r="R44">
        <f t="shared" ref="R44" si="197">R45+Q44</f>
        <v>-158683267.74663672</v>
      </c>
      <c r="S44">
        <f t="shared" ref="S44" si="198">R44/100000</f>
        <v>-1586.8326774663672</v>
      </c>
      <c r="T44">
        <f t="shared" ref="T44" si="199">S44/1000</f>
        <v>-1.5868326774663672</v>
      </c>
    </row>
    <row r="45" spans="1:20" x14ac:dyDescent="0.25">
      <c r="A45" s="5">
        <v>44548</v>
      </c>
      <c r="B45">
        <v>2.7650000000000001</v>
      </c>
      <c r="C45">
        <v>2.919</v>
      </c>
      <c r="D45">
        <v>2.7090000000000001</v>
      </c>
      <c r="E45">
        <v>2.7970000000000002</v>
      </c>
      <c r="F45">
        <v>710146</v>
      </c>
      <c r="G45">
        <v>2.7970000000000002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-0.16190476190476102</v>
      </c>
      <c r="Q45">
        <f t="shared" ref="Q45" si="201">F45*P45</f>
        <v>-114976.01904761842</v>
      </c>
      <c r="R45">
        <f t="shared" ref="R45" si="202">R46+Q45</f>
        <v>-158008418.0539538</v>
      </c>
      <c r="S45">
        <f t="shared" ref="S45" si="203">R45/100000</f>
        <v>-1580.084180539538</v>
      </c>
      <c r="T45">
        <f t="shared" ref="T45" si="204">S45/1000</f>
        <v>-1.580084180539538</v>
      </c>
    </row>
    <row r="46" spans="1:20" x14ac:dyDescent="0.25">
      <c r="A46" s="5">
        <v>44547</v>
      </c>
      <c r="B46">
        <v>2.83</v>
      </c>
      <c r="C46">
        <v>3.0609999999999999</v>
      </c>
      <c r="D46">
        <v>2.6579999999999999</v>
      </c>
      <c r="E46">
        <v>2.7629999999999999</v>
      </c>
      <c r="F46">
        <v>1710387.9</v>
      </c>
      <c r="G46">
        <v>2.7629999999999999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-0.47890818858560807</v>
      </c>
      <c r="Q46">
        <f t="shared" ref="Q46" si="206">F46*P46</f>
        <v>-819118.77096774208</v>
      </c>
      <c r="R46">
        <f t="shared" ref="R46" si="207">R47+Q46</f>
        <v>-157893442.03490618</v>
      </c>
      <c r="S46">
        <f t="shared" ref="S46" si="208">R46/100000</f>
        <v>-1578.9344203490618</v>
      </c>
      <c r="T46">
        <f t="shared" ref="T46" si="209">S46/1000</f>
        <v>-1.5789344203490618</v>
      </c>
    </row>
    <row r="47" spans="1:20" x14ac:dyDescent="0.25">
      <c r="A47" s="5">
        <v>44546</v>
      </c>
      <c r="B47">
        <v>2.7829999999999999</v>
      </c>
      <c r="C47">
        <v>2.9990000000000001</v>
      </c>
      <c r="D47">
        <v>2.7730000000000001</v>
      </c>
      <c r="E47">
        <v>2.8279999999999998</v>
      </c>
      <c r="F47">
        <v>1213158.5</v>
      </c>
      <c r="G47">
        <v>2.8279999999999998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-0.5132743362831883</v>
      </c>
      <c r="Q47">
        <f t="shared" ref="Q47" si="211">F47*P47</f>
        <v>-622683.12389380834</v>
      </c>
      <c r="R47">
        <f t="shared" ref="R47" si="212">R48+Q47</f>
        <v>-157074323.26393843</v>
      </c>
      <c r="S47">
        <f t="shared" ref="S47" si="213">R47/100000</f>
        <v>-1570.7432326393844</v>
      </c>
      <c r="T47">
        <f t="shared" ref="T47" si="214">S47/1000</f>
        <v>-1.5707432326393844</v>
      </c>
    </row>
    <row r="48" spans="1:20" x14ac:dyDescent="0.25">
      <c r="A48" s="5">
        <v>44545</v>
      </c>
      <c r="B48">
        <v>2.7679999999999998</v>
      </c>
      <c r="C48">
        <v>2.9220000000000002</v>
      </c>
      <c r="D48">
        <v>2.54</v>
      </c>
      <c r="E48">
        <v>2.7789999999999999</v>
      </c>
      <c r="F48">
        <v>2612497.5</v>
      </c>
      <c r="G48">
        <v>2.7789999999999999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0.2513089005235592</v>
      </c>
      <c r="Q48">
        <f t="shared" ref="Q48" si="216">F48*P48</f>
        <v>656543.87434554705</v>
      </c>
      <c r="R48">
        <f t="shared" ref="R48" si="217">R49+Q48</f>
        <v>-156451640.14004463</v>
      </c>
      <c r="S48">
        <f t="shared" ref="S48" si="218">R48/100000</f>
        <v>-1564.5164014004463</v>
      </c>
      <c r="T48">
        <f t="shared" ref="T48" si="219">S48/1000</f>
        <v>-1.5645164014004462</v>
      </c>
    </row>
    <row r="49" spans="1:20" x14ac:dyDescent="0.25">
      <c r="A49" s="5">
        <v>44544</v>
      </c>
      <c r="B49">
        <v>2.7069999999999999</v>
      </c>
      <c r="C49">
        <v>2.8039999999999998</v>
      </c>
      <c r="D49">
        <v>2.6509999999999998</v>
      </c>
      <c r="E49">
        <v>2.7690000000000001</v>
      </c>
      <c r="F49">
        <v>1170122.42</v>
      </c>
      <c r="G49">
        <v>2.7690000000000001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0.54248366013072302</v>
      </c>
      <c r="Q49">
        <f t="shared" ref="Q49" si="221">F49*P49</f>
        <v>634772.29320261907</v>
      </c>
      <c r="R49">
        <f t="shared" ref="R49" si="222">R50+Q49</f>
        <v>-157108184.01439017</v>
      </c>
      <c r="S49">
        <f t="shared" ref="S49" si="223">R49/100000</f>
        <v>-1571.0818401439017</v>
      </c>
      <c r="T49">
        <f t="shared" ref="T49" si="224">S49/1000</f>
        <v>-1.5710818401439017</v>
      </c>
    </row>
    <row r="50" spans="1:20" x14ac:dyDescent="0.25">
      <c r="A50" s="5">
        <v>44543</v>
      </c>
      <c r="B50">
        <v>3.0419999999999998</v>
      </c>
      <c r="C50">
        <v>3.181</v>
      </c>
      <c r="D50">
        <v>2.6859999999999999</v>
      </c>
      <c r="E50">
        <v>2.71</v>
      </c>
      <c r="F50">
        <v>2271742.06</v>
      </c>
      <c r="G50">
        <v>2.71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-0.90303030303030296</v>
      </c>
      <c r="Q50">
        <f t="shared" ref="Q50" si="226">F50*P50</f>
        <v>-2051451.9208484848</v>
      </c>
      <c r="R50">
        <f t="shared" ref="R50" si="227">R51+Q50</f>
        <v>-157742956.30759278</v>
      </c>
      <c r="S50">
        <f t="shared" ref="S50" si="228">R50/100000</f>
        <v>-1577.4295630759277</v>
      </c>
      <c r="T50">
        <f t="shared" ref="T50" si="229">S50/1000</f>
        <v>-1.5774295630759276</v>
      </c>
    </row>
    <row r="51" spans="1:20" x14ac:dyDescent="0.25">
      <c r="A51" s="5">
        <v>44542</v>
      </c>
      <c r="B51">
        <v>2.9769999999999999</v>
      </c>
      <c r="C51">
        <v>3.081</v>
      </c>
      <c r="D51">
        <v>2.919</v>
      </c>
      <c r="E51">
        <v>3.0419999999999998</v>
      </c>
      <c r="F51">
        <v>809122.2</v>
      </c>
      <c r="G51">
        <v>3.0419999999999998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0.51851851851851649</v>
      </c>
      <c r="Q51">
        <f t="shared" ref="Q51" si="231">F51*P51</f>
        <v>419544.84444444277</v>
      </c>
      <c r="R51">
        <f t="shared" ref="R51" si="232">R52+Q51</f>
        <v>-155691504.38674429</v>
      </c>
      <c r="S51">
        <f t="shared" ref="S51" si="233">R51/100000</f>
        <v>-1556.9150438674428</v>
      </c>
      <c r="T51">
        <f t="shared" ref="T51" si="234">S51/1000</f>
        <v>-1.5569150438674428</v>
      </c>
    </row>
    <row r="52" spans="1:20" x14ac:dyDescent="0.25">
      <c r="A52" s="5">
        <v>44541</v>
      </c>
      <c r="B52">
        <v>2.8039999999999998</v>
      </c>
      <c r="C52">
        <v>2.8380000000000001</v>
      </c>
      <c r="D52">
        <v>2.738</v>
      </c>
      <c r="E52">
        <v>2.8210000000000002</v>
      </c>
      <c r="F52">
        <v>126567.6</v>
      </c>
      <c r="G52">
        <v>2.8210000000000002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0.66000000000000225</v>
      </c>
      <c r="Q52">
        <f t="shared" ref="Q52" si="236">F52*P52</f>
        <v>83534.616000000286</v>
      </c>
      <c r="R52">
        <f t="shared" ref="R52" si="237">R53+Q52</f>
        <v>-156111049.23118874</v>
      </c>
      <c r="S52">
        <f t="shared" ref="S52" si="238">R52/100000</f>
        <v>-1561.1104923118874</v>
      </c>
      <c r="T52">
        <f t="shared" ref="T52" si="239">S52/1000</f>
        <v>-1.5611104923118873</v>
      </c>
    </row>
    <row r="53" spans="1:20" x14ac:dyDescent="0.25">
      <c r="A53" s="5">
        <v>44540</v>
      </c>
      <c r="B53">
        <v>3.0179999999999998</v>
      </c>
      <c r="C53">
        <v>3.1120000000000001</v>
      </c>
      <c r="D53">
        <v>2.79</v>
      </c>
      <c r="E53">
        <v>2.806</v>
      </c>
      <c r="F53">
        <v>2104444.5</v>
      </c>
      <c r="G53">
        <v>2.806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-0.90062111801242228</v>
      </c>
      <c r="Q53">
        <f t="shared" ref="Q53" si="241">F53*P53</f>
        <v>-1895307.1583850931</v>
      </c>
      <c r="R53">
        <f t="shared" ref="R53" si="242">R54+Q53</f>
        <v>-156194583.84718874</v>
      </c>
      <c r="S53">
        <f t="shared" ref="S53" si="243">R53/100000</f>
        <v>-1561.9458384718873</v>
      </c>
      <c r="T53">
        <f t="shared" ref="T53" si="244">S53/1000</f>
        <v>-1.5619458384718874</v>
      </c>
    </row>
    <row r="54" spans="1:20" x14ac:dyDescent="0.25">
      <c r="A54" s="5">
        <v>44539</v>
      </c>
      <c r="B54">
        <v>3.3580000000000001</v>
      </c>
      <c r="C54">
        <v>3.403</v>
      </c>
      <c r="D54">
        <v>3.0139999999999998</v>
      </c>
      <c r="E54">
        <v>3.0179999999999998</v>
      </c>
      <c r="F54">
        <v>1134172.8</v>
      </c>
      <c r="G54">
        <v>3.0179999999999998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-0.97943444730077123</v>
      </c>
      <c r="Q54">
        <f t="shared" ref="Q54" si="246">F54*P54</f>
        <v>-1110847.9095115683</v>
      </c>
      <c r="R54">
        <f t="shared" ref="R54" si="247">R55+Q54</f>
        <v>-154299276.68880364</v>
      </c>
      <c r="S54">
        <f t="shared" ref="S54" si="248">R54/100000</f>
        <v>-1542.9927668880364</v>
      </c>
      <c r="T54">
        <f t="shared" ref="T54" si="249">S54/1000</f>
        <v>-1.5429927668880363</v>
      </c>
    </row>
    <row r="55" spans="1:20" x14ac:dyDescent="0.25">
      <c r="A55" s="5">
        <v>44538</v>
      </c>
      <c r="B55">
        <v>3.298</v>
      </c>
      <c r="C55">
        <v>3.4140000000000001</v>
      </c>
      <c r="D55">
        <v>3.133</v>
      </c>
      <c r="E55">
        <v>3.355</v>
      </c>
      <c r="F55">
        <v>975860</v>
      </c>
      <c r="G55">
        <v>3.355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0.58007117437722322</v>
      </c>
      <c r="Q55">
        <f t="shared" ref="Q55" si="251">F55*P55</f>
        <v>566068.25622775708</v>
      </c>
      <c r="R55">
        <f t="shared" ref="R55" si="252">R56+Q55</f>
        <v>-153188428.77929208</v>
      </c>
      <c r="S55">
        <f t="shared" ref="S55" si="253">R55/100000</f>
        <v>-1531.8842877929208</v>
      </c>
      <c r="T55">
        <f t="shared" ref="T55" si="254">S55/1000</f>
        <v>-1.5318842877929209</v>
      </c>
    </row>
    <row r="56" spans="1:20" x14ac:dyDescent="0.25">
      <c r="A56" s="5">
        <v>44537</v>
      </c>
      <c r="B56">
        <v>3.379</v>
      </c>
      <c r="C56">
        <v>3.4830000000000001</v>
      </c>
      <c r="D56">
        <v>3.2469999999999999</v>
      </c>
      <c r="E56">
        <v>3.2949999999999999</v>
      </c>
      <c r="F56">
        <v>1716641</v>
      </c>
      <c r="G56">
        <v>3.2949999999999999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-0.59322033898305082</v>
      </c>
      <c r="Q56">
        <f t="shared" ref="Q56" si="256">F56*P56</f>
        <v>-1018346.3559322034</v>
      </c>
      <c r="R56">
        <f t="shared" ref="R56" si="257">R57+Q56</f>
        <v>-153754497.03551984</v>
      </c>
      <c r="S56">
        <f t="shared" ref="S56" si="258">R56/100000</f>
        <v>-1537.5449703551983</v>
      </c>
      <c r="T56">
        <f t="shared" ref="T56" si="259">S56/1000</f>
        <v>-1.5375449703551982</v>
      </c>
    </row>
    <row r="57" spans="1:20" x14ac:dyDescent="0.25">
      <c r="A57" s="5">
        <v>44536</v>
      </c>
      <c r="B57">
        <v>3.38</v>
      </c>
      <c r="C57">
        <v>3.46</v>
      </c>
      <c r="D57">
        <v>2.9670000000000001</v>
      </c>
      <c r="E57">
        <v>3.3780000000000001</v>
      </c>
      <c r="F57">
        <v>2705804.5</v>
      </c>
      <c r="G57">
        <v>3.3780000000000001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0.66734279918864148</v>
      </c>
      <c r="Q57">
        <f t="shared" ref="Q57" si="261">F57*P57</f>
        <v>1805699.1490872225</v>
      </c>
      <c r="R57">
        <f t="shared" ref="R57" si="262">R58+Q57</f>
        <v>-152736150.67958763</v>
      </c>
      <c r="S57">
        <f t="shared" ref="S57" si="263">R57/100000</f>
        <v>-1527.3615067958763</v>
      </c>
      <c r="T57">
        <f t="shared" ref="T57" si="264">S57/1000</f>
        <v>-1.5273615067958763</v>
      </c>
    </row>
    <row r="58" spans="1:20" x14ac:dyDescent="0.25">
      <c r="A58" s="5">
        <v>44535</v>
      </c>
      <c r="B58">
        <v>3.6640000000000001</v>
      </c>
      <c r="C58">
        <v>3.6989999999999998</v>
      </c>
      <c r="D58">
        <v>3.2170000000000001</v>
      </c>
      <c r="E58">
        <v>3.3809999999999998</v>
      </c>
      <c r="F58">
        <v>2945263.8</v>
      </c>
      <c r="G58">
        <v>3.3809999999999998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-0.3195020746887976</v>
      </c>
      <c r="Q58">
        <f t="shared" ref="Q58" si="266">F58*P58</f>
        <v>-941017.8946058118</v>
      </c>
      <c r="R58">
        <f t="shared" ref="R58" si="267">R59+Q58</f>
        <v>-154541849.82867485</v>
      </c>
      <c r="S58">
        <f t="shared" ref="S58" si="268">R58/100000</f>
        <v>-1545.4184982867484</v>
      </c>
      <c r="T58">
        <f t="shared" ref="T58" si="269">S58/1000</f>
        <v>-1.5454184982867485</v>
      </c>
    </row>
    <row r="59" spans="1:20" x14ac:dyDescent="0.25">
      <c r="A59" s="5">
        <v>44534</v>
      </c>
      <c r="B59">
        <v>4.3029999999999999</v>
      </c>
      <c r="C59">
        <v>4.593</v>
      </c>
      <c r="D59">
        <v>3.17</v>
      </c>
      <c r="E59">
        <v>3.6669999999999998</v>
      </c>
      <c r="F59">
        <v>9143181.3000000007</v>
      </c>
      <c r="G59">
        <v>3.6669999999999998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-0.3014757554462405</v>
      </c>
      <c r="Q59">
        <f t="shared" ref="Q59" si="271">F59*P59</f>
        <v>-2756447.4895994393</v>
      </c>
      <c r="R59">
        <f t="shared" ref="R59" si="272">R60+Q59</f>
        <v>-153600831.93406904</v>
      </c>
      <c r="S59">
        <f t="shared" ref="S59" si="273">R59/100000</f>
        <v>-1536.0083193406904</v>
      </c>
      <c r="T59">
        <f t="shared" ref="T59" si="274">S59/1000</f>
        <v>-1.5360083193406904</v>
      </c>
    </row>
    <row r="60" spans="1:20" x14ac:dyDescent="0.25">
      <c r="A60" s="5">
        <v>44533</v>
      </c>
      <c r="B60">
        <v>4.1420000000000003</v>
      </c>
      <c r="C60">
        <v>5.7</v>
      </c>
      <c r="D60">
        <v>4.0389999999999997</v>
      </c>
      <c r="E60">
        <v>4.3109999999999999</v>
      </c>
      <c r="F60">
        <v>23273330.100000001</v>
      </c>
      <c r="G60">
        <v>4.3109999999999999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-0.67248645394340734</v>
      </c>
      <c r="Q60">
        <f t="shared" ref="Q60" si="276">F60*P60</f>
        <v>-15650999.230403367</v>
      </c>
      <c r="R60">
        <f t="shared" ref="R60" si="277">R61+Q60</f>
        <v>-150844384.4444696</v>
      </c>
      <c r="S60">
        <f t="shared" ref="S60" si="278">R60/100000</f>
        <v>-1508.443844444696</v>
      </c>
      <c r="T60">
        <f t="shared" ref="T60" si="279">S60/1000</f>
        <v>-1.5084438444446959</v>
      </c>
    </row>
    <row r="61" spans="1:20" x14ac:dyDescent="0.25">
      <c r="A61" s="5">
        <v>44532</v>
      </c>
      <c r="B61">
        <v>4.117</v>
      </c>
      <c r="C61">
        <v>4.2590000000000003</v>
      </c>
      <c r="D61">
        <v>3.9020000000000001</v>
      </c>
      <c r="E61">
        <v>4.1440000000000001</v>
      </c>
      <c r="F61">
        <v>1531775.6</v>
      </c>
      <c r="G61">
        <v>4.1440000000000001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0.35574229691876669</v>
      </c>
      <c r="Q61">
        <f t="shared" ref="Q61" si="281">F61*P61</f>
        <v>544917.37030812202</v>
      </c>
      <c r="R61">
        <f t="shared" ref="R61" si="282">R62+Q61</f>
        <v>-135193385.21406624</v>
      </c>
      <c r="S61">
        <f t="shared" ref="S61" si="283">R61/100000</f>
        <v>-1351.9338521406623</v>
      </c>
      <c r="T61">
        <f t="shared" ref="T61" si="284">S61/1000</f>
        <v>-1.3519338521406623</v>
      </c>
    </row>
    <row r="62" spans="1:20" x14ac:dyDescent="0.25">
      <c r="A62" s="5">
        <v>44531</v>
      </c>
      <c r="B62">
        <v>4.0220000000000002</v>
      </c>
      <c r="C62">
        <v>4.2469999999999999</v>
      </c>
      <c r="D62">
        <v>3.9740000000000002</v>
      </c>
      <c r="E62">
        <v>4.1210000000000004</v>
      </c>
      <c r="F62">
        <v>1263212.6000000001</v>
      </c>
      <c r="G62">
        <v>4.1210000000000004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7.6923076923079925E-2</v>
      </c>
      <c r="Q62">
        <f t="shared" ref="Q62" si="286">F62*P62</f>
        <v>97170.200000003795</v>
      </c>
      <c r="R62">
        <f t="shared" ref="R62" si="287">R63+Q62</f>
        <v>-135738302.58437437</v>
      </c>
      <c r="S62">
        <f t="shared" ref="S62" si="288">R62/100000</f>
        <v>-1357.3830258437438</v>
      </c>
      <c r="T62">
        <f t="shared" ref="T62" si="289">S62/1000</f>
        <v>-1.3573830258437438</v>
      </c>
    </row>
    <row r="63" spans="1:20" x14ac:dyDescent="0.25">
      <c r="A63" s="5">
        <v>44530</v>
      </c>
      <c r="B63">
        <v>4.0590000000000002</v>
      </c>
      <c r="C63">
        <v>4.17</v>
      </c>
      <c r="D63">
        <v>3.923</v>
      </c>
      <c r="E63">
        <v>4.0140000000000002</v>
      </c>
      <c r="F63">
        <v>1226071.1000000001</v>
      </c>
      <c r="G63">
        <v>4.0140000000000002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-0.2631578947368402</v>
      </c>
      <c r="Q63">
        <f t="shared" ref="Q63" si="291">F63*P63</f>
        <v>-322650.28947368189</v>
      </c>
      <c r="R63">
        <f t="shared" ref="R63" si="292">R64+Q63</f>
        <v>-135835472.78437439</v>
      </c>
      <c r="S63">
        <f t="shared" ref="S63" si="293">R63/100000</f>
        <v>-1358.3547278437438</v>
      </c>
      <c r="T63">
        <f t="shared" ref="T63" si="294">S63/1000</f>
        <v>-1.3583547278437438</v>
      </c>
    </row>
    <row r="64" spans="1:20" x14ac:dyDescent="0.25">
      <c r="A64" s="5">
        <v>44529</v>
      </c>
      <c r="B64">
        <v>4.0309999999999997</v>
      </c>
      <c r="C64">
        <v>4.4020000000000001</v>
      </c>
      <c r="D64">
        <v>3.9630000000000001</v>
      </c>
      <c r="E64">
        <v>4.0629999999999997</v>
      </c>
      <c r="F64">
        <v>1945928.9</v>
      </c>
      <c r="G64">
        <v>4.0629999999999997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-0.54441913439635703</v>
      </c>
      <c r="Q64">
        <f t="shared" ref="Q64" si="296">F64*P64</f>
        <v>-1059400.9273348551</v>
      </c>
      <c r="R64">
        <f t="shared" ref="R64" si="297">R65+Q64</f>
        <v>-135512822.4949007</v>
      </c>
      <c r="S64">
        <f t="shared" ref="S64" si="298">R64/100000</f>
        <v>-1355.1282249490071</v>
      </c>
      <c r="T64">
        <f t="shared" ref="T64" si="299">S64/1000</f>
        <v>-1.3551282249490071</v>
      </c>
    </row>
    <row r="65" spans="1:20" x14ac:dyDescent="0.25">
      <c r="A65" s="5">
        <v>44528</v>
      </c>
      <c r="B65">
        <v>4.0090000000000003</v>
      </c>
      <c r="C65">
        <v>4.0469999999999997</v>
      </c>
      <c r="D65">
        <v>3.73</v>
      </c>
      <c r="E65">
        <v>4.0359999999999996</v>
      </c>
      <c r="F65">
        <v>1616271.6</v>
      </c>
      <c r="G65">
        <v>4.0359999999999996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0.93059936908517271</v>
      </c>
      <c r="Q65">
        <f t="shared" ref="Q65" si="301">F65*P65</f>
        <v>1504101.3312302828</v>
      </c>
      <c r="R65">
        <f t="shared" ref="R65" si="302">R66+Q65</f>
        <v>-134453421.56756586</v>
      </c>
      <c r="S65">
        <f t="shared" ref="S65" si="303">R65/100000</f>
        <v>-1344.5342156756585</v>
      </c>
      <c r="T65">
        <f t="shared" ref="T65" si="304">S65/1000</f>
        <v>-1.3445342156756586</v>
      </c>
    </row>
    <row r="66" spans="1:20" x14ac:dyDescent="0.25">
      <c r="A66" s="5">
        <v>44527</v>
      </c>
      <c r="B66">
        <v>3.7</v>
      </c>
      <c r="C66">
        <v>4.5460000000000003</v>
      </c>
      <c r="D66">
        <v>3.6840000000000002</v>
      </c>
      <c r="E66">
        <v>4.0090000000000003</v>
      </c>
      <c r="F66">
        <v>7379570</v>
      </c>
      <c r="G66">
        <v>4.0090000000000003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-0.24593967517401361</v>
      </c>
      <c r="Q66">
        <f t="shared" ref="Q66" si="306">F66*P66</f>
        <v>-1814929.0487238956</v>
      </c>
      <c r="R66">
        <f t="shared" ref="R66" si="307">R67+Q66</f>
        <v>-135957522.89879614</v>
      </c>
      <c r="S66">
        <f t="shared" ref="S66" si="308">R66/100000</f>
        <v>-1359.5752289879615</v>
      </c>
      <c r="T66">
        <f t="shared" ref="T66" si="309">S66/1000</f>
        <v>-1.3595752289879615</v>
      </c>
    </row>
    <row r="67" spans="1:20" x14ac:dyDescent="0.25">
      <c r="A67" s="5">
        <v>44526</v>
      </c>
      <c r="B67">
        <v>4.2270000000000003</v>
      </c>
      <c r="C67">
        <v>4.2770000000000001</v>
      </c>
      <c r="D67">
        <v>3.6339999999999999</v>
      </c>
      <c r="E67">
        <v>3.7010000000000001</v>
      </c>
      <c r="F67">
        <v>1663918.4</v>
      </c>
      <c r="G67">
        <v>3.7010000000000001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-0.79160186625194351</v>
      </c>
      <c r="Q67">
        <f t="shared" ref="Q67" si="311">F67*P67</f>
        <v>-1317160.9107309477</v>
      </c>
      <c r="R67">
        <f t="shared" ref="R67" si="312">R68+Q67</f>
        <v>-134142593.85007223</v>
      </c>
      <c r="S67">
        <f t="shared" ref="S67" si="313">R67/100000</f>
        <v>-1341.4259385007224</v>
      </c>
      <c r="T67">
        <f t="shared" ref="T67" si="314">S67/1000</f>
        <v>-1.3414259385007223</v>
      </c>
    </row>
    <row r="68" spans="1:20" x14ac:dyDescent="0.25">
      <c r="A68" s="5">
        <v>44525</v>
      </c>
      <c r="B68">
        <v>3.9260000000000002</v>
      </c>
      <c r="C68">
        <v>4.2649999999999997</v>
      </c>
      <c r="D68">
        <v>3.8980000000000001</v>
      </c>
      <c r="E68">
        <v>4.2220000000000004</v>
      </c>
      <c r="F68">
        <v>1514196.8</v>
      </c>
      <c r="G68">
        <v>4.2220000000000004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0.76566757493188387</v>
      </c>
      <c r="Q68">
        <f t="shared" ref="Q68" si="316">F68*P68</f>
        <v>1159371.3918256187</v>
      </c>
      <c r="R68">
        <f t="shared" ref="R68" si="317">R69+Q68</f>
        <v>-132825432.93934129</v>
      </c>
      <c r="S68">
        <f t="shared" ref="S68" si="318">R68/100000</f>
        <v>-1328.2543293934129</v>
      </c>
      <c r="T68">
        <f t="shared" ref="T68" si="319">S68/1000</f>
        <v>-1.328254329393413</v>
      </c>
    </row>
    <row r="69" spans="1:20" x14ac:dyDescent="0.25">
      <c r="A69" s="5">
        <v>44524</v>
      </c>
      <c r="B69">
        <v>4.0330000000000004</v>
      </c>
      <c r="C69">
        <v>4.1429999999999998</v>
      </c>
      <c r="D69">
        <v>3.9359999999999999</v>
      </c>
      <c r="E69">
        <v>4.03</v>
      </c>
      <c r="F69">
        <v>489084.9</v>
      </c>
      <c r="G69">
        <v>4.03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-9.1787439613522967E-2</v>
      </c>
      <c r="Q69">
        <f t="shared" ref="Q69" si="321">F69*P69</f>
        <v>-44891.850724635922</v>
      </c>
      <c r="R69">
        <f t="shared" ref="R69" si="322">R70+Q69</f>
        <v>-133984804.33116691</v>
      </c>
      <c r="S69">
        <f t="shared" ref="S69" si="323">R69/100000</f>
        <v>-1339.848043311669</v>
      </c>
      <c r="T69">
        <f t="shared" ref="T69" si="324">S69/1000</f>
        <v>-1.3398480433116691</v>
      </c>
    </row>
    <row r="70" spans="1:20" x14ac:dyDescent="0.25">
      <c r="A70" s="5">
        <v>44523</v>
      </c>
      <c r="B70">
        <v>3.9279999999999999</v>
      </c>
      <c r="C70">
        <v>4.07</v>
      </c>
      <c r="D70">
        <v>3.8220000000000001</v>
      </c>
      <c r="E70">
        <v>4.0330000000000004</v>
      </c>
      <c r="F70">
        <v>1197178.2</v>
      </c>
      <c r="G70">
        <v>4.0330000000000004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0.70161290322580738</v>
      </c>
      <c r="Q70">
        <f t="shared" ref="Q70" si="326">F70*P70</f>
        <v>839955.67258064623</v>
      </c>
      <c r="R70">
        <f t="shared" ref="R70" si="327">R71+Q70</f>
        <v>-133939912.48044227</v>
      </c>
      <c r="S70">
        <f t="shared" ref="S70" si="328">R70/100000</f>
        <v>-1339.3991248044226</v>
      </c>
      <c r="T70">
        <f t="shared" ref="T70" si="329">S70/1000</f>
        <v>-1.3393991248044226</v>
      </c>
    </row>
    <row r="71" spans="1:20" x14ac:dyDescent="0.25">
      <c r="A71" s="5">
        <v>44522</v>
      </c>
      <c r="B71">
        <v>4.1609999999999996</v>
      </c>
      <c r="C71">
        <v>4.1900000000000004</v>
      </c>
      <c r="D71">
        <v>3.8719999999999999</v>
      </c>
      <c r="E71">
        <v>3.931</v>
      </c>
      <c r="F71">
        <v>1323067.1000000001</v>
      </c>
      <c r="G71">
        <v>3.931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-0.62893081761006242</v>
      </c>
      <c r="Q71">
        <f t="shared" ref="Q71" si="331">F71*P71</f>
        <v>-832117.67295597424</v>
      </c>
      <c r="R71">
        <f t="shared" ref="R71" si="332">R72+Q71</f>
        <v>-134779868.15302292</v>
      </c>
      <c r="S71">
        <f t="shared" ref="S71" si="333">R71/100000</f>
        <v>-1347.7986815302293</v>
      </c>
      <c r="T71">
        <f t="shared" ref="T71" si="334">S71/1000</f>
        <v>-1.3477986815302292</v>
      </c>
    </row>
    <row r="72" spans="1:20" x14ac:dyDescent="0.25">
      <c r="A72" s="5">
        <v>44521</v>
      </c>
      <c r="B72">
        <v>4.2149999999999999</v>
      </c>
      <c r="C72">
        <v>4.3780000000000001</v>
      </c>
      <c r="D72">
        <v>4.1429999999999998</v>
      </c>
      <c r="E72">
        <v>4.16</v>
      </c>
      <c r="F72">
        <v>1713319.6</v>
      </c>
      <c r="G72">
        <v>4.16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-0.85531914893616745</v>
      </c>
      <c r="Q72">
        <f t="shared" ref="Q72" si="336">F72*P72</f>
        <v>-1465435.0621276549</v>
      </c>
      <c r="R72">
        <f t="shared" ref="R72" si="337">R73+Q72</f>
        <v>-133947750.48006696</v>
      </c>
      <c r="S72">
        <f t="shared" ref="S72" si="338">R72/100000</f>
        <v>-1339.4775048006695</v>
      </c>
      <c r="T72">
        <f t="shared" ref="T72" si="339">S72/1000</f>
        <v>-1.3394775048006695</v>
      </c>
    </row>
    <row r="73" spans="1:20" x14ac:dyDescent="0.25">
      <c r="A73" s="5">
        <v>44520</v>
      </c>
      <c r="B73">
        <v>3.9630000000000001</v>
      </c>
      <c r="C73">
        <v>4.32</v>
      </c>
      <c r="D73">
        <v>3.9009999999999998</v>
      </c>
      <c r="E73">
        <v>4.2149999999999999</v>
      </c>
      <c r="F73">
        <v>2013344.2</v>
      </c>
      <c r="G73">
        <v>4.2149999999999999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0.49880668257756416</v>
      </c>
      <c r="Q73">
        <f t="shared" ref="Q73" si="341">F73*P73</f>
        <v>1004269.5412887798</v>
      </c>
      <c r="R73">
        <f t="shared" ref="R73" si="342">R74+Q73</f>
        <v>-132482315.41793931</v>
      </c>
      <c r="S73">
        <f t="shared" ref="S73" si="343">R73/100000</f>
        <v>-1324.823154179393</v>
      </c>
      <c r="T73">
        <f t="shared" ref="T73" si="344">S73/1000</f>
        <v>-1.3248231541793929</v>
      </c>
    </row>
    <row r="74" spans="1:20" x14ac:dyDescent="0.25">
      <c r="A74" s="5">
        <v>44519</v>
      </c>
      <c r="B74">
        <v>3.8439999999999999</v>
      </c>
      <c r="C74">
        <v>4.0339999999999998</v>
      </c>
      <c r="D74">
        <v>3.7320000000000002</v>
      </c>
      <c r="E74">
        <v>3.9620000000000002</v>
      </c>
      <c r="F74">
        <v>1066087.5</v>
      </c>
      <c r="G74">
        <v>3.9620000000000002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0.52317880794702176</v>
      </c>
      <c r="Q74">
        <f t="shared" ref="Q74" si="346">F74*P74</f>
        <v>557754.38741722051</v>
      </c>
      <c r="R74">
        <f t="shared" ref="R74" si="347">R75+Q74</f>
        <v>-133486584.95922808</v>
      </c>
      <c r="S74">
        <f t="shared" ref="S74" si="348">R74/100000</f>
        <v>-1334.8658495922809</v>
      </c>
      <c r="T74">
        <f t="shared" ref="T74" si="349">S74/1000</f>
        <v>-1.3348658495922809</v>
      </c>
    </row>
    <row r="75" spans="1:20" x14ac:dyDescent="0.25">
      <c r="A75" s="5">
        <v>44518</v>
      </c>
      <c r="B75">
        <v>4.1399999999999997</v>
      </c>
      <c r="C75">
        <v>4.1829999999999998</v>
      </c>
      <c r="D75">
        <v>3.794</v>
      </c>
      <c r="E75">
        <v>3.8450000000000002</v>
      </c>
      <c r="F75">
        <v>1366519.9</v>
      </c>
      <c r="G75">
        <v>3.8450000000000002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-0.73778920308483198</v>
      </c>
      <c r="Q75">
        <f t="shared" ref="Q75" si="351">F75*P75</f>
        <v>-1008203.6280205642</v>
      </c>
      <c r="R75">
        <f t="shared" ref="R75" si="352">R76+Q75</f>
        <v>-134044339.34664531</v>
      </c>
      <c r="S75">
        <f t="shared" ref="S75" si="353">R75/100000</f>
        <v>-1340.443393466453</v>
      </c>
      <c r="T75">
        <f t="shared" ref="T75" si="354">S75/1000</f>
        <v>-1.340443393466453</v>
      </c>
    </row>
    <row r="76" spans="1:20" x14ac:dyDescent="0.25">
      <c r="A76" s="5">
        <v>44517</v>
      </c>
      <c r="B76">
        <v>4.08</v>
      </c>
      <c r="C76">
        <v>4.2300000000000004</v>
      </c>
      <c r="D76">
        <v>3.9239999999999999</v>
      </c>
      <c r="E76">
        <v>4.1360000000000001</v>
      </c>
      <c r="F76">
        <v>1007375.3</v>
      </c>
      <c r="G76">
        <v>4.1360000000000001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0.38562091503267876</v>
      </c>
      <c r="Q76">
        <f t="shared" ref="Q76" si="356">F76*P76</f>
        <v>388464.98496731929</v>
      </c>
      <c r="R76">
        <f t="shared" ref="R76" si="357">R77+Q76</f>
        <v>-133036135.71862474</v>
      </c>
      <c r="S76">
        <f t="shared" ref="S76" si="358">R76/100000</f>
        <v>-1330.3613571862475</v>
      </c>
      <c r="T76">
        <f t="shared" ref="T76" si="359">S76/1000</f>
        <v>-1.3303613571862474</v>
      </c>
    </row>
    <row r="77" spans="1:20" x14ac:dyDescent="0.25">
      <c r="A77" s="5">
        <v>44516</v>
      </c>
      <c r="B77">
        <v>4.4320000000000004</v>
      </c>
      <c r="C77">
        <v>4.4359999999999999</v>
      </c>
      <c r="D77">
        <v>3.82</v>
      </c>
      <c r="E77">
        <v>4.077</v>
      </c>
      <c r="F77">
        <v>1997632.7</v>
      </c>
      <c r="G77">
        <v>4.077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-0.16558441558441533</v>
      </c>
      <c r="Q77">
        <f t="shared" ref="Q77" si="361">F77*P77</f>
        <v>-330776.84318181768</v>
      </c>
      <c r="R77">
        <f t="shared" ref="R77" si="362">R78+Q77</f>
        <v>-133424600.70359206</v>
      </c>
      <c r="S77">
        <f t="shared" ref="S77" si="363">R77/100000</f>
        <v>-1334.2460070359207</v>
      </c>
      <c r="T77">
        <f t="shared" ref="T77" si="364">S77/1000</f>
        <v>-1.3342460070359208</v>
      </c>
    </row>
    <row r="78" spans="1:20" x14ac:dyDescent="0.25">
      <c r="A78" s="5">
        <v>44515</v>
      </c>
      <c r="B78">
        <v>4.431</v>
      </c>
      <c r="C78">
        <v>4.8689999999999998</v>
      </c>
      <c r="D78">
        <v>4.4109999999999996</v>
      </c>
      <c r="E78">
        <v>4.4359999999999999</v>
      </c>
      <c r="F78">
        <v>3389187.1</v>
      </c>
      <c r="G78">
        <v>4.4359999999999999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-0.89082969432314263</v>
      </c>
      <c r="Q78">
        <f t="shared" ref="Q78" si="366">F78*P78</f>
        <v>-3019188.5082969381</v>
      </c>
      <c r="R78">
        <f t="shared" ref="R78" si="367">R79+Q78</f>
        <v>-133093823.86041024</v>
      </c>
      <c r="S78">
        <f t="shared" ref="S78" si="368">R78/100000</f>
        <v>-1330.9382386041025</v>
      </c>
      <c r="T78">
        <f t="shared" ref="T78" si="369">S78/1000</f>
        <v>-1.3309382386041024</v>
      </c>
    </row>
    <row r="79" spans="1:20" x14ac:dyDescent="0.25">
      <c r="A79" s="5">
        <v>44514</v>
      </c>
      <c r="B79">
        <v>4.4859999999999998</v>
      </c>
      <c r="C79">
        <v>4.6269999999999998</v>
      </c>
      <c r="D79">
        <v>4.3109999999999999</v>
      </c>
      <c r="E79">
        <v>4.4260000000000002</v>
      </c>
      <c r="F79">
        <v>1185335</v>
      </c>
      <c r="G79">
        <v>4.4260000000000002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-0.2721518987341755</v>
      </c>
      <c r="Q79">
        <f t="shared" ref="Q79" si="371">F79*P79</f>
        <v>-322591.1708860739</v>
      </c>
      <c r="R79">
        <f t="shared" ref="R79" si="372">R80+Q79</f>
        <v>-130074635.35211331</v>
      </c>
      <c r="S79">
        <f t="shared" ref="S79" si="373">R79/100000</f>
        <v>-1300.746353521133</v>
      </c>
      <c r="T79">
        <f t="shared" ref="T79" si="374">S79/1000</f>
        <v>-1.300746353521133</v>
      </c>
    </row>
    <row r="80" spans="1:20" x14ac:dyDescent="0.25">
      <c r="A80" s="5">
        <v>44513</v>
      </c>
      <c r="B80">
        <v>4.359</v>
      </c>
      <c r="C80">
        <v>4.58</v>
      </c>
      <c r="D80">
        <v>4.3170000000000002</v>
      </c>
      <c r="E80">
        <v>4.4850000000000003</v>
      </c>
      <c r="F80">
        <v>838639</v>
      </c>
      <c r="G80">
        <v>4.4850000000000003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0.27756653992395597</v>
      </c>
      <c r="Q80">
        <f t="shared" ref="Q80" si="376">F80*P80</f>
        <v>232778.12547528651</v>
      </c>
      <c r="R80">
        <f t="shared" ref="R80" si="377">R81+Q80</f>
        <v>-129752044.18122724</v>
      </c>
      <c r="S80">
        <f t="shared" ref="S80" si="378">R80/100000</f>
        <v>-1297.5204418122723</v>
      </c>
      <c r="T80">
        <f t="shared" ref="T80" si="379">S80/1000</f>
        <v>-1.2975204418122723</v>
      </c>
    </row>
    <row r="81" spans="1:20" x14ac:dyDescent="0.25">
      <c r="A81" s="5">
        <v>44512</v>
      </c>
      <c r="B81">
        <v>4.5490000000000004</v>
      </c>
      <c r="C81">
        <v>4.6349999999999998</v>
      </c>
      <c r="D81">
        <v>4.2119999999999997</v>
      </c>
      <c r="E81">
        <v>4.3630000000000004</v>
      </c>
      <c r="F81">
        <v>1145567.1000000001</v>
      </c>
      <c r="G81">
        <v>4.3630000000000004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-0.28605200945626158</v>
      </c>
      <c r="Q81">
        <f t="shared" ref="Q81" si="381">F81*P81</f>
        <v>-327691.77092198218</v>
      </c>
      <c r="R81">
        <f t="shared" ref="R81" si="382">R82+Q81</f>
        <v>-129984822.30670252</v>
      </c>
      <c r="S81">
        <f t="shared" ref="S81" si="383">R81/100000</f>
        <v>-1299.8482230670252</v>
      </c>
      <c r="T81">
        <f t="shared" ref="T81" si="384">S81/1000</f>
        <v>-1.2998482230670252</v>
      </c>
    </row>
    <row r="82" spans="1:20" x14ac:dyDescent="0.25">
      <c r="A82" s="5">
        <v>44511</v>
      </c>
      <c r="B82">
        <v>4.5209999999999999</v>
      </c>
      <c r="C82">
        <v>4.6550000000000002</v>
      </c>
      <c r="D82">
        <v>4.4539999999999997</v>
      </c>
      <c r="E82">
        <v>4.5490000000000004</v>
      </c>
      <c r="F82">
        <v>1176884.3</v>
      </c>
      <c r="G82">
        <v>4.5490000000000004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-5.4726368159200026E-2</v>
      </c>
      <c r="Q82">
        <f t="shared" ref="Q82" si="386">F82*P82</f>
        <v>-64406.60348258241</v>
      </c>
      <c r="R82">
        <f t="shared" ref="R82" si="387">R83+Q82</f>
        <v>-129657130.53578055</v>
      </c>
      <c r="S82">
        <f t="shared" ref="S82" si="388">R82/100000</f>
        <v>-1296.5713053578054</v>
      </c>
      <c r="T82">
        <f t="shared" ref="T82" si="389">S82/1000</f>
        <v>-1.2965713053578054</v>
      </c>
    </row>
    <row r="83" spans="1:20" x14ac:dyDescent="0.25">
      <c r="A83" s="5">
        <v>44510</v>
      </c>
      <c r="B83">
        <v>4.8890000000000002</v>
      </c>
      <c r="C83">
        <v>4.976</v>
      </c>
      <c r="D83">
        <v>4.1180000000000003</v>
      </c>
      <c r="E83">
        <v>4.5229999999999997</v>
      </c>
      <c r="F83">
        <v>2191557.7000000002</v>
      </c>
      <c r="G83">
        <v>4.5229999999999997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-5.5944055944057054E-2</v>
      </c>
      <c r="Q83">
        <f t="shared" ref="Q83" si="391">F83*P83</f>
        <v>-122604.62657342902</v>
      </c>
      <c r="R83">
        <f t="shared" ref="R83" si="392">R84+Q83</f>
        <v>-129592723.93229796</v>
      </c>
      <c r="S83">
        <f t="shared" ref="S83" si="393">R83/100000</f>
        <v>-1295.9272393229796</v>
      </c>
      <c r="T83">
        <f t="shared" ref="T83" si="394">S83/1000</f>
        <v>-1.2959272393229797</v>
      </c>
    </row>
    <row r="84" spans="1:20" x14ac:dyDescent="0.25">
      <c r="A84" s="5">
        <v>44509</v>
      </c>
      <c r="B84">
        <v>4.9649999999999999</v>
      </c>
      <c r="C84">
        <v>5.19</v>
      </c>
      <c r="D84">
        <v>4.8170000000000002</v>
      </c>
      <c r="E84">
        <v>4.8890000000000002</v>
      </c>
      <c r="F84">
        <v>1799386.3</v>
      </c>
      <c r="G84">
        <v>4.8890000000000002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-0.61394101876675589</v>
      </c>
      <c r="Q84">
        <f t="shared" ref="Q84" si="396">F84*P84</f>
        <v>-1104717.0581769436</v>
      </c>
      <c r="R84">
        <f t="shared" ref="R84" si="397">R85+Q84</f>
        <v>-129470119.30572453</v>
      </c>
      <c r="S84">
        <f t="shared" ref="S84" si="398">R84/100000</f>
        <v>-1294.7011930572453</v>
      </c>
      <c r="T84">
        <f t="shared" ref="T84" si="399">S84/1000</f>
        <v>-1.2947011930572452</v>
      </c>
    </row>
    <row r="85" spans="1:20" x14ac:dyDescent="0.25">
      <c r="A85" s="5">
        <v>44508</v>
      </c>
      <c r="B85">
        <v>4.78</v>
      </c>
      <c r="C85">
        <v>5.1440000000000001</v>
      </c>
      <c r="D85">
        <v>4.67</v>
      </c>
      <c r="E85">
        <v>4.9619999999999997</v>
      </c>
      <c r="F85">
        <v>1927137.6</v>
      </c>
      <c r="G85">
        <v>4.9619999999999997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0.2320675105485219</v>
      </c>
      <c r="Q85">
        <f t="shared" ref="Q85" si="401">F85*P85</f>
        <v>447226.02531645319</v>
      </c>
      <c r="R85">
        <f t="shared" ref="R85" si="402">R86+Q85</f>
        <v>-128365402.24754758</v>
      </c>
      <c r="S85">
        <f t="shared" ref="S85" si="403">R85/100000</f>
        <v>-1283.6540224754758</v>
      </c>
      <c r="T85">
        <f t="shared" ref="T85" si="404">S85/1000</f>
        <v>-1.2836540224754758</v>
      </c>
    </row>
    <row r="86" spans="1:20" x14ac:dyDescent="0.25">
      <c r="A86" s="5">
        <v>44507</v>
      </c>
      <c r="B86">
        <v>4.7910000000000004</v>
      </c>
      <c r="C86">
        <v>4.9109999999999996</v>
      </c>
      <c r="D86">
        <v>4.75</v>
      </c>
      <c r="E86">
        <v>4.7729999999999997</v>
      </c>
      <c r="F86">
        <v>784890.2</v>
      </c>
      <c r="G86">
        <v>4.7729999999999997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-0.71428571428571741</v>
      </c>
      <c r="Q86">
        <f t="shared" ref="Q86" si="406">F86*P86</f>
        <v>-560635.8571428596</v>
      </c>
      <c r="R86">
        <f t="shared" ref="R86" si="407">R87+Q86</f>
        <v>-128812628.27286403</v>
      </c>
      <c r="S86">
        <f t="shared" ref="S86" si="408">R86/100000</f>
        <v>-1288.1262827286403</v>
      </c>
      <c r="T86">
        <f t="shared" ref="T86" si="409">S86/1000</f>
        <v>-1.2881262827286402</v>
      </c>
    </row>
    <row r="87" spans="1:20" x14ac:dyDescent="0.25">
      <c r="A87" s="5">
        <v>44506</v>
      </c>
      <c r="B87">
        <v>4.9409999999999998</v>
      </c>
      <c r="C87">
        <v>5.1210000000000004</v>
      </c>
      <c r="D87">
        <v>4.6440000000000001</v>
      </c>
      <c r="E87">
        <v>4.7869999999999999</v>
      </c>
      <c r="F87">
        <v>1152461.3</v>
      </c>
      <c r="G87">
        <v>4.7869999999999999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-0.4004192872117413</v>
      </c>
      <c r="Q87">
        <f t="shared" ref="Q87" si="411">F87*P87</f>
        <v>-461467.7322851168</v>
      </c>
      <c r="R87">
        <f t="shared" ref="R87" si="412">R88+Q87</f>
        <v>-128251992.41572116</v>
      </c>
      <c r="S87">
        <f t="shared" ref="S87" si="413">R87/100000</f>
        <v>-1282.5199241572116</v>
      </c>
      <c r="T87">
        <f t="shared" ref="T87" si="414">S87/1000</f>
        <v>-1.2825199241572116</v>
      </c>
    </row>
    <row r="88" spans="1:20" x14ac:dyDescent="0.25">
      <c r="A88" s="5">
        <v>44505</v>
      </c>
      <c r="B88">
        <v>4.91</v>
      </c>
      <c r="C88">
        <v>5.2990000000000004</v>
      </c>
      <c r="D88">
        <v>4.7869999999999999</v>
      </c>
      <c r="E88">
        <v>4.9390000000000001</v>
      </c>
      <c r="F88">
        <v>2088576.6</v>
      </c>
      <c r="G88">
        <v>4.9390000000000001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-0.40625</v>
      </c>
      <c r="Q88">
        <f t="shared" ref="Q88" si="416">F88*P88</f>
        <v>-848484.24375000002</v>
      </c>
      <c r="R88">
        <f t="shared" ref="R88" si="417">R89+Q88</f>
        <v>-127790524.68343605</v>
      </c>
      <c r="S88">
        <f t="shared" ref="S88" si="418">R88/100000</f>
        <v>-1277.9052468343605</v>
      </c>
      <c r="T88">
        <f t="shared" ref="T88" si="419">S88/1000</f>
        <v>-1.2779052468343606</v>
      </c>
    </row>
    <row r="89" spans="1:20" x14ac:dyDescent="0.25">
      <c r="A89" s="5">
        <v>44504</v>
      </c>
      <c r="B89">
        <v>5.0030000000000001</v>
      </c>
      <c r="C89">
        <v>5.3319999999999999</v>
      </c>
      <c r="D89">
        <v>4.7469999999999999</v>
      </c>
      <c r="E89">
        <v>4.9130000000000003</v>
      </c>
      <c r="F89">
        <v>2549457.4</v>
      </c>
      <c r="G89">
        <v>4.9130000000000003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-0.43247863247863116</v>
      </c>
      <c r="Q89">
        <f t="shared" ref="Q89" si="421">F89*P89</f>
        <v>-1102585.8499145266</v>
      </c>
      <c r="R89">
        <f t="shared" ref="R89" si="422">R90+Q89</f>
        <v>-126942040.43968605</v>
      </c>
      <c r="S89">
        <f t="shared" ref="S89" si="423">R89/100000</f>
        <v>-1269.4204043968605</v>
      </c>
      <c r="T89">
        <f t="shared" ref="T89" si="424">S89/1000</f>
        <v>-1.2694204043968604</v>
      </c>
    </row>
    <row r="90" spans="1:20" x14ac:dyDescent="0.25">
      <c r="A90" s="5">
        <v>44503</v>
      </c>
      <c r="B90">
        <v>5.2889999999999997</v>
      </c>
      <c r="C90">
        <v>5.58</v>
      </c>
      <c r="D90">
        <v>4.6580000000000004</v>
      </c>
      <c r="E90">
        <v>5.0019999999999998</v>
      </c>
      <c r="F90">
        <v>7398155.0999999996</v>
      </c>
      <c r="G90">
        <v>5.0019999999999998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-0.25379609544468651</v>
      </c>
      <c r="Q90">
        <f t="shared" ref="Q90" si="426">F90*P90</f>
        <v>-1877622.8778741942</v>
      </c>
      <c r="R90">
        <f t="shared" ref="R90" si="427">R91+Q90</f>
        <v>-125839454.58977152</v>
      </c>
      <c r="S90">
        <f t="shared" ref="S90" si="428">R90/100000</f>
        <v>-1258.3945458977153</v>
      </c>
      <c r="T90">
        <f t="shared" ref="T90" si="429">S90/1000</f>
        <v>-1.2583945458977153</v>
      </c>
    </row>
    <row r="91" spans="1:20" x14ac:dyDescent="0.25">
      <c r="A91" s="5">
        <v>44502</v>
      </c>
      <c r="B91">
        <v>4.3280000000000003</v>
      </c>
      <c r="C91">
        <v>6.6139999999999999</v>
      </c>
      <c r="D91">
        <v>4.2670000000000003</v>
      </c>
      <c r="E91">
        <v>5.2889999999999997</v>
      </c>
      <c r="F91">
        <v>13296500.050000001</v>
      </c>
      <c r="G91">
        <v>5.2889999999999997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-0.12910097997443581</v>
      </c>
      <c r="Q91">
        <f t="shared" ref="Q91" si="431">F91*P91</f>
        <v>-1716591.1866851349</v>
      </c>
      <c r="R91">
        <f t="shared" ref="R91" si="432">R92+Q91</f>
        <v>-123961831.71189733</v>
      </c>
      <c r="S91">
        <f t="shared" ref="S91" si="433">R91/100000</f>
        <v>-1239.6183171189732</v>
      </c>
      <c r="T91">
        <f t="shared" ref="T91" si="434">S91/1000</f>
        <v>-1.2396183171189732</v>
      </c>
    </row>
    <row r="92" spans="1:20" x14ac:dyDescent="0.25">
      <c r="A92" s="5">
        <v>44501</v>
      </c>
      <c r="B92">
        <v>4.3970000000000002</v>
      </c>
      <c r="C92">
        <v>4.5439999999999996</v>
      </c>
      <c r="D92">
        <v>4.17</v>
      </c>
      <c r="E92">
        <v>4.3280000000000003</v>
      </c>
      <c r="F92">
        <v>1617864.6</v>
      </c>
      <c r="G92">
        <v>4.3280000000000003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-0.15508021390374063</v>
      </c>
      <c r="Q92">
        <f t="shared" ref="Q92" si="436">F92*P92</f>
        <v>-250898.7882352898</v>
      </c>
      <c r="R92">
        <f t="shared" ref="R92" si="437">R93+Q92</f>
        <v>-122245240.5252122</v>
      </c>
      <c r="S92">
        <f t="shared" ref="S92" si="438">R92/100000</f>
        <v>-1222.4524052521219</v>
      </c>
      <c r="T92">
        <f t="shared" ref="T92" si="439">S92/1000</f>
        <v>-1.222452405252122</v>
      </c>
    </row>
    <row r="93" spans="1:20" x14ac:dyDescent="0.25">
      <c r="A93" s="5">
        <v>44500</v>
      </c>
      <c r="B93">
        <v>4.1580000000000004</v>
      </c>
      <c r="C93">
        <v>4.5629999999999997</v>
      </c>
      <c r="D93">
        <v>4.157</v>
      </c>
      <c r="E93">
        <v>4.3920000000000003</v>
      </c>
      <c r="F93">
        <v>2805565.3</v>
      </c>
      <c r="G93">
        <v>4.3920000000000003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0.15763546798029801</v>
      </c>
      <c r="Q93">
        <f t="shared" ref="Q93" si="441">F93*P93</f>
        <v>442256.59901478514</v>
      </c>
      <c r="R93">
        <f t="shared" ref="R93" si="442">R94+Q93</f>
        <v>-121994341.73697691</v>
      </c>
      <c r="S93">
        <f t="shared" ref="S93" si="443">R93/100000</f>
        <v>-1219.9434173697691</v>
      </c>
      <c r="T93">
        <f t="shared" ref="T93" si="444">S93/1000</f>
        <v>-1.2199434173697692</v>
      </c>
    </row>
    <row r="94" spans="1:20" x14ac:dyDescent="0.25">
      <c r="A94" s="5">
        <v>44499</v>
      </c>
      <c r="B94">
        <v>4.1159999999999997</v>
      </c>
      <c r="C94">
        <v>4.3070000000000004</v>
      </c>
      <c r="D94">
        <v>3.968</v>
      </c>
      <c r="E94">
        <v>4.157</v>
      </c>
      <c r="F94">
        <v>1624414.9</v>
      </c>
      <c r="G94">
        <v>4.157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0.1150442477876096</v>
      </c>
      <c r="Q94">
        <f t="shared" ref="Q94" si="446">F94*P94</f>
        <v>186879.59026548508</v>
      </c>
      <c r="R94">
        <f t="shared" ref="R94" si="447">R95+Q94</f>
        <v>-122436598.3359917</v>
      </c>
      <c r="S94">
        <f t="shared" ref="S94" si="448">R94/100000</f>
        <v>-1224.365983359917</v>
      </c>
      <c r="T94">
        <f t="shared" ref="T94" si="449">S94/1000</f>
        <v>-1.224365983359917</v>
      </c>
    </row>
    <row r="95" spans="1:20" x14ac:dyDescent="0.25">
      <c r="A95" s="5">
        <v>44498</v>
      </c>
      <c r="B95">
        <v>3.9780000000000002</v>
      </c>
      <c r="C95">
        <v>4.25</v>
      </c>
      <c r="D95">
        <v>3.9510000000000001</v>
      </c>
      <c r="E95">
        <v>4.1150000000000002</v>
      </c>
      <c r="F95">
        <v>1159317.5</v>
      </c>
      <c r="G95">
        <v>4.1150000000000002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9.6989966555185173E-2</v>
      </c>
      <c r="Q95">
        <f t="shared" ref="Q95" si="451">F95*P95</f>
        <v>112442.16555184088</v>
      </c>
      <c r="R95">
        <f t="shared" ref="R95" si="452">R96+Q95</f>
        <v>-122623477.92625718</v>
      </c>
      <c r="S95">
        <f t="shared" ref="S95" si="453">R95/100000</f>
        <v>-1226.2347792625717</v>
      </c>
      <c r="T95">
        <f t="shared" ref="T95" si="454">S95/1000</f>
        <v>-1.2262347792625716</v>
      </c>
    </row>
    <row r="96" spans="1:20" x14ac:dyDescent="0.25">
      <c r="A96" s="5">
        <v>44497</v>
      </c>
      <c r="B96">
        <v>3.798</v>
      </c>
      <c r="C96">
        <v>4.0839999999999996</v>
      </c>
      <c r="D96">
        <v>3.7719999999999998</v>
      </c>
      <c r="E96">
        <v>3.9780000000000002</v>
      </c>
      <c r="F96">
        <v>969721.9</v>
      </c>
      <c r="G96">
        <v>3.9780000000000002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0.32051282051282382</v>
      </c>
      <c r="Q96">
        <f t="shared" ref="Q96" si="456">F96*P96</f>
        <v>310808.30128205451</v>
      </c>
      <c r="R96">
        <f t="shared" ref="R96" si="457">R97+Q96</f>
        <v>-122735920.09180902</v>
      </c>
      <c r="S96">
        <f t="shared" ref="S96" si="458">R96/100000</f>
        <v>-1227.3592009180902</v>
      </c>
      <c r="T96">
        <f t="shared" ref="T96" si="459">S96/1000</f>
        <v>-1.2273592009180903</v>
      </c>
    </row>
    <row r="97" spans="1:20" x14ac:dyDescent="0.25">
      <c r="A97" s="5">
        <v>44496</v>
      </c>
      <c r="B97">
        <v>4.2279999999999998</v>
      </c>
      <c r="C97">
        <v>4.3890000000000002</v>
      </c>
      <c r="D97">
        <v>3.6</v>
      </c>
      <c r="E97">
        <v>3.7989999999999999</v>
      </c>
      <c r="F97">
        <v>2572039.5</v>
      </c>
      <c r="G97">
        <v>3.7989999999999999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-0.49556400506970899</v>
      </c>
      <c r="Q97">
        <f t="shared" ref="Q97" si="461">F97*P97</f>
        <v>-1274610.1958174917</v>
      </c>
      <c r="R97">
        <f t="shared" ref="R97" si="462">R98+Q97</f>
        <v>-123046728.39309107</v>
      </c>
      <c r="S97">
        <f t="shared" ref="S97" si="463">R97/100000</f>
        <v>-1230.4672839309108</v>
      </c>
      <c r="T97">
        <f t="shared" ref="T97" si="464">S97/1000</f>
        <v>-1.2304672839309108</v>
      </c>
    </row>
    <row r="98" spans="1:20" x14ac:dyDescent="0.25">
      <c r="A98" s="5">
        <v>44495</v>
      </c>
      <c r="B98">
        <v>4.2729999999999997</v>
      </c>
      <c r="C98">
        <v>4.3959999999999999</v>
      </c>
      <c r="D98">
        <v>4.1529999999999996</v>
      </c>
      <c r="E98">
        <v>4.2290000000000001</v>
      </c>
      <c r="F98">
        <v>1329104</v>
      </c>
      <c r="G98">
        <v>4.2290000000000001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-0.37448559670781556</v>
      </c>
      <c r="Q98">
        <f t="shared" ref="Q98" si="466">F98*P98</f>
        <v>-497730.30452674447</v>
      </c>
      <c r="R98">
        <f t="shared" ref="R98" si="467">R99+Q98</f>
        <v>-121772118.19727358</v>
      </c>
      <c r="S98">
        <f t="shared" ref="S98" si="468">R98/100000</f>
        <v>-1217.7211819727358</v>
      </c>
      <c r="T98">
        <f t="shared" ref="T98" si="469">S98/1000</f>
        <v>-1.2177211819727358</v>
      </c>
    </row>
    <row r="99" spans="1:20" x14ac:dyDescent="0.25">
      <c r="A99" s="5">
        <v>44494</v>
      </c>
      <c r="B99">
        <v>4.0490000000000004</v>
      </c>
      <c r="C99">
        <v>4.3289999999999997</v>
      </c>
      <c r="D99">
        <v>4.0170000000000003</v>
      </c>
      <c r="E99">
        <v>4.2690000000000001</v>
      </c>
      <c r="F99">
        <v>1553992.5</v>
      </c>
      <c r="G99">
        <v>4.2690000000000001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0.61538461538461708</v>
      </c>
      <c r="Q99">
        <f t="shared" ref="Q99" si="471">F99*P99</f>
        <v>956303.07692307956</v>
      </c>
      <c r="R99">
        <f t="shared" ref="R99" si="472">R100+Q99</f>
        <v>-121274387.89274684</v>
      </c>
      <c r="S99">
        <f t="shared" ref="S99" si="473">R99/100000</f>
        <v>-1212.7438789274684</v>
      </c>
      <c r="T99">
        <f t="shared" ref="T99" si="474">S99/1000</f>
        <v>-1.2127438789274683</v>
      </c>
    </row>
    <row r="100" spans="1:20" x14ac:dyDescent="0.25">
      <c r="A100" s="5">
        <v>44493</v>
      </c>
      <c r="B100">
        <v>4.17</v>
      </c>
      <c r="C100">
        <v>4.194</v>
      </c>
      <c r="D100">
        <v>3.92</v>
      </c>
      <c r="E100">
        <v>4.0419999999999998</v>
      </c>
      <c r="F100">
        <v>925047.6</v>
      </c>
      <c r="G100">
        <v>4.0419999999999998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-0.1094890510948914</v>
      </c>
      <c r="Q100">
        <f t="shared" ref="Q100" si="476">F100*P100</f>
        <v>-101282.58394160666</v>
      </c>
      <c r="R100">
        <f t="shared" ref="R100" si="477">R101+Q100</f>
        <v>-122230690.96966991</v>
      </c>
      <c r="S100">
        <f t="shared" ref="S100" si="478">R100/100000</f>
        <v>-1222.306909696699</v>
      </c>
      <c r="T100">
        <f t="shared" ref="T100" si="479">S100/1000</f>
        <v>-1.222306909696699</v>
      </c>
    </row>
    <row r="101" spans="1:20" x14ac:dyDescent="0.25">
      <c r="A101" s="5">
        <v>44492</v>
      </c>
      <c r="B101">
        <v>4.125</v>
      </c>
      <c r="C101">
        <v>4.2089999999999996</v>
      </c>
      <c r="D101">
        <v>3.9870000000000001</v>
      </c>
      <c r="E101">
        <v>4.17</v>
      </c>
      <c r="F101">
        <v>1375634.3</v>
      </c>
      <c r="G101">
        <v>4.17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0.64864864864865057</v>
      </c>
      <c r="Q101">
        <f t="shared" ref="Q101" si="481">F101*P101</f>
        <v>892303.32972973236</v>
      </c>
      <c r="R101">
        <f t="shared" ref="R101" si="482">R102+Q101</f>
        <v>-122129408.3857283</v>
      </c>
      <c r="S101">
        <f t="shared" ref="S101" si="483">R101/100000</f>
        <v>-1221.2940838572829</v>
      </c>
      <c r="T101">
        <f t="shared" ref="T101" si="484">S101/1000</f>
        <v>-1.2212940838572828</v>
      </c>
    </row>
    <row r="102" spans="1:20" x14ac:dyDescent="0.25">
      <c r="A102" s="5">
        <v>44491</v>
      </c>
      <c r="B102">
        <v>4.1710000000000003</v>
      </c>
      <c r="C102">
        <v>4.2779999999999996</v>
      </c>
      <c r="D102">
        <v>4.0549999999999997</v>
      </c>
      <c r="E102">
        <v>4.1230000000000002</v>
      </c>
      <c r="F102">
        <v>1104560.2</v>
      </c>
      <c r="G102">
        <v>4.1230000000000002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-0.39013452914797719</v>
      </c>
      <c r="Q102">
        <f t="shared" ref="Q102" si="486">F102*P102</f>
        <v>-430927.07354259549</v>
      </c>
      <c r="R102">
        <f t="shared" ref="R102" si="487">R103+Q102</f>
        <v>-123021711.71545804</v>
      </c>
      <c r="S102">
        <f t="shared" ref="S102" si="488">R102/100000</f>
        <v>-1230.2171171545804</v>
      </c>
      <c r="T102">
        <f t="shared" ref="T102" si="489">S102/1000</f>
        <v>-1.2302171171545804</v>
      </c>
    </row>
    <row r="103" spans="1:20" x14ac:dyDescent="0.25">
      <c r="A103" s="5">
        <v>44490</v>
      </c>
      <c r="B103">
        <v>4.4050000000000002</v>
      </c>
      <c r="C103">
        <v>4.5090000000000003</v>
      </c>
      <c r="D103">
        <v>4.1520000000000001</v>
      </c>
      <c r="E103">
        <v>4.1669999999999998</v>
      </c>
      <c r="F103">
        <v>1457467.8</v>
      </c>
      <c r="G103">
        <v>4.1669999999999998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-0.9159663865546237</v>
      </c>
      <c r="Q103">
        <f t="shared" ref="Q103" si="491">F103*P103</f>
        <v>-1334991.5142857169</v>
      </c>
      <c r="R103">
        <f t="shared" ref="R103" si="492">R104+Q103</f>
        <v>-122590784.64191544</v>
      </c>
      <c r="S103">
        <f t="shared" ref="S103" si="493">R103/100000</f>
        <v>-1225.9078464191543</v>
      </c>
      <c r="T103">
        <f t="shared" ref="T103" si="494">S103/1000</f>
        <v>-1.2259078464191544</v>
      </c>
    </row>
    <row r="104" spans="1:20" x14ac:dyDescent="0.25">
      <c r="A104" s="5">
        <v>44489</v>
      </c>
      <c r="B104">
        <v>4.3129999999999997</v>
      </c>
      <c r="C104">
        <v>4.4950000000000001</v>
      </c>
      <c r="D104">
        <v>4.0570000000000004</v>
      </c>
      <c r="E104">
        <v>4.407</v>
      </c>
      <c r="F104">
        <v>1564277.3</v>
      </c>
      <c r="G104">
        <v>4.407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0.59817351598173452</v>
      </c>
      <c r="Q104">
        <f t="shared" ref="Q104" si="496">F104*P104</f>
        <v>935709.25251141458</v>
      </c>
      <c r="R104">
        <f t="shared" ref="R104" si="497">R105+Q104</f>
        <v>-121255793.12762973</v>
      </c>
      <c r="S104">
        <f t="shared" ref="S104" si="498">R104/100000</f>
        <v>-1212.5579312762973</v>
      </c>
      <c r="T104">
        <f t="shared" ref="T104" si="499">S104/1000</f>
        <v>-1.2125579312762973</v>
      </c>
    </row>
    <row r="105" spans="1:20" x14ac:dyDescent="0.25">
      <c r="A105" s="5">
        <v>44488</v>
      </c>
      <c r="B105">
        <v>4.5609999999999999</v>
      </c>
      <c r="C105">
        <v>4.5940000000000003</v>
      </c>
      <c r="D105">
        <v>4.2439999999999998</v>
      </c>
      <c r="E105">
        <v>4.3099999999999996</v>
      </c>
      <c r="F105">
        <v>1410264.2</v>
      </c>
      <c r="G105">
        <v>4.3099999999999996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-0.62285714285714433</v>
      </c>
      <c r="Q105">
        <f t="shared" ref="Q105" si="501">F105*P105</f>
        <v>-878393.13028571638</v>
      </c>
      <c r="R105">
        <f t="shared" ref="R105" si="502">R106+Q105</f>
        <v>-122191502.38014114</v>
      </c>
      <c r="S105">
        <f t="shared" ref="S105" si="503">R105/100000</f>
        <v>-1221.9150238014113</v>
      </c>
      <c r="T105">
        <f t="shared" ref="T105" si="504">S105/1000</f>
        <v>-1.2219150238014114</v>
      </c>
    </row>
    <row r="106" spans="1:20" x14ac:dyDescent="0.25">
      <c r="A106" s="5">
        <v>44487</v>
      </c>
      <c r="B106">
        <v>4.7539999999999996</v>
      </c>
      <c r="C106">
        <v>4.7709999999999999</v>
      </c>
      <c r="D106">
        <v>4.3979999999999997</v>
      </c>
      <c r="E106">
        <v>4.5620000000000003</v>
      </c>
      <c r="F106">
        <v>1365320.6</v>
      </c>
      <c r="G106">
        <v>4.5620000000000003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-0.1206434316353861</v>
      </c>
      <c r="Q106">
        <f t="shared" ref="Q106" si="506">F106*P106</f>
        <v>-164716.96246648434</v>
      </c>
      <c r="R106">
        <f t="shared" ref="R106" si="507">R107+Q106</f>
        <v>-121313109.24985543</v>
      </c>
      <c r="S106">
        <f t="shared" ref="S106" si="508">R106/100000</f>
        <v>-1213.1310924985544</v>
      </c>
      <c r="T106">
        <f t="shared" ref="T106" si="509">S106/1000</f>
        <v>-1.2131310924985543</v>
      </c>
    </row>
    <row r="107" spans="1:20" x14ac:dyDescent="0.25">
      <c r="A107" s="5">
        <v>44486</v>
      </c>
      <c r="B107">
        <v>4.55</v>
      </c>
      <c r="C107">
        <v>4.7590000000000003</v>
      </c>
      <c r="D107">
        <v>4.2279999999999998</v>
      </c>
      <c r="E107">
        <v>4.7539999999999996</v>
      </c>
      <c r="F107">
        <v>2012744.2</v>
      </c>
      <c r="G107">
        <v>4.7539999999999996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0.98116760828624938</v>
      </c>
      <c r="Q107">
        <f t="shared" ref="Q107" si="511">F107*P107</f>
        <v>1974839.4128060204</v>
      </c>
      <c r="R107">
        <f t="shared" ref="R107" si="512">R108+Q107</f>
        <v>-121148392.28738895</v>
      </c>
      <c r="S107">
        <f t="shared" ref="S107" si="513">R107/100000</f>
        <v>-1211.4839228738895</v>
      </c>
      <c r="T107">
        <f t="shared" ref="T107" si="514">S107/1000</f>
        <v>-1.2114839228738894</v>
      </c>
    </row>
    <row r="108" spans="1:20" x14ac:dyDescent="0.25">
      <c r="A108" s="5">
        <v>44485</v>
      </c>
      <c r="B108">
        <v>4.5650000000000004</v>
      </c>
      <c r="C108">
        <v>4.8310000000000004</v>
      </c>
      <c r="D108">
        <v>4.5030000000000001</v>
      </c>
      <c r="E108">
        <v>4.548</v>
      </c>
      <c r="F108">
        <v>1862867.5</v>
      </c>
      <c r="G108">
        <v>4.548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-0.72560975609756162</v>
      </c>
      <c r="Q108">
        <f t="shared" ref="Q108" si="516">F108*P108</f>
        <v>-1351714.8323170743</v>
      </c>
      <c r="R108">
        <f t="shared" ref="R108" si="517">R109+Q108</f>
        <v>-123123231.70019497</v>
      </c>
      <c r="S108">
        <f t="shared" ref="S108" si="518">R108/100000</f>
        <v>-1231.2323170019497</v>
      </c>
      <c r="T108">
        <f t="shared" ref="T108" si="519">S108/1000</f>
        <v>-1.2312323170019497</v>
      </c>
    </row>
    <row r="109" spans="1:20" x14ac:dyDescent="0.25">
      <c r="A109" s="5">
        <v>44484</v>
      </c>
      <c r="B109">
        <v>4.3010000000000002</v>
      </c>
      <c r="C109">
        <v>4.9800000000000004</v>
      </c>
      <c r="D109">
        <v>4.173</v>
      </c>
      <c r="E109">
        <v>4.5650000000000004</v>
      </c>
      <c r="F109">
        <v>4280643.5</v>
      </c>
      <c r="G109">
        <v>4.5650000000000004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-2.8500619578686093E-2</v>
      </c>
      <c r="Q109">
        <f t="shared" ref="Q109" si="521">F109*P109</f>
        <v>-122000.99194547537</v>
      </c>
      <c r="R109">
        <f t="shared" ref="R109" si="522">R110+Q109</f>
        <v>-121771516.8678779</v>
      </c>
      <c r="S109">
        <f t="shared" ref="S109" si="523">R109/100000</f>
        <v>-1217.715168678779</v>
      </c>
      <c r="T109">
        <f t="shared" ref="T109" si="524">S109/1000</f>
        <v>-1.217715168678779</v>
      </c>
    </row>
    <row r="110" spans="1:20" x14ac:dyDescent="0.25">
      <c r="A110" s="5">
        <v>44483</v>
      </c>
      <c r="B110">
        <v>4.407</v>
      </c>
      <c r="C110">
        <v>4.55</v>
      </c>
      <c r="D110">
        <v>4.2350000000000003</v>
      </c>
      <c r="E110">
        <v>4.298</v>
      </c>
      <c r="F110">
        <v>2032871.4</v>
      </c>
      <c r="G110">
        <v>4.298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-0.60000000000000109</v>
      </c>
      <c r="Q110">
        <f t="shared" ref="Q110" si="526">F110*P110</f>
        <v>-1219722.8400000022</v>
      </c>
      <c r="R110">
        <f t="shared" ref="R110" si="527">R111+Q110</f>
        <v>-121649515.87593243</v>
      </c>
      <c r="S110">
        <f t="shared" ref="S110" si="528">R110/100000</f>
        <v>-1216.4951587593243</v>
      </c>
      <c r="T110">
        <f t="shared" ref="T110" si="529">S110/1000</f>
        <v>-1.2164951587593242</v>
      </c>
    </row>
    <row r="111" spans="1:20" x14ac:dyDescent="0.25">
      <c r="A111" s="5">
        <v>44482</v>
      </c>
      <c r="B111">
        <v>3.97</v>
      </c>
      <c r="C111">
        <v>4.7229999999999999</v>
      </c>
      <c r="D111">
        <v>3.8639999999999999</v>
      </c>
      <c r="E111">
        <v>4.407</v>
      </c>
      <c r="F111">
        <v>5720869.2000000002</v>
      </c>
      <c r="G111">
        <v>4.407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0.26426076833527395</v>
      </c>
      <c r="Q111">
        <f t="shared" ref="Q111" si="531">F111*P111</f>
        <v>1511801.290337604</v>
      </c>
      <c r="R111">
        <f t="shared" ref="R111" si="532">R112+Q111</f>
        <v>-120429793.03593242</v>
      </c>
      <c r="S111">
        <f t="shared" ref="S111" si="533">R111/100000</f>
        <v>-1204.2979303593243</v>
      </c>
      <c r="T111">
        <f t="shared" ref="T111" si="534">S111/1000</f>
        <v>-1.2042979303593242</v>
      </c>
    </row>
    <row r="112" spans="1:20" x14ac:dyDescent="0.25">
      <c r="A112" s="5">
        <v>44481</v>
      </c>
      <c r="B112">
        <v>3.7440000000000002</v>
      </c>
      <c r="C112">
        <v>4.0149999999999997</v>
      </c>
      <c r="D112">
        <v>3.6259999999999999</v>
      </c>
      <c r="E112">
        <v>3.9670000000000001</v>
      </c>
      <c r="F112">
        <v>2757424.9</v>
      </c>
      <c r="G112">
        <v>3.9670000000000001</v>
      </c>
      <c r="L112" t="s">
        <v>8</v>
      </c>
      <c r="M112" t="s">
        <v>7</v>
      </c>
      <c r="N112" t="s">
        <v>8</v>
      </c>
      <c r="P112">
        <f t="shared" ref="P112" si="535">IF(C112=D112,0,((E112-D112)-(C112-E112))/(C112-D112))</f>
        <v>0.75321336760925639</v>
      </c>
      <c r="Q112">
        <f t="shared" ref="Q112" si="536">F112*P112</f>
        <v>2076929.294858617</v>
      </c>
      <c r="R112">
        <f t="shared" ref="R112" si="537">R113+Q112</f>
        <v>-121941594.32627003</v>
      </c>
      <c r="S112">
        <f t="shared" ref="S112" si="538">R112/100000</f>
        <v>-1219.4159432627002</v>
      </c>
      <c r="T112">
        <f t="shared" ref="T112" si="539">S112/1000</f>
        <v>-1.2194159432627003</v>
      </c>
    </row>
    <row r="113" spans="1:20" x14ac:dyDescent="0.25">
      <c r="A113" s="5">
        <v>44480</v>
      </c>
      <c r="B113">
        <v>3.5670000000000002</v>
      </c>
      <c r="C113">
        <v>3.899</v>
      </c>
      <c r="D113">
        <v>3.5169999999999999</v>
      </c>
      <c r="E113">
        <v>3.7469999999999999</v>
      </c>
      <c r="F113">
        <v>1739508.7</v>
      </c>
      <c r="G113">
        <v>3.7469999999999999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0.20418848167539222</v>
      </c>
      <c r="Q113">
        <f t="shared" ref="Q113" si="541">F113*P113</f>
        <v>355187.64031413535</v>
      </c>
      <c r="R113">
        <f t="shared" ref="R113" si="542">R114+Q113</f>
        <v>-124018523.62112865</v>
      </c>
      <c r="S113">
        <f t="shared" ref="S113" si="543">R113/100000</f>
        <v>-1240.1852362112866</v>
      </c>
      <c r="T113">
        <f t="shared" ref="T113" si="544">S113/1000</f>
        <v>-1.2401852362112866</v>
      </c>
    </row>
    <row r="114" spans="1:20" x14ac:dyDescent="0.25">
      <c r="A114" s="5">
        <v>44479</v>
      </c>
      <c r="B114">
        <v>3.8370000000000002</v>
      </c>
      <c r="C114">
        <v>3.8370000000000002</v>
      </c>
      <c r="D114">
        <v>3.5449999999999999</v>
      </c>
      <c r="E114">
        <v>3.5649999999999999</v>
      </c>
      <c r="F114">
        <v>737084.5</v>
      </c>
      <c r="G114">
        <v>3.5649999999999999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-0.86301369863013699</v>
      </c>
      <c r="Q114">
        <f t="shared" ref="Q114" si="546">F114*P114</f>
        <v>-636114.02054794517</v>
      </c>
      <c r="R114">
        <f t="shared" ref="R114" si="547">R115+Q114</f>
        <v>-124373711.26144278</v>
      </c>
      <c r="S114">
        <f t="shared" ref="S114" si="548">R114/100000</f>
        <v>-1243.7371126144278</v>
      </c>
      <c r="T114">
        <f t="shared" ref="T114" si="549">S114/1000</f>
        <v>-1.2437371126144279</v>
      </c>
    </row>
    <row r="115" spans="1:20" x14ac:dyDescent="0.25">
      <c r="A115" s="5">
        <v>44478</v>
      </c>
      <c r="B115">
        <v>3.7989999999999999</v>
      </c>
      <c r="C115">
        <v>3.9430000000000001</v>
      </c>
      <c r="D115">
        <v>3.7570000000000001</v>
      </c>
      <c r="E115">
        <v>3.839</v>
      </c>
      <c r="F115">
        <v>1416059.9</v>
      </c>
      <c r="G115">
        <v>3.839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-0.11827956989247446</v>
      </c>
      <c r="Q115">
        <f t="shared" ref="Q115" si="551">F115*P115</f>
        <v>-167490.95591398038</v>
      </c>
      <c r="R115">
        <f t="shared" ref="R115" si="552">R116+Q115</f>
        <v>-123737597.24089484</v>
      </c>
      <c r="S115">
        <f t="shared" ref="S115" si="553">R115/100000</f>
        <v>-1237.3759724089484</v>
      </c>
      <c r="T115">
        <f t="shared" ref="T115" si="554">S115/1000</f>
        <v>-1.2373759724089484</v>
      </c>
    </row>
    <row r="116" spans="1:20" x14ac:dyDescent="0.25">
      <c r="A116" s="5">
        <v>44477</v>
      </c>
      <c r="B116">
        <v>3.8530000000000002</v>
      </c>
      <c r="C116">
        <v>3.96</v>
      </c>
      <c r="D116">
        <v>3.7650000000000001</v>
      </c>
      <c r="E116">
        <v>3.798</v>
      </c>
      <c r="F116">
        <v>1075416.8</v>
      </c>
      <c r="G116">
        <v>3.798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-0.66153846153846207</v>
      </c>
      <c r="Q116">
        <f t="shared" ref="Q116" si="556">F116*P116</f>
        <v>-711429.57538461604</v>
      </c>
      <c r="R116">
        <f t="shared" ref="R116" si="557">R117+Q116</f>
        <v>-123570106.28498086</v>
      </c>
      <c r="S116">
        <f t="shared" ref="S116" si="558">R116/100000</f>
        <v>-1235.7010628498085</v>
      </c>
      <c r="T116">
        <f t="shared" ref="T116" si="559">S116/1000</f>
        <v>-1.2357010628498086</v>
      </c>
    </row>
    <row r="117" spans="1:20" x14ac:dyDescent="0.25">
      <c r="A117" s="5">
        <v>44476</v>
      </c>
      <c r="B117">
        <v>4.0060000000000002</v>
      </c>
      <c r="C117">
        <v>4.0309999999999997</v>
      </c>
      <c r="D117">
        <v>3.8170000000000002</v>
      </c>
      <c r="E117">
        <v>3.8479999999999999</v>
      </c>
      <c r="F117">
        <v>1049801.3999999999</v>
      </c>
      <c r="G117">
        <v>3.8479999999999999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-0.71028037383177789</v>
      </c>
      <c r="Q117">
        <f t="shared" ref="Q117" si="561">F117*P117</f>
        <v>-745653.33084112371</v>
      </c>
      <c r="R117">
        <f t="shared" ref="R117" si="562">R118+Q117</f>
        <v>-122858676.70959625</v>
      </c>
      <c r="S117">
        <f t="shared" ref="S117" si="563">R117/100000</f>
        <v>-1228.5867670959624</v>
      </c>
      <c r="T117">
        <f t="shared" ref="T117" si="564">S117/1000</f>
        <v>-1.2285867670959625</v>
      </c>
    </row>
    <row r="118" spans="1:20" x14ac:dyDescent="0.25">
      <c r="A118" s="5">
        <v>44475</v>
      </c>
      <c r="B118">
        <v>4.0609999999999999</v>
      </c>
      <c r="C118">
        <v>4.2060000000000004</v>
      </c>
      <c r="D118">
        <v>3.6920000000000002</v>
      </c>
      <c r="E118">
        <v>4.0019999999999998</v>
      </c>
      <c r="F118">
        <v>2410180.6</v>
      </c>
      <c r="G118">
        <v>4.0019999999999998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0.20622568093385008</v>
      </c>
      <c r="Q118">
        <f t="shared" ref="Q118" si="566">F118*P118</f>
        <v>497041.13540855533</v>
      </c>
      <c r="R118">
        <f t="shared" ref="R118" si="567">R119+Q118</f>
        <v>-122113023.37875512</v>
      </c>
      <c r="S118">
        <f t="shared" ref="S118" si="568">R118/100000</f>
        <v>-1221.1302337875513</v>
      </c>
      <c r="T118">
        <f t="shared" ref="T118" si="569">S118/1000</f>
        <v>-1.2211302337875514</v>
      </c>
    </row>
    <row r="119" spans="1:20" x14ac:dyDescent="0.25">
      <c r="A119" s="5">
        <v>44474</v>
      </c>
      <c r="B119">
        <v>3.7589999999999999</v>
      </c>
      <c r="C119">
        <v>4.1100000000000003</v>
      </c>
      <c r="D119">
        <v>3.722</v>
      </c>
      <c r="E119">
        <v>4.0629999999999997</v>
      </c>
      <c r="F119">
        <v>2047965</v>
      </c>
      <c r="G119">
        <v>4.0629999999999997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0.75773195876288368</v>
      </c>
      <c r="Q119">
        <f t="shared" ref="Q119" si="571">F119*P119</f>
        <v>1551808.530927829</v>
      </c>
      <c r="R119">
        <f t="shared" ref="R119" si="572">R120+Q119</f>
        <v>-122610064.51416367</v>
      </c>
      <c r="S119">
        <f t="shared" ref="S119" si="573">R119/100000</f>
        <v>-1226.1006451416367</v>
      </c>
      <c r="T119">
        <f t="shared" ref="T119" si="574">S119/1000</f>
        <v>-1.2261006451416367</v>
      </c>
    </row>
    <row r="120" spans="1:20" x14ac:dyDescent="0.25">
      <c r="A120" s="5">
        <v>44473</v>
      </c>
      <c r="B120">
        <v>3.8940000000000001</v>
      </c>
      <c r="C120">
        <v>3.9039999999999999</v>
      </c>
      <c r="D120">
        <v>3.629</v>
      </c>
      <c r="E120">
        <v>3.7570000000000001</v>
      </c>
      <c r="F120">
        <v>1180560.1000000001</v>
      </c>
      <c r="G120">
        <v>3.7570000000000001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-6.9090909090907968E-2</v>
      </c>
      <c r="Q120">
        <f t="shared" ref="Q120" si="576">F120*P120</f>
        <v>-81565.970545453223</v>
      </c>
      <c r="R120">
        <f t="shared" ref="R120" si="577">R121+Q120</f>
        <v>-124161873.04509149</v>
      </c>
      <c r="S120">
        <f t="shared" ref="S120" si="578">R120/100000</f>
        <v>-1241.6187304509149</v>
      </c>
      <c r="T120">
        <f t="shared" ref="T120" si="579">S120/1000</f>
        <v>-1.241618730450915</v>
      </c>
    </row>
    <row r="121" spans="1:20" x14ac:dyDescent="0.25">
      <c r="A121" s="5">
        <v>44472</v>
      </c>
      <c r="B121">
        <v>3.851</v>
      </c>
      <c r="C121">
        <v>4.0970000000000004</v>
      </c>
      <c r="D121">
        <v>3.7519999999999998</v>
      </c>
      <c r="E121">
        <v>3.9060000000000001</v>
      </c>
      <c r="F121">
        <v>1458560.9</v>
      </c>
      <c r="G121">
        <v>3.9060000000000001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-0.10724637681159378</v>
      </c>
      <c r="Q121">
        <f t="shared" ref="Q121" si="581">F121*P121</f>
        <v>-156425.37188405736</v>
      </c>
      <c r="R121">
        <f t="shared" ref="R121" si="582">R122+Q121</f>
        <v>-124080307.07454604</v>
      </c>
      <c r="S121">
        <f t="shared" ref="S121" si="583">R121/100000</f>
        <v>-1240.8030707454604</v>
      </c>
      <c r="T121">
        <f t="shared" ref="T121" si="584">S121/1000</f>
        <v>-1.2408030707454605</v>
      </c>
    </row>
    <row r="122" spans="1:20" x14ac:dyDescent="0.25">
      <c r="A122" s="5">
        <v>44471</v>
      </c>
      <c r="B122">
        <v>3.762</v>
      </c>
      <c r="C122">
        <v>4.0389999999999997</v>
      </c>
      <c r="D122">
        <v>3.702</v>
      </c>
      <c r="E122">
        <v>3.8490000000000002</v>
      </c>
      <c r="F122">
        <v>1509188.1</v>
      </c>
      <c r="G122">
        <v>3.8490000000000002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-0.12759643916913738</v>
      </c>
      <c r="Q122">
        <f t="shared" ref="Q122" si="586">F122*P122</f>
        <v>-192567.02759643603</v>
      </c>
      <c r="R122">
        <f t="shared" ref="R122" si="587">R123+Q122</f>
        <v>-123923881.70266198</v>
      </c>
      <c r="S122">
        <f t="shared" ref="S122" si="588">R122/100000</f>
        <v>-1239.2388170266197</v>
      </c>
      <c r="T122">
        <f t="shared" ref="T122" si="589">S122/1000</f>
        <v>-1.2392388170266198</v>
      </c>
    </row>
    <row r="123" spans="1:20" x14ac:dyDescent="0.25">
      <c r="A123" s="5">
        <v>44470</v>
      </c>
      <c r="B123">
        <v>3.4750000000000001</v>
      </c>
      <c r="C123">
        <v>3.8180000000000001</v>
      </c>
      <c r="D123">
        <v>3.456</v>
      </c>
      <c r="E123">
        <v>3.7639999999999998</v>
      </c>
      <c r="F123">
        <v>2198732.9</v>
      </c>
      <c r="G123">
        <v>3.7639999999999998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0.70165745856353445</v>
      </c>
      <c r="Q123">
        <f t="shared" ref="Q123" si="591">F123*P123</f>
        <v>1542757.3386740298</v>
      </c>
      <c r="R123">
        <f t="shared" ref="R123" si="592">R124+Q123</f>
        <v>-123731314.67506555</v>
      </c>
      <c r="S123">
        <f t="shared" ref="S123" si="593">R123/100000</f>
        <v>-1237.3131467506555</v>
      </c>
      <c r="T123">
        <f t="shared" ref="T123" si="594">S123/1000</f>
        <v>-1.2373131467506555</v>
      </c>
    </row>
    <row r="124" spans="1:20" x14ac:dyDescent="0.25">
      <c r="A124" s="5">
        <v>44469</v>
      </c>
      <c r="B124">
        <v>3.2679999999999998</v>
      </c>
      <c r="C124">
        <v>3.5259999999999998</v>
      </c>
      <c r="D124">
        <v>3.2549999999999999</v>
      </c>
      <c r="E124">
        <v>3.4740000000000002</v>
      </c>
      <c r="F124">
        <v>1057105.3999999999</v>
      </c>
      <c r="G124">
        <v>3.4740000000000002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0.61623616236162637</v>
      </c>
      <c r="Q124">
        <f t="shared" ref="Q124" si="596">F124*P124</f>
        <v>651426.57490775199</v>
      </c>
      <c r="R124">
        <f t="shared" ref="R124" si="597">R125+Q124</f>
        <v>-125274072.01373957</v>
      </c>
      <c r="S124">
        <f t="shared" ref="S124" si="598">R124/100000</f>
        <v>-1252.7407201373958</v>
      </c>
      <c r="T124">
        <f t="shared" ref="T124" si="599">S124/1000</f>
        <v>-1.2527407201373957</v>
      </c>
    </row>
    <row r="125" spans="1:20" x14ac:dyDescent="0.25">
      <c r="A125" s="5">
        <v>44468</v>
      </c>
      <c r="B125">
        <v>3.1909999999999998</v>
      </c>
      <c r="C125">
        <v>3.476</v>
      </c>
      <c r="D125">
        <v>3.1659999999999999</v>
      </c>
      <c r="E125">
        <v>3.2690000000000001</v>
      </c>
      <c r="F125">
        <v>846166</v>
      </c>
      <c r="G125">
        <v>3.2690000000000001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-0.33548387096774074</v>
      </c>
      <c r="Q125">
        <f t="shared" ref="Q125" si="601">F125*P125</f>
        <v>-283875.04516128934</v>
      </c>
      <c r="R125">
        <f t="shared" ref="R125" si="602">R126+Q125</f>
        <v>-125925498.58864732</v>
      </c>
      <c r="S125">
        <f t="shared" ref="S125" si="603">R125/100000</f>
        <v>-1259.2549858864732</v>
      </c>
      <c r="T125">
        <f t="shared" ref="T125" si="604">S125/1000</f>
        <v>-1.2592549858864732</v>
      </c>
    </row>
    <row r="126" spans="1:20" x14ac:dyDescent="0.25">
      <c r="A126" s="5">
        <v>44467</v>
      </c>
      <c r="B126">
        <v>3.319</v>
      </c>
      <c r="C126">
        <v>3.347</v>
      </c>
      <c r="D126">
        <v>3.145</v>
      </c>
      <c r="E126">
        <v>3.1949999999999998</v>
      </c>
      <c r="F126">
        <v>2229248.9</v>
      </c>
      <c r="G126">
        <v>3.1949999999999998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-0.50495049504950662</v>
      </c>
      <c r="Q126">
        <f t="shared" ref="Q126" si="606">F126*P126</f>
        <v>-1125660.3356435681</v>
      </c>
      <c r="R126">
        <f t="shared" ref="R126" si="607">R127+Q126</f>
        <v>-125641623.54348603</v>
      </c>
      <c r="S126">
        <f t="shared" ref="S126" si="608">R126/100000</f>
        <v>-1256.4162354348603</v>
      </c>
      <c r="T126">
        <f t="shared" ref="T126" si="609">S126/1000</f>
        <v>-1.2564162354348603</v>
      </c>
    </row>
    <row r="127" spans="1:20" x14ac:dyDescent="0.25">
      <c r="A127" s="5">
        <v>44466</v>
      </c>
      <c r="B127">
        <v>3.2450000000000001</v>
      </c>
      <c r="C127">
        <v>3.7</v>
      </c>
      <c r="D127">
        <v>3.1949999999999998</v>
      </c>
      <c r="E127">
        <v>3.3210000000000002</v>
      </c>
      <c r="F127">
        <v>2760701</v>
      </c>
      <c r="G127">
        <v>3.3210000000000002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-0.50099009900989999</v>
      </c>
      <c r="Q127">
        <f t="shared" ref="Q127" si="611">F127*P127</f>
        <v>-1383083.8673267299</v>
      </c>
      <c r="R127">
        <f t="shared" ref="R127" si="612">R128+Q127</f>
        <v>-124515963.20784245</v>
      </c>
      <c r="S127">
        <f t="shared" ref="S127" si="613">R127/100000</f>
        <v>-1245.1596320784245</v>
      </c>
      <c r="T127">
        <f t="shared" ref="T127" si="614">S127/1000</f>
        <v>-1.2451596320784244</v>
      </c>
    </row>
    <row r="128" spans="1:20" x14ac:dyDescent="0.25">
      <c r="A128" s="5">
        <v>44465</v>
      </c>
      <c r="B128">
        <v>3.427</v>
      </c>
      <c r="C128">
        <v>3.4860000000000002</v>
      </c>
      <c r="D128">
        <v>3.0049999999999999</v>
      </c>
      <c r="E128">
        <v>3.25</v>
      </c>
      <c r="F128">
        <v>3888625.9</v>
      </c>
      <c r="G128">
        <v>3.25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1.8711018711018483E-2</v>
      </c>
      <c r="Q128">
        <f t="shared" ref="Q128" si="616">F128*P128</f>
        <v>72760.151975051092</v>
      </c>
      <c r="R128">
        <f t="shared" ref="R128" si="617">R129+Q128</f>
        <v>-123132879.34051572</v>
      </c>
      <c r="S128">
        <f t="shared" ref="S128" si="618">R128/100000</f>
        <v>-1231.3287934051573</v>
      </c>
      <c r="T128">
        <f t="shared" ref="T128" si="619">S128/1000</f>
        <v>-1.2313287934051573</v>
      </c>
    </row>
    <row r="129" spans="1:20" x14ac:dyDescent="0.25">
      <c r="A129" s="5">
        <v>44464</v>
      </c>
      <c r="B129">
        <v>3.1850000000000001</v>
      </c>
      <c r="C129">
        <v>3.593</v>
      </c>
      <c r="D129">
        <v>3.0739999999999998</v>
      </c>
      <c r="E129">
        <v>3.4260000000000002</v>
      </c>
      <c r="F129">
        <v>3774647.7</v>
      </c>
      <c r="G129">
        <v>3.4260000000000002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0.35645472061657119</v>
      </c>
      <c r="Q129">
        <f t="shared" ref="Q129" si="621">F129*P129</f>
        <v>1345490.991329483</v>
      </c>
      <c r="R129">
        <f t="shared" ref="R129" si="622">R130+Q129</f>
        <v>-123205639.49249077</v>
      </c>
      <c r="S129">
        <f t="shared" ref="S129" si="623">R129/100000</f>
        <v>-1232.0563949249076</v>
      </c>
      <c r="T129">
        <f t="shared" ref="T129" si="624">S129/1000</f>
        <v>-1.2320563949249077</v>
      </c>
    </row>
    <row r="130" spans="1:20" x14ac:dyDescent="0.25">
      <c r="A130" s="5">
        <v>44463</v>
      </c>
      <c r="B130">
        <v>3.4729999999999999</v>
      </c>
      <c r="C130">
        <v>3.4929999999999999</v>
      </c>
      <c r="D130">
        <v>2.9</v>
      </c>
      <c r="E130">
        <v>3.1859999999999999</v>
      </c>
      <c r="F130">
        <v>1925316.2</v>
      </c>
      <c r="G130">
        <v>3.1859999999999999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-3.5413153456998157E-2</v>
      </c>
      <c r="Q130">
        <f t="shared" ref="Q130" si="626">F130*P130</f>
        <v>-68181.518043844553</v>
      </c>
      <c r="R130">
        <f t="shared" ref="R130" si="627">R131+Q130</f>
        <v>-124551130.48382024</v>
      </c>
      <c r="S130">
        <f t="shared" ref="S130" si="628">R130/100000</f>
        <v>-1245.5113048382025</v>
      </c>
      <c r="T130">
        <f t="shared" ref="T130" si="629">S130/1000</f>
        <v>-1.2455113048382025</v>
      </c>
    </row>
    <row r="131" spans="1:20" x14ac:dyDescent="0.25">
      <c r="A131" s="5">
        <v>44462</v>
      </c>
      <c r="B131">
        <v>3.3820000000000001</v>
      </c>
      <c r="C131">
        <v>3.5070000000000001</v>
      </c>
      <c r="D131">
        <v>3.27</v>
      </c>
      <c r="E131">
        <v>3.4750000000000001</v>
      </c>
      <c r="F131">
        <v>864922.5</v>
      </c>
      <c r="G131">
        <v>3.4750000000000001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0.72995780590717285</v>
      </c>
      <c r="Q131">
        <f t="shared" ref="Q131" si="631">F131*P131</f>
        <v>631356.93037974671</v>
      </c>
      <c r="R131">
        <f t="shared" ref="R131" si="632">R132+Q131</f>
        <v>-124482948.9657764</v>
      </c>
      <c r="S131">
        <f t="shared" ref="S131" si="633">R131/100000</f>
        <v>-1244.829489657764</v>
      </c>
      <c r="T131">
        <f t="shared" ref="T131" si="634">S131/1000</f>
        <v>-1.2448294896577641</v>
      </c>
    </row>
    <row r="132" spans="1:20" x14ac:dyDescent="0.25">
      <c r="A132" s="5">
        <v>44461</v>
      </c>
      <c r="B132">
        <v>3.0249999999999999</v>
      </c>
      <c r="C132">
        <v>3.468</v>
      </c>
      <c r="D132">
        <v>2.9350000000000001</v>
      </c>
      <c r="E132">
        <v>3.3839999999999999</v>
      </c>
      <c r="F132">
        <v>1073685.2</v>
      </c>
      <c r="G132">
        <v>3.3839999999999999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0.68480300187617227</v>
      </c>
      <c r="Q132">
        <f t="shared" ref="Q132" si="636">F132*P132</f>
        <v>735262.84803001839</v>
      </c>
      <c r="R132">
        <f t="shared" ref="R132" si="637">R133+Q132</f>
        <v>-125114305.89615615</v>
      </c>
      <c r="S132">
        <f t="shared" ref="S132" si="638">R132/100000</f>
        <v>-1251.1430589615616</v>
      </c>
      <c r="T132">
        <f t="shared" ref="T132" si="639">S132/1000</f>
        <v>-1.2511430589615615</v>
      </c>
    </row>
    <row r="133" spans="1:20" x14ac:dyDescent="0.25">
      <c r="A133" s="5">
        <v>44460</v>
      </c>
      <c r="B133">
        <v>3.2530000000000001</v>
      </c>
      <c r="C133">
        <v>3.4159999999999999</v>
      </c>
      <c r="D133">
        <v>2.8879999999999999</v>
      </c>
      <c r="E133">
        <v>3.024</v>
      </c>
      <c r="F133">
        <v>1404154.05</v>
      </c>
      <c r="G133">
        <v>3.024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-0.48484848484848442</v>
      </c>
      <c r="Q133">
        <f t="shared" ref="Q133" si="641">F133*P133</f>
        <v>-680801.96363636304</v>
      </c>
      <c r="R133">
        <f t="shared" ref="R133" si="642">R134+Q133</f>
        <v>-125849568.74418616</v>
      </c>
      <c r="S133">
        <f t="shared" ref="S133" si="643">R133/100000</f>
        <v>-1258.4956874418617</v>
      </c>
      <c r="T133">
        <f t="shared" ref="T133" si="644">S133/1000</f>
        <v>-1.2584956874418618</v>
      </c>
    </row>
    <row r="134" spans="1:20" x14ac:dyDescent="0.25">
      <c r="A134" s="5">
        <v>44459</v>
      </c>
      <c r="B134">
        <v>3.8420000000000001</v>
      </c>
      <c r="C134">
        <v>3.8570000000000002</v>
      </c>
      <c r="D134">
        <v>3.4209999999999998</v>
      </c>
      <c r="E134">
        <v>3.468</v>
      </c>
      <c r="F134">
        <v>695226.1</v>
      </c>
      <c r="G134">
        <v>3.468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-0.78440366972477016</v>
      </c>
      <c r="Q134">
        <f t="shared" ref="Q134" si="646">F134*P134</f>
        <v>-545337.90412843996</v>
      </c>
      <c r="R134">
        <f t="shared" ref="R134" si="647">R135+Q134</f>
        <v>-125168766.78054979</v>
      </c>
      <c r="S134">
        <f t="shared" ref="S134" si="648">R134/100000</f>
        <v>-1251.687667805498</v>
      </c>
      <c r="T134">
        <f t="shared" ref="T134" si="649">S134/1000</f>
        <v>-1.251687667805498</v>
      </c>
    </row>
    <row r="135" spans="1:20" x14ac:dyDescent="0.25">
      <c r="A135" s="5">
        <v>44458</v>
      </c>
      <c r="B135">
        <v>3.9329999999999998</v>
      </c>
      <c r="C135">
        <v>3.9359999999999999</v>
      </c>
      <c r="D135">
        <v>3.7349999999999999</v>
      </c>
      <c r="E135">
        <v>3.8420000000000001</v>
      </c>
      <c r="F135">
        <v>863069.1</v>
      </c>
      <c r="G135">
        <v>3.8420000000000001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6.4676616915424576E-2</v>
      </c>
      <c r="Q135">
        <f t="shared" ref="Q135" si="651">F135*P135</f>
        <v>55820.38955224026</v>
      </c>
      <c r="R135">
        <f t="shared" ref="R135" si="652">R136+Q135</f>
        <v>-124623428.87642135</v>
      </c>
      <c r="S135">
        <f t="shared" ref="S135" si="653">R135/100000</f>
        <v>-1246.2342887642135</v>
      </c>
      <c r="T135">
        <f t="shared" ref="T135" si="654">S135/1000</f>
        <v>-1.2462342887642135</v>
      </c>
    </row>
    <row r="136" spans="1:20" x14ac:dyDescent="0.25">
      <c r="A136" s="5">
        <v>44457</v>
      </c>
      <c r="B136">
        <v>3.8479999999999999</v>
      </c>
      <c r="C136">
        <v>4.1769999999999996</v>
      </c>
      <c r="D136">
        <v>3.7850000000000001</v>
      </c>
      <c r="E136">
        <v>3.9319999999999999</v>
      </c>
      <c r="F136">
        <v>1235520.5</v>
      </c>
      <c r="G136">
        <v>3.9319999999999999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-0.25</v>
      </c>
      <c r="Q136">
        <f t="shared" ref="Q136" si="656">F136*P136</f>
        <v>-308880.125</v>
      </c>
      <c r="R136">
        <f t="shared" ref="R136" si="657">R137+Q136</f>
        <v>-124679249.26597358</v>
      </c>
      <c r="S136">
        <f t="shared" ref="S136" si="658">R136/100000</f>
        <v>-1246.7924926597359</v>
      </c>
      <c r="T136">
        <f t="shared" ref="T136" si="659">S136/1000</f>
        <v>-1.2467924926597358</v>
      </c>
    </row>
    <row r="137" spans="1:20" x14ac:dyDescent="0.25">
      <c r="A137" s="5">
        <v>44456</v>
      </c>
      <c r="B137">
        <v>4.024</v>
      </c>
      <c r="C137">
        <v>4.0650000000000004</v>
      </c>
      <c r="D137">
        <v>3.7839999999999998</v>
      </c>
      <c r="E137">
        <v>3.8439999999999999</v>
      </c>
      <c r="F137">
        <v>1186459.2</v>
      </c>
      <c r="G137">
        <v>3.8439999999999999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-0.57295373665480476</v>
      </c>
      <c r="Q137">
        <f t="shared" ref="Q137" si="661">F137*P137</f>
        <v>-679786.23202847026</v>
      </c>
      <c r="R137">
        <f t="shared" ref="R137" si="662">R138+Q137</f>
        <v>-124370369.14097358</v>
      </c>
      <c r="S137">
        <f t="shared" ref="S137" si="663">R137/100000</f>
        <v>-1243.7036914097359</v>
      </c>
      <c r="T137">
        <f t="shared" ref="T137" si="664">S137/1000</f>
        <v>-1.2437036914097359</v>
      </c>
    </row>
    <row r="138" spans="1:20" x14ac:dyDescent="0.25">
      <c r="A138" s="5">
        <v>44455</v>
      </c>
      <c r="B138">
        <v>4.2460000000000004</v>
      </c>
      <c r="C138">
        <v>4.3099999999999996</v>
      </c>
      <c r="D138">
        <v>3.931</v>
      </c>
      <c r="E138">
        <v>4.0270000000000001</v>
      </c>
      <c r="F138">
        <v>1447733.7</v>
      </c>
      <c r="G138">
        <v>4.0270000000000001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-0.49340369393139738</v>
      </c>
      <c r="Q138">
        <f t="shared" ref="Q138" si="666">F138*P138</f>
        <v>-714317.1554089695</v>
      </c>
      <c r="R138">
        <f t="shared" ref="R138" si="667">R139+Q138</f>
        <v>-123690582.90894511</v>
      </c>
      <c r="S138">
        <f t="shared" ref="S138" si="668">R138/100000</f>
        <v>-1236.9058290894511</v>
      </c>
      <c r="T138">
        <f t="shared" ref="T138" si="669">S138/1000</f>
        <v>-1.236905829089451</v>
      </c>
    </row>
    <row r="139" spans="1:20" x14ac:dyDescent="0.25">
      <c r="A139" s="5">
        <v>44454</v>
      </c>
      <c r="B139">
        <v>4.0279999999999996</v>
      </c>
      <c r="C139">
        <v>4.4989999999999997</v>
      </c>
      <c r="D139">
        <v>3.968</v>
      </c>
      <c r="E139">
        <v>4.2439999999999998</v>
      </c>
      <c r="F139">
        <v>1906008.1</v>
      </c>
      <c r="G139">
        <v>4.2439999999999998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3.9548022598869907E-2</v>
      </c>
      <c r="Q139">
        <f t="shared" ref="Q139" si="671">F139*P139</f>
        <v>75378.851412429096</v>
      </c>
      <c r="R139">
        <f t="shared" ref="R139" si="672">R140+Q139</f>
        <v>-122976265.75353615</v>
      </c>
      <c r="S139">
        <f t="shared" ref="S139" si="673">R139/100000</f>
        <v>-1229.7626575353615</v>
      </c>
      <c r="T139">
        <f t="shared" ref="T139" si="674">S139/1000</f>
        <v>-1.2297626575353615</v>
      </c>
    </row>
    <row r="140" spans="1:20" x14ac:dyDescent="0.25">
      <c r="A140" s="5">
        <v>44453</v>
      </c>
      <c r="B140">
        <v>3.855</v>
      </c>
      <c r="C140">
        <v>4.03</v>
      </c>
      <c r="D140">
        <v>3.794</v>
      </c>
      <c r="E140">
        <v>4.0279999999999996</v>
      </c>
      <c r="F140">
        <v>922633.8</v>
      </c>
      <c r="G140">
        <v>4.0279999999999996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0.9830508474576215</v>
      </c>
      <c r="Q140">
        <f t="shared" ref="Q140" si="676">F140*P140</f>
        <v>906995.93898304575</v>
      </c>
      <c r="R140">
        <f t="shared" ref="R140" si="677">R141+Q140</f>
        <v>-123051644.60494858</v>
      </c>
      <c r="S140">
        <f t="shared" ref="S140" si="678">R140/100000</f>
        <v>-1230.5164460494857</v>
      </c>
      <c r="T140">
        <f t="shared" ref="T140" si="679">S140/1000</f>
        <v>-1.2305164460494857</v>
      </c>
    </row>
    <row r="141" spans="1:20" x14ac:dyDescent="0.25">
      <c r="A141" s="5">
        <v>44452</v>
      </c>
      <c r="B141">
        <v>4.1289999999999996</v>
      </c>
      <c r="C141">
        <v>4.1689999999999996</v>
      </c>
      <c r="D141">
        <v>3.6070000000000002</v>
      </c>
      <c r="E141">
        <v>3.8479999999999999</v>
      </c>
      <c r="F141">
        <v>1531918.4</v>
      </c>
      <c r="G141">
        <v>3.8479999999999999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-0.14234875444839887</v>
      </c>
      <c r="Q141">
        <f t="shared" ref="Q141" si="681">F141*P141</f>
        <v>-218066.67615658406</v>
      </c>
      <c r="R141">
        <f t="shared" ref="R141" si="682">R142+Q141</f>
        <v>-123958640.54393163</v>
      </c>
      <c r="S141">
        <f t="shared" ref="S141" si="683">R141/100000</f>
        <v>-1239.5864054393164</v>
      </c>
      <c r="T141">
        <f t="shared" ref="T141" si="684">S141/1000</f>
        <v>-1.2395864054393164</v>
      </c>
    </row>
    <row r="142" spans="1:20" x14ac:dyDescent="0.25">
      <c r="A142" s="5">
        <v>44451</v>
      </c>
      <c r="B142">
        <v>3.9329999999999998</v>
      </c>
      <c r="C142">
        <v>4.3140000000000001</v>
      </c>
      <c r="D142">
        <v>3.823</v>
      </c>
      <c r="E142">
        <v>4.1349999999999998</v>
      </c>
      <c r="F142">
        <v>1676834.3</v>
      </c>
      <c r="G142">
        <v>4.1349999999999998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0.2708757637474532</v>
      </c>
      <c r="Q142">
        <f t="shared" ref="Q142" si="686">F142*P142</f>
        <v>454213.7716904261</v>
      </c>
      <c r="R142">
        <f t="shared" ref="R142" si="687">R143+Q142</f>
        <v>-123740573.86777505</v>
      </c>
      <c r="S142">
        <f t="shared" ref="S142" si="688">R142/100000</f>
        <v>-1237.4057386777506</v>
      </c>
      <c r="T142">
        <f t="shared" ref="T142" si="689">S142/1000</f>
        <v>-1.2374057386777506</v>
      </c>
    </row>
    <row r="143" spans="1:20" x14ac:dyDescent="0.25">
      <c r="A143" s="5">
        <v>44450</v>
      </c>
      <c r="B143">
        <v>3.9060000000000001</v>
      </c>
      <c r="C143">
        <v>4.1890000000000001</v>
      </c>
      <c r="D143">
        <v>3.8210000000000002</v>
      </c>
      <c r="E143">
        <v>3.9350000000000001</v>
      </c>
      <c r="F143">
        <v>1183899.3999999999</v>
      </c>
      <c r="G143">
        <v>3.9350000000000001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-0.38043478260869612</v>
      </c>
      <c r="Q143">
        <f t="shared" ref="Q143" si="691">F143*P143</f>
        <v>-450396.51086956571</v>
      </c>
      <c r="R143">
        <f t="shared" ref="R143" si="692">R144+Q143</f>
        <v>-124194787.63946548</v>
      </c>
      <c r="S143">
        <f t="shared" ref="S143" si="693">R143/100000</f>
        <v>-1241.9478763946547</v>
      </c>
      <c r="T143">
        <f t="shared" ref="T143" si="694">S143/1000</f>
        <v>-1.2419478763946548</v>
      </c>
    </row>
    <row r="144" spans="1:20" x14ac:dyDescent="0.25">
      <c r="A144" s="5">
        <v>44449</v>
      </c>
      <c r="B144">
        <v>4.0949999999999998</v>
      </c>
      <c r="C144">
        <v>4.399</v>
      </c>
      <c r="D144">
        <v>3.7450000000000001</v>
      </c>
      <c r="E144">
        <v>3.8969999999999998</v>
      </c>
      <c r="F144">
        <v>2031311.1</v>
      </c>
      <c r="G144">
        <v>3.8969999999999998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-0.53516819571865537</v>
      </c>
      <c r="Q144">
        <f t="shared" ref="Q144" si="696">F144*P144</f>
        <v>-1087093.0963302772</v>
      </c>
      <c r="R144">
        <f t="shared" ref="R144" si="697">R145+Q144</f>
        <v>-123744391.12859592</v>
      </c>
      <c r="S144">
        <f t="shared" ref="S144" si="698">R144/100000</f>
        <v>-1237.4439112859591</v>
      </c>
      <c r="T144">
        <f t="shared" ref="T144" si="699">S144/1000</f>
        <v>-1.237443911285959</v>
      </c>
    </row>
    <row r="145" spans="1:20" x14ac:dyDescent="0.25">
      <c r="A145" s="5">
        <v>44448</v>
      </c>
      <c r="B145">
        <v>4.032</v>
      </c>
      <c r="C145">
        <v>4.2919999999999998</v>
      </c>
      <c r="D145">
        <v>3.8879999999999999</v>
      </c>
      <c r="E145">
        <v>4.0949999999999998</v>
      </c>
      <c r="F145">
        <v>3041199</v>
      </c>
      <c r="G145">
        <v>4.0949999999999998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2.475247524752423E-2</v>
      </c>
      <c r="Q145">
        <f t="shared" ref="Q145" si="701">F145*P145</f>
        <v>75277.202970295446</v>
      </c>
      <c r="R145">
        <f t="shared" ref="R145" si="702">R146+Q145</f>
        <v>-122657298.03226565</v>
      </c>
      <c r="S145">
        <f t="shared" ref="S145" si="703">R145/100000</f>
        <v>-1226.5729803226566</v>
      </c>
      <c r="T145">
        <f t="shared" ref="T145" si="704">S145/1000</f>
        <v>-1.2265729803226566</v>
      </c>
    </row>
    <row r="146" spans="1:20" x14ac:dyDescent="0.25">
      <c r="A146" s="5">
        <v>44447</v>
      </c>
      <c r="B146">
        <v>4.1319999999999997</v>
      </c>
      <c r="C146">
        <v>4.28</v>
      </c>
      <c r="D146">
        <v>3.5920000000000001</v>
      </c>
      <c r="E146">
        <v>4.0270000000000001</v>
      </c>
      <c r="F146">
        <v>3634235.4</v>
      </c>
      <c r="G146">
        <v>4.0270000000000001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0.26453488372093009</v>
      </c>
      <c r="Q146">
        <f t="shared" ref="Q146" si="706">F146*P146</f>
        <v>961382.03895348788</v>
      </c>
      <c r="R146">
        <f t="shared" ref="R146" si="707">R147+Q146</f>
        <v>-122732575.23523594</v>
      </c>
      <c r="S146">
        <f t="shared" ref="S146" si="708">R146/100000</f>
        <v>-1227.3257523523594</v>
      </c>
      <c r="T146">
        <f t="shared" ref="T146" si="709">S146/1000</f>
        <v>-1.2273257523523593</v>
      </c>
    </row>
    <row r="147" spans="1:20" x14ac:dyDescent="0.25">
      <c r="A147" s="5">
        <v>44446</v>
      </c>
      <c r="B147">
        <v>5.218</v>
      </c>
      <c r="C147">
        <v>5.2939999999999996</v>
      </c>
      <c r="D147">
        <v>3.4020000000000001</v>
      </c>
      <c r="E147">
        <v>4.1289999999999996</v>
      </c>
      <c r="F147">
        <v>6267815.7999999998</v>
      </c>
      <c r="G147">
        <v>4.1289999999999996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-0.23150105708245283</v>
      </c>
      <c r="Q147">
        <f t="shared" ref="Q147" si="711">F147*P147</f>
        <v>-1451005.9832980998</v>
      </c>
      <c r="R147">
        <f t="shared" ref="R147" si="712">R148+Q147</f>
        <v>-123693957.27418943</v>
      </c>
      <c r="S147">
        <f t="shared" ref="S147" si="713">R147/100000</f>
        <v>-1236.9395727418944</v>
      </c>
      <c r="T147">
        <f t="shared" ref="T147" si="714">S147/1000</f>
        <v>-1.2369395727418944</v>
      </c>
    </row>
    <row r="148" spans="1:20" x14ac:dyDescent="0.25">
      <c r="A148" s="5">
        <v>44445</v>
      </c>
      <c r="B148">
        <v>5.3559999999999999</v>
      </c>
      <c r="C148">
        <v>5.7</v>
      </c>
      <c r="D148">
        <v>4.8620000000000001</v>
      </c>
      <c r="E148">
        <v>5.2190000000000003</v>
      </c>
      <c r="F148">
        <v>3168721</v>
      </c>
      <c r="G148">
        <v>5.2190000000000003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-0.14797136038186115</v>
      </c>
      <c r="Q148">
        <f t="shared" ref="Q148" si="716">F148*P148</f>
        <v>-468879.95704057143</v>
      </c>
      <c r="R148">
        <f t="shared" ref="R148" si="717">R149+Q148</f>
        <v>-122242951.29089133</v>
      </c>
      <c r="S148">
        <f t="shared" ref="S148" si="718">R148/100000</f>
        <v>-1222.4295129089132</v>
      </c>
      <c r="T148">
        <f t="shared" ref="T148" si="719">S148/1000</f>
        <v>-1.2224295129089133</v>
      </c>
    </row>
    <row r="149" spans="1:20" x14ac:dyDescent="0.25">
      <c r="A149" s="5">
        <v>44444</v>
      </c>
      <c r="B149">
        <v>5.319</v>
      </c>
      <c r="C149">
        <v>5.5590000000000002</v>
      </c>
      <c r="D149">
        <v>5.2450000000000001</v>
      </c>
      <c r="E149">
        <v>5.3570000000000002</v>
      </c>
      <c r="F149">
        <v>1755653.5</v>
      </c>
      <c r="G149">
        <v>5.3570000000000002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-0.28662420382165554</v>
      </c>
      <c r="Q149">
        <f t="shared" ref="Q149" si="721">F149*P149</f>
        <v>-503212.78662420291</v>
      </c>
      <c r="R149">
        <f t="shared" ref="R149" si="722">R150+Q149</f>
        <v>-121774071.33385076</v>
      </c>
      <c r="S149">
        <f t="shared" ref="S149" si="723">R149/100000</f>
        <v>-1217.7407133385075</v>
      </c>
      <c r="T149">
        <f t="shared" ref="T149" si="724">S149/1000</f>
        <v>-1.2177407133385074</v>
      </c>
    </row>
    <row r="150" spans="1:20" x14ac:dyDescent="0.25">
      <c r="A150" s="5">
        <v>44443</v>
      </c>
      <c r="B150">
        <v>5.3559999999999999</v>
      </c>
      <c r="C150">
        <v>5.7930000000000001</v>
      </c>
      <c r="D150">
        <v>5.2619999999999996</v>
      </c>
      <c r="E150">
        <v>5.3220000000000001</v>
      </c>
      <c r="F150">
        <v>2822566.86</v>
      </c>
      <c r="G150">
        <v>5.3220000000000001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-0.77401129943502667</v>
      </c>
      <c r="Q150">
        <f t="shared" ref="Q150" si="726">F150*P150</f>
        <v>-2184698.6430508429</v>
      </c>
      <c r="R150">
        <f t="shared" ref="R150" si="727">R151+Q150</f>
        <v>-121270858.54722655</v>
      </c>
      <c r="S150">
        <f t="shared" ref="S150" si="728">R150/100000</f>
        <v>-1212.7085854722654</v>
      </c>
      <c r="T150">
        <f t="shared" ref="T150" si="729">S150/1000</f>
        <v>-1.2127085854722655</v>
      </c>
    </row>
    <row r="151" spans="1:20" x14ac:dyDescent="0.25">
      <c r="A151" s="5">
        <v>44442</v>
      </c>
      <c r="B151">
        <v>5.181</v>
      </c>
      <c r="C151">
        <v>5.6349999999999998</v>
      </c>
      <c r="D151">
        <v>5.101</v>
      </c>
      <c r="E151">
        <v>5.3579999999999997</v>
      </c>
      <c r="F151">
        <v>4420896.0199999996</v>
      </c>
      <c r="G151">
        <v>5.3579999999999997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-3.7453183520600127E-2</v>
      </c>
      <c r="Q151">
        <f t="shared" ref="Q151" si="731">F151*P151</f>
        <v>-165576.62996255068</v>
      </c>
      <c r="R151">
        <f t="shared" ref="R151" si="732">R152+Q151</f>
        <v>-119086159.9041757</v>
      </c>
      <c r="S151">
        <f t="shared" ref="S151" si="733">R151/100000</f>
        <v>-1190.861599041757</v>
      </c>
      <c r="T151">
        <f t="shared" ref="T151" si="734">S151/1000</f>
        <v>-1.190861599041757</v>
      </c>
    </row>
    <row r="152" spans="1:20" x14ac:dyDescent="0.25">
      <c r="A152" s="5">
        <v>44441</v>
      </c>
      <c r="B152">
        <v>4.87</v>
      </c>
      <c r="C152">
        <v>5.3959999999999999</v>
      </c>
      <c r="D152">
        <v>4.7610000000000001</v>
      </c>
      <c r="E152">
        <v>5.1749999999999998</v>
      </c>
      <c r="F152">
        <v>6330523.9800000004</v>
      </c>
      <c r="G152">
        <v>5.1749999999999998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0.30393700787401523</v>
      </c>
      <c r="Q152">
        <f t="shared" ref="Q152" si="736">F152*P152</f>
        <v>1924080.5167559024</v>
      </c>
      <c r="R152">
        <f t="shared" ref="R152" si="737">R153+Q152</f>
        <v>-118920583.27421315</v>
      </c>
      <c r="S152">
        <f t="shared" ref="S152" si="738">R152/100000</f>
        <v>-1189.2058327421314</v>
      </c>
      <c r="T152">
        <f t="shared" ref="T152" si="739">S152/1000</f>
        <v>-1.1892058327421313</v>
      </c>
    </row>
    <row r="153" spans="1:20" x14ac:dyDescent="0.25">
      <c r="A153" s="5">
        <v>44440</v>
      </c>
      <c r="B153">
        <v>4.4740000000000002</v>
      </c>
      <c r="C153">
        <v>4.9630000000000001</v>
      </c>
      <c r="D153">
        <v>4.3360000000000003</v>
      </c>
      <c r="E153">
        <v>4.8659999999999997</v>
      </c>
      <c r="F153">
        <v>3383146.53</v>
      </c>
      <c r="G153">
        <v>4.8659999999999997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0.69059011164274176</v>
      </c>
      <c r="Q153">
        <f t="shared" ref="Q153" si="741">F153*P153</f>
        <v>2336367.5398564544</v>
      </c>
      <c r="R153">
        <f t="shared" ref="R153" si="742">R154+Q153</f>
        <v>-120844663.79096906</v>
      </c>
      <c r="S153">
        <f t="shared" ref="S153" si="743">R153/100000</f>
        <v>-1208.4466379096905</v>
      </c>
      <c r="T153">
        <f t="shared" ref="T153" si="744">S153/1000</f>
        <v>-1.2084466379096905</v>
      </c>
    </row>
    <row r="154" spans="1:20" x14ac:dyDescent="0.25">
      <c r="A154" s="5">
        <v>44439</v>
      </c>
      <c r="B154">
        <v>4.6239999999999997</v>
      </c>
      <c r="C154">
        <v>4.7720000000000002</v>
      </c>
      <c r="D154">
        <v>4.351</v>
      </c>
      <c r="E154">
        <v>4.476</v>
      </c>
      <c r="F154">
        <v>3005609.1</v>
      </c>
      <c r="G154">
        <v>4.476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-0.40617577197149679</v>
      </c>
      <c r="Q154">
        <f t="shared" ref="Q154" si="746">F154*P154</f>
        <v>-1220805.5964370556</v>
      </c>
      <c r="R154">
        <f t="shared" ref="R154" si="747">R155+Q154</f>
        <v>-123181031.33082551</v>
      </c>
      <c r="S154">
        <f t="shared" ref="S154" si="748">R154/100000</f>
        <v>-1231.810313308255</v>
      </c>
      <c r="T154">
        <f t="shared" ref="T154" si="749">S154/1000</f>
        <v>-1.231810313308255</v>
      </c>
    </row>
    <row r="155" spans="1:20" x14ac:dyDescent="0.25">
      <c r="A155" s="5">
        <v>44438</v>
      </c>
      <c r="B155">
        <v>4.4470000000000001</v>
      </c>
      <c r="C155">
        <v>4.931</v>
      </c>
      <c r="D155">
        <v>4.2649999999999997</v>
      </c>
      <c r="E155">
        <v>4.6230000000000002</v>
      </c>
      <c r="F155">
        <v>3250630.8</v>
      </c>
      <c r="G155">
        <v>4.6230000000000002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7.5075075075076103E-2</v>
      </c>
      <c r="Q155">
        <f t="shared" ref="Q155" si="751">F155*P155</f>
        <v>244041.35135135468</v>
      </c>
      <c r="R155">
        <f t="shared" ref="R155" si="752">R156+Q155</f>
        <v>-121960225.73438846</v>
      </c>
      <c r="S155">
        <f t="shared" ref="S155" si="753">R155/100000</f>
        <v>-1219.6022573438845</v>
      </c>
      <c r="T155">
        <f t="shared" ref="T155" si="754">S155/1000</f>
        <v>-1.2196022573438845</v>
      </c>
    </row>
    <row r="156" spans="1:20" x14ac:dyDescent="0.25">
      <c r="A156" s="5">
        <v>44437</v>
      </c>
      <c r="B156">
        <v>4.4989999999999997</v>
      </c>
      <c r="C156">
        <v>4.62</v>
      </c>
      <c r="D156">
        <v>4.2869999999999999</v>
      </c>
      <c r="E156">
        <v>4.4409999999999998</v>
      </c>
      <c r="F156">
        <v>1972084.3</v>
      </c>
      <c r="G156">
        <v>4.4409999999999998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-7.5075075075076103E-2</v>
      </c>
      <c r="Q156">
        <f t="shared" ref="Q156" si="756">F156*P156</f>
        <v>-148054.3768768789</v>
      </c>
      <c r="R156">
        <f t="shared" ref="R156" si="757">R157+Q156</f>
        <v>-122204267.08573981</v>
      </c>
      <c r="S156">
        <f t="shared" ref="S156" si="758">R156/100000</f>
        <v>-1222.042670857398</v>
      </c>
      <c r="T156">
        <f t="shared" ref="T156" si="759">S156/1000</f>
        <v>-1.2220426708573979</v>
      </c>
    </row>
    <row r="157" spans="1:20" x14ac:dyDescent="0.25">
      <c r="A157" s="5">
        <v>44436</v>
      </c>
      <c r="B157">
        <v>4.6929999999999996</v>
      </c>
      <c r="C157">
        <v>4.7130000000000001</v>
      </c>
      <c r="D157">
        <v>4.4279999999999999</v>
      </c>
      <c r="E157">
        <v>4.5</v>
      </c>
      <c r="F157">
        <v>1353500.7</v>
      </c>
      <c r="G157">
        <v>4.5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-0.49473684210526298</v>
      </c>
      <c r="Q157">
        <f t="shared" ref="Q157" si="761">F157*P157</f>
        <v>-669626.66210526286</v>
      </c>
      <c r="R157">
        <f t="shared" ref="R157" si="762">R158+Q157</f>
        <v>-122056212.70886293</v>
      </c>
      <c r="S157">
        <f t="shared" ref="S157" si="763">R157/100000</f>
        <v>-1220.5621270886293</v>
      </c>
      <c r="T157">
        <f t="shared" ref="T157" si="764">S157/1000</f>
        <v>-1.2205621270886293</v>
      </c>
    </row>
    <row r="158" spans="1:20" x14ac:dyDescent="0.25">
      <c r="A158" s="5">
        <v>44435</v>
      </c>
      <c r="B158">
        <v>4.4779999999999998</v>
      </c>
      <c r="C158">
        <v>4.88</v>
      </c>
      <c r="D158">
        <v>4.2210000000000001</v>
      </c>
      <c r="E158">
        <v>4.6970000000000001</v>
      </c>
      <c r="F158">
        <v>3047296.34</v>
      </c>
      <c r="G158">
        <v>4.6970000000000001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0.44461305007587287</v>
      </c>
      <c r="Q158">
        <f t="shared" ref="Q158" si="766">F158*P158</f>
        <v>1354867.720212444</v>
      </c>
      <c r="R158">
        <f t="shared" ref="R158" si="767">R159+Q158</f>
        <v>-121386586.04675767</v>
      </c>
      <c r="S158">
        <f t="shared" ref="S158" si="768">R158/100000</f>
        <v>-1213.8658604675768</v>
      </c>
      <c r="T158">
        <f t="shared" ref="T158" si="769">S158/1000</f>
        <v>-1.2138658604675767</v>
      </c>
    </row>
    <row r="159" spans="1:20" x14ac:dyDescent="0.25">
      <c r="A159" s="5">
        <v>44434</v>
      </c>
      <c r="B159">
        <v>5.0663999999999998</v>
      </c>
      <c r="C159">
        <v>5.1382000000000003</v>
      </c>
      <c r="D159">
        <v>4.452</v>
      </c>
      <c r="E159">
        <v>4.4749999999999996</v>
      </c>
      <c r="F159">
        <v>2256188.38</v>
      </c>
      <c r="G159">
        <v>4.4749999999999996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-0.93296415039347225</v>
      </c>
      <c r="Q159">
        <f t="shared" ref="Q159" si="771">F159*P159</f>
        <v>-2104942.8750743242</v>
      </c>
      <c r="R159">
        <f t="shared" ref="R159" si="772">R160+Q159</f>
        <v>-122741453.76697011</v>
      </c>
      <c r="S159">
        <f t="shared" ref="S159" si="773">R159/100000</f>
        <v>-1227.4145376697011</v>
      </c>
      <c r="T159">
        <f t="shared" ref="T159" si="774">S159/1000</f>
        <v>-1.227414537669701</v>
      </c>
    </row>
    <row r="160" spans="1:20" x14ac:dyDescent="0.25">
      <c r="A160" s="5">
        <v>44433</v>
      </c>
      <c r="B160">
        <v>4.8841000000000001</v>
      </c>
      <c r="C160">
        <v>5.1501000000000001</v>
      </c>
      <c r="D160">
        <v>4.6666999999999996</v>
      </c>
      <c r="E160">
        <v>5.0571999999999999</v>
      </c>
      <c r="F160">
        <v>2588338.79</v>
      </c>
      <c r="G160">
        <v>5.0571999999999999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0.61563922217625111</v>
      </c>
      <c r="Q160">
        <f t="shared" ref="Q160" si="776">F160*P160</f>
        <v>1593482.8794042191</v>
      </c>
      <c r="R160">
        <f t="shared" ref="R160" si="777">R161+Q160</f>
        <v>-120636510.89189579</v>
      </c>
      <c r="S160">
        <f t="shared" ref="S160" si="778">R160/100000</f>
        <v>-1206.365108918958</v>
      </c>
      <c r="T160">
        <f t="shared" ref="T160" si="779">S160/1000</f>
        <v>-1.206365108918958</v>
      </c>
    </row>
    <row r="161" spans="1:20" x14ac:dyDescent="0.25">
      <c r="A161" s="5">
        <v>44432</v>
      </c>
      <c r="B161">
        <v>5.3692000000000002</v>
      </c>
      <c r="C161">
        <v>5.5392999999999999</v>
      </c>
      <c r="D161">
        <v>4.7045000000000003</v>
      </c>
      <c r="E161">
        <v>4.8882000000000003</v>
      </c>
      <c r="F161">
        <v>4281663.46</v>
      </c>
      <c r="G161">
        <v>4.8882000000000003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-0.55989458552946791</v>
      </c>
      <c r="Q161">
        <f t="shared" ref="Q161" si="781">F161*P161</f>
        <v>-2397280.1883133673</v>
      </c>
      <c r="R161">
        <f t="shared" ref="R161" si="782">R162+Q161</f>
        <v>-122229993.7713</v>
      </c>
      <c r="S161">
        <f t="shared" ref="S161" si="783">R161/100000</f>
        <v>-1222.299937713</v>
      </c>
      <c r="T161">
        <f t="shared" ref="T161" si="784">S161/1000</f>
        <v>-1.2222999377129999</v>
      </c>
    </row>
    <row r="162" spans="1:20" x14ac:dyDescent="0.25">
      <c r="A162" s="5">
        <v>44431</v>
      </c>
      <c r="B162">
        <v>5.1555</v>
      </c>
      <c r="C162">
        <v>5.48</v>
      </c>
      <c r="D162">
        <v>4.9200999999999997</v>
      </c>
      <c r="E162">
        <v>5.3693</v>
      </c>
      <c r="F162">
        <v>5709011.2000000002</v>
      </c>
      <c r="G162">
        <v>5.3693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0.60457224504375662</v>
      </c>
      <c r="Q162">
        <f t="shared" ref="Q162" si="786">F162*P162</f>
        <v>3451509.7181639513</v>
      </c>
      <c r="R162">
        <f t="shared" ref="R162" si="787">R163+Q162</f>
        <v>-119832713.58298664</v>
      </c>
      <c r="S162">
        <f t="shared" ref="S162" si="788">R162/100000</f>
        <v>-1198.3271358298664</v>
      </c>
      <c r="T162">
        <f t="shared" ref="T162" si="789">S162/1000</f>
        <v>-1.1983271358298664</v>
      </c>
    </row>
    <row r="163" spans="1:20" x14ac:dyDescent="0.25">
      <c r="A163" s="5">
        <v>44430</v>
      </c>
      <c r="B163">
        <v>4.4908999999999999</v>
      </c>
      <c r="C163">
        <v>4.6878000000000002</v>
      </c>
      <c r="D163">
        <v>4.4749999999999996</v>
      </c>
      <c r="E163">
        <v>4.6376999999999997</v>
      </c>
      <c r="F163">
        <v>455917.94</v>
      </c>
      <c r="G163">
        <v>4.6376999999999997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0.52913533834586135</v>
      </c>
      <c r="Q163">
        <f t="shared" ref="Q163" si="791">F163*P163</f>
        <v>241242.29343984812</v>
      </c>
      <c r="R163">
        <f t="shared" ref="R163" si="792">R164+Q163</f>
        <v>-123284223.30115059</v>
      </c>
      <c r="S163">
        <f t="shared" ref="S163" si="793">R163/100000</f>
        <v>-1232.8422330115059</v>
      </c>
      <c r="T163">
        <f t="shared" ref="T163" si="794">S163/1000</f>
        <v>-1.2328422330115059</v>
      </c>
    </row>
    <row r="164" spans="1:20" x14ac:dyDescent="0.25">
      <c r="A164" s="5">
        <v>44429</v>
      </c>
      <c r="B164">
        <v>4.6089000000000002</v>
      </c>
      <c r="C164">
        <v>4.7930000000000001</v>
      </c>
      <c r="D164">
        <v>4.4604999999999997</v>
      </c>
      <c r="E164">
        <v>4.4962</v>
      </c>
      <c r="F164">
        <v>2977467.63</v>
      </c>
      <c r="G164">
        <v>4.4962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-0.78526315789473544</v>
      </c>
      <c r="Q164">
        <f t="shared" ref="Q164" si="796">F164*P164</f>
        <v>-2338095.6336631537</v>
      </c>
      <c r="R164">
        <f t="shared" ref="R164" si="797">R165+Q164</f>
        <v>-123525465.59459044</v>
      </c>
      <c r="S164">
        <f t="shared" ref="S164" si="798">R164/100000</f>
        <v>-1235.2546559459045</v>
      </c>
      <c r="T164">
        <f t="shared" ref="T164" si="799">S164/1000</f>
        <v>-1.2352546559459046</v>
      </c>
    </row>
    <row r="165" spans="1:20" x14ac:dyDescent="0.25">
      <c r="A165" s="5">
        <v>44428</v>
      </c>
      <c r="B165">
        <v>4.43</v>
      </c>
      <c r="C165">
        <v>4.8978999999999999</v>
      </c>
      <c r="D165">
        <v>4.3653000000000004</v>
      </c>
      <c r="E165">
        <v>4.6089000000000002</v>
      </c>
      <c r="F165">
        <v>3366050.96</v>
      </c>
      <c r="G165">
        <v>4.6089000000000002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-8.5242208036049427E-2</v>
      </c>
      <c r="Q165">
        <f t="shared" ref="Q165" si="801">F165*P165</f>
        <v>-286929.6161922639</v>
      </c>
      <c r="R165">
        <f t="shared" ref="R165" si="802">R166+Q165</f>
        <v>-121187369.96092729</v>
      </c>
      <c r="S165">
        <f t="shared" ref="S165" si="803">R165/100000</f>
        <v>-1211.873699609273</v>
      </c>
      <c r="T165">
        <f t="shared" ref="T165" si="804">S165/1000</f>
        <v>-1.2118736996092729</v>
      </c>
    </row>
    <row r="166" spans="1:20" x14ac:dyDescent="0.25">
      <c r="A166" s="5">
        <v>44427</v>
      </c>
      <c r="B166">
        <v>4.125</v>
      </c>
      <c r="C166">
        <v>4.4737</v>
      </c>
      <c r="D166">
        <v>4.0258000000000003</v>
      </c>
      <c r="E166">
        <v>4.4363999999999999</v>
      </c>
      <c r="F166">
        <v>3162703.07</v>
      </c>
      <c r="G166">
        <v>4.4363999999999999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0.83344496539406054</v>
      </c>
      <c r="Q166">
        <f t="shared" ref="Q166" si="806">F166*P166</f>
        <v>2635938.950727839</v>
      </c>
      <c r="R166">
        <f t="shared" ref="R166" si="807">R167+Q166</f>
        <v>-120900440.34473503</v>
      </c>
      <c r="S166">
        <f t="shared" ref="S166" si="808">R166/100000</f>
        <v>-1209.0044034473503</v>
      </c>
      <c r="T166">
        <f t="shared" ref="T166" si="809">S166/1000</f>
        <v>-1.2090044034473504</v>
      </c>
    </row>
    <row r="167" spans="1:20" x14ac:dyDescent="0.25">
      <c r="A167" s="5">
        <v>44426</v>
      </c>
      <c r="B167">
        <v>4.1504000000000003</v>
      </c>
      <c r="C167">
        <v>4.5953999999999997</v>
      </c>
      <c r="D167">
        <v>3.8847</v>
      </c>
      <c r="E167">
        <v>4.1227999999999998</v>
      </c>
      <c r="F167">
        <v>5726138.9199999999</v>
      </c>
      <c r="G167">
        <v>4.1227999999999998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-0.32995638103278496</v>
      </c>
      <c r="Q167">
        <f t="shared" ref="Q167" si="811">F167*P167</f>
        <v>-1889376.0753341797</v>
      </c>
      <c r="R167">
        <f t="shared" ref="R167" si="812">R168+Q167</f>
        <v>-123536379.29546286</v>
      </c>
      <c r="S167">
        <f t="shared" ref="S167" si="813">R167/100000</f>
        <v>-1235.3637929546287</v>
      </c>
      <c r="T167">
        <f t="shared" ref="T167" si="814">S167/1000</f>
        <v>-1.2353637929546286</v>
      </c>
    </row>
    <row r="168" spans="1:20" x14ac:dyDescent="0.25">
      <c r="A168" s="5">
        <v>44425</v>
      </c>
      <c r="B168">
        <v>4.1166999999999998</v>
      </c>
      <c r="C168">
        <v>4.8879999999999999</v>
      </c>
      <c r="D168">
        <v>3.9626000000000001</v>
      </c>
      <c r="E168">
        <v>4.1496000000000004</v>
      </c>
      <c r="F168">
        <v>7381693.9900000002</v>
      </c>
      <c r="G168">
        <v>4.1496000000000004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-0.59585044305165269</v>
      </c>
      <c r="Q168">
        <f t="shared" ref="Q168" si="816">F168*P168</f>
        <v>-4398385.6344132219</v>
      </c>
      <c r="R168">
        <f t="shared" ref="R168" si="817">R169+Q168</f>
        <v>-121647003.22012869</v>
      </c>
      <c r="S168">
        <f t="shared" ref="S168" si="818">R168/100000</f>
        <v>-1216.4700322012868</v>
      </c>
      <c r="T168">
        <f t="shared" ref="T168" si="819">S168/1000</f>
        <v>-1.2164700322012869</v>
      </c>
    </row>
    <row r="169" spans="1:20" x14ac:dyDescent="0.25">
      <c r="A169" s="5">
        <v>44424</v>
      </c>
      <c r="B169">
        <v>4.1086999999999998</v>
      </c>
      <c r="C169">
        <v>4.5026000000000002</v>
      </c>
      <c r="D169">
        <v>4.0526999999999997</v>
      </c>
      <c r="E169">
        <v>4.1139000000000001</v>
      </c>
      <c r="F169">
        <v>3561554.92</v>
      </c>
      <c r="G169">
        <v>4.1139000000000001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-0.72793954212046985</v>
      </c>
      <c r="Q169">
        <f t="shared" ref="Q169" si="821">F169*P169</f>
        <v>-2592596.6577017065</v>
      </c>
      <c r="R169">
        <f t="shared" ref="R169" si="822">R170+Q169</f>
        <v>-117248617.58571546</v>
      </c>
      <c r="S169">
        <f t="shared" ref="S169" si="823">R169/100000</f>
        <v>-1172.4861758571546</v>
      </c>
      <c r="T169">
        <f t="shared" ref="T169" si="824">S169/1000</f>
        <v>-1.1724861758571548</v>
      </c>
    </row>
    <row r="170" spans="1:20" x14ac:dyDescent="0.25">
      <c r="A170" s="5">
        <v>44423</v>
      </c>
      <c r="B170">
        <v>4.1443000000000003</v>
      </c>
      <c r="C170">
        <v>4.1879999999999997</v>
      </c>
      <c r="D170">
        <v>3.88</v>
      </c>
      <c r="E170">
        <v>4.1116000000000001</v>
      </c>
      <c r="F170">
        <v>1606406.31</v>
      </c>
      <c r="G170">
        <v>4.1116000000000001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0.5038961038961064</v>
      </c>
      <c r="Q170">
        <f t="shared" ref="Q170" si="826">F170*P170</f>
        <v>809461.88088312093</v>
      </c>
      <c r="R170">
        <f t="shared" ref="R170" si="827">R171+Q170</f>
        <v>-114656020.92801376</v>
      </c>
      <c r="S170">
        <f t="shared" ref="S170" si="828">R170/100000</f>
        <v>-1146.5602092801375</v>
      </c>
      <c r="T170">
        <f t="shared" ref="T170" si="829">S170/1000</f>
        <v>-1.1465602092801375</v>
      </c>
    </row>
    <row r="171" spans="1:20" x14ac:dyDescent="0.25">
      <c r="A171" s="5">
        <v>44422</v>
      </c>
      <c r="B171">
        <v>4.1691000000000003</v>
      </c>
      <c r="C171">
        <v>4.3499999999999996</v>
      </c>
      <c r="D171">
        <v>3.9569000000000001</v>
      </c>
      <c r="E171">
        <v>4.1391</v>
      </c>
      <c r="F171">
        <v>2598162.65</v>
      </c>
      <c r="G171">
        <v>4.1391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-7.3009412363265733E-2</v>
      </c>
      <c r="Q171">
        <f t="shared" ref="Q171" si="831">F171*P171</f>
        <v>-189690.32830068524</v>
      </c>
      <c r="R171">
        <f t="shared" ref="R171" si="832">R172+Q171</f>
        <v>-115465482.80889688</v>
      </c>
      <c r="S171">
        <f t="shared" ref="S171" si="833">R171/100000</f>
        <v>-1154.6548280889688</v>
      </c>
      <c r="T171">
        <f t="shared" ref="T171" si="834">S171/1000</f>
        <v>-1.1546548280889688</v>
      </c>
    </row>
    <row r="172" spans="1:20" x14ac:dyDescent="0.25">
      <c r="A172" s="5">
        <v>44421</v>
      </c>
      <c r="B172">
        <v>3.8092000000000001</v>
      </c>
      <c r="C172">
        <v>4.1874000000000002</v>
      </c>
      <c r="D172">
        <v>3.7351999999999999</v>
      </c>
      <c r="E172">
        <v>4.1665999999999999</v>
      </c>
      <c r="F172">
        <v>2315326.08</v>
      </c>
      <c r="G172">
        <v>4.1665999999999999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0.90800530738611074</v>
      </c>
      <c r="Q172">
        <f t="shared" ref="Q172" si="836">F172*P172</f>
        <v>2102328.3689694791</v>
      </c>
      <c r="R172">
        <f t="shared" ref="R172" si="837">R173+Q172</f>
        <v>-115275792.4805962</v>
      </c>
      <c r="S172">
        <f t="shared" ref="S172" si="838">R172/100000</f>
        <v>-1152.7579248059619</v>
      </c>
      <c r="T172">
        <f t="shared" ref="T172" si="839">S172/1000</f>
        <v>-1.1527579248059618</v>
      </c>
    </row>
    <row r="173" spans="1:20" x14ac:dyDescent="0.25">
      <c r="A173" s="5">
        <v>44420</v>
      </c>
      <c r="B173">
        <v>3.8176999999999999</v>
      </c>
      <c r="C173">
        <v>4.1478999999999999</v>
      </c>
      <c r="D173">
        <v>3.62</v>
      </c>
      <c r="E173">
        <v>3.8037999999999998</v>
      </c>
      <c r="F173">
        <v>2872603.03</v>
      </c>
      <c r="G173">
        <v>3.8037999999999998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-0.30365599545368516</v>
      </c>
      <c r="Q173">
        <f t="shared" ref="Q173" si="841">F173*P173</f>
        <v>-872283.13261792215</v>
      </c>
      <c r="R173">
        <f t="shared" ref="R173" si="842">R174+Q173</f>
        <v>-117378120.84956568</v>
      </c>
      <c r="S173">
        <f t="shared" ref="S173" si="843">R173/100000</f>
        <v>-1173.7812084956568</v>
      </c>
      <c r="T173">
        <f t="shared" ref="T173" si="844">S173/1000</f>
        <v>-1.1737812084956567</v>
      </c>
    </row>
    <row r="174" spans="1:20" x14ac:dyDescent="0.25">
      <c r="A174" s="5">
        <v>44419</v>
      </c>
      <c r="B174">
        <v>3.6688999999999998</v>
      </c>
      <c r="C174">
        <v>4.2279999999999998</v>
      </c>
      <c r="D174">
        <v>3.6587000000000001</v>
      </c>
      <c r="E174">
        <v>3.8220000000000001</v>
      </c>
      <c r="F174">
        <v>4951573.26</v>
      </c>
      <c r="G174">
        <v>3.8220000000000001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-0.42631301598454213</v>
      </c>
      <c r="Q174">
        <f t="shared" ref="Q174" si="846">F174*P174</f>
        <v>-2110920.1303390111</v>
      </c>
      <c r="R174">
        <f t="shared" ref="R174" si="847">R175+Q174</f>
        <v>-116505837.71694776</v>
      </c>
      <c r="S174">
        <f t="shared" ref="S174" si="848">R174/100000</f>
        <v>-1165.0583771694776</v>
      </c>
      <c r="T174">
        <f t="shared" ref="T174" si="849">S174/1000</f>
        <v>-1.1650583771694776</v>
      </c>
    </row>
    <row r="175" spans="1:20" x14ac:dyDescent="0.25">
      <c r="A175" s="5">
        <v>44418</v>
      </c>
      <c r="B175">
        <v>3.7042999999999999</v>
      </c>
      <c r="C175">
        <v>3.8719000000000001</v>
      </c>
      <c r="D175">
        <v>3.55</v>
      </c>
      <c r="E175">
        <v>3.6644000000000001</v>
      </c>
      <c r="F175">
        <v>2712370.39</v>
      </c>
      <c r="G175">
        <v>3.6644000000000001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-0.28922025473749502</v>
      </c>
      <c r="Q175">
        <f t="shared" ref="Q175" si="851">F175*P175</f>
        <v>-784472.45513823873</v>
      </c>
      <c r="R175">
        <f t="shared" ref="R175" si="852">R176+Q175</f>
        <v>-114394917.58660875</v>
      </c>
      <c r="S175">
        <f t="shared" ref="S175" si="853">R175/100000</f>
        <v>-1143.9491758660874</v>
      </c>
      <c r="T175">
        <f t="shared" ref="T175" si="854">S175/1000</f>
        <v>-1.1439491758660874</v>
      </c>
    </row>
    <row r="176" spans="1:20" x14ac:dyDescent="0.25">
      <c r="A176" s="5">
        <v>44417</v>
      </c>
      <c r="B176">
        <v>3.4422999999999999</v>
      </c>
      <c r="C176">
        <v>3.7875999999999999</v>
      </c>
      <c r="D176">
        <v>3.3039000000000001</v>
      </c>
      <c r="E176">
        <v>3.7056</v>
      </c>
      <c r="F176">
        <v>3261226.58</v>
      </c>
      <c r="G176">
        <v>3.7056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0.6609468678933228</v>
      </c>
      <c r="Q176">
        <f t="shared" ref="Q176" si="856">F176*P176</f>
        <v>2155497.493541453</v>
      </c>
      <c r="R176">
        <f t="shared" ref="R176" si="857">R177+Q176</f>
        <v>-113610445.13147052</v>
      </c>
      <c r="S176">
        <f t="shared" ref="S176" si="858">R176/100000</f>
        <v>-1136.1044513147051</v>
      </c>
      <c r="T176">
        <f t="shared" ref="T176" si="859">S176/1000</f>
        <v>-1.1361044513147052</v>
      </c>
    </row>
    <row r="177" spans="1:20" x14ac:dyDescent="0.25">
      <c r="A177" s="5">
        <v>44416</v>
      </c>
      <c r="B177">
        <v>3.714</v>
      </c>
      <c r="C177">
        <v>3.7452000000000001</v>
      </c>
      <c r="D177">
        <v>3.3424999999999998</v>
      </c>
      <c r="E177">
        <v>3.4422999999999999</v>
      </c>
      <c r="F177">
        <v>2937837.68</v>
      </c>
      <c r="G177">
        <v>3.4422999999999999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-0.50434566674944104</v>
      </c>
      <c r="Q177">
        <f t="shared" ref="Q177" si="861">F177*P177</f>
        <v>-1481685.7035212312</v>
      </c>
      <c r="R177">
        <f t="shared" ref="R177" si="862">R178+Q177</f>
        <v>-115765942.62501197</v>
      </c>
      <c r="S177">
        <f t="shared" ref="S177" si="863">R177/100000</f>
        <v>-1157.6594262501196</v>
      </c>
      <c r="T177">
        <f t="shared" ref="T177" si="864">S177/1000</f>
        <v>-1.1576594262501196</v>
      </c>
    </row>
    <row r="178" spans="1:20" x14ac:dyDescent="0.25">
      <c r="A178" s="5">
        <v>44415</v>
      </c>
      <c r="B178">
        <v>3.4076</v>
      </c>
      <c r="C178">
        <v>3.9468999999999999</v>
      </c>
      <c r="D178">
        <v>3.3601000000000001</v>
      </c>
      <c r="E178">
        <v>3.72</v>
      </c>
      <c r="F178">
        <v>7310755.79</v>
      </c>
      <c r="G178">
        <v>3.72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0.22665303340150053</v>
      </c>
      <c r="Q178">
        <f t="shared" ref="Q178" si="866">F178*P178</f>
        <v>1657004.9762610835</v>
      </c>
      <c r="R178">
        <f t="shared" ref="R178" si="867">R179+Q178</f>
        <v>-114284256.92149073</v>
      </c>
      <c r="S178">
        <f t="shared" ref="S178" si="868">R178/100000</f>
        <v>-1142.8425692149074</v>
      </c>
      <c r="T178">
        <f t="shared" ref="T178" si="869">S178/1000</f>
        <v>-1.1428425692149073</v>
      </c>
    </row>
    <row r="179" spans="1:20" x14ac:dyDescent="0.25">
      <c r="A179" s="5">
        <v>44414</v>
      </c>
      <c r="B179">
        <v>3.3574000000000002</v>
      </c>
      <c r="C179">
        <v>3.5666000000000002</v>
      </c>
      <c r="D179">
        <v>3.2479</v>
      </c>
      <c r="E179">
        <v>3.4005000000000001</v>
      </c>
      <c r="F179">
        <v>3405654.42</v>
      </c>
      <c r="G179">
        <v>3.4005000000000001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-4.2359585817383305E-2</v>
      </c>
      <c r="Q179">
        <f t="shared" ref="Q179" si="871">F179*P179</f>
        <v>-144262.11066834076</v>
      </c>
      <c r="R179">
        <f t="shared" ref="R179" si="872">R180+Q179</f>
        <v>-115941261.89775181</v>
      </c>
      <c r="S179">
        <f t="shared" ref="S179" si="873">R179/100000</f>
        <v>-1159.4126189775182</v>
      </c>
      <c r="T179">
        <f t="shared" ref="T179" si="874">S179/1000</f>
        <v>-1.1594126189775182</v>
      </c>
    </row>
    <row r="180" spans="1:20" x14ac:dyDescent="0.25">
      <c r="A180" s="5">
        <v>44413</v>
      </c>
      <c r="B180">
        <v>3.367</v>
      </c>
      <c r="C180">
        <v>3.5413999999999999</v>
      </c>
      <c r="D180">
        <v>3.2679999999999998</v>
      </c>
      <c r="E180">
        <v>3.3571</v>
      </c>
      <c r="F180">
        <v>2860334.97</v>
      </c>
      <c r="G180">
        <v>3.3571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-0.34820775420629002</v>
      </c>
      <c r="Q180">
        <f t="shared" ref="Q180" si="876">F180*P180</f>
        <v>-995990.81618141604</v>
      </c>
      <c r="R180">
        <f t="shared" ref="R180" si="877">R181+Q180</f>
        <v>-115796999.78708346</v>
      </c>
      <c r="S180">
        <f t="shared" ref="S180" si="878">R180/100000</f>
        <v>-1157.9699978708347</v>
      </c>
      <c r="T180">
        <f t="shared" ref="T180" si="879">S180/1000</f>
        <v>-1.1579699978708347</v>
      </c>
    </row>
    <row r="181" spans="1:20" x14ac:dyDescent="0.25">
      <c r="A181" s="5">
        <v>44412</v>
      </c>
      <c r="B181">
        <v>3.2717999999999998</v>
      </c>
      <c r="C181">
        <v>3.4211</v>
      </c>
      <c r="D181">
        <v>3.1444999999999999</v>
      </c>
      <c r="E181">
        <v>3.3666999999999998</v>
      </c>
      <c r="F181">
        <v>1994664.24</v>
      </c>
      <c r="G181">
        <v>3.3666999999999998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0.60665220535068554</v>
      </c>
      <c r="Q181">
        <f t="shared" ref="Q181" si="881">F181*P181</f>
        <v>1210067.460130149</v>
      </c>
      <c r="R181">
        <f t="shared" ref="R181" si="882">R182+Q181</f>
        <v>-114801008.97090204</v>
      </c>
      <c r="S181">
        <f t="shared" ref="S181" si="883">R181/100000</f>
        <v>-1148.0100897090203</v>
      </c>
      <c r="T181">
        <f t="shared" ref="T181" si="884">S181/1000</f>
        <v>-1.1480100897090204</v>
      </c>
    </row>
    <row r="182" spans="1:20" x14ac:dyDescent="0.25">
      <c r="A182" s="5">
        <v>44411</v>
      </c>
      <c r="B182">
        <v>3.4243000000000001</v>
      </c>
      <c r="C182">
        <v>3.4453</v>
      </c>
      <c r="D182">
        <v>3.1619999999999999</v>
      </c>
      <c r="E182">
        <v>3.2684000000000002</v>
      </c>
      <c r="F182">
        <v>1914409.61</v>
      </c>
      <c r="G182">
        <v>3.2684000000000002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-0.24885280621249395</v>
      </c>
      <c r="Q182">
        <f t="shared" ref="Q182" si="886">F182*P182</f>
        <v>-476406.20368866617</v>
      </c>
      <c r="R182">
        <f t="shared" ref="R182" si="887">R183+Q182</f>
        <v>-116011076.4310322</v>
      </c>
      <c r="S182">
        <f t="shared" ref="S182" si="888">R182/100000</f>
        <v>-1160.1107643103219</v>
      </c>
      <c r="T182">
        <f t="shared" ref="T182" si="889">S182/1000</f>
        <v>-1.1601107643103219</v>
      </c>
    </row>
    <row r="183" spans="1:20" x14ac:dyDescent="0.25">
      <c r="A183" s="5">
        <v>44410</v>
      </c>
      <c r="B183">
        <v>3.3603000000000001</v>
      </c>
      <c r="C183">
        <v>3.5669</v>
      </c>
      <c r="D183">
        <v>3.2542</v>
      </c>
      <c r="E183">
        <v>3.4228000000000001</v>
      </c>
      <c r="F183">
        <v>2297889.9900000002</v>
      </c>
      <c r="G183">
        <v>3.4228000000000001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7.8349856092101669E-2</v>
      </c>
      <c r="Q183">
        <f t="shared" ref="Q183" si="891">F183*P183</f>
        <v>180039.35003198095</v>
      </c>
      <c r="R183">
        <f t="shared" ref="R183" si="892">R184+Q183</f>
        <v>-115534670.22734353</v>
      </c>
      <c r="S183">
        <f t="shared" ref="S183" si="893">R183/100000</f>
        <v>-1155.3467022734353</v>
      </c>
      <c r="T183">
        <f t="shared" ref="T183" si="894">S183/1000</f>
        <v>-1.1553467022734354</v>
      </c>
    </row>
    <row r="184" spans="1:20" x14ac:dyDescent="0.25">
      <c r="A184" s="5">
        <v>44409</v>
      </c>
      <c r="B184">
        <v>3.3134000000000001</v>
      </c>
      <c r="C184">
        <v>3.7989999999999999</v>
      </c>
      <c r="D184">
        <v>3.2578999999999998</v>
      </c>
      <c r="E184">
        <v>3.3603000000000001</v>
      </c>
      <c r="F184">
        <v>7090527.0800000001</v>
      </c>
      <c r="G184">
        <v>3.3603000000000001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-0.6215117353539078</v>
      </c>
      <c r="Q184">
        <f t="shared" ref="Q184" si="896">F184*P184</f>
        <v>-4406845.7900646767</v>
      </c>
      <c r="R184">
        <f t="shared" ref="R184" si="897">R185+Q184</f>
        <v>-115714709.57737552</v>
      </c>
      <c r="S184">
        <f t="shared" ref="S184" si="898">R184/100000</f>
        <v>-1157.1470957737552</v>
      </c>
      <c r="T184">
        <f t="shared" ref="T184" si="899">S184/1000</f>
        <v>-1.1571470957737551</v>
      </c>
    </row>
    <row r="185" spans="1:20" x14ac:dyDescent="0.25">
      <c r="A185" s="5">
        <v>44408</v>
      </c>
      <c r="B185">
        <v>3.3443000000000001</v>
      </c>
      <c r="C185">
        <v>3.8572000000000002</v>
      </c>
      <c r="D185">
        <v>3.2839</v>
      </c>
      <c r="E185">
        <v>3.3092999999999999</v>
      </c>
      <c r="F185">
        <v>9548262.8499999996</v>
      </c>
      <c r="G185">
        <v>3.3092999999999999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-0.91139019710448332</v>
      </c>
      <c r="Q185">
        <f t="shared" ref="Q185" si="901">F185*P185</f>
        <v>-8702193.1608669162</v>
      </c>
      <c r="R185">
        <f t="shared" ref="R185" si="902">R186+Q185</f>
        <v>-111307863.78731084</v>
      </c>
      <c r="S185">
        <f t="shared" ref="S185" si="903">R185/100000</f>
        <v>-1113.0786378731084</v>
      </c>
      <c r="T185">
        <f t="shared" ref="T185" si="904">S185/1000</f>
        <v>-1.1130786378731083</v>
      </c>
    </row>
    <row r="186" spans="1:20" x14ac:dyDescent="0.25">
      <c r="A186" s="5">
        <v>44407</v>
      </c>
      <c r="B186">
        <v>2.7877999999999998</v>
      </c>
      <c r="C186">
        <v>3.55</v>
      </c>
      <c r="D186">
        <v>2.66</v>
      </c>
      <c r="E186">
        <v>3.3448000000000002</v>
      </c>
      <c r="F186">
        <v>7014860.8799999999</v>
      </c>
      <c r="G186">
        <v>3.3448000000000002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0.53887640449438279</v>
      </c>
      <c r="Q186">
        <f t="shared" ref="Q186" si="906">F186*P186</f>
        <v>3780143.0090427021</v>
      </c>
      <c r="R186">
        <f t="shared" ref="R186" si="907">R187+Q186</f>
        <v>-102605670.62644392</v>
      </c>
      <c r="S186">
        <f t="shared" ref="S186" si="908">R186/100000</f>
        <v>-1026.0567062644393</v>
      </c>
      <c r="T186">
        <f t="shared" ref="T186" si="909">S186/1000</f>
        <v>-1.0260567062644392</v>
      </c>
    </row>
    <row r="187" spans="1:20" x14ac:dyDescent="0.25">
      <c r="A187" s="5">
        <v>44406</v>
      </c>
      <c r="B187">
        <v>2.6745000000000001</v>
      </c>
      <c r="C187">
        <v>2.8304999999999998</v>
      </c>
      <c r="D187">
        <v>2.6032000000000002</v>
      </c>
      <c r="E187">
        <v>2.7854000000000001</v>
      </c>
      <c r="F187">
        <v>2329782.87</v>
      </c>
      <c r="G187">
        <v>2.7854000000000001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0.60316761988561574</v>
      </c>
      <c r="Q187">
        <f t="shared" ref="Q187" si="911">F187*P187</f>
        <v>1405249.588548179</v>
      </c>
      <c r="R187">
        <f t="shared" ref="R187" si="912">R188+Q187</f>
        <v>-106385813.63548662</v>
      </c>
      <c r="S187">
        <f t="shared" ref="S187" si="913">R187/100000</f>
        <v>-1063.8581363548662</v>
      </c>
      <c r="T187">
        <f t="shared" ref="T187" si="914">S187/1000</f>
        <v>-1.0638581363548663</v>
      </c>
    </row>
    <row r="188" spans="1:20" x14ac:dyDescent="0.25">
      <c r="A188" s="5">
        <v>44405</v>
      </c>
      <c r="B188">
        <v>2.6606000000000001</v>
      </c>
      <c r="C188">
        <v>2.6941999999999999</v>
      </c>
      <c r="D188">
        <v>2.5110000000000001</v>
      </c>
      <c r="E188">
        <v>2.6701999999999999</v>
      </c>
      <c r="F188">
        <v>1800799.66</v>
      </c>
      <c r="G188">
        <v>2.6701999999999999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0.73799126637554535</v>
      </c>
      <c r="Q188">
        <f t="shared" ref="Q188" si="916">F188*P188</f>
        <v>1328974.4215720515</v>
      </c>
      <c r="R188">
        <f t="shared" ref="R188" si="917">R189+Q188</f>
        <v>-107791063.2240348</v>
      </c>
      <c r="S188">
        <f t="shared" ref="S188" si="918">R188/100000</f>
        <v>-1077.9106322403479</v>
      </c>
      <c r="T188">
        <f t="shared" ref="T188" si="919">S188/1000</f>
        <v>-1.077910632240348</v>
      </c>
    </row>
    <row r="189" spans="1:20" x14ac:dyDescent="0.25">
      <c r="A189" s="5">
        <v>44404</v>
      </c>
      <c r="B189">
        <v>2.5466000000000002</v>
      </c>
      <c r="C189">
        <v>2.6930000000000001</v>
      </c>
      <c r="D189">
        <v>2.4502000000000002</v>
      </c>
      <c r="E189">
        <v>2.6629</v>
      </c>
      <c r="F189">
        <v>1885962.6</v>
      </c>
      <c r="G189">
        <v>2.6629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0.75205930807248744</v>
      </c>
      <c r="Q189">
        <f t="shared" ref="Q189" si="921">F189*P189</f>
        <v>1418355.7280065895</v>
      </c>
      <c r="R189">
        <f t="shared" ref="R189" si="922">R190+Q189</f>
        <v>-109120037.64560685</v>
      </c>
      <c r="S189">
        <f t="shared" ref="S189" si="923">R189/100000</f>
        <v>-1091.2003764560684</v>
      </c>
      <c r="T189">
        <f t="shared" ref="T189" si="924">S189/1000</f>
        <v>-1.0912003764560685</v>
      </c>
    </row>
    <row r="190" spans="1:20" x14ac:dyDescent="0.25">
      <c r="A190" s="5">
        <v>44403</v>
      </c>
      <c r="B190">
        <v>2.5310999999999999</v>
      </c>
      <c r="C190">
        <v>2.86</v>
      </c>
      <c r="D190">
        <v>2.5139</v>
      </c>
      <c r="E190">
        <v>2.5453999999999999</v>
      </c>
      <c r="F190">
        <v>3740813.08</v>
      </c>
      <c r="G190">
        <v>2.5453999999999999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-0.81797168448425384</v>
      </c>
      <c r="Q190">
        <f t="shared" ref="Q190" si="926">F190*P190</f>
        <v>-3059879.1763883298</v>
      </c>
      <c r="R190">
        <f t="shared" ref="R190" si="927">R191+Q190</f>
        <v>-110538393.37361343</v>
      </c>
      <c r="S190">
        <f t="shared" ref="S190" si="928">R190/100000</f>
        <v>-1105.3839337361344</v>
      </c>
      <c r="T190">
        <f t="shared" ref="T190" si="929">S190/1000</f>
        <v>-1.1053839337361344</v>
      </c>
    </row>
    <row r="191" spans="1:20" x14ac:dyDescent="0.25">
      <c r="A191" s="5">
        <v>44402</v>
      </c>
      <c r="B191">
        <v>2.4870999999999999</v>
      </c>
      <c r="C191">
        <v>2.597</v>
      </c>
      <c r="D191">
        <v>2.3915999999999999</v>
      </c>
      <c r="E191">
        <v>2.5305</v>
      </c>
      <c r="F191">
        <v>1583079.98</v>
      </c>
      <c r="G191">
        <v>2.5305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0.35248296007789681</v>
      </c>
      <c r="Q191">
        <f t="shared" ref="Q191" si="931">F191*P191</f>
        <v>558008.71739045763</v>
      </c>
      <c r="R191">
        <f t="shared" ref="R191" si="932">R192+Q191</f>
        <v>-107478514.19722511</v>
      </c>
      <c r="S191">
        <f t="shared" ref="S191" si="933">R191/100000</f>
        <v>-1074.785141972251</v>
      </c>
      <c r="T191">
        <f t="shared" ref="T191:T197" si="934">S191/1000</f>
        <v>-1.0747851419722509</v>
      </c>
    </row>
    <row r="192" spans="1:20" x14ac:dyDescent="0.25">
      <c r="A192" s="5">
        <v>44401</v>
      </c>
      <c r="B192">
        <v>2.4184000000000001</v>
      </c>
      <c r="C192">
        <v>2.7</v>
      </c>
      <c r="D192">
        <v>2.3894000000000002</v>
      </c>
      <c r="E192">
        <v>2.4885999999999999</v>
      </c>
      <c r="F192">
        <v>2510697.87</v>
      </c>
      <c r="G192">
        <v>2.4885999999999999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-0.36123631680618329</v>
      </c>
      <c r="Q192">
        <f t="shared" ref="Q192" si="936">F192*P192</f>
        <v>-906955.25117192965</v>
      </c>
      <c r="R192">
        <f t="shared" ref="R192" si="937">R193+Q192</f>
        <v>-108036522.91461557</v>
      </c>
      <c r="S192">
        <f t="shared" ref="S192" si="938">R192/100000</f>
        <v>-1080.3652291461558</v>
      </c>
      <c r="T192">
        <f t="shared" si="934"/>
        <v>-1.0803652291461558</v>
      </c>
    </row>
    <row r="193" spans="1:20" x14ac:dyDescent="0.25">
      <c r="A193" s="5">
        <v>44400</v>
      </c>
      <c r="B193">
        <v>2.36</v>
      </c>
      <c r="C193">
        <v>2.4390000000000001</v>
      </c>
      <c r="D193">
        <v>2.2751000000000001</v>
      </c>
      <c r="E193">
        <v>2.4184000000000001</v>
      </c>
      <c r="F193">
        <v>1613790.88</v>
      </c>
      <c r="G193">
        <v>2.4184000000000001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0.74862721171446056</v>
      </c>
      <c r="Q193">
        <f t="shared" ref="Q193" si="940">F193*P193</f>
        <v>1208127.7667846256</v>
      </c>
      <c r="R193">
        <f t="shared" ref="R193" si="941">R194+Q193</f>
        <v>-107129567.66344364</v>
      </c>
      <c r="S193">
        <f t="shared" ref="S193" si="942">R193/100000</f>
        <v>-1071.2956766344364</v>
      </c>
      <c r="T193">
        <f t="shared" si="934"/>
        <v>-1.0712956766344364</v>
      </c>
    </row>
    <row r="194" spans="1:20" x14ac:dyDescent="0.25">
      <c r="A194" s="5">
        <v>44399</v>
      </c>
      <c r="B194">
        <v>2.3519999999999999</v>
      </c>
      <c r="C194">
        <v>2.4336000000000002</v>
      </c>
      <c r="D194">
        <v>2.2707000000000002</v>
      </c>
      <c r="E194">
        <v>2.3601000000000001</v>
      </c>
      <c r="F194">
        <v>1560029.82</v>
      </c>
      <c r="G194">
        <v>2.3601000000000001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9.7605893186002449E-2</v>
      </c>
      <c r="Q194">
        <f t="shared" ref="Q194" si="944">F194*P194</f>
        <v>152268.10397789863</v>
      </c>
      <c r="R194">
        <f t="shared" ref="R194" si="945">R195+Q194</f>
        <v>-108337695.43022826</v>
      </c>
      <c r="S194">
        <f t="shared" ref="S194" si="946">R194/100000</f>
        <v>-1083.3769543022827</v>
      </c>
      <c r="T194">
        <f t="shared" si="934"/>
        <v>-1.0833769543022826</v>
      </c>
    </row>
    <row r="195" spans="1:20" x14ac:dyDescent="0.25">
      <c r="A195" s="5">
        <v>44398</v>
      </c>
      <c r="B195">
        <v>2.1349999999999998</v>
      </c>
      <c r="C195">
        <v>2.4198</v>
      </c>
      <c r="D195">
        <v>2.0636000000000001</v>
      </c>
      <c r="E195">
        <v>2.3549000000000002</v>
      </c>
      <c r="F195">
        <v>1574283.68</v>
      </c>
      <c r="G195">
        <v>2.3549000000000002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0.6355979786636734</v>
      </c>
      <c r="Q195">
        <f t="shared" ref="Q195" si="948">F195*P195</f>
        <v>1000611.5248512093</v>
      </c>
      <c r="R195">
        <f t="shared" ref="R195" si="949">R196+Q195</f>
        <v>-108489963.53420617</v>
      </c>
      <c r="S195">
        <f t="shared" ref="S195" si="950">R195/100000</f>
        <v>-1084.8996353420616</v>
      </c>
      <c r="T195">
        <f t="shared" si="934"/>
        <v>-1.0848996353420617</v>
      </c>
    </row>
    <row r="196" spans="1:20" x14ac:dyDescent="0.25">
      <c r="A196" s="5">
        <v>44397</v>
      </c>
      <c r="B196">
        <v>2.2887</v>
      </c>
      <c r="C196">
        <v>2.3549000000000002</v>
      </c>
      <c r="D196">
        <v>2.0750000000000002</v>
      </c>
      <c r="E196">
        <v>2.1349999999999998</v>
      </c>
      <c r="F196">
        <v>1459898.14</v>
      </c>
      <c r="G196">
        <v>2.1349999999999998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-0.57127545551983139</v>
      </c>
      <c r="Q196">
        <f t="shared" ref="Q196" si="952">F196*P196</f>
        <v>-834003.97494105448</v>
      </c>
      <c r="R196">
        <f t="shared" ref="R196" si="953">R197+Q196</f>
        <v>-109490575.05905737</v>
      </c>
      <c r="S196">
        <f t="shared" ref="S196" si="954">R196/100000</f>
        <v>-1094.9057505905737</v>
      </c>
      <c r="T196">
        <f t="shared" si="934"/>
        <v>-1.0949057505905737</v>
      </c>
    </row>
    <row r="197" spans="1:20" x14ac:dyDescent="0.25">
      <c r="A197" s="5">
        <v>44396</v>
      </c>
      <c r="B197">
        <v>2.4394999999999998</v>
      </c>
      <c r="C197">
        <v>2.4506000000000001</v>
      </c>
      <c r="D197">
        <v>2.2301000000000002</v>
      </c>
      <c r="E197">
        <v>2.2875000000000001</v>
      </c>
      <c r="F197">
        <v>1155022.94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-0.4793650793650801</v>
      </c>
      <c r="Q197">
        <f t="shared" ref="Q197" si="956">F197*P197</f>
        <v>-553677.66330158815</v>
      </c>
      <c r="R197">
        <f t="shared" ref="R197" si="957">R198+Q197</f>
        <v>-108656571.08411631</v>
      </c>
      <c r="S197">
        <f t="shared" ref="S197" si="958">R197/100000</f>
        <v>-1086.5657108411631</v>
      </c>
      <c r="T197">
        <f t="shared" si="934"/>
        <v>-1.086565710841163</v>
      </c>
    </row>
    <row r="198" spans="1:20" x14ac:dyDescent="0.25">
      <c r="A198" s="5">
        <v>44395</v>
      </c>
      <c r="B198">
        <v>2.4628999999999999</v>
      </c>
      <c r="C198">
        <v>2.5777999999999999</v>
      </c>
      <c r="D198">
        <v>2.3948999999999998</v>
      </c>
      <c r="E198">
        <v>2.4396</v>
      </c>
      <c r="F198">
        <v>1048168.08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-0.5112083105522125</v>
      </c>
      <c r="Q198">
        <f t="shared" ref="Q198:Q261" si="960">F198*P198</f>
        <v>-535832.23335155623</v>
      </c>
      <c r="R198">
        <f t="shared" ref="R198:R261" si="961">R199+Q198</f>
        <v>-108102893.42081472</v>
      </c>
      <c r="S198">
        <f t="shared" ref="S198:S261" si="962">R198/100000</f>
        <v>-1081.0289342081471</v>
      </c>
      <c r="T198">
        <f t="shared" ref="T198:T261" si="963">S198/1000</f>
        <v>-1.0810289342081472</v>
      </c>
    </row>
    <row r="199" spans="1:20" x14ac:dyDescent="0.25">
      <c r="A199" s="5">
        <v>44394</v>
      </c>
      <c r="B199">
        <v>2.4763000000000002</v>
      </c>
      <c r="C199">
        <v>2.5436000000000001</v>
      </c>
      <c r="D199">
        <v>2.3940999999999999</v>
      </c>
      <c r="E199">
        <v>2.4588000000000001</v>
      </c>
      <c r="F199">
        <v>1055694.43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-0.13444816053511544</v>
      </c>
      <c r="Q199">
        <f t="shared" si="960"/>
        <v>-141936.17420066718</v>
      </c>
      <c r="R199">
        <f t="shared" si="961"/>
        <v>-107567061.18746316</v>
      </c>
      <c r="S199">
        <f t="shared" si="962"/>
        <v>-1075.6706118746317</v>
      </c>
      <c r="T199">
        <f t="shared" si="963"/>
        <v>-1.0756706118746318</v>
      </c>
    </row>
    <row r="200" spans="1:20" x14ac:dyDescent="0.25">
      <c r="A200" s="5">
        <v>44393</v>
      </c>
      <c r="B200">
        <v>2.6074999999999999</v>
      </c>
      <c r="C200">
        <v>2.6945000000000001</v>
      </c>
      <c r="D200">
        <v>2.4500000000000002</v>
      </c>
      <c r="E200">
        <v>2.4748999999999999</v>
      </c>
      <c r="F200">
        <v>1623228.48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-0.79631901840491037</v>
      </c>
      <c r="Q200">
        <f t="shared" si="960"/>
        <v>-1292607.7098404947</v>
      </c>
      <c r="R200">
        <f t="shared" si="961"/>
        <v>-107425125.0132625</v>
      </c>
      <c r="S200">
        <f t="shared" si="962"/>
        <v>-1074.251250132625</v>
      </c>
      <c r="T200">
        <f t="shared" si="963"/>
        <v>-1.0742512501326251</v>
      </c>
    </row>
    <row r="201" spans="1:20" x14ac:dyDescent="0.25">
      <c r="A201" s="5">
        <v>44392</v>
      </c>
      <c r="B201">
        <v>2.7479</v>
      </c>
      <c r="C201">
        <v>2.7728000000000002</v>
      </c>
      <c r="D201">
        <v>2.5522</v>
      </c>
      <c r="E201">
        <v>2.6002000000000001</v>
      </c>
      <c r="F201">
        <v>1892358.61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-0.56482320942883035</v>
      </c>
      <c r="Q201">
        <f t="shared" si="960"/>
        <v>-1068848.0634904804</v>
      </c>
      <c r="R201">
        <f t="shared" si="961"/>
        <v>-106132517.303422</v>
      </c>
      <c r="S201">
        <f t="shared" si="962"/>
        <v>-1061.3251730342201</v>
      </c>
      <c r="T201">
        <f t="shared" si="963"/>
        <v>-1.0613251730342201</v>
      </c>
    </row>
    <row r="202" spans="1:20" x14ac:dyDescent="0.25">
      <c r="A202" s="5">
        <v>44391</v>
      </c>
      <c r="B202">
        <v>2.7677</v>
      </c>
      <c r="C202">
        <v>2.8180999999999998</v>
      </c>
      <c r="D202">
        <v>2.5143</v>
      </c>
      <c r="E202">
        <v>2.7504</v>
      </c>
      <c r="F202">
        <v>2254268.91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0.5543120473996056</v>
      </c>
      <c r="Q202">
        <f t="shared" si="960"/>
        <v>1249568.4148913773</v>
      </c>
      <c r="R202">
        <f t="shared" si="961"/>
        <v>-105063669.23993152</v>
      </c>
      <c r="S202">
        <f t="shared" si="962"/>
        <v>-1050.6366923993153</v>
      </c>
      <c r="T202">
        <f t="shared" si="963"/>
        <v>-1.0506366923993153</v>
      </c>
    </row>
    <row r="203" spans="1:20" x14ac:dyDescent="0.25">
      <c r="A203" s="5">
        <v>44390</v>
      </c>
      <c r="B203">
        <v>2.9134000000000002</v>
      </c>
      <c r="C203">
        <v>2.9217</v>
      </c>
      <c r="D203">
        <v>2.7202999999999999</v>
      </c>
      <c r="E203">
        <v>2.7684000000000002</v>
      </c>
      <c r="F203">
        <v>1832478.6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-0.52234359483614445</v>
      </c>
      <c r="Q203">
        <f t="shared" si="960"/>
        <v>-957183.45938430529</v>
      </c>
      <c r="R203">
        <f t="shared" si="961"/>
        <v>-106313237.6548229</v>
      </c>
      <c r="S203">
        <f t="shared" si="962"/>
        <v>-1063.1323765482291</v>
      </c>
      <c r="T203">
        <f t="shared" si="963"/>
        <v>-1.063132376548229</v>
      </c>
    </row>
    <row r="204" spans="1:20" x14ac:dyDescent="0.25">
      <c r="A204" s="5">
        <v>44389</v>
      </c>
      <c r="B204">
        <v>3.0234999999999999</v>
      </c>
      <c r="C204">
        <v>3.0777000000000001</v>
      </c>
      <c r="D204">
        <v>2.8498000000000001</v>
      </c>
      <c r="E204">
        <v>2.9123999999999999</v>
      </c>
      <c r="F204">
        <v>1650970.22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-0.45063624396665408</v>
      </c>
      <c r="Q204">
        <f t="shared" si="960"/>
        <v>-743987.01884160051</v>
      </c>
      <c r="R204">
        <f t="shared" si="961"/>
        <v>-105356054.19543859</v>
      </c>
      <c r="S204">
        <f t="shared" si="962"/>
        <v>-1053.5605419543858</v>
      </c>
      <c r="T204">
        <f t="shared" si="963"/>
        <v>-1.0535605419543859</v>
      </c>
    </row>
    <row r="205" spans="1:20" x14ac:dyDescent="0.25">
      <c r="A205" s="5">
        <v>44388</v>
      </c>
      <c r="B205">
        <v>2.9782999999999999</v>
      </c>
      <c r="C205">
        <v>3.1480000000000001</v>
      </c>
      <c r="D205">
        <v>2.879</v>
      </c>
      <c r="E205">
        <v>3.0228000000000002</v>
      </c>
      <c r="F205">
        <v>1933404.67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6.9144981412640014E-2</v>
      </c>
      <c r="Q205">
        <f t="shared" si="960"/>
        <v>133685.2299702614</v>
      </c>
      <c r="R205">
        <f t="shared" si="961"/>
        <v>-104612067.176597</v>
      </c>
      <c r="S205">
        <f t="shared" si="962"/>
        <v>-1046.12067176597</v>
      </c>
      <c r="T205">
        <f t="shared" si="963"/>
        <v>-1.0461206717659699</v>
      </c>
    </row>
    <row r="206" spans="1:20" x14ac:dyDescent="0.25">
      <c r="A206" s="5">
        <v>44387</v>
      </c>
      <c r="B206">
        <v>3.03</v>
      </c>
      <c r="C206">
        <v>3.1315</v>
      </c>
      <c r="D206">
        <v>2.8620999999999999</v>
      </c>
      <c r="E206">
        <v>2.9769000000000001</v>
      </c>
      <c r="F206">
        <v>2354382.77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-0.14773570898292354</v>
      </c>
      <c r="Q206">
        <f t="shared" si="960"/>
        <v>-347826.40774312941</v>
      </c>
      <c r="R206">
        <f t="shared" si="961"/>
        <v>-104745752.40656726</v>
      </c>
      <c r="S206">
        <f t="shared" si="962"/>
        <v>-1047.4575240656727</v>
      </c>
      <c r="T206">
        <f t="shared" si="963"/>
        <v>-1.0474575240656727</v>
      </c>
    </row>
    <row r="207" spans="1:20" x14ac:dyDescent="0.25">
      <c r="A207" s="5">
        <v>44386</v>
      </c>
      <c r="B207">
        <v>3.0310999999999999</v>
      </c>
      <c r="C207">
        <v>3.1949999999999998</v>
      </c>
      <c r="D207">
        <v>2.8109999999999999</v>
      </c>
      <c r="E207">
        <v>3.0306000000000002</v>
      </c>
      <c r="F207">
        <v>4387307.09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0.14375000000000154</v>
      </c>
      <c r="Q207">
        <f t="shared" si="960"/>
        <v>630675.39418750675</v>
      </c>
      <c r="R207">
        <f t="shared" si="961"/>
        <v>-104397925.99882413</v>
      </c>
      <c r="S207">
        <f t="shared" si="962"/>
        <v>-1043.9792599882414</v>
      </c>
      <c r="T207">
        <f t="shared" si="963"/>
        <v>-1.0439792599882414</v>
      </c>
    </row>
    <row r="208" spans="1:20" x14ac:dyDescent="0.25">
      <c r="A208" s="5">
        <v>44385</v>
      </c>
      <c r="B208">
        <v>3.6716000000000002</v>
      </c>
      <c r="C208">
        <v>3.74</v>
      </c>
      <c r="D208">
        <v>2.9138000000000002</v>
      </c>
      <c r="E208">
        <v>3.0276000000000001</v>
      </c>
      <c r="F208">
        <v>8513617.2599999998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-0.7245219075284437</v>
      </c>
      <c r="Q208">
        <f t="shared" si="960"/>
        <v>-6168302.2171822824</v>
      </c>
      <c r="R208">
        <f t="shared" si="961"/>
        <v>-105028601.39301164</v>
      </c>
      <c r="S208">
        <f t="shared" si="962"/>
        <v>-1050.2860139301165</v>
      </c>
      <c r="T208">
        <f t="shared" si="963"/>
        <v>-1.0502860139301164</v>
      </c>
    </row>
    <row r="209" spans="1:20" x14ac:dyDescent="0.25">
      <c r="A209" s="5">
        <v>44384</v>
      </c>
      <c r="B209">
        <v>2.8401999999999998</v>
      </c>
      <c r="C209">
        <v>3.7479</v>
      </c>
      <c r="D209">
        <v>2.7972000000000001</v>
      </c>
      <c r="E209">
        <v>3.6756000000000002</v>
      </c>
      <c r="F209">
        <v>9221127.7699999996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0.84790154622909475</v>
      </c>
      <c r="Q209">
        <f t="shared" si="960"/>
        <v>7818608.4941590438</v>
      </c>
      <c r="R209">
        <f t="shared" si="961"/>
        <v>-98860299.175829366</v>
      </c>
      <c r="S209">
        <f t="shared" si="962"/>
        <v>-988.60299175829368</v>
      </c>
      <c r="T209">
        <f t="shared" si="963"/>
        <v>-0.98860299175829369</v>
      </c>
    </row>
    <row r="210" spans="1:20" x14ac:dyDescent="0.25">
      <c r="A210" s="5">
        <v>44383</v>
      </c>
      <c r="B210">
        <v>2.7389000000000001</v>
      </c>
      <c r="C210">
        <v>2.98</v>
      </c>
      <c r="D210">
        <v>2.7322000000000002</v>
      </c>
      <c r="E210">
        <v>2.8401000000000001</v>
      </c>
      <c r="F210">
        <v>2000537.19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-0.12913640032284121</v>
      </c>
      <c r="Q210">
        <f t="shared" si="960"/>
        <v>-258342.17142857183</v>
      </c>
      <c r="R210">
        <f t="shared" si="961"/>
        <v>-106678907.66998841</v>
      </c>
      <c r="S210">
        <f t="shared" si="962"/>
        <v>-1066.7890766998842</v>
      </c>
      <c r="T210">
        <f t="shared" si="963"/>
        <v>-1.0667890766998842</v>
      </c>
    </row>
    <row r="211" spans="1:20" x14ac:dyDescent="0.25">
      <c r="A211" s="5">
        <v>44382</v>
      </c>
      <c r="B211">
        <v>2.97</v>
      </c>
      <c r="C211">
        <v>3.0243000000000002</v>
      </c>
      <c r="D211">
        <v>2.6697000000000002</v>
      </c>
      <c r="E211">
        <v>2.7393000000000001</v>
      </c>
      <c r="F211">
        <v>1742496.09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-0.60744500846023752</v>
      </c>
      <c r="Q211">
        <f t="shared" si="960"/>
        <v>-1058470.5521319809</v>
      </c>
      <c r="R211">
        <f t="shared" si="961"/>
        <v>-106420565.49855983</v>
      </c>
      <c r="S211">
        <f t="shared" si="962"/>
        <v>-1064.2056549855984</v>
      </c>
      <c r="T211">
        <f t="shared" si="963"/>
        <v>-1.0642056549855983</v>
      </c>
    </row>
    <row r="212" spans="1:20" x14ac:dyDescent="0.25">
      <c r="A212" s="5">
        <v>44381</v>
      </c>
      <c r="B212">
        <v>2.9721000000000002</v>
      </c>
      <c r="C212">
        <v>3.0337999999999998</v>
      </c>
      <c r="D212">
        <v>2.7883</v>
      </c>
      <c r="E212">
        <v>2.9752000000000001</v>
      </c>
      <c r="F212">
        <v>2668266.14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0.52260692464358616</v>
      </c>
      <c r="Q212">
        <f t="shared" si="960"/>
        <v>1394454.3615560126</v>
      </c>
      <c r="R212">
        <f t="shared" si="961"/>
        <v>-105362094.94642785</v>
      </c>
      <c r="S212">
        <f t="shared" si="962"/>
        <v>-1053.6209494642785</v>
      </c>
      <c r="T212">
        <f t="shared" si="963"/>
        <v>-1.0536209494642785</v>
      </c>
    </row>
    <row r="213" spans="1:20" x14ac:dyDescent="0.25">
      <c r="A213" s="5">
        <v>44380</v>
      </c>
      <c r="B213">
        <v>2.8205</v>
      </c>
      <c r="C213">
        <v>3.0127999999999999</v>
      </c>
      <c r="D213">
        <v>2.7395999999999998</v>
      </c>
      <c r="E213">
        <v>2.9721000000000002</v>
      </c>
      <c r="F213">
        <v>1618016.83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0.70204978038067556</v>
      </c>
      <c r="Q213">
        <f t="shared" si="960"/>
        <v>1135928.360153737</v>
      </c>
      <c r="R213">
        <f t="shared" si="961"/>
        <v>-106756549.30798386</v>
      </c>
      <c r="S213">
        <f t="shared" si="962"/>
        <v>-1067.5654930798387</v>
      </c>
      <c r="T213">
        <f t="shared" si="963"/>
        <v>-1.0675654930798386</v>
      </c>
    </row>
    <row r="214" spans="1:20" x14ac:dyDescent="0.25">
      <c r="A214" s="5">
        <v>44379</v>
      </c>
      <c r="B214">
        <v>2.7724000000000002</v>
      </c>
      <c r="C214">
        <v>2.8271999999999999</v>
      </c>
      <c r="D214">
        <v>2.6648000000000001</v>
      </c>
      <c r="E214">
        <v>2.8197999999999999</v>
      </c>
      <c r="F214">
        <v>1187861.27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0.90886699507389068</v>
      </c>
      <c r="Q214">
        <f t="shared" si="960"/>
        <v>1079607.9030295555</v>
      </c>
      <c r="R214">
        <f t="shared" si="961"/>
        <v>-107892477.6681376</v>
      </c>
      <c r="S214">
        <f t="shared" si="962"/>
        <v>-1078.924776681376</v>
      </c>
      <c r="T214">
        <f t="shared" si="963"/>
        <v>-1.0789247766813761</v>
      </c>
    </row>
    <row r="215" spans="1:20" x14ac:dyDescent="0.25">
      <c r="A215" s="5">
        <v>44378</v>
      </c>
      <c r="B215">
        <v>2.9445000000000001</v>
      </c>
      <c r="C215">
        <v>3.11</v>
      </c>
      <c r="D215">
        <v>2.7292999999999998</v>
      </c>
      <c r="E215">
        <v>2.7724000000000002</v>
      </c>
      <c r="F215">
        <v>2241787.0099999998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-0.77357499343314762</v>
      </c>
      <c r="Q215">
        <f t="shared" si="960"/>
        <v>-1734190.3715392654</v>
      </c>
      <c r="R215">
        <f t="shared" si="961"/>
        <v>-108972085.57116716</v>
      </c>
      <c r="S215">
        <f t="shared" si="962"/>
        <v>-1089.7208557116714</v>
      </c>
      <c r="T215">
        <f t="shared" si="963"/>
        <v>-1.0897208557116715</v>
      </c>
    </row>
    <row r="216" spans="1:20" x14ac:dyDescent="0.25">
      <c r="A216" s="5">
        <v>44377</v>
      </c>
      <c r="B216">
        <v>3.0607000000000002</v>
      </c>
      <c r="C216">
        <v>3.1351</v>
      </c>
      <c r="D216">
        <v>2.7469000000000001</v>
      </c>
      <c r="E216">
        <v>2.9445000000000001</v>
      </c>
      <c r="F216">
        <v>2176739.7999999998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1.8031942297784955E-2</v>
      </c>
      <c r="Q216">
        <f t="shared" si="960"/>
        <v>39250.846470891964</v>
      </c>
      <c r="R216">
        <f t="shared" si="961"/>
        <v>-107237895.19962789</v>
      </c>
      <c r="S216">
        <f t="shared" si="962"/>
        <v>-1072.3789519962788</v>
      </c>
      <c r="T216">
        <f t="shared" si="963"/>
        <v>-1.0723789519962788</v>
      </c>
    </row>
    <row r="217" spans="1:20" x14ac:dyDescent="0.25">
      <c r="A217" s="5">
        <v>44376</v>
      </c>
      <c r="B217">
        <v>2.9094000000000002</v>
      </c>
      <c r="C217">
        <v>3.1999</v>
      </c>
      <c r="D217">
        <v>2.8649</v>
      </c>
      <c r="E217">
        <v>3.0543</v>
      </c>
      <c r="F217">
        <v>2847806.92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0.13074626865671662</v>
      </c>
      <c r="Q217">
        <f t="shared" si="960"/>
        <v>372340.12864477671</v>
      </c>
      <c r="R217">
        <f t="shared" si="961"/>
        <v>-107277146.04609878</v>
      </c>
      <c r="S217">
        <f t="shared" si="962"/>
        <v>-1072.7714604609878</v>
      </c>
      <c r="T217">
        <f t="shared" si="963"/>
        <v>-1.0727714604609877</v>
      </c>
    </row>
    <row r="218" spans="1:20" x14ac:dyDescent="0.25">
      <c r="A218" s="5">
        <v>44375</v>
      </c>
      <c r="B218">
        <v>2.8976000000000002</v>
      </c>
      <c r="C218">
        <v>2.9615</v>
      </c>
      <c r="D218">
        <v>2.7711999999999999</v>
      </c>
      <c r="E218">
        <v>2.9058000000000002</v>
      </c>
      <c r="F218">
        <v>2355587.06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0.4146085128744107</v>
      </c>
      <c r="Q218">
        <f t="shared" si="960"/>
        <v>976646.44789280521</v>
      </c>
      <c r="R218">
        <f t="shared" si="961"/>
        <v>-107649486.17474356</v>
      </c>
      <c r="S218">
        <f t="shared" si="962"/>
        <v>-1076.4948617474356</v>
      </c>
      <c r="T218">
        <f t="shared" si="963"/>
        <v>-1.0764948617474357</v>
      </c>
    </row>
    <row r="219" spans="1:20" x14ac:dyDescent="0.25">
      <c r="A219" s="5">
        <v>44374</v>
      </c>
      <c r="B219">
        <v>2.7134999999999998</v>
      </c>
      <c r="C219">
        <v>2.9066000000000001</v>
      </c>
      <c r="D219">
        <v>2.5842000000000001</v>
      </c>
      <c r="E219">
        <v>2.8978999999999999</v>
      </c>
      <c r="F219">
        <v>2722894.4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0.94602977667493704</v>
      </c>
      <c r="Q219">
        <f t="shared" si="960"/>
        <v>2575939.1811414366</v>
      </c>
      <c r="R219">
        <f t="shared" si="961"/>
        <v>-108626132.62263636</v>
      </c>
      <c r="S219">
        <f t="shared" si="962"/>
        <v>-1086.2613262263637</v>
      </c>
      <c r="T219">
        <f t="shared" si="963"/>
        <v>-1.0862613262263638</v>
      </c>
    </row>
    <row r="220" spans="1:20" x14ac:dyDescent="0.25">
      <c r="A220" s="5">
        <v>44373</v>
      </c>
      <c r="B220">
        <v>2.5335000000000001</v>
      </c>
      <c r="C220">
        <v>2.7492999999999999</v>
      </c>
      <c r="D220">
        <v>2.4765999999999999</v>
      </c>
      <c r="E220">
        <v>2.7162000000000002</v>
      </c>
      <c r="F220">
        <v>3245142.32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0.75724239090575951</v>
      </c>
      <c r="Q220">
        <f t="shared" si="960"/>
        <v>2457359.3292262633</v>
      </c>
      <c r="R220">
        <f t="shared" si="961"/>
        <v>-111202071.8037778</v>
      </c>
      <c r="S220">
        <f t="shared" si="962"/>
        <v>-1112.0207180377779</v>
      </c>
      <c r="T220">
        <f t="shared" si="963"/>
        <v>-1.1120207180377779</v>
      </c>
    </row>
    <row r="221" spans="1:20" x14ac:dyDescent="0.25">
      <c r="A221" s="5">
        <v>44372</v>
      </c>
      <c r="B221">
        <v>2.8159000000000001</v>
      </c>
      <c r="C221">
        <v>2.8824999999999998</v>
      </c>
      <c r="D221">
        <v>2.4889000000000001</v>
      </c>
      <c r="E221">
        <v>2.5333000000000001</v>
      </c>
      <c r="F221">
        <v>2185429.94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-0.77439024390243894</v>
      </c>
      <c r="Q221">
        <f t="shared" si="960"/>
        <v>-1692375.6242682924</v>
      </c>
      <c r="R221">
        <f t="shared" si="961"/>
        <v>-113659431.13300407</v>
      </c>
      <c r="S221">
        <f t="shared" si="962"/>
        <v>-1136.5943113300407</v>
      </c>
      <c r="T221">
        <f t="shared" si="963"/>
        <v>-1.1365943113300407</v>
      </c>
    </row>
    <row r="222" spans="1:20" x14ac:dyDescent="0.25">
      <c r="A222" s="5">
        <v>44371</v>
      </c>
      <c r="B222">
        <v>2.8186</v>
      </c>
      <c r="C222">
        <v>2.9527000000000001</v>
      </c>
      <c r="D222">
        <v>2.6642000000000001</v>
      </c>
      <c r="E222">
        <v>2.8113000000000001</v>
      </c>
      <c r="F222">
        <v>2240063.0499999998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1.9757365684575524E-2</v>
      </c>
      <c r="Q222">
        <f t="shared" si="960"/>
        <v>44257.744835355581</v>
      </c>
      <c r="R222">
        <f t="shared" si="961"/>
        <v>-111967055.50873578</v>
      </c>
      <c r="S222">
        <f t="shared" si="962"/>
        <v>-1119.6705550873578</v>
      </c>
      <c r="T222">
        <f t="shared" si="963"/>
        <v>-1.1196705550873578</v>
      </c>
    </row>
    <row r="223" spans="1:20" x14ac:dyDescent="0.25">
      <c r="A223" s="5">
        <v>44370</v>
      </c>
      <c r="B223">
        <v>2.5760999999999998</v>
      </c>
      <c r="C223">
        <v>3.1202000000000001</v>
      </c>
      <c r="D223">
        <v>2.4470000000000001</v>
      </c>
      <c r="E223">
        <v>2.8178999999999998</v>
      </c>
      <c r="F223">
        <v>3450872.86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0.10190136660724829</v>
      </c>
      <c r="Q223">
        <f t="shared" si="960"/>
        <v>351648.66042186337</v>
      </c>
      <c r="R223">
        <f t="shared" si="961"/>
        <v>-112011313.25357114</v>
      </c>
      <c r="S223">
        <f t="shared" si="962"/>
        <v>-1120.1131325357114</v>
      </c>
      <c r="T223">
        <f t="shared" si="963"/>
        <v>-1.1201131325357114</v>
      </c>
    </row>
    <row r="224" spans="1:20" x14ac:dyDescent="0.25">
      <c r="A224" s="5">
        <v>44369</v>
      </c>
      <c r="B224">
        <v>2.6545999999999998</v>
      </c>
      <c r="C224">
        <v>2.8331</v>
      </c>
      <c r="D224">
        <v>2.1945999999999999</v>
      </c>
      <c r="E224">
        <v>2.5737999999999999</v>
      </c>
      <c r="F224">
        <v>5332243.55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0.18778386844165995</v>
      </c>
      <c r="Q224">
        <f t="shared" si="960"/>
        <v>1001309.3212920898</v>
      </c>
      <c r="R224">
        <f t="shared" si="961"/>
        <v>-112362961.913993</v>
      </c>
      <c r="S224">
        <f t="shared" si="962"/>
        <v>-1123.6296191399299</v>
      </c>
      <c r="T224">
        <f t="shared" si="963"/>
        <v>-1.12362961913993</v>
      </c>
    </row>
    <row r="225" spans="1:20" x14ac:dyDescent="0.25">
      <c r="A225" s="5">
        <v>44368</v>
      </c>
      <c r="B225">
        <v>3.4274</v>
      </c>
      <c r="C225">
        <v>3.4531000000000001</v>
      </c>
      <c r="D225">
        <v>2.6516999999999999</v>
      </c>
      <c r="E225">
        <v>2.6554000000000002</v>
      </c>
      <c r="F225">
        <v>4735027.66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-0.99076615922136202</v>
      </c>
      <c r="Q225">
        <f t="shared" si="960"/>
        <v>-4691305.1685051136</v>
      </c>
      <c r="R225">
        <f t="shared" si="961"/>
        <v>-113364271.23528509</v>
      </c>
      <c r="S225">
        <f t="shared" si="962"/>
        <v>-1133.6427123528508</v>
      </c>
      <c r="T225">
        <f t="shared" si="963"/>
        <v>-1.1336427123528507</v>
      </c>
    </row>
    <row r="226" spans="1:20" x14ac:dyDescent="0.25">
      <c r="A226" s="5">
        <v>44367</v>
      </c>
      <c r="B226">
        <v>3.3258000000000001</v>
      </c>
      <c r="C226">
        <v>3.5686</v>
      </c>
      <c r="D226">
        <v>3.0966</v>
      </c>
      <c r="E226">
        <v>3.4274</v>
      </c>
      <c r="F226">
        <v>3043572.01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0.40169491525423728</v>
      </c>
      <c r="Q226">
        <f t="shared" si="960"/>
        <v>1222587.4006271185</v>
      </c>
      <c r="R226">
        <f t="shared" si="961"/>
        <v>-108672966.06677997</v>
      </c>
      <c r="S226">
        <f t="shared" si="962"/>
        <v>-1086.7296606677996</v>
      </c>
      <c r="T226">
        <f t="shared" si="963"/>
        <v>-1.0867296606677996</v>
      </c>
    </row>
    <row r="227" spans="1:20" x14ac:dyDescent="0.25">
      <c r="A227" s="5">
        <v>44366</v>
      </c>
      <c r="B227">
        <v>3.3885000000000001</v>
      </c>
      <c r="C227">
        <v>3.7014999999999998</v>
      </c>
      <c r="D227">
        <v>3.3216999999999999</v>
      </c>
      <c r="E227">
        <v>3.3279000000000001</v>
      </c>
      <c r="F227">
        <v>4202181.8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-0.96735123749341645</v>
      </c>
      <c r="Q227">
        <f t="shared" si="960"/>
        <v>-4064985.7644023122</v>
      </c>
      <c r="R227">
        <f t="shared" si="961"/>
        <v>-109895553.46740709</v>
      </c>
      <c r="S227">
        <f t="shared" si="962"/>
        <v>-1098.955534674071</v>
      </c>
      <c r="T227">
        <f t="shared" si="963"/>
        <v>-1.0989555346740709</v>
      </c>
    </row>
    <row r="228" spans="1:20" x14ac:dyDescent="0.25">
      <c r="A228" s="5">
        <v>44365</v>
      </c>
      <c r="B228">
        <v>3.6341000000000001</v>
      </c>
      <c r="C228">
        <v>3.6341000000000001</v>
      </c>
      <c r="D228">
        <v>3.18</v>
      </c>
      <c r="E228">
        <v>3.3879000000000001</v>
      </c>
      <c r="F228">
        <v>3126503.61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-8.4342655802686642E-2</v>
      </c>
      <c r="Q228">
        <f t="shared" si="960"/>
        <v>-263697.61784408725</v>
      </c>
      <c r="R228">
        <f t="shared" si="961"/>
        <v>-105830567.70300478</v>
      </c>
      <c r="S228">
        <f t="shared" si="962"/>
        <v>-1058.3056770300477</v>
      </c>
      <c r="T228">
        <f t="shared" si="963"/>
        <v>-1.0583056770300476</v>
      </c>
    </row>
    <row r="229" spans="1:20" x14ac:dyDescent="0.25">
      <c r="A229" s="5">
        <v>44364</v>
      </c>
      <c r="B229">
        <v>3.7711999999999999</v>
      </c>
      <c r="C229">
        <v>4.0347999999999997</v>
      </c>
      <c r="D229">
        <v>3.5299</v>
      </c>
      <c r="E229">
        <v>3.6362000000000001</v>
      </c>
      <c r="F229">
        <v>3804931.8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-0.57892652010299017</v>
      </c>
      <c r="Q229">
        <f t="shared" si="960"/>
        <v>-2202775.9262032066</v>
      </c>
      <c r="R229">
        <f t="shared" si="961"/>
        <v>-105566870.08516069</v>
      </c>
      <c r="S229">
        <f t="shared" si="962"/>
        <v>-1055.6687008516069</v>
      </c>
      <c r="T229">
        <f t="shared" si="963"/>
        <v>-1.0556687008516068</v>
      </c>
    </row>
    <row r="230" spans="1:20" x14ac:dyDescent="0.25">
      <c r="A230" s="5">
        <v>44363</v>
      </c>
      <c r="B230">
        <v>4.0750999999999999</v>
      </c>
      <c r="C230">
        <v>4.1006999999999998</v>
      </c>
      <c r="D230">
        <v>3.71</v>
      </c>
      <c r="E230">
        <v>3.7652000000000001</v>
      </c>
      <c r="F230">
        <v>5741961.4900000002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-0.71743025339134803</v>
      </c>
      <c r="Q230">
        <f t="shared" si="960"/>
        <v>-4119456.8867340623</v>
      </c>
      <c r="R230">
        <f t="shared" si="961"/>
        <v>-103364094.15895748</v>
      </c>
      <c r="S230">
        <f t="shared" si="962"/>
        <v>-1033.6409415895748</v>
      </c>
      <c r="T230">
        <f t="shared" si="963"/>
        <v>-1.0336409415895749</v>
      </c>
    </row>
    <row r="231" spans="1:20" x14ac:dyDescent="0.25">
      <c r="A231" s="5">
        <v>44362</v>
      </c>
      <c r="B231">
        <v>3.6633</v>
      </c>
      <c r="C231">
        <v>4.6173999999999999</v>
      </c>
      <c r="D231">
        <v>3.63</v>
      </c>
      <c r="E231">
        <v>4.0781999999999998</v>
      </c>
      <c r="F231">
        <v>17741379.57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-9.2161231517115846E-2</v>
      </c>
      <c r="Q231">
        <f t="shared" si="960"/>
        <v>-1635067.3899837993</v>
      </c>
      <c r="R231">
        <f t="shared" si="961"/>
        <v>-99244637.272223413</v>
      </c>
      <c r="S231">
        <f t="shared" si="962"/>
        <v>-992.44637272223417</v>
      </c>
      <c r="T231">
        <f t="shared" si="963"/>
        <v>-0.99244637272223413</v>
      </c>
    </row>
    <row r="232" spans="1:20" x14ac:dyDescent="0.25">
      <c r="A232" s="5">
        <v>44361</v>
      </c>
      <c r="B232">
        <v>3.4058999999999999</v>
      </c>
      <c r="C232">
        <v>3.7993999999999999</v>
      </c>
      <c r="D232">
        <v>3.28</v>
      </c>
      <c r="E232">
        <v>3.6633</v>
      </c>
      <c r="F232">
        <v>3933277.57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0.47593376973430934</v>
      </c>
      <c r="Q232">
        <f t="shared" si="960"/>
        <v>1871979.6213015036</v>
      </c>
      <c r="R232">
        <f t="shared" si="961"/>
        <v>-97609569.88223961</v>
      </c>
      <c r="S232">
        <f t="shared" si="962"/>
        <v>-976.09569882239612</v>
      </c>
      <c r="T232">
        <f t="shared" si="963"/>
        <v>-0.97609569882239611</v>
      </c>
    </row>
    <row r="233" spans="1:20" x14ac:dyDescent="0.25">
      <c r="A233" s="5">
        <v>44360</v>
      </c>
      <c r="B233">
        <v>3.1808000000000001</v>
      </c>
      <c r="C233">
        <v>3.4956999999999998</v>
      </c>
      <c r="D233">
        <v>3.1316000000000002</v>
      </c>
      <c r="E233">
        <v>3.3980999999999999</v>
      </c>
      <c r="F233">
        <v>2191354.23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0.46388354847569346</v>
      </c>
      <c r="Q233">
        <f t="shared" si="960"/>
        <v>1016533.1761796209</v>
      </c>
      <c r="R233">
        <f t="shared" si="961"/>
        <v>-99481549.503541112</v>
      </c>
      <c r="S233">
        <f t="shared" si="962"/>
        <v>-994.81549503541112</v>
      </c>
      <c r="T233">
        <f t="shared" si="963"/>
        <v>-0.99481549503541111</v>
      </c>
    </row>
    <row r="234" spans="1:20" x14ac:dyDescent="0.25">
      <c r="A234" s="5">
        <v>44359</v>
      </c>
      <c r="B234">
        <v>3.3772000000000002</v>
      </c>
      <c r="C234">
        <v>3.383</v>
      </c>
      <c r="D234">
        <v>2.9939</v>
      </c>
      <c r="E234">
        <v>3.1812</v>
      </c>
      <c r="F234">
        <v>4163943.59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-3.7265484451297758E-2</v>
      </c>
      <c r="Q234">
        <f t="shared" si="960"/>
        <v>-155171.37510922595</v>
      </c>
      <c r="R234">
        <f t="shared" si="961"/>
        <v>-100498082.67972073</v>
      </c>
      <c r="S234">
        <f t="shared" si="962"/>
        <v>-1004.9808267972073</v>
      </c>
      <c r="T234">
        <f t="shared" si="963"/>
        <v>-1.0049808267972073</v>
      </c>
    </row>
    <row r="235" spans="1:20" x14ac:dyDescent="0.25">
      <c r="A235" s="5">
        <v>44358</v>
      </c>
      <c r="B235">
        <v>3.7029000000000001</v>
      </c>
      <c r="C235">
        <v>3.83</v>
      </c>
      <c r="D235">
        <v>3.2808000000000002</v>
      </c>
      <c r="E235">
        <v>3.3742999999999999</v>
      </c>
      <c r="F235">
        <v>3424423.51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-0.65950473415877742</v>
      </c>
      <c r="Q235">
        <f t="shared" si="960"/>
        <v>-2258423.5166096175</v>
      </c>
      <c r="R235">
        <f t="shared" si="961"/>
        <v>-100342911.3046115</v>
      </c>
      <c r="S235">
        <f t="shared" si="962"/>
        <v>-1003.429113046115</v>
      </c>
      <c r="T235">
        <f t="shared" si="963"/>
        <v>-1.003429113046115</v>
      </c>
    </row>
    <row r="236" spans="1:20" x14ac:dyDescent="0.25">
      <c r="A236" s="5">
        <v>44357</v>
      </c>
      <c r="B236">
        <v>4.1597</v>
      </c>
      <c r="C236">
        <v>4.2298999999999998</v>
      </c>
      <c r="D236">
        <v>3.6928999999999998</v>
      </c>
      <c r="E236">
        <v>3.7063999999999999</v>
      </c>
      <c r="F236">
        <v>2337387.5099999998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-0.94972067039106123</v>
      </c>
      <c r="Q236">
        <f t="shared" si="960"/>
        <v>-2219865.2329608933</v>
      </c>
      <c r="R236">
        <f t="shared" si="961"/>
        <v>-98084487.78800188</v>
      </c>
      <c r="S236">
        <f t="shared" si="962"/>
        <v>-980.84487788001877</v>
      </c>
      <c r="T236">
        <f t="shared" si="963"/>
        <v>-0.98084487788001873</v>
      </c>
    </row>
    <row r="237" spans="1:20" x14ac:dyDescent="0.25">
      <c r="A237" s="5">
        <v>44356</v>
      </c>
      <c r="B237">
        <v>4.069</v>
      </c>
      <c r="C237">
        <v>4.2398999999999996</v>
      </c>
      <c r="D237">
        <v>3.7926000000000002</v>
      </c>
      <c r="E237">
        <v>4.1589999999999998</v>
      </c>
      <c r="F237">
        <v>2234123.0299999998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0.63827408897831495</v>
      </c>
      <c r="Q237">
        <f t="shared" si="960"/>
        <v>1425982.8416387225</v>
      </c>
      <c r="R237">
        <f t="shared" si="961"/>
        <v>-95864622.555040985</v>
      </c>
      <c r="S237">
        <f t="shared" si="962"/>
        <v>-958.64622555040989</v>
      </c>
      <c r="T237">
        <f t="shared" si="963"/>
        <v>-0.9586462255504099</v>
      </c>
    </row>
    <row r="238" spans="1:20" x14ac:dyDescent="0.25">
      <c r="A238" s="5">
        <v>44355</v>
      </c>
      <c r="B238">
        <v>4.2267999999999999</v>
      </c>
      <c r="C238">
        <v>4.327</v>
      </c>
      <c r="D238">
        <v>3.5646</v>
      </c>
      <c r="E238">
        <v>4.069</v>
      </c>
      <c r="F238">
        <v>3434265.42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0.32318992654774392</v>
      </c>
      <c r="Q238">
        <f t="shared" si="960"/>
        <v>1109919.988835257</v>
      </c>
      <c r="R238">
        <f t="shared" si="961"/>
        <v>-97290605.396679714</v>
      </c>
      <c r="S238">
        <f t="shared" si="962"/>
        <v>-972.90605396679712</v>
      </c>
      <c r="T238">
        <f t="shared" si="963"/>
        <v>-0.97290605396679708</v>
      </c>
    </row>
    <row r="239" spans="1:20" x14ac:dyDescent="0.25">
      <c r="A239" s="5">
        <v>44354</v>
      </c>
      <c r="B239">
        <v>4.7359</v>
      </c>
      <c r="C239">
        <v>4.9202000000000004</v>
      </c>
      <c r="D239">
        <v>4.1635</v>
      </c>
      <c r="E239">
        <v>4.2267999999999999</v>
      </c>
      <c r="F239">
        <v>1799752.1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-0.83269459495176457</v>
      </c>
      <c r="Q239">
        <f t="shared" si="960"/>
        <v>-1498643.8459230878</v>
      </c>
      <c r="R239">
        <f t="shared" si="961"/>
        <v>-98400525.385514975</v>
      </c>
      <c r="S239">
        <f t="shared" si="962"/>
        <v>-984.0052538551497</v>
      </c>
      <c r="T239">
        <f t="shared" si="963"/>
        <v>-0.9840052538551497</v>
      </c>
    </row>
    <row r="240" spans="1:20" x14ac:dyDescent="0.25">
      <c r="A240" s="5">
        <v>44353</v>
      </c>
      <c r="B240">
        <v>4.5427999999999997</v>
      </c>
      <c r="C240">
        <v>4.8</v>
      </c>
      <c r="D240">
        <v>4.5339999999999998</v>
      </c>
      <c r="E240">
        <v>4.7352999999999996</v>
      </c>
      <c r="F240">
        <v>1524836.39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0.51353383458646462</v>
      </c>
      <c r="Q240">
        <f t="shared" si="960"/>
        <v>783055.07847368182</v>
      </c>
      <c r="R240">
        <f t="shared" si="961"/>
        <v>-96901881.539591894</v>
      </c>
      <c r="S240">
        <f t="shared" si="962"/>
        <v>-969.01881539591898</v>
      </c>
      <c r="T240">
        <f t="shared" si="963"/>
        <v>-0.96901881539591894</v>
      </c>
    </row>
    <row r="241" spans="1:20" x14ac:dyDescent="0.25">
      <c r="A241" s="5">
        <v>44352</v>
      </c>
      <c r="B241">
        <v>4.7234999999999996</v>
      </c>
      <c r="C241">
        <v>4.9839000000000002</v>
      </c>
      <c r="D241">
        <v>4.3612000000000002</v>
      </c>
      <c r="E241">
        <v>4.5556999999999999</v>
      </c>
      <c r="F241">
        <v>2758980.45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-0.3753011080777271</v>
      </c>
      <c r="Q241">
        <f t="shared" si="960"/>
        <v>-1035448.4200497862</v>
      </c>
      <c r="R241">
        <f t="shared" si="961"/>
        <v>-97684936.618065581</v>
      </c>
      <c r="S241">
        <f t="shared" si="962"/>
        <v>-976.84936618065581</v>
      </c>
      <c r="T241">
        <f t="shared" si="963"/>
        <v>-0.97684936618065576</v>
      </c>
    </row>
    <row r="242" spans="1:20" x14ac:dyDescent="0.25">
      <c r="A242" s="5">
        <v>44351</v>
      </c>
      <c r="B242">
        <v>5.3836000000000004</v>
      </c>
      <c r="C242">
        <v>5.3890000000000002</v>
      </c>
      <c r="D242">
        <v>4.5122</v>
      </c>
      <c r="E242">
        <v>4.7229000000000001</v>
      </c>
      <c r="F242">
        <v>4836057.59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-0.51938868613138678</v>
      </c>
      <c r="Q242">
        <f t="shared" si="960"/>
        <v>-2511793.5977258207</v>
      </c>
      <c r="R242">
        <f t="shared" si="961"/>
        <v>-96649488.198015794</v>
      </c>
      <c r="S242">
        <f t="shared" si="962"/>
        <v>-966.49488198015797</v>
      </c>
      <c r="T242">
        <f t="shared" si="963"/>
        <v>-0.96649488198015798</v>
      </c>
    </row>
    <row r="243" spans="1:20" x14ac:dyDescent="0.25">
      <c r="A243" s="5">
        <v>44350</v>
      </c>
      <c r="B243">
        <v>5.27</v>
      </c>
      <c r="C243">
        <v>5.6178999999999997</v>
      </c>
      <c r="D243">
        <v>5.2149999999999999</v>
      </c>
      <c r="E243">
        <v>5.3836000000000004</v>
      </c>
      <c r="F243">
        <v>3439780.37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-0.16306775874906623</v>
      </c>
      <c r="Q243">
        <f t="shared" si="960"/>
        <v>-560917.27552493382</v>
      </c>
      <c r="R243">
        <f t="shared" si="961"/>
        <v>-94137694.600289971</v>
      </c>
      <c r="S243">
        <f t="shared" si="962"/>
        <v>-941.37694600289967</v>
      </c>
      <c r="T243">
        <f t="shared" si="963"/>
        <v>-0.94137694600289967</v>
      </c>
    </row>
    <row r="244" spans="1:20" x14ac:dyDescent="0.25">
      <c r="A244" s="5">
        <v>44349</v>
      </c>
      <c r="B244">
        <v>5.3262</v>
      </c>
      <c r="C244">
        <v>5.76</v>
      </c>
      <c r="D244">
        <v>5.0271999999999997</v>
      </c>
      <c r="E244">
        <v>5.2752999999999997</v>
      </c>
      <c r="F244">
        <v>6355325.0700000003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-0.32287117903930146</v>
      </c>
      <c r="Q244">
        <f t="shared" si="960"/>
        <v>-2051951.2985289311</v>
      </c>
      <c r="R244">
        <f t="shared" si="961"/>
        <v>-93576777.324765041</v>
      </c>
      <c r="S244">
        <f t="shared" si="962"/>
        <v>-935.76777324765044</v>
      </c>
      <c r="T244">
        <f t="shared" si="963"/>
        <v>-0.93576777324765048</v>
      </c>
    </row>
    <row r="245" spans="1:20" x14ac:dyDescent="0.25">
      <c r="A245" s="5">
        <v>44348</v>
      </c>
      <c r="B245">
        <v>4.8521000000000001</v>
      </c>
      <c r="C245">
        <v>5.88</v>
      </c>
      <c r="D245">
        <v>4.7704000000000004</v>
      </c>
      <c r="E245">
        <v>5.3262999999999998</v>
      </c>
      <c r="F245">
        <v>9739709.2799999993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1.9826964671947681E-3</v>
      </c>
      <c r="Q245">
        <f t="shared" si="960"/>
        <v>19310.887180960097</v>
      </c>
      <c r="R245">
        <f t="shared" si="961"/>
        <v>-91524826.026236117</v>
      </c>
      <c r="S245">
        <f t="shared" si="962"/>
        <v>-915.24826026236121</v>
      </c>
      <c r="T245">
        <f t="shared" si="963"/>
        <v>-0.91524826026236117</v>
      </c>
    </row>
    <row r="246" spans="1:20" x14ac:dyDescent="0.25">
      <c r="A246" s="5">
        <v>44347</v>
      </c>
      <c r="B246">
        <v>4.6215999999999999</v>
      </c>
      <c r="C246">
        <v>5.0864000000000003</v>
      </c>
      <c r="D246">
        <v>4.3615000000000004</v>
      </c>
      <c r="E246">
        <v>4.8558000000000003</v>
      </c>
      <c r="F246">
        <v>3110467.98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0.36377431369844127</v>
      </c>
      <c r="Q246">
        <f t="shared" si="960"/>
        <v>1131508.3547054769</v>
      </c>
      <c r="R246">
        <f t="shared" si="961"/>
        <v>-91544136.913417071</v>
      </c>
      <c r="S246">
        <f t="shared" si="962"/>
        <v>-915.44136913417071</v>
      </c>
      <c r="T246">
        <f t="shared" si="963"/>
        <v>-0.91544136913417073</v>
      </c>
    </row>
    <row r="247" spans="1:20" x14ac:dyDescent="0.25">
      <c r="A247" s="5">
        <v>44346</v>
      </c>
      <c r="B247">
        <v>4.4996999999999998</v>
      </c>
      <c r="C247">
        <v>4.9000000000000004</v>
      </c>
      <c r="D247">
        <v>4.1694000000000004</v>
      </c>
      <c r="E247">
        <v>4.6215000000000002</v>
      </c>
      <c r="F247">
        <v>3418597.53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0.23761292088694164</v>
      </c>
      <c r="Q247">
        <f t="shared" si="960"/>
        <v>812302.94444018404</v>
      </c>
      <c r="R247">
        <f t="shared" si="961"/>
        <v>-92675645.268122554</v>
      </c>
      <c r="S247">
        <f t="shared" si="962"/>
        <v>-926.75645268122548</v>
      </c>
      <c r="T247">
        <f t="shared" si="963"/>
        <v>-0.92675645268122553</v>
      </c>
    </row>
    <row r="248" spans="1:20" x14ac:dyDescent="0.25">
      <c r="A248" s="5">
        <v>44345</v>
      </c>
      <c r="B248">
        <v>4.7587999999999999</v>
      </c>
      <c r="C248">
        <v>5.1536999999999997</v>
      </c>
      <c r="D248">
        <v>4.2009999999999996</v>
      </c>
      <c r="E248">
        <v>4.4993999999999996</v>
      </c>
      <c r="F248">
        <v>3725648.59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-0.37356985409887694</v>
      </c>
      <c r="Q248">
        <f t="shared" si="960"/>
        <v>-1391790.0001899865</v>
      </c>
      <c r="R248">
        <f t="shared" si="961"/>
        <v>-93487948.21256274</v>
      </c>
      <c r="S248">
        <f t="shared" si="962"/>
        <v>-934.87948212562742</v>
      </c>
      <c r="T248">
        <f t="shared" si="963"/>
        <v>-0.93487948212562744</v>
      </c>
    </row>
    <row r="249" spans="1:20" x14ac:dyDescent="0.25">
      <c r="A249" s="5">
        <v>44344</v>
      </c>
      <c r="B249">
        <v>5.4592000000000001</v>
      </c>
      <c r="C249">
        <v>5.5986000000000002</v>
      </c>
      <c r="D249">
        <v>4.4573999999999998</v>
      </c>
      <c r="E249">
        <v>4.7625000000000002</v>
      </c>
      <c r="F249">
        <v>6251620.5199999996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-0.4652996845425863</v>
      </c>
      <c r="Q249">
        <f t="shared" si="960"/>
        <v>-2908877.055835959</v>
      </c>
      <c r="R249">
        <f t="shared" si="961"/>
        <v>-92096158.21237275</v>
      </c>
      <c r="S249">
        <f t="shared" si="962"/>
        <v>-920.96158212372745</v>
      </c>
      <c r="T249">
        <f t="shared" si="963"/>
        <v>-0.92096158212372747</v>
      </c>
    </row>
    <row r="250" spans="1:20" x14ac:dyDescent="0.25">
      <c r="A250" s="5">
        <v>44343</v>
      </c>
      <c r="B250">
        <v>5.7984</v>
      </c>
      <c r="C250">
        <v>5.859</v>
      </c>
      <c r="D250">
        <v>5.1717000000000004</v>
      </c>
      <c r="E250">
        <v>5.4691000000000001</v>
      </c>
      <c r="F250">
        <v>5216054.63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-0.13458460643096218</v>
      </c>
      <c r="Q250">
        <f t="shared" si="960"/>
        <v>-702000.65950094804</v>
      </c>
      <c r="R250">
        <f t="shared" si="961"/>
        <v>-89187281.156536788</v>
      </c>
      <c r="S250">
        <f t="shared" si="962"/>
        <v>-891.8728115653679</v>
      </c>
      <c r="T250">
        <f t="shared" si="963"/>
        <v>-0.89187281156536791</v>
      </c>
    </row>
    <row r="251" spans="1:20" x14ac:dyDescent="0.25">
      <c r="A251" s="5">
        <v>44342</v>
      </c>
      <c r="B251">
        <v>5.4576000000000002</v>
      </c>
      <c r="C251">
        <v>6.2868000000000004</v>
      </c>
      <c r="D251">
        <v>5.2843999999999998</v>
      </c>
      <c r="E251">
        <v>5.7988</v>
      </c>
      <c r="F251">
        <v>8751312.2899999991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2.6336791699919933E-2</v>
      </c>
      <c r="Q251">
        <f t="shared" si="960"/>
        <v>230481.48888267929</v>
      </c>
      <c r="R251">
        <f t="shared" si="961"/>
        <v>-88485280.497035846</v>
      </c>
      <c r="S251">
        <f t="shared" si="962"/>
        <v>-884.85280497035842</v>
      </c>
      <c r="T251">
        <f t="shared" si="963"/>
        <v>-0.88485280497035845</v>
      </c>
    </row>
    <row r="252" spans="1:20" x14ac:dyDescent="0.25">
      <c r="A252" s="5">
        <v>44341</v>
      </c>
      <c r="B252">
        <v>5.8650000000000002</v>
      </c>
      <c r="C252">
        <v>6.4291999999999998</v>
      </c>
      <c r="D252">
        <v>5.09</v>
      </c>
      <c r="E252">
        <v>5.4588999999999999</v>
      </c>
      <c r="F252">
        <v>8431270.4900000002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-0.44907407407407407</v>
      </c>
      <c r="Q252">
        <f t="shared" si="960"/>
        <v>-3786264.9885648149</v>
      </c>
      <c r="R252">
        <f t="shared" si="961"/>
        <v>-88715761.985918522</v>
      </c>
      <c r="S252">
        <f t="shared" si="962"/>
        <v>-887.15761985918527</v>
      </c>
      <c r="T252">
        <f t="shared" si="963"/>
        <v>-0.88715761985918529</v>
      </c>
    </row>
    <row r="253" spans="1:20" x14ac:dyDescent="0.25">
      <c r="A253" s="5">
        <v>44340</v>
      </c>
      <c r="B253">
        <v>5.3369999999999997</v>
      </c>
      <c r="C253">
        <v>6.1677999999999997</v>
      </c>
      <c r="D253">
        <v>4.9797000000000002</v>
      </c>
      <c r="E253">
        <v>5.8650000000000002</v>
      </c>
      <c r="F253">
        <v>12821443.779999999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0.49027859607777186</v>
      </c>
      <c r="Q253">
        <f t="shared" si="960"/>
        <v>6286079.4561484801</v>
      </c>
      <c r="R253">
        <f t="shared" si="961"/>
        <v>-84929496.997353703</v>
      </c>
      <c r="S253">
        <f t="shared" si="962"/>
        <v>-849.29496997353704</v>
      </c>
      <c r="T253">
        <f t="shared" si="963"/>
        <v>-0.84929496997353704</v>
      </c>
    </row>
    <row r="254" spans="1:20" x14ac:dyDescent="0.25">
      <c r="A254" s="5">
        <v>44339</v>
      </c>
      <c r="B254">
        <v>5.9032</v>
      </c>
      <c r="C254">
        <v>6.2995999999999999</v>
      </c>
      <c r="D254">
        <v>4</v>
      </c>
      <c r="E254">
        <v>5.3357000000000001</v>
      </c>
      <c r="F254">
        <v>16122816.699999999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0.1616802922247349</v>
      </c>
      <c r="Q254">
        <f t="shared" si="960"/>
        <v>2606741.7155418359</v>
      </c>
      <c r="R254">
        <f t="shared" si="961"/>
        <v>-91215576.453502178</v>
      </c>
      <c r="S254">
        <f t="shared" si="962"/>
        <v>-912.15576453502183</v>
      </c>
      <c r="T254">
        <f t="shared" si="963"/>
        <v>-0.91215576453502178</v>
      </c>
    </row>
    <row r="255" spans="1:20" x14ac:dyDescent="0.25">
      <c r="A255" s="5">
        <v>44338</v>
      </c>
      <c r="B255">
        <v>6.3474000000000004</v>
      </c>
      <c r="C255">
        <v>7.5791000000000004</v>
      </c>
      <c r="D255">
        <v>5.3101000000000003</v>
      </c>
      <c r="E255">
        <v>5.8992000000000004</v>
      </c>
      <c r="F255">
        <v>16462352.890000001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-0.4807404142794181</v>
      </c>
      <c r="Q255">
        <f t="shared" si="960"/>
        <v>-7914118.3483525766</v>
      </c>
      <c r="R255">
        <f t="shared" si="961"/>
        <v>-93822318.169044018</v>
      </c>
      <c r="S255">
        <f t="shared" si="962"/>
        <v>-938.22318169044013</v>
      </c>
      <c r="T255">
        <f t="shared" si="963"/>
        <v>-0.93822318169044017</v>
      </c>
    </row>
    <row r="256" spans="1:20" x14ac:dyDescent="0.25">
      <c r="A256" s="5">
        <v>44337</v>
      </c>
      <c r="B256">
        <v>6.984</v>
      </c>
      <c r="C256">
        <v>8.9367000000000001</v>
      </c>
      <c r="D256">
        <v>5.8</v>
      </c>
      <c r="E256">
        <v>6.3456999999999999</v>
      </c>
      <c r="F256">
        <v>34080466.030000001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-0.65205470717633185</v>
      </c>
      <c r="Q256">
        <f t="shared" si="960"/>
        <v>-22222328.297624577</v>
      </c>
      <c r="R256">
        <f t="shared" si="961"/>
        <v>-85908199.820691437</v>
      </c>
      <c r="S256">
        <f t="shared" si="962"/>
        <v>-859.08199820691436</v>
      </c>
      <c r="T256">
        <f t="shared" si="963"/>
        <v>-0.85908199820691433</v>
      </c>
    </row>
    <row r="257" spans="1:20" x14ac:dyDescent="0.25">
      <c r="A257" s="5">
        <v>44336</v>
      </c>
      <c r="B257">
        <v>4.5096999999999996</v>
      </c>
      <c r="C257">
        <v>8.0509000000000004</v>
      </c>
      <c r="D257">
        <v>4.0609999999999999</v>
      </c>
      <c r="E257">
        <v>6.9847999999999999</v>
      </c>
      <c r="F257">
        <v>20461944.050000001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0.46560064162009052</v>
      </c>
      <c r="Q257">
        <f t="shared" si="960"/>
        <v>9527094.2784743942</v>
      </c>
      <c r="R257">
        <f t="shared" si="961"/>
        <v>-63685871.523066863</v>
      </c>
      <c r="S257">
        <f t="shared" si="962"/>
        <v>-636.85871523066862</v>
      </c>
      <c r="T257">
        <f t="shared" si="963"/>
        <v>-0.63685871523066861</v>
      </c>
    </row>
    <row r="258" spans="1:20" x14ac:dyDescent="0.25">
      <c r="A258" s="5">
        <v>44335</v>
      </c>
      <c r="B258">
        <v>7.1835000000000004</v>
      </c>
      <c r="C258">
        <v>7.3097000000000003</v>
      </c>
      <c r="D258">
        <v>3.1</v>
      </c>
      <c r="E258">
        <v>4.5133000000000001</v>
      </c>
      <c r="F258">
        <v>15868852.08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-0.32855072808038582</v>
      </c>
      <c r="Q258">
        <f t="shared" si="960"/>
        <v>-5213722.9046839448</v>
      </c>
      <c r="R258">
        <f t="shared" si="961"/>
        <v>-73212965.801541254</v>
      </c>
      <c r="S258">
        <f t="shared" si="962"/>
        <v>-732.12965801541259</v>
      </c>
      <c r="T258">
        <f t="shared" si="963"/>
        <v>-0.73212965801541263</v>
      </c>
    </row>
    <row r="259" spans="1:20" x14ac:dyDescent="0.25">
      <c r="A259" s="5">
        <v>44334</v>
      </c>
      <c r="B259">
        <v>7.2953999999999999</v>
      </c>
      <c r="C259">
        <v>8.1791</v>
      </c>
      <c r="D259">
        <v>7.0423</v>
      </c>
      <c r="E259">
        <v>7.1835000000000004</v>
      </c>
      <c r="F259">
        <v>7368015.4000000004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-0.75158339197747992</v>
      </c>
      <c r="Q259">
        <f t="shared" si="960"/>
        <v>-5537678.0064743087</v>
      </c>
      <c r="R259">
        <f t="shared" si="961"/>
        <v>-67999242.896857306</v>
      </c>
      <c r="S259">
        <f t="shared" si="962"/>
        <v>-679.99242896857311</v>
      </c>
      <c r="T259">
        <f t="shared" si="963"/>
        <v>-0.67999242896857315</v>
      </c>
    </row>
    <row r="260" spans="1:20" x14ac:dyDescent="0.25">
      <c r="A260" s="5">
        <v>44333</v>
      </c>
      <c r="B260">
        <v>7.8951000000000002</v>
      </c>
      <c r="C260">
        <v>8.64</v>
      </c>
      <c r="D260">
        <v>6.9265999999999996</v>
      </c>
      <c r="E260">
        <v>7.2904999999999998</v>
      </c>
      <c r="F260">
        <v>9857083.6699999999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-0.57523053577681815</v>
      </c>
      <c r="Q260">
        <f t="shared" si="960"/>
        <v>-5670095.5206910251</v>
      </c>
      <c r="R260">
        <f t="shared" si="961"/>
        <v>-62461564.890382998</v>
      </c>
      <c r="S260">
        <f t="shared" si="962"/>
        <v>-624.61564890382999</v>
      </c>
      <c r="T260">
        <f t="shared" si="963"/>
        <v>-0.62461564890383003</v>
      </c>
    </row>
    <row r="261" spans="1:20" x14ac:dyDescent="0.25">
      <c r="A261" s="5">
        <v>44332</v>
      </c>
      <c r="B261">
        <v>8.2222000000000008</v>
      </c>
      <c r="C261">
        <v>9.2065000000000001</v>
      </c>
      <c r="D261">
        <v>7.2953000000000001</v>
      </c>
      <c r="E261">
        <v>7.8992000000000004</v>
      </c>
      <c r="F261">
        <v>9374022.2300000004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-0.36804102134784394</v>
      </c>
      <c r="Q261">
        <f t="shared" si="960"/>
        <v>-3450024.715666594</v>
      </c>
      <c r="R261">
        <f t="shared" si="961"/>
        <v>-56791469.369691975</v>
      </c>
      <c r="S261">
        <f t="shared" si="962"/>
        <v>-567.9146936969197</v>
      </c>
      <c r="T261">
        <f t="shared" si="963"/>
        <v>-0.56791469369691971</v>
      </c>
    </row>
    <row r="262" spans="1:20" x14ac:dyDescent="0.25">
      <c r="A262" s="5">
        <v>44331</v>
      </c>
      <c r="B262">
        <v>9.3670000000000009</v>
      </c>
      <c r="C262">
        <v>9.9773999999999994</v>
      </c>
      <c r="D262">
        <v>8.0579999999999998</v>
      </c>
      <c r="E262">
        <v>8.2324999999999999</v>
      </c>
      <c r="F262">
        <v>15821182.6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-0.81817234552464302</v>
      </c>
      <c r="Q262">
        <f t="shared" ref="Q262:Q325" si="965">F262*P262</f>
        <v>-12944454.07681567</v>
      </c>
      <c r="R262">
        <f t="shared" ref="R262:R325" si="966">R263+Q262</f>
        <v>-53341444.654025383</v>
      </c>
      <c r="S262">
        <f t="shared" ref="S262:S325" si="967">R262/100000</f>
        <v>-533.41444654025383</v>
      </c>
      <c r="T262">
        <f t="shared" ref="T262:T325" si="968">S262/1000</f>
        <v>-0.53341444654025383</v>
      </c>
    </row>
    <row r="263" spans="1:20" x14ac:dyDescent="0.25">
      <c r="A263" s="5">
        <v>44330</v>
      </c>
      <c r="B263">
        <v>7.1203000000000003</v>
      </c>
      <c r="C263">
        <v>11.495900000000001</v>
      </c>
      <c r="D263">
        <v>6.8550000000000004</v>
      </c>
      <c r="E263">
        <v>9.3719000000000001</v>
      </c>
      <c r="F263">
        <v>40351406.75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8.4660302958477693E-2</v>
      </c>
      <c r="Q263">
        <f t="shared" si="965"/>
        <v>3416162.320255762</v>
      </c>
      <c r="R263">
        <f t="shared" si="966"/>
        <v>-40396990.577209711</v>
      </c>
      <c r="S263">
        <f t="shared" si="967"/>
        <v>-403.96990577209709</v>
      </c>
      <c r="T263">
        <f t="shared" si="968"/>
        <v>-0.40396990577209707</v>
      </c>
    </row>
    <row r="264" spans="1:20" x14ac:dyDescent="0.25">
      <c r="A264" s="5">
        <v>44329</v>
      </c>
      <c r="B264">
        <v>6.9981</v>
      </c>
      <c r="C264">
        <v>7.9588999999999999</v>
      </c>
      <c r="D264">
        <v>6.5</v>
      </c>
      <c r="E264">
        <v>7.1071</v>
      </c>
      <c r="F264">
        <v>13300662.689999999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-0.16772911097402149</v>
      </c>
      <c r="Q264">
        <f t="shared" si="965"/>
        <v>-2230908.3283590372</v>
      </c>
      <c r="R264">
        <f t="shared" si="966"/>
        <v>-43813152.897465475</v>
      </c>
      <c r="S264">
        <f t="shared" si="967"/>
        <v>-438.13152897465477</v>
      </c>
      <c r="T264">
        <f t="shared" si="968"/>
        <v>-0.43813152897465479</v>
      </c>
    </row>
    <row r="265" spans="1:20" x14ac:dyDescent="0.25">
      <c r="A265" s="5">
        <v>44328</v>
      </c>
      <c r="B265">
        <v>9.6234000000000002</v>
      </c>
      <c r="C265">
        <v>9.9390999999999998</v>
      </c>
      <c r="D265">
        <v>6.9</v>
      </c>
      <c r="E265">
        <v>6.9954999999999998</v>
      </c>
      <c r="F265">
        <v>21406088.75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-0.93715244644796192</v>
      </c>
      <c r="Q265">
        <f t="shared" si="965"/>
        <v>-20060768.440944694</v>
      </c>
      <c r="R265">
        <f t="shared" si="966"/>
        <v>-41582244.569106437</v>
      </c>
      <c r="S265">
        <f t="shared" si="967"/>
        <v>-415.82244569106439</v>
      </c>
      <c r="T265">
        <f t="shared" si="968"/>
        <v>-0.41582244569106441</v>
      </c>
    </row>
    <row r="266" spans="1:20" x14ac:dyDescent="0.25">
      <c r="A266" s="5">
        <v>44327</v>
      </c>
      <c r="B266">
        <v>11.5463</v>
      </c>
      <c r="C266">
        <v>12.6195</v>
      </c>
      <c r="D266">
        <v>9.4832999999999998</v>
      </c>
      <c r="E266">
        <v>9.6306999999999992</v>
      </c>
      <c r="F266">
        <v>30600956.649999999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-0.90600089280020457</v>
      </c>
      <c r="Q266">
        <f t="shared" si="965"/>
        <v>-27724494.045440357</v>
      </c>
      <c r="R266">
        <f t="shared" si="966"/>
        <v>-21521476.128161743</v>
      </c>
      <c r="S266">
        <f t="shared" si="967"/>
        <v>-215.21476128161743</v>
      </c>
      <c r="T266">
        <f t="shared" si="968"/>
        <v>-0.21521476128161743</v>
      </c>
    </row>
    <row r="267" spans="1:20" x14ac:dyDescent="0.25">
      <c r="A267" s="5">
        <v>44326</v>
      </c>
      <c r="B267">
        <v>10.0535</v>
      </c>
      <c r="C267">
        <v>16.5</v>
      </c>
      <c r="D267">
        <v>8.9441000000000006</v>
      </c>
      <c r="E267">
        <v>11.546200000000001</v>
      </c>
      <c r="F267">
        <v>95464426.090000004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-0.3112402228721925</v>
      </c>
      <c r="Q267">
        <f t="shared" si="965"/>
        <v>-29712369.252617549</v>
      </c>
      <c r="R267">
        <f t="shared" si="966"/>
        <v>6203017.9172786139</v>
      </c>
      <c r="S267">
        <f t="shared" si="967"/>
        <v>62.030179172786141</v>
      </c>
      <c r="T267">
        <f t="shared" si="968"/>
        <v>6.2030179172786144E-2</v>
      </c>
    </row>
    <row r="268" spans="1:20" x14ac:dyDescent="0.25">
      <c r="A268" s="5">
        <v>44325</v>
      </c>
      <c r="B268">
        <v>4.9321000000000002</v>
      </c>
      <c r="C268">
        <v>11.877000000000001</v>
      </c>
      <c r="D268">
        <v>4.9234999999999998</v>
      </c>
      <c r="E268">
        <v>10.0366</v>
      </c>
      <c r="F268">
        <v>88944623.329999998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0.47065506579420424</v>
      </c>
      <c r="Q268">
        <f t="shared" si="965"/>
        <v>41862237.545421861</v>
      </c>
      <c r="R268">
        <f t="shared" si="966"/>
        <v>35915387.169896163</v>
      </c>
      <c r="S268">
        <f t="shared" si="967"/>
        <v>359.15387169896161</v>
      </c>
      <c r="T268">
        <f t="shared" si="968"/>
        <v>0.35915387169896162</v>
      </c>
    </row>
    <row r="269" spans="1:20" x14ac:dyDescent="0.25">
      <c r="A269" s="5">
        <v>44324</v>
      </c>
      <c r="B269">
        <v>4.1913999999999998</v>
      </c>
      <c r="C269">
        <v>4.9741999999999997</v>
      </c>
      <c r="D269">
        <v>4.1399999999999997</v>
      </c>
      <c r="E269">
        <v>4.9321000000000002</v>
      </c>
      <c r="F269">
        <v>8622795.8699999992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0.89906497242867522</v>
      </c>
      <c r="Q269">
        <f t="shared" si="965"/>
        <v>7752453.7311196439</v>
      </c>
      <c r="R269">
        <f t="shared" si="966"/>
        <v>-5946850.3755256981</v>
      </c>
      <c r="S269">
        <f t="shared" si="967"/>
        <v>-59.468503755256982</v>
      </c>
      <c r="T269">
        <f t="shared" si="968"/>
        <v>-5.9468503755256981E-2</v>
      </c>
    </row>
    <row r="270" spans="1:20" x14ac:dyDescent="0.25">
      <c r="A270" s="5">
        <v>44323</v>
      </c>
      <c r="B270">
        <v>4.3441000000000001</v>
      </c>
      <c r="C270">
        <v>5.0891000000000002</v>
      </c>
      <c r="D270">
        <v>4.0049000000000001</v>
      </c>
      <c r="E270">
        <v>4.1924999999999999</v>
      </c>
      <c r="F270">
        <v>13779553.93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-0.65393838775133784</v>
      </c>
      <c r="Q270">
        <f t="shared" si="965"/>
        <v>-9010979.28091681</v>
      </c>
      <c r="R270">
        <f t="shared" si="966"/>
        <v>-13699304.106645342</v>
      </c>
      <c r="S270">
        <f t="shared" si="967"/>
        <v>-136.99304106645343</v>
      </c>
      <c r="T270">
        <f t="shared" si="968"/>
        <v>-0.13699304106645344</v>
      </c>
    </row>
    <row r="271" spans="1:20" x14ac:dyDescent="0.25">
      <c r="A271" s="5">
        <v>44322</v>
      </c>
      <c r="B271">
        <v>4.2458</v>
      </c>
      <c r="C271">
        <v>5.6576000000000004</v>
      </c>
      <c r="D271">
        <v>4.0605000000000002</v>
      </c>
      <c r="E271">
        <v>4.34</v>
      </c>
      <c r="F271">
        <v>31576143.899999999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-0.64999060797695873</v>
      </c>
      <c r="Q271">
        <f t="shared" si="965"/>
        <v>-20524196.971128937</v>
      </c>
      <c r="R271">
        <f t="shared" si="966"/>
        <v>-4688324.8257285319</v>
      </c>
      <c r="S271">
        <f t="shared" si="967"/>
        <v>-46.883248257285317</v>
      </c>
      <c r="T271">
        <f t="shared" si="968"/>
        <v>-4.6883248257285313E-2</v>
      </c>
    </row>
    <row r="272" spans="1:20" x14ac:dyDescent="0.25">
      <c r="A272" s="5">
        <v>44321</v>
      </c>
      <c r="B272">
        <v>4.3083</v>
      </c>
      <c r="C272">
        <v>4.8442999999999996</v>
      </c>
      <c r="D272">
        <v>4.0286</v>
      </c>
      <c r="E272">
        <v>4.2435999999999998</v>
      </c>
      <c r="F272">
        <v>16092387.630000001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-0.4728454088512935</v>
      </c>
      <c r="Q272">
        <f t="shared" si="965"/>
        <v>-7609211.6083008489</v>
      </c>
      <c r="R272">
        <f t="shared" si="966"/>
        <v>15835872.145400405</v>
      </c>
      <c r="S272">
        <f t="shared" si="967"/>
        <v>158.35872145400404</v>
      </c>
      <c r="T272">
        <f t="shared" si="968"/>
        <v>0.15835872145400404</v>
      </c>
    </row>
    <row r="273" spans="1:20" x14ac:dyDescent="0.25">
      <c r="A273" s="5">
        <v>44320</v>
      </c>
      <c r="B273">
        <v>3.2803</v>
      </c>
      <c r="C273">
        <v>5</v>
      </c>
      <c r="D273">
        <v>3.1394000000000002</v>
      </c>
      <c r="E273">
        <v>4.3105000000000002</v>
      </c>
      <c r="F273">
        <v>26781543.329999998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0.25884123401053438</v>
      </c>
      <c r="Q273">
        <f t="shared" si="965"/>
        <v>6932167.7242437955</v>
      </c>
      <c r="R273">
        <f t="shared" si="966"/>
        <v>23445083.753701255</v>
      </c>
      <c r="S273">
        <f t="shared" si="967"/>
        <v>234.45083753701255</v>
      </c>
      <c r="T273">
        <f t="shared" si="968"/>
        <v>0.23445083753701254</v>
      </c>
    </row>
    <row r="274" spans="1:20" x14ac:dyDescent="0.25">
      <c r="A274" s="5">
        <v>44319</v>
      </c>
      <c r="B274">
        <v>3.4295</v>
      </c>
      <c r="C274">
        <v>3.4857</v>
      </c>
      <c r="D274">
        <v>3.2646999999999999</v>
      </c>
      <c r="E274">
        <v>3.2875999999999999</v>
      </c>
      <c r="F274">
        <v>2971617.81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-0.79276018099547596</v>
      </c>
      <c r="Q274">
        <f t="shared" si="965"/>
        <v>-2355780.27290498</v>
      </c>
      <c r="R274">
        <f t="shared" si="966"/>
        <v>16512916.029457461</v>
      </c>
      <c r="S274">
        <f t="shared" si="967"/>
        <v>165.1291602945746</v>
      </c>
      <c r="T274">
        <f t="shared" si="968"/>
        <v>0.16512916029457461</v>
      </c>
    </row>
    <row r="275" spans="1:20" x14ac:dyDescent="0.25">
      <c r="A275" s="5">
        <v>44318</v>
      </c>
      <c r="B275">
        <v>3.0699000000000001</v>
      </c>
      <c r="C275">
        <v>3.4699</v>
      </c>
      <c r="D275">
        <v>2.8734000000000002</v>
      </c>
      <c r="E275">
        <v>3.4222999999999999</v>
      </c>
      <c r="F275">
        <v>4172071.79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0.84040234702430816</v>
      </c>
      <c r="Q275">
        <f t="shared" si="965"/>
        <v>3506218.9242699067</v>
      </c>
      <c r="R275">
        <f t="shared" si="966"/>
        <v>18868696.302362442</v>
      </c>
      <c r="S275">
        <f t="shared" si="967"/>
        <v>188.68696302362443</v>
      </c>
      <c r="T275">
        <f t="shared" si="968"/>
        <v>0.18868696302362442</v>
      </c>
    </row>
    <row r="276" spans="1:20" x14ac:dyDescent="0.25">
      <c r="A276" s="5">
        <v>44317</v>
      </c>
      <c r="B276">
        <v>3.0373000000000001</v>
      </c>
      <c r="C276">
        <v>3.1335000000000002</v>
      </c>
      <c r="D276">
        <v>2.8651</v>
      </c>
      <c r="E276">
        <v>3.0621999999999998</v>
      </c>
      <c r="F276">
        <v>2927462.91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0.46870342771981882</v>
      </c>
      <c r="Q276">
        <f t="shared" si="965"/>
        <v>1372111.9004396356</v>
      </c>
      <c r="R276">
        <f t="shared" si="966"/>
        <v>15362477.378092537</v>
      </c>
      <c r="S276">
        <f t="shared" si="967"/>
        <v>153.62477378092538</v>
      </c>
      <c r="T276">
        <f t="shared" si="968"/>
        <v>0.15362477378092537</v>
      </c>
    </row>
    <row r="277" spans="1:20" x14ac:dyDescent="0.25">
      <c r="A277" s="5">
        <v>44316</v>
      </c>
      <c r="B277">
        <v>2.7515000000000001</v>
      </c>
      <c r="C277">
        <v>3.1749999999999998</v>
      </c>
      <c r="D277">
        <v>2.6680000000000001</v>
      </c>
      <c r="E277">
        <v>3.0417999999999998</v>
      </c>
      <c r="F277">
        <v>6384644.9500000002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0.47455621301775119</v>
      </c>
      <c r="Q277">
        <f t="shared" si="965"/>
        <v>3029872.9289349094</v>
      </c>
      <c r="R277">
        <f t="shared" si="966"/>
        <v>13990365.477652902</v>
      </c>
      <c r="S277">
        <f t="shared" si="967"/>
        <v>139.90365477652901</v>
      </c>
      <c r="T277">
        <f t="shared" si="968"/>
        <v>0.139903654776529</v>
      </c>
    </row>
    <row r="278" spans="1:20" x14ac:dyDescent="0.25">
      <c r="A278" s="5">
        <v>44315</v>
      </c>
      <c r="B278">
        <v>2.7374000000000001</v>
      </c>
      <c r="C278">
        <v>2.7875000000000001</v>
      </c>
      <c r="D278">
        <v>2.5878999999999999</v>
      </c>
      <c r="E278">
        <v>2.7462</v>
      </c>
      <c r="F278">
        <v>3075538.14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0.58617234468937807</v>
      </c>
      <c r="Q278">
        <f t="shared" si="965"/>
        <v>1802795.4027054089</v>
      </c>
      <c r="R278">
        <f t="shared" si="966"/>
        <v>10960492.548717992</v>
      </c>
      <c r="S278">
        <f t="shared" si="967"/>
        <v>109.60492548717993</v>
      </c>
      <c r="T278">
        <f t="shared" si="968"/>
        <v>0.10960492548717993</v>
      </c>
    </row>
    <row r="279" spans="1:20" x14ac:dyDescent="0.25">
      <c r="A279" s="5">
        <v>44314</v>
      </c>
      <c r="B279">
        <v>2.9781</v>
      </c>
      <c r="C279">
        <v>3.1480000000000001</v>
      </c>
      <c r="D279">
        <v>2.6979000000000002</v>
      </c>
      <c r="E279">
        <v>2.7347000000000001</v>
      </c>
      <c r="F279">
        <v>7529808.29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-0.8364807820484339</v>
      </c>
      <c r="Q279">
        <f t="shared" si="965"/>
        <v>-6298539.9270939808</v>
      </c>
      <c r="R279">
        <f t="shared" si="966"/>
        <v>9157697.1460125837</v>
      </c>
      <c r="S279">
        <f t="shared" si="967"/>
        <v>91.576971460125833</v>
      </c>
      <c r="T279">
        <f t="shared" si="968"/>
        <v>9.1576971460125833E-2</v>
      </c>
    </row>
    <row r="280" spans="1:20" x14ac:dyDescent="0.25">
      <c r="A280" s="5">
        <v>44313</v>
      </c>
      <c r="B280">
        <v>2.8742000000000001</v>
      </c>
      <c r="C280">
        <v>3.2854999999999999</v>
      </c>
      <c r="D280">
        <v>2.8559000000000001</v>
      </c>
      <c r="E280">
        <v>2.9744999999999999</v>
      </c>
      <c r="F280">
        <v>8409781.1199999992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-0.44785847299813836</v>
      </c>
      <c r="Q280">
        <f t="shared" si="965"/>
        <v>-3766391.7306517735</v>
      </c>
      <c r="R280">
        <f t="shared" si="966"/>
        <v>15456237.073106565</v>
      </c>
      <c r="S280">
        <f t="shared" si="967"/>
        <v>154.56237073106564</v>
      </c>
      <c r="T280">
        <f t="shared" si="968"/>
        <v>0.15456237073106563</v>
      </c>
    </row>
    <row r="281" spans="1:20" x14ac:dyDescent="0.25">
      <c r="A281" s="5">
        <v>44312</v>
      </c>
      <c r="B281">
        <v>2.1385000000000001</v>
      </c>
      <c r="C281">
        <v>3</v>
      </c>
      <c r="D281">
        <v>2.1023000000000001</v>
      </c>
      <c r="E281">
        <v>2.8753000000000002</v>
      </c>
      <c r="F281">
        <v>10570813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0.72217890163751852</v>
      </c>
      <c r="Q281">
        <f t="shared" si="965"/>
        <v>7634018.1217556018</v>
      </c>
      <c r="R281">
        <f t="shared" si="966"/>
        <v>19222628.803758338</v>
      </c>
      <c r="S281">
        <f t="shared" si="967"/>
        <v>192.22628803758337</v>
      </c>
      <c r="T281">
        <f t="shared" si="968"/>
        <v>0.19222628803758338</v>
      </c>
    </row>
    <row r="282" spans="1:20" x14ac:dyDescent="0.25">
      <c r="A282" s="5">
        <v>44311</v>
      </c>
      <c r="B282">
        <v>1.8546</v>
      </c>
      <c r="C282">
        <v>2.2199</v>
      </c>
      <c r="D282">
        <v>1.8263</v>
      </c>
      <c r="E282">
        <v>2.1360000000000001</v>
      </c>
      <c r="F282">
        <v>5164013.53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0.57367886178861849</v>
      </c>
      <c r="Q282">
        <f t="shared" si="965"/>
        <v>2962485.4041514262</v>
      </c>
      <c r="R282">
        <f t="shared" si="966"/>
        <v>11588610.682002738</v>
      </c>
      <c r="S282">
        <f t="shared" si="967"/>
        <v>115.88610682002738</v>
      </c>
      <c r="T282">
        <f t="shared" si="968"/>
        <v>0.11588610682002738</v>
      </c>
    </row>
    <row r="283" spans="1:20" x14ac:dyDescent="0.25">
      <c r="A283" s="5">
        <v>44310</v>
      </c>
      <c r="B283">
        <v>2.0190000000000001</v>
      </c>
      <c r="C283">
        <v>2.1663999999999999</v>
      </c>
      <c r="D283">
        <v>1.8366</v>
      </c>
      <c r="E283">
        <v>1.8529</v>
      </c>
      <c r="F283">
        <v>3599242.25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-0.9011522134627048</v>
      </c>
      <c r="Q283">
        <f t="shared" si="965"/>
        <v>-3243465.1203759857</v>
      </c>
      <c r="R283">
        <f t="shared" si="966"/>
        <v>8626125.2778513115</v>
      </c>
      <c r="S283">
        <f t="shared" si="967"/>
        <v>86.261252778513111</v>
      </c>
      <c r="T283">
        <f t="shared" si="968"/>
        <v>8.6261252778513112E-2</v>
      </c>
    </row>
    <row r="284" spans="1:20" x14ac:dyDescent="0.25">
      <c r="A284" s="5">
        <v>44309</v>
      </c>
      <c r="B284">
        <v>2.1970999999999998</v>
      </c>
      <c r="C284">
        <v>2.2448000000000001</v>
      </c>
      <c r="D284">
        <v>1.7458</v>
      </c>
      <c r="E284">
        <v>2.0185</v>
      </c>
      <c r="F284">
        <v>5140062.3099999996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9.2985971943887302E-2</v>
      </c>
      <c r="Q284">
        <f t="shared" si="965"/>
        <v>477953.68974749249</v>
      </c>
      <c r="R284">
        <f t="shared" si="966"/>
        <v>11869590.398227297</v>
      </c>
      <c r="S284">
        <f t="shared" si="967"/>
        <v>118.69590398227297</v>
      </c>
      <c r="T284">
        <f t="shared" si="968"/>
        <v>0.11869590398227296</v>
      </c>
    </row>
    <row r="285" spans="1:20" x14ac:dyDescent="0.25">
      <c r="A285" s="5">
        <v>44308</v>
      </c>
      <c r="B285">
        <v>2.5322</v>
      </c>
      <c r="C285">
        <v>2.5981999999999998</v>
      </c>
      <c r="D285">
        <v>2.1692</v>
      </c>
      <c r="E285">
        <v>2.1989000000000001</v>
      </c>
      <c r="F285">
        <v>4073548.42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-0.86153846153846125</v>
      </c>
      <c r="Q285">
        <f t="shared" si="965"/>
        <v>-3509518.6387692294</v>
      </c>
      <c r="R285">
        <f t="shared" si="966"/>
        <v>11391636.708479805</v>
      </c>
      <c r="S285">
        <f t="shared" si="967"/>
        <v>113.91636708479805</v>
      </c>
      <c r="T285">
        <f t="shared" si="968"/>
        <v>0.11391636708479805</v>
      </c>
    </row>
    <row r="286" spans="1:20" x14ac:dyDescent="0.25">
      <c r="A286" s="5">
        <v>44307</v>
      </c>
      <c r="B286">
        <v>2.7614999999999998</v>
      </c>
      <c r="C286">
        <v>3.0287000000000002</v>
      </c>
      <c r="D286">
        <v>2.5156999999999998</v>
      </c>
      <c r="E286">
        <v>2.5312999999999999</v>
      </c>
      <c r="F286">
        <v>8428987.0999999996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-0.93918128654970745</v>
      </c>
      <c r="Q286">
        <f t="shared" si="965"/>
        <v>-7916346.9488888877</v>
      </c>
      <c r="R286">
        <f t="shared" si="966"/>
        <v>14901155.347249035</v>
      </c>
      <c r="S286">
        <f t="shared" si="967"/>
        <v>149.01155347249033</v>
      </c>
      <c r="T286">
        <f t="shared" si="968"/>
        <v>0.14901155347249034</v>
      </c>
    </row>
    <row r="287" spans="1:20" x14ac:dyDescent="0.25">
      <c r="A287" s="5">
        <v>44306</v>
      </c>
      <c r="B287">
        <v>2.5798000000000001</v>
      </c>
      <c r="C287">
        <v>2.9224000000000001</v>
      </c>
      <c r="D287">
        <v>2.3748999999999998</v>
      </c>
      <c r="E287">
        <v>2.7562000000000002</v>
      </c>
      <c r="F287">
        <v>9949298.8100000005</v>
      </c>
      <c r="G287">
        <v>0</v>
      </c>
      <c r="L287" t="s">
        <v>8</v>
      </c>
      <c r="M287" t="s">
        <v>7</v>
      </c>
      <c r="N287" t="s">
        <v>8</v>
      </c>
      <c r="P287">
        <f t="shared" si="964"/>
        <v>0.39287671232876781</v>
      </c>
      <c r="Q287">
        <f t="shared" si="965"/>
        <v>3908847.806449322</v>
      </c>
      <c r="R287">
        <f t="shared" si="966"/>
        <v>22817502.296137922</v>
      </c>
      <c r="S287">
        <f t="shared" si="967"/>
        <v>228.17502296137923</v>
      </c>
      <c r="T287">
        <f t="shared" si="968"/>
        <v>0.22817502296137923</v>
      </c>
    </row>
    <row r="288" spans="1:20" x14ac:dyDescent="0.25">
      <c r="A288" s="5">
        <v>44305</v>
      </c>
      <c r="B288">
        <v>2.3675000000000002</v>
      </c>
      <c r="C288">
        <v>2.7927</v>
      </c>
      <c r="D288">
        <v>2.1446000000000001</v>
      </c>
      <c r="E288">
        <v>2.5800999999999998</v>
      </c>
      <c r="F288">
        <v>6590217.2800000003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0.34392840611016773</v>
      </c>
      <c r="Q288">
        <f t="shared" si="965"/>
        <v>2266562.9250300853</v>
      </c>
      <c r="R288">
        <f t="shared" si="966"/>
        <v>18908654.489688598</v>
      </c>
      <c r="S288">
        <f t="shared" si="967"/>
        <v>189.08654489688598</v>
      </c>
      <c r="T288">
        <f t="shared" si="968"/>
        <v>0.18908654489688598</v>
      </c>
    </row>
    <row r="289" spans="1:20" x14ac:dyDescent="0.25">
      <c r="A289" s="5">
        <v>44304</v>
      </c>
      <c r="B289">
        <v>2.7690000000000001</v>
      </c>
      <c r="C289">
        <v>2.7875999999999999</v>
      </c>
      <c r="D289">
        <v>1.85</v>
      </c>
      <c r="E289">
        <v>2.3673999999999999</v>
      </c>
      <c r="F289">
        <v>5643966.0999999996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0.10366894197952216</v>
      </c>
      <c r="Q289">
        <f t="shared" si="965"/>
        <v>585103.99415528995</v>
      </c>
      <c r="R289">
        <f t="shared" si="966"/>
        <v>16642091.564658511</v>
      </c>
      <c r="S289">
        <f t="shared" si="967"/>
        <v>166.42091564658512</v>
      </c>
      <c r="T289">
        <f t="shared" si="968"/>
        <v>0.16642091564658512</v>
      </c>
    </row>
    <row r="290" spans="1:20" x14ac:dyDescent="0.25">
      <c r="A290" s="5">
        <v>44303</v>
      </c>
      <c r="B290">
        <v>2.8946999999999998</v>
      </c>
      <c r="C290">
        <v>3.0516999999999999</v>
      </c>
      <c r="D290">
        <v>2.7216999999999998</v>
      </c>
      <c r="E290">
        <v>2.7688999999999999</v>
      </c>
      <c r="F290">
        <v>2837062.47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-0.71393939393939321</v>
      </c>
      <c r="Q290">
        <f t="shared" si="965"/>
        <v>-2025490.6603999981</v>
      </c>
      <c r="R290">
        <f t="shared" si="966"/>
        <v>16056987.570503222</v>
      </c>
      <c r="S290">
        <f t="shared" si="967"/>
        <v>160.56987570503222</v>
      </c>
      <c r="T290">
        <f t="shared" si="968"/>
        <v>0.16056987570503223</v>
      </c>
    </row>
    <row r="291" spans="1:20" x14ac:dyDescent="0.25">
      <c r="A291" s="5">
        <v>44302</v>
      </c>
      <c r="B291">
        <v>2.7244000000000002</v>
      </c>
      <c r="C291">
        <v>2.9784000000000002</v>
      </c>
      <c r="D291">
        <v>2.4451999999999998</v>
      </c>
      <c r="E291">
        <v>2.8999000000000001</v>
      </c>
      <c r="F291">
        <v>4538176.6100000003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0.70555138784696192</v>
      </c>
      <c r="Q291">
        <f t="shared" si="965"/>
        <v>3201916.8054801212</v>
      </c>
      <c r="R291">
        <f t="shared" si="966"/>
        <v>18082478.230903219</v>
      </c>
      <c r="S291">
        <f t="shared" si="967"/>
        <v>180.8247823090322</v>
      </c>
      <c r="T291">
        <f t="shared" si="968"/>
        <v>0.18082478230903221</v>
      </c>
    </row>
    <row r="292" spans="1:20" x14ac:dyDescent="0.25">
      <c r="A292" s="5">
        <v>44301</v>
      </c>
      <c r="B292">
        <v>2.5522999999999998</v>
      </c>
      <c r="C292">
        <v>2.7753000000000001</v>
      </c>
      <c r="D292">
        <v>2.4964</v>
      </c>
      <c r="E292">
        <v>2.7191999999999998</v>
      </c>
      <c r="F292">
        <v>2417377.66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0.59770527070634472</v>
      </c>
      <c r="Q292">
        <f t="shared" si="965"/>
        <v>1444879.3686697702</v>
      </c>
      <c r="R292">
        <f t="shared" si="966"/>
        <v>14880561.425423097</v>
      </c>
      <c r="S292">
        <f t="shared" si="967"/>
        <v>148.80561425423096</v>
      </c>
      <c r="T292">
        <f t="shared" si="968"/>
        <v>0.14880561425423097</v>
      </c>
    </row>
    <row r="293" spans="1:20" x14ac:dyDescent="0.25">
      <c r="A293" s="5">
        <v>44300</v>
      </c>
      <c r="B293">
        <v>2.6231</v>
      </c>
      <c r="C293">
        <v>2.698</v>
      </c>
      <c r="D293">
        <v>2.4241999999999999</v>
      </c>
      <c r="E293">
        <v>2.5486</v>
      </c>
      <c r="F293">
        <v>2526728.7400000002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-9.1307523739955834E-2</v>
      </c>
      <c r="Q293">
        <f t="shared" si="965"/>
        <v>-230709.3444119787</v>
      </c>
      <c r="R293">
        <f t="shared" si="966"/>
        <v>13435682.056753326</v>
      </c>
      <c r="S293">
        <f t="shared" si="967"/>
        <v>134.35682056753325</v>
      </c>
      <c r="T293">
        <f t="shared" si="968"/>
        <v>0.13435682056753326</v>
      </c>
    </row>
    <row r="294" spans="1:20" x14ac:dyDescent="0.25">
      <c r="A294" s="5">
        <v>44299</v>
      </c>
      <c r="B294">
        <v>2.6566999999999998</v>
      </c>
      <c r="C294">
        <v>2.6789999999999998</v>
      </c>
      <c r="D294">
        <v>2.5215000000000001</v>
      </c>
      <c r="E294">
        <v>2.6232000000000002</v>
      </c>
      <c r="F294">
        <v>1630178.42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0.29142857142857503</v>
      </c>
      <c r="Q294">
        <f t="shared" si="965"/>
        <v>475080.56811429159</v>
      </c>
      <c r="R294">
        <f t="shared" si="966"/>
        <v>13666391.401165305</v>
      </c>
      <c r="S294">
        <f t="shared" si="967"/>
        <v>136.66391401165305</v>
      </c>
      <c r="T294">
        <f t="shared" si="968"/>
        <v>0.13666391401165304</v>
      </c>
    </row>
    <row r="295" spans="1:20" x14ac:dyDescent="0.25">
      <c r="A295" s="5">
        <v>44298</v>
      </c>
      <c r="B295">
        <v>2.7507999999999999</v>
      </c>
      <c r="C295">
        <v>2.8948</v>
      </c>
      <c r="D295">
        <v>2.6173999999999999</v>
      </c>
      <c r="E295">
        <v>2.6579999999999999</v>
      </c>
      <c r="F295">
        <v>1509260.6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-0.70728190338860886</v>
      </c>
      <c r="Q295">
        <f t="shared" si="965"/>
        <v>-1067472.709877434</v>
      </c>
      <c r="R295">
        <f t="shared" si="966"/>
        <v>13191310.833051013</v>
      </c>
      <c r="S295">
        <f t="shared" si="967"/>
        <v>131.91310833051014</v>
      </c>
      <c r="T295">
        <f t="shared" si="968"/>
        <v>0.13191310833051015</v>
      </c>
    </row>
    <row r="296" spans="1:20" x14ac:dyDescent="0.25">
      <c r="A296" s="5">
        <v>44297</v>
      </c>
      <c r="B296">
        <v>2.7362000000000002</v>
      </c>
      <c r="C296">
        <v>2.8626</v>
      </c>
      <c r="D296">
        <v>2.6768000000000001</v>
      </c>
      <c r="E296">
        <v>2.7488000000000001</v>
      </c>
      <c r="F296">
        <v>1386419.26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-0.22497308934337915</v>
      </c>
      <c r="Q296">
        <f t="shared" si="965"/>
        <v>-311907.02404736163</v>
      </c>
      <c r="R296">
        <f t="shared" si="966"/>
        <v>14258783.542928446</v>
      </c>
      <c r="S296">
        <f t="shared" si="967"/>
        <v>142.58783542928447</v>
      </c>
      <c r="T296">
        <f t="shared" si="968"/>
        <v>0.14258783542928447</v>
      </c>
    </row>
    <row r="297" spans="1:20" x14ac:dyDescent="0.25">
      <c r="A297" s="5">
        <v>44296</v>
      </c>
      <c r="B297">
        <v>2.9001000000000001</v>
      </c>
      <c r="C297">
        <v>2.9860000000000002</v>
      </c>
      <c r="D297">
        <v>2.6772999999999998</v>
      </c>
      <c r="E297">
        <v>2.7336999999999998</v>
      </c>
      <c r="F297">
        <v>1732461.75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-0.63459669582118605</v>
      </c>
      <c r="Q297">
        <f t="shared" si="965"/>
        <v>-1099414.5021865896</v>
      </c>
      <c r="R297">
        <f t="shared" si="966"/>
        <v>14570690.566975808</v>
      </c>
      <c r="S297">
        <f t="shared" si="967"/>
        <v>145.70690566975807</v>
      </c>
      <c r="T297">
        <f t="shared" si="968"/>
        <v>0.14570690566975808</v>
      </c>
    </row>
    <row r="298" spans="1:20" x14ac:dyDescent="0.25">
      <c r="A298" s="5">
        <v>44295</v>
      </c>
      <c r="B298">
        <v>2.8475999999999999</v>
      </c>
      <c r="C298">
        <v>3.0779999999999998</v>
      </c>
      <c r="D298">
        <v>2.8229000000000002</v>
      </c>
      <c r="E298">
        <v>2.9003000000000001</v>
      </c>
      <c r="F298">
        <v>2032755.95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-0.39317914543316335</v>
      </c>
      <c r="Q298">
        <f t="shared" si="965"/>
        <v>-799237.24729517812</v>
      </c>
      <c r="R298">
        <f t="shared" si="966"/>
        <v>15670105.069162397</v>
      </c>
      <c r="S298">
        <f t="shared" si="967"/>
        <v>156.70105069162398</v>
      </c>
      <c r="T298">
        <f t="shared" si="968"/>
        <v>0.15670105069162399</v>
      </c>
    </row>
    <row r="299" spans="1:20" x14ac:dyDescent="0.25">
      <c r="A299" s="5">
        <v>44294</v>
      </c>
      <c r="B299">
        <v>2.7002999999999999</v>
      </c>
      <c r="C299">
        <v>2.9660000000000002</v>
      </c>
      <c r="D299">
        <v>2.6577000000000002</v>
      </c>
      <c r="E299">
        <v>2.8548</v>
      </c>
      <c r="F299">
        <v>2050528.47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0.27862471618553242</v>
      </c>
      <c r="Q299">
        <f t="shared" si="965"/>
        <v>571327.91298410401</v>
      </c>
      <c r="R299">
        <f t="shared" si="966"/>
        <v>16469342.316457575</v>
      </c>
      <c r="S299">
        <f t="shared" si="967"/>
        <v>164.69342316457576</v>
      </c>
      <c r="T299">
        <f t="shared" si="968"/>
        <v>0.16469342316457578</v>
      </c>
    </row>
    <row r="300" spans="1:20" x14ac:dyDescent="0.25">
      <c r="A300" s="5">
        <v>44293</v>
      </c>
      <c r="B300">
        <v>2.9799000000000002</v>
      </c>
      <c r="C300">
        <v>3.0327000000000002</v>
      </c>
      <c r="D300">
        <v>2.6080000000000001</v>
      </c>
      <c r="E300">
        <v>2.6962000000000002</v>
      </c>
      <c r="F300">
        <v>3402099.7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-0.58464798681422159</v>
      </c>
      <c r="Q300">
        <f t="shared" si="965"/>
        <v>-1989030.7405462672</v>
      </c>
      <c r="R300">
        <f t="shared" si="966"/>
        <v>15898014.40347347</v>
      </c>
      <c r="S300">
        <f t="shared" si="967"/>
        <v>158.98014403473471</v>
      </c>
      <c r="T300">
        <f t="shared" si="968"/>
        <v>0.15898014403473471</v>
      </c>
    </row>
    <row r="301" spans="1:20" x14ac:dyDescent="0.25">
      <c r="A301" s="5">
        <v>44292</v>
      </c>
      <c r="B301">
        <v>2.9725000000000001</v>
      </c>
      <c r="C301">
        <v>3.2231000000000001</v>
      </c>
      <c r="D301">
        <v>2.8651</v>
      </c>
      <c r="E301">
        <v>2.9849000000000001</v>
      </c>
      <c r="F301">
        <v>2814195.52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-0.33072625698323971</v>
      </c>
      <c r="Q301">
        <f t="shared" si="965"/>
        <v>-930728.35074860195</v>
      </c>
      <c r="R301">
        <f t="shared" si="966"/>
        <v>17887045.144019738</v>
      </c>
      <c r="S301">
        <f t="shared" si="967"/>
        <v>178.87045144019737</v>
      </c>
      <c r="T301">
        <f t="shared" si="968"/>
        <v>0.17887045144019736</v>
      </c>
    </row>
    <row r="302" spans="1:20" x14ac:dyDescent="0.25">
      <c r="A302" s="5">
        <v>44291</v>
      </c>
      <c r="B302">
        <v>3.0518000000000001</v>
      </c>
      <c r="C302">
        <v>3.1614</v>
      </c>
      <c r="D302">
        <v>2.8224</v>
      </c>
      <c r="E302">
        <v>2.9729999999999999</v>
      </c>
      <c r="F302">
        <v>3201347.19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-0.11150442477876189</v>
      </c>
      <c r="Q302">
        <f t="shared" si="965"/>
        <v>-356964.37693805574</v>
      </c>
      <c r="R302">
        <f t="shared" si="966"/>
        <v>18817773.49476834</v>
      </c>
      <c r="S302">
        <f t="shared" si="967"/>
        <v>188.1777349476834</v>
      </c>
      <c r="T302">
        <f t="shared" si="968"/>
        <v>0.18817773494768342</v>
      </c>
    </row>
    <row r="303" spans="1:20" x14ac:dyDescent="0.25">
      <c r="A303" s="5">
        <v>44290</v>
      </c>
      <c r="B303">
        <v>2.5274000000000001</v>
      </c>
      <c r="C303">
        <v>3.0775000000000001</v>
      </c>
      <c r="D303">
        <v>2.4864999999999999</v>
      </c>
      <c r="E303">
        <v>3.0533999999999999</v>
      </c>
      <c r="F303">
        <v>4920634.1500000004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0.91844331641285881</v>
      </c>
      <c r="Q303">
        <f t="shared" si="965"/>
        <v>4519323.5475803688</v>
      </c>
      <c r="R303">
        <f t="shared" si="966"/>
        <v>19174737.871706396</v>
      </c>
      <c r="S303">
        <f t="shared" si="967"/>
        <v>191.74737871706395</v>
      </c>
      <c r="T303">
        <f t="shared" si="968"/>
        <v>0.19174737871706396</v>
      </c>
    </row>
    <row r="304" spans="1:20" x14ac:dyDescent="0.25">
      <c r="A304" s="5">
        <v>44289</v>
      </c>
      <c r="B304">
        <v>2.7784</v>
      </c>
      <c r="C304">
        <v>2.7831999999999999</v>
      </c>
      <c r="D304">
        <v>2.4434</v>
      </c>
      <c r="E304">
        <v>2.5274000000000001</v>
      </c>
      <c r="F304">
        <v>4478920.6100000003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-0.50559152442613242</v>
      </c>
      <c r="Q304">
        <f t="shared" si="965"/>
        <v>-2264504.2989935232</v>
      </c>
      <c r="R304">
        <f t="shared" si="966"/>
        <v>14655414.324126028</v>
      </c>
      <c r="S304">
        <f t="shared" si="967"/>
        <v>146.55414324126028</v>
      </c>
      <c r="T304">
        <f t="shared" si="968"/>
        <v>0.14655414324126029</v>
      </c>
    </row>
    <row r="305" spans="1:20" x14ac:dyDescent="0.25">
      <c r="A305" s="5">
        <v>44288</v>
      </c>
      <c r="B305">
        <v>2.5872999999999999</v>
      </c>
      <c r="C305">
        <v>2.8860000000000001</v>
      </c>
      <c r="D305">
        <v>2.5436999999999999</v>
      </c>
      <c r="E305">
        <v>2.7711999999999999</v>
      </c>
      <c r="F305">
        <v>3754111.61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0.32924335378323022</v>
      </c>
      <c r="Q305">
        <f t="shared" si="965"/>
        <v>1236016.2969529619</v>
      </c>
      <c r="R305">
        <f t="shared" si="966"/>
        <v>16919918.623119552</v>
      </c>
      <c r="S305">
        <f t="shared" si="967"/>
        <v>169.19918623119551</v>
      </c>
      <c r="T305">
        <f t="shared" si="968"/>
        <v>0.16919918623119551</v>
      </c>
    </row>
    <row r="306" spans="1:20" x14ac:dyDescent="0.25">
      <c r="A306" s="5">
        <v>44287</v>
      </c>
      <c r="B306">
        <v>2.6636000000000002</v>
      </c>
      <c r="C306">
        <v>2.8</v>
      </c>
      <c r="D306">
        <v>2.5487000000000002</v>
      </c>
      <c r="E306">
        <v>2.585</v>
      </c>
      <c r="F306">
        <v>2486738.73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-0.71110226820533362</v>
      </c>
      <c r="Q306">
        <f t="shared" si="965"/>
        <v>-1768325.5513370507</v>
      </c>
      <c r="R306">
        <f t="shared" si="966"/>
        <v>15683902.326166591</v>
      </c>
      <c r="S306">
        <f t="shared" si="967"/>
        <v>156.83902326166591</v>
      </c>
      <c r="T306">
        <f t="shared" si="968"/>
        <v>0.15683902326166591</v>
      </c>
    </row>
    <row r="307" spans="1:20" x14ac:dyDescent="0.25">
      <c r="A307" s="5">
        <v>44286</v>
      </c>
      <c r="B307">
        <v>2.4870999999999999</v>
      </c>
      <c r="C307">
        <v>2.7195999999999998</v>
      </c>
      <c r="D307">
        <v>2.2601</v>
      </c>
      <c r="E307">
        <v>2.6625999999999999</v>
      </c>
      <c r="F307">
        <v>4365509.0999999996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0.75190424374319931</v>
      </c>
      <c r="Q307">
        <f t="shared" si="965"/>
        <v>3282444.8183895545</v>
      </c>
      <c r="R307">
        <f t="shared" si="966"/>
        <v>17452227.877503641</v>
      </c>
      <c r="S307">
        <f t="shared" si="967"/>
        <v>174.5222787750364</v>
      </c>
      <c r="T307">
        <f t="shared" si="968"/>
        <v>0.1745222787750364</v>
      </c>
    </row>
    <row r="308" spans="1:20" x14ac:dyDescent="0.25">
      <c r="A308" s="5">
        <v>44285</v>
      </c>
      <c r="B308">
        <v>2.4216000000000002</v>
      </c>
      <c r="C308">
        <v>2.63</v>
      </c>
      <c r="D308">
        <v>2.3887</v>
      </c>
      <c r="E308">
        <v>2.4887000000000001</v>
      </c>
      <c r="F308">
        <v>2953527.8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-0.17115623704931496</v>
      </c>
      <c r="Q308">
        <f t="shared" si="965"/>
        <v>-505514.70426854165</v>
      </c>
      <c r="R308">
        <f t="shared" si="966"/>
        <v>14169783.059114087</v>
      </c>
      <c r="S308">
        <f t="shared" si="967"/>
        <v>141.69783059114087</v>
      </c>
      <c r="T308">
        <f t="shared" si="968"/>
        <v>0.14169783059114088</v>
      </c>
    </row>
    <row r="309" spans="1:20" x14ac:dyDescent="0.25">
      <c r="A309" s="5">
        <v>44284</v>
      </c>
      <c r="B309">
        <v>2.3658000000000001</v>
      </c>
      <c r="C309">
        <v>2.4504999999999999</v>
      </c>
      <c r="D309">
        <v>2.2164999999999999</v>
      </c>
      <c r="E309">
        <v>2.4214000000000002</v>
      </c>
      <c r="F309">
        <v>3851682.63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0.75128205128205394</v>
      </c>
      <c r="Q309">
        <f t="shared" si="965"/>
        <v>2893700.0271538561</v>
      </c>
      <c r="R309">
        <f t="shared" si="966"/>
        <v>14675297.763382629</v>
      </c>
      <c r="S309">
        <f t="shared" si="967"/>
        <v>146.75297763382628</v>
      </c>
      <c r="T309">
        <f t="shared" si="968"/>
        <v>0.14675297763382628</v>
      </c>
    </row>
    <row r="310" spans="1:20" x14ac:dyDescent="0.25">
      <c r="A310" s="5">
        <v>44283</v>
      </c>
      <c r="B310">
        <v>2.2198000000000002</v>
      </c>
      <c r="C310">
        <v>2.4500000000000002</v>
      </c>
      <c r="D310">
        <v>2.1818</v>
      </c>
      <c r="E310">
        <v>2.3637999999999999</v>
      </c>
      <c r="F310">
        <v>4585848.7699999996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0.35719612229679187</v>
      </c>
      <c r="Q310">
        <f t="shared" si="965"/>
        <v>1638047.3980835124</v>
      </c>
      <c r="R310">
        <f t="shared" si="966"/>
        <v>11781597.736228773</v>
      </c>
      <c r="S310">
        <f t="shared" si="967"/>
        <v>117.81597736228774</v>
      </c>
      <c r="T310">
        <f t="shared" si="968"/>
        <v>0.11781597736228774</v>
      </c>
    </row>
    <row r="311" spans="1:20" x14ac:dyDescent="0.25">
      <c r="A311" s="5">
        <v>44282</v>
      </c>
      <c r="B311">
        <v>2.0939999999999999</v>
      </c>
      <c r="C311">
        <v>2.29</v>
      </c>
      <c r="D311">
        <v>1.9774</v>
      </c>
      <c r="E311">
        <v>2.2191999999999998</v>
      </c>
      <c r="F311">
        <v>3419390.3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0.54702495201535384</v>
      </c>
      <c r="Q311">
        <f t="shared" si="965"/>
        <v>1870491.8147792662</v>
      </c>
      <c r="R311">
        <f t="shared" si="966"/>
        <v>10143550.338145262</v>
      </c>
      <c r="S311">
        <f t="shared" si="967"/>
        <v>101.43550338145262</v>
      </c>
      <c r="T311">
        <f t="shared" si="968"/>
        <v>0.10143550338145262</v>
      </c>
    </row>
    <row r="312" spans="1:20" x14ac:dyDescent="0.25">
      <c r="A312" s="5">
        <v>44281</v>
      </c>
      <c r="B312">
        <v>1.7909999999999999</v>
      </c>
      <c r="C312">
        <v>2.2000000000000002</v>
      </c>
      <c r="D312">
        <v>1.7909999999999999</v>
      </c>
      <c r="E312">
        <v>2.0931000000000002</v>
      </c>
      <c r="F312">
        <v>4047265.22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0.47726161369193187</v>
      </c>
      <c r="Q312">
        <f t="shared" si="965"/>
        <v>1931604.3299364317</v>
      </c>
      <c r="R312">
        <f t="shared" si="966"/>
        <v>8273058.5233659949</v>
      </c>
      <c r="S312">
        <f t="shared" si="967"/>
        <v>82.730585233659951</v>
      </c>
      <c r="T312">
        <f t="shared" si="968"/>
        <v>8.2730585233659948E-2</v>
      </c>
    </row>
    <row r="313" spans="1:20" x14ac:dyDescent="0.25">
      <c r="A313" s="5">
        <v>44280</v>
      </c>
      <c r="B313">
        <v>1.8982000000000001</v>
      </c>
      <c r="C313">
        <v>1.9226000000000001</v>
      </c>
      <c r="D313">
        <v>1.7015</v>
      </c>
      <c r="E313">
        <v>1.794</v>
      </c>
      <c r="F313">
        <v>4178998.66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-0.1632745364088648</v>
      </c>
      <c r="Q313">
        <f t="shared" si="965"/>
        <v>-682324.06886476721</v>
      </c>
      <c r="R313">
        <f t="shared" si="966"/>
        <v>6341454.1934295632</v>
      </c>
      <c r="S313">
        <f t="shared" si="967"/>
        <v>63.414541934295634</v>
      </c>
      <c r="T313">
        <f t="shared" si="968"/>
        <v>6.3414541934295632E-2</v>
      </c>
    </row>
    <row r="314" spans="1:20" x14ac:dyDescent="0.25">
      <c r="A314" s="5">
        <v>44279</v>
      </c>
      <c r="B314">
        <v>1.9924999999999999</v>
      </c>
      <c r="C314">
        <v>2.2484999999999999</v>
      </c>
      <c r="D314">
        <v>1.8301000000000001</v>
      </c>
      <c r="E314">
        <v>1.9015</v>
      </c>
      <c r="F314">
        <v>2966370.55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-0.65869980879541146</v>
      </c>
      <c r="Q314">
        <f t="shared" si="965"/>
        <v>-1953947.7141013395</v>
      </c>
      <c r="R314">
        <f t="shared" si="966"/>
        <v>7023778.2622943306</v>
      </c>
      <c r="S314">
        <f t="shared" si="967"/>
        <v>70.2377826229433</v>
      </c>
      <c r="T314">
        <f t="shared" si="968"/>
        <v>7.0237782622943307E-2</v>
      </c>
    </row>
    <row r="315" spans="1:20" x14ac:dyDescent="0.25">
      <c r="A315" s="5">
        <v>44278</v>
      </c>
      <c r="B315">
        <v>2.0621</v>
      </c>
      <c r="C315">
        <v>2.1726000000000001</v>
      </c>
      <c r="D315">
        <v>1.9805999999999999</v>
      </c>
      <c r="E315">
        <v>1.9921</v>
      </c>
      <c r="F315">
        <v>1953381.95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-0.8802083333333327</v>
      </c>
      <c r="Q315">
        <f t="shared" si="965"/>
        <v>-1719383.0705729155</v>
      </c>
      <c r="R315">
        <f t="shared" si="966"/>
        <v>8977725.9763956703</v>
      </c>
      <c r="S315">
        <f t="shared" si="967"/>
        <v>89.777259763956707</v>
      </c>
      <c r="T315">
        <f t="shared" si="968"/>
        <v>8.9777259763956702E-2</v>
      </c>
    </row>
    <row r="316" spans="1:20" x14ac:dyDescent="0.25">
      <c r="A316" s="5">
        <v>44277</v>
      </c>
      <c r="B316">
        <v>2.1625000000000001</v>
      </c>
      <c r="C316">
        <v>2.3334000000000001</v>
      </c>
      <c r="D316">
        <v>2.0440999999999998</v>
      </c>
      <c r="E316">
        <v>2.0626000000000002</v>
      </c>
      <c r="F316">
        <v>4087594.81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-0.87210508123055386</v>
      </c>
      <c r="Q316">
        <f t="shared" si="965"/>
        <v>-3564812.2038126406</v>
      </c>
      <c r="R316">
        <f t="shared" si="966"/>
        <v>10697109.046968585</v>
      </c>
      <c r="S316">
        <f t="shared" si="967"/>
        <v>106.97109046968585</v>
      </c>
      <c r="T316">
        <f t="shared" si="968"/>
        <v>0.10697109046968585</v>
      </c>
    </row>
    <row r="317" spans="1:20" x14ac:dyDescent="0.25">
      <c r="A317" s="5">
        <v>44276</v>
      </c>
      <c r="B317">
        <v>2.2025000000000001</v>
      </c>
      <c r="C317">
        <v>2.2519999999999998</v>
      </c>
      <c r="D317">
        <v>2.0617999999999999</v>
      </c>
      <c r="E317">
        <v>2.1655000000000002</v>
      </c>
      <c r="F317">
        <v>1917967.84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9.0431125131444676E-2</v>
      </c>
      <c r="Q317">
        <f t="shared" si="965"/>
        <v>173443.98973712666</v>
      </c>
      <c r="R317">
        <f t="shared" si="966"/>
        <v>14261921.250781225</v>
      </c>
      <c r="S317">
        <f t="shared" si="967"/>
        <v>142.61921250781225</v>
      </c>
      <c r="T317">
        <f t="shared" si="968"/>
        <v>0.14261921250781226</v>
      </c>
    </row>
    <row r="318" spans="1:20" x14ac:dyDescent="0.25">
      <c r="A318" s="5">
        <v>44275</v>
      </c>
      <c r="B318">
        <v>2.3180999999999998</v>
      </c>
      <c r="C318">
        <v>2.4218000000000002</v>
      </c>
      <c r="D318">
        <v>2.1833</v>
      </c>
      <c r="E318">
        <v>2.2025000000000001</v>
      </c>
      <c r="F318">
        <v>1714830.57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-0.83899371069182316</v>
      </c>
      <c r="Q318">
        <f t="shared" si="965"/>
        <v>-1438732.0631320742</v>
      </c>
      <c r="R318">
        <f t="shared" si="966"/>
        <v>14088477.261044098</v>
      </c>
      <c r="S318">
        <f t="shared" si="967"/>
        <v>140.88477261044099</v>
      </c>
      <c r="T318">
        <f t="shared" si="968"/>
        <v>0.14088477261044099</v>
      </c>
    </row>
    <row r="319" spans="1:20" x14ac:dyDescent="0.25">
      <c r="A319" s="5">
        <v>44274</v>
      </c>
      <c r="B319">
        <v>2.2818000000000001</v>
      </c>
      <c r="C319">
        <v>2.4278</v>
      </c>
      <c r="D319">
        <v>2.2195</v>
      </c>
      <c r="E319">
        <v>2.3176000000000001</v>
      </c>
      <c r="F319">
        <v>2026598.43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-5.8089294287084883E-2</v>
      </c>
      <c r="Q319">
        <f t="shared" si="965"/>
        <v>-117723.67260201419</v>
      </c>
      <c r="R319">
        <f t="shared" si="966"/>
        <v>15527209.324176172</v>
      </c>
      <c r="S319">
        <f t="shared" si="967"/>
        <v>155.27209324176172</v>
      </c>
      <c r="T319">
        <f t="shared" si="968"/>
        <v>0.15527209324176172</v>
      </c>
    </row>
    <row r="320" spans="1:20" x14ac:dyDescent="0.25">
      <c r="A320" s="5">
        <v>44273</v>
      </c>
      <c r="B320">
        <v>2.4468000000000001</v>
      </c>
      <c r="C320">
        <v>2.4645000000000001</v>
      </c>
      <c r="D320">
        <v>2.2753000000000001</v>
      </c>
      <c r="E320">
        <v>2.2780999999999998</v>
      </c>
      <c r="F320">
        <v>3235601.26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-0.97040169133192711</v>
      </c>
      <c r="Q320">
        <f t="shared" si="965"/>
        <v>-3139832.9351797141</v>
      </c>
      <c r="R320">
        <f t="shared" si="966"/>
        <v>15644932.996778186</v>
      </c>
      <c r="S320">
        <f t="shared" si="967"/>
        <v>156.44932996778186</v>
      </c>
      <c r="T320">
        <f t="shared" si="968"/>
        <v>0.15644932996778185</v>
      </c>
    </row>
    <row r="321" spans="1:20" x14ac:dyDescent="0.25">
      <c r="A321" s="5">
        <v>44272</v>
      </c>
      <c r="B321">
        <v>2.7555999999999998</v>
      </c>
      <c r="C321">
        <v>2.7909000000000002</v>
      </c>
      <c r="D321">
        <v>2.2982999999999998</v>
      </c>
      <c r="E321">
        <v>2.4462999999999999</v>
      </c>
      <c r="F321">
        <v>5738868.0700000003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-0.39910678034916758</v>
      </c>
      <c r="Q321">
        <f t="shared" si="965"/>
        <v>-2290421.1582663413</v>
      </c>
      <c r="R321">
        <f t="shared" si="966"/>
        <v>18784765.931957901</v>
      </c>
      <c r="S321">
        <f t="shared" si="967"/>
        <v>187.84765931957901</v>
      </c>
      <c r="T321">
        <f t="shared" si="968"/>
        <v>0.187847659319579</v>
      </c>
    </row>
    <row r="322" spans="1:20" x14ac:dyDescent="0.25">
      <c r="A322" s="5">
        <v>44271</v>
      </c>
      <c r="B322">
        <v>2.3003</v>
      </c>
      <c r="C322">
        <v>2.8298999999999999</v>
      </c>
      <c r="D322">
        <v>2.1518000000000002</v>
      </c>
      <c r="E322">
        <v>2.7555999999999998</v>
      </c>
      <c r="F322">
        <v>5016188.7300000004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0.78085828048960315</v>
      </c>
      <c r="Q322">
        <f t="shared" si="965"/>
        <v>3916932.5063191266</v>
      </c>
      <c r="R322">
        <f t="shared" si="966"/>
        <v>21075187.090224244</v>
      </c>
      <c r="S322">
        <f t="shared" si="967"/>
        <v>210.75187090224244</v>
      </c>
      <c r="T322">
        <f t="shared" si="968"/>
        <v>0.21075187090224246</v>
      </c>
    </row>
    <row r="323" spans="1:20" x14ac:dyDescent="0.25">
      <c r="A323" s="5">
        <v>44270</v>
      </c>
      <c r="B323">
        <v>2.2204000000000002</v>
      </c>
      <c r="C323">
        <v>2.3845999999999998</v>
      </c>
      <c r="D323">
        <v>2.0611000000000002</v>
      </c>
      <c r="E323">
        <v>2.2993999999999999</v>
      </c>
      <c r="F323">
        <v>3338079.67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0.47326120556414203</v>
      </c>
      <c r="Q323">
        <f t="shared" si="965"/>
        <v>1579783.6088933533</v>
      </c>
      <c r="R323">
        <f t="shared" si="966"/>
        <v>17158254.583905116</v>
      </c>
      <c r="S323">
        <f t="shared" si="967"/>
        <v>171.58254583905116</v>
      </c>
      <c r="T323">
        <f t="shared" si="968"/>
        <v>0.17158254583905116</v>
      </c>
    </row>
    <row r="324" spans="1:20" x14ac:dyDescent="0.25">
      <c r="A324" s="5">
        <v>44269</v>
      </c>
      <c r="B324">
        <v>2.4056000000000002</v>
      </c>
      <c r="C324">
        <v>2.4428999999999998</v>
      </c>
      <c r="D324">
        <v>2.2172999999999998</v>
      </c>
      <c r="E324">
        <v>2.2200000000000002</v>
      </c>
      <c r="F324">
        <v>2830523.84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-0.97606382978723083</v>
      </c>
      <c r="Q324">
        <f t="shared" si="965"/>
        <v>-2762771.9395744586</v>
      </c>
      <c r="R324">
        <f t="shared" si="966"/>
        <v>15578470.975011762</v>
      </c>
      <c r="S324">
        <f t="shared" si="967"/>
        <v>155.78470975011763</v>
      </c>
      <c r="T324">
        <f t="shared" si="968"/>
        <v>0.15578470975011763</v>
      </c>
    </row>
    <row r="325" spans="1:20" x14ac:dyDescent="0.25">
      <c r="A325" s="5">
        <v>44268</v>
      </c>
      <c r="B325">
        <v>2.3065000000000002</v>
      </c>
      <c r="C325">
        <v>2.52</v>
      </c>
      <c r="D325">
        <v>2.2301000000000002</v>
      </c>
      <c r="E325">
        <v>2.403</v>
      </c>
      <c r="F325">
        <v>3063471.14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0.19282511210762288</v>
      </c>
      <c r="Q325">
        <f t="shared" si="965"/>
        <v>590714.16600896732</v>
      </c>
      <c r="R325">
        <f t="shared" si="966"/>
        <v>18341242.91458622</v>
      </c>
      <c r="S325">
        <f t="shared" si="967"/>
        <v>183.41242914586221</v>
      </c>
      <c r="T325">
        <f t="shared" si="968"/>
        <v>0.1834124291458622</v>
      </c>
    </row>
    <row r="326" spans="1:20" x14ac:dyDescent="0.25">
      <c r="A326" s="5">
        <v>44267</v>
      </c>
      <c r="B326">
        <v>2.5270999999999999</v>
      </c>
      <c r="C326">
        <v>2.5945</v>
      </c>
      <c r="D326">
        <v>2.2216999999999998</v>
      </c>
      <c r="E326">
        <v>2.3066</v>
      </c>
      <c r="F326">
        <v>4613145.33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-0.54452789699570736</v>
      </c>
      <c r="Q326">
        <f t="shared" ref="Q326:Q389" si="970">F326*P326</f>
        <v>-2511986.3250804683</v>
      </c>
      <c r="R326">
        <f t="shared" ref="R326:R389" si="971">R327+Q326</f>
        <v>17750528.748577252</v>
      </c>
      <c r="S326">
        <f t="shared" ref="S326:S389" si="972">R326/100000</f>
        <v>177.50528748577253</v>
      </c>
      <c r="T326">
        <f t="shared" ref="T326:T389" si="973">S326/1000</f>
        <v>0.17750528748577252</v>
      </c>
    </row>
    <row r="327" spans="1:20" x14ac:dyDescent="0.25">
      <c r="A327" s="5">
        <v>44266</v>
      </c>
      <c r="B327">
        <v>2.1387</v>
      </c>
      <c r="C327">
        <v>2.5348999999999999</v>
      </c>
      <c r="D327">
        <v>2.0394999999999999</v>
      </c>
      <c r="E327">
        <v>2.5299</v>
      </c>
      <c r="F327">
        <v>5317146.6900000004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0.97981429148163146</v>
      </c>
      <c r="Q327">
        <f t="shared" si="970"/>
        <v>5209816.3167662527</v>
      </c>
      <c r="R327">
        <f t="shared" si="971"/>
        <v>20262515.073657721</v>
      </c>
      <c r="S327">
        <f t="shared" si="972"/>
        <v>202.62515073657721</v>
      </c>
      <c r="T327">
        <f t="shared" si="973"/>
        <v>0.20262515073657722</v>
      </c>
    </row>
    <row r="328" spans="1:20" x14ac:dyDescent="0.25">
      <c r="A328" s="5">
        <v>44265</v>
      </c>
      <c r="B328">
        <v>1.9955000000000001</v>
      </c>
      <c r="C328">
        <v>2.39</v>
      </c>
      <c r="D328">
        <v>1.91</v>
      </c>
      <c r="E328">
        <v>2.1387</v>
      </c>
      <c r="F328">
        <v>7975587.9299999997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-4.7083333333333213E-2</v>
      </c>
      <c r="Q328">
        <f t="shared" si="970"/>
        <v>-375517.26503749902</v>
      </c>
      <c r="R328">
        <f t="shared" si="971"/>
        <v>15052698.75689147</v>
      </c>
      <c r="S328">
        <f t="shared" si="972"/>
        <v>150.52698756891471</v>
      </c>
      <c r="T328">
        <f t="shared" si="973"/>
        <v>0.15052698756891469</v>
      </c>
    </row>
    <row r="329" spans="1:20" x14ac:dyDescent="0.25">
      <c r="A329" s="5">
        <v>44264</v>
      </c>
      <c r="B329">
        <v>2.0697999999999999</v>
      </c>
      <c r="C329">
        <v>2.1469999999999998</v>
      </c>
      <c r="D329">
        <v>1.9396</v>
      </c>
      <c r="E329">
        <v>1.9923999999999999</v>
      </c>
      <c r="F329">
        <v>3025731.12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-0.49083895853423332</v>
      </c>
      <c r="Q329">
        <f t="shared" si="970"/>
        <v>-1485146.7117454193</v>
      </c>
      <c r="R329">
        <f t="shared" si="971"/>
        <v>15428216.02192897</v>
      </c>
      <c r="S329">
        <f t="shared" si="972"/>
        <v>154.28216021928969</v>
      </c>
      <c r="T329">
        <f t="shared" si="973"/>
        <v>0.1542821602192897</v>
      </c>
    </row>
    <row r="330" spans="1:20" x14ac:dyDescent="0.25">
      <c r="A330" s="5">
        <v>44263</v>
      </c>
      <c r="B330">
        <v>1.9449000000000001</v>
      </c>
      <c r="C330">
        <v>2.1</v>
      </c>
      <c r="D330">
        <v>1.7668999999999999</v>
      </c>
      <c r="E330">
        <v>2.0684</v>
      </c>
      <c r="F330">
        <v>5573608.4400000004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0.81026718703092127</v>
      </c>
      <c r="Q330">
        <f t="shared" si="970"/>
        <v>4516112.0322906021</v>
      </c>
      <c r="R330">
        <f t="shared" si="971"/>
        <v>16913362.733674388</v>
      </c>
      <c r="S330">
        <f t="shared" si="972"/>
        <v>169.13362733674387</v>
      </c>
      <c r="T330">
        <f t="shared" si="973"/>
        <v>0.16913362733674386</v>
      </c>
    </row>
    <row r="331" spans="1:20" x14ac:dyDescent="0.25">
      <c r="A331" s="5">
        <v>44262</v>
      </c>
      <c r="B331">
        <v>1.7423</v>
      </c>
      <c r="C331">
        <v>1.9450000000000001</v>
      </c>
      <c r="D331">
        <v>1.7265999999999999</v>
      </c>
      <c r="E331">
        <v>1.9434</v>
      </c>
      <c r="F331">
        <v>4127153.98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0.98534798534798496</v>
      </c>
      <c r="Q331">
        <f t="shared" si="970"/>
        <v>4066682.8594139176</v>
      </c>
      <c r="R331">
        <f t="shared" si="971"/>
        <v>12397250.701383786</v>
      </c>
      <c r="S331">
        <f t="shared" si="972"/>
        <v>123.97250701383787</v>
      </c>
      <c r="T331">
        <f t="shared" si="973"/>
        <v>0.12397250701383787</v>
      </c>
    </row>
    <row r="332" spans="1:20" x14ac:dyDescent="0.25">
      <c r="A332" s="5">
        <v>44261</v>
      </c>
      <c r="B332">
        <v>1.639</v>
      </c>
      <c r="C332">
        <v>1.7536</v>
      </c>
      <c r="D332">
        <v>1.5902000000000001</v>
      </c>
      <c r="E332">
        <v>1.7423</v>
      </c>
      <c r="F332">
        <v>2893212.03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0.86168910648714703</v>
      </c>
      <c r="Q332">
        <f t="shared" si="970"/>
        <v>2493049.2890085648</v>
      </c>
      <c r="R332">
        <f t="shared" si="971"/>
        <v>8330567.8419698682</v>
      </c>
      <c r="S332">
        <f t="shared" si="972"/>
        <v>83.30567841969868</v>
      </c>
      <c r="T332">
        <f t="shared" si="973"/>
        <v>8.3305678419698687E-2</v>
      </c>
    </row>
    <row r="333" spans="1:20" x14ac:dyDescent="0.25">
      <c r="A333" s="5">
        <v>44260</v>
      </c>
      <c r="B333">
        <v>1.6246</v>
      </c>
      <c r="C333">
        <v>1.6848000000000001</v>
      </c>
      <c r="D333">
        <v>1.4991000000000001</v>
      </c>
      <c r="E333">
        <v>1.6349</v>
      </c>
      <c r="F333">
        <v>2926288.35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0.46257404415724218</v>
      </c>
      <c r="Q333">
        <f t="shared" si="970"/>
        <v>1353625.0364297235</v>
      </c>
      <c r="R333">
        <f t="shared" si="971"/>
        <v>5837518.5529613029</v>
      </c>
      <c r="S333">
        <f t="shared" si="972"/>
        <v>58.375185529613027</v>
      </c>
      <c r="T333">
        <f t="shared" si="973"/>
        <v>5.837518552961303E-2</v>
      </c>
    </row>
    <row r="334" spans="1:20" x14ac:dyDescent="0.25">
      <c r="A334" s="5">
        <v>44259</v>
      </c>
      <c r="B334">
        <v>1.58</v>
      </c>
      <c r="C334">
        <v>1.7074</v>
      </c>
      <c r="D334">
        <v>1.51</v>
      </c>
      <c r="E334">
        <v>1.6264000000000001</v>
      </c>
      <c r="F334">
        <v>4072382.78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0.17933130699088193</v>
      </c>
      <c r="Q334">
        <f t="shared" si="970"/>
        <v>730305.72650456114</v>
      </c>
      <c r="R334">
        <f t="shared" si="971"/>
        <v>4483893.5165315792</v>
      </c>
      <c r="S334">
        <f t="shared" si="972"/>
        <v>44.838935165315789</v>
      </c>
      <c r="T334">
        <f t="shared" si="973"/>
        <v>4.4838935165315792E-2</v>
      </c>
    </row>
    <row r="335" spans="1:20" x14ac:dyDescent="0.25">
      <c r="A335" s="5">
        <v>44258</v>
      </c>
      <c r="B335">
        <v>1.3649</v>
      </c>
      <c r="C335">
        <v>1.6696</v>
      </c>
      <c r="D335">
        <v>1.3431999999999999</v>
      </c>
      <c r="E335">
        <v>1.58</v>
      </c>
      <c r="F335">
        <v>4632245.95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0.45098039215686336</v>
      </c>
      <c r="Q335">
        <f t="shared" si="970"/>
        <v>2089052.0950980422</v>
      </c>
      <c r="R335">
        <f t="shared" si="971"/>
        <v>3753587.7900270182</v>
      </c>
      <c r="S335">
        <f t="shared" si="972"/>
        <v>37.535877900270179</v>
      </c>
      <c r="T335">
        <f t="shared" si="973"/>
        <v>3.753587790027018E-2</v>
      </c>
    </row>
    <row r="336" spans="1:20" x14ac:dyDescent="0.25">
      <c r="A336" s="5">
        <v>44257</v>
      </c>
      <c r="B336">
        <v>1.4052</v>
      </c>
      <c r="C336">
        <v>1.4738</v>
      </c>
      <c r="D336">
        <v>1.3069</v>
      </c>
      <c r="E336">
        <v>1.3636999999999999</v>
      </c>
      <c r="F336">
        <v>2439432.08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-0.3193529059316963</v>
      </c>
      <c r="Q336">
        <f t="shared" si="970"/>
        <v>-779039.72357100225</v>
      </c>
      <c r="R336">
        <f t="shared" si="971"/>
        <v>1664535.694928976</v>
      </c>
      <c r="S336">
        <f t="shared" si="972"/>
        <v>16.645356949289759</v>
      </c>
      <c r="T336">
        <f t="shared" si="973"/>
        <v>1.6645356949289758E-2</v>
      </c>
    </row>
    <row r="337" spans="1:20" x14ac:dyDescent="0.25">
      <c r="A337" s="5">
        <v>44256</v>
      </c>
      <c r="B337">
        <v>1.3025</v>
      </c>
      <c r="C337">
        <v>1.4332</v>
      </c>
      <c r="D337">
        <v>1.2944</v>
      </c>
      <c r="E337">
        <v>1.4032</v>
      </c>
      <c r="F337">
        <v>1632291.6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0.56772334293948101</v>
      </c>
      <c r="Q337">
        <f t="shared" si="970"/>
        <v>926690.04380403424</v>
      </c>
      <c r="R337">
        <f t="shared" si="971"/>
        <v>2443575.4184999783</v>
      </c>
      <c r="S337">
        <f t="shared" si="972"/>
        <v>24.435754184999784</v>
      </c>
      <c r="T337">
        <f t="shared" si="973"/>
        <v>2.4435754184999783E-2</v>
      </c>
    </row>
    <row r="338" spans="1:20" x14ac:dyDescent="0.25">
      <c r="A338" s="5">
        <v>44255</v>
      </c>
      <c r="B338">
        <v>1.4372</v>
      </c>
      <c r="C338">
        <v>1.52</v>
      </c>
      <c r="D338">
        <v>1.2136</v>
      </c>
      <c r="E338">
        <v>1.2983</v>
      </c>
      <c r="F338">
        <v>2478338.62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-0.44712793733681466</v>
      </c>
      <c r="Q338">
        <f t="shared" si="970"/>
        <v>-1108134.4351827677</v>
      </c>
      <c r="R338">
        <f t="shared" si="971"/>
        <v>1516885.3746959439</v>
      </c>
      <c r="S338">
        <f t="shared" si="972"/>
        <v>15.168853746959439</v>
      </c>
      <c r="T338">
        <f t="shared" si="973"/>
        <v>1.5168853746959438E-2</v>
      </c>
    </row>
    <row r="339" spans="1:20" x14ac:dyDescent="0.25">
      <c r="A339" s="5">
        <v>44254</v>
      </c>
      <c r="B339">
        <v>1.3323</v>
      </c>
      <c r="C339">
        <v>1.5379</v>
      </c>
      <c r="D339">
        <v>1.3290999999999999</v>
      </c>
      <c r="E339">
        <v>1.4366000000000001</v>
      </c>
      <c r="F339">
        <v>4368766.71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2.9693486590039283E-2</v>
      </c>
      <c r="Q339">
        <f t="shared" si="970"/>
        <v>129723.91571839503</v>
      </c>
      <c r="R339">
        <f t="shared" si="971"/>
        <v>2625019.8098787116</v>
      </c>
      <c r="S339">
        <f t="shared" si="972"/>
        <v>26.250198098787116</v>
      </c>
      <c r="T339">
        <f t="shared" si="973"/>
        <v>2.6250198098787116E-2</v>
      </c>
    </row>
    <row r="340" spans="1:20" x14ac:dyDescent="0.25">
      <c r="A340" s="5">
        <v>44253</v>
      </c>
      <c r="B340">
        <v>1.3306</v>
      </c>
      <c r="C340">
        <v>1.4499</v>
      </c>
      <c r="D340">
        <v>1.1971000000000001</v>
      </c>
      <c r="E340">
        <v>1.3313999999999999</v>
      </c>
      <c r="F340">
        <v>3528006.35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6.2499999999999285E-2</v>
      </c>
      <c r="Q340">
        <f t="shared" si="970"/>
        <v>220500.39687499747</v>
      </c>
      <c r="R340">
        <f t="shared" si="971"/>
        <v>2495295.8941603163</v>
      </c>
      <c r="S340">
        <f t="shared" si="972"/>
        <v>24.952958941603164</v>
      </c>
      <c r="T340">
        <f t="shared" si="973"/>
        <v>2.4952958941603164E-2</v>
      </c>
    </row>
    <row r="341" spans="1:20" x14ac:dyDescent="0.25">
      <c r="A341" s="5">
        <v>44252</v>
      </c>
      <c r="B341">
        <v>1.4371</v>
      </c>
      <c r="C341">
        <v>1.5797000000000001</v>
      </c>
      <c r="D341">
        <v>1.3108</v>
      </c>
      <c r="E341">
        <v>1.331</v>
      </c>
      <c r="F341">
        <v>3592762.42</v>
      </c>
      <c r="G341">
        <v>0</v>
      </c>
      <c r="L341" t="s">
        <v>8</v>
      </c>
      <c r="M341" t="s">
        <v>7</v>
      </c>
      <c r="N341" t="s">
        <v>7</v>
      </c>
      <c r="P341">
        <f t="shared" si="969"/>
        <v>-0.84975827445146901</v>
      </c>
      <c r="Q341">
        <f t="shared" si="970"/>
        <v>-3052979.5945332837</v>
      </c>
      <c r="R341">
        <f t="shared" si="971"/>
        <v>2274795.497285319</v>
      </c>
      <c r="S341">
        <f t="shared" si="972"/>
        <v>22.74795497285319</v>
      </c>
      <c r="T341">
        <f t="shared" si="973"/>
        <v>2.2747954972853191E-2</v>
      </c>
    </row>
    <row r="342" spans="1:20" x14ac:dyDescent="0.25">
      <c r="A342" s="5">
        <v>44251</v>
      </c>
      <c r="B342">
        <v>1.4306000000000001</v>
      </c>
      <c r="C342">
        <v>1.5653999999999999</v>
      </c>
      <c r="D342">
        <v>1.3285</v>
      </c>
      <c r="E342">
        <v>1.4329000000000001</v>
      </c>
      <c r="F342">
        <v>4746042.6500000004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-0.11861544955677419</v>
      </c>
      <c r="Q342">
        <f t="shared" si="970"/>
        <v>-562953.98254537396</v>
      </c>
      <c r="R342">
        <f t="shared" si="971"/>
        <v>5327775.0918186028</v>
      </c>
      <c r="S342">
        <f t="shared" si="972"/>
        <v>53.27775091818603</v>
      </c>
      <c r="T342">
        <f t="shared" si="973"/>
        <v>5.3277750918186033E-2</v>
      </c>
    </row>
    <row r="343" spans="1:20" x14ac:dyDescent="0.25">
      <c r="A343" s="5">
        <v>44250</v>
      </c>
      <c r="B343">
        <v>1.8463000000000001</v>
      </c>
      <c r="C343">
        <v>1.8601000000000001</v>
      </c>
      <c r="D343">
        <v>1.153</v>
      </c>
      <c r="E343">
        <v>1.431</v>
      </c>
      <c r="F343">
        <v>9063909.4399999995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-0.21368971856880214</v>
      </c>
      <c r="Q343">
        <f t="shared" si="970"/>
        <v>-1936864.2573667089</v>
      </c>
      <c r="R343">
        <f t="shared" si="971"/>
        <v>5890729.0743639767</v>
      </c>
      <c r="S343">
        <f t="shared" si="972"/>
        <v>58.90729074363977</v>
      </c>
      <c r="T343">
        <f t="shared" si="973"/>
        <v>5.8907290743639769E-2</v>
      </c>
    </row>
    <row r="344" spans="1:20" x14ac:dyDescent="0.25">
      <c r="A344" s="5">
        <v>44249</v>
      </c>
      <c r="B344">
        <v>2.1976</v>
      </c>
      <c r="C344">
        <v>2.202</v>
      </c>
      <c r="D344">
        <v>1.5432999999999999</v>
      </c>
      <c r="E344">
        <v>1.8419000000000001</v>
      </c>
      <c r="F344">
        <v>6898724.9400000004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-9.3365720358280946E-2</v>
      </c>
      <c r="Q344">
        <f t="shared" si="970"/>
        <v>-644104.42357673857</v>
      </c>
      <c r="R344">
        <f t="shared" si="971"/>
        <v>7827593.3317306861</v>
      </c>
      <c r="S344">
        <f t="shared" si="972"/>
        <v>78.275933317306865</v>
      </c>
      <c r="T344">
        <f t="shared" si="973"/>
        <v>7.8275933317306867E-2</v>
      </c>
    </row>
    <row r="345" spans="1:20" x14ac:dyDescent="0.25">
      <c r="A345" s="5">
        <v>44248</v>
      </c>
      <c r="B345">
        <v>1.9715</v>
      </c>
      <c r="C345">
        <v>2.3557999999999999</v>
      </c>
      <c r="D345">
        <v>1.9168000000000001</v>
      </c>
      <c r="E345">
        <v>2.1978</v>
      </c>
      <c r="F345">
        <v>7308788.4000000004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0.28018223234624157</v>
      </c>
      <c r="Q345">
        <f t="shared" si="970"/>
        <v>2047792.6496583153</v>
      </c>
      <c r="R345">
        <f t="shared" si="971"/>
        <v>8471697.7553074248</v>
      </c>
      <c r="S345">
        <f t="shared" si="972"/>
        <v>84.716977553074244</v>
      </c>
      <c r="T345">
        <f t="shared" si="973"/>
        <v>8.4716977553074238E-2</v>
      </c>
    </row>
    <row r="346" spans="1:20" x14ac:dyDescent="0.25">
      <c r="A346" s="5">
        <v>44247</v>
      </c>
      <c r="B346">
        <v>2.1429999999999998</v>
      </c>
      <c r="C346">
        <v>2.2403</v>
      </c>
      <c r="D346">
        <v>1.8607</v>
      </c>
      <c r="E346">
        <v>1.9634</v>
      </c>
      <c r="F346">
        <v>3365187.85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-0.45890410958904093</v>
      </c>
      <c r="Q346">
        <f t="shared" si="970"/>
        <v>-1544298.5339041092</v>
      </c>
      <c r="R346">
        <f t="shared" si="971"/>
        <v>6423905.1056491099</v>
      </c>
      <c r="S346">
        <f t="shared" si="972"/>
        <v>64.239051056491093</v>
      </c>
      <c r="T346">
        <f t="shared" si="973"/>
        <v>6.4239051056491095E-2</v>
      </c>
    </row>
    <row r="347" spans="1:20" x14ac:dyDescent="0.25">
      <c r="A347" s="5">
        <v>44246</v>
      </c>
      <c r="B347">
        <v>2.1233</v>
      </c>
      <c r="C347">
        <v>2.2982</v>
      </c>
      <c r="D347">
        <v>1.9882</v>
      </c>
      <c r="E347">
        <v>2.1429999999999998</v>
      </c>
      <c r="F347">
        <v>4188642.14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-1.2903225806464515E-3</v>
      </c>
      <c r="Q347">
        <f t="shared" si="970"/>
        <v>-5404.6995354892751</v>
      </c>
      <c r="R347">
        <f t="shared" si="971"/>
        <v>7968203.6395532191</v>
      </c>
      <c r="S347">
        <f t="shared" si="972"/>
        <v>79.682036395532194</v>
      </c>
      <c r="T347">
        <f t="shared" si="973"/>
        <v>7.9682036395532188E-2</v>
      </c>
    </row>
    <row r="348" spans="1:20" x14ac:dyDescent="0.25">
      <c r="A348" s="5">
        <v>44245</v>
      </c>
      <c r="B348">
        <v>2.1198000000000001</v>
      </c>
      <c r="C348">
        <v>2.27</v>
      </c>
      <c r="D348">
        <v>2.0853000000000002</v>
      </c>
      <c r="E348">
        <v>2.1233</v>
      </c>
      <c r="F348">
        <v>3981702.39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-0.58852192744992049</v>
      </c>
      <c r="Q348">
        <f t="shared" si="970"/>
        <v>-2343319.1650947551</v>
      </c>
      <c r="R348">
        <f t="shared" si="971"/>
        <v>7973608.3390887082</v>
      </c>
      <c r="S348">
        <f t="shared" si="972"/>
        <v>79.736083390887075</v>
      </c>
      <c r="T348">
        <f t="shared" si="973"/>
        <v>7.9736083390887072E-2</v>
      </c>
    </row>
    <row r="349" spans="1:20" x14ac:dyDescent="0.25">
      <c r="A349" s="5">
        <v>44244</v>
      </c>
      <c r="B349">
        <v>1.9771000000000001</v>
      </c>
      <c r="C349">
        <v>2.2254999999999998</v>
      </c>
      <c r="D349">
        <v>1.7608999999999999</v>
      </c>
      <c r="E349">
        <v>2.1131000000000002</v>
      </c>
      <c r="F349">
        <v>6007196.1299999999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0.51614291863969164</v>
      </c>
      <c r="Q349">
        <f t="shared" si="970"/>
        <v>3100571.7433792604</v>
      </c>
      <c r="R349">
        <f t="shared" si="971"/>
        <v>10316927.504183464</v>
      </c>
      <c r="S349">
        <f t="shared" si="972"/>
        <v>103.16927504183464</v>
      </c>
      <c r="T349">
        <f t="shared" si="973"/>
        <v>0.10316927504183464</v>
      </c>
    </row>
    <row r="350" spans="1:20" x14ac:dyDescent="0.25">
      <c r="A350" s="5">
        <v>44243</v>
      </c>
      <c r="B350">
        <v>2.0867</v>
      </c>
      <c r="C350">
        <v>2.1800000000000002</v>
      </c>
      <c r="D350">
        <v>1.887</v>
      </c>
      <c r="E350">
        <v>1.9742</v>
      </c>
      <c r="F350">
        <v>4591343.83</v>
      </c>
      <c r="G350">
        <v>0</v>
      </c>
      <c r="L350" t="s">
        <v>7</v>
      </c>
      <c r="M350" t="s">
        <v>7</v>
      </c>
      <c r="N350" t="s">
        <v>7</v>
      </c>
      <c r="P350">
        <f t="shared" si="969"/>
        <v>-0.4047781569965877</v>
      </c>
      <c r="Q350">
        <f t="shared" si="970"/>
        <v>-1858475.6936450542</v>
      </c>
      <c r="R350">
        <f t="shared" si="971"/>
        <v>7216355.7608042024</v>
      </c>
      <c r="S350">
        <f t="shared" si="972"/>
        <v>72.163557608042026</v>
      </c>
      <c r="T350">
        <f t="shared" si="973"/>
        <v>7.2163557608042023E-2</v>
      </c>
    </row>
    <row r="351" spans="1:20" x14ac:dyDescent="0.25">
      <c r="A351" s="5">
        <v>44242</v>
      </c>
      <c r="B351">
        <v>2.3065000000000002</v>
      </c>
      <c r="C351">
        <v>2.5051999999999999</v>
      </c>
      <c r="D351">
        <v>1.95</v>
      </c>
      <c r="E351">
        <v>2.0781000000000001</v>
      </c>
      <c r="F351">
        <v>6681240.5800000001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-0.53854466858789585</v>
      </c>
      <c r="Q351">
        <f t="shared" si="970"/>
        <v>-3598146.4939121013</v>
      </c>
      <c r="R351">
        <f t="shared" si="971"/>
        <v>9074831.4544492569</v>
      </c>
      <c r="S351">
        <f t="shared" si="972"/>
        <v>90.748314544492573</v>
      </c>
      <c r="T351">
        <f t="shared" si="973"/>
        <v>9.0748314544492573E-2</v>
      </c>
    </row>
    <row r="352" spans="1:20" x14ac:dyDescent="0.25">
      <c r="A352" s="5">
        <v>44241</v>
      </c>
      <c r="B352">
        <v>2.2263000000000002</v>
      </c>
      <c r="C352">
        <v>2.5972</v>
      </c>
      <c r="D352">
        <v>2.0568</v>
      </c>
      <c r="E352">
        <v>2.2991000000000001</v>
      </c>
      <c r="F352">
        <v>8855049.1199999992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-0.10325684678016216</v>
      </c>
      <c r="Q352">
        <f t="shared" si="970"/>
        <v>-914344.45021464967</v>
      </c>
      <c r="R352">
        <f t="shared" si="971"/>
        <v>12672977.948361358</v>
      </c>
      <c r="S352">
        <f t="shared" si="972"/>
        <v>126.72977948361358</v>
      </c>
      <c r="T352">
        <f t="shared" si="973"/>
        <v>0.12672977948361358</v>
      </c>
    </row>
    <row r="353" spans="1:20" x14ac:dyDescent="0.25">
      <c r="A353" s="5">
        <v>44240</v>
      </c>
      <c r="B353">
        <v>2.0182000000000002</v>
      </c>
      <c r="C353">
        <v>2.2728000000000002</v>
      </c>
      <c r="D353">
        <v>1.8382000000000001</v>
      </c>
      <c r="E353">
        <v>2.2269999999999999</v>
      </c>
      <c r="F353">
        <v>5386842.3899999997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0.7892314772204313</v>
      </c>
      <c r="Q353">
        <f t="shared" si="970"/>
        <v>4251465.577013338</v>
      </c>
      <c r="R353">
        <f t="shared" si="971"/>
        <v>13587322.398576008</v>
      </c>
      <c r="S353">
        <f t="shared" si="972"/>
        <v>135.87322398576009</v>
      </c>
      <c r="T353">
        <f t="shared" si="973"/>
        <v>0.1358732239857601</v>
      </c>
    </row>
    <row r="354" spans="1:20" x14ac:dyDescent="0.25">
      <c r="A354" s="5">
        <v>44239</v>
      </c>
      <c r="B354">
        <v>1.8492999999999999</v>
      </c>
      <c r="C354">
        <v>2.14</v>
      </c>
      <c r="D354">
        <v>1.7502</v>
      </c>
      <c r="E354">
        <v>2.0182000000000002</v>
      </c>
      <c r="F354">
        <v>5870674.0599999996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0.37506413545407974</v>
      </c>
      <c r="Q354">
        <f t="shared" si="970"/>
        <v>2201879.2908465923</v>
      </c>
      <c r="R354">
        <f t="shared" si="971"/>
        <v>9335856.8215626702</v>
      </c>
      <c r="S354">
        <f t="shared" si="972"/>
        <v>93.358568215626704</v>
      </c>
      <c r="T354">
        <f t="shared" si="973"/>
        <v>9.33585682156267E-2</v>
      </c>
    </row>
    <row r="355" spans="1:20" x14ac:dyDescent="0.25">
      <c r="A355" s="5">
        <v>44238</v>
      </c>
      <c r="B355">
        <v>1.8022</v>
      </c>
      <c r="C355">
        <v>1.95</v>
      </c>
      <c r="D355">
        <v>1.7439</v>
      </c>
      <c r="E355">
        <v>1.8499000000000001</v>
      </c>
      <c r="F355">
        <v>4325879.66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2.8626880155265599E-2</v>
      </c>
      <c r="Q355">
        <f t="shared" si="970"/>
        <v>123836.4385929211</v>
      </c>
      <c r="R355">
        <f t="shared" si="971"/>
        <v>7133977.5307160774</v>
      </c>
      <c r="S355">
        <f t="shared" si="972"/>
        <v>71.339775307160778</v>
      </c>
      <c r="T355">
        <f t="shared" si="973"/>
        <v>7.1339775307160777E-2</v>
      </c>
    </row>
    <row r="356" spans="1:20" x14ac:dyDescent="0.25">
      <c r="A356" s="5">
        <v>44237</v>
      </c>
      <c r="B356">
        <v>1.6893</v>
      </c>
      <c r="C356">
        <v>1.899</v>
      </c>
      <c r="D356">
        <v>1.57</v>
      </c>
      <c r="E356">
        <v>1.8005</v>
      </c>
      <c r="F356">
        <v>8967860.2100000009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0.40121580547112434</v>
      </c>
      <c r="Q356">
        <f t="shared" si="970"/>
        <v>3598047.2575075966</v>
      </c>
      <c r="R356">
        <f t="shared" si="971"/>
        <v>7010141.0921231564</v>
      </c>
      <c r="S356">
        <f t="shared" si="972"/>
        <v>70.101410921231562</v>
      </c>
      <c r="T356">
        <f t="shared" si="973"/>
        <v>7.0101410921231566E-2</v>
      </c>
    </row>
    <row r="357" spans="1:20" x14ac:dyDescent="0.25">
      <c r="A357" s="5">
        <v>44236</v>
      </c>
      <c r="B357">
        <v>1.5396000000000001</v>
      </c>
      <c r="C357">
        <v>1.75</v>
      </c>
      <c r="D357">
        <v>1.4990000000000001</v>
      </c>
      <c r="E357">
        <v>1.6894</v>
      </c>
      <c r="F357">
        <v>4603059.7699999996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0.51713147410358551</v>
      </c>
      <c r="Q357">
        <f t="shared" si="970"/>
        <v>2380387.0842470112</v>
      </c>
      <c r="R357">
        <f t="shared" si="971"/>
        <v>3412093.8346155593</v>
      </c>
      <c r="S357">
        <f t="shared" si="972"/>
        <v>34.12093834615559</v>
      </c>
      <c r="T357">
        <f t="shared" si="973"/>
        <v>3.4120938346155587E-2</v>
      </c>
    </row>
    <row r="358" spans="1:20" x14ac:dyDescent="0.25">
      <c r="A358" s="5">
        <v>44235</v>
      </c>
      <c r="B358">
        <v>1.4802</v>
      </c>
      <c r="C358">
        <v>1.63</v>
      </c>
      <c r="D358">
        <v>1.4342999999999999</v>
      </c>
      <c r="E358">
        <v>1.5397000000000001</v>
      </c>
      <c r="F358">
        <v>3621698.08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7.7158916709250569E-2</v>
      </c>
      <c r="Q358">
        <f t="shared" si="970"/>
        <v>279446.30050077272</v>
      </c>
      <c r="R358">
        <f t="shared" si="971"/>
        <v>1031706.7503685481</v>
      </c>
      <c r="S358">
        <f t="shared" si="972"/>
        <v>10.317067503685481</v>
      </c>
      <c r="T358">
        <f t="shared" si="973"/>
        <v>1.0317067503685481E-2</v>
      </c>
    </row>
    <row r="359" spans="1:20" x14ac:dyDescent="0.25">
      <c r="A359" s="5">
        <v>44234</v>
      </c>
      <c r="B359">
        <v>1.4886999999999999</v>
      </c>
      <c r="C359">
        <v>1.5743</v>
      </c>
      <c r="D359">
        <v>1.3701000000000001</v>
      </c>
      <c r="E359">
        <v>1.4772000000000001</v>
      </c>
      <c r="F359">
        <v>4086757.02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4.8971596474045115E-2</v>
      </c>
      <c r="Q359">
        <f t="shared" si="970"/>
        <v>200135.01567091112</v>
      </c>
      <c r="R359">
        <f t="shared" si="971"/>
        <v>752260.44986777543</v>
      </c>
      <c r="S359">
        <f t="shared" si="972"/>
        <v>7.5226044986777545</v>
      </c>
      <c r="T359">
        <f t="shared" si="973"/>
        <v>7.5226044986777549E-3</v>
      </c>
    </row>
    <row r="360" spans="1:20" x14ac:dyDescent="0.25">
      <c r="A360" s="5">
        <v>44233</v>
      </c>
      <c r="B360">
        <v>1.5576000000000001</v>
      </c>
      <c r="C360">
        <v>1.6749000000000001</v>
      </c>
      <c r="D360">
        <v>1.46</v>
      </c>
      <c r="E360">
        <v>1.4874000000000001</v>
      </c>
      <c r="F360">
        <v>6451330.3099999996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-0.74499767333643485</v>
      </c>
      <c r="Q360">
        <f t="shared" si="970"/>
        <v>-4806226.0708748205</v>
      </c>
      <c r="R360">
        <f t="shared" si="971"/>
        <v>552125.43419686425</v>
      </c>
      <c r="S360">
        <f t="shared" si="972"/>
        <v>5.5212543419686426</v>
      </c>
      <c r="T360">
        <f t="shared" si="973"/>
        <v>5.5212543419686424E-3</v>
      </c>
    </row>
    <row r="361" spans="1:20" x14ac:dyDescent="0.25">
      <c r="A361" s="5">
        <v>44232</v>
      </c>
      <c r="B361">
        <v>1.4568000000000001</v>
      </c>
      <c r="C361">
        <v>1.5887</v>
      </c>
      <c r="D361">
        <v>1.4125000000000001</v>
      </c>
      <c r="E361">
        <v>1.556</v>
      </c>
      <c r="F361">
        <v>6011526.6299999999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0.62883087400681081</v>
      </c>
      <c r="Q361">
        <f t="shared" si="970"/>
        <v>3780233.5448581181</v>
      </c>
      <c r="R361">
        <f t="shared" si="971"/>
        <v>5358351.5050716847</v>
      </c>
      <c r="S361">
        <f t="shared" si="972"/>
        <v>53.583515050716848</v>
      </c>
      <c r="T361">
        <f t="shared" si="973"/>
        <v>5.3583515050716846E-2</v>
      </c>
    </row>
    <row r="362" spans="1:20" x14ac:dyDescent="0.25">
      <c r="A362" s="5">
        <v>44231</v>
      </c>
      <c r="B362">
        <v>1.3614999999999999</v>
      </c>
      <c r="C362">
        <v>1.5112000000000001</v>
      </c>
      <c r="D362">
        <v>1.2909999999999999</v>
      </c>
      <c r="E362">
        <v>1.4616</v>
      </c>
      <c r="F362">
        <v>5242081.42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0.54950045413260629</v>
      </c>
      <c r="Q362">
        <f t="shared" si="970"/>
        <v>2880526.1208900977</v>
      </c>
      <c r="R362">
        <f t="shared" si="971"/>
        <v>1578117.9602135667</v>
      </c>
      <c r="S362">
        <f t="shared" si="972"/>
        <v>15.781179602135667</v>
      </c>
      <c r="T362">
        <f t="shared" si="973"/>
        <v>1.5781179602135667E-2</v>
      </c>
    </row>
    <row r="363" spans="1:20" x14ac:dyDescent="0.25">
      <c r="A363" s="5">
        <v>44230</v>
      </c>
      <c r="B363">
        <v>1.3001</v>
      </c>
      <c r="C363">
        <v>1.3989</v>
      </c>
      <c r="D363">
        <v>1.2682</v>
      </c>
      <c r="E363">
        <v>1.359</v>
      </c>
      <c r="F363">
        <v>2197109.73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0.38944146901300636</v>
      </c>
      <c r="Q363">
        <f t="shared" si="970"/>
        <v>855645.64083396981</v>
      </c>
      <c r="R363">
        <f t="shared" si="971"/>
        <v>-1302408.160676531</v>
      </c>
      <c r="S363">
        <f t="shared" si="972"/>
        <v>-13.024081606765311</v>
      </c>
      <c r="T363">
        <f t="shared" si="973"/>
        <v>-1.3024081606765311E-2</v>
      </c>
    </row>
    <row r="364" spans="1:20" x14ac:dyDescent="0.25">
      <c r="A364" s="5">
        <v>44229</v>
      </c>
      <c r="B364">
        <v>1.2517</v>
      </c>
      <c r="C364">
        <v>1.3726</v>
      </c>
      <c r="D364">
        <v>1.2156</v>
      </c>
      <c r="E364">
        <v>1.2982</v>
      </c>
      <c r="F364">
        <v>3898436.27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5.2229299363057223E-2</v>
      </c>
      <c r="Q364">
        <f t="shared" si="970"/>
        <v>203612.59499363019</v>
      </c>
      <c r="R364">
        <f t="shared" si="971"/>
        <v>-2158053.8015105007</v>
      </c>
      <c r="S364">
        <f t="shared" si="972"/>
        <v>-21.580538015105006</v>
      </c>
      <c r="T364">
        <f t="shared" si="973"/>
        <v>-2.1580538015105007E-2</v>
      </c>
    </row>
    <row r="365" spans="1:20" x14ac:dyDescent="0.25">
      <c r="A365" s="5">
        <v>44228</v>
      </c>
      <c r="B365">
        <v>1.1931</v>
      </c>
      <c r="C365">
        <v>1.3027</v>
      </c>
      <c r="D365">
        <v>1.1559999999999999</v>
      </c>
      <c r="E365">
        <v>1.2529999999999999</v>
      </c>
      <c r="F365">
        <v>2461463.04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0.32242672119972654</v>
      </c>
      <c r="Q365">
        <f t="shared" si="970"/>
        <v>793641.45734151138</v>
      </c>
      <c r="R365">
        <f t="shared" si="971"/>
        <v>-2361666.3965041311</v>
      </c>
      <c r="S365">
        <f t="shared" si="972"/>
        <v>-23.616663965041312</v>
      </c>
      <c r="T365">
        <f t="shared" si="973"/>
        <v>-2.361666396504131E-2</v>
      </c>
    </row>
    <row r="366" spans="1:20" x14ac:dyDescent="0.25">
      <c r="A366" s="5">
        <v>44227</v>
      </c>
      <c r="B366">
        <v>1.2678</v>
      </c>
      <c r="C366">
        <v>1.3512</v>
      </c>
      <c r="D366">
        <v>1.1659999999999999</v>
      </c>
      <c r="E366">
        <v>1.1915</v>
      </c>
      <c r="F366">
        <v>2690465.48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-0.72462203023758021</v>
      </c>
      <c r="Q366">
        <f t="shared" si="970"/>
        <v>-1949570.5584017257</v>
      </c>
      <c r="R366">
        <f t="shared" si="971"/>
        <v>-3155307.8538456424</v>
      </c>
      <c r="S366">
        <f t="shared" si="972"/>
        <v>-31.553078538456425</v>
      </c>
      <c r="T366">
        <f t="shared" si="973"/>
        <v>-3.1553078538456424E-2</v>
      </c>
    </row>
    <row r="367" spans="1:20" x14ac:dyDescent="0.25">
      <c r="A367" s="5">
        <v>44226</v>
      </c>
      <c r="B367">
        <v>1.1940999999999999</v>
      </c>
      <c r="C367">
        <v>1.28</v>
      </c>
      <c r="D367">
        <v>1.1423000000000001</v>
      </c>
      <c r="E367">
        <v>1.2678</v>
      </c>
      <c r="F367">
        <v>2711013.97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0.82280319535221502</v>
      </c>
      <c r="Q367">
        <f t="shared" si="970"/>
        <v>2230630.9571604943</v>
      </c>
      <c r="R367">
        <f t="shared" si="971"/>
        <v>-1205737.2954439167</v>
      </c>
      <c r="S367">
        <f t="shared" si="972"/>
        <v>-12.057372954439167</v>
      </c>
      <c r="T367">
        <f t="shared" si="973"/>
        <v>-1.2057372954439167E-2</v>
      </c>
    </row>
    <row r="368" spans="1:20" x14ac:dyDescent="0.25">
      <c r="A368" s="5">
        <v>44225</v>
      </c>
      <c r="B368">
        <v>1.1772</v>
      </c>
      <c r="C368">
        <v>1.28</v>
      </c>
      <c r="D368">
        <v>1.1499999999999999</v>
      </c>
      <c r="E368">
        <v>1.1952</v>
      </c>
      <c r="F368">
        <v>2669435.2200000002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-0.30461538461538323</v>
      </c>
      <c r="Q368">
        <f t="shared" si="970"/>
        <v>-813151.03624615027</v>
      </c>
      <c r="R368">
        <f t="shared" si="971"/>
        <v>-3436368.252604411</v>
      </c>
      <c r="S368">
        <f t="shared" si="972"/>
        <v>-34.363682526044109</v>
      </c>
      <c r="T368">
        <f t="shared" si="973"/>
        <v>-3.4363682526044111E-2</v>
      </c>
    </row>
    <row r="369" spans="1:20" x14ac:dyDescent="0.25">
      <c r="A369" s="5">
        <v>44224</v>
      </c>
      <c r="B369">
        <v>1.1561999999999999</v>
      </c>
      <c r="C369">
        <v>1.2947</v>
      </c>
      <c r="D369">
        <v>1.1255999999999999</v>
      </c>
      <c r="E369">
        <v>1.1785000000000001</v>
      </c>
      <c r="F369">
        <v>3071280.78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-0.37433471318746114</v>
      </c>
      <c r="Q369">
        <f t="shared" si="970"/>
        <v>-1149687.0098994619</v>
      </c>
      <c r="R369">
        <f t="shared" si="971"/>
        <v>-2623217.2163582607</v>
      </c>
      <c r="S369">
        <f t="shared" si="972"/>
        <v>-26.232172163582607</v>
      </c>
      <c r="T369">
        <f t="shared" si="973"/>
        <v>-2.6232172163582607E-2</v>
      </c>
    </row>
    <row r="370" spans="1:20" x14ac:dyDescent="0.25">
      <c r="A370" s="5">
        <v>44223</v>
      </c>
      <c r="B370">
        <v>1.3426</v>
      </c>
      <c r="C370">
        <v>1.3452999999999999</v>
      </c>
      <c r="D370">
        <v>1.1220000000000001</v>
      </c>
      <c r="E370">
        <v>1.1561999999999999</v>
      </c>
      <c r="F370">
        <v>3538976.51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-0.6936856247201092</v>
      </c>
      <c r="Q370">
        <f t="shared" si="970"/>
        <v>-2454937.1312091416</v>
      </c>
      <c r="R370">
        <f t="shared" si="971"/>
        <v>-1473530.2064587988</v>
      </c>
      <c r="S370">
        <f t="shared" si="972"/>
        <v>-14.735302064587989</v>
      </c>
      <c r="T370">
        <f t="shared" si="973"/>
        <v>-1.473530206458799E-2</v>
      </c>
    </row>
    <row r="371" spans="1:20" x14ac:dyDescent="0.25">
      <c r="A371" s="5">
        <v>44222</v>
      </c>
      <c r="B371">
        <v>1.3583000000000001</v>
      </c>
      <c r="C371">
        <v>1.4618</v>
      </c>
      <c r="D371">
        <v>1.2801</v>
      </c>
      <c r="E371">
        <v>1.343</v>
      </c>
      <c r="F371">
        <v>3167030.74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-0.30764997248211373</v>
      </c>
      <c r="Q371">
        <f t="shared" si="970"/>
        <v>-974336.92001100839</v>
      </c>
      <c r="R371">
        <f t="shared" si="971"/>
        <v>981406.92475034273</v>
      </c>
      <c r="S371">
        <f t="shared" si="972"/>
        <v>9.8140692475034275</v>
      </c>
      <c r="T371">
        <f t="shared" si="973"/>
        <v>9.8140692475034274E-3</v>
      </c>
    </row>
    <row r="372" spans="1:20" x14ac:dyDescent="0.25">
      <c r="A372" s="5">
        <v>44221</v>
      </c>
      <c r="B372">
        <v>1.2946</v>
      </c>
      <c r="C372">
        <v>1.5294000000000001</v>
      </c>
      <c r="D372">
        <v>1.2935000000000001</v>
      </c>
      <c r="E372">
        <v>1.3605</v>
      </c>
      <c r="F372">
        <v>3752013.7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-0.43196269605765197</v>
      </c>
      <c r="Q372">
        <f t="shared" si="970"/>
        <v>-1620729.9534972464</v>
      </c>
      <c r="R372">
        <f t="shared" si="971"/>
        <v>1955743.8447613511</v>
      </c>
      <c r="S372">
        <f t="shared" si="972"/>
        <v>19.55743844761351</v>
      </c>
      <c r="T372">
        <f t="shared" si="973"/>
        <v>1.9557438447613509E-2</v>
      </c>
    </row>
    <row r="373" spans="1:20" x14ac:dyDescent="0.25">
      <c r="A373" s="5">
        <v>44220</v>
      </c>
      <c r="B373">
        <v>1.3294999999999999</v>
      </c>
      <c r="C373">
        <v>1.3678999999999999</v>
      </c>
      <c r="D373">
        <v>1.2515000000000001</v>
      </c>
      <c r="E373">
        <v>1.2946</v>
      </c>
      <c r="F373">
        <v>1782484.72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-0.25945017182130625</v>
      </c>
      <c r="Q373">
        <f t="shared" si="970"/>
        <v>-462465.96687285294</v>
      </c>
      <c r="R373">
        <f t="shared" si="971"/>
        <v>3576473.7982585975</v>
      </c>
      <c r="S373">
        <f t="shared" si="972"/>
        <v>35.764737982585977</v>
      </c>
      <c r="T373">
        <f t="shared" si="973"/>
        <v>3.5764737982585976E-2</v>
      </c>
    </row>
    <row r="374" spans="1:20" x14ac:dyDescent="0.25">
      <c r="A374" s="5">
        <v>44219</v>
      </c>
      <c r="B374">
        <v>1.1837</v>
      </c>
      <c r="C374">
        <v>1.3786</v>
      </c>
      <c r="D374">
        <v>1.169</v>
      </c>
      <c r="E374">
        <v>1.3289</v>
      </c>
      <c r="F374">
        <v>3024844.54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0.52576335877862523</v>
      </c>
      <c r="Q374">
        <f t="shared" si="970"/>
        <v>1590352.4251335857</v>
      </c>
      <c r="R374">
        <f t="shared" si="971"/>
        <v>4038939.7651314503</v>
      </c>
      <c r="S374">
        <f t="shared" si="972"/>
        <v>40.389397651314503</v>
      </c>
      <c r="T374">
        <f t="shared" si="973"/>
        <v>4.0389397651314503E-2</v>
      </c>
    </row>
    <row r="375" spans="1:20" x14ac:dyDescent="0.25">
      <c r="A375" s="5">
        <v>44218</v>
      </c>
      <c r="B375">
        <v>1.1231</v>
      </c>
      <c r="C375">
        <v>1.2377</v>
      </c>
      <c r="D375">
        <v>1.0396000000000001</v>
      </c>
      <c r="E375">
        <v>1.1846000000000001</v>
      </c>
      <c r="F375">
        <v>2594700.27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0.46390711761736558</v>
      </c>
      <c r="Q375">
        <f t="shared" si="970"/>
        <v>1203699.9233367003</v>
      </c>
      <c r="R375">
        <f t="shared" si="971"/>
        <v>2448587.3399978643</v>
      </c>
      <c r="S375">
        <f t="shared" si="972"/>
        <v>24.485873399978644</v>
      </c>
      <c r="T375">
        <f t="shared" si="973"/>
        <v>2.4485873399978642E-2</v>
      </c>
    </row>
    <row r="376" spans="1:20" x14ac:dyDescent="0.25">
      <c r="A376" s="5">
        <v>44217</v>
      </c>
      <c r="B376">
        <v>1.3532</v>
      </c>
      <c r="C376">
        <v>1.4121999999999999</v>
      </c>
      <c r="D376">
        <v>1.1032999999999999</v>
      </c>
      <c r="E376">
        <v>1.1194</v>
      </c>
      <c r="F376">
        <v>5600369.25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-0.89575914535448364</v>
      </c>
      <c r="Q376">
        <f t="shared" si="970"/>
        <v>-5016581.9730495308</v>
      </c>
      <c r="R376">
        <f t="shared" si="971"/>
        <v>1244887.4166611638</v>
      </c>
      <c r="S376">
        <f t="shared" si="972"/>
        <v>12.448874166611638</v>
      </c>
      <c r="T376">
        <f t="shared" si="973"/>
        <v>1.2448874166611638E-2</v>
      </c>
    </row>
    <row r="377" spans="1:20" x14ac:dyDescent="0.25">
      <c r="A377" s="5">
        <v>44216</v>
      </c>
      <c r="B377">
        <v>1.1309</v>
      </c>
      <c r="C377">
        <v>1.3720000000000001</v>
      </c>
      <c r="D377">
        <v>1.0851999999999999</v>
      </c>
      <c r="E377">
        <v>1.353</v>
      </c>
      <c r="F377">
        <v>6767569.0499999998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0.86750348675034783</v>
      </c>
      <c r="Q377">
        <f t="shared" si="970"/>
        <v>5870889.7476987392</v>
      </c>
      <c r="R377">
        <f t="shared" si="971"/>
        <v>6261469.3897106946</v>
      </c>
      <c r="S377">
        <f t="shared" si="972"/>
        <v>62.614693897106946</v>
      </c>
      <c r="T377">
        <f t="shared" si="973"/>
        <v>6.2614693897106943E-2</v>
      </c>
    </row>
    <row r="378" spans="1:20" x14ac:dyDescent="0.25">
      <c r="A378" s="5">
        <v>44215</v>
      </c>
      <c r="B378">
        <v>1.2721</v>
      </c>
      <c r="C378">
        <v>1.298</v>
      </c>
      <c r="D378">
        <v>1.1246</v>
      </c>
      <c r="E378">
        <v>1.1279999999999999</v>
      </c>
      <c r="F378">
        <v>2206218.65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-0.960784313725492</v>
      </c>
      <c r="Q378">
        <f t="shared" si="970"/>
        <v>-2119700.2715686313</v>
      </c>
      <c r="R378">
        <f t="shared" si="971"/>
        <v>390579.64201195585</v>
      </c>
      <c r="S378">
        <f t="shared" si="972"/>
        <v>3.9057964201195583</v>
      </c>
      <c r="T378">
        <f t="shared" si="973"/>
        <v>3.9057964201195585E-3</v>
      </c>
    </row>
    <row r="379" spans="1:20" x14ac:dyDescent="0.25">
      <c r="A379" s="5">
        <v>44214</v>
      </c>
      <c r="B379">
        <v>1.2047000000000001</v>
      </c>
      <c r="C379">
        <v>1.3</v>
      </c>
      <c r="D379">
        <v>1.1205000000000001</v>
      </c>
      <c r="E379">
        <v>1.2718</v>
      </c>
      <c r="F379">
        <v>2861724.76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0.68579387186629526</v>
      </c>
      <c r="Q379">
        <f t="shared" si="970"/>
        <v>1962553.3033760444</v>
      </c>
      <c r="R379">
        <f t="shared" si="971"/>
        <v>2510279.9135805871</v>
      </c>
      <c r="S379">
        <f t="shared" si="972"/>
        <v>25.102799135805871</v>
      </c>
      <c r="T379">
        <f t="shared" si="973"/>
        <v>2.5102799135805872E-2</v>
      </c>
    </row>
    <row r="380" spans="1:20" x14ac:dyDescent="0.25">
      <c r="A380" s="5">
        <v>44213</v>
      </c>
      <c r="B380">
        <v>1.1344000000000001</v>
      </c>
      <c r="C380">
        <v>1.2423</v>
      </c>
      <c r="D380">
        <v>1.0430999999999999</v>
      </c>
      <c r="E380">
        <v>1.208</v>
      </c>
      <c r="F380">
        <v>2442388.39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0.65562248995983952</v>
      </c>
      <c r="Q380">
        <f t="shared" si="970"/>
        <v>1601284.7577008037</v>
      </c>
      <c r="R380">
        <f t="shared" si="971"/>
        <v>547726.61020454299</v>
      </c>
      <c r="S380">
        <f t="shared" si="972"/>
        <v>5.4772661020454301</v>
      </c>
      <c r="T380">
        <f t="shared" si="973"/>
        <v>5.47726610204543E-3</v>
      </c>
    </row>
    <row r="381" spans="1:20" x14ac:dyDescent="0.25">
      <c r="A381" s="5">
        <v>44212</v>
      </c>
      <c r="B381">
        <v>1.0841000000000001</v>
      </c>
      <c r="C381">
        <v>1.2390000000000001</v>
      </c>
      <c r="D381">
        <v>1.0564</v>
      </c>
      <c r="E381">
        <v>1.1348</v>
      </c>
      <c r="F381">
        <v>2611335.6800000002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-0.14129244249726194</v>
      </c>
      <c r="Q381">
        <f t="shared" si="970"/>
        <v>-368961.99640744843</v>
      </c>
      <c r="R381">
        <f t="shared" si="971"/>
        <v>-1053558.1474962607</v>
      </c>
      <c r="S381">
        <f t="shared" si="972"/>
        <v>-10.535581474962607</v>
      </c>
      <c r="T381">
        <f t="shared" si="973"/>
        <v>-1.0535581474962606E-2</v>
      </c>
    </row>
    <row r="382" spans="1:20" x14ac:dyDescent="0.25">
      <c r="A382" s="5">
        <v>44211</v>
      </c>
      <c r="B382">
        <v>1.0403</v>
      </c>
      <c r="C382">
        <v>1.149</v>
      </c>
      <c r="D382">
        <v>0.97</v>
      </c>
      <c r="E382">
        <v>1.0818000000000001</v>
      </c>
      <c r="F382">
        <v>2950496.38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0.24916201117318537</v>
      </c>
      <c r="Q382">
        <f t="shared" si="970"/>
        <v>735151.61200000299</v>
      </c>
      <c r="R382">
        <f t="shared" si="971"/>
        <v>-684596.15108881239</v>
      </c>
      <c r="S382">
        <f t="shared" si="972"/>
        <v>-6.8459615108881238</v>
      </c>
      <c r="T382">
        <f t="shared" si="973"/>
        <v>-6.8459615108881237E-3</v>
      </c>
    </row>
    <row r="383" spans="1:20" x14ac:dyDescent="0.25">
      <c r="A383" s="5">
        <v>44210</v>
      </c>
      <c r="B383">
        <v>1.0223</v>
      </c>
      <c r="C383">
        <v>1.0852999999999999</v>
      </c>
      <c r="D383">
        <v>0.96760000000000002</v>
      </c>
      <c r="E383">
        <v>1.0392999999999999</v>
      </c>
      <c r="F383">
        <v>2601217.12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0.21835174171622646</v>
      </c>
      <c r="Q383">
        <f t="shared" si="970"/>
        <v>567980.28873406642</v>
      </c>
      <c r="R383">
        <f t="shared" si="971"/>
        <v>-1419747.7630888154</v>
      </c>
      <c r="S383">
        <f t="shared" si="972"/>
        <v>-14.197477630888153</v>
      </c>
      <c r="T383">
        <f t="shared" si="973"/>
        <v>-1.4197477630888154E-2</v>
      </c>
    </row>
    <row r="384" spans="1:20" x14ac:dyDescent="0.25">
      <c r="A384" s="5">
        <v>44209</v>
      </c>
      <c r="B384">
        <v>0.93540000000000001</v>
      </c>
      <c r="C384">
        <v>1.0596000000000001</v>
      </c>
      <c r="D384">
        <v>0.88339999999999996</v>
      </c>
      <c r="E384">
        <v>1.0201</v>
      </c>
      <c r="F384">
        <v>3099458.34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0.55164585698070301</v>
      </c>
      <c r="Q384">
        <f t="shared" si="970"/>
        <v>1709803.352145287</v>
      </c>
      <c r="R384">
        <f t="shared" si="971"/>
        <v>-1987728.0518228819</v>
      </c>
      <c r="S384">
        <f t="shared" si="972"/>
        <v>-19.877280518228819</v>
      </c>
      <c r="T384">
        <f t="shared" si="973"/>
        <v>-1.9877280518228818E-2</v>
      </c>
    </row>
    <row r="385" spans="1:20" x14ac:dyDescent="0.25">
      <c r="A385" s="5">
        <v>44208</v>
      </c>
      <c r="B385">
        <v>0.95679999999999998</v>
      </c>
      <c r="C385">
        <v>1.0498000000000001</v>
      </c>
      <c r="D385">
        <v>0.9</v>
      </c>
      <c r="E385">
        <v>0.93910000000000005</v>
      </c>
      <c r="F385">
        <v>2703333.09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-0.47797062750333763</v>
      </c>
      <c r="Q385">
        <f t="shared" si="970"/>
        <v>-1292113.8133778367</v>
      </c>
      <c r="R385">
        <f t="shared" si="971"/>
        <v>-3697531.4039681689</v>
      </c>
      <c r="S385">
        <f t="shared" si="972"/>
        <v>-36.975314039681692</v>
      </c>
      <c r="T385">
        <f t="shared" si="973"/>
        <v>-3.6975314039681691E-2</v>
      </c>
    </row>
    <row r="386" spans="1:20" x14ac:dyDescent="0.25">
      <c r="A386" s="5">
        <v>44207</v>
      </c>
      <c r="B386">
        <v>1.1672</v>
      </c>
      <c r="C386">
        <v>1.1712</v>
      </c>
      <c r="D386">
        <v>0.82630000000000003</v>
      </c>
      <c r="E386">
        <v>0.95540000000000003</v>
      </c>
      <c r="F386">
        <v>7137670.6500000004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-0.25137721078573499</v>
      </c>
      <c r="Q386">
        <f t="shared" si="970"/>
        <v>-1794247.7395042041</v>
      </c>
      <c r="R386">
        <f t="shared" si="971"/>
        <v>-2405417.5905903322</v>
      </c>
      <c r="S386">
        <f t="shared" si="972"/>
        <v>-24.054175905903321</v>
      </c>
      <c r="T386">
        <f t="shared" si="973"/>
        <v>-2.4054175905903322E-2</v>
      </c>
    </row>
    <row r="387" spans="1:20" x14ac:dyDescent="0.25">
      <c r="A387" s="5">
        <v>44206</v>
      </c>
      <c r="B387">
        <v>1.3355999999999999</v>
      </c>
      <c r="C387">
        <v>1.3994</v>
      </c>
      <c r="D387">
        <v>1.0523</v>
      </c>
      <c r="E387">
        <v>1.1664000000000001</v>
      </c>
      <c r="F387">
        <v>5300327.2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-0.3425525785076341</v>
      </c>
      <c r="Q387">
        <f t="shared" si="970"/>
        <v>-1815640.7492941485</v>
      </c>
      <c r="R387">
        <f t="shared" si="971"/>
        <v>-611169.85108612804</v>
      </c>
      <c r="S387">
        <f t="shared" si="972"/>
        <v>-6.11169851086128</v>
      </c>
      <c r="T387">
        <f t="shared" si="973"/>
        <v>-6.11169851086128E-3</v>
      </c>
    </row>
    <row r="388" spans="1:20" x14ac:dyDescent="0.25">
      <c r="A388" s="5">
        <v>44205</v>
      </c>
      <c r="B388">
        <v>1.1591</v>
      </c>
      <c r="C388">
        <v>1.4520999999999999</v>
      </c>
      <c r="D388">
        <v>1.1268</v>
      </c>
      <c r="E388">
        <v>1.3357000000000001</v>
      </c>
      <c r="F388">
        <v>4590211.3499999996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0.2843529050107601</v>
      </c>
      <c r="Q388">
        <f t="shared" si="970"/>
        <v>1305239.9319858628</v>
      </c>
      <c r="R388">
        <f t="shared" si="971"/>
        <v>1204470.8982080205</v>
      </c>
      <c r="S388">
        <f t="shared" si="972"/>
        <v>12.044708982080206</v>
      </c>
      <c r="T388">
        <f t="shared" si="973"/>
        <v>1.2044708982080205E-2</v>
      </c>
    </row>
    <row r="389" spans="1:20" x14ac:dyDescent="0.25">
      <c r="A389" s="5">
        <v>44204</v>
      </c>
      <c r="B389">
        <v>1.0929</v>
      </c>
      <c r="C389">
        <v>1.32</v>
      </c>
      <c r="D389">
        <v>0.96360000000000001</v>
      </c>
      <c r="E389">
        <v>1.159</v>
      </c>
      <c r="F389">
        <v>6308468.8899999997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9.6520763187429803E-2</v>
      </c>
      <c r="Q389">
        <f t="shared" si="970"/>
        <v>608898.23180695809</v>
      </c>
      <c r="R389">
        <f t="shared" si="971"/>
        <v>-100769.0337778423</v>
      </c>
      <c r="S389">
        <f t="shared" si="972"/>
        <v>-1.007690337778423</v>
      </c>
      <c r="T389">
        <f t="shared" si="973"/>
        <v>-1.007690337778423E-3</v>
      </c>
    </row>
    <row r="390" spans="1:20" x14ac:dyDescent="0.25">
      <c r="A390" s="5">
        <v>44203</v>
      </c>
      <c r="B390">
        <v>1.0327999999999999</v>
      </c>
      <c r="C390">
        <v>1.3668</v>
      </c>
      <c r="D390">
        <v>1.0226999999999999</v>
      </c>
      <c r="E390">
        <v>1.0929</v>
      </c>
      <c r="F390">
        <v>6236202.2400000002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-0.59197907585004339</v>
      </c>
      <c r="Q390">
        <f t="shared" ref="Q390:Q453" si="975">F390*P390</f>
        <v>-3691701.2388491705</v>
      </c>
      <c r="R390">
        <f t="shared" ref="R390:R453" si="976">R391+Q390</f>
        <v>-709667.26558480039</v>
      </c>
      <c r="S390">
        <f t="shared" ref="S390:S453" si="977">R390/100000</f>
        <v>-7.0966726558480042</v>
      </c>
      <c r="T390">
        <f t="shared" ref="T390:T453" si="978">S390/1000</f>
        <v>-7.0966726558480044E-3</v>
      </c>
    </row>
    <row r="391" spans="1:20" x14ac:dyDescent="0.25">
      <c r="A391" s="5">
        <v>44202</v>
      </c>
      <c r="B391">
        <v>0.85370000000000001</v>
      </c>
      <c r="C391">
        <v>1.0599000000000001</v>
      </c>
      <c r="D391">
        <v>0.82279999999999998</v>
      </c>
      <c r="E391">
        <v>1.0319</v>
      </c>
      <c r="F391">
        <v>3985848.01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0.76381273724167009</v>
      </c>
      <c r="Q391">
        <f t="shared" si="975"/>
        <v>3044441.4787473637</v>
      </c>
      <c r="R391">
        <f t="shared" si="976"/>
        <v>2982033.9732643701</v>
      </c>
      <c r="S391">
        <f t="shared" si="977"/>
        <v>29.820339732643703</v>
      </c>
      <c r="T391">
        <f t="shared" si="978"/>
        <v>2.9820339732643704E-2</v>
      </c>
    </row>
    <row r="392" spans="1:20" x14ac:dyDescent="0.25">
      <c r="A392" s="5">
        <v>44201</v>
      </c>
      <c r="B392">
        <v>0.82350000000000001</v>
      </c>
      <c r="C392">
        <v>0.89410000000000001</v>
      </c>
      <c r="D392">
        <v>0.76380000000000003</v>
      </c>
      <c r="E392">
        <v>0.8518</v>
      </c>
      <c r="F392">
        <v>2829695.16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0.35072908672294684</v>
      </c>
      <c r="Q392">
        <f t="shared" si="975"/>
        <v>992456.39917114296</v>
      </c>
      <c r="R392">
        <f t="shared" si="976"/>
        <v>-62407.505482993671</v>
      </c>
      <c r="S392">
        <f t="shared" si="977"/>
        <v>-0.62407505482993675</v>
      </c>
      <c r="T392">
        <f t="shared" si="978"/>
        <v>-6.2407505482993679E-4</v>
      </c>
    </row>
    <row r="393" spans="1:20" x14ac:dyDescent="0.25">
      <c r="A393" s="5">
        <v>44200</v>
      </c>
      <c r="B393">
        <v>0.7923</v>
      </c>
      <c r="C393">
        <v>0.88</v>
      </c>
      <c r="D393">
        <v>0.71499999999999997</v>
      </c>
      <c r="E393">
        <v>0.82320000000000004</v>
      </c>
      <c r="F393">
        <v>2674309.7599999998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0.31151515151515213</v>
      </c>
      <c r="Q393">
        <f t="shared" si="975"/>
        <v>833088.01008485002</v>
      </c>
      <c r="R393">
        <f t="shared" si="976"/>
        <v>-1054863.9046541366</v>
      </c>
      <c r="S393">
        <f t="shared" si="977"/>
        <v>-10.548639046541366</v>
      </c>
      <c r="T393">
        <f t="shared" si="978"/>
        <v>-1.0548639046541367E-2</v>
      </c>
    </row>
    <row r="394" spans="1:20" x14ac:dyDescent="0.25">
      <c r="A394" s="5">
        <v>44199</v>
      </c>
      <c r="B394">
        <v>0.71409999999999996</v>
      </c>
      <c r="C394">
        <v>0.80530000000000002</v>
      </c>
      <c r="D394">
        <v>0.71209999999999996</v>
      </c>
      <c r="E394">
        <v>0.79400000000000004</v>
      </c>
      <c r="F394">
        <v>2126753.21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0.75751072961373456</v>
      </c>
      <c r="Q394">
        <f t="shared" si="975"/>
        <v>1611038.3758154521</v>
      </c>
      <c r="R394">
        <f t="shared" si="976"/>
        <v>-1887951.9147389866</v>
      </c>
      <c r="S394">
        <f t="shared" si="977"/>
        <v>-18.879519147389868</v>
      </c>
      <c r="T394">
        <f t="shared" si="978"/>
        <v>-1.8879519147389869E-2</v>
      </c>
    </row>
    <row r="395" spans="1:20" x14ac:dyDescent="0.25">
      <c r="A395" s="5">
        <v>44198</v>
      </c>
      <c r="B395">
        <v>0.748</v>
      </c>
      <c r="C395">
        <v>0.75309999999999999</v>
      </c>
      <c r="D395">
        <v>0.70309999999999995</v>
      </c>
      <c r="E395">
        <v>0.71299999999999997</v>
      </c>
      <c r="F395">
        <v>1586327.43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-0.60399999999999954</v>
      </c>
      <c r="Q395">
        <f t="shared" si="975"/>
        <v>-958141.76771999919</v>
      </c>
      <c r="R395">
        <f t="shared" si="976"/>
        <v>-3498990.2905544387</v>
      </c>
      <c r="S395">
        <f t="shared" si="977"/>
        <v>-34.98990290554439</v>
      </c>
      <c r="T395">
        <f t="shared" si="978"/>
        <v>-3.4989902905544393E-2</v>
      </c>
    </row>
    <row r="396" spans="1:20" x14ac:dyDescent="0.25">
      <c r="A396" s="5">
        <v>44197</v>
      </c>
      <c r="B396">
        <v>0.73150000000000004</v>
      </c>
      <c r="C396">
        <v>0.7974</v>
      </c>
      <c r="D396">
        <v>0.72189999999999999</v>
      </c>
      <c r="E396">
        <v>0.74819999999999998</v>
      </c>
      <c r="F396">
        <v>1169271.31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-0.30331125827814609</v>
      </c>
      <c r="Q396">
        <f t="shared" si="975"/>
        <v>-354653.15230463626</v>
      </c>
      <c r="R396">
        <f t="shared" si="976"/>
        <v>-2540848.5228344393</v>
      </c>
      <c r="S396">
        <f t="shared" si="977"/>
        <v>-25.408485228344393</v>
      </c>
      <c r="T396">
        <f t="shared" si="978"/>
        <v>-2.5408485228344393E-2</v>
      </c>
    </row>
    <row r="397" spans="1:20" x14ac:dyDescent="0.25">
      <c r="A397" s="5">
        <v>44196</v>
      </c>
      <c r="B397">
        <v>0.751</v>
      </c>
      <c r="C397">
        <v>0.76219999999999999</v>
      </c>
      <c r="D397">
        <v>0.71030000000000004</v>
      </c>
      <c r="E397">
        <v>0.73229999999999995</v>
      </c>
      <c r="F397">
        <v>770174.33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-0.15221579961464618</v>
      </c>
      <c r="Q397">
        <f t="shared" si="975"/>
        <v>-117232.70148362438</v>
      </c>
      <c r="R397">
        <f t="shared" si="976"/>
        <v>-2186195.370529803</v>
      </c>
      <c r="S397">
        <f t="shared" si="977"/>
        <v>-21.861953705298031</v>
      </c>
      <c r="T397">
        <f t="shared" si="978"/>
        <v>-2.1861953705298032E-2</v>
      </c>
    </row>
    <row r="398" spans="1:20" x14ac:dyDescent="0.25">
      <c r="A398" s="5">
        <v>44195</v>
      </c>
      <c r="B398">
        <v>0.76719999999999999</v>
      </c>
      <c r="C398">
        <v>0.77110000000000001</v>
      </c>
      <c r="D398">
        <v>0.7137</v>
      </c>
      <c r="E398">
        <v>0.75119999999999998</v>
      </c>
      <c r="F398">
        <v>916415.76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0.30662020905923254</v>
      </c>
      <c r="Q398">
        <f t="shared" si="975"/>
        <v>280991.5919163755</v>
      </c>
      <c r="R398">
        <f t="shared" si="976"/>
        <v>-2068962.6690461787</v>
      </c>
      <c r="S398">
        <f t="shared" si="977"/>
        <v>-20.689626690461786</v>
      </c>
      <c r="T398">
        <f t="shared" si="978"/>
        <v>-2.0689626690461788E-2</v>
      </c>
    </row>
    <row r="399" spans="1:20" x14ac:dyDescent="0.25">
      <c r="A399" s="5">
        <v>44194</v>
      </c>
      <c r="B399">
        <v>0.80500000000000005</v>
      </c>
      <c r="C399">
        <v>0.82320000000000004</v>
      </c>
      <c r="D399">
        <v>0.72550000000000003</v>
      </c>
      <c r="E399">
        <v>0.76559999999999995</v>
      </c>
      <c r="F399">
        <v>1620138.06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-0.17911975435005303</v>
      </c>
      <c r="Q399">
        <f t="shared" si="975"/>
        <v>-290198.7313203715</v>
      </c>
      <c r="R399">
        <f t="shared" si="976"/>
        <v>-2349954.2609625543</v>
      </c>
      <c r="S399">
        <f t="shared" si="977"/>
        <v>-23.499542609625543</v>
      </c>
      <c r="T399">
        <f t="shared" si="978"/>
        <v>-2.3499542609625543E-2</v>
      </c>
    </row>
    <row r="400" spans="1:20" x14ac:dyDescent="0.25">
      <c r="A400" s="5">
        <v>44193</v>
      </c>
      <c r="B400">
        <v>0.79800000000000004</v>
      </c>
      <c r="C400">
        <v>0.86850000000000005</v>
      </c>
      <c r="D400">
        <v>0.78549999999999998</v>
      </c>
      <c r="E400">
        <v>0.80449999999999999</v>
      </c>
      <c r="F400">
        <v>1354330.08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-0.54216867469879515</v>
      </c>
      <c r="Q400">
        <f t="shared" si="975"/>
        <v>-734275.34457831329</v>
      </c>
      <c r="R400">
        <f t="shared" si="976"/>
        <v>-2059755.5296421829</v>
      </c>
      <c r="S400">
        <f t="shared" si="977"/>
        <v>-20.597555296421827</v>
      </c>
      <c r="T400">
        <f t="shared" si="978"/>
        <v>-2.0597555296421828E-2</v>
      </c>
    </row>
    <row r="401" spans="1:20" x14ac:dyDescent="0.25">
      <c r="A401" s="5">
        <v>44192</v>
      </c>
      <c r="B401">
        <v>0.77390000000000003</v>
      </c>
      <c r="C401">
        <v>0.84</v>
      </c>
      <c r="D401">
        <v>0.72550000000000003</v>
      </c>
      <c r="E401">
        <v>0.79569999999999996</v>
      </c>
      <c r="F401">
        <v>1444968.06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0.22620087336244488</v>
      </c>
      <c r="Q401">
        <f t="shared" si="975"/>
        <v>326853.03715283767</v>
      </c>
      <c r="R401">
        <f t="shared" si="976"/>
        <v>-1325480.1850638695</v>
      </c>
      <c r="S401">
        <f t="shared" si="977"/>
        <v>-13.254801850638694</v>
      </c>
      <c r="T401">
        <f t="shared" si="978"/>
        <v>-1.3254801850638695E-2</v>
      </c>
    </row>
    <row r="402" spans="1:20" x14ac:dyDescent="0.25">
      <c r="A402" s="5">
        <v>44191</v>
      </c>
      <c r="B402">
        <v>0.78159999999999996</v>
      </c>
      <c r="C402">
        <v>0.81859999999999999</v>
      </c>
      <c r="D402">
        <v>0.74</v>
      </c>
      <c r="E402">
        <v>0.77339999999999998</v>
      </c>
      <c r="F402">
        <v>1004408.22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-0.15012722646310472</v>
      </c>
      <c r="Q402">
        <f t="shared" si="975"/>
        <v>-150789.0203053439</v>
      </c>
      <c r="R402">
        <f t="shared" si="976"/>
        <v>-1652333.2222167072</v>
      </c>
      <c r="S402">
        <f t="shared" si="977"/>
        <v>-16.52333222216707</v>
      </c>
      <c r="T402">
        <f t="shared" si="978"/>
        <v>-1.6523332222167071E-2</v>
      </c>
    </row>
    <row r="403" spans="1:20" x14ac:dyDescent="0.25">
      <c r="A403" s="5">
        <v>44190</v>
      </c>
      <c r="B403">
        <v>0.81799999999999995</v>
      </c>
      <c r="C403">
        <v>0.85399999999999998</v>
      </c>
      <c r="D403">
        <v>0.76959999999999995</v>
      </c>
      <c r="E403">
        <v>0.77969999999999995</v>
      </c>
      <c r="F403">
        <v>960022.65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-0.76066350710900488</v>
      </c>
      <c r="Q403">
        <f t="shared" si="975"/>
        <v>-730254.19585308072</v>
      </c>
      <c r="R403">
        <f t="shared" si="976"/>
        <v>-1501544.2019113633</v>
      </c>
      <c r="S403">
        <f t="shared" si="977"/>
        <v>-15.015442019113634</v>
      </c>
      <c r="T403">
        <f t="shared" si="978"/>
        <v>-1.5015442019113633E-2</v>
      </c>
    </row>
    <row r="404" spans="1:20" x14ac:dyDescent="0.25">
      <c r="A404" s="5">
        <v>44189</v>
      </c>
      <c r="B404">
        <v>0.72840000000000005</v>
      </c>
      <c r="C404">
        <v>0.83560000000000001</v>
      </c>
      <c r="D404">
        <v>0.67769999999999997</v>
      </c>
      <c r="E404">
        <v>0.81430000000000002</v>
      </c>
      <c r="F404">
        <v>1473311.1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0.73020899303356579</v>
      </c>
      <c r="Q404">
        <f t="shared" si="975"/>
        <v>1075825.0147561752</v>
      </c>
      <c r="R404">
        <f t="shared" si="976"/>
        <v>-771290.00605828268</v>
      </c>
      <c r="S404">
        <f t="shared" si="977"/>
        <v>-7.7129000605828271</v>
      </c>
      <c r="T404">
        <f t="shared" si="978"/>
        <v>-7.7129000605828269E-3</v>
      </c>
    </row>
    <row r="405" spans="1:20" x14ac:dyDescent="0.25">
      <c r="A405" s="5">
        <v>44188</v>
      </c>
      <c r="B405">
        <v>0.88680000000000003</v>
      </c>
      <c r="C405">
        <v>0.90129999999999999</v>
      </c>
      <c r="D405">
        <v>0.67079999999999995</v>
      </c>
      <c r="E405">
        <v>0.72750000000000004</v>
      </c>
      <c r="F405">
        <v>1523125.47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-0.50802603036876293</v>
      </c>
      <c r="Q405">
        <f t="shared" si="975"/>
        <v>-773787.3862776563</v>
      </c>
      <c r="R405">
        <f t="shared" si="976"/>
        <v>-1847115.0208144579</v>
      </c>
      <c r="S405">
        <f t="shared" si="977"/>
        <v>-18.471150208144579</v>
      </c>
      <c r="T405">
        <f t="shared" si="978"/>
        <v>-1.847115020814458E-2</v>
      </c>
    </row>
    <row r="406" spans="1:20" x14ac:dyDescent="0.25">
      <c r="A406" s="5">
        <v>44187</v>
      </c>
      <c r="B406">
        <v>0.89610000000000001</v>
      </c>
      <c r="C406">
        <v>0.92220000000000002</v>
      </c>
      <c r="D406">
        <v>0.83550000000000002</v>
      </c>
      <c r="E406">
        <v>0.88880000000000003</v>
      </c>
      <c r="F406">
        <v>1099194.9099999999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0.22952710495963125</v>
      </c>
      <c r="Q406">
        <f t="shared" si="975"/>
        <v>252295.0254786624</v>
      </c>
      <c r="R406">
        <f t="shared" si="976"/>
        <v>-1073327.6345368016</v>
      </c>
      <c r="S406">
        <f t="shared" si="977"/>
        <v>-10.733276345368017</v>
      </c>
      <c r="T406">
        <f t="shared" si="978"/>
        <v>-1.0733276345368017E-2</v>
      </c>
    </row>
    <row r="407" spans="1:20" x14ac:dyDescent="0.25">
      <c r="A407" s="5">
        <v>44186</v>
      </c>
      <c r="B407">
        <v>0.92349999999999999</v>
      </c>
      <c r="C407">
        <v>0.9345</v>
      </c>
      <c r="D407">
        <v>0.86509999999999998</v>
      </c>
      <c r="E407">
        <v>0.89600000000000002</v>
      </c>
      <c r="F407">
        <v>1773901.28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-0.10951008645533052</v>
      </c>
      <c r="Q407">
        <f t="shared" si="975"/>
        <v>-194260.08253602148</v>
      </c>
      <c r="R407">
        <f t="shared" si="976"/>
        <v>-1325622.6600154641</v>
      </c>
      <c r="S407">
        <f t="shared" si="977"/>
        <v>-13.25622660015464</v>
      </c>
      <c r="T407">
        <f t="shared" si="978"/>
        <v>-1.3256226600154641E-2</v>
      </c>
    </row>
    <row r="408" spans="1:20" x14ac:dyDescent="0.25">
      <c r="A408" s="5">
        <v>44185</v>
      </c>
      <c r="B408">
        <v>0.99319999999999997</v>
      </c>
      <c r="C408">
        <v>0.99409999999999998</v>
      </c>
      <c r="D408">
        <v>0.91159999999999997</v>
      </c>
      <c r="E408">
        <v>0.92369999999999997</v>
      </c>
      <c r="F408">
        <v>1339932.72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-0.70666666666666678</v>
      </c>
      <c r="Q408">
        <f t="shared" si="975"/>
        <v>-946885.7888000001</v>
      </c>
      <c r="R408">
        <f t="shared" si="976"/>
        <v>-1131362.5774794426</v>
      </c>
      <c r="S408">
        <f t="shared" si="977"/>
        <v>-11.313625774794426</v>
      </c>
      <c r="T408">
        <f t="shared" si="978"/>
        <v>-1.1313625774794426E-2</v>
      </c>
    </row>
    <row r="409" spans="1:20" x14ac:dyDescent="0.25">
      <c r="A409" s="5">
        <v>44184</v>
      </c>
      <c r="B409">
        <v>1.0061</v>
      </c>
      <c r="C409">
        <v>1.0660000000000001</v>
      </c>
      <c r="D409">
        <v>0.98670000000000002</v>
      </c>
      <c r="E409">
        <v>0.99419999999999997</v>
      </c>
      <c r="F409">
        <v>1304727.1299999999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-0.81084489281210725</v>
      </c>
      <c r="Q409">
        <f t="shared" si="975"/>
        <v>-1057931.3298738983</v>
      </c>
      <c r="R409">
        <f t="shared" si="976"/>
        <v>-184476.7886794426</v>
      </c>
      <c r="S409">
        <f t="shared" si="977"/>
        <v>-1.8447678867944259</v>
      </c>
      <c r="T409">
        <f t="shared" si="978"/>
        <v>-1.8447678867944258E-3</v>
      </c>
    </row>
    <row r="410" spans="1:20" x14ac:dyDescent="0.25">
      <c r="A410" s="5">
        <v>44183</v>
      </c>
      <c r="B410">
        <v>1.0177</v>
      </c>
      <c r="C410">
        <v>1.05</v>
      </c>
      <c r="D410">
        <v>0.9869</v>
      </c>
      <c r="E410">
        <v>1.0048999999999999</v>
      </c>
      <c r="F410">
        <v>1581981.49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-0.42947702060222209</v>
      </c>
      <c r="Q410">
        <f t="shared" si="975"/>
        <v>-679424.69697306398</v>
      </c>
      <c r="R410">
        <f t="shared" si="976"/>
        <v>873454.5411944557</v>
      </c>
      <c r="S410">
        <f t="shared" si="977"/>
        <v>8.7345454119445574</v>
      </c>
      <c r="T410">
        <f t="shared" si="978"/>
        <v>8.7345454119445581E-3</v>
      </c>
    </row>
    <row r="411" spans="1:20" x14ac:dyDescent="0.25">
      <c r="A411" s="5">
        <v>44182</v>
      </c>
      <c r="B411">
        <v>0.93879999999999997</v>
      </c>
      <c r="C411">
        <v>1.0387</v>
      </c>
      <c r="D411">
        <v>0.93140000000000001</v>
      </c>
      <c r="E411">
        <v>1.018</v>
      </c>
      <c r="F411">
        <v>2308722.13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0.61416589002795996</v>
      </c>
      <c r="Q411">
        <f t="shared" si="975"/>
        <v>1417938.3817986974</v>
      </c>
      <c r="R411">
        <f t="shared" si="976"/>
        <v>1552879.2381675197</v>
      </c>
      <c r="S411">
        <f t="shared" si="977"/>
        <v>15.528792381675197</v>
      </c>
      <c r="T411">
        <f t="shared" si="978"/>
        <v>1.5528792381675198E-2</v>
      </c>
    </row>
    <row r="412" spans="1:20" x14ac:dyDescent="0.25">
      <c r="A412" s="5">
        <v>44181</v>
      </c>
      <c r="B412">
        <v>0.95809999999999995</v>
      </c>
      <c r="C412">
        <v>0.98740000000000006</v>
      </c>
      <c r="D412">
        <v>0.93069999999999997</v>
      </c>
      <c r="E412">
        <v>0.93779999999999997</v>
      </c>
      <c r="F412">
        <v>1123224.44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-0.74955908289241679</v>
      </c>
      <c r="Q412">
        <f t="shared" si="975"/>
        <v>-841923.08112874837</v>
      </c>
      <c r="R412">
        <f t="shared" si="976"/>
        <v>134940.85636882239</v>
      </c>
      <c r="S412">
        <f t="shared" si="977"/>
        <v>1.349408563688224</v>
      </c>
      <c r="T412">
        <f t="shared" si="978"/>
        <v>1.349408563688224E-3</v>
      </c>
    </row>
    <row r="413" spans="1:20" x14ac:dyDescent="0.25">
      <c r="A413" s="5">
        <v>44180</v>
      </c>
      <c r="B413">
        <v>0.92200000000000004</v>
      </c>
      <c r="C413">
        <v>0.98150000000000004</v>
      </c>
      <c r="D413">
        <v>0.89680000000000004</v>
      </c>
      <c r="E413">
        <v>0.95920000000000005</v>
      </c>
      <c r="F413">
        <v>1422922.3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0.47343565525383735</v>
      </c>
      <c r="Q413">
        <f t="shared" si="975"/>
        <v>673662.15147579741</v>
      </c>
      <c r="R413">
        <f t="shared" si="976"/>
        <v>976863.93749757076</v>
      </c>
      <c r="S413">
        <f t="shared" si="977"/>
        <v>9.7686393749757077</v>
      </c>
      <c r="T413">
        <f t="shared" si="978"/>
        <v>9.7686393749757076E-3</v>
      </c>
    </row>
    <row r="414" spans="1:20" x14ac:dyDescent="0.25">
      <c r="A414" s="5">
        <v>44179</v>
      </c>
      <c r="B414">
        <v>0.8952</v>
      </c>
      <c r="C414">
        <v>0.94</v>
      </c>
      <c r="D414">
        <v>0.86519999999999997</v>
      </c>
      <c r="E414">
        <v>0.92200000000000004</v>
      </c>
      <c r="F414">
        <v>603924.68000000005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0.51871657754010936</v>
      </c>
      <c r="Q414">
        <f t="shared" si="975"/>
        <v>313265.74310160574</v>
      </c>
      <c r="R414">
        <f t="shared" si="976"/>
        <v>303201.78602177335</v>
      </c>
      <c r="S414">
        <f t="shared" si="977"/>
        <v>3.0320178602177337</v>
      </c>
      <c r="T414">
        <f t="shared" si="978"/>
        <v>3.0320178602177335E-3</v>
      </c>
    </row>
    <row r="415" spans="1:20" x14ac:dyDescent="0.25">
      <c r="A415" s="5">
        <v>44178</v>
      </c>
      <c r="B415">
        <v>0.87319999999999998</v>
      </c>
      <c r="C415">
        <v>0.91120000000000001</v>
      </c>
      <c r="D415">
        <v>0.873</v>
      </c>
      <c r="E415">
        <v>0.89510000000000001</v>
      </c>
      <c r="F415">
        <v>509596.79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0.15706806282722521</v>
      </c>
      <c r="Q415">
        <f t="shared" si="975"/>
        <v>80041.380628272294</v>
      </c>
      <c r="R415">
        <f t="shared" si="976"/>
        <v>-10063.957079832398</v>
      </c>
      <c r="S415">
        <f t="shared" si="977"/>
        <v>-0.10063957079832399</v>
      </c>
      <c r="T415">
        <f t="shared" si="978"/>
        <v>-1.0063957079832398E-4</v>
      </c>
    </row>
    <row r="416" spans="1:20" x14ac:dyDescent="0.25">
      <c r="A416" s="5">
        <v>44177</v>
      </c>
      <c r="B416">
        <v>0.83579999999999999</v>
      </c>
      <c r="C416">
        <v>0.87919999999999998</v>
      </c>
      <c r="D416">
        <v>0.83489999999999998</v>
      </c>
      <c r="E416">
        <v>0.87309999999999999</v>
      </c>
      <c r="F416">
        <v>662403.52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0.72460496613995518</v>
      </c>
      <c r="Q416">
        <f t="shared" si="975"/>
        <v>479980.88018058712</v>
      </c>
      <c r="R416">
        <f t="shared" si="976"/>
        <v>-90105.337708104693</v>
      </c>
      <c r="S416">
        <f t="shared" si="977"/>
        <v>-0.90105337708104694</v>
      </c>
      <c r="T416">
        <f t="shared" si="978"/>
        <v>-9.0105337708104691E-4</v>
      </c>
    </row>
    <row r="417" spans="1:20" x14ac:dyDescent="0.25">
      <c r="A417" s="5">
        <v>44176</v>
      </c>
      <c r="B417">
        <v>0.86819999999999997</v>
      </c>
      <c r="C417">
        <v>0.86990000000000001</v>
      </c>
      <c r="D417">
        <v>0.8044</v>
      </c>
      <c r="E417">
        <v>0.83579999999999999</v>
      </c>
      <c r="F417">
        <v>846457.61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-4.1221374045802069E-2</v>
      </c>
      <c r="Q417">
        <f t="shared" si="975"/>
        <v>-34892.145755725651</v>
      </c>
      <c r="R417">
        <f t="shared" si="976"/>
        <v>-570086.21788869181</v>
      </c>
      <c r="S417">
        <f t="shared" si="977"/>
        <v>-5.7008621788869185</v>
      </c>
      <c r="T417">
        <f t="shared" si="978"/>
        <v>-5.7008621788869184E-3</v>
      </c>
    </row>
    <row r="418" spans="1:20" x14ac:dyDescent="0.25">
      <c r="A418" s="5">
        <v>44175</v>
      </c>
      <c r="B418">
        <v>0.92459999999999998</v>
      </c>
      <c r="C418">
        <v>0.92820000000000003</v>
      </c>
      <c r="D418">
        <v>0.86429999999999996</v>
      </c>
      <c r="E418">
        <v>0.86429999999999996</v>
      </c>
      <c r="F418">
        <v>771636.03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-1</v>
      </c>
      <c r="Q418">
        <f t="shared" si="975"/>
        <v>-771636.03</v>
      </c>
      <c r="R418">
        <f t="shared" si="976"/>
        <v>-535194.07213296613</v>
      </c>
      <c r="S418">
        <f t="shared" si="977"/>
        <v>-5.3519407213296617</v>
      </c>
      <c r="T418">
        <f t="shared" si="978"/>
        <v>-5.3519407213296613E-3</v>
      </c>
    </row>
    <row r="419" spans="1:20" x14ac:dyDescent="0.25">
      <c r="A419" s="5">
        <v>44174</v>
      </c>
      <c r="B419">
        <v>0.92579999999999996</v>
      </c>
      <c r="C419">
        <v>0.96199999999999997</v>
      </c>
      <c r="D419">
        <v>0.86950000000000005</v>
      </c>
      <c r="E419">
        <v>0.92279999999999995</v>
      </c>
      <c r="F419">
        <v>1010130.02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0.15243243243243138</v>
      </c>
      <c r="Q419">
        <f t="shared" si="975"/>
        <v>153976.57602162057</v>
      </c>
      <c r="R419">
        <f t="shared" si="976"/>
        <v>236441.95786703393</v>
      </c>
      <c r="S419">
        <f t="shared" si="977"/>
        <v>2.3644195786703395</v>
      </c>
      <c r="T419">
        <f t="shared" si="978"/>
        <v>2.3644195786703395E-3</v>
      </c>
    </row>
    <row r="420" spans="1:20" x14ac:dyDescent="0.25">
      <c r="A420" s="5">
        <v>44173</v>
      </c>
      <c r="B420">
        <v>0.97370000000000001</v>
      </c>
      <c r="C420">
        <v>0.97499999999999998</v>
      </c>
      <c r="D420">
        <v>0.89129999999999998</v>
      </c>
      <c r="E420">
        <v>0.92720000000000002</v>
      </c>
      <c r="F420">
        <v>1010471.59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-0.14217443249701209</v>
      </c>
      <c r="Q420">
        <f t="shared" si="975"/>
        <v>-143663.22486260347</v>
      </c>
      <c r="R420">
        <f t="shared" si="976"/>
        <v>82465.381845413358</v>
      </c>
      <c r="S420">
        <f t="shared" si="977"/>
        <v>0.82465381845413355</v>
      </c>
      <c r="T420">
        <f t="shared" si="978"/>
        <v>8.2465381845413352E-4</v>
      </c>
    </row>
    <row r="421" spans="1:20" x14ac:dyDescent="0.25">
      <c r="A421" s="5">
        <v>44172</v>
      </c>
      <c r="B421">
        <v>0.97670000000000001</v>
      </c>
      <c r="C421">
        <v>1.0212000000000001</v>
      </c>
      <c r="D421">
        <v>0.96050000000000002</v>
      </c>
      <c r="E421">
        <v>0.97370000000000001</v>
      </c>
      <c r="F421">
        <v>601330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-0.56507413509061055</v>
      </c>
      <c r="Q421">
        <f t="shared" si="975"/>
        <v>-339796.02965403686</v>
      </c>
      <c r="R421">
        <f t="shared" si="976"/>
        <v>226128.60670801683</v>
      </c>
      <c r="S421">
        <f t="shared" si="977"/>
        <v>2.2612860670801682</v>
      </c>
      <c r="T421">
        <f t="shared" si="978"/>
        <v>2.2612860670801682E-3</v>
      </c>
    </row>
    <row r="422" spans="1:20" x14ac:dyDescent="0.25">
      <c r="A422" s="5">
        <v>44171</v>
      </c>
      <c r="B422">
        <v>0.98040000000000005</v>
      </c>
      <c r="C422">
        <v>0.98499999999999999</v>
      </c>
      <c r="D422">
        <v>0.92159999999999997</v>
      </c>
      <c r="E422">
        <v>0.9748</v>
      </c>
      <c r="F422">
        <v>686741.45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0.67823343848580486</v>
      </c>
      <c r="Q422">
        <f t="shared" si="975"/>
        <v>465771.01498422743</v>
      </c>
      <c r="R422">
        <f t="shared" si="976"/>
        <v>565924.63636205369</v>
      </c>
      <c r="S422">
        <f t="shared" si="977"/>
        <v>5.6592463636205368</v>
      </c>
      <c r="T422">
        <f t="shared" si="978"/>
        <v>5.659246363620537E-3</v>
      </c>
    </row>
    <row r="423" spans="1:20" x14ac:dyDescent="0.25">
      <c r="A423" s="5">
        <v>44170</v>
      </c>
      <c r="B423">
        <v>0.92869999999999997</v>
      </c>
      <c r="C423">
        <v>0.98899999999999999</v>
      </c>
      <c r="D423">
        <v>0.91239999999999999</v>
      </c>
      <c r="E423">
        <v>0.98</v>
      </c>
      <c r="F423">
        <v>459034.25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0.76501305483028703</v>
      </c>
      <c r="Q423">
        <f t="shared" si="975"/>
        <v>351167.19386422966</v>
      </c>
      <c r="R423">
        <f t="shared" si="976"/>
        <v>100153.62137782626</v>
      </c>
      <c r="S423">
        <f t="shared" si="977"/>
        <v>1.0015362137782626</v>
      </c>
      <c r="T423">
        <f t="shared" si="978"/>
        <v>1.0015362137782626E-3</v>
      </c>
    </row>
    <row r="424" spans="1:20" x14ac:dyDescent="0.25">
      <c r="A424" s="5">
        <v>44169</v>
      </c>
      <c r="B424">
        <v>1.0521</v>
      </c>
      <c r="C424">
        <v>1.0626</v>
      </c>
      <c r="D424">
        <v>0.92</v>
      </c>
      <c r="E424">
        <v>0.92859999999999998</v>
      </c>
      <c r="F424">
        <v>1131087.75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-0.87938288920056185</v>
      </c>
      <c r="Q424">
        <f t="shared" si="975"/>
        <v>-994659.21353436285</v>
      </c>
      <c r="R424">
        <f t="shared" si="976"/>
        <v>-251013.5724864034</v>
      </c>
      <c r="S424">
        <f t="shared" si="977"/>
        <v>-2.5101357248640341</v>
      </c>
      <c r="T424">
        <f t="shared" si="978"/>
        <v>-2.510135724864034E-3</v>
      </c>
    </row>
    <row r="425" spans="1:20" x14ac:dyDescent="0.25">
      <c r="A425" s="5">
        <v>44168</v>
      </c>
      <c r="B425">
        <v>0.99360000000000004</v>
      </c>
      <c r="C425">
        <v>1.0524</v>
      </c>
      <c r="D425">
        <v>0.97850000000000004</v>
      </c>
      <c r="E425">
        <v>1.0518000000000001</v>
      </c>
      <c r="F425">
        <v>1105164.1499999999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0.98376184032476499</v>
      </c>
      <c r="Q425">
        <f t="shared" si="975"/>
        <v>1087218.3180649546</v>
      </c>
      <c r="R425">
        <f t="shared" si="976"/>
        <v>743645.64104795945</v>
      </c>
      <c r="S425">
        <f t="shared" si="977"/>
        <v>7.436456410479594</v>
      </c>
      <c r="T425">
        <f t="shared" si="978"/>
        <v>7.436456410479594E-3</v>
      </c>
    </row>
    <row r="426" spans="1:20" x14ac:dyDescent="0.25">
      <c r="A426" s="5">
        <v>44167</v>
      </c>
      <c r="B426">
        <v>0.93589999999999995</v>
      </c>
      <c r="C426">
        <v>1.0289999999999999</v>
      </c>
      <c r="D426">
        <v>0.9214</v>
      </c>
      <c r="E426">
        <v>0.99280000000000002</v>
      </c>
      <c r="F426">
        <v>913199.22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0.32713754646840287</v>
      </c>
      <c r="Q426">
        <f t="shared" si="975"/>
        <v>298741.75226765923</v>
      </c>
      <c r="R426">
        <f t="shared" si="976"/>
        <v>-343572.67701699521</v>
      </c>
      <c r="S426">
        <f t="shared" si="977"/>
        <v>-3.4357267701699521</v>
      </c>
      <c r="T426">
        <f t="shared" si="978"/>
        <v>-3.4357267701699522E-3</v>
      </c>
    </row>
    <row r="427" spans="1:20" x14ac:dyDescent="0.25">
      <c r="A427" s="5">
        <v>44166</v>
      </c>
      <c r="B427">
        <v>1.0284</v>
      </c>
      <c r="C427">
        <v>1.0847</v>
      </c>
      <c r="D427">
        <v>0.92269999999999996</v>
      </c>
      <c r="E427">
        <v>0.93730000000000002</v>
      </c>
      <c r="F427">
        <v>1281784.19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-0.81975308641975242</v>
      </c>
      <c r="Q427">
        <f t="shared" si="975"/>
        <v>-1050746.5458765423</v>
      </c>
      <c r="R427">
        <f t="shared" si="976"/>
        <v>-642314.42928465444</v>
      </c>
      <c r="S427">
        <f t="shared" si="977"/>
        <v>-6.4231442928465441</v>
      </c>
      <c r="T427">
        <f t="shared" si="978"/>
        <v>-6.4231442928465443E-3</v>
      </c>
    </row>
    <row r="428" spans="1:20" x14ac:dyDescent="0.25">
      <c r="A428" s="5">
        <v>44165</v>
      </c>
      <c r="B428">
        <v>0.97219999999999995</v>
      </c>
      <c r="C428">
        <v>1.0295000000000001</v>
      </c>
      <c r="D428">
        <v>0.95620000000000005</v>
      </c>
      <c r="E428">
        <v>1.0270999999999999</v>
      </c>
      <c r="F428">
        <v>1137984.08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0.93451568894951764</v>
      </c>
      <c r="Q428">
        <f t="shared" si="975"/>
        <v>1063463.9765347831</v>
      </c>
      <c r="R428">
        <f t="shared" si="976"/>
        <v>408432.1165918879</v>
      </c>
      <c r="S428">
        <f t="shared" si="977"/>
        <v>4.0843211659188787</v>
      </c>
      <c r="T428">
        <f t="shared" si="978"/>
        <v>4.0843211659188786E-3</v>
      </c>
    </row>
    <row r="429" spans="1:20" x14ac:dyDescent="0.25">
      <c r="A429" s="5">
        <v>44164</v>
      </c>
      <c r="B429">
        <v>0.98939999999999995</v>
      </c>
      <c r="C429">
        <v>1.032</v>
      </c>
      <c r="D429">
        <v>0.94130000000000003</v>
      </c>
      <c r="E429">
        <v>0.97219999999999995</v>
      </c>
      <c r="F429">
        <v>976584.95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-0.31863285556780757</v>
      </c>
      <c r="Q429">
        <f t="shared" si="975"/>
        <v>-311172.05132304458</v>
      </c>
      <c r="R429">
        <f t="shared" si="976"/>
        <v>-655031.85994289524</v>
      </c>
      <c r="S429">
        <f t="shared" si="977"/>
        <v>-6.5503185994289526</v>
      </c>
      <c r="T429">
        <f t="shared" si="978"/>
        <v>-6.5503185994289529E-3</v>
      </c>
    </row>
    <row r="430" spans="1:20" x14ac:dyDescent="0.25">
      <c r="A430" s="5">
        <v>44163</v>
      </c>
      <c r="B430">
        <v>0.92290000000000005</v>
      </c>
      <c r="C430">
        <v>1.0071000000000001</v>
      </c>
      <c r="D430">
        <v>0.90690000000000004</v>
      </c>
      <c r="E430">
        <v>0.98950000000000005</v>
      </c>
      <c r="F430">
        <v>870275.52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0.64870259481037829</v>
      </c>
      <c r="Q430">
        <f t="shared" si="975"/>
        <v>564549.9880239513</v>
      </c>
      <c r="R430">
        <f t="shared" si="976"/>
        <v>-343859.80861985066</v>
      </c>
      <c r="S430">
        <f t="shared" si="977"/>
        <v>-3.4385980861985068</v>
      </c>
      <c r="T430">
        <f t="shared" si="978"/>
        <v>-3.4385980861985068E-3</v>
      </c>
    </row>
    <row r="431" spans="1:20" x14ac:dyDescent="0.25">
      <c r="A431" s="5">
        <v>44162</v>
      </c>
      <c r="B431">
        <v>0.93840000000000001</v>
      </c>
      <c r="C431">
        <v>0.95450000000000002</v>
      </c>
      <c r="D431">
        <v>0.85940000000000005</v>
      </c>
      <c r="E431">
        <v>0.92659999999999998</v>
      </c>
      <c r="F431">
        <v>1018261.03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0.41324921135646592</v>
      </c>
      <c r="Q431">
        <f t="shared" si="975"/>
        <v>420795.56760252267</v>
      </c>
      <c r="R431">
        <f t="shared" si="976"/>
        <v>-908409.79664380196</v>
      </c>
      <c r="S431">
        <f t="shared" si="977"/>
        <v>-9.0840979664380193</v>
      </c>
      <c r="T431">
        <f t="shared" si="978"/>
        <v>-9.0840979664380192E-3</v>
      </c>
    </row>
    <row r="432" spans="1:20" x14ac:dyDescent="0.25">
      <c r="A432" s="5">
        <v>44161</v>
      </c>
      <c r="B432">
        <v>1.0822000000000001</v>
      </c>
      <c r="C432">
        <v>1.1014999999999999</v>
      </c>
      <c r="D432">
        <v>0.85009999999999997</v>
      </c>
      <c r="E432">
        <v>0.93510000000000004</v>
      </c>
      <c r="F432">
        <v>2874709.84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-0.32378679395385768</v>
      </c>
      <c r="Q432">
        <f t="shared" si="975"/>
        <v>-930793.08264120715</v>
      </c>
      <c r="R432">
        <f t="shared" si="976"/>
        <v>-1329205.3642463246</v>
      </c>
      <c r="S432">
        <f t="shared" si="977"/>
        <v>-13.292053642463246</v>
      </c>
      <c r="T432">
        <f t="shared" si="978"/>
        <v>-1.3292053642463246E-2</v>
      </c>
    </row>
    <row r="433" spans="1:20" x14ac:dyDescent="0.25">
      <c r="A433" s="5">
        <v>44160</v>
      </c>
      <c r="B433">
        <v>1.2079</v>
      </c>
      <c r="C433">
        <v>1.24</v>
      </c>
      <c r="D433">
        <v>1.0496000000000001</v>
      </c>
      <c r="E433">
        <v>1.0834999999999999</v>
      </c>
      <c r="F433">
        <v>1519597.7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-0.64390756302521179</v>
      </c>
      <c r="Q433">
        <f t="shared" si="975"/>
        <v>-978480.45178571681</v>
      </c>
      <c r="R433">
        <f t="shared" si="976"/>
        <v>-398412.28160511761</v>
      </c>
      <c r="S433">
        <f t="shared" si="977"/>
        <v>-3.9841228160511761</v>
      </c>
      <c r="T433">
        <f t="shared" si="978"/>
        <v>-3.9841228160511759E-3</v>
      </c>
    </row>
    <row r="434" spans="1:20" x14ac:dyDescent="0.25">
      <c r="A434" s="5">
        <v>44159</v>
      </c>
      <c r="B434">
        <v>1.1605000000000001</v>
      </c>
      <c r="C434">
        <v>1.22</v>
      </c>
      <c r="D434">
        <v>1.0953999999999999</v>
      </c>
      <c r="E434">
        <v>1.2079</v>
      </c>
      <c r="F434">
        <v>2411141.6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0.80577849117174971</v>
      </c>
      <c r="Q434">
        <f t="shared" si="975"/>
        <v>1942846.0404494386</v>
      </c>
      <c r="R434">
        <f t="shared" si="976"/>
        <v>580068.17018059921</v>
      </c>
      <c r="S434">
        <f t="shared" si="977"/>
        <v>5.800681701805992</v>
      </c>
      <c r="T434">
        <f t="shared" si="978"/>
        <v>5.800681701805992E-3</v>
      </c>
    </row>
    <row r="435" spans="1:20" x14ac:dyDescent="0.25">
      <c r="A435" s="5">
        <v>44158</v>
      </c>
      <c r="B435">
        <v>1.0213000000000001</v>
      </c>
      <c r="C435">
        <v>1.17</v>
      </c>
      <c r="D435">
        <v>1.0069999999999999</v>
      </c>
      <c r="E435">
        <v>1.1598999999999999</v>
      </c>
      <c r="F435">
        <v>2607068.06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0.87607361963190189</v>
      </c>
      <c r="Q435">
        <f t="shared" si="975"/>
        <v>2283983.5519509204</v>
      </c>
      <c r="R435">
        <f t="shared" si="976"/>
        <v>-1362777.8702688394</v>
      </c>
      <c r="S435">
        <f t="shared" si="977"/>
        <v>-13.627778702688394</v>
      </c>
      <c r="T435">
        <f t="shared" si="978"/>
        <v>-1.3627778702688394E-2</v>
      </c>
    </row>
    <row r="436" spans="1:20" x14ac:dyDescent="0.25">
      <c r="A436" s="5">
        <v>44157</v>
      </c>
      <c r="B436">
        <v>1.0363</v>
      </c>
      <c r="C436">
        <v>1.0488</v>
      </c>
      <c r="D436">
        <v>0.95269999999999999</v>
      </c>
      <c r="E436">
        <v>1.0254000000000001</v>
      </c>
      <c r="F436">
        <v>1342485.47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0.51300728407908691</v>
      </c>
      <c r="Q436">
        <f t="shared" si="975"/>
        <v>688704.82488033653</v>
      </c>
      <c r="R436">
        <f t="shared" si="976"/>
        <v>-3646761.4222197598</v>
      </c>
      <c r="S436">
        <f t="shared" si="977"/>
        <v>-36.467614222197597</v>
      </c>
      <c r="T436">
        <f t="shared" si="978"/>
        <v>-3.6467614222197596E-2</v>
      </c>
    </row>
    <row r="437" spans="1:20" x14ac:dyDescent="0.25">
      <c r="A437" s="5">
        <v>44156</v>
      </c>
      <c r="B437">
        <v>0.97460000000000002</v>
      </c>
      <c r="C437">
        <v>1.077</v>
      </c>
      <c r="D437">
        <v>0.97270000000000001</v>
      </c>
      <c r="E437">
        <v>1.0389999999999999</v>
      </c>
      <c r="F437">
        <v>1523566.64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0.27133269415148509</v>
      </c>
      <c r="Q437">
        <f t="shared" si="975"/>
        <v>413393.44115052576</v>
      </c>
      <c r="R437">
        <f t="shared" si="976"/>
        <v>-4335466.2471000962</v>
      </c>
      <c r="S437">
        <f t="shared" si="977"/>
        <v>-43.354662471000964</v>
      </c>
      <c r="T437">
        <f t="shared" si="978"/>
        <v>-4.3354662471000963E-2</v>
      </c>
    </row>
    <row r="438" spans="1:20" x14ac:dyDescent="0.25">
      <c r="A438" s="5">
        <v>44155</v>
      </c>
      <c r="B438">
        <v>0.96299999999999997</v>
      </c>
      <c r="C438">
        <v>1.0411999999999999</v>
      </c>
      <c r="D438">
        <v>0.95269999999999999</v>
      </c>
      <c r="E438">
        <v>0.97440000000000004</v>
      </c>
      <c r="F438">
        <v>941345.83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-0.50960451977400967</v>
      </c>
      <c r="Q438">
        <f t="shared" si="975"/>
        <v>-479714.08963841654</v>
      </c>
      <c r="R438">
        <f t="shared" si="976"/>
        <v>-4748859.6882506218</v>
      </c>
      <c r="S438">
        <f t="shared" si="977"/>
        <v>-47.488596882506215</v>
      </c>
      <c r="T438">
        <f t="shared" si="978"/>
        <v>-4.7488596882506215E-2</v>
      </c>
    </row>
    <row r="439" spans="1:20" x14ac:dyDescent="0.25">
      <c r="A439" s="5">
        <v>44154</v>
      </c>
      <c r="B439">
        <v>0.97760000000000002</v>
      </c>
      <c r="C439">
        <v>1.0167999999999999</v>
      </c>
      <c r="D439">
        <v>0.93079999999999996</v>
      </c>
      <c r="E439">
        <v>0.96289999999999998</v>
      </c>
      <c r="F439">
        <v>975392.14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-0.25348837209302255</v>
      </c>
      <c r="Q439">
        <f t="shared" si="975"/>
        <v>-247250.56572092956</v>
      </c>
      <c r="R439">
        <f t="shared" si="976"/>
        <v>-4269145.5986122051</v>
      </c>
      <c r="S439">
        <f t="shared" si="977"/>
        <v>-42.691455986122051</v>
      </c>
      <c r="T439">
        <f t="shared" si="978"/>
        <v>-4.2691455986122048E-2</v>
      </c>
    </row>
    <row r="440" spans="1:20" x14ac:dyDescent="0.25">
      <c r="A440" s="5">
        <v>44153</v>
      </c>
      <c r="B440">
        <v>1.0387</v>
      </c>
      <c r="C440">
        <v>1.05</v>
      </c>
      <c r="D440">
        <v>0.91700000000000004</v>
      </c>
      <c r="E440">
        <v>0.97689999999999999</v>
      </c>
      <c r="F440">
        <v>1614494.23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-9.9248120300752626E-2</v>
      </c>
      <c r="Q440">
        <f t="shared" si="975"/>
        <v>-160235.51756391098</v>
      </c>
      <c r="R440">
        <f t="shared" si="976"/>
        <v>-4021895.0328912758</v>
      </c>
      <c r="S440">
        <f t="shared" si="977"/>
        <v>-40.218950328912761</v>
      </c>
      <c r="T440">
        <f t="shared" si="978"/>
        <v>-4.0218950328912761E-2</v>
      </c>
    </row>
    <row r="441" spans="1:20" x14ac:dyDescent="0.25">
      <c r="A441" s="5">
        <v>44152</v>
      </c>
      <c r="B441">
        <v>1.0216000000000001</v>
      </c>
      <c r="C441">
        <v>1.08</v>
      </c>
      <c r="D441">
        <v>1.0161</v>
      </c>
      <c r="E441">
        <v>1.0390999999999999</v>
      </c>
      <c r="F441">
        <v>1348810.05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-0.28012519561815696</v>
      </c>
      <c r="Q441">
        <f t="shared" si="975"/>
        <v>-377835.6791079861</v>
      </c>
      <c r="R441">
        <f t="shared" si="976"/>
        <v>-3861659.5153273647</v>
      </c>
      <c r="S441">
        <f t="shared" si="977"/>
        <v>-38.61659515327365</v>
      </c>
      <c r="T441">
        <f t="shared" si="978"/>
        <v>-3.8616595153273647E-2</v>
      </c>
    </row>
    <row r="442" spans="1:20" x14ac:dyDescent="0.25">
      <c r="A442" s="5">
        <v>44151</v>
      </c>
      <c r="B442">
        <v>1.0128999999999999</v>
      </c>
      <c r="C442">
        <v>1.08</v>
      </c>
      <c r="D442">
        <v>0.99360000000000004</v>
      </c>
      <c r="E442">
        <v>1.0249999999999999</v>
      </c>
      <c r="F442">
        <v>1037830.45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-0.27314814814815136</v>
      </c>
      <c r="Q442">
        <f t="shared" si="975"/>
        <v>-283481.46550926258</v>
      </c>
      <c r="R442">
        <f t="shared" si="976"/>
        <v>-3483823.8362193787</v>
      </c>
      <c r="S442">
        <f t="shared" si="977"/>
        <v>-34.838238362193785</v>
      </c>
      <c r="T442">
        <f t="shared" si="978"/>
        <v>-3.4838238362193782E-2</v>
      </c>
    </row>
    <row r="443" spans="1:20" x14ac:dyDescent="0.25">
      <c r="A443" s="5">
        <v>44150</v>
      </c>
      <c r="B443">
        <v>0.99680000000000002</v>
      </c>
      <c r="C443">
        <v>1.0987</v>
      </c>
      <c r="D443">
        <v>0.97119999999999995</v>
      </c>
      <c r="E443">
        <v>1.0128999999999999</v>
      </c>
      <c r="F443">
        <v>1920524.09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-0.34588235294117742</v>
      </c>
      <c r="Q443">
        <f t="shared" si="975"/>
        <v>-664275.39112941362</v>
      </c>
      <c r="R443">
        <f t="shared" si="976"/>
        <v>-3200342.3707101163</v>
      </c>
      <c r="S443">
        <f t="shared" si="977"/>
        <v>-32.003423707101163</v>
      </c>
      <c r="T443">
        <f t="shared" si="978"/>
        <v>-3.2003423707101165E-2</v>
      </c>
    </row>
    <row r="444" spans="1:20" x14ac:dyDescent="0.25">
      <c r="A444" s="5">
        <v>44149</v>
      </c>
      <c r="B444">
        <v>0.99180000000000001</v>
      </c>
      <c r="C444">
        <v>1.008</v>
      </c>
      <c r="D444">
        <v>0.92949999999999999</v>
      </c>
      <c r="E444">
        <v>0.99580000000000002</v>
      </c>
      <c r="F444">
        <v>1660353.96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0.68917197452229328</v>
      </c>
      <c r="Q444">
        <f t="shared" si="975"/>
        <v>1144269.4170191088</v>
      </c>
      <c r="R444">
        <f t="shared" si="976"/>
        <v>-2536066.9795807027</v>
      </c>
      <c r="S444">
        <f t="shared" si="977"/>
        <v>-25.360669795807027</v>
      </c>
      <c r="T444">
        <f t="shared" si="978"/>
        <v>-2.5360669795807027E-2</v>
      </c>
    </row>
    <row r="445" spans="1:20" x14ac:dyDescent="0.25">
      <c r="A445" s="5">
        <v>44148</v>
      </c>
      <c r="B445">
        <v>0.91679999999999995</v>
      </c>
      <c r="C445">
        <v>1.03</v>
      </c>
      <c r="D445">
        <v>0.90939999999999999</v>
      </c>
      <c r="E445">
        <v>0.98750000000000004</v>
      </c>
      <c r="F445">
        <v>1299710.1599999999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0.29519071310116141</v>
      </c>
      <c r="Q445">
        <f t="shared" si="975"/>
        <v>383662.36895522458</v>
      </c>
      <c r="R445">
        <f t="shared" si="976"/>
        <v>-3680336.3965998115</v>
      </c>
      <c r="S445">
        <f t="shared" si="977"/>
        <v>-36.803363965998116</v>
      </c>
      <c r="T445">
        <f t="shared" si="978"/>
        <v>-3.6803363965998113E-2</v>
      </c>
    </row>
    <row r="446" spans="1:20" x14ac:dyDescent="0.25">
      <c r="A446" s="5">
        <v>44147</v>
      </c>
      <c r="B446">
        <v>0.92849999999999999</v>
      </c>
      <c r="C446">
        <v>1.0022</v>
      </c>
      <c r="D446">
        <v>0.9012</v>
      </c>
      <c r="E446">
        <v>0.91720000000000002</v>
      </c>
      <c r="F446">
        <v>1577824.56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-0.68316831683168278</v>
      </c>
      <c r="Q446">
        <f t="shared" si="975"/>
        <v>-1077919.7489108904</v>
      </c>
      <c r="R446">
        <f t="shared" si="976"/>
        <v>-4063998.7655550363</v>
      </c>
      <c r="S446">
        <f t="shared" si="977"/>
        <v>-40.639987655550364</v>
      </c>
      <c r="T446">
        <f t="shared" si="978"/>
        <v>-4.0639987655550366E-2</v>
      </c>
    </row>
    <row r="447" spans="1:20" x14ac:dyDescent="0.25">
      <c r="A447" s="5">
        <v>44146</v>
      </c>
      <c r="B447">
        <v>1.0027999999999999</v>
      </c>
      <c r="C447">
        <v>1.0790999999999999</v>
      </c>
      <c r="D447">
        <v>0.92410000000000003</v>
      </c>
      <c r="E447">
        <v>0.92689999999999995</v>
      </c>
      <c r="F447">
        <v>1771906.99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-0.96387096774193659</v>
      </c>
      <c r="Q447">
        <f t="shared" si="975"/>
        <v>-1707889.7052000021</v>
      </c>
      <c r="R447">
        <f t="shared" si="976"/>
        <v>-2986079.0166441458</v>
      </c>
      <c r="S447">
        <f t="shared" si="977"/>
        <v>-29.860790166441458</v>
      </c>
      <c r="T447">
        <f t="shared" si="978"/>
        <v>-2.9860790166441456E-2</v>
      </c>
    </row>
    <row r="448" spans="1:20" x14ac:dyDescent="0.25">
      <c r="A448" s="5">
        <v>44145</v>
      </c>
      <c r="B448">
        <v>0.88400000000000001</v>
      </c>
      <c r="C448">
        <v>1.0234000000000001</v>
      </c>
      <c r="D448">
        <v>0.8649</v>
      </c>
      <c r="E448">
        <v>1.0039</v>
      </c>
      <c r="F448">
        <v>2568822.17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0.75394321766561434</v>
      </c>
      <c r="Q448">
        <f t="shared" si="975"/>
        <v>1936746.0524605657</v>
      </c>
      <c r="R448">
        <f t="shared" si="976"/>
        <v>-1278189.3114441438</v>
      </c>
      <c r="S448">
        <f t="shared" si="977"/>
        <v>-12.781893114441438</v>
      </c>
      <c r="T448">
        <f t="shared" si="978"/>
        <v>-1.2781893114441438E-2</v>
      </c>
    </row>
    <row r="449" spans="1:20" x14ac:dyDescent="0.25">
      <c r="A449" s="5">
        <v>44144</v>
      </c>
      <c r="B449">
        <v>0.88560000000000005</v>
      </c>
      <c r="C449">
        <v>0.94259999999999999</v>
      </c>
      <c r="D449">
        <v>0.83099999999999996</v>
      </c>
      <c r="E449">
        <v>0.8851</v>
      </c>
      <c r="F449">
        <v>2751601.99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-3.0465949820788152E-2</v>
      </c>
      <c r="Q449">
        <f t="shared" si="975"/>
        <v>-83830.168154120824</v>
      </c>
      <c r="R449">
        <f t="shared" si="976"/>
        <v>-3214935.3639047095</v>
      </c>
      <c r="S449">
        <f t="shared" si="977"/>
        <v>-32.149353639047092</v>
      </c>
      <c r="T449">
        <f t="shared" si="978"/>
        <v>-3.2149353639047092E-2</v>
      </c>
    </row>
    <row r="450" spans="1:20" x14ac:dyDescent="0.25">
      <c r="A450" s="5">
        <v>44143</v>
      </c>
      <c r="B450">
        <v>0.73280000000000001</v>
      </c>
      <c r="C450">
        <v>0.91</v>
      </c>
      <c r="D450">
        <v>0.71830000000000005</v>
      </c>
      <c r="E450">
        <v>0.88590000000000002</v>
      </c>
      <c r="F450">
        <v>2116792.7400000002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0.74856546687532588</v>
      </c>
      <c r="Q450">
        <f t="shared" si="975"/>
        <v>1584557.9456964005</v>
      </c>
      <c r="R450">
        <f t="shared" si="976"/>
        <v>-3131105.1957505886</v>
      </c>
      <c r="S450">
        <f t="shared" si="977"/>
        <v>-31.311051957505885</v>
      </c>
      <c r="T450">
        <f t="shared" si="978"/>
        <v>-3.1311051957505887E-2</v>
      </c>
    </row>
    <row r="451" spans="1:20" x14ac:dyDescent="0.25">
      <c r="A451" s="5">
        <v>44142</v>
      </c>
      <c r="B451">
        <v>0.78749999999999998</v>
      </c>
      <c r="C451">
        <v>0.85780000000000001</v>
      </c>
      <c r="D451">
        <v>0.68889999999999996</v>
      </c>
      <c r="E451">
        <v>0.73580000000000001</v>
      </c>
      <c r="F451">
        <v>2183635.41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-0.44464179988158625</v>
      </c>
      <c r="Q451">
        <f t="shared" si="975"/>
        <v>-970935.57898756559</v>
      </c>
      <c r="R451">
        <f t="shared" si="976"/>
        <v>-4715663.141446989</v>
      </c>
      <c r="S451">
        <f t="shared" si="977"/>
        <v>-47.156631414469892</v>
      </c>
      <c r="T451">
        <f t="shared" si="978"/>
        <v>-4.7156631414469893E-2</v>
      </c>
    </row>
    <row r="452" spans="1:20" x14ac:dyDescent="0.25">
      <c r="A452" s="5">
        <v>44141</v>
      </c>
      <c r="B452">
        <v>0.68489999999999995</v>
      </c>
      <c r="C452">
        <v>0.81100000000000005</v>
      </c>
      <c r="D452">
        <v>0.6794</v>
      </c>
      <c r="E452">
        <v>0.78690000000000004</v>
      </c>
      <c r="F452">
        <v>1595272.06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0.63373860182370823</v>
      </c>
      <c r="Q452">
        <f t="shared" si="975"/>
        <v>1010985.4848328268</v>
      </c>
      <c r="R452">
        <f t="shared" si="976"/>
        <v>-3744727.5624594232</v>
      </c>
      <c r="S452">
        <f t="shared" si="977"/>
        <v>-37.447275624594234</v>
      </c>
      <c r="T452">
        <f t="shared" si="978"/>
        <v>-3.7447275624594233E-2</v>
      </c>
    </row>
    <row r="453" spans="1:20" x14ac:dyDescent="0.25">
      <c r="A453" s="5">
        <v>44140</v>
      </c>
      <c r="B453">
        <v>0.67410000000000003</v>
      </c>
      <c r="C453">
        <v>0.70409999999999995</v>
      </c>
      <c r="D453">
        <v>0.64339999999999997</v>
      </c>
      <c r="E453">
        <v>0.68430000000000002</v>
      </c>
      <c r="F453">
        <v>1274042.77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0.34761120263591644</v>
      </c>
      <c r="Q453">
        <f t="shared" si="975"/>
        <v>442871.53948929429</v>
      </c>
      <c r="R453">
        <f t="shared" si="976"/>
        <v>-4755713.0472922502</v>
      </c>
      <c r="S453">
        <f t="shared" si="977"/>
        <v>-47.557130472922502</v>
      </c>
      <c r="T453">
        <f t="shared" si="978"/>
        <v>-4.7557130472922503E-2</v>
      </c>
    </row>
    <row r="454" spans="1:20" x14ac:dyDescent="0.25">
      <c r="A454" s="5">
        <v>44139</v>
      </c>
      <c r="B454">
        <v>0.70740000000000003</v>
      </c>
      <c r="C454">
        <v>0.71</v>
      </c>
      <c r="D454">
        <v>0.64370000000000005</v>
      </c>
      <c r="E454">
        <v>0.67369999999999997</v>
      </c>
      <c r="F454">
        <v>1370680.7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-9.5022624434390524E-2</v>
      </c>
      <c r="Q454">
        <f t="shared" ref="Q454:Q517" si="980">F454*P454</f>
        <v>-130245.67737556751</v>
      </c>
      <c r="R454">
        <f t="shared" ref="R454:R517" si="981">R455+Q454</f>
        <v>-5198584.5867815446</v>
      </c>
      <c r="S454">
        <f t="shared" ref="S454:S517" si="982">R454/100000</f>
        <v>-51.985845867815449</v>
      </c>
      <c r="T454">
        <f t="shared" ref="T454:T517" si="983">S454/1000</f>
        <v>-5.1985845867815447E-2</v>
      </c>
    </row>
    <row r="455" spans="1:20" x14ac:dyDescent="0.25">
      <c r="A455" s="5">
        <v>44138</v>
      </c>
      <c r="B455">
        <v>0.72640000000000005</v>
      </c>
      <c r="C455">
        <v>0.73160000000000003</v>
      </c>
      <c r="D455">
        <v>0.69189999999999996</v>
      </c>
      <c r="E455">
        <v>0.70740000000000003</v>
      </c>
      <c r="F455">
        <v>933238.92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-0.21914357682619434</v>
      </c>
      <c r="Q455">
        <f t="shared" si="980"/>
        <v>-204513.31496221464</v>
      </c>
      <c r="R455">
        <f t="shared" si="981"/>
        <v>-5068338.9094059775</v>
      </c>
      <c r="S455">
        <f t="shared" si="982"/>
        <v>-50.683389094059777</v>
      </c>
      <c r="T455">
        <f t="shared" si="983"/>
        <v>-5.0683389094059776E-2</v>
      </c>
    </row>
    <row r="456" spans="1:20" x14ac:dyDescent="0.25">
      <c r="A456" s="5">
        <v>44137</v>
      </c>
      <c r="B456">
        <v>0.75609999999999999</v>
      </c>
      <c r="C456">
        <v>0.79139999999999999</v>
      </c>
      <c r="D456">
        <v>0.71679999999999999</v>
      </c>
      <c r="E456">
        <v>0.72660000000000002</v>
      </c>
      <c r="F456">
        <v>581444.09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-0.73726541554959701</v>
      </c>
      <c r="Q456">
        <f t="shared" si="980"/>
        <v>-428678.61863270728</v>
      </c>
      <c r="R456">
        <f t="shared" si="981"/>
        <v>-4863825.5944437627</v>
      </c>
      <c r="S456">
        <f t="shared" si="982"/>
        <v>-48.638255944437624</v>
      </c>
      <c r="T456">
        <f t="shared" si="983"/>
        <v>-4.8638255944437624E-2</v>
      </c>
    </row>
    <row r="457" spans="1:20" x14ac:dyDescent="0.25">
      <c r="A457" s="5">
        <v>44136</v>
      </c>
      <c r="B457">
        <v>0.72689999999999999</v>
      </c>
      <c r="C457">
        <v>0.76029999999999998</v>
      </c>
      <c r="D457">
        <v>0.71550000000000002</v>
      </c>
      <c r="E457">
        <v>0.75309999999999999</v>
      </c>
      <c r="F457">
        <v>721763.01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0.67857142857142894</v>
      </c>
      <c r="Q457">
        <f t="shared" si="980"/>
        <v>489767.75678571453</v>
      </c>
      <c r="R457">
        <f t="shared" si="981"/>
        <v>-4435146.9758110549</v>
      </c>
      <c r="S457">
        <f t="shared" si="982"/>
        <v>-44.351469758110547</v>
      </c>
      <c r="T457">
        <f t="shared" si="983"/>
        <v>-4.4351469758110544E-2</v>
      </c>
    </row>
    <row r="458" spans="1:20" x14ac:dyDescent="0.25">
      <c r="A458" s="5">
        <v>44135</v>
      </c>
      <c r="B458">
        <v>0.76749999999999996</v>
      </c>
      <c r="C458">
        <v>0.77829999999999999</v>
      </c>
      <c r="D458">
        <v>0.72419999999999995</v>
      </c>
      <c r="E458">
        <v>0.72699999999999998</v>
      </c>
      <c r="F458">
        <v>660212.42000000004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-0.89648798521256845</v>
      </c>
      <c r="Q458">
        <f t="shared" si="980"/>
        <v>-591872.5022181141</v>
      </c>
      <c r="R458">
        <f t="shared" si="981"/>
        <v>-4924914.7325967699</v>
      </c>
      <c r="S458">
        <f t="shared" si="982"/>
        <v>-49.249147325967698</v>
      </c>
      <c r="T458">
        <f t="shared" si="983"/>
        <v>-4.9249147325967697E-2</v>
      </c>
    </row>
    <row r="459" spans="1:20" x14ac:dyDescent="0.25">
      <c r="A459" s="5">
        <v>44134</v>
      </c>
      <c r="B459">
        <v>0.75139999999999996</v>
      </c>
      <c r="C459">
        <v>0.78159999999999996</v>
      </c>
      <c r="D459">
        <v>0.70660000000000001</v>
      </c>
      <c r="E459">
        <v>0.76780000000000004</v>
      </c>
      <c r="F459">
        <v>1017890.98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0.63200000000000178</v>
      </c>
      <c r="Q459">
        <f t="shared" si="980"/>
        <v>643307.09936000186</v>
      </c>
      <c r="R459">
        <f t="shared" si="981"/>
        <v>-4333042.2303786557</v>
      </c>
      <c r="S459">
        <f t="shared" si="982"/>
        <v>-43.330422303786555</v>
      </c>
      <c r="T459">
        <f t="shared" si="983"/>
        <v>-4.3330422303786559E-2</v>
      </c>
    </row>
    <row r="460" spans="1:20" x14ac:dyDescent="0.25">
      <c r="A460" s="5">
        <v>44133</v>
      </c>
      <c r="B460">
        <v>0.8034</v>
      </c>
      <c r="C460">
        <v>0.8276</v>
      </c>
      <c r="D460">
        <v>0.746</v>
      </c>
      <c r="E460">
        <v>0.75380000000000003</v>
      </c>
      <c r="F460">
        <v>874640.67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-0.80882352941176405</v>
      </c>
      <c r="Q460">
        <f t="shared" si="980"/>
        <v>-707429.95367647009</v>
      </c>
      <c r="R460">
        <f t="shared" si="981"/>
        <v>-4976349.3297386579</v>
      </c>
      <c r="S460">
        <f t="shared" si="982"/>
        <v>-49.763493297386582</v>
      </c>
      <c r="T460">
        <f t="shared" si="983"/>
        <v>-4.976349329738658E-2</v>
      </c>
    </row>
    <row r="461" spans="1:20" x14ac:dyDescent="0.25">
      <c r="A461" s="5">
        <v>44132</v>
      </c>
      <c r="B461">
        <v>0.85980000000000001</v>
      </c>
      <c r="C461">
        <v>0.86629999999999996</v>
      </c>
      <c r="D461">
        <v>0.78110000000000002</v>
      </c>
      <c r="E461">
        <v>0.80349999999999999</v>
      </c>
      <c r="F461">
        <v>1571565.58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-0.47417840375586878</v>
      </c>
      <c r="Q461">
        <f t="shared" si="980"/>
        <v>-745202.45812206611</v>
      </c>
      <c r="R461">
        <f t="shared" si="981"/>
        <v>-4268919.3760621874</v>
      </c>
      <c r="S461">
        <f t="shared" si="982"/>
        <v>-42.689193760621876</v>
      </c>
      <c r="T461">
        <f t="shared" si="983"/>
        <v>-4.2689193760621878E-2</v>
      </c>
    </row>
    <row r="462" spans="1:20" x14ac:dyDescent="0.25">
      <c r="A462" s="5">
        <v>44131</v>
      </c>
      <c r="B462">
        <v>0.88119999999999998</v>
      </c>
      <c r="C462">
        <v>0.88870000000000005</v>
      </c>
      <c r="D462">
        <v>0.84289999999999998</v>
      </c>
      <c r="E462">
        <v>0.86070000000000002</v>
      </c>
      <c r="F462">
        <v>951742.44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-0.22270742358078544</v>
      </c>
      <c r="Q462">
        <f t="shared" si="980"/>
        <v>-211960.10672489027</v>
      </c>
      <c r="R462">
        <f t="shared" si="981"/>
        <v>-3523716.9179401216</v>
      </c>
      <c r="S462">
        <f t="shared" si="982"/>
        <v>-35.237169179401214</v>
      </c>
      <c r="T462">
        <f t="shared" si="983"/>
        <v>-3.5237169179401215E-2</v>
      </c>
    </row>
    <row r="463" spans="1:20" x14ac:dyDescent="0.25">
      <c r="A463" s="5">
        <v>44130</v>
      </c>
      <c r="B463">
        <v>0.90569999999999995</v>
      </c>
      <c r="C463">
        <v>0.93769999999999998</v>
      </c>
      <c r="D463">
        <v>0.85940000000000005</v>
      </c>
      <c r="E463">
        <v>0.88129999999999997</v>
      </c>
      <c r="F463">
        <v>1003372.49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-0.44061302681992487</v>
      </c>
      <c r="Q463">
        <f t="shared" si="980"/>
        <v>-442098.98984674481</v>
      </c>
      <c r="R463">
        <f t="shared" si="981"/>
        <v>-3311756.8112152312</v>
      </c>
      <c r="S463">
        <f t="shared" si="982"/>
        <v>-33.117568112152313</v>
      </c>
      <c r="T463">
        <f t="shared" si="983"/>
        <v>-3.3117568112152315E-2</v>
      </c>
    </row>
    <row r="464" spans="1:20" x14ac:dyDescent="0.25">
      <c r="A464" s="5">
        <v>44129</v>
      </c>
      <c r="B464">
        <v>0.92879999999999996</v>
      </c>
      <c r="C464">
        <v>0.97319999999999995</v>
      </c>
      <c r="D464">
        <v>0.90280000000000005</v>
      </c>
      <c r="E464">
        <v>0.90429999999999999</v>
      </c>
      <c r="F464">
        <v>1353709.97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-0.95738636363636509</v>
      </c>
      <c r="Q464">
        <f t="shared" si="980"/>
        <v>-1296023.4655965928</v>
      </c>
      <c r="R464">
        <f t="shared" si="981"/>
        <v>-2869657.8213684866</v>
      </c>
      <c r="S464">
        <f t="shared" si="982"/>
        <v>-28.696578213684866</v>
      </c>
      <c r="T464">
        <f t="shared" si="983"/>
        <v>-2.8696578213684865E-2</v>
      </c>
    </row>
    <row r="465" spans="1:20" x14ac:dyDescent="0.25">
      <c r="A465" s="5">
        <v>44128</v>
      </c>
      <c r="B465">
        <v>0.88780000000000003</v>
      </c>
      <c r="C465">
        <v>0.93659999999999999</v>
      </c>
      <c r="D465">
        <v>0.877</v>
      </c>
      <c r="E465">
        <v>0.92710000000000004</v>
      </c>
      <c r="F465">
        <v>948131.8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0.68120805369127668</v>
      </c>
      <c r="Q465">
        <f t="shared" si="980"/>
        <v>645875.01812080678</v>
      </c>
      <c r="R465">
        <f t="shared" si="981"/>
        <v>-1573634.3557718941</v>
      </c>
      <c r="S465">
        <f t="shared" si="982"/>
        <v>-15.736343557718941</v>
      </c>
      <c r="T465">
        <f t="shared" si="983"/>
        <v>-1.573634355771894E-2</v>
      </c>
    </row>
    <row r="466" spans="1:20" x14ac:dyDescent="0.25">
      <c r="A466" s="5">
        <v>44127</v>
      </c>
      <c r="B466">
        <v>0.88990000000000002</v>
      </c>
      <c r="C466">
        <v>0.92920000000000003</v>
      </c>
      <c r="D466">
        <v>0.86080000000000001</v>
      </c>
      <c r="E466">
        <v>0.88790000000000002</v>
      </c>
      <c r="F466">
        <v>957259.98</v>
      </c>
      <c r="G466">
        <v>0</v>
      </c>
      <c r="L466" t="s">
        <v>7</v>
      </c>
      <c r="M466" t="s">
        <v>8</v>
      </c>
      <c r="N466" t="s">
        <v>8</v>
      </c>
      <c r="P466">
        <f t="shared" si="979"/>
        <v>-0.20760233918128637</v>
      </c>
      <c r="Q466">
        <f t="shared" si="980"/>
        <v>-198729.41105263142</v>
      </c>
      <c r="R466">
        <f t="shared" si="981"/>
        <v>-2219509.3738927008</v>
      </c>
      <c r="S466">
        <f t="shared" si="982"/>
        <v>-22.195093738927007</v>
      </c>
      <c r="T466">
        <f t="shared" si="983"/>
        <v>-2.2195093738927005E-2</v>
      </c>
    </row>
    <row r="467" spans="1:20" x14ac:dyDescent="0.25">
      <c r="A467" s="5">
        <v>44126</v>
      </c>
      <c r="B467">
        <v>0.86329999999999996</v>
      </c>
      <c r="C467">
        <v>0.92759999999999998</v>
      </c>
      <c r="D467">
        <v>0.85970000000000002</v>
      </c>
      <c r="E467">
        <v>0.88970000000000005</v>
      </c>
      <c r="F467">
        <v>1308778.51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-0.11634756995581608</v>
      </c>
      <c r="Q467">
        <f t="shared" si="980"/>
        <v>-152273.19924889374</v>
      </c>
      <c r="R467">
        <f t="shared" si="981"/>
        <v>-2020779.9628400696</v>
      </c>
      <c r="S467">
        <f t="shared" si="982"/>
        <v>-20.207799628400696</v>
      </c>
      <c r="T467">
        <f t="shared" si="983"/>
        <v>-2.0207799628400698E-2</v>
      </c>
    </row>
    <row r="468" spans="1:20" x14ac:dyDescent="0.25">
      <c r="A468" s="5">
        <v>44125</v>
      </c>
      <c r="B468">
        <v>0.78369999999999995</v>
      </c>
      <c r="C468">
        <v>0.91300000000000003</v>
      </c>
      <c r="D468">
        <v>0.78</v>
      </c>
      <c r="E468">
        <v>0.86270000000000002</v>
      </c>
      <c r="F468">
        <v>2375027.9500000002</v>
      </c>
      <c r="G468">
        <v>0</v>
      </c>
      <c r="L468" t="s">
        <v>8</v>
      </c>
      <c r="M468" t="s">
        <v>8</v>
      </c>
      <c r="N468" t="s">
        <v>8</v>
      </c>
      <c r="P468">
        <f t="shared" si="979"/>
        <v>0.24360902255639086</v>
      </c>
      <c r="Q468">
        <f t="shared" si="980"/>
        <v>578578.23744360881</v>
      </c>
      <c r="R468">
        <f t="shared" si="981"/>
        <v>-1868506.7635911759</v>
      </c>
      <c r="S468">
        <f t="shared" si="982"/>
        <v>-18.685067635911761</v>
      </c>
      <c r="T468">
        <f t="shared" si="983"/>
        <v>-1.868506763591176E-2</v>
      </c>
    </row>
    <row r="469" spans="1:20" x14ac:dyDescent="0.25">
      <c r="A469" s="5">
        <v>44124</v>
      </c>
      <c r="B469">
        <v>0.85309999999999997</v>
      </c>
      <c r="C469">
        <v>0.85329999999999995</v>
      </c>
      <c r="D469">
        <v>0.77300000000000002</v>
      </c>
      <c r="E469">
        <v>0.78500000000000003</v>
      </c>
      <c r="F469">
        <v>1273708.05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-0.70112079701120744</v>
      </c>
      <c r="Q469">
        <f t="shared" si="980"/>
        <v>-893023.20317559084</v>
      </c>
      <c r="R469">
        <f t="shared" si="981"/>
        <v>-2447085.0010347846</v>
      </c>
      <c r="S469">
        <f t="shared" si="982"/>
        <v>-24.470850010347846</v>
      </c>
      <c r="T469">
        <f t="shared" si="983"/>
        <v>-2.4470850010347846E-2</v>
      </c>
    </row>
    <row r="470" spans="1:20" x14ac:dyDescent="0.25">
      <c r="A470" s="5">
        <v>44123</v>
      </c>
      <c r="B470">
        <v>0.90780000000000005</v>
      </c>
      <c r="C470">
        <v>0.91090000000000004</v>
      </c>
      <c r="D470">
        <v>0.8488</v>
      </c>
      <c r="E470">
        <v>0.85350000000000004</v>
      </c>
      <c r="F470">
        <v>714965.67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-0.84863123993558665</v>
      </c>
      <c r="Q470">
        <f t="shared" si="980"/>
        <v>-606742.20304347749</v>
      </c>
      <c r="R470">
        <f t="shared" si="981"/>
        <v>-1554061.7978591938</v>
      </c>
      <c r="S470">
        <f t="shared" si="982"/>
        <v>-15.540617978591937</v>
      </c>
      <c r="T470">
        <f t="shared" si="983"/>
        <v>-1.5540617978591938E-2</v>
      </c>
    </row>
    <row r="471" spans="1:20" x14ac:dyDescent="0.25">
      <c r="A471" s="5">
        <v>44122</v>
      </c>
      <c r="B471">
        <v>0.86950000000000005</v>
      </c>
      <c r="C471">
        <v>0.91500000000000004</v>
      </c>
      <c r="D471">
        <v>0.84</v>
      </c>
      <c r="E471">
        <v>0.90480000000000005</v>
      </c>
      <c r="F471">
        <v>816701.91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0.72800000000000065</v>
      </c>
      <c r="Q471">
        <f t="shared" si="980"/>
        <v>594558.9904800005</v>
      </c>
      <c r="R471">
        <f t="shared" si="981"/>
        <v>-947319.59481571626</v>
      </c>
      <c r="S471">
        <f t="shared" si="982"/>
        <v>-9.4731959481571621</v>
      </c>
      <c r="T471">
        <f t="shared" si="983"/>
        <v>-9.4731959481571624E-3</v>
      </c>
    </row>
    <row r="472" spans="1:20" x14ac:dyDescent="0.25">
      <c r="A472" s="5">
        <v>44121</v>
      </c>
      <c r="B472">
        <v>0.83430000000000004</v>
      </c>
      <c r="C472">
        <v>0.87280000000000002</v>
      </c>
      <c r="D472">
        <v>0.81410000000000005</v>
      </c>
      <c r="E472">
        <v>0.86929999999999996</v>
      </c>
      <c r="F472">
        <v>469221.42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0.88074957410561971</v>
      </c>
      <c r="Q472">
        <f t="shared" si="980"/>
        <v>413266.56582623412</v>
      </c>
      <c r="R472">
        <f t="shared" si="981"/>
        <v>-1541878.5852957168</v>
      </c>
      <c r="S472">
        <f t="shared" si="982"/>
        <v>-15.418785852957168</v>
      </c>
      <c r="T472">
        <f t="shared" si="983"/>
        <v>-1.5418785852957168E-2</v>
      </c>
    </row>
    <row r="473" spans="1:20" x14ac:dyDescent="0.25">
      <c r="A473" s="5">
        <v>44120</v>
      </c>
      <c r="B473">
        <v>0.89329999999999998</v>
      </c>
      <c r="C473">
        <v>0.89800000000000002</v>
      </c>
      <c r="D473">
        <v>0.82350000000000001</v>
      </c>
      <c r="E473">
        <v>0.8327</v>
      </c>
      <c r="F473">
        <v>950166.1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-0.75302013422818836</v>
      </c>
      <c r="Q473">
        <f t="shared" si="980"/>
        <v>-715494.20416107425</v>
      </c>
      <c r="R473">
        <f t="shared" si="981"/>
        <v>-1955145.1511219509</v>
      </c>
      <c r="S473">
        <f t="shared" si="982"/>
        <v>-19.551451511219508</v>
      </c>
      <c r="T473">
        <f t="shared" si="983"/>
        <v>-1.9551451511219509E-2</v>
      </c>
    </row>
    <row r="474" spans="1:20" x14ac:dyDescent="0.25">
      <c r="A474" s="5">
        <v>44119</v>
      </c>
      <c r="B474">
        <v>0.96699999999999997</v>
      </c>
      <c r="C474">
        <v>0.96719999999999995</v>
      </c>
      <c r="D474">
        <v>0.87460000000000004</v>
      </c>
      <c r="E474">
        <v>0.89170000000000005</v>
      </c>
      <c r="F474">
        <v>1399293.59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-0.63066954643628459</v>
      </c>
      <c r="Q474">
        <f t="shared" si="980"/>
        <v>-882491.85373650037</v>
      </c>
      <c r="R474">
        <f t="shared" si="981"/>
        <v>-1239650.9469608767</v>
      </c>
      <c r="S474">
        <f t="shared" si="982"/>
        <v>-12.396509469608766</v>
      </c>
      <c r="T474">
        <f t="shared" si="983"/>
        <v>-1.2396509469608767E-2</v>
      </c>
    </row>
    <row r="475" spans="1:20" x14ac:dyDescent="0.25">
      <c r="A475" s="5">
        <v>44118</v>
      </c>
      <c r="B475">
        <v>1.0381</v>
      </c>
      <c r="C475">
        <v>1.081</v>
      </c>
      <c r="D475">
        <v>0.93469999999999998</v>
      </c>
      <c r="E475">
        <v>0.96399999999999997</v>
      </c>
      <c r="F475">
        <v>2880352.45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-0.5994531784005469</v>
      </c>
      <c r="Q475">
        <f t="shared" si="980"/>
        <v>-1726636.4310663026</v>
      </c>
      <c r="R475">
        <f t="shared" si="981"/>
        <v>-357159.09322437644</v>
      </c>
      <c r="S475">
        <f t="shared" si="982"/>
        <v>-3.5715909322437644</v>
      </c>
      <c r="T475">
        <f t="shared" si="983"/>
        <v>-3.5715909322437643E-3</v>
      </c>
    </row>
    <row r="476" spans="1:20" x14ac:dyDescent="0.25">
      <c r="A476" s="5">
        <v>44117</v>
      </c>
      <c r="B476">
        <v>0.93169999999999997</v>
      </c>
      <c r="C476">
        <v>1.06</v>
      </c>
      <c r="D476">
        <v>0.90500000000000003</v>
      </c>
      <c r="E476">
        <v>1.0401</v>
      </c>
      <c r="F476">
        <v>1556503.35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0.74322580645161263</v>
      </c>
      <c r="Q476">
        <f t="shared" si="980"/>
        <v>1156833.4575483867</v>
      </c>
      <c r="R476">
        <f t="shared" si="981"/>
        <v>1369477.3378419261</v>
      </c>
      <c r="S476">
        <f t="shared" si="982"/>
        <v>13.694773378419262</v>
      </c>
      <c r="T476">
        <f t="shared" si="983"/>
        <v>1.3694773378419262E-2</v>
      </c>
    </row>
    <row r="477" spans="1:20" x14ac:dyDescent="0.25">
      <c r="A477" s="5">
        <v>44116</v>
      </c>
      <c r="B477">
        <v>0.92330000000000001</v>
      </c>
      <c r="C477">
        <v>0.96689999999999998</v>
      </c>
      <c r="D477">
        <v>0.89390000000000003</v>
      </c>
      <c r="E477">
        <v>0.93169999999999997</v>
      </c>
      <c r="F477">
        <v>1044115.55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3.5616438356163523E-2</v>
      </c>
      <c r="Q477">
        <f t="shared" si="980"/>
        <v>37187.677123286776</v>
      </c>
      <c r="R477">
        <f t="shared" si="981"/>
        <v>212643.88029353949</v>
      </c>
      <c r="S477">
        <f t="shared" si="982"/>
        <v>2.1264388029353949</v>
      </c>
      <c r="T477">
        <f t="shared" si="983"/>
        <v>2.1264388029353948E-3</v>
      </c>
    </row>
    <row r="478" spans="1:20" x14ac:dyDescent="0.25">
      <c r="A478" s="5">
        <v>44115</v>
      </c>
      <c r="B478">
        <v>0.91859999999999997</v>
      </c>
      <c r="C478">
        <v>0.97360000000000002</v>
      </c>
      <c r="D478">
        <v>0.8962</v>
      </c>
      <c r="E478">
        <v>0.92449999999999999</v>
      </c>
      <c r="F478">
        <v>1334202.06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-0.26873385012919943</v>
      </c>
      <c r="Q478">
        <f t="shared" si="980"/>
        <v>-358545.25643410918</v>
      </c>
      <c r="R478">
        <f t="shared" si="981"/>
        <v>175456.20317025273</v>
      </c>
      <c r="S478">
        <f t="shared" si="982"/>
        <v>1.7545620317025272</v>
      </c>
      <c r="T478">
        <f t="shared" si="983"/>
        <v>1.7545620317025272E-3</v>
      </c>
    </row>
    <row r="479" spans="1:20" x14ac:dyDescent="0.25">
      <c r="A479" s="5">
        <v>44114</v>
      </c>
      <c r="B479">
        <v>0.83309999999999995</v>
      </c>
      <c r="C479">
        <v>0.97</v>
      </c>
      <c r="D479">
        <v>0.82499999999999996</v>
      </c>
      <c r="E479">
        <v>0.91830000000000001</v>
      </c>
      <c r="F479">
        <v>1726468.19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0.28689655172413847</v>
      </c>
      <c r="Q479">
        <f t="shared" si="980"/>
        <v>495317.77037241473</v>
      </c>
      <c r="R479">
        <f t="shared" si="981"/>
        <v>534001.45960436191</v>
      </c>
      <c r="S479">
        <f t="shared" si="982"/>
        <v>5.3400145960436189</v>
      </c>
      <c r="T479">
        <f t="shared" si="983"/>
        <v>5.3400145960436187E-3</v>
      </c>
    </row>
    <row r="480" spans="1:20" x14ac:dyDescent="0.25">
      <c r="A480" s="5">
        <v>44113</v>
      </c>
      <c r="B480">
        <v>0.78879999999999995</v>
      </c>
      <c r="C480">
        <v>0.84940000000000004</v>
      </c>
      <c r="D480">
        <v>0.76149999999999995</v>
      </c>
      <c r="E480">
        <v>0.83630000000000004</v>
      </c>
      <c r="F480">
        <v>1280370.33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0.70193401592719029</v>
      </c>
      <c r="Q480">
        <f t="shared" si="980"/>
        <v>898735.48761092196</v>
      </c>
      <c r="R480">
        <f t="shared" si="981"/>
        <v>38683.689231947181</v>
      </c>
      <c r="S480">
        <f t="shared" si="982"/>
        <v>0.38683689231947183</v>
      </c>
      <c r="T480">
        <f t="shared" si="983"/>
        <v>3.8683689231947183E-4</v>
      </c>
    </row>
    <row r="481" spans="1:20" x14ac:dyDescent="0.25">
      <c r="A481" s="5">
        <v>44112</v>
      </c>
      <c r="B481">
        <v>0.79500000000000004</v>
      </c>
      <c r="C481">
        <v>0.8</v>
      </c>
      <c r="D481">
        <v>0.72209999999999996</v>
      </c>
      <c r="E481">
        <v>0.78859999999999997</v>
      </c>
      <c r="F481">
        <v>1134034.93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0.70731707317073</v>
      </c>
      <c r="Q481">
        <f t="shared" si="980"/>
        <v>802122.26756097365</v>
      </c>
      <c r="R481">
        <f t="shared" si="981"/>
        <v>-860051.79837897478</v>
      </c>
      <c r="S481">
        <f t="shared" si="982"/>
        <v>-8.6005179837897483</v>
      </c>
      <c r="T481">
        <f t="shared" si="983"/>
        <v>-8.6005179837897478E-3</v>
      </c>
    </row>
    <row r="482" spans="1:20" x14ac:dyDescent="0.25">
      <c r="A482" s="5">
        <v>44111</v>
      </c>
      <c r="B482">
        <v>0.77239999999999998</v>
      </c>
      <c r="C482">
        <v>0.79579999999999995</v>
      </c>
      <c r="D482">
        <v>0.72</v>
      </c>
      <c r="E482">
        <v>0.79490000000000005</v>
      </c>
      <c r="F482">
        <v>1195062.76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0.97625329815303696</v>
      </c>
      <c r="Q482">
        <f t="shared" si="980"/>
        <v>1166683.9609498712</v>
      </c>
      <c r="R482">
        <f t="shared" si="981"/>
        <v>-1662174.0659399484</v>
      </c>
      <c r="S482">
        <f t="shared" si="982"/>
        <v>-16.621740659399485</v>
      </c>
      <c r="T482">
        <f t="shared" si="983"/>
        <v>-1.6621740659399486E-2</v>
      </c>
    </row>
    <row r="483" spans="1:20" x14ac:dyDescent="0.25">
      <c r="A483" s="5">
        <v>44110</v>
      </c>
      <c r="B483">
        <v>0.90269999999999995</v>
      </c>
      <c r="C483">
        <v>0.90269999999999995</v>
      </c>
      <c r="D483">
        <v>0.76329999999999998</v>
      </c>
      <c r="E483">
        <v>0.77249999999999996</v>
      </c>
      <c r="F483">
        <v>1267321.6200000001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-0.86800573888091836</v>
      </c>
      <c r="Q483">
        <f t="shared" si="980"/>
        <v>-1100042.4391678625</v>
      </c>
      <c r="R483">
        <f t="shared" si="981"/>
        <v>-2828858.0268898197</v>
      </c>
      <c r="S483">
        <f t="shared" si="982"/>
        <v>-28.288580268898198</v>
      </c>
      <c r="T483">
        <f t="shared" si="983"/>
        <v>-2.8288580268898196E-2</v>
      </c>
    </row>
    <row r="484" spans="1:20" x14ac:dyDescent="0.25">
      <c r="A484" s="5">
        <v>44109</v>
      </c>
      <c r="B484">
        <v>0.86409999999999998</v>
      </c>
      <c r="C484">
        <v>0.90669999999999995</v>
      </c>
      <c r="D484">
        <v>0.82769999999999999</v>
      </c>
      <c r="E484">
        <v>0.90100000000000002</v>
      </c>
      <c r="F484">
        <v>1053754.79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0.85569620253164735</v>
      </c>
      <c r="Q484">
        <f t="shared" si="980"/>
        <v>901693.97220253351</v>
      </c>
      <c r="R484">
        <f t="shared" si="981"/>
        <v>-1728815.5877219574</v>
      </c>
      <c r="S484">
        <f t="shared" si="982"/>
        <v>-17.288155877219573</v>
      </c>
      <c r="T484">
        <f t="shared" si="983"/>
        <v>-1.7288155877219574E-2</v>
      </c>
    </row>
    <row r="485" spans="1:20" x14ac:dyDescent="0.25">
      <c r="A485" s="5">
        <v>44108</v>
      </c>
      <c r="B485">
        <v>0.83550000000000002</v>
      </c>
      <c r="C485">
        <v>0.88990000000000002</v>
      </c>
      <c r="D485">
        <v>0.82630000000000003</v>
      </c>
      <c r="E485">
        <v>0.86409999999999998</v>
      </c>
      <c r="F485">
        <v>762359.18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0.18867924528301733</v>
      </c>
      <c r="Q485">
        <f t="shared" si="980"/>
        <v>143841.35471697996</v>
      </c>
      <c r="R485">
        <f t="shared" si="981"/>
        <v>-2630509.5599244907</v>
      </c>
      <c r="S485">
        <f t="shared" si="982"/>
        <v>-26.305095599244908</v>
      </c>
      <c r="T485">
        <f t="shared" si="983"/>
        <v>-2.6305095599244908E-2</v>
      </c>
    </row>
    <row r="486" spans="1:20" x14ac:dyDescent="0.25">
      <c r="A486" s="5">
        <v>44107</v>
      </c>
      <c r="B486">
        <v>0.86970000000000003</v>
      </c>
      <c r="C486">
        <v>0.89</v>
      </c>
      <c r="D486">
        <v>0.83340000000000003</v>
      </c>
      <c r="E486">
        <v>0.83540000000000003</v>
      </c>
      <c r="F486">
        <v>831745.76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-0.92932862190812715</v>
      </c>
      <c r="Q486">
        <f t="shared" si="980"/>
        <v>-772965.14091872785</v>
      </c>
      <c r="R486">
        <f t="shared" si="981"/>
        <v>-2774350.9146414706</v>
      </c>
      <c r="S486">
        <f t="shared" si="982"/>
        <v>-27.743509146414706</v>
      </c>
      <c r="T486">
        <f t="shared" si="983"/>
        <v>-2.7743509146414706E-2</v>
      </c>
    </row>
    <row r="487" spans="1:20" x14ac:dyDescent="0.25">
      <c r="A487" s="5">
        <v>44106</v>
      </c>
      <c r="B487">
        <v>0.91190000000000004</v>
      </c>
      <c r="C487">
        <v>0.91810000000000003</v>
      </c>
      <c r="D487">
        <v>0.78910000000000002</v>
      </c>
      <c r="E487">
        <v>0.86970000000000003</v>
      </c>
      <c r="F487">
        <v>2122991.67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0.24961240310077523</v>
      </c>
      <c r="Q487">
        <f t="shared" si="980"/>
        <v>529925.05251162802</v>
      </c>
      <c r="R487">
        <f t="shared" si="981"/>
        <v>-2001385.7737227429</v>
      </c>
      <c r="S487">
        <f t="shared" si="982"/>
        <v>-20.013857737227429</v>
      </c>
      <c r="T487">
        <f t="shared" si="983"/>
        <v>-2.0013857737227428E-2</v>
      </c>
    </row>
    <row r="488" spans="1:20" x14ac:dyDescent="0.25">
      <c r="A488" s="5">
        <v>44105</v>
      </c>
      <c r="B488">
        <v>0.90690000000000004</v>
      </c>
      <c r="C488">
        <v>0.96450000000000002</v>
      </c>
      <c r="D488">
        <v>0.85</v>
      </c>
      <c r="E488">
        <v>0.91180000000000005</v>
      </c>
      <c r="F488">
        <v>1747622.5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7.947598253275201E-2</v>
      </c>
      <c r="Q488">
        <f t="shared" si="980"/>
        <v>138894.0152838444</v>
      </c>
      <c r="R488">
        <f t="shared" si="981"/>
        <v>-2531310.8262343709</v>
      </c>
      <c r="S488">
        <f t="shared" si="982"/>
        <v>-25.313108262343711</v>
      </c>
      <c r="T488">
        <f t="shared" si="983"/>
        <v>-2.531310826234371E-2</v>
      </c>
    </row>
    <row r="489" spans="1:20" x14ac:dyDescent="0.25">
      <c r="A489" s="5">
        <v>44104</v>
      </c>
      <c r="B489">
        <v>0.94179999999999997</v>
      </c>
      <c r="C489">
        <v>0.97799999999999998</v>
      </c>
      <c r="D489">
        <v>0.88029999999999997</v>
      </c>
      <c r="E489">
        <v>0.90459999999999996</v>
      </c>
      <c r="F489">
        <v>1138136.56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-0.50255885363357244</v>
      </c>
      <c r="Q489">
        <f t="shared" si="980"/>
        <v>-571980.60487205768</v>
      </c>
      <c r="R489">
        <f t="shared" si="981"/>
        <v>-2670204.8415182154</v>
      </c>
      <c r="S489">
        <f t="shared" si="982"/>
        <v>-26.702048415182155</v>
      </c>
      <c r="T489">
        <f t="shared" si="983"/>
        <v>-2.6702048415182155E-2</v>
      </c>
    </row>
    <row r="490" spans="1:20" x14ac:dyDescent="0.25">
      <c r="A490" s="5">
        <v>44103</v>
      </c>
      <c r="B490">
        <v>0.89459999999999995</v>
      </c>
      <c r="C490">
        <v>0.94730000000000003</v>
      </c>
      <c r="D490">
        <v>0.86599999999999999</v>
      </c>
      <c r="E490">
        <v>0.94059999999999999</v>
      </c>
      <c r="F490">
        <v>851996.63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0.83517835178351696</v>
      </c>
      <c r="Q490">
        <f t="shared" si="980"/>
        <v>711569.14116851089</v>
      </c>
      <c r="R490">
        <f t="shared" si="981"/>
        <v>-2098224.2366461577</v>
      </c>
      <c r="S490">
        <f t="shared" si="982"/>
        <v>-20.982242366461577</v>
      </c>
      <c r="T490">
        <f t="shared" si="983"/>
        <v>-2.0982242366461578E-2</v>
      </c>
    </row>
    <row r="491" spans="1:20" x14ac:dyDescent="0.25">
      <c r="A491" s="5">
        <v>44102</v>
      </c>
      <c r="B491">
        <v>0.95520000000000005</v>
      </c>
      <c r="C491">
        <v>0.98599999999999999</v>
      </c>
      <c r="D491">
        <v>0.88290000000000002</v>
      </c>
      <c r="E491">
        <v>0.89439999999999997</v>
      </c>
      <c r="F491">
        <v>1101840.75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-0.77691561590688729</v>
      </c>
      <c r="Q491">
        <f t="shared" si="980"/>
        <v>-856037.28491755668</v>
      </c>
      <c r="R491">
        <f t="shared" si="981"/>
        <v>-2809793.3778146687</v>
      </c>
      <c r="S491">
        <f t="shared" si="982"/>
        <v>-28.097933778146686</v>
      </c>
      <c r="T491">
        <f t="shared" si="983"/>
        <v>-2.8097933778146685E-2</v>
      </c>
    </row>
    <row r="492" spans="1:20" x14ac:dyDescent="0.25">
      <c r="A492" s="5">
        <v>44101</v>
      </c>
      <c r="B492">
        <v>0.97909999999999997</v>
      </c>
      <c r="C492">
        <v>0.99770000000000003</v>
      </c>
      <c r="D492">
        <v>0.89380000000000004</v>
      </c>
      <c r="E492">
        <v>0.9536</v>
      </c>
      <c r="F492">
        <v>1031705.11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0.15110683349374338</v>
      </c>
      <c r="Q492">
        <f t="shared" si="980"/>
        <v>155897.69227141418</v>
      </c>
      <c r="R492">
        <f t="shared" si="981"/>
        <v>-1953756.092897112</v>
      </c>
      <c r="S492">
        <f t="shared" si="982"/>
        <v>-19.537560928971121</v>
      </c>
      <c r="T492">
        <f t="shared" si="983"/>
        <v>-1.9537560928971121E-2</v>
      </c>
    </row>
    <row r="493" spans="1:20" x14ac:dyDescent="0.25">
      <c r="A493" s="5">
        <v>44100</v>
      </c>
      <c r="B493">
        <v>0.93</v>
      </c>
      <c r="C493">
        <v>0.98080000000000001</v>
      </c>
      <c r="D493">
        <v>0.87890000000000001</v>
      </c>
      <c r="E493">
        <v>0.98080000000000001</v>
      </c>
      <c r="F493">
        <v>1769789.81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1</v>
      </c>
      <c r="Q493">
        <f t="shared" si="980"/>
        <v>1769789.81</v>
      </c>
      <c r="R493">
        <f t="shared" si="981"/>
        <v>-2109653.7851685262</v>
      </c>
      <c r="S493">
        <f t="shared" si="982"/>
        <v>-21.096537851685262</v>
      </c>
      <c r="T493">
        <f t="shared" si="983"/>
        <v>-2.1096537851685263E-2</v>
      </c>
    </row>
    <row r="494" spans="1:20" x14ac:dyDescent="0.25">
      <c r="A494" s="5">
        <v>44099</v>
      </c>
      <c r="B494">
        <v>0.88690000000000002</v>
      </c>
      <c r="C494">
        <v>0.9476</v>
      </c>
      <c r="D494">
        <v>0.84119999999999995</v>
      </c>
      <c r="E494">
        <v>0.92749999999999999</v>
      </c>
      <c r="F494">
        <v>1366599.58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0.62218045112781961</v>
      </c>
      <c r="Q494">
        <f t="shared" si="980"/>
        <v>850271.54319548886</v>
      </c>
      <c r="R494">
        <f t="shared" si="981"/>
        <v>-3879443.5951685263</v>
      </c>
      <c r="S494">
        <f t="shared" si="982"/>
        <v>-38.794435951685266</v>
      </c>
      <c r="T494">
        <f t="shared" si="983"/>
        <v>-3.8794435951685267E-2</v>
      </c>
    </row>
    <row r="495" spans="1:20" x14ac:dyDescent="0.25">
      <c r="A495" s="5">
        <v>44098</v>
      </c>
      <c r="B495">
        <v>0.8216</v>
      </c>
      <c r="C495">
        <v>0.92500000000000004</v>
      </c>
      <c r="D495">
        <v>0.8085</v>
      </c>
      <c r="E495">
        <v>0.88539999999999996</v>
      </c>
      <c r="F495">
        <v>1449542.67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0.32017167381974138</v>
      </c>
      <c r="Q495">
        <f t="shared" si="980"/>
        <v>464102.50292703701</v>
      </c>
      <c r="R495">
        <f t="shared" si="981"/>
        <v>-4729715.1383640151</v>
      </c>
      <c r="S495">
        <f t="shared" si="982"/>
        <v>-47.297151383640148</v>
      </c>
      <c r="T495">
        <f t="shared" si="983"/>
        <v>-4.729715138364015E-2</v>
      </c>
    </row>
    <row r="496" spans="1:20" x14ac:dyDescent="0.25">
      <c r="A496" s="5">
        <v>44097</v>
      </c>
      <c r="B496">
        <v>0.94179999999999997</v>
      </c>
      <c r="C496">
        <v>0.95569999999999999</v>
      </c>
      <c r="D496">
        <v>0.81299999999999994</v>
      </c>
      <c r="E496">
        <v>0.81910000000000005</v>
      </c>
      <c r="F496">
        <v>1584811.77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-0.91450595655220601</v>
      </c>
      <c r="Q496">
        <f t="shared" si="980"/>
        <v>-1449319.8036790448</v>
      </c>
      <c r="R496">
        <f t="shared" si="981"/>
        <v>-5193817.6412910521</v>
      </c>
      <c r="S496">
        <f t="shared" si="982"/>
        <v>-51.938176412910522</v>
      </c>
      <c r="T496">
        <f t="shared" si="983"/>
        <v>-5.1938176412910521E-2</v>
      </c>
    </row>
    <row r="497" spans="1:20" x14ac:dyDescent="0.25">
      <c r="A497" s="5">
        <v>44096</v>
      </c>
      <c r="B497">
        <v>0.88770000000000004</v>
      </c>
      <c r="C497">
        <v>0.98750000000000004</v>
      </c>
      <c r="D497">
        <v>0.86109999999999998</v>
      </c>
      <c r="E497">
        <v>0.94310000000000005</v>
      </c>
      <c r="F497">
        <v>2111612.88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0.29746835443038022</v>
      </c>
      <c r="Q497">
        <f t="shared" si="980"/>
        <v>628138.00860759593</v>
      </c>
      <c r="R497">
        <f t="shared" si="981"/>
        <v>-3744497.8376120077</v>
      </c>
      <c r="S497">
        <f t="shared" si="982"/>
        <v>-37.444978376120076</v>
      </c>
      <c r="T497">
        <f t="shared" si="983"/>
        <v>-3.7444978376120076E-2</v>
      </c>
    </row>
    <row r="498" spans="1:20" x14ac:dyDescent="0.25">
      <c r="A498" s="5">
        <v>44095</v>
      </c>
      <c r="B498">
        <v>0.98799999999999999</v>
      </c>
      <c r="C498">
        <v>0.99560000000000004</v>
      </c>
      <c r="D498">
        <v>0.85</v>
      </c>
      <c r="E498">
        <v>0.88390000000000002</v>
      </c>
      <c r="F498">
        <v>2258701.4700000002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-0.534340659340659</v>
      </c>
      <c r="Q498">
        <f t="shared" si="980"/>
        <v>-1206916.0327335158</v>
      </c>
      <c r="R498">
        <f t="shared" si="981"/>
        <v>-4372635.8462196039</v>
      </c>
      <c r="S498">
        <f t="shared" si="982"/>
        <v>-43.726358462196039</v>
      </c>
      <c r="T498">
        <f t="shared" si="983"/>
        <v>-4.3726358462196038E-2</v>
      </c>
    </row>
    <row r="499" spans="1:20" x14ac:dyDescent="0.25">
      <c r="A499" s="5">
        <v>44094</v>
      </c>
      <c r="B499">
        <v>1.0528999999999999</v>
      </c>
      <c r="C499">
        <v>1.1062000000000001</v>
      </c>
      <c r="D499">
        <v>0.96020000000000005</v>
      </c>
      <c r="E499">
        <v>0.98809999999999998</v>
      </c>
      <c r="F499">
        <v>1183135.57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-0.61780821917808326</v>
      </c>
      <c r="Q499">
        <f t="shared" si="980"/>
        <v>-730950.8795479465</v>
      </c>
      <c r="R499">
        <f t="shared" si="981"/>
        <v>-3165719.8134860881</v>
      </c>
      <c r="S499">
        <f t="shared" si="982"/>
        <v>-31.657198134860881</v>
      </c>
      <c r="T499">
        <f t="shared" si="983"/>
        <v>-3.1657198134860884E-2</v>
      </c>
    </row>
    <row r="500" spans="1:20" x14ac:dyDescent="0.25">
      <c r="A500" s="5">
        <v>44093</v>
      </c>
      <c r="B500">
        <v>1.0975999999999999</v>
      </c>
      <c r="C500">
        <v>1.1059000000000001</v>
      </c>
      <c r="D500">
        <v>1.0408999999999999</v>
      </c>
      <c r="E500">
        <v>1.0557000000000001</v>
      </c>
      <c r="F500">
        <v>760465.27</v>
      </c>
      <c r="G500">
        <v>0</v>
      </c>
      <c r="L500" t="s">
        <v>7</v>
      </c>
      <c r="M500" t="s">
        <v>7</v>
      </c>
      <c r="N500" t="s">
        <v>8</v>
      </c>
      <c r="P500">
        <f t="shared" si="979"/>
        <v>-0.54461538461538128</v>
      </c>
      <c r="Q500">
        <f t="shared" si="980"/>
        <v>-414161.0855076898</v>
      </c>
      <c r="R500">
        <f t="shared" si="981"/>
        <v>-2434768.9339381414</v>
      </c>
      <c r="S500">
        <f t="shared" si="982"/>
        <v>-24.347689339381414</v>
      </c>
      <c r="T500">
        <f t="shared" si="983"/>
        <v>-2.4347689339381414E-2</v>
      </c>
    </row>
    <row r="501" spans="1:20" x14ac:dyDescent="0.25">
      <c r="A501" s="5">
        <v>44092</v>
      </c>
      <c r="B501">
        <v>1.2544</v>
      </c>
      <c r="C501">
        <v>1.2798</v>
      </c>
      <c r="D501">
        <v>1.0723</v>
      </c>
      <c r="E501">
        <v>1.1000000000000001</v>
      </c>
      <c r="F501">
        <v>2369752.44</v>
      </c>
      <c r="G501">
        <v>0</v>
      </c>
      <c r="L501" t="s">
        <v>7</v>
      </c>
      <c r="M501" t="s">
        <v>7</v>
      </c>
      <c r="N501" t="s">
        <v>8</v>
      </c>
      <c r="P501">
        <f t="shared" si="979"/>
        <v>-0.73301204819277055</v>
      </c>
      <c r="Q501">
        <f t="shared" si="980"/>
        <v>-1737057.0897542154</v>
      </c>
      <c r="R501">
        <f t="shared" si="981"/>
        <v>-2020607.8484304515</v>
      </c>
      <c r="S501">
        <f t="shared" si="982"/>
        <v>-20.206078484304516</v>
      </c>
      <c r="T501">
        <f t="shared" si="983"/>
        <v>-2.0206078484304515E-2</v>
      </c>
    </row>
    <row r="502" spans="1:20" x14ac:dyDescent="0.25">
      <c r="A502" s="5">
        <v>44091</v>
      </c>
      <c r="B502">
        <v>1.2013</v>
      </c>
      <c r="C502">
        <v>1.39</v>
      </c>
      <c r="D502">
        <v>1.1431</v>
      </c>
      <c r="E502">
        <v>1.2524999999999999</v>
      </c>
      <c r="F502">
        <v>3339752.84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-0.11381125961927917</v>
      </c>
      <c r="Q502">
        <f t="shared" si="980"/>
        <v>-380101.47753746487</v>
      </c>
      <c r="R502">
        <f t="shared" si="981"/>
        <v>-283550.75867623609</v>
      </c>
      <c r="S502">
        <f t="shared" si="982"/>
        <v>-2.8355075867623607</v>
      </c>
      <c r="T502">
        <f t="shared" si="983"/>
        <v>-2.8355075867623606E-3</v>
      </c>
    </row>
    <row r="503" spans="1:20" x14ac:dyDescent="0.25">
      <c r="A503" s="5">
        <v>44090</v>
      </c>
      <c r="B503">
        <v>0.98009999999999997</v>
      </c>
      <c r="C503">
        <v>1.3458000000000001</v>
      </c>
      <c r="D503">
        <v>0.91549999999999998</v>
      </c>
      <c r="E503">
        <v>1.2035</v>
      </c>
      <c r="F503">
        <v>5029744.2300000004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0.33860097606321149</v>
      </c>
      <c r="Q503">
        <f t="shared" si="980"/>
        <v>1703076.3056263062</v>
      </c>
      <c r="R503">
        <f t="shared" si="981"/>
        <v>96550.718861228786</v>
      </c>
      <c r="S503">
        <f t="shared" si="982"/>
        <v>0.9655071886122879</v>
      </c>
      <c r="T503">
        <f t="shared" si="983"/>
        <v>9.6550718861228789E-4</v>
      </c>
    </row>
    <row r="504" spans="1:20" x14ac:dyDescent="0.25">
      <c r="A504" s="5">
        <v>44089</v>
      </c>
      <c r="B504">
        <v>1.1071</v>
      </c>
      <c r="C504">
        <v>1.19</v>
      </c>
      <c r="D504">
        <v>0.97609999999999997</v>
      </c>
      <c r="E504">
        <v>0.98299999999999998</v>
      </c>
      <c r="F504">
        <v>1152587.56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-0.93548387096774177</v>
      </c>
      <c r="Q504">
        <f t="shared" si="980"/>
        <v>-1078227.0722580643</v>
      </c>
      <c r="R504">
        <f t="shared" si="981"/>
        <v>-1606525.5867650774</v>
      </c>
      <c r="S504">
        <f t="shared" si="982"/>
        <v>-16.065255867650773</v>
      </c>
      <c r="T504">
        <f t="shared" si="983"/>
        <v>-1.6065255867650775E-2</v>
      </c>
    </row>
    <row r="505" spans="1:20" x14ac:dyDescent="0.25">
      <c r="A505" s="5">
        <v>44088</v>
      </c>
      <c r="B505">
        <v>1.1293</v>
      </c>
      <c r="C505">
        <v>1.1293</v>
      </c>
      <c r="D505">
        <v>1.0414000000000001</v>
      </c>
      <c r="E505">
        <v>1.1093999999999999</v>
      </c>
      <c r="F505">
        <v>1525013.2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0.54721274175198953</v>
      </c>
      <c r="Q505">
        <f t="shared" si="980"/>
        <v>834506.65437997517</v>
      </c>
      <c r="R505">
        <f t="shared" si="981"/>
        <v>-528298.51450701326</v>
      </c>
      <c r="S505">
        <f t="shared" si="982"/>
        <v>-5.2829851450701328</v>
      </c>
      <c r="T505">
        <f t="shared" si="983"/>
        <v>-5.2829851450701326E-3</v>
      </c>
    </row>
    <row r="506" spans="1:20" x14ac:dyDescent="0.25">
      <c r="A506" s="5">
        <v>44087</v>
      </c>
      <c r="B506">
        <v>1.1866000000000001</v>
      </c>
      <c r="C506">
        <v>1.1954</v>
      </c>
      <c r="D506">
        <v>1.0898000000000001</v>
      </c>
      <c r="E506">
        <v>1.1323000000000001</v>
      </c>
      <c r="F506">
        <v>1180130.47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-0.19507575757575726</v>
      </c>
      <c r="Q506">
        <f t="shared" si="980"/>
        <v>-230214.84547348449</v>
      </c>
      <c r="R506">
        <f t="shared" si="981"/>
        <v>-1362805.1688869884</v>
      </c>
      <c r="S506">
        <f t="shared" si="982"/>
        <v>-13.628051688869885</v>
      </c>
      <c r="T506">
        <f t="shared" si="983"/>
        <v>-1.3628051688869885E-2</v>
      </c>
    </row>
    <row r="507" spans="1:20" x14ac:dyDescent="0.25">
      <c r="A507" s="5">
        <v>44086</v>
      </c>
      <c r="B507">
        <v>1.1322000000000001</v>
      </c>
      <c r="C507">
        <v>1.2126999999999999</v>
      </c>
      <c r="D507">
        <v>1.1052</v>
      </c>
      <c r="E507">
        <v>1.1922999999999999</v>
      </c>
      <c r="F507">
        <v>1160925.32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0.62046511627906997</v>
      </c>
      <c r="Q507">
        <f t="shared" si="980"/>
        <v>720313.66366511653</v>
      </c>
      <c r="R507">
        <f t="shared" si="981"/>
        <v>-1132590.3234135038</v>
      </c>
      <c r="S507">
        <f t="shared" si="982"/>
        <v>-11.325903234135039</v>
      </c>
      <c r="T507">
        <f t="shared" si="983"/>
        <v>-1.1325903234135039E-2</v>
      </c>
    </row>
    <row r="508" spans="1:20" x14ac:dyDescent="0.25">
      <c r="A508" s="5">
        <v>44085</v>
      </c>
      <c r="B508">
        <v>1.0362</v>
      </c>
      <c r="C508">
        <v>1.1597</v>
      </c>
      <c r="D508">
        <v>0.98</v>
      </c>
      <c r="E508">
        <v>1.1349</v>
      </c>
      <c r="F508">
        <v>1374966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0.7239844184752372</v>
      </c>
      <c r="Q508">
        <f t="shared" si="980"/>
        <v>995453.95993322297</v>
      </c>
      <c r="R508">
        <f t="shared" si="981"/>
        <v>-1852903.9870786204</v>
      </c>
      <c r="S508">
        <f t="shared" si="982"/>
        <v>-18.529039870786203</v>
      </c>
      <c r="T508">
        <f t="shared" si="983"/>
        <v>-1.8529039870786204E-2</v>
      </c>
    </row>
    <row r="509" spans="1:20" x14ac:dyDescent="0.25">
      <c r="A509" s="5">
        <v>44084</v>
      </c>
      <c r="B509">
        <v>1.0263</v>
      </c>
      <c r="C509">
        <v>1.1181000000000001</v>
      </c>
      <c r="D509">
        <v>1.0241</v>
      </c>
      <c r="E509">
        <v>1.0350999999999999</v>
      </c>
      <c r="F509">
        <v>1503074.13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-0.76595744680851297</v>
      </c>
      <c r="Q509">
        <f t="shared" si="980"/>
        <v>-1151290.8229787268</v>
      </c>
      <c r="R509">
        <f t="shared" si="981"/>
        <v>-2848357.9470118433</v>
      </c>
      <c r="S509">
        <f t="shared" si="982"/>
        <v>-28.483579470118432</v>
      </c>
      <c r="T509">
        <f t="shared" si="983"/>
        <v>-2.8483579470118432E-2</v>
      </c>
    </row>
    <row r="510" spans="1:20" x14ac:dyDescent="0.25">
      <c r="A510" s="5">
        <v>44083</v>
      </c>
      <c r="B510">
        <v>0.9083</v>
      </c>
      <c r="C510">
        <v>1.0575000000000001</v>
      </c>
      <c r="D510">
        <v>0.88180000000000003</v>
      </c>
      <c r="E510">
        <v>1.0239</v>
      </c>
      <c r="F510">
        <v>1641996.01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0.61752988047808699</v>
      </c>
      <c r="Q510">
        <f t="shared" si="980"/>
        <v>1013981.5998007958</v>
      </c>
      <c r="R510">
        <f t="shared" si="981"/>
        <v>-1697067.1240331167</v>
      </c>
      <c r="S510">
        <f t="shared" si="982"/>
        <v>-16.970671240331168</v>
      </c>
      <c r="T510">
        <f t="shared" si="983"/>
        <v>-1.6970671240331168E-2</v>
      </c>
    </row>
    <row r="511" spans="1:20" x14ac:dyDescent="0.25">
      <c r="A511" s="5">
        <v>44082</v>
      </c>
      <c r="B511">
        <v>0.98540000000000005</v>
      </c>
      <c r="C511">
        <v>1.0064</v>
      </c>
      <c r="D511">
        <v>0.88249999999999995</v>
      </c>
      <c r="E511">
        <v>0.91090000000000004</v>
      </c>
      <c r="F511">
        <v>1262536.95</v>
      </c>
      <c r="G511">
        <v>0</v>
      </c>
      <c r="L511" t="s">
        <v>7</v>
      </c>
      <c r="M511" t="s">
        <v>8</v>
      </c>
      <c r="N511" t="s">
        <v>7</v>
      </c>
      <c r="P511">
        <f t="shared" si="979"/>
        <v>-0.54156577885391299</v>
      </c>
      <c r="Q511">
        <f t="shared" si="980"/>
        <v>-683746.80665859382</v>
      </c>
      <c r="R511">
        <f t="shared" si="981"/>
        <v>-2711048.7238339125</v>
      </c>
      <c r="S511">
        <f t="shared" si="982"/>
        <v>-27.110487238339125</v>
      </c>
      <c r="T511">
        <f t="shared" si="983"/>
        <v>-2.7110487238339125E-2</v>
      </c>
    </row>
    <row r="512" spans="1:20" x14ac:dyDescent="0.25">
      <c r="A512" s="5">
        <v>44081</v>
      </c>
      <c r="B512">
        <v>0.997</v>
      </c>
      <c r="C512">
        <v>1.006</v>
      </c>
      <c r="D512">
        <v>0.85740000000000005</v>
      </c>
      <c r="E512">
        <v>0.98509999999999998</v>
      </c>
      <c r="F512">
        <v>1640125.93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0.71870794078061861</v>
      </c>
      <c r="Q512">
        <f t="shared" si="980"/>
        <v>1178771.5297711969</v>
      </c>
      <c r="R512">
        <f t="shared" si="981"/>
        <v>-2027301.9171753188</v>
      </c>
      <c r="S512">
        <f t="shared" si="982"/>
        <v>-20.273019171753187</v>
      </c>
      <c r="T512">
        <f t="shared" si="983"/>
        <v>-2.0273019171753188E-2</v>
      </c>
    </row>
    <row r="513" spans="1:20" x14ac:dyDescent="0.25">
      <c r="A513" s="5">
        <v>44080</v>
      </c>
      <c r="B513">
        <v>0.92369999999999997</v>
      </c>
      <c r="C513">
        <v>1.0621</v>
      </c>
      <c r="D513">
        <v>0.85429999999999995</v>
      </c>
      <c r="E513">
        <v>0.99729999999999996</v>
      </c>
      <c r="F513">
        <v>1992478.88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0.37632338787295427</v>
      </c>
      <c r="Q513">
        <f t="shared" si="980"/>
        <v>749816.40238690947</v>
      </c>
      <c r="R513">
        <f t="shared" si="981"/>
        <v>-3206073.4469465157</v>
      </c>
      <c r="S513">
        <f t="shared" si="982"/>
        <v>-32.06073446946516</v>
      </c>
      <c r="T513">
        <f t="shared" si="983"/>
        <v>-3.2060734469465162E-2</v>
      </c>
    </row>
    <row r="514" spans="1:20" x14ac:dyDescent="0.25">
      <c r="A514" s="5">
        <v>44079</v>
      </c>
      <c r="B514">
        <v>1.0862000000000001</v>
      </c>
      <c r="C514">
        <v>1.2</v>
      </c>
      <c r="D514">
        <v>0.81669999999999998</v>
      </c>
      <c r="E514">
        <v>0.9244</v>
      </c>
      <c r="F514">
        <v>3586217.81</v>
      </c>
      <c r="G514">
        <v>0</v>
      </c>
      <c r="L514" t="s">
        <v>8</v>
      </c>
      <c r="M514" t="s">
        <v>8</v>
      </c>
      <c r="N514" t="s">
        <v>7</v>
      </c>
      <c r="P514">
        <f t="shared" si="979"/>
        <v>-0.43803809026871887</v>
      </c>
      <c r="Q514">
        <f t="shared" si="980"/>
        <v>-1570900.0007800674</v>
      </c>
      <c r="R514">
        <f t="shared" si="981"/>
        <v>-3955889.8493334251</v>
      </c>
      <c r="S514">
        <f t="shared" si="982"/>
        <v>-39.558898493334247</v>
      </c>
      <c r="T514">
        <f t="shared" si="983"/>
        <v>-3.9558898493334251E-2</v>
      </c>
    </row>
    <row r="515" spans="1:20" x14ac:dyDescent="0.25">
      <c r="A515" s="5">
        <v>44078</v>
      </c>
      <c r="B515">
        <v>1.0508</v>
      </c>
      <c r="C515">
        <v>1.1398999999999999</v>
      </c>
      <c r="D515">
        <v>0.95</v>
      </c>
      <c r="E515">
        <v>1.0860000000000001</v>
      </c>
      <c r="F515">
        <v>2971941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0.43233280674039126</v>
      </c>
      <c r="Q515">
        <f t="shared" si="980"/>
        <v>1284867.5939968452</v>
      </c>
      <c r="R515">
        <f t="shared" si="981"/>
        <v>-2384989.8485533576</v>
      </c>
      <c r="S515">
        <f t="shared" si="982"/>
        <v>-23.849898485533576</v>
      </c>
      <c r="T515">
        <f t="shared" si="983"/>
        <v>-2.3849898485533576E-2</v>
      </c>
    </row>
    <row r="516" spans="1:20" x14ac:dyDescent="0.25">
      <c r="A516" s="5">
        <v>44077</v>
      </c>
      <c r="B516">
        <v>1.3972</v>
      </c>
      <c r="C516">
        <v>1.4060999999999999</v>
      </c>
      <c r="D516">
        <v>0.95</v>
      </c>
      <c r="E516">
        <v>1.0469999999999999</v>
      </c>
      <c r="F516">
        <v>4104614.84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-0.5746546809910108</v>
      </c>
      <c r="Q516">
        <f t="shared" si="980"/>
        <v>-2358736.1314711687</v>
      </c>
      <c r="R516">
        <f t="shared" si="981"/>
        <v>-3669857.4425502028</v>
      </c>
      <c r="S516">
        <f t="shared" si="982"/>
        <v>-36.698574425502031</v>
      </c>
      <c r="T516">
        <f t="shared" si="983"/>
        <v>-3.6698574425502034E-2</v>
      </c>
    </row>
    <row r="517" spans="1:20" x14ac:dyDescent="0.25">
      <c r="A517" s="5">
        <v>44076</v>
      </c>
      <c r="B517">
        <v>1.4826999999999999</v>
      </c>
      <c r="C517">
        <v>1.4926999999999999</v>
      </c>
      <c r="D517">
        <v>1.2665</v>
      </c>
      <c r="E517">
        <v>1.3931</v>
      </c>
      <c r="F517">
        <v>1609909.36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0.11936339522546481</v>
      </c>
      <c r="Q517">
        <f t="shared" si="980"/>
        <v>192164.24721485513</v>
      </c>
      <c r="R517">
        <f t="shared" si="981"/>
        <v>-1311121.3110790339</v>
      </c>
      <c r="S517">
        <f t="shared" si="982"/>
        <v>-13.111213110790338</v>
      </c>
      <c r="T517">
        <f t="shared" si="983"/>
        <v>-1.3111213110790339E-2</v>
      </c>
    </row>
    <row r="518" spans="1:20" x14ac:dyDescent="0.25">
      <c r="A518" s="5">
        <v>44075</v>
      </c>
      <c r="B518">
        <v>1.6011</v>
      </c>
      <c r="C518">
        <v>1.6233</v>
      </c>
      <c r="D518">
        <v>1.48</v>
      </c>
      <c r="E518">
        <v>1.4911000000000001</v>
      </c>
      <c r="F518">
        <v>1864915.96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-0.84508025122121266</v>
      </c>
      <c r="Q518">
        <f t="shared" ref="Q518:Q581" si="985">F518*P518</f>
        <v>-1576003.647983249</v>
      </c>
      <c r="R518">
        <f t="shared" ref="R518:R581" si="986">R519+Q518</f>
        <v>-1503285.558293889</v>
      </c>
      <c r="S518">
        <f t="shared" ref="S518:S581" si="987">R518/100000</f>
        <v>-15.03285558293889</v>
      </c>
      <c r="T518">
        <f t="shared" ref="T518:T581" si="988">S518/1000</f>
        <v>-1.5032855582938889E-2</v>
      </c>
    </row>
    <row r="519" spans="1:20" x14ac:dyDescent="0.25">
      <c r="A519" s="5">
        <v>44074</v>
      </c>
      <c r="B519">
        <v>1.6286</v>
      </c>
      <c r="C519">
        <v>1.7161</v>
      </c>
      <c r="D519">
        <v>1.58</v>
      </c>
      <c r="E519">
        <v>1.6045</v>
      </c>
      <c r="F519">
        <v>1050365.1499999999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-0.63997060984570187</v>
      </c>
      <c r="Q519">
        <f t="shared" si="985"/>
        <v>-672202.82560617209</v>
      </c>
      <c r="R519">
        <f t="shared" si="986"/>
        <v>72718.08968936</v>
      </c>
      <c r="S519">
        <f t="shared" si="987"/>
        <v>0.72718089689359999</v>
      </c>
      <c r="T519">
        <f t="shared" si="988"/>
        <v>7.2718089689359998E-4</v>
      </c>
    </row>
    <row r="520" spans="1:20" x14ac:dyDescent="0.25">
      <c r="A520" s="5">
        <v>44073</v>
      </c>
      <c r="B520">
        <v>1.5667</v>
      </c>
      <c r="C520">
        <v>1.68</v>
      </c>
      <c r="D520">
        <v>1.5232000000000001</v>
      </c>
      <c r="E520">
        <v>1.6254</v>
      </c>
      <c r="F520">
        <v>1234316.06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0.30357142857142805</v>
      </c>
      <c r="Q520">
        <f t="shared" si="985"/>
        <v>374703.0896428565</v>
      </c>
      <c r="R520">
        <f t="shared" si="986"/>
        <v>744920.91529553209</v>
      </c>
      <c r="S520">
        <f t="shared" si="987"/>
        <v>7.449209152955321</v>
      </c>
      <c r="T520">
        <f t="shared" si="988"/>
        <v>7.4492091529553212E-3</v>
      </c>
    </row>
    <row r="521" spans="1:20" x14ac:dyDescent="0.25">
      <c r="A521" s="5">
        <v>44072</v>
      </c>
      <c r="B521">
        <v>1.4715</v>
      </c>
      <c r="C521">
        <v>1.5915999999999999</v>
      </c>
      <c r="D521">
        <v>1.4612000000000001</v>
      </c>
      <c r="E521">
        <v>1.5709</v>
      </c>
      <c r="F521">
        <v>1051518.51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0.68251533742331338</v>
      </c>
      <c r="Q521">
        <f t="shared" si="985"/>
        <v>717677.51065950969</v>
      </c>
      <c r="R521">
        <f t="shared" si="986"/>
        <v>370217.82565267559</v>
      </c>
      <c r="S521">
        <f t="shared" si="987"/>
        <v>3.7021782565267558</v>
      </c>
      <c r="T521">
        <f t="shared" si="988"/>
        <v>3.702178256526756E-3</v>
      </c>
    </row>
    <row r="522" spans="1:20" x14ac:dyDescent="0.25">
      <c r="A522" s="5">
        <v>44071</v>
      </c>
      <c r="B522">
        <v>1.4561999999999999</v>
      </c>
      <c r="C522">
        <v>1.5161</v>
      </c>
      <c r="D522">
        <v>1.4228000000000001</v>
      </c>
      <c r="E522">
        <v>1.47</v>
      </c>
      <c r="F522">
        <v>858061.86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1.1789924973203426E-2</v>
      </c>
      <c r="Q522">
        <f t="shared" si="985"/>
        <v>10116.484951767381</v>
      </c>
      <c r="R522">
        <f t="shared" si="986"/>
        <v>-347459.6850068341</v>
      </c>
      <c r="S522">
        <f t="shared" si="987"/>
        <v>-3.4745968500683411</v>
      </c>
      <c r="T522">
        <f t="shared" si="988"/>
        <v>-3.4745968500683412E-3</v>
      </c>
    </row>
    <row r="523" spans="1:20" x14ac:dyDescent="0.25">
      <c r="A523" s="5">
        <v>44070</v>
      </c>
      <c r="B523">
        <v>1.5862000000000001</v>
      </c>
      <c r="C523">
        <v>1.6534</v>
      </c>
      <c r="D523">
        <v>1.3626</v>
      </c>
      <c r="E523">
        <v>1.4573</v>
      </c>
      <c r="F523">
        <v>1923842.69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-0.34869325997248951</v>
      </c>
      <c r="Q523">
        <f t="shared" si="985"/>
        <v>-670830.97925034352</v>
      </c>
      <c r="R523">
        <f t="shared" si="986"/>
        <v>-357576.16995860147</v>
      </c>
      <c r="S523">
        <f t="shared" si="987"/>
        <v>-3.5757616995860149</v>
      </c>
      <c r="T523">
        <f t="shared" si="988"/>
        <v>-3.5757616995860148E-3</v>
      </c>
    </row>
    <row r="524" spans="1:20" x14ac:dyDescent="0.25">
      <c r="A524" s="5">
        <v>44069</v>
      </c>
      <c r="B524">
        <v>1.4797</v>
      </c>
      <c r="C524">
        <v>1.6309</v>
      </c>
      <c r="D524">
        <v>1.45</v>
      </c>
      <c r="E524">
        <v>1.5862000000000001</v>
      </c>
      <c r="F524">
        <v>2034656.14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0.50580431177446161</v>
      </c>
      <c r="Q524">
        <f t="shared" si="985"/>
        <v>1029137.8485903826</v>
      </c>
      <c r="R524">
        <f t="shared" si="986"/>
        <v>313254.80929174204</v>
      </c>
      <c r="S524">
        <f t="shared" si="987"/>
        <v>3.1325480929174203</v>
      </c>
      <c r="T524">
        <f t="shared" si="988"/>
        <v>3.1325480929174205E-3</v>
      </c>
    </row>
    <row r="525" spans="1:20" x14ac:dyDescent="0.25">
      <c r="A525" s="5">
        <v>44068</v>
      </c>
      <c r="B525">
        <v>1.6140000000000001</v>
      </c>
      <c r="C525">
        <v>1.7906</v>
      </c>
      <c r="D525">
        <v>1.4658</v>
      </c>
      <c r="E525">
        <v>1.4799</v>
      </c>
      <c r="F525">
        <v>2760932.82</v>
      </c>
      <c r="G525">
        <v>0</v>
      </c>
      <c r="L525" t="s">
        <v>8</v>
      </c>
      <c r="M525" t="s">
        <v>8</v>
      </c>
      <c r="N525" t="s">
        <v>7</v>
      </c>
      <c r="P525">
        <f t="shared" si="984"/>
        <v>-0.91317733990147787</v>
      </c>
      <c r="Q525">
        <f t="shared" si="985"/>
        <v>-2521221.2882142859</v>
      </c>
      <c r="R525">
        <f t="shared" si="986"/>
        <v>-715883.03929864056</v>
      </c>
      <c r="S525">
        <f t="shared" si="987"/>
        <v>-7.1588303929864052</v>
      </c>
      <c r="T525">
        <f t="shared" si="988"/>
        <v>-7.1588303929864053E-3</v>
      </c>
    </row>
    <row r="526" spans="1:20" x14ac:dyDescent="0.25">
      <c r="A526" s="5">
        <v>44067</v>
      </c>
      <c r="B526">
        <v>1.5604</v>
      </c>
      <c r="C526">
        <v>1.67</v>
      </c>
      <c r="D526">
        <v>1.5113000000000001</v>
      </c>
      <c r="E526">
        <v>1.6155999999999999</v>
      </c>
      <c r="F526">
        <v>1076834.69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0.31442974165091292</v>
      </c>
      <c r="Q526">
        <f t="shared" si="985"/>
        <v>338588.85337744089</v>
      </c>
      <c r="R526">
        <f t="shared" si="986"/>
        <v>1805338.2489156453</v>
      </c>
      <c r="S526">
        <f t="shared" si="987"/>
        <v>18.053382489156451</v>
      </c>
      <c r="T526">
        <f t="shared" si="988"/>
        <v>1.8053382489156451E-2</v>
      </c>
    </row>
    <row r="527" spans="1:20" x14ac:dyDescent="0.25">
      <c r="A527" s="5">
        <v>44066</v>
      </c>
      <c r="B527">
        <v>1.516</v>
      </c>
      <c r="C527">
        <v>1.5996999999999999</v>
      </c>
      <c r="D527">
        <v>1.41</v>
      </c>
      <c r="E527">
        <v>1.5629</v>
      </c>
      <c r="F527">
        <v>1764188.82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0.612018977332631</v>
      </c>
      <c r="Q527">
        <f t="shared" si="985"/>
        <v>1079717.0374380611</v>
      </c>
      <c r="R527">
        <f t="shared" si="986"/>
        <v>1466749.3955382043</v>
      </c>
      <c r="S527">
        <f t="shared" si="987"/>
        <v>14.667493955382044</v>
      </c>
      <c r="T527">
        <f t="shared" si="988"/>
        <v>1.4667493955382045E-2</v>
      </c>
    </row>
    <row r="528" spans="1:20" x14ac:dyDescent="0.25">
      <c r="A528" s="5">
        <v>44065</v>
      </c>
      <c r="B528">
        <v>1.4131</v>
      </c>
      <c r="C528">
        <v>1.5290999999999999</v>
      </c>
      <c r="D528">
        <v>1.3452999999999999</v>
      </c>
      <c r="E528">
        <v>1.5173000000000001</v>
      </c>
      <c r="F528">
        <v>1769602.59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0.87159956474428935</v>
      </c>
      <c r="Q528">
        <f t="shared" si="985"/>
        <v>1542384.8472143672</v>
      </c>
      <c r="R528">
        <f t="shared" si="986"/>
        <v>387032.35810014326</v>
      </c>
      <c r="S528">
        <f t="shared" si="987"/>
        <v>3.8703235810014327</v>
      </c>
      <c r="T528">
        <f t="shared" si="988"/>
        <v>3.8703235810014329E-3</v>
      </c>
    </row>
    <row r="529" spans="1:20" x14ac:dyDescent="0.25">
      <c r="A529" s="5">
        <v>44064</v>
      </c>
      <c r="B529">
        <v>1.6877</v>
      </c>
      <c r="C529">
        <v>1.75</v>
      </c>
      <c r="D529">
        <v>1.4016999999999999</v>
      </c>
      <c r="E529">
        <v>1.4074</v>
      </c>
      <c r="F529">
        <v>2753249.12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-0.96726959517657174</v>
      </c>
      <c r="Q529">
        <f t="shared" si="985"/>
        <v>-2663134.1617226526</v>
      </c>
      <c r="R529">
        <f t="shared" si="986"/>
        <v>-1155352.489114224</v>
      </c>
      <c r="S529">
        <f t="shared" si="987"/>
        <v>-11.55352489114224</v>
      </c>
      <c r="T529">
        <f t="shared" si="988"/>
        <v>-1.1553524891142241E-2</v>
      </c>
    </row>
    <row r="530" spans="1:20" x14ac:dyDescent="0.25">
      <c r="A530" s="5">
        <v>44063</v>
      </c>
      <c r="B530">
        <v>1.4945999999999999</v>
      </c>
      <c r="C530">
        <v>1.69</v>
      </c>
      <c r="D530">
        <v>1.4945999999999999</v>
      </c>
      <c r="E530">
        <v>1.6877</v>
      </c>
      <c r="F530">
        <v>1819803.56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0.9764585465711364</v>
      </c>
      <c r="Q530">
        <f t="shared" si="985"/>
        <v>1776962.7392425798</v>
      </c>
      <c r="R530">
        <f t="shared" si="986"/>
        <v>1507781.6726084286</v>
      </c>
      <c r="S530">
        <f t="shared" si="987"/>
        <v>15.077816726084286</v>
      </c>
      <c r="T530">
        <f t="shared" si="988"/>
        <v>1.5077816726084286E-2</v>
      </c>
    </row>
    <row r="531" spans="1:20" x14ac:dyDescent="0.25">
      <c r="A531" s="5">
        <v>44062</v>
      </c>
      <c r="B531">
        <v>1.5680000000000001</v>
      </c>
      <c r="C531">
        <v>1.6323000000000001</v>
      </c>
      <c r="D531">
        <v>1.387</v>
      </c>
      <c r="E531">
        <v>1.4945999999999999</v>
      </c>
      <c r="F531">
        <v>2715982.96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-0.12270688952303395</v>
      </c>
      <c r="Q531">
        <f t="shared" si="985"/>
        <v>-333269.82101916271</v>
      </c>
      <c r="R531">
        <f t="shared" si="986"/>
        <v>-269181.06663415121</v>
      </c>
      <c r="S531">
        <f t="shared" si="987"/>
        <v>-2.691810666341512</v>
      </c>
      <c r="T531">
        <f t="shared" si="988"/>
        <v>-2.6918106663415121E-3</v>
      </c>
    </row>
    <row r="532" spans="1:20" x14ac:dyDescent="0.25">
      <c r="A532" s="5">
        <v>44061</v>
      </c>
      <c r="B532">
        <v>1.6966000000000001</v>
      </c>
      <c r="C532">
        <v>1.7768999999999999</v>
      </c>
      <c r="D532">
        <v>1.5133000000000001</v>
      </c>
      <c r="E532">
        <v>1.5680000000000001</v>
      </c>
      <c r="F532">
        <v>2894124.97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-0.58497723823975711</v>
      </c>
      <c r="Q532">
        <f t="shared" si="985"/>
        <v>-1692997.2320713201</v>
      </c>
      <c r="R532">
        <f t="shared" si="986"/>
        <v>64088.754385011503</v>
      </c>
      <c r="S532">
        <f t="shared" si="987"/>
        <v>0.64088754385011504</v>
      </c>
      <c r="T532">
        <f t="shared" si="988"/>
        <v>6.4088754385011504E-4</v>
      </c>
    </row>
    <row r="533" spans="1:20" x14ac:dyDescent="0.25">
      <c r="A533" s="5">
        <v>44060</v>
      </c>
      <c r="B533">
        <v>1.8694</v>
      </c>
      <c r="C533">
        <v>1.9096</v>
      </c>
      <c r="D533">
        <v>1.675</v>
      </c>
      <c r="E533">
        <v>1.6962999999999999</v>
      </c>
      <c r="F533">
        <v>2197332.54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-0.81841432225064037</v>
      </c>
      <c r="Q533">
        <f t="shared" si="985"/>
        <v>-1798328.4214833782</v>
      </c>
      <c r="R533">
        <f t="shared" si="986"/>
        <v>1757085.9864563316</v>
      </c>
      <c r="S533">
        <f t="shared" si="987"/>
        <v>17.570859864563317</v>
      </c>
      <c r="T533">
        <f t="shared" si="988"/>
        <v>1.7570859864563318E-2</v>
      </c>
    </row>
    <row r="534" spans="1:20" x14ac:dyDescent="0.25">
      <c r="A534" s="5">
        <v>44059</v>
      </c>
      <c r="B534">
        <v>1.8498000000000001</v>
      </c>
      <c r="C534">
        <v>1.9219999999999999</v>
      </c>
      <c r="D534">
        <v>1.7228000000000001</v>
      </c>
      <c r="E534">
        <v>1.871</v>
      </c>
      <c r="F534">
        <v>3543086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0.48795180722891585</v>
      </c>
      <c r="Q534">
        <f t="shared" si="985"/>
        <v>1728855.2168674704</v>
      </c>
      <c r="R534">
        <f t="shared" si="986"/>
        <v>3555414.4079397097</v>
      </c>
      <c r="S534">
        <f t="shared" si="987"/>
        <v>35.554144079397098</v>
      </c>
      <c r="T534">
        <f t="shared" si="988"/>
        <v>3.5554144079397096E-2</v>
      </c>
    </row>
    <row r="535" spans="1:20" x14ac:dyDescent="0.25">
      <c r="A535" s="5">
        <v>44058</v>
      </c>
      <c r="B535">
        <v>1.8446</v>
      </c>
      <c r="C535">
        <v>2.0699999999999998</v>
      </c>
      <c r="D535">
        <v>1.8189</v>
      </c>
      <c r="E535">
        <v>1.8547</v>
      </c>
      <c r="F535">
        <v>1954502.13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-0.71485463958582185</v>
      </c>
      <c r="Q535">
        <f t="shared" si="985"/>
        <v>-1397184.9157108711</v>
      </c>
      <c r="R535">
        <f t="shared" si="986"/>
        <v>1826559.1910722395</v>
      </c>
      <c r="S535">
        <f t="shared" si="987"/>
        <v>18.265591910722396</v>
      </c>
      <c r="T535">
        <f t="shared" si="988"/>
        <v>1.8265591910722394E-2</v>
      </c>
    </row>
    <row r="536" spans="1:20" x14ac:dyDescent="0.25">
      <c r="A536" s="5">
        <v>44057</v>
      </c>
      <c r="B536">
        <v>1.881</v>
      </c>
      <c r="C536">
        <v>1.962</v>
      </c>
      <c r="D536">
        <v>1.8</v>
      </c>
      <c r="E536">
        <v>1.8431999999999999</v>
      </c>
      <c r="F536">
        <v>1816804.39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-0.46666666666666756</v>
      </c>
      <c r="Q536">
        <f t="shared" si="985"/>
        <v>-847842.04866666824</v>
      </c>
      <c r="R536">
        <f t="shared" si="986"/>
        <v>3223744.1067831106</v>
      </c>
      <c r="S536">
        <f t="shared" si="987"/>
        <v>32.237441067831107</v>
      </c>
      <c r="T536">
        <f t="shared" si="988"/>
        <v>3.2237441067831107E-2</v>
      </c>
    </row>
    <row r="537" spans="1:20" x14ac:dyDescent="0.25">
      <c r="A537" s="5">
        <v>44056</v>
      </c>
      <c r="B537">
        <v>1.7785</v>
      </c>
      <c r="C537">
        <v>2.19</v>
      </c>
      <c r="D537">
        <v>1.7710999999999999</v>
      </c>
      <c r="E537">
        <v>1.8809</v>
      </c>
      <c r="F537">
        <v>5866073.5599999996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-0.47576987347815658</v>
      </c>
      <c r="Q537">
        <f t="shared" si="985"/>
        <v>-2790901.0754547594</v>
      </c>
      <c r="R537">
        <f t="shared" si="986"/>
        <v>4071586.1554497788</v>
      </c>
      <c r="S537">
        <f t="shared" si="987"/>
        <v>40.715861554497785</v>
      </c>
      <c r="T537">
        <f t="shared" si="988"/>
        <v>4.0715861554497787E-2</v>
      </c>
    </row>
    <row r="538" spans="1:20" x14ac:dyDescent="0.25">
      <c r="A538" s="5">
        <v>44055</v>
      </c>
      <c r="B538">
        <v>1.4652000000000001</v>
      </c>
      <c r="C538">
        <v>1.8888</v>
      </c>
      <c r="D538">
        <v>1.4326000000000001</v>
      </c>
      <c r="E538">
        <v>1.7837000000000001</v>
      </c>
      <c r="F538">
        <v>5063833.79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0.53923717667689619</v>
      </c>
      <c r="Q538">
        <f t="shared" si="985"/>
        <v>2730607.4360806667</v>
      </c>
      <c r="R538">
        <f t="shared" si="986"/>
        <v>6862487.2309045382</v>
      </c>
      <c r="S538">
        <f t="shared" si="987"/>
        <v>68.624872309045386</v>
      </c>
      <c r="T538">
        <f t="shared" si="988"/>
        <v>6.862487230904539E-2</v>
      </c>
    </row>
    <row r="539" spans="1:20" x14ac:dyDescent="0.25">
      <c r="A539" s="5">
        <v>44054</v>
      </c>
      <c r="B539">
        <v>1.5973999999999999</v>
      </c>
      <c r="C539">
        <v>1.6354</v>
      </c>
      <c r="D539">
        <v>1.35</v>
      </c>
      <c r="E539">
        <v>1.4679</v>
      </c>
      <c r="F539">
        <v>4106693.86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-0.17379117028731644</v>
      </c>
      <c r="Q539">
        <f t="shared" si="985"/>
        <v>-713707.1319411369</v>
      </c>
      <c r="R539">
        <f t="shared" si="986"/>
        <v>4131879.7948238719</v>
      </c>
      <c r="S539">
        <f t="shared" si="987"/>
        <v>41.318797948238718</v>
      </c>
      <c r="T539">
        <f t="shared" si="988"/>
        <v>4.1318797948238721E-2</v>
      </c>
    </row>
    <row r="540" spans="1:20" x14ac:dyDescent="0.25">
      <c r="A540" s="5">
        <v>44053</v>
      </c>
      <c r="B540">
        <v>1.7168000000000001</v>
      </c>
      <c r="C540">
        <v>1.7692000000000001</v>
      </c>
      <c r="D540">
        <v>1.4836</v>
      </c>
      <c r="E540">
        <v>1.5973999999999999</v>
      </c>
      <c r="F540">
        <v>4737156.58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-0.20308123249299811</v>
      </c>
      <c r="Q540">
        <f t="shared" si="985"/>
        <v>-962027.59677871584</v>
      </c>
      <c r="R540">
        <f t="shared" si="986"/>
        <v>4845586.9267650088</v>
      </c>
      <c r="S540">
        <f t="shared" si="987"/>
        <v>48.455869267650087</v>
      </c>
      <c r="T540">
        <f t="shared" si="988"/>
        <v>4.8455869267650088E-2</v>
      </c>
    </row>
    <row r="541" spans="1:20" x14ac:dyDescent="0.25">
      <c r="A541" s="5">
        <v>44052</v>
      </c>
      <c r="B541">
        <v>1.52</v>
      </c>
      <c r="C541">
        <v>1.7844</v>
      </c>
      <c r="D541">
        <v>1.4652000000000001</v>
      </c>
      <c r="E541">
        <v>1.7141</v>
      </c>
      <c r="F541">
        <v>4520853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0.5595238095238092</v>
      </c>
      <c r="Q541">
        <f t="shared" si="985"/>
        <v>2529524.8928571413</v>
      </c>
      <c r="R541">
        <f t="shared" si="986"/>
        <v>5807614.5235437248</v>
      </c>
      <c r="S541">
        <f t="shared" si="987"/>
        <v>58.076145235437245</v>
      </c>
      <c r="T541">
        <f t="shared" si="988"/>
        <v>5.8076145235437242E-2</v>
      </c>
    </row>
    <row r="542" spans="1:20" x14ac:dyDescent="0.25">
      <c r="A542" s="5">
        <v>44051</v>
      </c>
      <c r="B542">
        <v>1.2919</v>
      </c>
      <c r="C542">
        <v>1.5803</v>
      </c>
      <c r="D542">
        <v>1.2773000000000001</v>
      </c>
      <c r="E542">
        <v>1.5194000000000001</v>
      </c>
      <c r="F542">
        <v>4417137.54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0.59801980198019822</v>
      </c>
      <c r="Q542">
        <f t="shared" si="985"/>
        <v>2641535.7169900998</v>
      </c>
      <c r="R542">
        <f t="shared" si="986"/>
        <v>3278089.6306865835</v>
      </c>
      <c r="S542">
        <f t="shared" si="987"/>
        <v>32.780896306865834</v>
      </c>
      <c r="T542">
        <f t="shared" si="988"/>
        <v>3.2780896306865835E-2</v>
      </c>
    </row>
    <row r="543" spans="1:20" x14ac:dyDescent="0.25">
      <c r="A543" s="5">
        <v>44050</v>
      </c>
      <c r="B543">
        <v>1.3617999999999999</v>
      </c>
      <c r="C543">
        <v>1.3617999999999999</v>
      </c>
      <c r="D543">
        <v>1.2111000000000001</v>
      </c>
      <c r="E543">
        <v>1.2915000000000001</v>
      </c>
      <c r="F543">
        <v>2405592.38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6.7020570670207238E-2</v>
      </c>
      <c r="Q543">
        <f t="shared" si="985"/>
        <v>161224.17410750201</v>
      </c>
      <c r="R543">
        <f t="shared" si="986"/>
        <v>636553.91369648371</v>
      </c>
      <c r="S543">
        <f t="shared" si="987"/>
        <v>6.3655391369648369</v>
      </c>
      <c r="T543">
        <f t="shared" si="988"/>
        <v>6.365539136964837E-3</v>
      </c>
    </row>
    <row r="544" spans="1:20" x14ac:dyDescent="0.25">
      <c r="A544" s="5">
        <v>44049</v>
      </c>
      <c r="B544">
        <v>1.1684000000000001</v>
      </c>
      <c r="C544">
        <v>1.3998999999999999</v>
      </c>
      <c r="D544">
        <v>1.1656</v>
      </c>
      <c r="E544">
        <v>1.3617999999999999</v>
      </c>
      <c r="F544">
        <v>3800470.99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0.67477592829705479</v>
      </c>
      <c r="Q544">
        <f t="shared" si="985"/>
        <v>2564466.3402432771</v>
      </c>
      <c r="R544">
        <f t="shared" si="986"/>
        <v>475329.73958898173</v>
      </c>
      <c r="S544">
        <f t="shared" si="987"/>
        <v>4.7532973958898177</v>
      </c>
      <c r="T544">
        <f t="shared" si="988"/>
        <v>4.7532973958898175E-3</v>
      </c>
    </row>
    <row r="545" spans="1:20" x14ac:dyDescent="0.25">
      <c r="A545" s="5">
        <v>44048</v>
      </c>
      <c r="B545">
        <v>1.2101999999999999</v>
      </c>
      <c r="C545">
        <v>1.2665</v>
      </c>
      <c r="D545">
        <v>1.1309</v>
      </c>
      <c r="E545">
        <v>1.1716</v>
      </c>
      <c r="F545">
        <v>2462552.86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-0.3997050147492629</v>
      </c>
      <c r="Q545">
        <f t="shared" si="985"/>
        <v>-984294.72722713952</v>
      </c>
      <c r="R545">
        <f t="shared" si="986"/>
        <v>-2089136.6006542954</v>
      </c>
      <c r="S545">
        <f t="shared" si="987"/>
        <v>-20.891366006542953</v>
      </c>
      <c r="T545">
        <f t="shared" si="988"/>
        <v>-2.0891366006542952E-2</v>
      </c>
    </row>
    <row r="546" spans="1:20" x14ac:dyDescent="0.25">
      <c r="A546" s="5">
        <v>44047</v>
      </c>
      <c r="B546">
        <v>1.0716000000000001</v>
      </c>
      <c r="C546">
        <v>1.2399</v>
      </c>
      <c r="D546">
        <v>1.0651999999999999</v>
      </c>
      <c r="E546">
        <v>1.2133</v>
      </c>
      <c r="F546">
        <v>3459647.57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0.69547796222095082</v>
      </c>
      <c r="Q546">
        <f t="shared" si="985"/>
        <v>2406108.6419862644</v>
      </c>
      <c r="R546">
        <f t="shared" si="986"/>
        <v>-1104841.8734271559</v>
      </c>
      <c r="S546">
        <f t="shared" si="987"/>
        <v>-11.048418734271559</v>
      </c>
      <c r="T546">
        <f t="shared" si="988"/>
        <v>-1.1048418734271559E-2</v>
      </c>
    </row>
    <row r="547" spans="1:20" x14ac:dyDescent="0.25">
      <c r="A547" s="5">
        <v>44046</v>
      </c>
      <c r="B547">
        <v>1.089</v>
      </c>
      <c r="C547">
        <v>1.1289</v>
      </c>
      <c r="D547">
        <v>1.0521</v>
      </c>
      <c r="E547">
        <v>1.071</v>
      </c>
      <c r="F547">
        <v>1718136.37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-0.507812500000002</v>
      </c>
      <c r="Q547">
        <f t="shared" si="985"/>
        <v>-872491.12539062847</v>
      </c>
      <c r="R547">
        <f t="shared" si="986"/>
        <v>-3510950.5154134203</v>
      </c>
      <c r="S547">
        <f t="shared" si="987"/>
        <v>-35.109505154134204</v>
      </c>
      <c r="T547">
        <f t="shared" si="988"/>
        <v>-3.5109505154134205E-2</v>
      </c>
    </row>
    <row r="548" spans="1:20" x14ac:dyDescent="0.25">
      <c r="A548" s="5">
        <v>44045</v>
      </c>
      <c r="B548">
        <v>1.1395</v>
      </c>
      <c r="C548">
        <v>1.149</v>
      </c>
      <c r="D548">
        <v>0.89900000000000002</v>
      </c>
      <c r="E548">
        <v>1.089</v>
      </c>
      <c r="F548">
        <v>3579291.07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0.51999999999999957</v>
      </c>
      <c r="Q548">
        <f t="shared" si="985"/>
        <v>1861231.3563999983</v>
      </c>
      <c r="R548">
        <f t="shared" si="986"/>
        <v>-2638459.3900227919</v>
      </c>
      <c r="S548">
        <f t="shared" si="987"/>
        <v>-26.38459390022792</v>
      </c>
      <c r="T548">
        <f t="shared" si="988"/>
        <v>-2.6384593900227918E-2</v>
      </c>
    </row>
    <row r="549" spans="1:20" x14ac:dyDescent="0.25">
      <c r="A549" s="5">
        <v>44044</v>
      </c>
      <c r="B549">
        <v>1.1768000000000001</v>
      </c>
      <c r="C549">
        <v>1.22</v>
      </c>
      <c r="D549">
        <v>1.1200000000000001</v>
      </c>
      <c r="E549">
        <v>1.1404000000000001</v>
      </c>
      <c r="F549">
        <v>1772705.03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-0.59199999999999997</v>
      </c>
      <c r="Q549">
        <f t="shared" si="985"/>
        <v>-1049441.3777600001</v>
      </c>
      <c r="R549">
        <f t="shared" si="986"/>
        <v>-4499690.74642279</v>
      </c>
      <c r="S549">
        <f t="shared" si="987"/>
        <v>-44.996907464227903</v>
      </c>
      <c r="T549">
        <f t="shared" si="988"/>
        <v>-4.4996907464227902E-2</v>
      </c>
    </row>
    <row r="550" spans="1:20" x14ac:dyDescent="0.25">
      <c r="A550" s="5">
        <v>44043</v>
      </c>
      <c r="B550">
        <v>1.1739999999999999</v>
      </c>
      <c r="C550">
        <v>1.2499</v>
      </c>
      <c r="D550">
        <v>1.1177999999999999</v>
      </c>
      <c r="E550">
        <v>1.1814</v>
      </c>
      <c r="F550">
        <v>2489103.02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-3.7093111279333082E-2</v>
      </c>
      <c r="Q550">
        <f t="shared" si="985"/>
        <v>-92328.57530658404</v>
      </c>
      <c r="R550">
        <f t="shared" si="986"/>
        <v>-3450249.3686627899</v>
      </c>
      <c r="S550">
        <f t="shared" si="987"/>
        <v>-34.502493686627901</v>
      </c>
      <c r="T550">
        <f t="shared" si="988"/>
        <v>-3.4502493686627903E-2</v>
      </c>
    </row>
    <row r="551" spans="1:20" x14ac:dyDescent="0.25">
      <c r="A551" s="5">
        <v>44042</v>
      </c>
      <c r="B551">
        <v>1.0992</v>
      </c>
      <c r="C551">
        <v>1.2988999999999999</v>
      </c>
      <c r="D551">
        <v>1.0866</v>
      </c>
      <c r="E551">
        <v>1.1740999999999999</v>
      </c>
      <c r="F551">
        <v>2593553.7000000002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-0.1756947715496944</v>
      </c>
      <c r="Q551">
        <f t="shared" si="985"/>
        <v>-455673.82482336467</v>
      </c>
      <c r="R551">
        <f t="shared" si="986"/>
        <v>-3357920.7933562058</v>
      </c>
      <c r="S551">
        <f t="shared" si="987"/>
        <v>-33.57920793356206</v>
      </c>
      <c r="T551">
        <f t="shared" si="988"/>
        <v>-3.3579207933562061E-2</v>
      </c>
    </row>
    <row r="552" spans="1:20" x14ac:dyDescent="0.25">
      <c r="A552" s="5">
        <v>44041</v>
      </c>
      <c r="B552">
        <v>1.1755</v>
      </c>
      <c r="C552">
        <v>1.2394000000000001</v>
      </c>
      <c r="D552">
        <v>1.0705</v>
      </c>
      <c r="E552">
        <v>1.0951</v>
      </c>
      <c r="F552">
        <v>1559153.43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-0.70870337477797574</v>
      </c>
      <c r="Q552">
        <f t="shared" si="985"/>
        <v>-1104977.2976376563</v>
      </c>
      <c r="R552">
        <f t="shared" si="986"/>
        <v>-2902246.9685328412</v>
      </c>
      <c r="S552">
        <f t="shared" si="987"/>
        <v>-29.02246968532841</v>
      </c>
      <c r="T552">
        <f t="shared" si="988"/>
        <v>-2.9022469685328411E-2</v>
      </c>
    </row>
    <row r="553" spans="1:20" x14ac:dyDescent="0.25">
      <c r="A553" s="5">
        <v>44040</v>
      </c>
      <c r="B553">
        <v>0.99319999999999997</v>
      </c>
      <c r="C553">
        <v>1.2198</v>
      </c>
      <c r="D553">
        <v>0.97340000000000004</v>
      </c>
      <c r="E553">
        <v>1.1755</v>
      </c>
      <c r="F553">
        <v>2804510.89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0.64042207792207784</v>
      </c>
      <c r="Q553">
        <f t="shared" si="985"/>
        <v>1796070.691728896</v>
      </c>
      <c r="R553">
        <f t="shared" si="986"/>
        <v>-1797269.6708951849</v>
      </c>
      <c r="S553">
        <f t="shared" si="987"/>
        <v>-17.972696708951847</v>
      </c>
      <c r="T553">
        <f t="shared" si="988"/>
        <v>-1.7972696708951848E-2</v>
      </c>
    </row>
    <row r="554" spans="1:20" x14ac:dyDescent="0.25">
      <c r="A554" s="5">
        <v>44039</v>
      </c>
      <c r="B554">
        <v>1.1673</v>
      </c>
      <c r="C554">
        <v>1.1709000000000001</v>
      </c>
      <c r="D554">
        <v>0.94899999999999995</v>
      </c>
      <c r="E554">
        <v>1.0028999999999999</v>
      </c>
      <c r="F554">
        <v>2781915.99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-0.5141955835962152</v>
      </c>
      <c r="Q554">
        <f t="shared" si="985"/>
        <v>-1430448.9159936928</v>
      </c>
      <c r="R554">
        <f t="shared" si="986"/>
        <v>-3593340.3626240809</v>
      </c>
      <c r="S554">
        <f t="shared" si="987"/>
        <v>-35.933403626240811</v>
      </c>
      <c r="T554">
        <f t="shared" si="988"/>
        <v>-3.5933403626240812E-2</v>
      </c>
    </row>
    <row r="555" spans="1:20" x14ac:dyDescent="0.25">
      <c r="A555" s="5">
        <v>44038</v>
      </c>
      <c r="B555">
        <v>1.1535</v>
      </c>
      <c r="C555">
        <v>1.2464999999999999</v>
      </c>
      <c r="D555">
        <v>1.0501</v>
      </c>
      <c r="E555">
        <v>1.1673</v>
      </c>
      <c r="F555">
        <v>1815977.47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0.19348268839103896</v>
      </c>
      <c r="Q555">
        <f t="shared" si="985"/>
        <v>351360.20295315731</v>
      </c>
      <c r="R555">
        <f t="shared" si="986"/>
        <v>-2162891.446630388</v>
      </c>
      <c r="S555">
        <f t="shared" si="987"/>
        <v>-21.628914466303879</v>
      </c>
      <c r="T555">
        <f t="shared" si="988"/>
        <v>-2.162891446630388E-2</v>
      </c>
    </row>
    <row r="556" spans="1:20" x14ac:dyDescent="0.25">
      <c r="A556" s="5">
        <v>44037</v>
      </c>
      <c r="B556">
        <v>1.1234</v>
      </c>
      <c r="C556">
        <v>1.3149999999999999</v>
      </c>
      <c r="D556">
        <v>1.1142000000000001</v>
      </c>
      <c r="E556">
        <v>1.1533</v>
      </c>
      <c r="F556">
        <v>3407472.13</v>
      </c>
      <c r="G556">
        <v>0</v>
      </c>
      <c r="L556" t="s">
        <v>8</v>
      </c>
      <c r="M556" t="s">
        <v>8</v>
      </c>
      <c r="N556" t="s">
        <v>7</v>
      </c>
      <c r="P556">
        <f t="shared" si="984"/>
        <v>-0.61055776892430336</v>
      </c>
      <c r="Q556">
        <f t="shared" si="985"/>
        <v>-2080458.5813645436</v>
      </c>
      <c r="R556">
        <f t="shared" si="986"/>
        <v>-2514251.6495835455</v>
      </c>
      <c r="S556">
        <f t="shared" si="987"/>
        <v>-25.142516495835455</v>
      </c>
      <c r="T556">
        <f t="shared" si="988"/>
        <v>-2.5142516495835456E-2</v>
      </c>
    </row>
    <row r="557" spans="1:20" x14ac:dyDescent="0.25">
      <c r="A557" s="5">
        <v>44036</v>
      </c>
      <c r="B557">
        <v>1.2384999999999999</v>
      </c>
      <c r="C557">
        <v>1.31</v>
      </c>
      <c r="D557">
        <v>1.1000000000000001</v>
      </c>
      <c r="E557">
        <v>1.1245000000000001</v>
      </c>
      <c r="F557">
        <v>2227951.73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-0.76666666666666694</v>
      </c>
      <c r="Q557">
        <f t="shared" si="985"/>
        <v>-1708096.326333334</v>
      </c>
      <c r="R557">
        <f t="shared" si="986"/>
        <v>-433793.0682190021</v>
      </c>
      <c r="S557">
        <f t="shared" si="987"/>
        <v>-4.337930682190021</v>
      </c>
      <c r="T557">
        <f t="shared" si="988"/>
        <v>-4.3379306821900209E-3</v>
      </c>
    </row>
    <row r="558" spans="1:20" x14ac:dyDescent="0.25">
      <c r="A558" s="5">
        <v>44035</v>
      </c>
      <c r="B558">
        <v>1.2801</v>
      </c>
      <c r="C558">
        <v>1.3190999999999999</v>
      </c>
      <c r="D558">
        <v>1.2201</v>
      </c>
      <c r="E558">
        <v>1.2390000000000001</v>
      </c>
      <c r="F558">
        <v>2408185.6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-0.61818181818181528</v>
      </c>
      <c r="Q558">
        <f t="shared" si="985"/>
        <v>-1488696.5527272657</v>
      </c>
      <c r="R558">
        <f t="shared" si="986"/>
        <v>1274303.2581143319</v>
      </c>
      <c r="S558">
        <f t="shared" si="987"/>
        <v>12.743032581143318</v>
      </c>
      <c r="T558">
        <f t="shared" si="988"/>
        <v>1.2743032581143317E-2</v>
      </c>
    </row>
    <row r="559" spans="1:20" x14ac:dyDescent="0.25">
      <c r="A559" s="5">
        <v>44034</v>
      </c>
      <c r="B559">
        <v>1.4801</v>
      </c>
      <c r="C559">
        <v>1.5720000000000001</v>
      </c>
      <c r="D559">
        <v>1.2037</v>
      </c>
      <c r="E559">
        <v>1.2793000000000001</v>
      </c>
      <c r="F559">
        <v>3726223.72</v>
      </c>
      <c r="G559">
        <v>0</v>
      </c>
      <c r="L559" t="s">
        <v>7</v>
      </c>
      <c r="M559" t="s">
        <v>7</v>
      </c>
      <c r="N559" t="s">
        <v>7</v>
      </c>
      <c r="P559">
        <f t="shared" si="984"/>
        <v>-0.58946510996470214</v>
      </c>
      <c r="Q559">
        <f t="shared" si="985"/>
        <v>-2196478.8748628814</v>
      </c>
      <c r="R559">
        <f t="shared" si="986"/>
        <v>2762999.8108415976</v>
      </c>
      <c r="S559">
        <f t="shared" si="987"/>
        <v>27.629998108415975</v>
      </c>
      <c r="T559">
        <f t="shared" si="988"/>
        <v>2.7629998108415977E-2</v>
      </c>
    </row>
    <row r="560" spans="1:20" x14ac:dyDescent="0.25">
      <c r="A560" s="5">
        <v>44033</v>
      </c>
      <c r="B560">
        <v>1.3672</v>
      </c>
      <c r="C560">
        <v>1.5548999999999999</v>
      </c>
      <c r="D560">
        <v>1.3129</v>
      </c>
      <c r="E560">
        <v>1.4801</v>
      </c>
      <c r="F560">
        <v>2564695.75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0.381818181818182</v>
      </c>
      <c r="Q560">
        <f t="shared" si="985"/>
        <v>979247.46818181861</v>
      </c>
      <c r="R560">
        <f t="shared" si="986"/>
        <v>4959478.685704479</v>
      </c>
      <c r="S560">
        <f t="shared" si="987"/>
        <v>49.594786857044788</v>
      </c>
      <c r="T560">
        <f t="shared" si="988"/>
        <v>4.9594786857044791E-2</v>
      </c>
    </row>
    <row r="561" spans="1:104" x14ac:dyDescent="0.25">
      <c r="A561" s="5">
        <v>44032</v>
      </c>
      <c r="B561">
        <v>1.5229999999999999</v>
      </c>
      <c r="C561">
        <v>1.7946</v>
      </c>
      <c r="D561">
        <v>1.3507</v>
      </c>
      <c r="E561">
        <v>1.3638999999999999</v>
      </c>
      <c r="F561">
        <v>2570268.84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-0.94052714575354868</v>
      </c>
      <c r="Q561">
        <f t="shared" si="985"/>
        <v>-2417407.6159044844</v>
      </c>
      <c r="R561">
        <f t="shared" si="986"/>
        <v>3980231.2175226607</v>
      </c>
      <c r="S561">
        <f t="shared" si="987"/>
        <v>39.802312175226611</v>
      </c>
      <c r="T561">
        <f t="shared" si="988"/>
        <v>3.980231217522661E-2</v>
      </c>
      <c r="CZ561" t="s">
        <v>7</v>
      </c>
    </row>
    <row r="562" spans="1:104" x14ac:dyDescent="0.25">
      <c r="A562" s="5">
        <v>44031</v>
      </c>
      <c r="B562">
        <v>1.7533000000000001</v>
      </c>
      <c r="C562">
        <v>1.7536</v>
      </c>
      <c r="D562">
        <v>1.4703999999999999</v>
      </c>
      <c r="E562">
        <v>1.5230999999999999</v>
      </c>
      <c r="F562">
        <v>2341119.33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-0.62782485875706251</v>
      </c>
      <c r="Q562">
        <f t="shared" si="985"/>
        <v>-1469812.9126906788</v>
      </c>
      <c r="R562">
        <f t="shared" si="986"/>
        <v>6397638.8334271451</v>
      </c>
      <c r="S562">
        <f t="shared" si="987"/>
        <v>63.976388334271455</v>
      </c>
      <c r="T562">
        <f t="shared" si="988"/>
        <v>6.3976388334271453E-2</v>
      </c>
      <c r="CZ562" t="s">
        <v>7</v>
      </c>
    </row>
    <row r="563" spans="1:104" x14ac:dyDescent="0.25">
      <c r="A563" s="5">
        <v>44030</v>
      </c>
      <c r="B563">
        <v>1.7670999999999999</v>
      </c>
      <c r="C563">
        <v>1.8697999999999999</v>
      </c>
      <c r="D563">
        <v>1.5866</v>
      </c>
      <c r="E563">
        <v>1.75</v>
      </c>
      <c r="F563">
        <v>3978890.77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0.15395480225988736</v>
      </c>
      <c r="Q563">
        <f t="shared" si="985"/>
        <v>612569.34170904092</v>
      </c>
      <c r="R563">
        <f t="shared" si="986"/>
        <v>7867451.7461178238</v>
      </c>
      <c r="S563">
        <f t="shared" si="987"/>
        <v>78.67451746117824</v>
      </c>
      <c r="T563">
        <f t="shared" si="988"/>
        <v>7.8674517461178234E-2</v>
      </c>
      <c r="CZ563" t="s">
        <v>7</v>
      </c>
    </row>
    <row r="564" spans="1:104" x14ac:dyDescent="0.25">
      <c r="A564" s="5">
        <v>44029</v>
      </c>
      <c r="B564">
        <v>1.2076</v>
      </c>
      <c r="C564">
        <v>1.95</v>
      </c>
      <c r="D564">
        <v>1.2070000000000001</v>
      </c>
      <c r="E564">
        <v>1.7698</v>
      </c>
      <c r="F564">
        <v>4688920.8899999997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0.51493943472409165</v>
      </c>
      <c r="Q564">
        <f t="shared" si="985"/>
        <v>2414510.2725625844</v>
      </c>
      <c r="R564">
        <f t="shared" si="986"/>
        <v>7254882.4044087827</v>
      </c>
      <c r="S564">
        <f t="shared" si="987"/>
        <v>72.548824044087823</v>
      </c>
      <c r="T564">
        <f t="shared" si="988"/>
        <v>7.2548824044087828E-2</v>
      </c>
    </row>
    <row r="565" spans="1:104" x14ac:dyDescent="0.25">
      <c r="A565" s="5">
        <v>44028</v>
      </c>
      <c r="B565">
        <v>1.1859</v>
      </c>
      <c r="C565">
        <v>1.2818000000000001</v>
      </c>
      <c r="D565">
        <v>1.0757000000000001</v>
      </c>
      <c r="E565">
        <v>1.21</v>
      </c>
      <c r="F565">
        <v>2724690.41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0.30325084910237649</v>
      </c>
      <c r="Q565">
        <f t="shared" si="985"/>
        <v>826264.68037360231</v>
      </c>
      <c r="R565">
        <f t="shared" si="986"/>
        <v>4840372.1318461979</v>
      </c>
      <c r="S565">
        <f t="shared" si="987"/>
        <v>48.403721318461976</v>
      </c>
      <c r="T565">
        <f t="shared" si="988"/>
        <v>4.8403721318461976E-2</v>
      </c>
    </row>
    <row r="566" spans="1:104" x14ac:dyDescent="0.25">
      <c r="A566" s="5">
        <v>44027</v>
      </c>
      <c r="B566">
        <v>1.0552999999999999</v>
      </c>
      <c r="C566">
        <v>1.1971000000000001</v>
      </c>
      <c r="D566">
        <v>0.98670000000000002</v>
      </c>
      <c r="E566">
        <v>1.1846000000000001</v>
      </c>
      <c r="F566">
        <v>2278361.4900000002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0.881178707224335</v>
      </c>
      <c r="Q566">
        <f t="shared" si="985"/>
        <v>2007643.63234791</v>
      </c>
      <c r="R566">
        <f t="shared" si="986"/>
        <v>4014107.4514725953</v>
      </c>
      <c r="S566">
        <f t="shared" si="987"/>
        <v>40.14107451472595</v>
      </c>
      <c r="T566">
        <f t="shared" si="988"/>
        <v>4.0141074514725948E-2</v>
      </c>
    </row>
    <row r="567" spans="1:104" x14ac:dyDescent="0.25">
      <c r="A567" s="5">
        <v>44026</v>
      </c>
      <c r="B567">
        <v>1.0145</v>
      </c>
      <c r="C567">
        <v>1.24</v>
      </c>
      <c r="D567">
        <v>0.91549999999999998</v>
      </c>
      <c r="E567">
        <v>1.0552999999999999</v>
      </c>
      <c r="F567">
        <v>4255067.3099999996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-0.13836671802773548</v>
      </c>
      <c r="Q567">
        <f t="shared" si="985"/>
        <v>-588759.69867180486</v>
      </c>
      <c r="R567">
        <f t="shared" si="986"/>
        <v>2006463.8191246851</v>
      </c>
      <c r="S567">
        <f t="shared" si="987"/>
        <v>20.06463819124685</v>
      </c>
      <c r="T567">
        <f t="shared" si="988"/>
        <v>2.0064638191246851E-2</v>
      </c>
    </row>
    <row r="568" spans="1:104" x14ac:dyDescent="0.25">
      <c r="A568" s="5">
        <v>44025</v>
      </c>
      <c r="B568">
        <v>1.0602</v>
      </c>
      <c r="C568">
        <v>1.1063000000000001</v>
      </c>
      <c r="D568">
        <v>0.98119999999999996</v>
      </c>
      <c r="E568">
        <v>1.0223</v>
      </c>
      <c r="F568">
        <v>1473043.2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-0.34292565947242221</v>
      </c>
      <c r="Q568">
        <f t="shared" si="985"/>
        <v>-505144.31079136708</v>
      </c>
      <c r="R568">
        <f t="shared" si="986"/>
        <v>2595223.5177964899</v>
      </c>
      <c r="S568">
        <f t="shared" si="987"/>
        <v>25.952235177964898</v>
      </c>
      <c r="T568">
        <f t="shared" si="988"/>
        <v>2.5952235177964897E-2</v>
      </c>
    </row>
    <row r="569" spans="1:104" x14ac:dyDescent="0.25">
      <c r="A569" s="5">
        <v>44024</v>
      </c>
      <c r="B569">
        <v>0.90169999999999995</v>
      </c>
      <c r="C569">
        <v>1.0880000000000001</v>
      </c>
      <c r="D569">
        <v>0.89180000000000004</v>
      </c>
      <c r="E569">
        <v>1.0602</v>
      </c>
      <c r="F569">
        <v>2438208.86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0.71661569826707394</v>
      </c>
      <c r="Q569">
        <f t="shared" si="985"/>
        <v>1747258.7447298663</v>
      </c>
      <c r="R569">
        <f t="shared" si="986"/>
        <v>3100367.8285878571</v>
      </c>
      <c r="S569">
        <f t="shared" si="987"/>
        <v>31.003678285878571</v>
      </c>
      <c r="T569">
        <f t="shared" si="988"/>
        <v>3.1003678285878571E-2</v>
      </c>
    </row>
    <row r="570" spans="1:104" x14ac:dyDescent="0.25">
      <c r="A570" s="5">
        <v>44023</v>
      </c>
      <c r="B570">
        <v>0.87690000000000001</v>
      </c>
      <c r="C570">
        <v>0.93510000000000004</v>
      </c>
      <c r="D570">
        <v>0.84540000000000004</v>
      </c>
      <c r="E570">
        <v>0.90049999999999997</v>
      </c>
      <c r="F570">
        <v>826119.11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0.22853957636566166</v>
      </c>
      <c r="Q570">
        <f t="shared" si="985"/>
        <v>188800.91142697743</v>
      </c>
      <c r="R570">
        <f t="shared" si="986"/>
        <v>1353109.0838579906</v>
      </c>
      <c r="S570">
        <f t="shared" si="987"/>
        <v>13.531090838579905</v>
      </c>
      <c r="T570">
        <f t="shared" si="988"/>
        <v>1.3531090838579904E-2</v>
      </c>
    </row>
    <row r="571" spans="1:104" x14ac:dyDescent="0.25">
      <c r="A571" s="5">
        <v>44022</v>
      </c>
      <c r="B571">
        <v>0.94599999999999995</v>
      </c>
      <c r="C571">
        <v>0.94830000000000003</v>
      </c>
      <c r="D571">
        <v>0.83140000000000003</v>
      </c>
      <c r="E571">
        <v>0.87870000000000004</v>
      </c>
      <c r="F571">
        <v>1233903.6599999999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-0.19076133447390919</v>
      </c>
      <c r="Q571">
        <f t="shared" si="985"/>
        <v>-235381.10879384071</v>
      </c>
      <c r="R571">
        <f t="shared" si="986"/>
        <v>1164308.1724310131</v>
      </c>
      <c r="S571">
        <f t="shared" si="987"/>
        <v>11.643081724310131</v>
      </c>
      <c r="T571">
        <f t="shared" si="988"/>
        <v>1.1643081724310131E-2</v>
      </c>
    </row>
    <row r="572" spans="1:104" x14ac:dyDescent="0.25">
      <c r="A572" s="5">
        <v>44021</v>
      </c>
      <c r="B572">
        <v>0.93069999999999997</v>
      </c>
      <c r="C572">
        <v>0.97799999999999998</v>
      </c>
      <c r="D572">
        <v>0.84499999999999997</v>
      </c>
      <c r="E572">
        <v>0.94850000000000001</v>
      </c>
      <c r="F572">
        <v>1862553.21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0.55639097744360944</v>
      </c>
      <c r="Q572">
        <f t="shared" si="985"/>
        <v>1036307.8010526323</v>
      </c>
      <c r="R572">
        <f t="shared" si="986"/>
        <v>1399689.2812248538</v>
      </c>
      <c r="S572">
        <f t="shared" si="987"/>
        <v>13.996892812248538</v>
      </c>
      <c r="T572">
        <f t="shared" si="988"/>
        <v>1.3996892812248538E-2</v>
      </c>
    </row>
    <row r="573" spans="1:104" x14ac:dyDescent="0.25">
      <c r="A573" s="5">
        <v>44020</v>
      </c>
      <c r="B573">
        <v>0.84350000000000003</v>
      </c>
      <c r="C573">
        <v>0.9446</v>
      </c>
      <c r="D573">
        <v>0.79059999999999997</v>
      </c>
      <c r="E573">
        <v>0.93110000000000004</v>
      </c>
      <c r="F573">
        <v>1421831.13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0.82467532467532523</v>
      </c>
      <c r="Q573">
        <f t="shared" si="985"/>
        <v>1172549.0487662344</v>
      </c>
      <c r="R573">
        <f t="shared" si="986"/>
        <v>363381.48017222167</v>
      </c>
      <c r="S573">
        <f t="shared" si="987"/>
        <v>3.6338148017222167</v>
      </c>
      <c r="T573">
        <f t="shared" si="988"/>
        <v>3.6338148017222168E-3</v>
      </c>
    </row>
    <row r="574" spans="1:104" x14ac:dyDescent="0.25">
      <c r="A574" s="5">
        <v>44019</v>
      </c>
      <c r="B574">
        <v>0.78359999999999996</v>
      </c>
      <c r="C574">
        <v>0.84499999999999997</v>
      </c>
      <c r="D574">
        <v>0.76070000000000004</v>
      </c>
      <c r="E574">
        <v>0.8427</v>
      </c>
      <c r="F574">
        <v>935198.98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0.94543297746144794</v>
      </c>
      <c r="Q574">
        <f t="shared" si="985"/>
        <v>884167.95618030906</v>
      </c>
      <c r="R574">
        <f t="shared" si="986"/>
        <v>-809167.56859401276</v>
      </c>
      <c r="S574">
        <f t="shared" si="987"/>
        <v>-8.0916756859401282</v>
      </c>
      <c r="T574">
        <f t="shared" si="988"/>
        <v>-8.0916756859401289E-3</v>
      </c>
    </row>
    <row r="575" spans="1:104" x14ac:dyDescent="0.25">
      <c r="A575" s="5">
        <v>44018</v>
      </c>
      <c r="B575">
        <v>0.73570000000000002</v>
      </c>
      <c r="C575">
        <v>0.8044</v>
      </c>
      <c r="D575">
        <v>0.71809999999999996</v>
      </c>
      <c r="E575">
        <v>0.78349999999999997</v>
      </c>
      <c r="F575">
        <v>766343.46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0.5156431054461178</v>
      </c>
      <c r="Q575">
        <f t="shared" si="985"/>
        <v>395159.72155272274</v>
      </c>
      <c r="R575">
        <f t="shared" si="986"/>
        <v>-1693335.5247743218</v>
      </c>
      <c r="S575">
        <f t="shared" si="987"/>
        <v>-16.933355247743219</v>
      </c>
      <c r="T575">
        <f t="shared" si="988"/>
        <v>-1.6933355247743219E-2</v>
      </c>
    </row>
    <row r="576" spans="1:104" x14ac:dyDescent="0.25">
      <c r="A576" s="5">
        <v>44017</v>
      </c>
      <c r="B576">
        <v>0.74719999999999998</v>
      </c>
      <c r="C576">
        <v>0.75919999999999999</v>
      </c>
      <c r="D576">
        <v>0.67559999999999998</v>
      </c>
      <c r="E576">
        <v>0.73570000000000002</v>
      </c>
      <c r="F576">
        <v>811782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0.43779904306220185</v>
      </c>
      <c r="Q576">
        <f t="shared" si="985"/>
        <v>355397.38277512032</v>
      </c>
      <c r="R576">
        <f t="shared" si="986"/>
        <v>-2088495.2463270444</v>
      </c>
      <c r="S576">
        <f t="shared" si="987"/>
        <v>-20.884952463270444</v>
      </c>
      <c r="T576">
        <f t="shared" si="988"/>
        <v>-2.0884952463270445E-2</v>
      </c>
    </row>
    <row r="577" spans="1:20" x14ac:dyDescent="0.25">
      <c r="A577" s="5">
        <v>44016</v>
      </c>
      <c r="B577">
        <v>0.66839999999999999</v>
      </c>
      <c r="C577">
        <v>0.77</v>
      </c>
      <c r="D577">
        <v>0.66820000000000002</v>
      </c>
      <c r="E577">
        <v>0.74739999999999995</v>
      </c>
      <c r="F577">
        <v>1951606.31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0.5559921414538298</v>
      </c>
      <c r="Q577">
        <f t="shared" si="985"/>
        <v>1085077.7715717067</v>
      </c>
      <c r="R577">
        <f t="shared" si="986"/>
        <v>-2443892.6291021649</v>
      </c>
      <c r="S577">
        <f t="shared" si="987"/>
        <v>-24.438926291021648</v>
      </c>
      <c r="T577">
        <f t="shared" si="988"/>
        <v>-2.4438926291021647E-2</v>
      </c>
    </row>
    <row r="578" spans="1:20" x14ac:dyDescent="0.25">
      <c r="A578" s="5">
        <v>44015</v>
      </c>
      <c r="B578">
        <v>0.58899999999999997</v>
      </c>
      <c r="C578">
        <v>0.67449999999999999</v>
      </c>
      <c r="D578">
        <v>0.5857</v>
      </c>
      <c r="E578">
        <v>0.66820000000000002</v>
      </c>
      <c r="F578">
        <v>1064276.9099999999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0.85810810810810867</v>
      </c>
      <c r="Q578">
        <f t="shared" si="985"/>
        <v>913264.64574324375</v>
      </c>
      <c r="R578">
        <f t="shared" si="986"/>
        <v>-3528970.4006738714</v>
      </c>
      <c r="S578">
        <f t="shared" si="987"/>
        <v>-35.289704006738717</v>
      </c>
      <c r="T578">
        <f t="shared" si="988"/>
        <v>-3.5289704006738719E-2</v>
      </c>
    </row>
    <row r="579" spans="1:20" x14ac:dyDescent="0.25">
      <c r="A579" s="5">
        <v>44014</v>
      </c>
      <c r="B579">
        <v>0.60870000000000002</v>
      </c>
      <c r="C579">
        <v>0.62509999999999999</v>
      </c>
      <c r="D579">
        <v>0.58050000000000002</v>
      </c>
      <c r="E579">
        <v>0.59209999999999996</v>
      </c>
      <c r="F579">
        <v>549945.9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-0.4798206278026928</v>
      </c>
      <c r="Q579">
        <f t="shared" si="985"/>
        <v>-263875.38699551695</v>
      </c>
      <c r="R579">
        <f t="shared" si="986"/>
        <v>-4442235.0464171153</v>
      </c>
      <c r="S579">
        <f t="shared" si="987"/>
        <v>-44.422350464171153</v>
      </c>
      <c r="T579">
        <f t="shared" si="988"/>
        <v>-4.4422350464171152E-2</v>
      </c>
    </row>
    <row r="580" spans="1:20" x14ac:dyDescent="0.25">
      <c r="A580" s="5">
        <v>44013</v>
      </c>
      <c r="B580">
        <v>0.61339999999999995</v>
      </c>
      <c r="C580">
        <v>0.63500000000000001</v>
      </c>
      <c r="D580">
        <v>0.57299999999999995</v>
      </c>
      <c r="E580">
        <v>0.60860000000000003</v>
      </c>
      <c r="F580">
        <v>359179.25</v>
      </c>
      <c r="G580">
        <v>0</v>
      </c>
      <c r="L580" t="s">
        <v>7</v>
      </c>
      <c r="M580" t="s">
        <v>8</v>
      </c>
      <c r="N580" t="s">
        <v>7</v>
      </c>
      <c r="P580">
        <f t="shared" si="984"/>
        <v>0.14838709677419498</v>
      </c>
      <c r="Q580">
        <f t="shared" si="985"/>
        <v>53297.56612903277</v>
      </c>
      <c r="R580">
        <f t="shared" si="986"/>
        <v>-4178359.6594215981</v>
      </c>
      <c r="S580">
        <f t="shared" si="987"/>
        <v>-41.783596594215979</v>
      </c>
      <c r="T580">
        <f t="shared" si="988"/>
        <v>-4.1783596594215981E-2</v>
      </c>
    </row>
    <row r="581" spans="1:20" x14ac:dyDescent="0.25">
      <c r="A581" s="5">
        <v>44012</v>
      </c>
      <c r="B581">
        <v>0.61629999999999996</v>
      </c>
      <c r="C581">
        <v>0.63460000000000005</v>
      </c>
      <c r="D581">
        <v>0.60089999999999999</v>
      </c>
      <c r="E581">
        <v>0.61709999999999998</v>
      </c>
      <c r="F581">
        <v>470885.92</v>
      </c>
      <c r="G581">
        <v>0</v>
      </c>
      <c r="L581" t="s">
        <v>8</v>
      </c>
      <c r="M581" t="s">
        <v>8</v>
      </c>
      <c r="N581" t="s">
        <v>7</v>
      </c>
      <c r="P581">
        <f t="shared" si="984"/>
        <v>-3.8575667655788619E-2</v>
      </c>
      <c r="Q581">
        <f t="shared" si="985"/>
        <v>-18164.738753710266</v>
      </c>
      <c r="R581">
        <f t="shared" si="986"/>
        <v>-4231657.2255506311</v>
      </c>
      <c r="S581">
        <f t="shared" si="987"/>
        <v>-42.316572255506308</v>
      </c>
      <c r="T581">
        <f t="shared" si="988"/>
        <v>-4.2316572255506307E-2</v>
      </c>
    </row>
    <row r="582" spans="1:20" x14ac:dyDescent="0.25">
      <c r="A582" s="5">
        <v>44011</v>
      </c>
      <c r="B582">
        <v>0.57550000000000001</v>
      </c>
      <c r="C582">
        <v>0.64300000000000002</v>
      </c>
      <c r="D582">
        <v>0.56059999999999999</v>
      </c>
      <c r="E582">
        <v>0.61980000000000002</v>
      </c>
      <c r="F582">
        <v>929881.56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89">IF(C582=D582,0,((E582-D582)-(C582-E582))/(C582-D582))</f>
        <v>0.4368932038834954</v>
      </c>
      <c r="Q582">
        <f t="shared" ref="Q582:Q645" si="990">F582*P582</f>
        <v>406258.93398058281</v>
      </c>
      <c r="R582">
        <f t="shared" ref="R582:R645" si="991">R583+Q582</f>
        <v>-4213492.4867969211</v>
      </c>
      <c r="S582">
        <f t="shared" ref="S582:S645" si="992">R582/100000</f>
        <v>-42.134924867969211</v>
      </c>
      <c r="T582">
        <f t="shared" ref="T582:T645" si="993">S582/1000</f>
        <v>-4.2134924867969208E-2</v>
      </c>
    </row>
    <row r="583" spans="1:20" x14ac:dyDescent="0.25">
      <c r="A583" s="5">
        <v>44010</v>
      </c>
      <c r="B583">
        <v>0.57769999999999999</v>
      </c>
      <c r="C583">
        <v>0.60980000000000001</v>
      </c>
      <c r="D583">
        <v>0.55079999999999996</v>
      </c>
      <c r="E583">
        <v>0.57550000000000001</v>
      </c>
      <c r="F583">
        <v>515241.16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-0.16271186440677854</v>
      </c>
      <c r="Q583">
        <f t="shared" si="990"/>
        <v>-83835.849762711281</v>
      </c>
      <c r="R583">
        <f t="shared" si="991"/>
        <v>-4619751.4207775043</v>
      </c>
      <c r="S583">
        <f t="shared" si="992"/>
        <v>-46.197514207775043</v>
      </c>
      <c r="T583">
        <f t="shared" si="993"/>
        <v>-4.6197514207775042E-2</v>
      </c>
    </row>
    <row r="584" spans="1:20" x14ac:dyDescent="0.25">
      <c r="A584" s="5">
        <v>44009</v>
      </c>
      <c r="B584">
        <v>0.64739999999999998</v>
      </c>
      <c r="C584">
        <v>0.65080000000000005</v>
      </c>
      <c r="D584">
        <v>0.51</v>
      </c>
      <c r="E584">
        <v>0.57769999999999999</v>
      </c>
      <c r="F584">
        <v>1069612.1399999999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-3.8352272727273228E-2</v>
      </c>
      <c r="Q584">
        <f t="shared" si="990"/>
        <v>-41022.056505682347</v>
      </c>
      <c r="R584">
        <f t="shared" si="991"/>
        <v>-4535915.5710147927</v>
      </c>
      <c r="S584">
        <f t="shared" si="992"/>
        <v>-45.359155710147924</v>
      </c>
      <c r="T584">
        <f t="shared" si="993"/>
        <v>-4.5359155710147925E-2</v>
      </c>
    </row>
    <row r="585" spans="1:20" x14ac:dyDescent="0.25">
      <c r="A585" s="5">
        <v>44008</v>
      </c>
      <c r="B585">
        <v>0.67559999999999998</v>
      </c>
      <c r="C585">
        <v>0.67979999999999996</v>
      </c>
      <c r="D585">
        <v>0.61509999999999998</v>
      </c>
      <c r="E585">
        <v>0.64759999999999995</v>
      </c>
      <c r="F585">
        <v>890444.57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4.6367851622869712E-3</v>
      </c>
      <c r="Q585">
        <f t="shared" si="990"/>
        <v>4128.8001700150016</v>
      </c>
      <c r="R585">
        <f t="shared" si="991"/>
        <v>-4494893.5145091107</v>
      </c>
      <c r="S585">
        <f t="shared" si="992"/>
        <v>-44.948935145091106</v>
      </c>
      <c r="T585">
        <f t="shared" si="993"/>
        <v>-4.4948935145091108E-2</v>
      </c>
    </row>
    <row r="586" spans="1:20" x14ac:dyDescent="0.25">
      <c r="A586" s="5">
        <v>44007</v>
      </c>
      <c r="B586">
        <v>0.63149999999999995</v>
      </c>
      <c r="C586">
        <v>0.69989999999999997</v>
      </c>
      <c r="D586">
        <v>0.60489999999999999</v>
      </c>
      <c r="E586">
        <v>0.67559999999999998</v>
      </c>
      <c r="F586">
        <v>1175663.5900000001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0.48842105263157903</v>
      </c>
      <c r="Q586">
        <f t="shared" si="990"/>
        <v>574218.84816842119</v>
      </c>
      <c r="R586">
        <f t="shared" si="991"/>
        <v>-4499022.3146791253</v>
      </c>
      <c r="S586">
        <f t="shared" si="992"/>
        <v>-44.990223146791251</v>
      </c>
      <c r="T586">
        <f t="shared" si="993"/>
        <v>-4.4990223146791249E-2</v>
      </c>
    </row>
    <row r="587" spans="1:20" x14ac:dyDescent="0.25">
      <c r="A587" s="5">
        <v>44006</v>
      </c>
      <c r="B587">
        <v>0.65510000000000002</v>
      </c>
      <c r="C587">
        <v>0.6794</v>
      </c>
      <c r="D587">
        <v>0.60470000000000002</v>
      </c>
      <c r="E587">
        <v>0.63149999999999995</v>
      </c>
      <c r="F587">
        <v>717046.84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-0.28246318607764553</v>
      </c>
      <c r="Q587">
        <f t="shared" si="990"/>
        <v>-202539.33499330771</v>
      </c>
      <c r="R587">
        <f t="shared" si="991"/>
        <v>-5073241.1628475469</v>
      </c>
      <c r="S587">
        <f t="shared" si="992"/>
        <v>-50.732411628475468</v>
      </c>
      <c r="T587">
        <f t="shared" si="993"/>
        <v>-5.0732411628475471E-2</v>
      </c>
    </row>
    <row r="588" spans="1:20" x14ac:dyDescent="0.25">
      <c r="A588" s="5">
        <v>44005</v>
      </c>
      <c r="B588">
        <v>0.62949999999999995</v>
      </c>
      <c r="C588">
        <v>0.67810000000000004</v>
      </c>
      <c r="D588">
        <v>0.61739999999999995</v>
      </c>
      <c r="E588">
        <v>0.65629999999999999</v>
      </c>
      <c r="F588">
        <v>939492.55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0.2817133443163094</v>
      </c>
      <c r="Q588">
        <f t="shared" si="990"/>
        <v>264667.58822075755</v>
      </c>
      <c r="R588">
        <f t="shared" si="991"/>
        <v>-4870701.8278542394</v>
      </c>
      <c r="S588">
        <f t="shared" si="992"/>
        <v>-48.707018278542392</v>
      </c>
      <c r="T588">
        <f t="shared" si="993"/>
        <v>-4.8707018278542395E-2</v>
      </c>
    </row>
    <row r="589" spans="1:20" x14ac:dyDescent="0.25">
      <c r="A589" s="5">
        <v>44004</v>
      </c>
      <c r="B589">
        <v>0.58989999999999998</v>
      </c>
      <c r="C589">
        <v>0.66959999999999997</v>
      </c>
      <c r="D589">
        <v>0.58699999999999997</v>
      </c>
      <c r="E589">
        <v>0.62949999999999995</v>
      </c>
      <c r="F589">
        <v>813346.32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2.905569007263871E-2</v>
      </c>
      <c r="Q589">
        <f t="shared" si="990"/>
        <v>23632.338595641224</v>
      </c>
      <c r="R589">
        <f t="shared" si="991"/>
        <v>-5135369.4160749968</v>
      </c>
      <c r="S589">
        <f t="shared" si="992"/>
        <v>-51.353694160749967</v>
      </c>
      <c r="T589">
        <f t="shared" si="993"/>
        <v>-5.1353694160749967E-2</v>
      </c>
    </row>
    <row r="590" spans="1:20" x14ac:dyDescent="0.25">
      <c r="A590" s="5">
        <v>44003</v>
      </c>
      <c r="B590">
        <v>0.62129999999999996</v>
      </c>
      <c r="C590">
        <v>0.63790000000000002</v>
      </c>
      <c r="D590">
        <v>0.5847</v>
      </c>
      <c r="E590">
        <v>0.58989999999999998</v>
      </c>
      <c r="F590">
        <v>431905.41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-0.80451127819548951</v>
      </c>
      <c r="Q590">
        <f t="shared" si="990"/>
        <v>-347472.77345864696</v>
      </c>
      <c r="R590">
        <f t="shared" si="991"/>
        <v>-5159001.7546706377</v>
      </c>
      <c r="S590">
        <f t="shared" si="992"/>
        <v>-51.590017546706378</v>
      </c>
      <c r="T590">
        <f t="shared" si="993"/>
        <v>-5.1590017546706377E-2</v>
      </c>
    </row>
    <row r="591" spans="1:20" x14ac:dyDescent="0.25">
      <c r="A591" s="5">
        <v>44002</v>
      </c>
      <c r="B591">
        <v>0.64739999999999998</v>
      </c>
      <c r="C591">
        <v>0.64880000000000004</v>
      </c>
      <c r="D591">
        <v>0.59</v>
      </c>
      <c r="E591">
        <v>0.62129999999999996</v>
      </c>
      <c r="F591">
        <v>750220.79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6.4625850340134516E-2</v>
      </c>
      <c r="Q591">
        <f t="shared" si="990"/>
        <v>48483.65649659749</v>
      </c>
      <c r="R591">
        <f t="shared" si="991"/>
        <v>-4811528.981211991</v>
      </c>
      <c r="S591">
        <f t="shared" si="992"/>
        <v>-48.115289812119912</v>
      </c>
      <c r="T591">
        <f t="shared" si="993"/>
        <v>-4.8115289812119912E-2</v>
      </c>
    </row>
    <row r="592" spans="1:20" x14ac:dyDescent="0.25">
      <c r="A592" s="5">
        <v>44001</v>
      </c>
      <c r="B592">
        <v>0.62219999999999998</v>
      </c>
      <c r="C592">
        <v>0.68930000000000002</v>
      </c>
      <c r="D592">
        <v>0.59799999999999998</v>
      </c>
      <c r="E592">
        <v>0.64749999999999996</v>
      </c>
      <c r="F592">
        <v>2154848.2200000002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8.4337349397589537E-2</v>
      </c>
      <c r="Q592">
        <f t="shared" si="990"/>
        <v>181734.18722891391</v>
      </c>
      <c r="R592">
        <f t="shared" si="991"/>
        <v>-4860012.6377085885</v>
      </c>
      <c r="S592">
        <f t="shared" si="992"/>
        <v>-48.600126377085886</v>
      </c>
      <c r="T592">
        <f t="shared" si="993"/>
        <v>-4.8600126377085884E-2</v>
      </c>
    </row>
    <row r="593" spans="1:20" x14ac:dyDescent="0.25">
      <c r="A593" s="5">
        <v>44000</v>
      </c>
      <c r="B593">
        <v>0.56989999999999996</v>
      </c>
      <c r="C593">
        <v>0.68799999999999994</v>
      </c>
      <c r="D593">
        <v>0.53159999999999996</v>
      </c>
      <c r="E593">
        <v>0.62229999999999996</v>
      </c>
      <c r="F593">
        <v>2758450.29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0.15984654731457817</v>
      </c>
      <c r="Q593">
        <f t="shared" si="990"/>
        <v>440928.75479539688</v>
      </c>
      <c r="R593">
        <f t="shared" si="991"/>
        <v>-5041746.8249375029</v>
      </c>
      <c r="S593">
        <f t="shared" si="992"/>
        <v>-50.417468249375027</v>
      </c>
      <c r="T593">
        <f t="shared" si="993"/>
        <v>-5.0417468249375028E-2</v>
      </c>
    </row>
    <row r="594" spans="1:20" x14ac:dyDescent="0.25">
      <c r="A594" s="5">
        <v>43999</v>
      </c>
      <c r="B594">
        <v>0.4929</v>
      </c>
      <c r="C594">
        <v>0.56989999999999996</v>
      </c>
      <c r="D594">
        <v>0.4819</v>
      </c>
      <c r="E594">
        <v>0.56989999999999996</v>
      </c>
      <c r="F594">
        <v>1734063.07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1</v>
      </c>
      <c r="Q594">
        <f t="shared" si="990"/>
        <v>1734063.07</v>
      </c>
      <c r="R594">
        <f t="shared" si="991"/>
        <v>-5482675.5797328996</v>
      </c>
      <c r="S594">
        <f t="shared" si="992"/>
        <v>-54.826755797328993</v>
      </c>
      <c r="T594">
        <f t="shared" si="993"/>
        <v>-5.4826755797328992E-2</v>
      </c>
    </row>
    <row r="595" spans="1:20" x14ac:dyDescent="0.25">
      <c r="A595" s="5">
        <v>43998</v>
      </c>
      <c r="B595">
        <v>0.46789999999999998</v>
      </c>
      <c r="C595">
        <v>0.49309999999999998</v>
      </c>
      <c r="D595">
        <v>0.46260000000000001</v>
      </c>
      <c r="E595">
        <v>0.4929</v>
      </c>
      <c r="F595">
        <v>730750.77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0.98688524590164073</v>
      </c>
      <c r="Q595">
        <f t="shared" si="990"/>
        <v>721167.15334426332</v>
      </c>
      <c r="R595">
        <f t="shared" si="991"/>
        <v>-7216738.6497328999</v>
      </c>
      <c r="S595">
        <f t="shared" si="992"/>
        <v>-72.167386497329005</v>
      </c>
      <c r="T595">
        <f t="shared" si="993"/>
        <v>-7.2167386497329011E-2</v>
      </c>
    </row>
    <row r="596" spans="1:20" x14ac:dyDescent="0.25">
      <c r="A596" s="5">
        <v>43997</v>
      </c>
      <c r="B596">
        <v>0.4793</v>
      </c>
      <c r="C596">
        <v>0.48070000000000002</v>
      </c>
      <c r="D596">
        <v>0.42499999999999999</v>
      </c>
      <c r="E596">
        <v>0.4703</v>
      </c>
      <c r="F596">
        <v>1105845.05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0.62657091561938905</v>
      </c>
      <c r="Q596">
        <f t="shared" si="990"/>
        <v>692890.34551166906</v>
      </c>
      <c r="R596">
        <f t="shared" si="991"/>
        <v>-7937905.8030771632</v>
      </c>
      <c r="S596">
        <f t="shared" si="992"/>
        <v>-79.379058030771631</v>
      </c>
      <c r="T596">
        <f t="shared" si="993"/>
        <v>-7.9379058030771638E-2</v>
      </c>
    </row>
    <row r="597" spans="1:20" x14ac:dyDescent="0.25">
      <c r="A597" s="5">
        <v>43996</v>
      </c>
      <c r="B597">
        <v>0.50390000000000001</v>
      </c>
      <c r="C597">
        <v>0.53259999999999996</v>
      </c>
      <c r="D597">
        <v>0.47010000000000002</v>
      </c>
      <c r="E597">
        <v>0.47920000000000001</v>
      </c>
      <c r="F597">
        <v>775523.58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-0.70879999999999987</v>
      </c>
      <c r="Q597">
        <f t="shared" si="990"/>
        <v>-549691.11350399989</v>
      </c>
      <c r="R597">
        <f t="shared" si="991"/>
        <v>-8630796.1485888325</v>
      </c>
      <c r="S597">
        <f t="shared" si="992"/>
        <v>-86.307961485888328</v>
      </c>
      <c r="T597">
        <f t="shared" si="993"/>
        <v>-8.6307961485888332E-2</v>
      </c>
    </row>
    <row r="598" spans="1:20" x14ac:dyDescent="0.25">
      <c r="A598" s="5">
        <v>43995</v>
      </c>
      <c r="B598">
        <v>0.50009999999999999</v>
      </c>
      <c r="C598">
        <v>0.50770000000000004</v>
      </c>
      <c r="D598">
        <v>0.4849</v>
      </c>
      <c r="E598">
        <v>0.50319999999999998</v>
      </c>
      <c r="F598">
        <v>327231.65999999997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0.6052631578947324</v>
      </c>
      <c r="Q598">
        <f t="shared" si="990"/>
        <v>198061.26789473539</v>
      </c>
      <c r="R598">
        <f t="shared" si="991"/>
        <v>-8081105.0350848325</v>
      </c>
      <c r="S598">
        <f t="shared" si="992"/>
        <v>-80.811050350848319</v>
      </c>
      <c r="T598">
        <f t="shared" si="993"/>
        <v>-8.0811050350848318E-2</v>
      </c>
    </row>
    <row r="599" spans="1:20" x14ac:dyDescent="0.25">
      <c r="A599" s="5">
        <v>43994</v>
      </c>
      <c r="B599">
        <v>0.46089999999999998</v>
      </c>
      <c r="C599">
        <v>0.50949999999999995</v>
      </c>
      <c r="D599">
        <v>0.46089999999999998</v>
      </c>
      <c r="E599">
        <v>0.50009999999999999</v>
      </c>
      <c r="F599">
        <v>491794.9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0.61316872427983671</v>
      </c>
      <c r="Q599">
        <f t="shared" si="990"/>
        <v>301553.25144032988</v>
      </c>
      <c r="R599">
        <f t="shared" si="991"/>
        <v>-8279166.302979568</v>
      </c>
      <c r="S599">
        <f t="shared" si="992"/>
        <v>-82.791663029795686</v>
      </c>
      <c r="T599">
        <f t="shared" si="993"/>
        <v>-8.2791663029795681E-2</v>
      </c>
    </row>
    <row r="600" spans="1:20" x14ac:dyDescent="0.25">
      <c r="A600" s="5">
        <v>43993</v>
      </c>
      <c r="B600">
        <v>0.50849999999999995</v>
      </c>
      <c r="C600">
        <v>0.54500000000000004</v>
      </c>
      <c r="D600">
        <v>0.44729999999999998</v>
      </c>
      <c r="E600">
        <v>0.46529999999999999</v>
      </c>
      <c r="F600">
        <v>1478518.68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-0.63152507676560887</v>
      </c>
      <c r="Q600">
        <f t="shared" si="990"/>
        <v>-933721.6228863867</v>
      </c>
      <c r="R600">
        <f t="shared" si="991"/>
        <v>-8580719.5544198975</v>
      </c>
      <c r="S600">
        <f t="shared" si="992"/>
        <v>-85.807195544198976</v>
      </c>
      <c r="T600">
        <f t="shared" si="993"/>
        <v>-8.580719554419898E-2</v>
      </c>
    </row>
    <row r="601" spans="1:20" x14ac:dyDescent="0.25">
      <c r="A601" s="5">
        <v>43992</v>
      </c>
      <c r="B601">
        <v>0.54530000000000001</v>
      </c>
      <c r="C601">
        <v>0.5484</v>
      </c>
      <c r="D601">
        <v>0.48220000000000002</v>
      </c>
      <c r="E601">
        <v>0.50849999999999995</v>
      </c>
      <c r="F601">
        <v>1066633.19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-0.20543806646525856</v>
      </c>
      <c r="Q601">
        <f t="shared" si="990"/>
        <v>-219127.06018127076</v>
      </c>
      <c r="R601">
        <f t="shared" si="991"/>
        <v>-7646997.9315335117</v>
      </c>
      <c r="S601">
        <f t="shared" si="992"/>
        <v>-76.469979315335124</v>
      </c>
      <c r="T601">
        <f t="shared" si="993"/>
        <v>-7.6469979315335126E-2</v>
      </c>
    </row>
    <row r="602" spans="1:20" x14ac:dyDescent="0.25">
      <c r="A602" s="5">
        <v>43991</v>
      </c>
      <c r="B602">
        <v>0.53659999999999997</v>
      </c>
      <c r="C602">
        <v>0.54810000000000003</v>
      </c>
      <c r="D602">
        <v>0.51780000000000004</v>
      </c>
      <c r="E602">
        <v>0.54530000000000001</v>
      </c>
      <c r="F602">
        <v>315744.36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0.8151815181518135</v>
      </c>
      <c r="Q602">
        <f t="shared" si="990"/>
        <v>257388.96673267274</v>
      </c>
      <c r="R602">
        <f t="shared" si="991"/>
        <v>-7427870.8713522414</v>
      </c>
      <c r="S602">
        <f t="shared" si="992"/>
        <v>-74.27870871352242</v>
      </c>
      <c r="T602">
        <f t="shared" si="993"/>
        <v>-7.4278708713522421E-2</v>
      </c>
    </row>
    <row r="603" spans="1:20" x14ac:dyDescent="0.25">
      <c r="A603" s="5">
        <v>43990</v>
      </c>
      <c r="B603">
        <v>0.52790000000000004</v>
      </c>
      <c r="C603">
        <v>0.55649999999999999</v>
      </c>
      <c r="D603">
        <v>0.51770000000000005</v>
      </c>
      <c r="E603">
        <v>0.53659999999999997</v>
      </c>
      <c r="F603">
        <v>1162414.51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-2.577319587629158E-2</v>
      </c>
      <c r="Q603">
        <f t="shared" si="990"/>
        <v>-29959.136855673496</v>
      </c>
      <c r="R603">
        <f t="shared" si="991"/>
        <v>-7685259.8380849138</v>
      </c>
      <c r="S603">
        <f t="shared" si="992"/>
        <v>-76.852598380849145</v>
      </c>
      <c r="T603">
        <f t="shared" si="993"/>
        <v>-7.6852598380849138E-2</v>
      </c>
    </row>
    <row r="604" spans="1:20" x14ac:dyDescent="0.25">
      <c r="A604" s="5">
        <v>43989</v>
      </c>
      <c r="B604">
        <v>0.48609999999999998</v>
      </c>
      <c r="C604">
        <v>0.56000000000000005</v>
      </c>
      <c r="D604">
        <v>0.47360000000000002</v>
      </c>
      <c r="E604">
        <v>0.52790000000000004</v>
      </c>
      <c r="F604">
        <v>2688647.87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0.25694444444444431</v>
      </c>
      <c r="Q604">
        <f t="shared" si="990"/>
        <v>690833.13326388854</v>
      </c>
      <c r="R604">
        <f t="shared" si="991"/>
        <v>-7655300.7012292407</v>
      </c>
      <c r="S604">
        <f t="shared" si="992"/>
        <v>-76.553007012292412</v>
      </c>
      <c r="T604">
        <f t="shared" si="993"/>
        <v>-7.6553007012292409E-2</v>
      </c>
    </row>
    <row r="605" spans="1:20" x14ac:dyDescent="0.25">
      <c r="A605" s="5">
        <v>43988</v>
      </c>
      <c r="B605">
        <v>0.49059999999999998</v>
      </c>
      <c r="C605">
        <v>0.49959999999999999</v>
      </c>
      <c r="D605">
        <v>0.47260000000000002</v>
      </c>
      <c r="E605">
        <v>0.4839</v>
      </c>
      <c r="F605">
        <v>632050.39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-0.1629629629629637</v>
      </c>
      <c r="Q605">
        <f t="shared" si="990"/>
        <v>-103000.80429629676</v>
      </c>
      <c r="R605">
        <f t="shared" si="991"/>
        <v>-8346133.8344931295</v>
      </c>
      <c r="S605">
        <f t="shared" si="992"/>
        <v>-83.461338344931292</v>
      </c>
      <c r="T605">
        <f t="shared" si="993"/>
        <v>-8.3461338344931288E-2</v>
      </c>
    </row>
    <row r="606" spans="1:20" x14ac:dyDescent="0.25">
      <c r="A606" s="5">
        <v>43987</v>
      </c>
      <c r="B606">
        <v>0.43730000000000002</v>
      </c>
      <c r="C606">
        <v>0.51370000000000005</v>
      </c>
      <c r="D606">
        <v>0.42909999999999998</v>
      </c>
      <c r="E606">
        <v>0.49099999999999999</v>
      </c>
      <c r="F606">
        <v>2574120.4700000002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0.46335697399527098</v>
      </c>
      <c r="Q606">
        <f t="shared" si="990"/>
        <v>1192736.6716784849</v>
      </c>
      <c r="R606">
        <f t="shared" si="991"/>
        <v>-8243133.0301968325</v>
      </c>
      <c r="S606">
        <f t="shared" si="992"/>
        <v>-82.43133030196833</v>
      </c>
      <c r="T606">
        <f t="shared" si="993"/>
        <v>-8.2431330301968336E-2</v>
      </c>
    </row>
    <row r="607" spans="1:20" x14ac:dyDescent="0.25">
      <c r="A607" s="5">
        <v>43986</v>
      </c>
      <c r="B607">
        <v>0.4335</v>
      </c>
      <c r="C607">
        <v>0.44750000000000001</v>
      </c>
      <c r="D607">
        <v>0.41270000000000001</v>
      </c>
      <c r="E607">
        <v>0.43509999999999999</v>
      </c>
      <c r="F607">
        <v>881930.46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0.28735632183907917</v>
      </c>
      <c r="Q607">
        <f t="shared" si="990"/>
        <v>253428.29310344713</v>
      </c>
      <c r="R607">
        <f t="shared" si="991"/>
        <v>-9435869.7018753178</v>
      </c>
      <c r="S607">
        <f t="shared" si="992"/>
        <v>-94.358697018753176</v>
      </c>
      <c r="T607">
        <f t="shared" si="993"/>
        <v>-9.4358697018753171E-2</v>
      </c>
    </row>
    <row r="608" spans="1:20" x14ac:dyDescent="0.25">
      <c r="A608" s="5">
        <v>43985</v>
      </c>
      <c r="B608">
        <v>0.379</v>
      </c>
      <c r="C608">
        <v>0.44240000000000002</v>
      </c>
      <c r="D608">
        <v>0.37890000000000001</v>
      </c>
      <c r="E608">
        <v>0.43180000000000002</v>
      </c>
      <c r="F608">
        <v>930293.6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0.66614173228346463</v>
      </c>
      <c r="Q608">
        <f t="shared" si="990"/>
        <v>619707.39023622056</v>
      </c>
      <c r="R608">
        <f t="shared" si="991"/>
        <v>-9689297.994978765</v>
      </c>
      <c r="S608">
        <f t="shared" si="992"/>
        <v>-96.892979949787645</v>
      </c>
      <c r="T608">
        <f t="shared" si="993"/>
        <v>-9.6892979949787642E-2</v>
      </c>
    </row>
    <row r="609" spans="1:20" x14ac:dyDescent="0.25">
      <c r="A609" s="5">
        <v>43984</v>
      </c>
      <c r="B609">
        <v>0.39050000000000001</v>
      </c>
      <c r="C609">
        <v>0.40500000000000003</v>
      </c>
      <c r="D609">
        <v>0.36530000000000001</v>
      </c>
      <c r="E609">
        <v>0.38040000000000002</v>
      </c>
      <c r="F609">
        <v>546557.93000000005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-0.23929471032745606</v>
      </c>
      <c r="Q609">
        <f t="shared" si="990"/>
        <v>-130788.42153652402</v>
      </c>
      <c r="R609">
        <f t="shared" si="991"/>
        <v>-10309005.385214986</v>
      </c>
      <c r="S609">
        <f t="shared" si="992"/>
        <v>-103.09005385214986</v>
      </c>
      <c r="T609">
        <f t="shared" si="993"/>
        <v>-0.10309005385214987</v>
      </c>
    </row>
    <row r="610" spans="1:20" x14ac:dyDescent="0.25">
      <c r="A610" s="5">
        <v>43983</v>
      </c>
      <c r="B610">
        <v>0.37440000000000001</v>
      </c>
      <c r="C610">
        <v>0.40720000000000001</v>
      </c>
      <c r="D610">
        <v>0.37240000000000001</v>
      </c>
      <c r="E610">
        <v>0.39090000000000003</v>
      </c>
      <c r="F610">
        <v>466436.15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6.321839080459872E-2</v>
      </c>
      <c r="Q610">
        <f t="shared" si="990"/>
        <v>29487.34281609243</v>
      </c>
      <c r="R610">
        <f t="shared" si="991"/>
        <v>-10178216.963678462</v>
      </c>
      <c r="S610">
        <f t="shared" si="992"/>
        <v>-101.78216963678463</v>
      </c>
      <c r="T610">
        <f t="shared" si="993"/>
        <v>-0.10178216963678463</v>
      </c>
    </row>
    <row r="611" spans="1:20" x14ac:dyDescent="0.25">
      <c r="A611" s="5">
        <v>43982</v>
      </c>
      <c r="B611">
        <v>0.39400000000000002</v>
      </c>
      <c r="C611">
        <v>0.4022</v>
      </c>
      <c r="D611">
        <v>0.37440000000000001</v>
      </c>
      <c r="E611">
        <v>0.37440000000000001</v>
      </c>
      <c r="F611">
        <v>216380.09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-1</v>
      </c>
      <c r="Q611">
        <f t="shared" si="990"/>
        <v>-216380.09</v>
      </c>
      <c r="R611">
        <f t="shared" si="991"/>
        <v>-10207704.306494555</v>
      </c>
      <c r="S611">
        <f t="shared" si="992"/>
        <v>-102.07704306494554</v>
      </c>
      <c r="T611">
        <f t="shared" si="993"/>
        <v>-0.10207704306494554</v>
      </c>
    </row>
    <row r="612" spans="1:20" x14ac:dyDescent="0.25">
      <c r="A612" s="5">
        <v>43981</v>
      </c>
      <c r="B612">
        <v>0.39479999999999998</v>
      </c>
      <c r="C612">
        <v>0.41260000000000002</v>
      </c>
      <c r="D612">
        <v>0.38940000000000002</v>
      </c>
      <c r="E612">
        <v>0.39400000000000002</v>
      </c>
      <c r="F612">
        <v>571296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-0.60344827586206951</v>
      </c>
      <c r="Q612">
        <f t="shared" si="990"/>
        <v>-344747.58620689687</v>
      </c>
      <c r="R612">
        <f t="shared" si="991"/>
        <v>-9991324.2164945547</v>
      </c>
      <c r="S612">
        <f t="shared" si="992"/>
        <v>-99.913242164945544</v>
      </c>
      <c r="T612">
        <f t="shared" si="993"/>
        <v>-9.9913242164945543E-2</v>
      </c>
    </row>
    <row r="613" spans="1:20" x14ac:dyDescent="0.25">
      <c r="A613" s="5">
        <v>43980</v>
      </c>
      <c r="B613">
        <v>0.37480000000000002</v>
      </c>
      <c r="C613">
        <v>0.40600000000000003</v>
      </c>
      <c r="D613">
        <v>0.36880000000000002</v>
      </c>
      <c r="E613">
        <v>0.39439999999999997</v>
      </c>
      <c r="F613">
        <v>416393.86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0.3763440860215026</v>
      </c>
      <c r="Q613">
        <f t="shared" si="990"/>
        <v>156707.3666666655</v>
      </c>
      <c r="R613">
        <f t="shared" si="991"/>
        <v>-9646576.6302876584</v>
      </c>
      <c r="S613">
        <f t="shared" si="992"/>
        <v>-96.465766302876588</v>
      </c>
      <c r="T613">
        <f t="shared" si="993"/>
        <v>-9.6465766302876593E-2</v>
      </c>
    </row>
    <row r="614" spans="1:20" x14ac:dyDescent="0.25">
      <c r="A614" s="5">
        <v>43979</v>
      </c>
      <c r="B614">
        <v>0.379</v>
      </c>
      <c r="C614">
        <v>0.38350000000000001</v>
      </c>
      <c r="D614">
        <v>0.36670000000000003</v>
      </c>
      <c r="E614">
        <v>0.37630000000000002</v>
      </c>
      <c r="F614">
        <v>325671.65999999997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0.14285714285714379</v>
      </c>
      <c r="Q614">
        <f t="shared" si="990"/>
        <v>46524.522857143158</v>
      </c>
      <c r="R614">
        <f t="shared" si="991"/>
        <v>-9803283.9969543237</v>
      </c>
      <c r="S614">
        <f t="shared" si="992"/>
        <v>-98.032839969543232</v>
      </c>
      <c r="T614">
        <f t="shared" si="993"/>
        <v>-9.8032839969543234E-2</v>
      </c>
    </row>
    <row r="615" spans="1:20" x14ac:dyDescent="0.25">
      <c r="A615" s="5">
        <v>43978</v>
      </c>
      <c r="B615">
        <v>0.3881</v>
      </c>
      <c r="C615">
        <v>0.43169999999999997</v>
      </c>
      <c r="D615">
        <v>0.36849999999999999</v>
      </c>
      <c r="E615">
        <v>0.38019999999999998</v>
      </c>
      <c r="F615">
        <v>1161077.27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-0.62974683544303822</v>
      </c>
      <c r="Q615">
        <f t="shared" si="990"/>
        <v>-731184.73648734204</v>
      </c>
      <c r="R615">
        <f t="shared" si="991"/>
        <v>-9849808.5198114663</v>
      </c>
      <c r="S615">
        <f t="shared" si="992"/>
        <v>-98.498085198114666</v>
      </c>
      <c r="T615">
        <f t="shared" si="993"/>
        <v>-9.8498085198114663E-2</v>
      </c>
    </row>
    <row r="616" spans="1:20" x14ac:dyDescent="0.25">
      <c r="A616" s="5">
        <v>43977</v>
      </c>
      <c r="B616">
        <v>0.35799999999999998</v>
      </c>
      <c r="C616">
        <v>0.40479999999999999</v>
      </c>
      <c r="D616">
        <v>0.35570000000000002</v>
      </c>
      <c r="E616">
        <v>0.38840000000000002</v>
      </c>
      <c r="F616">
        <v>1312375.8899999999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0.33197556008146728</v>
      </c>
      <c r="Q616">
        <f t="shared" si="990"/>
        <v>435676.72112016409</v>
      </c>
      <c r="R616">
        <f t="shared" si="991"/>
        <v>-9118623.7833241243</v>
      </c>
      <c r="S616">
        <f t="shared" si="992"/>
        <v>-91.186237833241236</v>
      </c>
      <c r="T616">
        <f t="shared" si="993"/>
        <v>-9.1186237833241229E-2</v>
      </c>
    </row>
    <row r="617" spans="1:20" x14ac:dyDescent="0.25">
      <c r="A617" s="5">
        <v>43976</v>
      </c>
      <c r="B617">
        <v>0.3372</v>
      </c>
      <c r="C617">
        <v>0.37469999999999998</v>
      </c>
      <c r="D617">
        <v>0.33329999999999999</v>
      </c>
      <c r="E617">
        <v>0.3579</v>
      </c>
      <c r="F617">
        <v>903071.77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0.18840579710145</v>
      </c>
      <c r="Q617">
        <f t="shared" si="990"/>
        <v>170143.95666666733</v>
      </c>
      <c r="R617">
        <f t="shared" si="991"/>
        <v>-9554300.5044442881</v>
      </c>
      <c r="S617">
        <f t="shared" si="992"/>
        <v>-95.543005044442879</v>
      </c>
      <c r="T617">
        <f t="shared" si="993"/>
        <v>-9.554300504444288E-2</v>
      </c>
    </row>
    <row r="618" spans="1:20" x14ac:dyDescent="0.25">
      <c r="A618" s="5">
        <v>43975</v>
      </c>
      <c r="B618">
        <v>0.35730000000000001</v>
      </c>
      <c r="C618">
        <v>0.37419999999999998</v>
      </c>
      <c r="D618">
        <v>0.3372</v>
      </c>
      <c r="E618">
        <v>0.3372</v>
      </c>
      <c r="F618">
        <v>519307.4</v>
      </c>
      <c r="G618">
        <v>0</v>
      </c>
      <c r="L618" t="s">
        <v>8</v>
      </c>
      <c r="M618" t="s">
        <v>7</v>
      </c>
      <c r="N618" t="s">
        <v>8</v>
      </c>
      <c r="P618">
        <f t="shared" si="989"/>
        <v>-1</v>
      </c>
      <c r="Q618">
        <f t="shared" si="990"/>
        <v>-519307.4</v>
      </c>
      <c r="R618">
        <f t="shared" si="991"/>
        <v>-9724444.4611109551</v>
      </c>
      <c r="S618">
        <f t="shared" si="992"/>
        <v>-97.244444611109557</v>
      </c>
      <c r="T618">
        <f t="shared" si="993"/>
        <v>-9.7244444611109551E-2</v>
      </c>
    </row>
    <row r="619" spans="1:20" x14ac:dyDescent="0.25">
      <c r="A619" s="5">
        <v>43974</v>
      </c>
      <c r="B619">
        <v>0.36159999999999998</v>
      </c>
      <c r="C619">
        <v>0.36699999999999999</v>
      </c>
      <c r="D619">
        <v>0.34620000000000001</v>
      </c>
      <c r="E619">
        <v>0.35749999999999998</v>
      </c>
      <c r="F619">
        <v>327763.20000000001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8.6538461538460079E-2</v>
      </c>
      <c r="Q619">
        <f t="shared" si="990"/>
        <v>28364.123076922599</v>
      </c>
      <c r="R619">
        <f t="shared" si="991"/>
        <v>-9205137.0611109547</v>
      </c>
      <c r="S619">
        <f t="shared" si="992"/>
        <v>-92.051370611109547</v>
      </c>
      <c r="T619">
        <f t="shared" si="993"/>
        <v>-9.2051370611109545E-2</v>
      </c>
    </row>
    <row r="620" spans="1:20" x14ac:dyDescent="0.25">
      <c r="A620" s="5">
        <v>43973</v>
      </c>
      <c r="B620">
        <v>0.33950000000000002</v>
      </c>
      <c r="C620">
        <v>0.36559999999999998</v>
      </c>
      <c r="D620">
        <v>0.33710000000000001</v>
      </c>
      <c r="E620">
        <v>0.36059999999999998</v>
      </c>
      <c r="F620">
        <v>398582.28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0.64912280701754321</v>
      </c>
      <c r="Q620">
        <f t="shared" si="990"/>
        <v>258728.84842105239</v>
      </c>
      <c r="R620">
        <f t="shared" si="991"/>
        <v>-9233501.1841878779</v>
      </c>
      <c r="S620">
        <f t="shared" si="992"/>
        <v>-92.335011841878782</v>
      </c>
      <c r="T620">
        <f t="shared" si="993"/>
        <v>-9.2335011841878784E-2</v>
      </c>
    </row>
    <row r="621" spans="1:20" x14ac:dyDescent="0.25">
      <c r="A621" s="5">
        <v>43972</v>
      </c>
      <c r="B621">
        <v>0.35120000000000001</v>
      </c>
      <c r="C621">
        <v>0.3579</v>
      </c>
      <c r="D621">
        <v>0.32500000000000001</v>
      </c>
      <c r="E621">
        <v>0.3402</v>
      </c>
      <c r="F621">
        <v>671421.11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-7.5987841945288861E-2</v>
      </c>
      <c r="Q621">
        <f t="shared" si="990"/>
        <v>-51019.841185410405</v>
      </c>
      <c r="R621">
        <f t="shared" si="991"/>
        <v>-9492230.03260893</v>
      </c>
      <c r="S621">
        <f t="shared" si="992"/>
        <v>-94.922300326089299</v>
      </c>
      <c r="T621">
        <f t="shared" si="993"/>
        <v>-9.4922300326089296E-2</v>
      </c>
    </row>
    <row r="622" spans="1:20" x14ac:dyDescent="0.25">
      <c r="A622" s="5">
        <v>43971</v>
      </c>
      <c r="B622">
        <v>0.35670000000000002</v>
      </c>
      <c r="C622">
        <v>0.36830000000000002</v>
      </c>
      <c r="D622">
        <v>0.34439999999999998</v>
      </c>
      <c r="E622">
        <v>0.35239999999999999</v>
      </c>
      <c r="F622">
        <v>430647.61</v>
      </c>
      <c r="G622">
        <v>0</v>
      </c>
      <c r="L622" t="s">
        <v>7</v>
      </c>
      <c r="M622" t="s">
        <v>7</v>
      </c>
      <c r="N622" t="s">
        <v>8</v>
      </c>
      <c r="P622">
        <f t="shared" si="989"/>
        <v>-0.33054393305439361</v>
      </c>
      <c r="Q622">
        <f t="shared" si="990"/>
        <v>-142347.9547698746</v>
      </c>
      <c r="R622">
        <f t="shared" si="991"/>
        <v>-9441210.1914235204</v>
      </c>
      <c r="S622">
        <f t="shared" si="992"/>
        <v>-94.412101914235208</v>
      </c>
      <c r="T622">
        <f t="shared" si="993"/>
        <v>-9.4412101914235214E-2</v>
      </c>
    </row>
    <row r="623" spans="1:20" x14ac:dyDescent="0.25">
      <c r="A623" s="5">
        <v>43970</v>
      </c>
      <c r="B623">
        <v>0.35730000000000001</v>
      </c>
      <c r="C623">
        <v>0.36159999999999998</v>
      </c>
      <c r="D623">
        <v>0.34870000000000001</v>
      </c>
      <c r="E623">
        <v>0.35670000000000002</v>
      </c>
      <c r="F623">
        <v>326493.57</v>
      </c>
      <c r="G623">
        <v>0</v>
      </c>
      <c r="L623" t="s">
        <v>7</v>
      </c>
      <c r="M623" t="s">
        <v>7</v>
      </c>
      <c r="N623" t="s">
        <v>8</v>
      </c>
      <c r="P623">
        <f t="shared" si="989"/>
        <v>0.2403100775193841</v>
      </c>
      <c r="Q623">
        <f t="shared" si="990"/>
        <v>78459.695116280462</v>
      </c>
      <c r="R623">
        <f t="shared" si="991"/>
        <v>-9298862.2366536465</v>
      </c>
      <c r="S623">
        <f t="shared" si="992"/>
        <v>-92.988622366536461</v>
      </c>
      <c r="T623">
        <f t="shared" si="993"/>
        <v>-9.2988622366536461E-2</v>
      </c>
    </row>
    <row r="624" spans="1:20" x14ac:dyDescent="0.25">
      <c r="A624" s="5">
        <v>43969</v>
      </c>
      <c r="B624">
        <v>0.35880000000000001</v>
      </c>
      <c r="C624">
        <v>0.3634</v>
      </c>
      <c r="D624">
        <v>0.34610000000000002</v>
      </c>
      <c r="E624">
        <v>0.3579</v>
      </c>
      <c r="F624">
        <v>987439.28</v>
      </c>
      <c r="G624">
        <v>0</v>
      </c>
      <c r="L624" t="s">
        <v>7</v>
      </c>
      <c r="M624" t="s">
        <v>7</v>
      </c>
      <c r="N624" t="s">
        <v>8</v>
      </c>
      <c r="P624">
        <f t="shared" si="989"/>
        <v>0.36416184971098142</v>
      </c>
      <c r="Q624">
        <f t="shared" si="990"/>
        <v>359587.71468207974</v>
      </c>
      <c r="R624">
        <f t="shared" si="991"/>
        <v>-9377321.9317699261</v>
      </c>
      <c r="S624">
        <f t="shared" si="992"/>
        <v>-93.773219317699258</v>
      </c>
      <c r="T624">
        <f t="shared" si="993"/>
        <v>-9.3773219317699261E-2</v>
      </c>
    </row>
    <row r="625" spans="1:20" x14ac:dyDescent="0.25">
      <c r="A625" s="5">
        <v>43968</v>
      </c>
      <c r="B625">
        <v>0.3695</v>
      </c>
      <c r="C625">
        <v>0.3805</v>
      </c>
      <c r="D625">
        <v>0.35799999999999998</v>
      </c>
      <c r="E625">
        <v>0.35820000000000002</v>
      </c>
      <c r="F625">
        <v>350516.09</v>
      </c>
      <c r="G625">
        <v>0</v>
      </c>
      <c r="L625" t="s">
        <v>7</v>
      </c>
      <c r="M625" t="s">
        <v>7</v>
      </c>
      <c r="N625" t="s">
        <v>8</v>
      </c>
      <c r="P625">
        <f t="shared" si="989"/>
        <v>-0.98222222222221922</v>
      </c>
      <c r="Q625">
        <f t="shared" si="990"/>
        <v>-344284.69284444343</v>
      </c>
      <c r="R625">
        <f t="shared" si="991"/>
        <v>-9736909.646452006</v>
      </c>
      <c r="S625">
        <f t="shared" si="992"/>
        <v>-97.369096464520055</v>
      </c>
      <c r="T625">
        <f t="shared" si="993"/>
        <v>-9.736909646452005E-2</v>
      </c>
    </row>
    <row r="626" spans="1:20" x14ac:dyDescent="0.25">
      <c r="A626" s="5">
        <v>43967</v>
      </c>
      <c r="B626">
        <v>0.36830000000000002</v>
      </c>
      <c r="C626">
        <v>0.3795</v>
      </c>
      <c r="D626">
        <v>0.36420000000000002</v>
      </c>
      <c r="E626">
        <v>0.36980000000000002</v>
      </c>
      <c r="F626">
        <v>317903.01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-0.26797385620915021</v>
      </c>
      <c r="Q626">
        <f t="shared" si="990"/>
        <v>-85189.695490196042</v>
      </c>
      <c r="R626">
        <f t="shared" si="991"/>
        <v>-9392624.9536075629</v>
      </c>
      <c r="S626">
        <f t="shared" si="992"/>
        <v>-93.92624953607563</v>
      </c>
      <c r="T626">
        <f t="shared" si="993"/>
        <v>-9.3926249536075632E-2</v>
      </c>
    </row>
    <row r="627" spans="1:20" x14ac:dyDescent="0.25">
      <c r="A627" s="5">
        <v>43966</v>
      </c>
      <c r="B627">
        <v>0.36780000000000002</v>
      </c>
      <c r="C627">
        <v>0.38700000000000001</v>
      </c>
      <c r="D627">
        <v>0.3574</v>
      </c>
      <c r="E627">
        <v>0.36749999999999999</v>
      </c>
      <c r="F627">
        <v>1226986.96</v>
      </c>
      <c r="G627">
        <v>0</v>
      </c>
      <c r="L627" t="s">
        <v>7</v>
      </c>
      <c r="M627" t="s">
        <v>7</v>
      </c>
      <c r="N627" t="s">
        <v>8</v>
      </c>
      <c r="P627">
        <f t="shared" si="989"/>
        <v>-0.31756756756756804</v>
      </c>
      <c r="Q627">
        <f t="shared" si="990"/>
        <v>-389651.2643243249</v>
      </c>
      <c r="R627">
        <f t="shared" si="991"/>
        <v>-9307435.2581173666</v>
      </c>
      <c r="S627">
        <f t="shared" si="992"/>
        <v>-93.07435258117367</v>
      </c>
      <c r="T627">
        <f t="shared" si="993"/>
        <v>-9.3074352581173664E-2</v>
      </c>
    </row>
    <row r="628" spans="1:20" x14ac:dyDescent="0.25">
      <c r="A628" s="5">
        <v>43965</v>
      </c>
      <c r="B628">
        <v>0.40260000000000001</v>
      </c>
      <c r="C628">
        <v>0.42730000000000001</v>
      </c>
      <c r="D628">
        <v>0.36099999999999999</v>
      </c>
      <c r="E628">
        <v>0.36680000000000001</v>
      </c>
      <c r="F628">
        <v>1266450.6100000001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-0.82503770739064786</v>
      </c>
      <c r="Q628">
        <f t="shared" si="990"/>
        <v>-1044869.5077978875</v>
      </c>
      <c r="R628">
        <f t="shared" si="991"/>
        <v>-8917783.9937930424</v>
      </c>
      <c r="S628">
        <f t="shared" si="992"/>
        <v>-89.177839937930429</v>
      </c>
      <c r="T628">
        <f t="shared" si="993"/>
        <v>-8.9177839937930423E-2</v>
      </c>
    </row>
    <row r="629" spans="1:20" x14ac:dyDescent="0.25">
      <c r="A629" s="5">
        <v>43964</v>
      </c>
      <c r="B629">
        <v>0.37159999999999999</v>
      </c>
      <c r="C629">
        <v>0.40310000000000001</v>
      </c>
      <c r="D629">
        <v>0.36809999999999998</v>
      </c>
      <c r="E629">
        <v>0.39860000000000001</v>
      </c>
      <c r="F629">
        <v>1088791.8799999999</v>
      </c>
      <c r="G629">
        <v>0</v>
      </c>
      <c r="L629" t="s">
        <v>8</v>
      </c>
      <c r="M629" t="s">
        <v>8</v>
      </c>
      <c r="N629" t="s">
        <v>7</v>
      </c>
      <c r="P629">
        <f t="shared" si="989"/>
        <v>0.74285714285714288</v>
      </c>
      <c r="Q629">
        <f t="shared" si="990"/>
        <v>808816.82514285704</v>
      </c>
      <c r="R629">
        <f t="shared" si="991"/>
        <v>-7872914.4859951548</v>
      </c>
      <c r="S629">
        <f t="shared" si="992"/>
        <v>-78.729144859951546</v>
      </c>
      <c r="T629">
        <f t="shared" si="993"/>
        <v>-7.8729144859951541E-2</v>
      </c>
    </row>
    <row r="630" spans="1:20" x14ac:dyDescent="0.25">
      <c r="A630" s="5">
        <v>43963</v>
      </c>
      <c r="B630">
        <v>0.32100000000000001</v>
      </c>
      <c r="C630">
        <v>0.38600000000000001</v>
      </c>
      <c r="D630">
        <v>0.31480000000000002</v>
      </c>
      <c r="E630">
        <v>0.37169999999999997</v>
      </c>
      <c r="F630">
        <v>1140357.1399999999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0.598314606741572</v>
      </c>
      <c r="Q630">
        <f t="shared" si="990"/>
        <v>682292.33376404375</v>
      </c>
      <c r="R630">
        <f t="shared" si="991"/>
        <v>-8681731.3111380115</v>
      </c>
      <c r="S630">
        <f t="shared" si="992"/>
        <v>-86.817313111380116</v>
      </c>
      <c r="T630">
        <f t="shared" si="993"/>
        <v>-8.6817313111380121E-2</v>
      </c>
    </row>
    <row r="631" spans="1:20" x14ac:dyDescent="0.25">
      <c r="A631" s="5">
        <v>43962</v>
      </c>
      <c r="B631">
        <v>0.33260000000000001</v>
      </c>
      <c r="C631">
        <v>0.34339999999999998</v>
      </c>
      <c r="D631">
        <v>0.29709999999999998</v>
      </c>
      <c r="E631">
        <v>0.32100000000000001</v>
      </c>
      <c r="F631">
        <v>1174703.8500000001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3.2397408207344637E-2</v>
      </c>
      <c r="Q631">
        <f t="shared" si="990"/>
        <v>38057.360151189343</v>
      </c>
      <c r="R631">
        <f t="shared" si="991"/>
        <v>-9364023.6449020561</v>
      </c>
      <c r="S631">
        <f t="shared" si="992"/>
        <v>-93.640236449020563</v>
      </c>
      <c r="T631">
        <f t="shared" si="993"/>
        <v>-9.3640236449020559E-2</v>
      </c>
    </row>
    <row r="632" spans="1:20" x14ac:dyDescent="0.25">
      <c r="A632" s="5">
        <v>43961</v>
      </c>
      <c r="B632">
        <v>0.39150000000000001</v>
      </c>
      <c r="C632">
        <v>0.39639999999999997</v>
      </c>
      <c r="D632">
        <v>0.30599999999999999</v>
      </c>
      <c r="E632">
        <v>0.33260000000000001</v>
      </c>
      <c r="F632">
        <v>3320525.83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-0.41150442477876065</v>
      </c>
      <c r="Q632">
        <f t="shared" si="990"/>
        <v>-1366411.0716371669</v>
      </c>
      <c r="R632">
        <f t="shared" si="991"/>
        <v>-9402081.0050532445</v>
      </c>
      <c r="S632">
        <f t="shared" si="992"/>
        <v>-94.020810050532447</v>
      </c>
      <c r="T632">
        <f t="shared" si="993"/>
        <v>-9.402081005053245E-2</v>
      </c>
    </row>
    <row r="633" spans="1:20" x14ac:dyDescent="0.25">
      <c r="A633" s="5">
        <v>43960</v>
      </c>
      <c r="B633">
        <v>0.32400000000000001</v>
      </c>
      <c r="C633">
        <v>0.48020000000000002</v>
      </c>
      <c r="D633">
        <v>0.3226</v>
      </c>
      <c r="E633">
        <v>0.39129999999999998</v>
      </c>
      <c r="F633">
        <v>4389413.6500000004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-0.12817258883248761</v>
      </c>
      <c r="Q633">
        <f t="shared" si="990"/>
        <v>-562602.51097715867</v>
      </c>
      <c r="R633">
        <f t="shared" si="991"/>
        <v>-8035669.9334160779</v>
      </c>
      <c r="S633">
        <f t="shared" si="992"/>
        <v>-80.35669933416078</v>
      </c>
      <c r="T633">
        <f t="shared" si="993"/>
        <v>-8.0356699334160786E-2</v>
      </c>
    </row>
    <row r="634" spans="1:20" x14ac:dyDescent="0.25">
      <c r="A634" s="5">
        <v>43959</v>
      </c>
      <c r="B634">
        <v>0.31009999999999999</v>
      </c>
      <c r="C634">
        <v>0.33900000000000002</v>
      </c>
      <c r="D634">
        <v>0.31</v>
      </c>
      <c r="E634">
        <v>0.32390000000000002</v>
      </c>
      <c r="F634">
        <v>499632.72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-4.1379310344826822E-2</v>
      </c>
      <c r="Q634">
        <f t="shared" si="990"/>
        <v>-20674.457379309963</v>
      </c>
      <c r="R634">
        <f t="shared" si="991"/>
        <v>-7473067.4224389195</v>
      </c>
      <c r="S634">
        <f t="shared" si="992"/>
        <v>-74.73067422438919</v>
      </c>
      <c r="T634">
        <f t="shared" si="993"/>
        <v>-7.4730674224389185E-2</v>
      </c>
    </row>
    <row r="635" spans="1:20" x14ac:dyDescent="0.25">
      <c r="A635" s="5">
        <v>43958</v>
      </c>
      <c r="B635">
        <v>0.30499999999999999</v>
      </c>
      <c r="C635">
        <v>0.32300000000000001</v>
      </c>
      <c r="D635">
        <v>0.30259999999999998</v>
      </c>
      <c r="E635">
        <v>0.31009999999999999</v>
      </c>
      <c r="F635">
        <v>568709.61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-0.26470588235294157</v>
      </c>
      <c r="Q635">
        <f t="shared" si="990"/>
        <v>-150540.77911764727</v>
      </c>
      <c r="R635">
        <f t="shared" si="991"/>
        <v>-7452392.9650596092</v>
      </c>
      <c r="S635">
        <f t="shared" si="992"/>
        <v>-74.523929650596088</v>
      </c>
      <c r="T635">
        <f t="shared" si="993"/>
        <v>-7.4523929650596094E-2</v>
      </c>
    </row>
    <row r="636" spans="1:20" x14ac:dyDescent="0.25">
      <c r="A636" s="5">
        <v>43957</v>
      </c>
      <c r="B636">
        <v>0.3175</v>
      </c>
      <c r="C636">
        <v>0.3296</v>
      </c>
      <c r="D636">
        <v>0.30659999999999998</v>
      </c>
      <c r="E636">
        <v>0.30719999999999997</v>
      </c>
      <c r="F636">
        <v>495612.26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-0.94782608695652271</v>
      </c>
      <c r="Q636">
        <f t="shared" si="990"/>
        <v>-469754.22904347873</v>
      </c>
      <c r="R636">
        <f t="shared" si="991"/>
        <v>-7301852.1859419616</v>
      </c>
      <c r="S636">
        <f t="shared" si="992"/>
        <v>-73.018521859419621</v>
      </c>
      <c r="T636">
        <f t="shared" si="993"/>
        <v>-7.3018521859419622E-2</v>
      </c>
    </row>
    <row r="637" spans="1:20" x14ac:dyDescent="0.25">
      <c r="A637" s="5">
        <v>43956</v>
      </c>
      <c r="B637">
        <v>0.32569999999999999</v>
      </c>
      <c r="C637">
        <v>0.32779999999999998</v>
      </c>
      <c r="D637">
        <v>0.312</v>
      </c>
      <c r="E637">
        <v>0.317</v>
      </c>
      <c r="F637">
        <v>351376.43</v>
      </c>
      <c r="G637">
        <v>0</v>
      </c>
      <c r="L637" t="s">
        <v>7</v>
      </c>
      <c r="M637" t="s">
        <v>7</v>
      </c>
      <c r="N637" t="s">
        <v>8</v>
      </c>
      <c r="P637">
        <f t="shared" si="989"/>
        <v>-0.36708860759493539</v>
      </c>
      <c r="Q637">
        <f t="shared" si="990"/>
        <v>-128986.28443037928</v>
      </c>
      <c r="R637">
        <f t="shared" si="991"/>
        <v>-6832097.9568984825</v>
      </c>
      <c r="S637">
        <f t="shared" si="992"/>
        <v>-68.320979568984825</v>
      </c>
      <c r="T637">
        <f t="shared" si="993"/>
        <v>-6.8320979568984821E-2</v>
      </c>
    </row>
    <row r="638" spans="1:20" x14ac:dyDescent="0.25">
      <c r="A638" s="5">
        <v>43955</v>
      </c>
      <c r="B638">
        <v>0.32440000000000002</v>
      </c>
      <c r="C638">
        <v>0.33350000000000002</v>
      </c>
      <c r="D638">
        <v>0.312</v>
      </c>
      <c r="E638">
        <v>0.32550000000000001</v>
      </c>
      <c r="F638">
        <v>381280.56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0.2558139534883721</v>
      </c>
      <c r="Q638">
        <f t="shared" si="990"/>
        <v>97536.887441860468</v>
      </c>
      <c r="R638">
        <f t="shared" si="991"/>
        <v>-6703111.6724681035</v>
      </c>
      <c r="S638">
        <f t="shared" si="992"/>
        <v>-67.031116724681041</v>
      </c>
      <c r="T638">
        <f t="shared" si="993"/>
        <v>-6.7031116724681039E-2</v>
      </c>
    </row>
    <row r="639" spans="1:20" x14ac:dyDescent="0.25">
      <c r="A639" s="5">
        <v>43954</v>
      </c>
      <c r="B639">
        <v>0.34360000000000002</v>
      </c>
      <c r="C639">
        <v>0.34789999999999999</v>
      </c>
      <c r="D639">
        <v>0.31730000000000003</v>
      </c>
      <c r="E639">
        <v>0.3231</v>
      </c>
      <c r="F639">
        <v>554723.06999999995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-0.62091503267973991</v>
      </c>
      <c r="Q639">
        <f t="shared" si="990"/>
        <v>-344435.89313725563</v>
      </c>
      <c r="R639">
        <f t="shared" si="991"/>
        <v>-6800648.559909964</v>
      </c>
      <c r="S639">
        <f t="shared" si="992"/>
        <v>-68.006485599099634</v>
      </c>
      <c r="T639">
        <f t="shared" si="993"/>
        <v>-6.8006485599099636E-2</v>
      </c>
    </row>
    <row r="640" spans="1:20" x14ac:dyDescent="0.25">
      <c r="A640" s="5">
        <v>43953</v>
      </c>
      <c r="B640">
        <v>0.34189999999999998</v>
      </c>
      <c r="C640">
        <v>0.35070000000000001</v>
      </c>
      <c r="D640">
        <v>0.34029999999999999</v>
      </c>
      <c r="E640">
        <v>0.34379999999999999</v>
      </c>
      <c r="F640">
        <v>290768.56</v>
      </c>
      <c r="G640">
        <v>0</v>
      </c>
      <c r="L640" t="s">
        <v>8</v>
      </c>
      <c r="M640" t="s">
        <v>7</v>
      </c>
      <c r="N640" t="s">
        <v>8</v>
      </c>
      <c r="P640">
        <f t="shared" si="989"/>
        <v>-0.32692307692307765</v>
      </c>
      <c r="Q640">
        <f t="shared" si="990"/>
        <v>-95058.952307692525</v>
      </c>
      <c r="R640">
        <f t="shared" si="991"/>
        <v>-6456212.6667727083</v>
      </c>
      <c r="S640">
        <f t="shared" si="992"/>
        <v>-64.562126667727085</v>
      </c>
      <c r="T640">
        <f t="shared" si="993"/>
        <v>-6.4562126667727079E-2</v>
      </c>
    </row>
    <row r="641" spans="1:20" x14ac:dyDescent="0.25">
      <c r="A641" s="5">
        <v>43952</v>
      </c>
      <c r="B641">
        <v>0.33960000000000001</v>
      </c>
      <c r="C641">
        <v>0.3604</v>
      </c>
      <c r="D641">
        <v>0.33850000000000002</v>
      </c>
      <c r="E641">
        <v>0.34239999999999998</v>
      </c>
      <c r="F641">
        <v>418589.66</v>
      </c>
      <c r="G641">
        <v>0</v>
      </c>
      <c r="L641" t="s">
        <v>8</v>
      </c>
      <c r="M641" t="s">
        <v>7</v>
      </c>
      <c r="N641" t="s">
        <v>8</v>
      </c>
      <c r="P641">
        <f t="shared" si="989"/>
        <v>-0.64383561643835951</v>
      </c>
      <c r="Q641">
        <f t="shared" si="990"/>
        <v>-269502.93178082333</v>
      </c>
      <c r="R641">
        <f t="shared" si="991"/>
        <v>-6361153.7144650156</v>
      </c>
      <c r="S641">
        <f t="shared" si="992"/>
        <v>-63.611537144650157</v>
      </c>
      <c r="T641">
        <f t="shared" si="993"/>
        <v>-6.3611537144650163E-2</v>
      </c>
    </row>
    <row r="642" spans="1:20" x14ac:dyDescent="0.25">
      <c r="A642" s="5">
        <v>43951</v>
      </c>
      <c r="B642">
        <v>0.36270000000000002</v>
      </c>
      <c r="C642">
        <v>0.3765</v>
      </c>
      <c r="D642">
        <v>0.33579999999999999</v>
      </c>
      <c r="E642">
        <v>0.33789999999999998</v>
      </c>
      <c r="F642">
        <v>799532.07</v>
      </c>
      <c r="G642">
        <v>0</v>
      </c>
      <c r="L642" t="s">
        <v>7</v>
      </c>
      <c r="M642" t="s">
        <v>7</v>
      </c>
      <c r="N642" t="s">
        <v>8</v>
      </c>
      <c r="P642">
        <f t="shared" si="989"/>
        <v>-0.89680589680589728</v>
      </c>
      <c r="Q642">
        <f t="shared" si="990"/>
        <v>-717025.07506142545</v>
      </c>
      <c r="R642">
        <f t="shared" si="991"/>
        <v>-6091650.7826841921</v>
      </c>
      <c r="S642">
        <f t="shared" si="992"/>
        <v>-60.916507826841922</v>
      </c>
      <c r="T642">
        <f t="shared" si="993"/>
        <v>-6.0916507826841923E-2</v>
      </c>
    </row>
    <row r="643" spans="1:20" x14ac:dyDescent="0.25">
      <c r="A643" s="5">
        <v>43950</v>
      </c>
      <c r="B643">
        <v>0.3533</v>
      </c>
      <c r="C643">
        <v>0.36280000000000001</v>
      </c>
      <c r="D643">
        <v>0.34389999999999998</v>
      </c>
      <c r="E643">
        <v>0.36270000000000002</v>
      </c>
      <c r="F643">
        <v>1205724.6100000001</v>
      </c>
      <c r="G643">
        <v>0</v>
      </c>
      <c r="L643" t="s">
        <v>7</v>
      </c>
      <c r="M643" t="s">
        <v>7</v>
      </c>
      <c r="N643" t="s">
        <v>8</v>
      </c>
      <c r="P643">
        <f t="shared" si="989"/>
        <v>0.98941798941799064</v>
      </c>
      <c r="Q643">
        <f t="shared" si="990"/>
        <v>1192965.619417991</v>
      </c>
      <c r="R643">
        <f t="shared" si="991"/>
        <v>-5374625.7076227665</v>
      </c>
      <c r="S643">
        <f t="shared" si="992"/>
        <v>-53.746257076227664</v>
      </c>
      <c r="T643">
        <f t="shared" si="993"/>
        <v>-5.3746257076227662E-2</v>
      </c>
    </row>
    <row r="644" spans="1:20" x14ac:dyDescent="0.25">
      <c r="A644" s="5">
        <v>43949</v>
      </c>
      <c r="B644">
        <v>0.32940000000000003</v>
      </c>
      <c r="C644">
        <v>0.37490000000000001</v>
      </c>
      <c r="D644">
        <v>0.32769999999999999</v>
      </c>
      <c r="E644">
        <v>0.35399999999999998</v>
      </c>
      <c r="F644">
        <v>655309.11</v>
      </c>
      <c r="G644">
        <v>0</v>
      </c>
      <c r="L644" t="s">
        <v>8</v>
      </c>
      <c r="M644" t="s">
        <v>7</v>
      </c>
      <c r="N644" t="s">
        <v>8</v>
      </c>
      <c r="P644">
        <f t="shared" si="989"/>
        <v>0.11440677966101606</v>
      </c>
      <c r="Q644">
        <f t="shared" si="990"/>
        <v>74971.804957626533</v>
      </c>
      <c r="R644">
        <f t="shared" si="991"/>
        <v>-6567591.3270407571</v>
      </c>
      <c r="S644">
        <f t="shared" si="992"/>
        <v>-65.675913270407577</v>
      </c>
      <c r="T644">
        <f t="shared" si="993"/>
        <v>-6.5675913270407574E-2</v>
      </c>
    </row>
    <row r="645" spans="1:20" x14ac:dyDescent="0.25">
      <c r="A645" s="5">
        <v>43948</v>
      </c>
      <c r="B645">
        <v>0.3362</v>
      </c>
      <c r="C645">
        <v>0.34150000000000003</v>
      </c>
      <c r="D645">
        <v>0.32069999999999999</v>
      </c>
      <c r="E645">
        <v>0.32940000000000003</v>
      </c>
      <c r="F645">
        <v>358613.47</v>
      </c>
      <c r="G645">
        <v>0</v>
      </c>
      <c r="L645" t="s">
        <v>8</v>
      </c>
      <c r="M645" t="s">
        <v>7</v>
      </c>
      <c r="N645" t="s">
        <v>8</v>
      </c>
      <c r="P645">
        <f t="shared" si="989"/>
        <v>-0.16346153846153616</v>
      </c>
      <c r="Q645">
        <f t="shared" si="990"/>
        <v>-58619.509519229941</v>
      </c>
      <c r="R645">
        <f t="shared" si="991"/>
        <v>-6642563.1319983834</v>
      </c>
      <c r="S645">
        <f t="shared" si="992"/>
        <v>-66.425631319983836</v>
      </c>
      <c r="T645">
        <f t="shared" si="993"/>
        <v>-6.642563131998383E-2</v>
      </c>
    </row>
    <row r="646" spans="1:20" x14ac:dyDescent="0.25">
      <c r="A646" s="5">
        <v>43947</v>
      </c>
      <c r="B646">
        <v>0.33750000000000002</v>
      </c>
      <c r="C646">
        <v>0.34200000000000003</v>
      </c>
      <c r="D646">
        <v>0.32829999999999998</v>
      </c>
      <c r="E646">
        <v>0.33600000000000002</v>
      </c>
      <c r="F646">
        <v>526304.21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4">IF(C646=D646,0,((E646-D646)-(C646-E646))/(C646-D646))</f>
        <v>0.12408759124087804</v>
      </c>
      <c r="Q646">
        <f t="shared" ref="Q646:Q709" si="995">F646*P646</f>
        <v>65307.821678833228</v>
      </c>
      <c r="R646">
        <f t="shared" ref="R646:R709" si="996">R647+Q646</f>
        <v>-6583943.6224791538</v>
      </c>
      <c r="S646">
        <f t="shared" ref="S646:S709" si="997">R646/100000</f>
        <v>-65.839436224791541</v>
      </c>
      <c r="T646">
        <f t="shared" ref="T646:T709" si="998">S646/1000</f>
        <v>-6.5839436224791548E-2</v>
      </c>
    </row>
    <row r="647" spans="1:20" x14ac:dyDescent="0.25">
      <c r="A647" s="5">
        <v>43946</v>
      </c>
      <c r="B647">
        <v>0.316</v>
      </c>
      <c r="C647">
        <v>0.34200000000000003</v>
      </c>
      <c r="D647">
        <v>0.31480000000000002</v>
      </c>
      <c r="E647">
        <v>0.33810000000000001</v>
      </c>
      <c r="F647">
        <v>537195.37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0.71323529411764597</v>
      </c>
      <c r="Q647">
        <f t="shared" si="995"/>
        <v>383146.69772058766</v>
      </c>
      <c r="R647">
        <f t="shared" si="996"/>
        <v>-6649251.4441579869</v>
      </c>
      <c r="S647">
        <f t="shared" si="997"/>
        <v>-66.492514441579871</v>
      </c>
      <c r="T647">
        <f t="shared" si="998"/>
        <v>-6.6492514441579872E-2</v>
      </c>
    </row>
    <row r="648" spans="1:20" x14ac:dyDescent="0.25">
      <c r="A648" s="5">
        <v>43945</v>
      </c>
      <c r="B648">
        <v>0.32600000000000001</v>
      </c>
      <c r="C648">
        <v>0.33729999999999999</v>
      </c>
      <c r="D648">
        <v>0.31419999999999998</v>
      </c>
      <c r="E648">
        <v>0.31690000000000002</v>
      </c>
      <c r="F648">
        <v>599057.51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-0.76623376623376327</v>
      </c>
      <c r="Q648">
        <f t="shared" si="995"/>
        <v>-459018.09207792033</v>
      </c>
      <c r="R648">
        <f t="shared" si="996"/>
        <v>-7032398.1418785742</v>
      </c>
      <c r="S648">
        <f t="shared" si="997"/>
        <v>-70.323981418785735</v>
      </c>
      <c r="T648">
        <f t="shared" si="998"/>
        <v>-7.0323981418785736E-2</v>
      </c>
    </row>
    <row r="649" spans="1:20" x14ac:dyDescent="0.25">
      <c r="A649" s="5">
        <v>43944</v>
      </c>
      <c r="B649">
        <v>0.29680000000000001</v>
      </c>
      <c r="C649">
        <v>0.39760000000000001</v>
      </c>
      <c r="D649">
        <v>0.28349999999999997</v>
      </c>
      <c r="E649">
        <v>0.32569999999999999</v>
      </c>
      <c r="F649">
        <v>2199469.79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-0.26029798422436456</v>
      </c>
      <c r="Q649">
        <f t="shared" si="995"/>
        <v>-572517.55269938649</v>
      </c>
      <c r="R649">
        <f t="shared" si="996"/>
        <v>-6573380.0498006539</v>
      </c>
      <c r="S649">
        <f t="shared" si="997"/>
        <v>-65.733800498006545</v>
      </c>
      <c r="T649">
        <f t="shared" si="998"/>
        <v>-6.5733800498006548E-2</v>
      </c>
    </row>
    <row r="650" spans="1:20" x14ac:dyDescent="0.25">
      <c r="A650" s="5">
        <v>43943</v>
      </c>
      <c r="B650">
        <v>0.28179999999999999</v>
      </c>
      <c r="C650">
        <v>0.30680000000000002</v>
      </c>
      <c r="D650">
        <v>0.28089999999999998</v>
      </c>
      <c r="E650">
        <v>0.29559999999999997</v>
      </c>
      <c r="F650">
        <v>293745.74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0.13513513513513292</v>
      </c>
      <c r="Q650">
        <f t="shared" si="995"/>
        <v>39695.370270269617</v>
      </c>
      <c r="R650">
        <f t="shared" si="996"/>
        <v>-6000862.4971012678</v>
      </c>
      <c r="S650">
        <f t="shared" si="997"/>
        <v>-60.008624971012679</v>
      </c>
      <c r="T650">
        <f t="shared" si="998"/>
        <v>-6.0008624971012677E-2</v>
      </c>
    </row>
    <row r="651" spans="1:20" x14ac:dyDescent="0.25">
      <c r="A651" s="5">
        <v>43942</v>
      </c>
      <c r="B651">
        <v>0.27839999999999998</v>
      </c>
      <c r="C651">
        <v>0.28720000000000001</v>
      </c>
      <c r="D651">
        <v>0.2752</v>
      </c>
      <c r="E651">
        <v>0.28179999999999999</v>
      </c>
      <c r="F651">
        <v>241851.61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9.9999999999998146E-2</v>
      </c>
      <c r="Q651">
        <f t="shared" si="995"/>
        <v>24185.160999999549</v>
      </c>
      <c r="R651">
        <f t="shared" si="996"/>
        <v>-6040557.8673715377</v>
      </c>
      <c r="S651">
        <f t="shared" si="997"/>
        <v>-60.405578673715375</v>
      </c>
      <c r="T651">
        <f t="shared" si="998"/>
        <v>-6.0405578673715377E-2</v>
      </c>
    </row>
    <row r="652" spans="1:20" x14ac:dyDescent="0.25">
      <c r="A652" s="5">
        <v>43941</v>
      </c>
      <c r="B652">
        <v>0.30609999999999998</v>
      </c>
      <c r="C652">
        <v>0.31190000000000001</v>
      </c>
      <c r="D652">
        <v>0.27150000000000002</v>
      </c>
      <c r="E652">
        <v>0.28000000000000003</v>
      </c>
      <c r="F652">
        <v>742039.76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-0.57920792079207872</v>
      </c>
      <c r="Q652">
        <f t="shared" si="995"/>
        <v>-429795.30653465312</v>
      </c>
      <c r="R652">
        <f t="shared" si="996"/>
        <v>-6064743.0283715371</v>
      </c>
      <c r="S652">
        <f t="shared" si="997"/>
        <v>-60.647430283715373</v>
      </c>
      <c r="T652">
        <f t="shared" si="998"/>
        <v>-6.0647430283715373E-2</v>
      </c>
    </row>
    <row r="653" spans="1:20" x14ac:dyDescent="0.25">
      <c r="A653" s="5">
        <v>43940</v>
      </c>
      <c r="B653">
        <v>0.31879999999999997</v>
      </c>
      <c r="C653">
        <v>0.31890000000000002</v>
      </c>
      <c r="D653">
        <v>0.30299999999999999</v>
      </c>
      <c r="E653">
        <v>0.30609999999999998</v>
      </c>
      <c r="F653">
        <v>116857.39</v>
      </c>
      <c r="G653">
        <v>0</v>
      </c>
      <c r="L653" t="s">
        <v>8</v>
      </c>
      <c r="M653" t="s">
        <v>7</v>
      </c>
      <c r="N653" t="s">
        <v>7</v>
      </c>
      <c r="P653">
        <f t="shared" si="994"/>
        <v>-0.61006289308176265</v>
      </c>
      <c r="Q653">
        <f t="shared" si="995"/>
        <v>-71290.357421383844</v>
      </c>
      <c r="R653">
        <f t="shared" si="996"/>
        <v>-5634947.7218368836</v>
      </c>
      <c r="S653">
        <f t="shared" si="997"/>
        <v>-56.349477218368833</v>
      </c>
      <c r="T653">
        <f t="shared" si="998"/>
        <v>-5.6349477218368832E-2</v>
      </c>
    </row>
    <row r="654" spans="1:20" x14ac:dyDescent="0.25">
      <c r="A654" s="5">
        <v>43939</v>
      </c>
      <c r="B654">
        <v>0.30499999999999999</v>
      </c>
      <c r="C654">
        <v>0.32090000000000002</v>
      </c>
      <c r="D654">
        <v>0.30499999999999999</v>
      </c>
      <c r="E654">
        <v>0.31879999999999997</v>
      </c>
      <c r="F654">
        <v>159471.34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0.7358490566037682</v>
      </c>
      <c r="Q654">
        <f t="shared" si="995"/>
        <v>117346.83509433876</v>
      </c>
      <c r="R654">
        <f t="shared" si="996"/>
        <v>-5563657.3644154994</v>
      </c>
      <c r="S654">
        <f t="shared" si="997"/>
        <v>-55.636573644154993</v>
      </c>
      <c r="T654">
        <f t="shared" si="998"/>
        <v>-5.5636573644154995E-2</v>
      </c>
    </row>
    <row r="655" spans="1:20" x14ac:dyDescent="0.25">
      <c r="A655" s="5">
        <v>43938</v>
      </c>
      <c r="B655">
        <v>0.316</v>
      </c>
      <c r="C655">
        <v>0.31840000000000002</v>
      </c>
      <c r="D655">
        <v>0.3029</v>
      </c>
      <c r="E655">
        <v>0.30570000000000003</v>
      </c>
      <c r="F655">
        <v>529919.55000000005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-0.63870967741935203</v>
      </c>
      <c r="Q655">
        <f t="shared" si="995"/>
        <v>-338464.7448387082</v>
      </c>
      <c r="R655">
        <f t="shared" si="996"/>
        <v>-5681004.1995098386</v>
      </c>
      <c r="S655">
        <f t="shared" si="997"/>
        <v>-56.810041995098388</v>
      </c>
      <c r="T655">
        <f t="shared" si="998"/>
        <v>-5.6810041995098384E-2</v>
      </c>
    </row>
    <row r="656" spans="1:20" x14ac:dyDescent="0.25">
      <c r="A656" s="5">
        <v>43937</v>
      </c>
      <c r="B656">
        <v>0.29299999999999998</v>
      </c>
      <c r="C656">
        <v>0.33100000000000002</v>
      </c>
      <c r="D656">
        <v>0.28070000000000001</v>
      </c>
      <c r="E656">
        <v>0.316</v>
      </c>
      <c r="F656">
        <v>766345.17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0.40357852882703737</v>
      </c>
      <c r="Q656">
        <f t="shared" si="995"/>
        <v>309280.45628230588</v>
      </c>
      <c r="R656">
        <f t="shared" si="996"/>
        <v>-5342539.4546711305</v>
      </c>
      <c r="S656">
        <f t="shared" si="997"/>
        <v>-53.425394546711303</v>
      </c>
      <c r="T656">
        <f t="shared" si="998"/>
        <v>-5.3425394546711302E-2</v>
      </c>
    </row>
    <row r="657" spans="1:20" x14ac:dyDescent="0.25">
      <c r="A657" s="5">
        <v>43936</v>
      </c>
      <c r="B657">
        <v>0.30690000000000001</v>
      </c>
      <c r="C657">
        <v>0.3135</v>
      </c>
      <c r="D657">
        <v>0.29299999999999998</v>
      </c>
      <c r="E657">
        <v>0.29299999999999998</v>
      </c>
      <c r="F657">
        <v>214748.18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-1</v>
      </c>
      <c r="Q657">
        <f t="shared" si="995"/>
        <v>-214748.18</v>
      </c>
      <c r="R657">
        <f t="shared" si="996"/>
        <v>-5651819.910953436</v>
      </c>
      <c r="S657">
        <f t="shared" si="997"/>
        <v>-56.518199109534358</v>
      </c>
      <c r="T657">
        <f t="shared" si="998"/>
        <v>-5.6518199109534359E-2</v>
      </c>
    </row>
    <row r="658" spans="1:20" x14ac:dyDescent="0.25">
      <c r="A658" s="5">
        <v>43935</v>
      </c>
      <c r="B658">
        <v>0.31280000000000002</v>
      </c>
      <c r="C658">
        <v>0.318</v>
      </c>
      <c r="D658">
        <v>0.30609999999999998</v>
      </c>
      <c r="E658">
        <v>0.30830000000000002</v>
      </c>
      <c r="F658">
        <v>184208.63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-0.6302521008403309</v>
      </c>
      <c r="Q658">
        <f t="shared" si="995"/>
        <v>-116097.8760504192</v>
      </c>
      <c r="R658">
        <f t="shared" si="996"/>
        <v>-5437071.7309534363</v>
      </c>
      <c r="S658">
        <f t="shared" si="997"/>
        <v>-54.370717309534363</v>
      </c>
      <c r="T658">
        <f t="shared" si="998"/>
        <v>-5.4370717309534362E-2</v>
      </c>
    </row>
    <row r="659" spans="1:20" x14ac:dyDescent="0.25">
      <c r="A659" s="5">
        <v>43934</v>
      </c>
      <c r="B659">
        <v>0.32079999999999997</v>
      </c>
      <c r="C659">
        <v>0.32079999999999997</v>
      </c>
      <c r="D659">
        <v>0.3</v>
      </c>
      <c r="E659">
        <v>0.31280000000000002</v>
      </c>
      <c r="F659">
        <v>297929.40999999997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0.23076923076923486</v>
      </c>
      <c r="Q659">
        <f t="shared" si="995"/>
        <v>68752.94076923198</v>
      </c>
      <c r="R659">
        <f t="shared" si="996"/>
        <v>-5320973.8549030172</v>
      </c>
      <c r="S659">
        <f t="shared" si="997"/>
        <v>-53.20973854903017</v>
      </c>
      <c r="T659">
        <f t="shared" si="998"/>
        <v>-5.3209738549030168E-2</v>
      </c>
    </row>
    <row r="660" spans="1:20" x14ac:dyDescent="0.25">
      <c r="A660" s="5">
        <v>43933</v>
      </c>
      <c r="B660">
        <v>0.31830000000000003</v>
      </c>
      <c r="C660">
        <v>0.3417</v>
      </c>
      <c r="D660">
        <v>0.313</v>
      </c>
      <c r="E660">
        <v>0.32179999999999997</v>
      </c>
      <c r="F660">
        <v>389180.87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-0.38675958188153498</v>
      </c>
      <c r="Q660">
        <f t="shared" si="995"/>
        <v>-150519.43055749201</v>
      </c>
      <c r="R660">
        <f t="shared" si="996"/>
        <v>-5389726.795672249</v>
      </c>
      <c r="S660">
        <f t="shared" si="997"/>
        <v>-53.897267956722487</v>
      </c>
      <c r="T660">
        <f t="shared" si="998"/>
        <v>-5.3897267956722485E-2</v>
      </c>
    </row>
    <row r="661" spans="1:20" x14ac:dyDescent="0.25">
      <c r="A661" s="5">
        <v>43932</v>
      </c>
      <c r="B661">
        <v>0.31919999999999998</v>
      </c>
      <c r="C661">
        <v>0.32850000000000001</v>
      </c>
      <c r="D661">
        <v>0.311</v>
      </c>
      <c r="E661">
        <v>0.31819999999999998</v>
      </c>
      <c r="F661">
        <v>190993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-0.17714285714285968</v>
      </c>
      <c r="Q661">
        <f t="shared" si="995"/>
        <v>-33833.0457142862</v>
      </c>
      <c r="R661">
        <f t="shared" si="996"/>
        <v>-5239207.3651147569</v>
      </c>
      <c r="S661">
        <f t="shared" si="997"/>
        <v>-52.39207365114757</v>
      </c>
      <c r="T661">
        <f t="shared" si="998"/>
        <v>-5.2392073651147571E-2</v>
      </c>
    </row>
    <row r="662" spans="1:20" x14ac:dyDescent="0.25">
      <c r="A662" s="5">
        <v>43931</v>
      </c>
      <c r="B662">
        <v>0.35580000000000001</v>
      </c>
      <c r="C662">
        <v>0.35730000000000001</v>
      </c>
      <c r="D662">
        <v>0.30840000000000001</v>
      </c>
      <c r="E662">
        <v>0.32029999999999997</v>
      </c>
      <c r="F662">
        <v>467510.97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-0.51329243353783371</v>
      </c>
      <c r="Q662">
        <f t="shared" si="995"/>
        <v>-239969.84349693314</v>
      </c>
      <c r="R662">
        <f t="shared" si="996"/>
        <v>-5205374.3194004707</v>
      </c>
      <c r="S662">
        <f t="shared" si="997"/>
        <v>-52.05374319400471</v>
      </c>
      <c r="T662">
        <f t="shared" si="998"/>
        <v>-5.2053743194004708E-2</v>
      </c>
    </row>
    <row r="663" spans="1:20" x14ac:dyDescent="0.25">
      <c r="A663" s="5">
        <v>43930</v>
      </c>
      <c r="B663">
        <v>0.3599</v>
      </c>
      <c r="C663">
        <v>0.36699999999999999</v>
      </c>
      <c r="D663">
        <v>0.34689999999999999</v>
      </c>
      <c r="E663">
        <v>0.35580000000000001</v>
      </c>
      <c r="F663">
        <v>289767.90000000002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-0.11442786069651582</v>
      </c>
      <c r="Q663">
        <f t="shared" si="995"/>
        <v>-33157.520895521928</v>
      </c>
      <c r="R663">
        <f t="shared" si="996"/>
        <v>-4965404.4759035371</v>
      </c>
      <c r="S663">
        <f t="shared" si="997"/>
        <v>-49.654044759035372</v>
      </c>
      <c r="T663">
        <f t="shared" si="998"/>
        <v>-4.9654044759035371E-2</v>
      </c>
    </row>
    <row r="664" spans="1:20" x14ac:dyDescent="0.25">
      <c r="A664" s="5">
        <v>43929</v>
      </c>
      <c r="B664">
        <v>0.34549999999999997</v>
      </c>
      <c r="C664">
        <v>0.3629</v>
      </c>
      <c r="D664">
        <v>0.34310000000000002</v>
      </c>
      <c r="E664">
        <v>0.3599</v>
      </c>
      <c r="F664">
        <v>323424.77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0.69696969696969646</v>
      </c>
      <c r="Q664">
        <f t="shared" si="995"/>
        <v>225417.2639393938</v>
      </c>
      <c r="R664">
        <f t="shared" si="996"/>
        <v>-4932246.955008015</v>
      </c>
      <c r="S664">
        <f t="shared" si="997"/>
        <v>-49.32246955008015</v>
      </c>
      <c r="T664">
        <f t="shared" si="998"/>
        <v>-4.9322469550080149E-2</v>
      </c>
    </row>
    <row r="665" spans="1:20" x14ac:dyDescent="0.25">
      <c r="A665" s="5">
        <v>43928</v>
      </c>
      <c r="B665">
        <v>0.34839999999999999</v>
      </c>
      <c r="C665">
        <v>0.41039999999999999</v>
      </c>
      <c r="D665">
        <v>0.33900000000000002</v>
      </c>
      <c r="E665">
        <v>0.34760000000000002</v>
      </c>
      <c r="F665">
        <v>562970.39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-0.7591036414565826</v>
      </c>
      <c r="Q665">
        <f t="shared" si="995"/>
        <v>-427352.87308123248</v>
      </c>
      <c r="R665">
        <f t="shared" si="996"/>
        <v>-5157664.2189474087</v>
      </c>
      <c r="S665">
        <f t="shared" si="997"/>
        <v>-51.576642189474086</v>
      </c>
      <c r="T665">
        <f t="shared" si="998"/>
        <v>-5.1576642189474088E-2</v>
      </c>
    </row>
    <row r="666" spans="1:20" x14ac:dyDescent="0.25">
      <c r="A666" s="5">
        <v>43927</v>
      </c>
      <c r="B666">
        <v>0.32350000000000001</v>
      </c>
      <c r="C666">
        <v>0.3523</v>
      </c>
      <c r="D666">
        <v>0.32350000000000001</v>
      </c>
      <c r="E666">
        <v>0.34770000000000001</v>
      </c>
      <c r="F666">
        <v>646238.54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0.68055555555555591</v>
      </c>
      <c r="Q666">
        <f t="shared" si="995"/>
        <v>439801.22861111135</v>
      </c>
      <c r="R666">
        <f t="shared" si="996"/>
        <v>-4730311.3458661763</v>
      </c>
      <c r="S666">
        <f t="shared" si="997"/>
        <v>-47.303113458661763</v>
      </c>
      <c r="T666">
        <f t="shared" si="998"/>
        <v>-4.7303113458661762E-2</v>
      </c>
    </row>
    <row r="667" spans="1:20" x14ac:dyDescent="0.25">
      <c r="A667" s="5">
        <v>43926</v>
      </c>
      <c r="B667">
        <v>0.31709999999999999</v>
      </c>
      <c r="C667">
        <v>0.34399999999999997</v>
      </c>
      <c r="D667">
        <v>0.31109999999999999</v>
      </c>
      <c r="E667">
        <v>0.32419999999999999</v>
      </c>
      <c r="F667">
        <v>190251.45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-0.20364741641337347</v>
      </c>
      <c r="Q667">
        <f t="shared" si="995"/>
        <v>-38744.216261398105</v>
      </c>
      <c r="R667">
        <f t="shared" si="996"/>
        <v>-5170112.5744772879</v>
      </c>
      <c r="S667">
        <f t="shared" si="997"/>
        <v>-51.701125744772881</v>
      </c>
      <c r="T667">
        <f t="shared" si="998"/>
        <v>-5.1701125744772883E-2</v>
      </c>
    </row>
    <row r="668" spans="1:20" x14ac:dyDescent="0.25">
      <c r="A668" s="5">
        <v>43925</v>
      </c>
      <c r="B668">
        <v>0.32290000000000002</v>
      </c>
      <c r="C668">
        <v>0.33329999999999999</v>
      </c>
      <c r="D668">
        <v>0.30919999999999997</v>
      </c>
      <c r="E668">
        <v>0.31659999999999999</v>
      </c>
      <c r="F668">
        <v>211725.09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-0.38589211618257141</v>
      </c>
      <c r="Q668">
        <f t="shared" si="995"/>
        <v>-81703.043029045381</v>
      </c>
      <c r="R668">
        <f t="shared" si="996"/>
        <v>-5131368.3582158899</v>
      </c>
      <c r="S668">
        <f t="shared" si="997"/>
        <v>-51.313683582158902</v>
      </c>
      <c r="T668">
        <f t="shared" si="998"/>
        <v>-5.1313683582158903E-2</v>
      </c>
    </row>
    <row r="669" spans="1:20" x14ac:dyDescent="0.25">
      <c r="A669" s="5">
        <v>43924</v>
      </c>
      <c r="B669">
        <v>0.3105</v>
      </c>
      <c r="C669">
        <v>0.33979999999999999</v>
      </c>
      <c r="D669">
        <v>0.30380000000000001</v>
      </c>
      <c r="E669">
        <v>0.32300000000000001</v>
      </c>
      <c r="F669">
        <v>336674.36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6.6666666666667082E-2</v>
      </c>
      <c r="Q669">
        <f t="shared" si="995"/>
        <v>22444.957333333474</v>
      </c>
      <c r="R669">
        <f t="shared" si="996"/>
        <v>-5049665.3151868442</v>
      </c>
      <c r="S669">
        <f t="shared" si="997"/>
        <v>-50.496653151868443</v>
      </c>
      <c r="T669">
        <f t="shared" si="998"/>
        <v>-5.0496653151868444E-2</v>
      </c>
    </row>
    <row r="670" spans="1:20" x14ac:dyDescent="0.25">
      <c r="A670" s="5">
        <v>43923</v>
      </c>
      <c r="B670">
        <v>0.3034</v>
      </c>
      <c r="C670">
        <v>0.35</v>
      </c>
      <c r="D670">
        <v>0.29670000000000002</v>
      </c>
      <c r="E670">
        <v>0.31090000000000001</v>
      </c>
      <c r="F670">
        <v>578621.02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-0.46716697936210128</v>
      </c>
      <c r="Q670">
        <f t="shared" si="995"/>
        <v>-270312.63410881802</v>
      </c>
      <c r="R670">
        <f t="shared" si="996"/>
        <v>-5072110.272520178</v>
      </c>
      <c r="S670">
        <f t="shared" si="997"/>
        <v>-50.721102725201781</v>
      </c>
      <c r="T670">
        <f t="shared" si="998"/>
        <v>-5.0721102725201785E-2</v>
      </c>
    </row>
    <row r="671" spans="1:20" x14ac:dyDescent="0.25">
      <c r="A671" s="5">
        <v>43922</v>
      </c>
      <c r="B671">
        <v>0.30349999999999999</v>
      </c>
      <c r="C671">
        <v>0.30349999999999999</v>
      </c>
      <c r="D671">
        <v>0.28189999999999998</v>
      </c>
      <c r="E671">
        <v>0.30309999999999998</v>
      </c>
      <c r="F671">
        <v>228625.17</v>
      </c>
      <c r="G671">
        <v>0</v>
      </c>
      <c r="L671" t="s">
        <v>7</v>
      </c>
      <c r="M671" t="s">
        <v>8</v>
      </c>
      <c r="N671" t="s">
        <v>7</v>
      </c>
      <c r="P671">
        <f t="shared" si="994"/>
        <v>0.96296296296296191</v>
      </c>
      <c r="Q671">
        <f t="shared" si="995"/>
        <v>220157.57111111088</v>
      </c>
      <c r="R671">
        <f t="shared" si="996"/>
        <v>-4801797.6384113599</v>
      </c>
      <c r="S671">
        <f t="shared" si="997"/>
        <v>-48.017976384113595</v>
      </c>
      <c r="T671">
        <f t="shared" si="998"/>
        <v>-4.8017976384113592E-2</v>
      </c>
    </row>
    <row r="672" spans="1:20" x14ac:dyDescent="0.25">
      <c r="A672" s="5">
        <v>43921</v>
      </c>
      <c r="B672">
        <v>0.2969</v>
      </c>
      <c r="C672">
        <v>0.312</v>
      </c>
      <c r="D672">
        <v>0.29249999999999998</v>
      </c>
      <c r="E672">
        <v>0.30330000000000001</v>
      </c>
      <c r="F672">
        <v>256276.72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0.10769230769230997</v>
      </c>
      <c r="Q672">
        <f t="shared" si="995"/>
        <v>27599.03138461597</v>
      </c>
      <c r="R672">
        <f t="shared" si="996"/>
        <v>-5021955.2095224708</v>
      </c>
      <c r="S672">
        <f t="shared" si="997"/>
        <v>-50.219552095224707</v>
      </c>
      <c r="T672">
        <f t="shared" si="998"/>
        <v>-5.0219552095224704E-2</v>
      </c>
    </row>
    <row r="673" spans="1:20" x14ac:dyDescent="0.25">
      <c r="A673" s="5">
        <v>43920</v>
      </c>
      <c r="B673">
        <v>0.2636</v>
      </c>
      <c r="C673">
        <v>0.30719999999999997</v>
      </c>
      <c r="D673">
        <v>0.2611</v>
      </c>
      <c r="E673">
        <v>0.2969</v>
      </c>
      <c r="F673">
        <v>472255.19</v>
      </c>
      <c r="G673">
        <v>0</v>
      </c>
      <c r="L673" t="s">
        <v>8</v>
      </c>
      <c r="M673" t="s">
        <v>8</v>
      </c>
      <c r="N673" t="s">
        <v>7</v>
      </c>
      <c r="P673">
        <f t="shared" si="994"/>
        <v>0.55314533622559736</v>
      </c>
      <c r="Q673">
        <f t="shared" si="995"/>
        <v>261225.75585683336</v>
      </c>
      <c r="R673">
        <f t="shared" si="996"/>
        <v>-5049554.240907087</v>
      </c>
      <c r="S673">
        <f t="shared" si="997"/>
        <v>-50.495542409070872</v>
      </c>
      <c r="T673">
        <f t="shared" si="998"/>
        <v>-5.0495542409070872E-2</v>
      </c>
    </row>
    <row r="674" spans="1:20" x14ac:dyDescent="0.25">
      <c r="A674" s="5">
        <v>43919</v>
      </c>
      <c r="B674">
        <v>0.2974</v>
      </c>
      <c r="C674">
        <v>0.2974</v>
      </c>
      <c r="D674">
        <v>0.2374</v>
      </c>
      <c r="E674">
        <v>0.26419999999999999</v>
      </c>
      <c r="F674">
        <v>571894.05000000005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-0.10666666666666695</v>
      </c>
      <c r="Q674">
        <f t="shared" si="995"/>
        <v>-61002.032000000167</v>
      </c>
      <c r="R674">
        <f t="shared" si="996"/>
        <v>-5310779.9967639204</v>
      </c>
      <c r="S674">
        <f t="shared" si="997"/>
        <v>-53.107799967639203</v>
      </c>
      <c r="T674">
        <f t="shared" si="998"/>
        <v>-5.3107799967639202E-2</v>
      </c>
    </row>
    <row r="675" spans="1:20" x14ac:dyDescent="0.25">
      <c r="A675" s="5">
        <v>43918</v>
      </c>
      <c r="B675">
        <v>0.30640000000000001</v>
      </c>
      <c r="C675">
        <v>0.33139999999999997</v>
      </c>
      <c r="D675">
        <v>0.27489999999999998</v>
      </c>
      <c r="E675">
        <v>0.29759999999999998</v>
      </c>
      <c r="F675">
        <v>1253340.8799999999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-0.19646017699115043</v>
      </c>
      <c r="Q675">
        <f t="shared" si="995"/>
        <v>-246231.57111504421</v>
      </c>
      <c r="R675">
        <f t="shared" si="996"/>
        <v>-5249777.9647639198</v>
      </c>
      <c r="S675">
        <f t="shared" si="997"/>
        <v>-52.497779647639199</v>
      </c>
      <c r="T675">
        <f t="shared" si="998"/>
        <v>-5.2497779647639201E-2</v>
      </c>
    </row>
    <row r="676" spans="1:20" x14ac:dyDescent="0.25">
      <c r="A676" s="5">
        <v>43917</v>
      </c>
      <c r="B676">
        <v>0.29270000000000002</v>
      </c>
      <c r="C676">
        <v>0.44990000000000002</v>
      </c>
      <c r="D676">
        <v>0.28000000000000003</v>
      </c>
      <c r="E676">
        <v>0.30640000000000001</v>
      </c>
      <c r="F676">
        <v>1853229.91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-0.68922895821071239</v>
      </c>
      <c r="Q676">
        <f t="shared" si="995"/>
        <v>-1277299.7201942322</v>
      </c>
      <c r="R676">
        <f t="shared" si="996"/>
        <v>-5003546.3936488759</v>
      </c>
      <c r="S676">
        <f t="shared" si="997"/>
        <v>-50.03546393648876</v>
      </c>
      <c r="T676">
        <f t="shared" si="998"/>
        <v>-5.0035463936488764E-2</v>
      </c>
    </row>
    <row r="677" spans="1:20" x14ac:dyDescent="0.25">
      <c r="A677" s="5">
        <v>43916</v>
      </c>
      <c r="B677">
        <v>0.29099999999999998</v>
      </c>
      <c r="C677">
        <v>0.29620000000000002</v>
      </c>
      <c r="D677">
        <v>0.28060000000000002</v>
      </c>
      <c r="E677">
        <v>0.29249999999999998</v>
      </c>
      <c r="F677">
        <v>237235.91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0.525641025641021</v>
      </c>
      <c r="Q677">
        <f t="shared" si="995"/>
        <v>124700.92705128095</v>
      </c>
      <c r="R677">
        <f t="shared" si="996"/>
        <v>-3726246.6734546437</v>
      </c>
      <c r="S677">
        <f t="shared" si="997"/>
        <v>-37.262466734546436</v>
      </c>
      <c r="T677">
        <f t="shared" si="998"/>
        <v>-3.7262466734546439E-2</v>
      </c>
    </row>
    <row r="678" spans="1:20" x14ac:dyDescent="0.25">
      <c r="A678" s="5">
        <v>43915</v>
      </c>
      <c r="B678">
        <v>0.29360000000000003</v>
      </c>
      <c r="C678">
        <v>0.29549999999999998</v>
      </c>
      <c r="D678">
        <v>0.27400000000000002</v>
      </c>
      <c r="E678">
        <v>0.2918</v>
      </c>
      <c r="F678">
        <v>215185.82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0.65581395348837324</v>
      </c>
      <c r="Q678">
        <f t="shared" si="995"/>
        <v>141121.86334883745</v>
      </c>
      <c r="R678">
        <f t="shared" si="996"/>
        <v>-3850947.6005059248</v>
      </c>
      <c r="S678">
        <f t="shared" si="997"/>
        <v>-38.509476005059248</v>
      </c>
      <c r="T678">
        <f t="shared" si="998"/>
        <v>-3.8509476005059246E-2</v>
      </c>
    </row>
    <row r="679" spans="1:20" x14ac:dyDescent="0.25">
      <c r="A679" s="5">
        <v>43914</v>
      </c>
      <c r="B679">
        <v>0.29089999999999999</v>
      </c>
      <c r="C679">
        <v>0.313</v>
      </c>
      <c r="D679">
        <v>0.28910000000000002</v>
      </c>
      <c r="E679">
        <v>0.29599999999999999</v>
      </c>
      <c r="F679">
        <v>279501.21999999997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-0.42259414225941688</v>
      </c>
      <c r="Q679">
        <f t="shared" si="995"/>
        <v>-118115.57832636057</v>
      </c>
      <c r="R679">
        <f t="shared" si="996"/>
        <v>-3992069.4638547623</v>
      </c>
      <c r="S679">
        <f t="shared" si="997"/>
        <v>-39.920694638547623</v>
      </c>
      <c r="T679">
        <f t="shared" si="998"/>
        <v>-3.9920694638547624E-2</v>
      </c>
    </row>
    <row r="680" spans="1:20" x14ac:dyDescent="0.25">
      <c r="A680" s="5">
        <v>43913</v>
      </c>
      <c r="B680">
        <v>0.24590000000000001</v>
      </c>
      <c r="C680">
        <v>0.29139999999999999</v>
      </c>
      <c r="D680">
        <v>0.2424</v>
      </c>
      <c r="E680">
        <v>0.29089999999999999</v>
      </c>
      <c r="F680">
        <v>173937.12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0.97959183673469385</v>
      </c>
      <c r="Q680">
        <f t="shared" si="995"/>
        <v>170387.38285714286</v>
      </c>
      <c r="R680">
        <f t="shared" si="996"/>
        <v>-3873953.8855284015</v>
      </c>
      <c r="S680">
        <f t="shared" si="997"/>
        <v>-38.739538855284017</v>
      </c>
      <c r="T680">
        <f t="shared" si="998"/>
        <v>-3.8739538855284014E-2</v>
      </c>
    </row>
    <row r="681" spans="1:20" x14ac:dyDescent="0.25">
      <c r="A681" s="5">
        <v>43912</v>
      </c>
      <c r="B681">
        <v>0.2732</v>
      </c>
      <c r="C681">
        <v>0.28399999999999997</v>
      </c>
      <c r="D681">
        <v>0.2442</v>
      </c>
      <c r="E681">
        <v>0.24610000000000001</v>
      </c>
      <c r="F681">
        <v>217150.71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-0.90452261306532589</v>
      </c>
      <c r="Q681">
        <f t="shared" si="995"/>
        <v>-196417.72763819079</v>
      </c>
      <c r="R681">
        <f t="shared" si="996"/>
        <v>-4044341.2683855444</v>
      </c>
      <c r="S681">
        <f t="shared" si="997"/>
        <v>-40.443412683855442</v>
      </c>
      <c r="T681">
        <f t="shared" si="998"/>
        <v>-4.0443412683855443E-2</v>
      </c>
    </row>
    <row r="682" spans="1:20" x14ac:dyDescent="0.25">
      <c r="A682" s="5">
        <v>43911</v>
      </c>
      <c r="B682">
        <v>0.28370000000000001</v>
      </c>
      <c r="C682">
        <v>0.2903</v>
      </c>
      <c r="D682">
        <v>0.25609999999999999</v>
      </c>
      <c r="E682">
        <v>0.27489999999999998</v>
      </c>
      <c r="F682">
        <v>252860.73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9.9415204678361332E-2</v>
      </c>
      <c r="Q682">
        <f t="shared" si="995"/>
        <v>25138.201228069862</v>
      </c>
      <c r="R682">
        <f t="shared" si="996"/>
        <v>-3847923.5407473538</v>
      </c>
      <c r="S682">
        <f t="shared" si="997"/>
        <v>-38.479235407473539</v>
      </c>
      <c r="T682">
        <f t="shared" si="998"/>
        <v>-3.8479235407473542E-2</v>
      </c>
    </row>
    <row r="683" spans="1:20" x14ac:dyDescent="0.25">
      <c r="A683" s="5">
        <v>43910</v>
      </c>
      <c r="B683">
        <v>0.2782</v>
      </c>
      <c r="C683">
        <v>0.33450000000000002</v>
      </c>
      <c r="D683">
        <v>0.2482</v>
      </c>
      <c r="E683">
        <v>0.28199999999999997</v>
      </c>
      <c r="F683">
        <v>635073.93999999994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-0.21668597914252694</v>
      </c>
      <c r="Q683">
        <f t="shared" si="995"/>
        <v>-137611.61851680238</v>
      </c>
      <c r="R683">
        <f t="shared" si="996"/>
        <v>-3873061.7419754239</v>
      </c>
      <c r="S683">
        <f t="shared" si="997"/>
        <v>-38.730617419754239</v>
      </c>
      <c r="T683">
        <f t="shared" si="998"/>
        <v>-3.873061741975424E-2</v>
      </c>
    </row>
    <row r="684" spans="1:20" x14ac:dyDescent="0.25">
      <c r="A684" s="5">
        <v>43909</v>
      </c>
      <c r="B684">
        <v>0.25629999999999997</v>
      </c>
      <c r="C684">
        <v>0.28970000000000001</v>
      </c>
      <c r="D684">
        <v>0.25119999999999998</v>
      </c>
      <c r="E684">
        <v>0.27489999999999998</v>
      </c>
      <c r="F684">
        <v>759499.35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0.23116883116883002</v>
      </c>
      <c r="Q684">
        <f t="shared" si="995"/>
        <v>175572.57701298615</v>
      </c>
      <c r="R684">
        <f t="shared" si="996"/>
        <v>-3735450.1234586216</v>
      </c>
      <c r="S684">
        <f t="shared" si="997"/>
        <v>-37.354501234586216</v>
      </c>
      <c r="T684">
        <f t="shared" si="998"/>
        <v>-3.7354501234586217E-2</v>
      </c>
    </row>
    <row r="685" spans="1:20" x14ac:dyDescent="0.25">
      <c r="A685" s="5">
        <v>43908</v>
      </c>
      <c r="B685">
        <v>0.2452</v>
      </c>
      <c r="C685">
        <v>0.25590000000000002</v>
      </c>
      <c r="D685">
        <v>0.2271</v>
      </c>
      <c r="E685">
        <v>0.25409999999999999</v>
      </c>
      <c r="F685">
        <v>197890.21</v>
      </c>
      <c r="G685">
        <v>0</v>
      </c>
      <c r="L685" t="s">
        <v>8</v>
      </c>
      <c r="M685" t="s">
        <v>8</v>
      </c>
      <c r="N685" t="s">
        <v>7</v>
      </c>
      <c r="P685">
        <f t="shared" si="994"/>
        <v>0.87499999999999845</v>
      </c>
      <c r="Q685">
        <f t="shared" si="995"/>
        <v>173153.93374999968</v>
      </c>
      <c r="R685">
        <f t="shared" si="996"/>
        <v>-3911022.7004716075</v>
      </c>
      <c r="S685">
        <f t="shared" si="997"/>
        <v>-39.110227004716073</v>
      </c>
      <c r="T685">
        <f t="shared" si="998"/>
        <v>-3.9110227004716072E-2</v>
      </c>
    </row>
    <row r="686" spans="1:20" x14ac:dyDescent="0.25">
      <c r="A686" s="5">
        <v>43907</v>
      </c>
      <c r="B686">
        <v>0.21149999999999999</v>
      </c>
      <c r="C686">
        <v>0.25190000000000001</v>
      </c>
      <c r="D686">
        <v>0.2074</v>
      </c>
      <c r="E686">
        <v>0.24709999999999999</v>
      </c>
      <c r="F686">
        <v>211813.19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0.78426966292134714</v>
      </c>
      <c r="Q686">
        <f t="shared" si="995"/>
        <v>166118.65912359525</v>
      </c>
      <c r="R686">
        <f t="shared" si="996"/>
        <v>-4084176.6342216074</v>
      </c>
      <c r="S686">
        <f t="shared" si="997"/>
        <v>-40.841766342216076</v>
      </c>
      <c r="T686">
        <f t="shared" si="998"/>
        <v>-4.0841766342216076E-2</v>
      </c>
    </row>
    <row r="687" spans="1:20" x14ac:dyDescent="0.25">
      <c r="A687" s="5">
        <v>43906</v>
      </c>
      <c r="B687">
        <v>0.2457</v>
      </c>
      <c r="C687">
        <v>0.2457</v>
      </c>
      <c r="D687">
        <v>0.18060000000000001</v>
      </c>
      <c r="E687">
        <v>0.21029999999999999</v>
      </c>
      <c r="F687">
        <v>436128.02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-8.7557603686636551E-2</v>
      </c>
      <c r="Q687">
        <f t="shared" si="995"/>
        <v>-38186.324331797499</v>
      </c>
      <c r="R687">
        <f t="shared" si="996"/>
        <v>-4250295.2933452027</v>
      </c>
      <c r="S687">
        <f t="shared" si="997"/>
        <v>-42.502952933452029</v>
      </c>
      <c r="T687">
        <f t="shared" si="998"/>
        <v>-4.2502952933452028E-2</v>
      </c>
    </row>
    <row r="688" spans="1:20" x14ac:dyDescent="0.25">
      <c r="A688" s="5">
        <v>43905</v>
      </c>
      <c r="B688">
        <v>0.24909999999999999</v>
      </c>
      <c r="C688">
        <v>0.27260000000000001</v>
      </c>
      <c r="D688">
        <v>0.2414</v>
      </c>
      <c r="E688">
        <v>0.24859999999999999</v>
      </c>
      <c r="F688">
        <v>222840.85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-0.53846153846153955</v>
      </c>
      <c r="Q688">
        <f t="shared" si="995"/>
        <v>-119991.22692307716</v>
      </c>
      <c r="R688">
        <f t="shared" si="996"/>
        <v>-4212108.969013405</v>
      </c>
      <c r="S688">
        <f t="shared" si="997"/>
        <v>-42.121089690134049</v>
      </c>
      <c r="T688">
        <f t="shared" si="998"/>
        <v>-4.2121089690134048E-2</v>
      </c>
    </row>
    <row r="689" spans="1:20" x14ac:dyDescent="0.25">
      <c r="A689" s="5">
        <v>43904</v>
      </c>
      <c r="B689">
        <v>0.2656</v>
      </c>
      <c r="C689">
        <v>0.29459999999999997</v>
      </c>
      <c r="D689">
        <v>0.24510000000000001</v>
      </c>
      <c r="E689">
        <v>0.25</v>
      </c>
      <c r="F689">
        <v>377732.48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-0.80202020202020241</v>
      </c>
      <c r="Q689">
        <f t="shared" si="995"/>
        <v>-302949.07991919207</v>
      </c>
      <c r="R689">
        <f t="shared" si="996"/>
        <v>-4092117.7420903277</v>
      </c>
      <c r="S689">
        <f t="shared" si="997"/>
        <v>-40.921177420903277</v>
      </c>
      <c r="T689">
        <f t="shared" si="998"/>
        <v>-4.0921177420903274E-2</v>
      </c>
    </row>
    <row r="690" spans="1:20" x14ac:dyDescent="0.25">
      <c r="A690" s="5">
        <v>43903</v>
      </c>
      <c r="B690">
        <v>0.20760000000000001</v>
      </c>
      <c r="C690">
        <v>0.2893</v>
      </c>
      <c r="D690">
        <v>0.1646</v>
      </c>
      <c r="E690">
        <v>0.26579999999999998</v>
      </c>
      <c r="F690">
        <v>832825.59</v>
      </c>
      <c r="G690">
        <v>0</v>
      </c>
      <c r="L690" t="s">
        <v>8</v>
      </c>
      <c r="M690" t="s">
        <v>8</v>
      </c>
      <c r="N690" t="s">
        <v>8</v>
      </c>
      <c r="P690">
        <f t="shared" si="994"/>
        <v>0.62309542902967086</v>
      </c>
      <c r="Q690">
        <f t="shared" si="995"/>
        <v>518929.81830793875</v>
      </c>
      <c r="R690">
        <f t="shared" si="996"/>
        <v>-3789168.6621711357</v>
      </c>
      <c r="S690">
        <f t="shared" si="997"/>
        <v>-37.891686621711358</v>
      </c>
      <c r="T690">
        <f t="shared" si="998"/>
        <v>-3.7891686621711357E-2</v>
      </c>
    </row>
    <row r="691" spans="1:20" x14ac:dyDescent="0.25">
      <c r="A691" s="5">
        <v>43902</v>
      </c>
      <c r="B691">
        <v>0.46060000000000001</v>
      </c>
      <c r="C691">
        <v>0.46060000000000001</v>
      </c>
      <c r="D691">
        <v>1E-4</v>
      </c>
      <c r="E691">
        <v>0.20910000000000001</v>
      </c>
      <c r="F691">
        <v>1004361.86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-9.2290988056460327E-2</v>
      </c>
      <c r="Q691">
        <f t="shared" si="995"/>
        <v>-92693.548425624278</v>
      </c>
      <c r="R691">
        <f t="shared" si="996"/>
        <v>-4308098.4804790746</v>
      </c>
      <c r="S691">
        <f t="shared" si="997"/>
        <v>-43.080984804790745</v>
      </c>
      <c r="T691">
        <f t="shared" si="998"/>
        <v>-4.3080984804790744E-2</v>
      </c>
    </row>
    <row r="692" spans="1:20" x14ac:dyDescent="0.25">
      <c r="A692" s="5">
        <v>43901</v>
      </c>
      <c r="B692">
        <v>0.47560000000000002</v>
      </c>
      <c r="C692">
        <v>0.4894</v>
      </c>
      <c r="D692">
        <v>0.4239</v>
      </c>
      <c r="E692">
        <v>0.46060000000000001</v>
      </c>
      <c r="F692">
        <v>300533.31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0.12061068702290104</v>
      </c>
      <c r="Q692">
        <f t="shared" si="995"/>
        <v>36247.528992366497</v>
      </c>
      <c r="R692">
        <f t="shared" si="996"/>
        <v>-4215404.9320534505</v>
      </c>
      <c r="S692">
        <f t="shared" si="997"/>
        <v>-42.154049320534504</v>
      </c>
      <c r="T692">
        <f t="shared" si="998"/>
        <v>-4.2154049320534508E-2</v>
      </c>
    </row>
    <row r="693" spans="1:20" x14ac:dyDescent="0.25">
      <c r="A693" s="5">
        <v>43900</v>
      </c>
      <c r="B693">
        <v>0.46639999999999998</v>
      </c>
      <c r="C693">
        <v>0.51980000000000004</v>
      </c>
      <c r="D693">
        <v>0.45750000000000002</v>
      </c>
      <c r="E693">
        <v>0.47799999999999998</v>
      </c>
      <c r="F693">
        <v>229900.36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-0.34189406099518604</v>
      </c>
      <c r="Q693">
        <f t="shared" si="995"/>
        <v>-78601.56770465523</v>
      </c>
      <c r="R693">
        <f t="shared" si="996"/>
        <v>-4251652.4610458165</v>
      </c>
      <c r="S693">
        <f t="shared" si="997"/>
        <v>-42.516524610458163</v>
      </c>
      <c r="T693">
        <f t="shared" si="998"/>
        <v>-4.2516524610458163E-2</v>
      </c>
    </row>
    <row r="694" spans="1:20" x14ac:dyDescent="0.25">
      <c r="A694" s="5">
        <v>43899</v>
      </c>
      <c r="B694">
        <v>0.50509999999999999</v>
      </c>
      <c r="C694">
        <v>0.5272</v>
      </c>
      <c r="D694">
        <v>0.43919999999999998</v>
      </c>
      <c r="E694">
        <v>0.46760000000000002</v>
      </c>
      <c r="F694">
        <v>416413.04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-0.35454545454545389</v>
      </c>
      <c r="Q694">
        <f t="shared" si="995"/>
        <v>-147637.35054545428</v>
      </c>
      <c r="R694">
        <f t="shared" si="996"/>
        <v>-4173050.8933411613</v>
      </c>
      <c r="S694">
        <f t="shared" si="997"/>
        <v>-41.730508933411613</v>
      </c>
      <c r="T694">
        <f t="shared" si="998"/>
        <v>-4.1730508933411611E-2</v>
      </c>
    </row>
    <row r="695" spans="1:20" x14ac:dyDescent="0.25">
      <c r="A695" s="5">
        <v>43898</v>
      </c>
      <c r="B695">
        <v>0.55449999999999999</v>
      </c>
      <c r="C695">
        <v>0.57599999999999996</v>
      </c>
      <c r="D695">
        <v>0.5</v>
      </c>
      <c r="E695">
        <v>0.50529999999999997</v>
      </c>
      <c r="F695">
        <v>309909.3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-0.86052631578947436</v>
      </c>
      <c r="Q695">
        <f t="shared" si="995"/>
        <v>-266685.10815789492</v>
      </c>
      <c r="R695">
        <f t="shared" si="996"/>
        <v>-4025413.542795707</v>
      </c>
      <c r="S695">
        <f t="shared" si="997"/>
        <v>-40.254135427957067</v>
      </c>
      <c r="T695">
        <f t="shared" si="998"/>
        <v>-4.0254135427957069E-2</v>
      </c>
    </row>
    <row r="696" spans="1:20" x14ac:dyDescent="0.25">
      <c r="A696" s="5">
        <v>43897</v>
      </c>
      <c r="B696">
        <v>0.60509999999999997</v>
      </c>
      <c r="C696">
        <v>0.62480000000000002</v>
      </c>
      <c r="D696">
        <v>0.54700000000000004</v>
      </c>
      <c r="E696">
        <v>0.55620000000000003</v>
      </c>
      <c r="F696">
        <v>526430.66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-0.76349614395886922</v>
      </c>
      <c r="Q696">
        <f t="shared" si="995"/>
        <v>-401927.77897172258</v>
      </c>
      <c r="R696">
        <f t="shared" si="996"/>
        <v>-3758728.434637812</v>
      </c>
      <c r="S696">
        <f t="shared" si="997"/>
        <v>-37.587284346378119</v>
      </c>
      <c r="T696">
        <f t="shared" si="998"/>
        <v>-3.7587284346378119E-2</v>
      </c>
    </row>
    <row r="697" spans="1:20" x14ac:dyDescent="0.25">
      <c r="A697" s="5">
        <v>43896</v>
      </c>
      <c r="B697">
        <v>0.60260000000000002</v>
      </c>
      <c r="C697">
        <v>0.62890000000000001</v>
      </c>
      <c r="D697">
        <v>0.58399999999999996</v>
      </c>
      <c r="E697">
        <v>0.60429999999999995</v>
      </c>
      <c r="F697">
        <v>429463.28</v>
      </c>
      <c r="G697">
        <v>0</v>
      </c>
      <c r="L697" t="s">
        <v>7</v>
      </c>
      <c r="M697" t="s">
        <v>7</v>
      </c>
      <c r="N697" t="s">
        <v>7</v>
      </c>
      <c r="P697">
        <f t="shared" si="994"/>
        <v>-9.5768374164812403E-2</v>
      </c>
      <c r="Q697">
        <f t="shared" si="995"/>
        <v>-41129.000089087596</v>
      </c>
      <c r="R697">
        <f t="shared" si="996"/>
        <v>-3356800.6556660892</v>
      </c>
      <c r="S697">
        <f t="shared" si="997"/>
        <v>-33.56800655666089</v>
      </c>
      <c r="T697">
        <f t="shared" si="998"/>
        <v>-3.3568006556660888E-2</v>
      </c>
    </row>
    <row r="698" spans="1:20" x14ac:dyDescent="0.25">
      <c r="A698" s="5">
        <v>43895</v>
      </c>
      <c r="B698">
        <v>0.61099999999999999</v>
      </c>
      <c r="C698">
        <v>0.67869999999999997</v>
      </c>
      <c r="D698">
        <v>0.505</v>
      </c>
      <c r="E698">
        <v>0.60360000000000003</v>
      </c>
      <c r="F698">
        <v>462963.72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0.1352907311456539</v>
      </c>
      <c r="Q698">
        <f t="shared" si="995"/>
        <v>62634.700172711789</v>
      </c>
      <c r="R698">
        <f t="shared" si="996"/>
        <v>-3315671.6555770016</v>
      </c>
      <c r="S698">
        <f t="shared" si="997"/>
        <v>-33.156716555770018</v>
      </c>
      <c r="T698">
        <f t="shared" si="998"/>
        <v>-3.3156716555770016E-2</v>
      </c>
    </row>
    <row r="699" spans="1:20" x14ac:dyDescent="0.25">
      <c r="A699" s="5">
        <v>43894</v>
      </c>
      <c r="B699">
        <v>0.5806</v>
      </c>
      <c r="C699">
        <v>0.63949999999999996</v>
      </c>
      <c r="D699">
        <v>0.56999999999999995</v>
      </c>
      <c r="E699">
        <v>0.61050000000000004</v>
      </c>
      <c r="F699">
        <v>388620.52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0.1654676258992831</v>
      </c>
      <c r="Q699">
        <f t="shared" si="995"/>
        <v>64304.114820144867</v>
      </c>
      <c r="R699">
        <f t="shared" si="996"/>
        <v>-3378306.3557497133</v>
      </c>
      <c r="S699">
        <f t="shared" si="997"/>
        <v>-33.78306355749713</v>
      </c>
      <c r="T699">
        <f t="shared" si="998"/>
        <v>-3.3783063557497127E-2</v>
      </c>
    </row>
    <row r="700" spans="1:20" x14ac:dyDescent="0.25">
      <c r="A700" s="5">
        <v>43893</v>
      </c>
      <c r="B700">
        <v>0.55730000000000002</v>
      </c>
      <c r="C700">
        <v>0.60870000000000002</v>
      </c>
      <c r="D700">
        <v>0.55649999999999999</v>
      </c>
      <c r="E700">
        <v>0.58050000000000002</v>
      </c>
      <c r="F700">
        <v>403320.6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-8.0459770114942139E-2</v>
      </c>
      <c r="Q700">
        <f t="shared" si="995"/>
        <v>-32451.082758620531</v>
      </c>
      <c r="R700">
        <f t="shared" si="996"/>
        <v>-3442610.4705698583</v>
      </c>
      <c r="S700">
        <f t="shared" si="997"/>
        <v>-34.426104705698584</v>
      </c>
      <c r="T700">
        <f t="shared" si="998"/>
        <v>-3.4426104705698582E-2</v>
      </c>
    </row>
    <row r="701" spans="1:20" x14ac:dyDescent="0.25">
      <c r="A701" s="5">
        <v>43892</v>
      </c>
      <c r="B701">
        <v>0.5101</v>
      </c>
      <c r="C701">
        <v>0.57099999999999995</v>
      </c>
      <c r="D701">
        <v>0.5101</v>
      </c>
      <c r="E701">
        <v>0.55910000000000004</v>
      </c>
      <c r="F701">
        <v>235478.65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0.60919540229885316</v>
      </c>
      <c r="Q701">
        <f t="shared" si="995"/>
        <v>143452.51091954083</v>
      </c>
      <c r="R701">
        <f t="shared" si="996"/>
        <v>-3410159.3878112379</v>
      </c>
      <c r="S701">
        <f t="shared" si="997"/>
        <v>-34.101593878112382</v>
      </c>
      <c r="T701">
        <f t="shared" si="998"/>
        <v>-3.4101593878112381E-2</v>
      </c>
    </row>
    <row r="702" spans="1:20" x14ac:dyDescent="0.25">
      <c r="A702" s="5">
        <v>43891</v>
      </c>
      <c r="B702">
        <v>0.52449999999999997</v>
      </c>
      <c r="C702">
        <v>0.53400000000000003</v>
      </c>
      <c r="D702">
        <v>0.5</v>
      </c>
      <c r="E702">
        <v>0.51539999999999997</v>
      </c>
      <c r="F702">
        <v>220249.08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-9.4117647058826137E-2</v>
      </c>
      <c r="Q702">
        <f t="shared" si="995"/>
        <v>-20729.32517647116</v>
      </c>
      <c r="R702">
        <f t="shared" si="996"/>
        <v>-3553611.8987307786</v>
      </c>
      <c r="S702">
        <f t="shared" si="997"/>
        <v>-35.536118987307788</v>
      </c>
      <c r="T702">
        <f t="shared" si="998"/>
        <v>-3.553611898730779E-2</v>
      </c>
    </row>
    <row r="703" spans="1:20" x14ac:dyDescent="0.25">
      <c r="A703" s="5">
        <v>43890</v>
      </c>
      <c r="B703">
        <v>0.52649999999999997</v>
      </c>
      <c r="C703">
        <v>0.53949999999999998</v>
      </c>
      <c r="D703">
        <v>0.51900000000000002</v>
      </c>
      <c r="E703">
        <v>0.52510000000000001</v>
      </c>
      <c r="F703">
        <v>201143.26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-0.40487804878048728</v>
      </c>
      <c r="Q703">
        <f t="shared" si="995"/>
        <v>-81438.490634146234</v>
      </c>
      <c r="R703">
        <f t="shared" si="996"/>
        <v>-3532882.5735543072</v>
      </c>
      <c r="S703">
        <f t="shared" si="997"/>
        <v>-35.32882573554307</v>
      </c>
      <c r="T703">
        <f t="shared" si="998"/>
        <v>-3.5328825735543072E-2</v>
      </c>
    </row>
    <row r="704" spans="1:20" x14ac:dyDescent="0.25">
      <c r="A704" s="5">
        <v>43889</v>
      </c>
      <c r="B704">
        <v>0.5232</v>
      </c>
      <c r="C704">
        <v>0.5444</v>
      </c>
      <c r="D704">
        <v>0.48830000000000001</v>
      </c>
      <c r="E704">
        <v>0.52449999999999997</v>
      </c>
      <c r="F704">
        <v>189592.93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0.29055258467023048</v>
      </c>
      <c r="Q704">
        <f t="shared" si="995"/>
        <v>55086.715846702078</v>
      </c>
      <c r="R704">
        <f t="shared" si="996"/>
        <v>-3451444.0829201611</v>
      </c>
      <c r="S704">
        <f t="shared" si="997"/>
        <v>-34.514440829201611</v>
      </c>
      <c r="T704">
        <f t="shared" si="998"/>
        <v>-3.4514440829201611E-2</v>
      </c>
    </row>
    <row r="705" spans="1:20" x14ac:dyDescent="0.25">
      <c r="A705" s="5">
        <v>43888</v>
      </c>
      <c r="B705">
        <v>0.52210000000000001</v>
      </c>
      <c r="C705">
        <v>0.56410000000000005</v>
      </c>
      <c r="D705">
        <v>0.50219999999999998</v>
      </c>
      <c r="E705">
        <v>0.53010000000000002</v>
      </c>
      <c r="F705">
        <v>277120.03000000003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-9.8546042003230819E-2</v>
      </c>
      <c r="Q705">
        <f t="shared" si="995"/>
        <v>-27309.082116316586</v>
      </c>
      <c r="R705">
        <f t="shared" si="996"/>
        <v>-3506530.7987668631</v>
      </c>
      <c r="S705">
        <f t="shared" si="997"/>
        <v>-35.065307987668632</v>
      </c>
      <c r="T705">
        <f t="shared" si="998"/>
        <v>-3.5065307987668631E-2</v>
      </c>
    </row>
    <row r="706" spans="1:20" x14ac:dyDescent="0.25">
      <c r="A706" s="5">
        <v>43887</v>
      </c>
      <c r="B706">
        <v>0.59189999999999998</v>
      </c>
      <c r="C706">
        <v>0.63990000000000002</v>
      </c>
      <c r="D706">
        <v>0.51880000000000004</v>
      </c>
      <c r="E706">
        <v>0.52500000000000002</v>
      </c>
      <c r="F706">
        <v>554039.36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-0.89760528488852209</v>
      </c>
      <c r="Q706">
        <f t="shared" si="995"/>
        <v>-497308.65757225442</v>
      </c>
      <c r="R706">
        <f t="shared" si="996"/>
        <v>-3479221.7166505465</v>
      </c>
      <c r="S706">
        <f t="shared" si="997"/>
        <v>-34.792217166505466</v>
      </c>
      <c r="T706">
        <f t="shared" si="998"/>
        <v>-3.4792217166505469E-2</v>
      </c>
    </row>
    <row r="707" spans="1:20" x14ac:dyDescent="0.25">
      <c r="A707" s="5">
        <v>43886</v>
      </c>
      <c r="B707">
        <v>0.6361</v>
      </c>
      <c r="C707">
        <v>0.63819999999999999</v>
      </c>
      <c r="D707">
        <v>0.58320000000000005</v>
      </c>
      <c r="E707">
        <v>0.59489999999999998</v>
      </c>
      <c r="F707">
        <v>256803.64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-0.57454545454545647</v>
      </c>
      <c r="Q707">
        <f t="shared" si="995"/>
        <v>-147545.36407272777</v>
      </c>
      <c r="R707">
        <f t="shared" si="996"/>
        <v>-2981913.059078292</v>
      </c>
      <c r="S707">
        <f t="shared" si="997"/>
        <v>-29.819130590782919</v>
      </c>
      <c r="T707">
        <f t="shared" si="998"/>
        <v>-2.9819130590782918E-2</v>
      </c>
    </row>
    <row r="708" spans="1:20" x14ac:dyDescent="0.25">
      <c r="A708" s="5">
        <v>43885</v>
      </c>
      <c r="B708">
        <v>0.67989999999999995</v>
      </c>
      <c r="C708">
        <v>0.68730000000000002</v>
      </c>
      <c r="D708">
        <v>0.63070000000000004</v>
      </c>
      <c r="E708">
        <v>0.63649999999999995</v>
      </c>
      <c r="F708">
        <v>218138.36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-0.79505300353357178</v>
      </c>
      <c r="Q708">
        <f t="shared" si="995"/>
        <v>-173431.55830388755</v>
      </c>
      <c r="R708">
        <f t="shared" si="996"/>
        <v>-2834367.695005564</v>
      </c>
      <c r="S708">
        <f t="shared" si="997"/>
        <v>-28.343676950055642</v>
      </c>
      <c r="T708">
        <f t="shared" si="998"/>
        <v>-2.834367695005564E-2</v>
      </c>
    </row>
    <row r="709" spans="1:20" x14ac:dyDescent="0.25">
      <c r="A709" s="5">
        <v>43884</v>
      </c>
      <c r="B709">
        <v>0.66649999999999998</v>
      </c>
      <c r="C709">
        <v>0.70899999999999996</v>
      </c>
      <c r="D709">
        <v>0.66</v>
      </c>
      <c r="E709">
        <v>0.68049999999999999</v>
      </c>
      <c r="F709">
        <v>246821.84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-0.16326530612244936</v>
      </c>
      <c r="Q709">
        <f t="shared" si="995"/>
        <v>-40297.443265306218</v>
      </c>
      <c r="R709">
        <f t="shared" si="996"/>
        <v>-2660936.1367016765</v>
      </c>
      <c r="S709">
        <f t="shared" si="997"/>
        <v>-26.609361367016767</v>
      </c>
      <c r="T709">
        <f t="shared" si="998"/>
        <v>-2.6609361367016766E-2</v>
      </c>
    </row>
    <row r="710" spans="1:20" x14ac:dyDescent="0.25">
      <c r="A710" s="5">
        <v>43883</v>
      </c>
      <c r="B710">
        <v>0.72689999999999999</v>
      </c>
      <c r="C710">
        <v>0.72689999999999999</v>
      </c>
      <c r="D710">
        <v>0.64900000000000002</v>
      </c>
      <c r="E710">
        <v>0.66020000000000001</v>
      </c>
      <c r="F710">
        <v>744782.21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-0.71245186136071903</v>
      </c>
      <c r="Q710">
        <f t="shared" ref="Q710:Q766" si="1000">F710*P710</f>
        <v>-530621.47182284994</v>
      </c>
      <c r="R710">
        <f t="shared" ref="R710:R766" si="1001">R711+Q710</f>
        <v>-2620638.6934363702</v>
      </c>
      <c r="S710">
        <f t="shared" ref="S710:S766" si="1002">R710/100000</f>
        <v>-26.206386934363703</v>
      </c>
      <c r="T710">
        <f t="shared" ref="T710:T766" si="1003">S710/1000</f>
        <v>-2.6206386934363703E-2</v>
      </c>
    </row>
    <row r="711" spans="1:20" x14ac:dyDescent="0.25">
      <c r="A711" s="5">
        <v>43882</v>
      </c>
      <c r="B711">
        <v>0.59670000000000001</v>
      </c>
      <c r="C711">
        <v>0.81059999999999999</v>
      </c>
      <c r="D711">
        <v>0.59040000000000004</v>
      </c>
      <c r="E711">
        <v>0.72699999999999998</v>
      </c>
      <c r="F711">
        <v>1823245.69</v>
      </c>
      <c r="G711">
        <v>0</v>
      </c>
      <c r="L711" t="s">
        <v>8</v>
      </c>
      <c r="M711" t="s">
        <v>8</v>
      </c>
      <c r="N711" t="s">
        <v>8</v>
      </c>
      <c r="P711">
        <f t="shared" si="999"/>
        <v>0.24069028156221592</v>
      </c>
      <c r="Q711">
        <f t="shared" si="1000"/>
        <v>438837.51848319662</v>
      </c>
      <c r="R711">
        <f t="shared" si="1001"/>
        <v>-2090017.2216135205</v>
      </c>
      <c r="S711">
        <f t="shared" si="1002"/>
        <v>-20.900172216135203</v>
      </c>
      <c r="T711">
        <f t="shared" si="1003"/>
        <v>-2.0900172216135205E-2</v>
      </c>
    </row>
    <row r="712" spans="1:20" x14ac:dyDescent="0.25">
      <c r="A712" s="5">
        <v>43881</v>
      </c>
      <c r="B712">
        <v>0.60919999999999996</v>
      </c>
      <c r="C712">
        <v>0.62109999999999999</v>
      </c>
      <c r="D712">
        <v>0.57199999999999995</v>
      </c>
      <c r="E712">
        <v>0.59350000000000003</v>
      </c>
      <c r="F712">
        <v>197606.89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-0.12423625254582239</v>
      </c>
      <c r="Q712">
        <f t="shared" si="1000"/>
        <v>-24549.939490834546</v>
      </c>
      <c r="R712">
        <f t="shared" si="1001"/>
        <v>-2528854.7400967171</v>
      </c>
      <c r="S712">
        <f t="shared" si="1002"/>
        <v>-25.288547400967172</v>
      </c>
      <c r="T712">
        <f t="shared" si="1003"/>
        <v>-2.5288547400967171E-2</v>
      </c>
    </row>
    <row r="713" spans="1:20" x14ac:dyDescent="0.25">
      <c r="A713" s="5">
        <v>43880</v>
      </c>
      <c r="B713">
        <v>0.68559999999999999</v>
      </c>
      <c r="C713">
        <v>0.69989999999999997</v>
      </c>
      <c r="D713">
        <v>0.58930000000000005</v>
      </c>
      <c r="E713">
        <v>0.61499999999999999</v>
      </c>
      <c r="F713">
        <v>179509.78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-0.53526220614828279</v>
      </c>
      <c r="Q713">
        <f t="shared" si="1000"/>
        <v>-96084.80086799289</v>
      </c>
      <c r="R713">
        <f t="shared" si="1001"/>
        <v>-2504304.8006058824</v>
      </c>
      <c r="S713">
        <f t="shared" si="1002"/>
        <v>-25.043048006058825</v>
      </c>
      <c r="T713">
        <f t="shared" si="1003"/>
        <v>-2.5043048006058825E-2</v>
      </c>
    </row>
    <row r="714" spans="1:20" x14ac:dyDescent="0.25">
      <c r="A714" s="5">
        <v>43879</v>
      </c>
      <c r="B714">
        <v>0.62949999999999995</v>
      </c>
      <c r="C714">
        <v>0.7087</v>
      </c>
      <c r="D714">
        <v>0.60880000000000001</v>
      </c>
      <c r="E714">
        <v>0.67700000000000005</v>
      </c>
      <c r="F714">
        <v>267913.7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0.36536536536536629</v>
      </c>
      <c r="Q714">
        <f t="shared" si="1000"/>
        <v>97886.386886887136</v>
      </c>
      <c r="R714">
        <f t="shared" si="1001"/>
        <v>-2408219.9997378895</v>
      </c>
      <c r="S714">
        <f t="shared" si="1002"/>
        <v>-24.082199997378893</v>
      </c>
      <c r="T714">
        <f t="shared" si="1003"/>
        <v>-2.4082199997378893E-2</v>
      </c>
    </row>
    <row r="715" spans="1:20" x14ac:dyDescent="0.25">
      <c r="A715" s="5">
        <v>43878</v>
      </c>
      <c r="B715">
        <v>0.6431</v>
      </c>
      <c r="C715">
        <v>0.64649999999999996</v>
      </c>
      <c r="D715">
        <v>0.58509999999999995</v>
      </c>
      <c r="E715">
        <v>0.62660000000000005</v>
      </c>
      <c r="F715">
        <v>172843.3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0.35179153094462817</v>
      </c>
      <c r="Q715">
        <f t="shared" si="1000"/>
        <v>60804.809120521648</v>
      </c>
      <c r="R715">
        <f t="shared" si="1001"/>
        <v>-2506106.3866247768</v>
      </c>
      <c r="S715">
        <f t="shared" si="1002"/>
        <v>-25.061063866247768</v>
      </c>
      <c r="T715">
        <f t="shared" si="1003"/>
        <v>-2.5061063866247766E-2</v>
      </c>
    </row>
    <row r="716" spans="1:20" x14ac:dyDescent="0.25">
      <c r="A716" s="5">
        <v>43877</v>
      </c>
      <c r="B716">
        <v>0.68759999999999999</v>
      </c>
      <c r="C716">
        <v>0.70140000000000002</v>
      </c>
      <c r="D716">
        <v>0.59899999999999998</v>
      </c>
      <c r="E716">
        <v>0.64390000000000003</v>
      </c>
      <c r="F716">
        <v>260866.87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-0.1230468749999994</v>
      </c>
      <c r="Q716">
        <f t="shared" si="1000"/>
        <v>-32098.853144531095</v>
      </c>
      <c r="R716">
        <f t="shared" si="1001"/>
        <v>-2566911.1957452986</v>
      </c>
      <c r="S716">
        <f t="shared" si="1002"/>
        <v>-25.669111957452987</v>
      </c>
      <c r="T716">
        <f t="shared" si="1003"/>
        <v>-2.5669111957452986E-2</v>
      </c>
    </row>
    <row r="717" spans="1:20" x14ac:dyDescent="0.25">
      <c r="A717" s="5">
        <v>43876</v>
      </c>
      <c r="B717">
        <v>0.73599999999999999</v>
      </c>
      <c r="C717">
        <v>0.74160000000000004</v>
      </c>
      <c r="D717">
        <v>0.65410000000000001</v>
      </c>
      <c r="E717">
        <v>0.68759999999999999</v>
      </c>
      <c r="F717">
        <v>260755.54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-0.23428571428571507</v>
      </c>
      <c r="Q717">
        <f t="shared" si="1000"/>
        <v>-61091.297942857345</v>
      </c>
      <c r="R717">
        <f t="shared" si="1001"/>
        <v>-2534812.3426007675</v>
      </c>
      <c r="S717">
        <f t="shared" si="1002"/>
        <v>-25.348123426007675</v>
      </c>
      <c r="T717">
        <f t="shared" si="1003"/>
        <v>-2.5348123426007674E-2</v>
      </c>
    </row>
    <row r="718" spans="1:20" x14ac:dyDescent="0.25">
      <c r="A718" s="5">
        <v>43875</v>
      </c>
      <c r="B718">
        <v>0.72819999999999996</v>
      </c>
      <c r="C718">
        <v>0.74170000000000003</v>
      </c>
      <c r="D718">
        <v>0.71589999999999998</v>
      </c>
      <c r="E718">
        <v>0.73599999999999999</v>
      </c>
      <c r="F718">
        <v>208927.94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0.5581395348837187</v>
      </c>
      <c r="Q718">
        <f t="shared" si="1000"/>
        <v>116610.94325581349</v>
      </c>
      <c r="R718">
        <f t="shared" si="1001"/>
        <v>-2473721.0446579102</v>
      </c>
      <c r="S718">
        <f t="shared" si="1002"/>
        <v>-24.737210446579102</v>
      </c>
      <c r="T718">
        <f t="shared" si="1003"/>
        <v>-2.4737210446579103E-2</v>
      </c>
    </row>
    <row r="719" spans="1:20" x14ac:dyDescent="0.25">
      <c r="A719" s="5">
        <v>43874</v>
      </c>
      <c r="B719">
        <v>0.74260000000000004</v>
      </c>
      <c r="C719">
        <v>0.76800000000000002</v>
      </c>
      <c r="D719">
        <v>0.70930000000000004</v>
      </c>
      <c r="E719">
        <v>0.72750000000000004</v>
      </c>
      <c r="F719">
        <v>207525.92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-0.37989778534923335</v>
      </c>
      <c r="Q719">
        <f t="shared" si="1000"/>
        <v>-78838.63741056218</v>
      </c>
      <c r="R719">
        <f t="shared" si="1001"/>
        <v>-2590331.9879137236</v>
      </c>
      <c r="S719">
        <f t="shared" si="1002"/>
        <v>-25.903319879137236</v>
      </c>
      <c r="T719">
        <f t="shared" si="1003"/>
        <v>-2.5903319879137236E-2</v>
      </c>
    </row>
    <row r="720" spans="1:20" x14ac:dyDescent="0.25">
      <c r="A720" s="5">
        <v>43873</v>
      </c>
      <c r="B720">
        <v>0.77539999999999998</v>
      </c>
      <c r="C720">
        <v>0.78700000000000003</v>
      </c>
      <c r="D720">
        <v>0.72</v>
      </c>
      <c r="E720">
        <v>0.74260000000000004</v>
      </c>
      <c r="F720">
        <v>485353.34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-0.32537313432835691</v>
      </c>
      <c r="Q720">
        <f t="shared" si="1000"/>
        <v>-157920.9374925367</v>
      </c>
      <c r="R720">
        <f t="shared" si="1001"/>
        <v>-2511493.3505031615</v>
      </c>
      <c r="S720">
        <f t="shared" si="1002"/>
        <v>-25.114933505031615</v>
      </c>
      <c r="T720">
        <f t="shared" si="1003"/>
        <v>-2.5114933505031616E-2</v>
      </c>
    </row>
    <row r="721" spans="1:20" x14ac:dyDescent="0.25">
      <c r="A721" s="5">
        <v>43872</v>
      </c>
      <c r="B721">
        <v>0.72309999999999997</v>
      </c>
      <c r="C721">
        <v>0.79320000000000002</v>
      </c>
      <c r="D721">
        <v>0.68369999999999997</v>
      </c>
      <c r="E721">
        <v>0.77300000000000002</v>
      </c>
      <c r="F721">
        <v>488545.67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0.6310502283105025</v>
      </c>
      <c r="Q721">
        <f t="shared" si="1000"/>
        <v>308296.8565936074</v>
      </c>
      <c r="R721">
        <f t="shared" si="1001"/>
        <v>-2353572.4130106247</v>
      </c>
      <c r="S721">
        <f t="shared" si="1002"/>
        <v>-23.535724130106246</v>
      </c>
      <c r="T721">
        <f t="shared" si="1003"/>
        <v>-2.3535724130106246E-2</v>
      </c>
    </row>
    <row r="722" spans="1:20" x14ac:dyDescent="0.25">
      <c r="A722" s="5">
        <v>43871</v>
      </c>
      <c r="B722">
        <v>0.71860000000000002</v>
      </c>
      <c r="C722">
        <v>0.7298</v>
      </c>
      <c r="D722">
        <v>0.69469999999999998</v>
      </c>
      <c r="E722">
        <v>0.72909999999999997</v>
      </c>
      <c r="F722">
        <v>208615.27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0.96011396011395822</v>
      </c>
      <c r="Q722">
        <f t="shared" si="1000"/>
        <v>200294.4330199426</v>
      </c>
      <c r="R722">
        <f t="shared" si="1001"/>
        <v>-2661869.2696042322</v>
      </c>
      <c r="S722">
        <f t="shared" si="1002"/>
        <v>-26.61869269604232</v>
      </c>
      <c r="T722">
        <f t="shared" si="1003"/>
        <v>-2.661869269604232E-2</v>
      </c>
    </row>
    <row r="723" spans="1:20" x14ac:dyDescent="0.25">
      <c r="A723" s="5">
        <v>43870</v>
      </c>
      <c r="B723">
        <v>0.74050000000000005</v>
      </c>
      <c r="C723">
        <v>0.76070000000000004</v>
      </c>
      <c r="D723">
        <v>0.71450000000000002</v>
      </c>
      <c r="E723">
        <v>0.71860000000000002</v>
      </c>
      <c r="F723">
        <v>335703.94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-0.82251082251082286</v>
      </c>
      <c r="Q723">
        <f t="shared" si="1000"/>
        <v>-276120.12380952394</v>
      </c>
      <c r="R723">
        <f t="shared" si="1001"/>
        <v>-2862163.7026241748</v>
      </c>
      <c r="S723">
        <f t="shared" si="1002"/>
        <v>-28.621637026241746</v>
      </c>
      <c r="T723">
        <f t="shared" si="1003"/>
        <v>-2.8621637026241747E-2</v>
      </c>
    </row>
    <row r="724" spans="1:20" x14ac:dyDescent="0.25">
      <c r="A724" s="5">
        <v>43869</v>
      </c>
      <c r="B724">
        <v>0.77849999999999997</v>
      </c>
      <c r="C724">
        <v>0.77949999999999997</v>
      </c>
      <c r="D724">
        <v>0.71409999999999996</v>
      </c>
      <c r="E724">
        <v>0.74050000000000005</v>
      </c>
      <c r="F724">
        <v>296496.38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-0.192660550458713</v>
      </c>
      <c r="Q724">
        <f t="shared" si="1000"/>
        <v>-57123.155779815745</v>
      </c>
      <c r="R724">
        <f t="shared" si="1001"/>
        <v>-2586043.5788146509</v>
      </c>
      <c r="S724">
        <f t="shared" si="1002"/>
        <v>-25.860435788146511</v>
      </c>
      <c r="T724">
        <f t="shared" si="1003"/>
        <v>-2.5860435788146511E-2</v>
      </c>
    </row>
    <row r="725" spans="1:20" x14ac:dyDescent="0.25">
      <c r="A725" s="5">
        <v>43868</v>
      </c>
      <c r="B725">
        <v>0.76929999999999998</v>
      </c>
      <c r="C725">
        <v>0.79900000000000004</v>
      </c>
      <c r="D725">
        <v>0.76929999999999998</v>
      </c>
      <c r="E725">
        <v>0.77949999999999997</v>
      </c>
      <c r="F725">
        <v>161337.13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-0.31313131313131537</v>
      </c>
      <c r="Q725">
        <f t="shared" si="1000"/>
        <v>-50519.707373737736</v>
      </c>
      <c r="R725">
        <f t="shared" si="1001"/>
        <v>-2528920.4230348351</v>
      </c>
      <c r="S725">
        <f t="shared" si="1002"/>
        <v>-25.28920423034835</v>
      </c>
      <c r="T725">
        <f t="shared" si="1003"/>
        <v>-2.5289204230348351E-2</v>
      </c>
    </row>
    <row r="726" spans="1:20" x14ac:dyDescent="0.25">
      <c r="A726" s="5">
        <v>43867</v>
      </c>
      <c r="B726">
        <v>0.70169999999999999</v>
      </c>
      <c r="C726">
        <v>0.79900000000000004</v>
      </c>
      <c r="D726">
        <v>0.69889999999999997</v>
      </c>
      <c r="E726">
        <v>0.77470000000000006</v>
      </c>
      <c r="F726">
        <v>371334.03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0.51448551448551505</v>
      </c>
      <c r="Q726">
        <f t="shared" si="1000"/>
        <v>191045.97947052968</v>
      </c>
      <c r="R726">
        <f t="shared" si="1001"/>
        <v>-2478400.7156610973</v>
      </c>
      <c r="S726">
        <f t="shared" si="1002"/>
        <v>-24.784007156610972</v>
      </c>
      <c r="T726">
        <f t="shared" si="1003"/>
        <v>-2.4784007156610971E-2</v>
      </c>
    </row>
    <row r="727" spans="1:20" x14ac:dyDescent="0.25">
      <c r="A727" s="5">
        <v>43866</v>
      </c>
      <c r="B727">
        <v>0.71340000000000003</v>
      </c>
      <c r="C727">
        <v>0.72160000000000002</v>
      </c>
      <c r="D727">
        <v>0.68959999999999999</v>
      </c>
      <c r="E727">
        <v>0.70089999999999997</v>
      </c>
      <c r="F727">
        <v>158812.82999999999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-0.29375000000000207</v>
      </c>
      <c r="Q727">
        <f t="shared" si="1000"/>
        <v>-46651.268812500326</v>
      </c>
      <c r="R727">
        <f t="shared" si="1001"/>
        <v>-2669446.6951316269</v>
      </c>
      <c r="S727">
        <f t="shared" si="1002"/>
        <v>-26.694466951316269</v>
      </c>
      <c r="T727">
        <f t="shared" si="1003"/>
        <v>-2.6694466951316269E-2</v>
      </c>
    </row>
    <row r="728" spans="1:20" x14ac:dyDescent="0.25">
      <c r="A728" s="5">
        <v>43865</v>
      </c>
      <c r="B728">
        <v>0.70950000000000002</v>
      </c>
      <c r="C728">
        <v>0.71899999999999997</v>
      </c>
      <c r="D728">
        <v>0.66220000000000001</v>
      </c>
      <c r="E728">
        <v>0.71589999999999998</v>
      </c>
      <c r="F728">
        <v>268458.94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0.89084507042253547</v>
      </c>
      <c r="Q728">
        <f t="shared" si="1000"/>
        <v>239155.32330985923</v>
      </c>
      <c r="R728">
        <f t="shared" si="1001"/>
        <v>-2622795.4263191265</v>
      </c>
      <c r="S728">
        <f t="shared" si="1002"/>
        <v>-26.227954263191265</v>
      </c>
      <c r="T728">
        <f t="shared" si="1003"/>
        <v>-2.6227954263191265E-2</v>
      </c>
    </row>
    <row r="729" spans="1:20" x14ac:dyDescent="0.25">
      <c r="A729" s="5">
        <v>43864</v>
      </c>
      <c r="B729">
        <v>0.65800000000000003</v>
      </c>
      <c r="C729">
        <v>0.75</v>
      </c>
      <c r="D729">
        <v>0.63580000000000003</v>
      </c>
      <c r="E729">
        <v>0.70950000000000002</v>
      </c>
      <c r="F729">
        <v>377008.87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0.29071803852889683</v>
      </c>
      <c r="Q729">
        <f t="shared" si="1000"/>
        <v>109603.27919439586</v>
      </c>
      <c r="R729">
        <f t="shared" si="1001"/>
        <v>-2861950.7496289858</v>
      </c>
      <c r="S729">
        <f t="shared" si="1002"/>
        <v>-28.619507496289856</v>
      </c>
      <c r="T729">
        <f t="shared" si="1003"/>
        <v>-2.8619507496289855E-2</v>
      </c>
    </row>
    <row r="730" spans="1:20" x14ac:dyDescent="0.25">
      <c r="A730" s="5">
        <v>43863</v>
      </c>
      <c r="B730">
        <v>0.6885</v>
      </c>
      <c r="C730">
        <v>0.68879999999999997</v>
      </c>
      <c r="D730">
        <v>0.64180000000000004</v>
      </c>
      <c r="E730">
        <v>0.65759999999999996</v>
      </c>
      <c r="F730">
        <v>412656.61</v>
      </c>
      <c r="G730">
        <v>0</v>
      </c>
      <c r="L730" t="s">
        <v>7</v>
      </c>
      <c r="M730" t="s">
        <v>8</v>
      </c>
      <c r="N730" t="s">
        <v>8</v>
      </c>
      <c r="P730">
        <f t="shared" si="999"/>
        <v>-0.3276595744680873</v>
      </c>
      <c r="Q730">
        <f t="shared" si="1000"/>
        <v>-135210.88923404345</v>
      </c>
      <c r="R730">
        <f t="shared" si="1001"/>
        <v>-2971554.0288233818</v>
      </c>
      <c r="S730">
        <f t="shared" si="1002"/>
        <v>-29.715540288233818</v>
      </c>
      <c r="T730">
        <f t="shared" si="1003"/>
        <v>-2.9715540288233817E-2</v>
      </c>
    </row>
    <row r="731" spans="1:20" x14ac:dyDescent="0.25">
      <c r="A731" s="5">
        <v>43862</v>
      </c>
      <c r="B731">
        <v>0.67269999999999996</v>
      </c>
      <c r="C731">
        <v>0.71960000000000002</v>
      </c>
      <c r="D731">
        <v>0.65639999999999998</v>
      </c>
      <c r="E731">
        <v>0.6885</v>
      </c>
      <c r="F731">
        <v>357140.37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1.5822784810126587E-2</v>
      </c>
      <c r="Q731">
        <f t="shared" si="1000"/>
        <v>5650.9552215189888</v>
      </c>
      <c r="R731">
        <f t="shared" si="1001"/>
        <v>-2836343.1395893381</v>
      </c>
      <c r="S731">
        <f t="shared" si="1002"/>
        <v>-28.363431395893382</v>
      </c>
      <c r="T731">
        <f t="shared" si="1003"/>
        <v>-2.8363431395893382E-2</v>
      </c>
    </row>
    <row r="732" spans="1:20" x14ac:dyDescent="0.25">
      <c r="A732" s="5">
        <v>43861</v>
      </c>
      <c r="B732">
        <v>0.68220000000000003</v>
      </c>
      <c r="C732">
        <v>0.72499999999999998</v>
      </c>
      <c r="D732">
        <v>0.64439999999999997</v>
      </c>
      <c r="E732">
        <v>0.66839999999999999</v>
      </c>
      <c r="F732">
        <v>717927.23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-0.40446650124069428</v>
      </c>
      <c r="Q732">
        <f t="shared" si="1000"/>
        <v>-290377.51486352319</v>
      </c>
      <c r="R732">
        <f t="shared" si="1001"/>
        <v>-2841994.094810857</v>
      </c>
      <c r="S732">
        <f t="shared" si="1002"/>
        <v>-28.419940948108568</v>
      </c>
      <c r="T732">
        <f t="shared" si="1003"/>
        <v>-2.8419940948108569E-2</v>
      </c>
    </row>
    <row r="733" spans="1:20" x14ac:dyDescent="0.25">
      <c r="A733" s="5">
        <v>43860</v>
      </c>
      <c r="B733">
        <v>0.58069999999999999</v>
      </c>
      <c r="C733">
        <v>0.69499999999999995</v>
      </c>
      <c r="D733">
        <v>0.56579999999999997</v>
      </c>
      <c r="E733">
        <v>0.68400000000000005</v>
      </c>
      <c r="F733">
        <v>557497.04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0.82972136222910375</v>
      </c>
      <c r="Q733">
        <f t="shared" si="1000"/>
        <v>462567.20346749318</v>
      </c>
      <c r="R733">
        <f t="shared" si="1001"/>
        <v>-2551616.5799473338</v>
      </c>
      <c r="S733">
        <f t="shared" si="1002"/>
        <v>-25.516165799473338</v>
      </c>
      <c r="T733">
        <f t="shared" si="1003"/>
        <v>-2.5516165799473339E-2</v>
      </c>
    </row>
    <row r="734" spans="1:20" x14ac:dyDescent="0.25">
      <c r="A734" s="5">
        <v>43859</v>
      </c>
      <c r="B734">
        <v>0.56910000000000005</v>
      </c>
      <c r="C734">
        <v>0.6079</v>
      </c>
      <c r="D734">
        <v>0.56379999999999997</v>
      </c>
      <c r="E734">
        <v>0.58069999999999999</v>
      </c>
      <c r="F734">
        <v>508484.29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-0.23356009070294714</v>
      </c>
      <c r="Q734">
        <f t="shared" si="1000"/>
        <v>-118761.63689342367</v>
      </c>
      <c r="R734">
        <f t="shared" si="1001"/>
        <v>-3014183.7834148267</v>
      </c>
      <c r="S734">
        <f t="shared" si="1002"/>
        <v>-30.141837834148266</v>
      </c>
      <c r="T734">
        <f t="shared" si="1003"/>
        <v>-3.0141837834148266E-2</v>
      </c>
    </row>
    <row r="735" spans="1:20" x14ac:dyDescent="0.25">
      <c r="A735" s="5">
        <v>43858</v>
      </c>
      <c r="B735">
        <v>0.51090000000000002</v>
      </c>
      <c r="C735">
        <v>0.59489999999999998</v>
      </c>
      <c r="D735">
        <v>0.50490000000000002</v>
      </c>
      <c r="E735">
        <v>0.56810000000000005</v>
      </c>
      <c r="F735">
        <v>429773.88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0.40444444444444566</v>
      </c>
      <c r="Q735">
        <f t="shared" si="1000"/>
        <v>173819.65813333387</v>
      </c>
      <c r="R735">
        <f t="shared" si="1001"/>
        <v>-2895422.146521403</v>
      </c>
      <c r="S735">
        <f t="shared" si="1002"/>
        <v>-28.95422146521403</v>
      </c>
      <c r="T735">
        <f t="shared" si="1003"/>
        <v>-2.8954221465214029E-2</v>
      </c>
    </row>
    <row r="736" spans="1:20" x14ac:dyDescent="0.25">
      <c r="A736" s="5">
        <v>43857</v>
      </c>
      <c r="B736">
        <v>0.5222</v>
      </c>
      <c r="C736">
        <v>0.54139999999999999</v>
      </c>
      <c r="D736">
        <v>0.50480000000000003</v>
      </c>
      <c r="E736">
        <v>0.51200000000000001</v>
      </c>
      <c r="F736">
        <v>251315.43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-0.60655737704918078</v>
      </c>
      <c r="Q736">
        <f t="shared" si="1000"/>
        <v>-152437.22803278698</v>
      </c>
      <c r="R736">
        <f t="shared" si="1001"/>
        <v>-3069241.804654737</v>
      </c>
      <c r="S736">
        <f t="shared" si="1002"/>
        <v>-30.69241804654737</v>
      </c>
      <c r="T736">
        <f t="shared" si="1003"/>
        <v>-3.0692418046547369E-2</v>
      </c>
    </row>
    <row r="737" spans="1:20" x14ac:dyDescent="0.25">
      <c r="A737" s="5">
        <v>43856</v>
      </c>
      <c r="B737">
        <v>0.49469999999999997</v>
      </c>
      <c r="C737">
        <v>0.52810000000000001</v>
      </c>
      <c r="D737">
        <v>0.48820000000000002</v>
      </c>
      <c r="E737">
        <v>0.5222</v>
      </c>
      <c r="F737">
        <v>176176.52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0.70426065162907181</v>
      </c>
      <c r="Q737">
        <f t="shared" si="1000"/>
        <v>124074.1907769422</v>
      </c>
      <c r="R737">
        <f t="shared" si="1001"/>
        <v>-2916804.5766219501</v>
      </c>
      <c r="S737">
        <f t="shared" si="1002"/>
        <v>-29.1680457662195</v>
      </c>
      <c r="T737">
        <f t="shared" si="1003"/>
        <v>-2.9168045766219501E-2</v>
      </c>
    </row>
    <row r="738" spans="1:20" x14ac:dyDescent="0.25">
      <c r="A738" s="5">
        <v>43855</v>
      </c>
      <c r="B738">
        <v>0.51929999999999998</v>
      </c>
      <c r="C738">
        <v>0.51980000000000004</v>
      </c>
      <c r="D738">
        <v>0.48909999999999998</v>
      </c>
      <c r="E738">
        <v>0.49880000000000002</v>
      </c>
      <c r="F738">
        <v>86726.93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-0.36807817589576397</v>
      </c>
      <c r="Q738">
        <f t="shared" si="1000"/>
        <v>-31922.290195439607</v>
      </c>
      <c r="R738">
        <f t="shared" si="1001"/>
        <v>-3040878.7673988924</v>
      </c>
      <c r="S738">
        <f t="shared" si="1002"/>
        <v>-30.408787673988925</v>
      </c>
      <c r="T738">
        <f t="shared" si="1003"/>
        <v>-3.0408787673988927E-2</v>
      </c>
    </row>
    <row r="739" spans="1:20" x14ac:dyDescent="0.25">
      <c r="A739" s="5">
        <v>43854</v>
      </c>
      <c r="B739">
        <v>0.49440000000000001</v>
      </c>
      <c r="C739">
        <v>0.54600000000000004</v>
      </c>
      <c r="D739">
        <v>0.48010000000000003</v>
      </c>
      <c r="E739">
        <v>0.5151</v>
      </c>
      <c r="F739">
        <v>273194.90000000002</v>
      </c>
      <c r="G739">
        <v>0</v>
      </c>
      <c r="L739" t="s">
        <v>8</v>
      </c>
      <c r="M739" t="s">
        <v>7</v>
      </c>
      <c r="N739" t="s">
        <v>8</v>
      </c>
      <c r="P739">
        <f t="shared" si="999"/>
        <v>6.2215477996964128E-2</v>
      </c>
      <c r="Q739">
        <f t="shared" si="1000"/>
        <v>16996.951289832818</v>
      </c>
      <c r="R739">
        <f t="shared" si="1001"/>
        <v>-3008956.477203453</v>
      </c>
      <c r="S739">
        <f t="shared" si="1002"/>
        <v>-30.089564772034528</v>
      </c>
      <c r="T739">
        <f t="shared" si="1003"/>
        <v>-3.0089564772034529E-2</v>
      </c>
    </row>
    <row r="740" spans="1:20" x14ac:dyDescent="0.25">
      <c r="A740" s="5">
        <v>43853</v>
      </c>
      <c r="B740">
        <v>0.50139999999999996</v>
      </c>
      <c r="C740">
        <v>0.50139999999999996</v>
      </c>
      <c r="D740">
        <v>0.46850000000000003</v>
      </c>
      <c r="E740">
        <v>0.49440000000000001</v>
      </c>
      <c r="F740">
        <v>119740.71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0.57446808510638503</v>
      </c>
      <c r="Q740">
        <f t="shared" si="1000"/>
        <v>68787.216382978979</v>
      </c>
      <c r="R740">
        <f t="shared" si="1001"/>
        <v>-3025953.4284932856</v>
      </c>
      <c r="S740">
        <f t="shared" si="1002"/>
        <v>-30.259534284932855</v>
      </c>
      <c r="T740">
        <f t="shared" si="1003"/>
        <v>-3.0259534284932856E-2</v>
      </c>
    </row>
    <row r="741" spans="1:20" x14ac:dyDescent="0.25">
      <c r="A741" s="5">
        <v>43852</v>
      </c>
      <c r="B741">
        <v>0.49270000000000003</v>
      </c>
      <c r="C741">
        <v>0.51</v>
      </c>
      <c r="D741">
        <v>0.48780000000000001</v>
      </c>
      <c r="E741">
        <v>0.50139999999999996</v>
      </c>
      <c r="F741">
        <v>93909.74</v>
      </c>
      <c r="G741">
        <v>0</v>
      </c>
      <c r="L741" t="s">
        <v>8</v>
      </c>
      <c r="M741" t="s">
        <v>7</v>
      </c>
      <c r="N741" t="s">
        <v>8</v>
      </c>
      <c r="P741">
        <f t="shared" si="999"/>
        <v>0.22522522522522045</v>
      </c>
      <c r="Q741">
        <f t="shared" si="1000"/>
        <v>21150.842342341897</v>
      </c>
      <c r="R741">
        <f t="shared" si="1001"/>
        <v>-3094740.6448762645</v>
      </c>
      <c r="S741">
        <f t="shared" si="1002"/>
        <v>-30.947406448762646</v>
      </c>
      <c r="T741">
        <f t="shared" si="1003"/>
        <v>-3.0947406448762645E-2</v>
      </c>
    </row>
    <row r="742" spans="1:20" x14ac:dyDescent="0.25">
      <c r="A742" s="5">
        <v>43851</v>
      </c>
      <c r="B742">
        <v>0.4945</v>
      </c>
      <c r="C742">
        <v>0.51070000000000004</v>
      </c>
      <c r="D742">
        <v>0.47799999999999998</v>
      </c>
      <c r="E742">
        <v>0.49280000000000002</v>
      </c>
      <c r="F742">
        <v>208439.3</v>
      </c>
      <c r="G742">
        <v>0</v>
      </c>
      <c r="L742" t="s">
        <v>8</v>
      </c>
      <c r="M742" t="s">
        <v>7</v>
      </c>
      <c r="N742" t="s">
        <v>8</v>
      </c>
      <c r="P742">
        <f t="shared" si="999"/>
        <v>-9.480122324158978E-2</v>
      </c>
      <c r="Q742">
        <f t="shared" si="1000"/>
        <v>-19760.300611620703</v>
      </c>
      <c r="R742">
        <f t="shared" si="1001"/>
        <v>-3115891.4872186063</v>
      </c>
      <c r="S742">
        <f t="shared" si="1002"/>
        <v>-31.158914872186063</v>
      </c>
      <c r="T742">
        <f t="shared" si="1003"/>
        <v>-3.1158914872186062E-2</v>
      </c>
    </row>
    <row r="743" spans="1:20" x14ac:dyDescent="0.25">
      <c r="A743" s="5">
        <v>43850</v>
      </c>
      <c r="B743">
        <v>0.495</v>
      </c>
      <c r="C743">
        <v>0.50619999999999998</v>
      </c>
      <c r="D743">
        <v>0.46189999999999998</v>
      </c>
      <c r="E743">
        <v>0.49009999999999998</v>
      </c>
      <c r="F743">
        <v>192608.86</v>
      </c>
      <c r="G743">
        <v>0</v>
      </c>
      <c r="L743" t="s">
        <v>8</v>
      </c>
      <c r="M743" t="s">
        <v>7</v>
      </c>
      <c r="N743" t="s">
        <v>8</v>
      </c>
      <c r="P743">
        <f t="shared" si="999"/>
        <v>0.27313769751692996</v>
      </c>
      <c r="Q743">
        <f t="shared" si="1000"/>
        <v>52608.740541760708</v>
      </c>
      <c r="R743">
        <f t="shared" si="1001"/>
        <v>-3096131.1866069855</v>
      </c>
      <c r="S743">
        <f t="shared" si="1002"/>
        <v>-30.961311866069856</v>
      </c>
      <c r="T743">
        <f t="shared" si="1003"/>
        <v>-3.0961311866069856E-2</v>
      </c>
    </row>
    <row r="744" spans="1:20" x14ac:dyDescent="0.25">
      <c r="A744" s="5">
        <v>43849</v>
      </c>
      <c r="B744">
        <v>0.53180000000000005</v>
      </c>
      <c r="C744">
        <v>0.54079999999999995</v>
      </c>
      <c r="D744">
        <v>0.46</v>
      </c>
      <c r="E744">
        <v>0.495</v>
      </c>
      <c r="F744">
        <v>443360.81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-0.13366336633663348</v>
      </c>
      <c r="Q744">
        <f t="shared" si="1000"/>
        <v>-59261.098366336548</v>
      </c>
      <c r="R744">
        <f t="shared" si="1001"/>
        <v>-3148739.9271487463</v>
      </c>
      <c r="S744">
        <f t="shared" si="1002"/>
        <v>-31.487399271487462</v>
      </c>
      <c r="T744">
        <f t="shared" si="1003"/>
        <v>-3.1487399271487464E-2</v>
      </c>
    </row>
    <row r="745" spans="1:20" x14ac:dyDescent="0.25">
      <c r="A745" s="5">
        <v>43848</v>
      </c>
      <c r="B745">
        <v>0.55200000000000005</v>
      </c>
      <c r="C745">
        <v>0.56210000000000004</v>
      </c>
      <c r="D745">
        <v>0.52180000000000004</v>
      </c>
      <c r="E745">
        <v>0.53300000000000003</v>
      </c>
      <c r="F745">
        <v>296585.69</v>
      </c>
      <c r="G745">
        <v>0</v>
      </c>
      <c r="L745" t="s">
        <v>7</v>
      </c>
      <c r="M745" t="s">
        <v>7</v>
      </c>
      <c r="N745" t="s">
        <v>8</v>
      </c>
      <c r="P745">
        <f t="shared" si="999"/>
        <v>-0.44416873449131578</v>
      </c>
      <c r="Q745">
        <f t="shared" si="1000"/>
        <v>-131734.09059553369</v>
      </c>
      <c r="R745">
        <f t="shared" si="1001"/>
        <v>-3089478.8287824099</v>
      </c>
      <c r="S745">
        <f t="shared" si="1002"/>
        <v>-30.894788287824099</v>
      </c>
      <c r="T745">
        <f t="shared" si="1003"/>
        <v>-3.0894788287824097E-2</v>
      </c>
    </row>
    <row r="746" spans="1:20" x14ac:dyDescent="0.25">
      <c r="A746" s="5">
        <v>43847</v>
      </c>
      <c r="B746">
        <v>0.57489999999999997</v>
      </c>
      <c r="C746">
        <v>0.62</v>
      </c>
      <c r="D746">
        <v>0.54110000000000003</v>
      </c>
      <c r="E746">
        <v>0.55600000000000005</v>
      </c>
      <c r="F746">
        <v>603356.73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-0.62230671736375087</v>
      </c>
      <c r="Q746">
        <f t="shared" si="1000"/>
        <v>-375472.94604562694</v>
      </c>
      <c r="R746">
        <f t="shared" si="1001"/>
        <v>-2957744.7381868763</v>
      </c>
      <c r="S746">
        <f t="shared" si="1002"/>
        <v>-29.577447381868762</v>
      </c>
      <c r="T746">
        <f t="shared" si="1003"/>
        <v>-2.9577447381868762E-2</v>
      </c>
    </row>
    <row r="747" spans="1:20" x14ac:dyDescent="0.25">
      <c r="A747" s="5">
        <v>43846</v>
      </c>
      <c r="B747">
        <v>0.52280000000000004</v>
      </c>
      <c r="C747">
        <v>0.59340000000000004</v>
      </c>
      <c r="D747">
        <v>0.503</v>
      </c>
      <c r="E747">
        <v>0.57440000000000002</v>
      </c>
      <c r="F747">
        <v>593396.77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0.57964601769911483</v>
      </c>
      <c r="Q747">
        <f t="shared" si="1000"/>
        <v>343960.07464601757</v>
      </c>
      <c r="R747">
        <f t="shared" si="1001"/>
        <v>-2582271.7921412494</v>
      </c>
      <c r="S747">
        <f t="shared" si="1002"/>
        <v>-25.822717921412494</v>
      </c>
      <c r="T747">
        <f t="shared" si="1003"/>
        <v>-2.5822717921412493E-2</v>
      </c>
    </row>
    <row r="748" spans="1:20" x14ac:dyDescent="0.25">
      <c r="A748" s="5">
        <v>43845</v>
      </c>
      <c r="B748">
        <v>0.49990000000000001</v>
      </c>
      <c r="C748">
        <v>0.54410000000000003</v>
      </c>
      <c r="D748">
        <v>0.48209999999999997</v>
      </c>
      <c r="E748">
        <v>0.5242</v>
      </c>
      <c r="F748">
        <v>510343.7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0.3580645161290319</v>
      </c>
      <c r="Q748">
        <f t="shared" si="1000"/>
        <v>182735.96999999983</v>
      </c>
      <c r="R748">
        <f t="shared" si="1001"/>
        <v>-2926231.8667872669</v>
      </c>
      <c r="S748">
        <f t="shared" si="1002"/>
        <v>-29.26231866787267</v>
      </c>
      <c r="T748">
        <f t="shared" si="1003"/>
        <v>-2.9262318667872669E-2</v>
      </c>
    </row>
    <row r="749" spans="1:20" x14ac:dyDescent="0.25">
      <c r="A749" s="5">
        <v>43844</v>
      </c>
      <c r="B749">
        <v>0.4768</v>
      </c>
      <c r="C749">
        <v>0.50590000000000002</v>
      </c>
      <c r="D749">
        <v>0.4511</v>
      </c>
      <c r="E749">
        <v>0.50049999999999994</v>
      </c>
      <c r="F749">
        <v>506193.31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0.80291970802919455</v>
      </c>
      <c r="Q749">
        <f t="shared" si="1000"/>
        <v>406432.58467153157</v>
      </c>
      <c r="R749">
        <f t="shared" si="1001"/>
        <v>-3108967.8367872667</v>
      </c>
      <c r="S749">
        <f t="shared" si="1002"/>
        <v>-31.089678367872665</v>
      </c>
      <c r="T749">
        <f t="shared" si="1003"/>
        <v>-3.1089678367872665E-2</v>
      </c>
    </row>
    <row r="750" spans="1:20" x14ac:dyDescent="0.25">
      <c r="A750" s="5">
        <v>43843</v>
      </c>
      <c r="B750">
        <v>0.45610000000000001</v>
      </c>
      <c r="C750">
        <v>0.5</v>
      </c>
      <c r="D750">
        <v>0.44369999999999998</v>
      </c>
      <c r="E750">
        <v>0.47739999999999999</v>
      </c>
      <c r="F750">
        <v>504531.12</v>
      </c>
      <c r="G750">
        <v>0</v>
      </c>
      <c r="L750" t="s">
        <v>8</v>
      </c>
      <c r="M750" t="s">
        <v>8</v>
      </c>
      <c r="N750" t="s">
        <v>8</v>
      </c>
      <c r="P750">
        <f t="shared" si="999"/>
        <v>0.19715808170515089</v>
      </c>
      <c r="Q750">
        <f t="shared" si="1000"/>
        <v>99472.387779751283</v>
      </c>
      <c r="R750">
        <f t="shared" si="1001"/>
        <v>-3515400.421458798</v>
      </c>
      <c r="S750">
        <f t="shared" si="1002"/>
        <v>-35.154004214587978</v>
      </c>
      <c r="T750">
        <f t="shared" si="1003"/>
        <v>-3.5154004214587975E-2</v>
      </c>
    </row>
    <row r="751" spans="1:20" x14ac:dyDescent="0.25">
      <c r="A751" s="5">
        <v>43842</v>
      </c>
      <c r="B751">
        <v>0.41980000000000001</v>
      </c>
      <c r="C751">
        <v>0.46760000000000002</v>
      </c>
      <c r="D751">
        <v>0.41980000000000001</v>
      </c>
      <c r="E751">
        <v>0.45610000000000001</v>
      </c>
      <c r="F751">
        <v>216569</v>
      </c>
      <c r="G751">
        <v>0</v>
      </c>
      <c r="L751" t="s">
        <v>8</v>
      </c>
      <c r="M751" t="s">
        <v>7</v>
      </c>
      <c r="N751" t="s">
        <v>8</v>
      </c>
      <c r="P751">
        <f t="shared" si="999"/>
        <v>0.51882845188284488</v>
      </c>
      <c r="Q751">
        <f t="shared" si="1000"/>
        <v>112362.15899581583</v>
      </c>
      <c r="R751">
        <f t="shared" si="1001"/>
        <v>-3614872.8092385493</v>
      </c>
      <c r="S751">
        <f t="shared" si="1002"/>
        <v>-36.14872809238549</v>
      </c>
      <c r="T751">
        <f t="shared" si="1003"/>
        <v>-3.6148728092385493E-2</v>
      </c>
    </row>
    <row r="752" spans="1:20" x14ac:dyDescent="0.25">
      <c r="A752" s="5">
        <v>43841</v>
      </c>
      <c r="B752">
        <v>0.43</v>
      </c>
      <c r="C752">
        <v>0.4345</v>
      </c>
      <c r="D752">
        <v>0.41249999999999998</v>
      </c>
      <c r="E752">
        <v>0.42420000000000002</v>
      </c>
      <c r="F752">
        <v>139962.72</v>
      </c>
      <c r="G752">
        <v>0</v>
      </c>
      <c r="L752" t="s">
        <v>8</v>
      </c>
      <c r="M752" t="s">
        <v>7</v>
      </c>
      <c r="N752" t="s">
        <v>8</v>
      </c>
      <c r="P752">
        <f t="shared" si="999"/>
        <v>6.3636363636366669E-2</v>
      </c>
      <c r="Q752">
        <f t="shared" si="1000"/>
        <v>8906.7185454549708</v>
      </c>
      <c r="R752">
        <f t="shared" si="1001"/>
        <v>-3727234.9682343653</v>
      </c>
      <c r="S752">
        <f t="shared" si="1002"/>
        <v>-37.272349682343652</v>
      </c>
      <c r="T752">
        <f t="shared" si="1003"/>
        <v>-3.727234968234365E-2</v>
      </c>
    </row>
    <row r="753" spans="1:20" x14ac:dyDescent="0.25">
      <c r="A753" s="5">
        <v>43840</v>
      </c>
      <c r="B753">
        <v>0.4163</v>
      </c>
      <c r="C753">
        <v>0.42970000000000003</v>
      </c>
      <c r="D753">
        <v>0.40139999999999998</v>
      </c>
      <c r="E753">
        <v>0.42970000000000003</v>
      </c>
      <c r="F753">
        <v>116980.68</v>
      </c>
      <c r="G753">
        <v>0</v>
      </c>
      <c r="L753" t="s">
        <v>7</v>
      </c>
      <c r="M753" t="s">
        <v>7</v>
      </c>
      <c r="N753" t="s">
        <v>8</v>
      </c>
      <c r="P753">
        <f t="shared" si="999"/>
        <v>1</v>
      </c>
      <c r="Q753">
        <f t="shared" si="1000"/>
        <v>116980.68</v>
      </c>
      <c r="R753">
        <f t="shared" si="1001"/>
        <v>-3736141.6867798204</v>
      </c>
      <c r="S753">
        <f t="shared" si="1002"/>
        <v>-37.361416867798205</v>
      </c>
      <c r="T753">
        <f t="shared" si="1003"/>
        <v>-3.7361416867798203E-2</v>
      </c>
    </row>
    <row r="754" spans="1:20" x14ac:dyDescent="0.25">
      <c r="A754" s="5">
        <v>43839</v>
      </c>
      <c r="B754">
        <v>0.43640000000000001</v>
      </c>
      <c r="C754">
        <v>0.44069999999999998</v>
      </c>
      <c r="D754">
        <v>0.40410000000000001</v>
      </c>
      <c r="E754">
        <v>0.4163</v>
      </c>
      <c r="F754">
        <v>212613.76000000001</v>
      </c>
      <c r="G754">
        <v>0</v>
      </c>
      <c r="L754" t="s">
        <v>7</v>
      </c>
      <c r="M754" t="s">
        <v>7</v>
      </c>
      <c r="N754" t="s">
        <v>8</v>
      </c>
      <c r="P754">
        <f t="shared" si="999"/>
        <v>-0.33333333333333331</v>
      </c>
      <c r="Q754">
        <f t="shared" si="1000"/>
        <v>-70871.253333333327</v>
      </c>
      <c r="R754">
        <f t="shared" si="1001"/>
        <v>-3853122.3667798205</v>
      </c>
      <c r="S754">
        <f t="shared" si="1002"/>
        <v>-38.531223667798209</v>
      </c>
      <c r="T754">
        <f t="shared" si="1003"/>
        <v>-3.8531223667798209E-2</v>
      </c>
    </row>
    <row r="755" spans="1:20" x14ac:dyDescent="0.25">
      <c r="A755" s="5">
        <v>43838</v>
      </c>
      <c r="B755">
        <v>0.43020000000000003</v>
      </c>
      <c r="C755">
        <v>0.4899</v>
      </c>
      <c r="D755">
        <v>0.42309999999999998</v>
      </c>
      <c r="E755">
        <v>0.436</v>
      </c>
      <c r="F755">
        <v>904963.41</v>
      </c>
      <c r="G755">
        <v>0</v>
      </c>
      <c r="L755" t="s">
        <v>8</v>
      </c>
      <c r="M755" t="s">
        <v>8</v>
      </c>
      <c r="N755" t="s">
        <v>8</v>
      </c>
      <c r="P755">
        <f t="shared" si="999"/>
        <v>-0.61377245508981981</v>
      </c>
      <c r="Q755">
        <f t="shared" si="1000"/>
        <v>-555441.61392215523</v>
      </c>
      <c r="R755">
        <f t="shared" si="1001"/>
        <v>-3782251.1134464871</v>
      </c>
      <c r="S755">
        <f t="shared" si="1002"/>
        <v>-37.822511134464868</v>
      </c>
      <c r="T755">
        <f t="shared" si="1003"/>
        <v>-3.7822511134464866E-2</v>
      </c>
    </row>
    <row r="756" spans="1:20" x14ac:dyDescent="0.25">
      <c r="A756" s="5">
        <v>43837</v>
      </c>
      <c r="B756">
        <v>0.39589999999999997</v>
      </c>
      <c r="C756">
        <v>0.44</v>
      </c>
      <c r="D756">
        <v>0.3931</v>
      </c>
      <c r="E756">
        <v>0.43020000000000003</v>
      </c>
      <c r="F756">
        <v>455357.49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0.58208955223880698</v>
      </c>
      <c r="Q756">
        <f t="shared" si="1000"/>
        <v>265058.83746268705</v>
      </c>
      <c r="R756">
        <f t="shared" si="1001"/>
        <v>-3226809.4995243317</v>
      </c>
      <c r="S756">
        <f t="shared" si="1002"/>
        <v>-32.268094995243317</v>
      </c>
      <c r="T756">
        <f t="shared" si="1003"/>
        <v>-3.2268094995243315E-2</v>
      </c>
    </row>
    <row r="757" spans="1:20" x14ac:dyDescent="0.25">
      <c r="A757" s="5">
        <v>43836</v>
      </c>
      <c r="B757">
        <v>0.40479999999999999</v>
      </c>
      <c r="C757">
        <v>0.40620000000000001</v>
      </c>
      <c r="D757">
        <v>0.38519999999999999</v>
      </c>
      <c r="E757">
        <v>0.39510000000000001</v>
      </c>
      <c r="F757">
        <v>233398.79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-5.7142857142856086E-2</v>
      </c>
      <c r="Q757">
        <f t="shared" si="1000"/>
        <v>-13337.073714285469</v>
      </c>
      <c r="R757">
        <f t="shared" si="1001"/>
        <v>-3491868.3369870186</v>
      </c>
      <c r="S757">
        <f t="shared" si="1002"/>
        <v>-34.918683369870188</v>
      </c>
      <c r="T757">
        <f t="shared" si="1003"/>
        <v>-3.4918683369870189E-2</v>
      </c>
    </row>
    <row r="758" spans="1:20" x14ac:dyDescent="0.25">
      <c r="A758" s="5">
        <v>43835</v>
      </c>
      <c r="B758">
        <v>0.39800000000000002</v>
      </c>
      <c r="C758">
        <v>0.41909999999999997</v>
      </c>
      <c r="D758">
        <v>0.39150000000000001</v>
      </c>
      <c r="E758">
        <v>0.40500000000000003</v>
      </c>
      <c r="F758">
        <v>300453.21999999997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-2.1739130434780249E-2</v>
      </c>
      <c r="Q758">
        <f t="shared" si="1000"/>
        <v>-6531.5917391297253</v>
      </c>
      <c r="R758">
        <f t="shared" si="1001"/>
        <v>-3478531.263272733</v>
      </c>
      <c r="S758">
        <f t="shared" si="1002"/>
        <v>-34.785312632727333</v>
      </c>
      <c r="T758">
        <f t="shared" si="1003"/>
        <v>-3.4785312632727335E-2</v>
      </c>
    </row>
    <row r="759" spans="1:20" x14ac:dyDescent="0.25">
      <c r="A759" s="5">
        <v>43834</v>
      </c>
      <c r="B759">
        <v>0.40410000000000001</v>
      </c>
      <c r="C759">
        <v>0.42549999999999999</v>
      </c>
      <c r="D759">
        <v>0.39119999999999999</v>
      </c>
      <c r="E759">
        <v>0.39810000000000001</v>
      </c>
      <c r="F759">
        <v>293765.19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-0.59766763848396398</v>
      </c>
      <c r="Q759">
        <f t="shared" si="1000"/>
        <v>-175573.94737609298</v>
      </c>
      <c r="R759">
        <f t="shared" si="1001"/>
        <v>-3471999.6715336032</v>
      </c>
      <c r="S759">
        <f t="shared" si="1002"/>
        <v>-34.71999671533603</v>
      </c>
      <c r="T759">
        <f t="shared" si="1003"/>
        <v>-3.4719996715336029E-2</v>
      </c>
    </row>
    <row r="760" spans="1:20" x14ac:dyDescent="0.25">
      <c r="A760" s="5">
        <v>43833</v>
      </c>
      <c r="B760">
        <v>0.37880000000000003</v>
      </c>
      <c r="C760">
        <v>0.41889999999999999</v>
      </c>
      <c r="D760">
        <v>0.36820000000000003</v>
      </c>
      <c r="E760">
        <v>0.40410000000000001</v>
      </c>
      <c r="F760">
        <v>338452.91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0.41617357001972427</v>
      </c>
      <c r="Q760">
        <f t="shared" si="1000"/>
        <v>140855.15583826441</v>
      </c>
      <c r="R760">
        <f t="shared" si="1001"/>
        <v>-3296425.7241575103</v>
      </c>
      <c r="S760">
        <f t="shared" si="1002"/>
        <v>-32.964257241575105</v>
      </c>
      <c r="T760">
        <f t="shared" si="1003"/>
        <v>-3.2964257241575104E-2</v>
      </c>
    </row>
    <row r="761" spans="1:20" x14ac:dyDescent="0.25">
      <c r="A761" s="5">
        <v>43832</v>
      </c>
      <c r="B761">
        <v>0.41770000000000002</v>
      </c>
      <c r="C761">
        <v>0.44009999999999999</v>
      </c>
      <c r="D761">
        <v>0.36959999999999998</v>
      </c>
      <c r="E761">
        <v>0.37640000000000001</v>
      </c>
      <c r="F761">
        <v>542243.23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-0.80709219858155945</v>
      </c>
      <c r="Q761">
        <f t="shared" si="1000"/>
        <v>-437640.28066666622</v>
      </c>
      <c r="R761">
        <f t="shared" si="1001"/>
        <v>-3437280.8799957749</v>
      </c>
      <c r="S761">
        <f t="shared" si="1002"/>
        <v>-34.372808799957753</v>
      </c>
      <c r="T761">
        <f t="shared" si="1003"/>
        <v>-3.4372808799957751E-2</v>
      </c>
    </row>
    <row r="762" spans="1:20" x14ac:dyDescent="0.25">
      <c r="A762" s="5">
        <v>43831</v>
      </c>
      <c r="B762">
        <v>0.41089999999999999</v>
      </c>
      <c r="C762">
        <v>0.4602</v>
      </c>
      <c r="D762">
        <v>0.38590000000000002</v>
      </c>
      <c r="E762">
        <v>0.41770000000000002</v>
      </c>
      <c r="F762">
        <v>1043740.96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-0.14401076716016137</v>
      </c>
      <c r="Q762">
        <f t="shared" si="1000"/>
        <v>-150309.9363660833</v>
      </c>
      <c r="R762">
        <f t="shared" si="1001"/>
        <v>-2999640.5993291088</v>
      </c>
      <c r="S762">
        <f t="shared" si="1002"/>
        <v>-29.996405993291088</v>
      </c>
      <c r="T762">
        <f t="shared" si="1003"/>
        <v>-2.9996405993291089E-2</v>
      </c>
    </row>
    <row r="763" spans="1:20" x14ac:dyDescent="0.25">
      <c r="A763" s="5">
        <v>43830</v>
      </c>
      <c r="B763">
        <v>0.37009999999999998</v>
      </c>
      <c r="C763">
        <v>0.46500000000000002</v>
      </c>
      <c r="D763">
        <v>0.3579</v>
      </c>
      <c r="E763">
        <v>0.40810000000000002</v>
      </c>
      <c r="F763">
        <v>910030.34</v>
      </c>
      <c r="G763">
        <v>0</v>
      </c>
      <c r="L763" t="s">
        <v>8</v>
      </c>
      <c r="M763" t="s">
        <v>8</v>
      </c>
      <c r="N763" t="s">
        <v>7</v>
      </c>
      <c r="P763">
        <f t="shared" si="999"/>
        <v>-6.2558356676003568E-2</v>
      </c>
      <c r="Q763">
        <f t="shared" si="1000"/>
        <v>-56930.002595704798</v>
      </c>
      <c r="R763">
        <f t="shared" si="1001"/>
        <v>-2849330.6629630257</v>
      </c>
      <c r="S763">
        <f t="shared" si="1002"/>
        <v>-28.493306629630258</v>
      </c>
      <c r="T763">
        <f t="shared" si="1003"/>
        <v>-2.8493306629630257E-2</v>
      </c>
    </row>
    <row r="764" spans="1:20" x14ac:dyDescent="0.25">
      <c r="A764" s="5">
        <v>43829</v>
      </c>
      <c r="B764">
        <v>0.38419999999999999</v>
      </c>
      <c r="C764">
        <v>0.38940000000000002</v>
      </c>
      <c r="D764">
        <v>0.37019999999999997</v>
      </c>
      <c r="E764">
        <v>0.37030000000000002</v>
      </c>
      <c r="F764">
        <v>169545.45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-0.98958333333332871</v>
      </c>
      <c r="Q764">
        <f t="shared" si="1000"/>
        <v>-167779.35156249921</v>
      </c>
      <c r="R764">
        <f t="shared" si="1001"/>
        <v>-2792400.6603673208</v>
      </c>
      <c r="S764">
        <f t="shared" si="1002"/>
        <v>-27.924006603673206</v>
      </c>
      <c r="T764">
        <f t="shared" si="1003"/>
        <v>-2.7924006603673206E-2</v>
      </c>
    </row>
    <row r="765" spans="1:20" x14ac:dyDescent="0.25">
      <c r="A765" s="5">
        <v>43828</v>
      </c>
      <c r="B765">
        <v>0.36909999999999998</v>
      </c>
      <c r="C765">
        <v>0.39219999999999999</v>
      </c>
      <c r="D765">
        <v>0.36120000000000002</v>
      </c>
      <c r="E765">
        <v>0.3821</v>
      </c>
      <c r="F765">
        <v>181031.64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0.34838709677419311</v>
      </c>
      <c r="Q765">
        <f t="shared" si="1000"/>
        <v>63069.087483870891</v>
      </c>
      <c r="R765">
        <f t="shared" si="1001"/>
        <v>-2624621.3088048217</v>
      </c>
      <c r="S765">
        <f t="shared" si="1002"/>
        <v>-26.246213088048219</v>
      </c>
      <c r="T765">
        <f t="shared" si="1003"/>
        <v>-2.6246213088048219E-2</v>
      </c>
    </row>
    <row r="766" spans="1:20" x14ac:dyDescent="0.25">
      <c r="A766" s="5">
        <v>43827</v>
      </c>
      <c r="B766">
        <v>0.39710000000000001</v>
      </c>
      <c r="C766">
        <v>0.39710000000000001</v>
      </c>
      <c r="D766">
        <v>0.36</v>
      </c>
      <c r="E766">
        <v>0.36990000000000001</v>
      </c>
      <c r="F766">
        <v>210162.75</v>
      </c>
      <c r="G766">
        <v>0</v>
      </c>
      <c r="L766" t="s">
        <v>8</v>
      </c>
      <c r="M766" t="s">
        <v>7</v>
      </c>
      <c r="N766" t="s">
        <v>7</v>
      </c>
      <c r="P766">
        <f t="shared" si="999"/>
        <v>-0.46630727762803159</v>
      </c>
      <c r="Q766">
        <f t="shared" si="1000"/>
        <v>-98000.419811320593</v>
      </c>
      <c r="R766">
        <f t="shared" si="1001"/>
        <v>-2687690.3962886925</v>
      </c>
      <c r="S766">
        <f t="shared" si="1002"/>
        <v>-26.876903962886924</v>
      </c>
      <c r="T766">
        <f t="shared" si="1003"/>
        <v>-2.6876903962886924E-2</v>
      </c>
    </row>
    <row r="767" spans="1:20" x14ac:dyDescent="0.25">
      <c r="A767" s="5">
        <v>43826</v>
      </c>
      <c r="B767">
        <v>0.3654</v>
      </c>
      <c r="C767">
        <v>0.40760000000000002</v>
      </c>
      <c r="D767">
        <v>0.35460000000000003</v>
      </c>
      <c r="E767">
        <v>0.38979999999999998</v>
      </c>
      <c r="F767">
        <v>137097.87</v>
      </c>
      <c r="G767">
        <v>0</v>
      </c>
      <c r="L767" t="s">
        <v>7</v>
      </c>
      <c r="M767" t="s">
        <v>7</v>
      </c>
      <c r="N767" t="s">
        <v>7</v>
      </c>
      <c r="P767">
        <f t="shared" ref="P767:P810" si="1004">IF(C767=D767,0,((E767-D767)-(C767-E767))/(C767-D767))</f>
        <v>0.32830188679245131</v>
      </c>
      <c r="Q767">
        <f t="shared" ref="Q767:Q810" si="1005">F767*P767</f>
        <v>45009.489396226207</v>
      </c>
      <c r="R767">
        <f t="shared" ref="R767:R810" si="1006">R768+Q767</f>
        <v>-2589689.976477372</v>
      </c>
      <c r="S767">
        <f t="shared" ref="S767:S810" si="1007">R767/100000</f>
        <v>-25.896899764773721</v>
      </c>
      <c r="T767">
        <f t="shared" ref="T767:T810" si="1008">S767/1000</f>
        <v>-2.5896899764773721E-2</v>
      </c>
    </row>
    <row r="768" spans="1:20" x14ac:dyDescent="0.25">
      <c r="A768" s="5">
        <v>43825</v>
      </c>
      <c r="B768">
        <v>0.37630000000000002</v>
      </c>
      <c r="C768">
        <v>0.38040000000000002</v>
      </c>
      <c r="D768">
        <v>0.35899999999999999</v>
      </c>
      <c r="E768">
        <v>0.3639</v>
      </c>
      <c r="F768">
        <v>75876.820000000007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-0.54205607476635431</v>
      </c>
      <c r="Q768">
        <f t="shared" si="1005"/>
        <v>-41129.49121495321</v>
      </c>
      <c r="R768">
        <f t="shared" si="1006"/>
        <v>-2634699.4658735981</v>
      </c>
      <c r="S768">
        <f t="shared" si="1007"/>
        <v>-26.34699465873598</v>
      </c>
      <c r="T768">
        <f t="shared" si="1008"/>
        <v>-2.6346994658735981E-2</v>
      </c>
    </row>
    <row r="769" spans="1:20" x14ac:dyDescent="0.25">
      <c r="A769" s="5">
        <v>43824</v>
      </c>
      <c r="B769">
        <v>0.39040000000000002</v>
      </c>
      <c r="C769">
        <v>0.39040000000000002</v>
      </c>
      <c r="D769">
        <v>0.36609999999999998</v>
      </c>
      <c r="E769">
        <v>0.37640000000000001</v>
      </c>
      <c r="F769">
        <v>64997.24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-0.15226337448559565</v>
      </c>
      <c r="Q769">
        <f t="shared" si="1005"/>
        <v>-9896.6990946501373</v>
      </c>
      <c r="R769">
        <f t="shared" si="1006"/>
        <v>-2593569.9746586448</v>
      </c>
      <c r="S769">
        <f t="shared" si="1007"/>
        <v>-25.935699746586447</v>
      </c>
      <c r="T769">
        <f t="shared" si="1008"/>
        <v>-2.5935699746586448E-2</v>
      </c>
    </row>
    <row r="770" spans="1:20" x14ac:dyDescent="0.25">
      <c r="A770" s="5">
        <v>43823</v>
      </c>
      <c r="B770">
        <v>0.38200000000000001</v>
      </c>
      <c r="C770">
        <v>0.3926</v>
      </c>
      <c r="D770">
        <v>0.38059999999999999</v>
      </c>
      <c r="E770">
        <v>0.38990000000000002</v>
      </c>
      <c r="F770">
        <v>59514.04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0.55000000000000371</v>
      </c>
      <c r="Q770">
        <f t="shared" si="1005"/>
        <v>32732.72200000022</v>
      </c>
      <c r="R770">
        <f t="shared" si="1006"/>
        <v>-2583673.2755639944</v>
      </c>
      <c r="S770">
        <f t="shared" si="1007"/>
        <v>-25.836732755639943</v>
      </c>
      <c r="T770">
        <f t="shared" si="1008"/>
        <v>-2.5836732755639944E-2</v>
      </c>
    </row>
    <row r="771" spans="1:20" x14ac:dyDescent="0.25">
      <c r="A771" s="5">
        <v>43822</v>
      </c>
      <c r="B771">
        <v>0.38900000000000001</v>
      </c>
      <c r="C771">
        <v>0.4168</v>
      </c>
      <c r="D771">
        <v>0.38</v>
      </c>
      <c r="E771">
        <v>0.38579999999999998</v>
      </c>
      <c r="F771">
        <v>222866.92</v>
      </c>
      <c r="G771">
        <v>0</v>
      </c>
      <c r="L771" t="s">
        <v>7</v>
      </c>
      <c r="M771" t="s">
        <v>8</v>
      </c>
      <c r="N771" t="s">
        <v>7</v>
      </c>
      <c r="P771">
        <f t="shared" si="1004"/>
        <v>-0.68478260869565366</v>
      </c>
      <c r="Q771">
        <f t="shared" si="1005"/>
        <v>-152615.39086956557</v>
      </c>
      <c r="R771">
        <f t="shared" si="1006"/>
        <v>-2616405.9975639945</v>
      </c>
      <c r="S771">
        <f t="shared" si="1007"/>
        <v>-26.164059975639944</v>
      </c>
      <c r="T771">
        <f t="shared" si="1008"/>
        <v>-2.6164059975639944E-2</v>
      </c>
    </row>
    <row r="772" spans="1:20" x14ac:dyDescent="0.25">
      <c r="A772" s="5">
        <v>43821</v>
      </c>
      <c r="B772">
        <v>0.40539999999999998</v>
      </c>
      <c r="C772">
        <v>0.41260000000000002</v>
      </c>
      <c r="D772">
        <v>0.3866</v>
      </c>
      <c r="E772">
        <v>0.39140000000000003</v>
      </c>
      <c r="F772">
        <v>202908.14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-0.63076923076922908</v>
      </c>
      <c r="Q772">
        <f t="shared" si="1005"/>
        <v>-127988.21138461505</v>
      </c>
      <c r="R772">
        <f t="shared" si="1006"/>
        <v>-2463790.6066944287</v>
      </c>
      <c r="S772">
        <f t="shared" si="1007"/>
        <v>-24.637906066944286</v>
      </c>
      <c r="T772">
        <f t="shared" si="1008"/>
        <v>-2.4637906066944285E-2</v>
      </c>
    </row>
    <row r="773" spans="1:20" x14ac:dyDescent="0.25">
      <c r="A773" s="5">
        <v>43820</v>
      </c>
      <c r="B773">
        <v>0.43159999999999998</v>
      </c>
      <c r="C773">
        <v>0.45</v>
      </c>
      <c r="D773">
        <v>0.39860000000000001</v>
      </c>
      <c r="E773">
        <v>0.40529999999999999</v>
      </c>
      <c r="F773">
        <v>239182.24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-0.73929961089494223</v>
      </c>
      <c r="Q773">
        <f t="shared" si="1005"/>
        <v>-176827.33696498067</v>
      </c>
      <c r="R773">
        <f t="shared" si="1006"/>
        <v>-2335802.3953098138</v>
      </c>
      <c r="S773">
        <f t="shared" si="1007"/>
        <v>-23.358023953098137</v>
      </c>
      <c r="T773">
        <f t="shared" si="1008"/>
        <v>-2.3358023953098137E-2</v>
      </c>
    </row>
    <row r="774" spans="1:20" x14ac:dyDescent="0.25">
      <c r="A774" s="5">
        <v>43819</v>
      </c>
      <c r="B774">
        <v>0.44540000000000002</v>
      </c>
      <c r="C774">
        <v>0.44600000000000001</v>
      </c>
      <c r="D774">
        <v>0.41170000000000001</v>
      </c>
      <c r="E774">
        <v>0.43140000000000001</v>
      </c>
      <c r="F774">
        <v>343391.45</v>
      </c>
      <c r="G774">
        <v>0</v>
      </c>
      <c r="L774" t="s">
        <v>7</v>
      </c>
      <c r="M774" t="s">
        <v>8</v>
      </c>
      <c r="N774" t="s">
        <v>7</v>
      </c>
      <c r="P774">
        <f t="shared" si="1004"/>
        <v>0.14868804664723015</v>
      </c>
      <c r="Q774">
        <f t="shared" si="1005"/>
        <v>51058.203935860001</v>
      </c>
      <c r="R774">
        <f t="shared" si="1006"/>
        <v>-2158975.0583448331</v>
      </c>
      <c r="S774">
        <f t="shared" si="1007"/>
        <v>-21.589750583448332</v>
      </c>
      <c r="T774">
        <f t="shared" si="1008"/>
        <v>-2.1589750583448333E-2</v>
      </c>
    </row>
    <row r="775" spans="1:20" x14ac:dyDescent="0.25">
      <c r="A775" s="5">
        <v>43818</v>
      </c>
      <c r="B775">
        <v>0.4239</v>
      </c>
      <c r="C775">
        <v>0.44790000000000002</v>
      </c>
      <c r="D775">
        <v>0.39219999999999999</v>
      </c>
      <c r="E775">
        <v>0.44569999999999999</v>
      </c>
      <c r="F775">
        <v>513614.55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0.92100538599640813</v>
      </c>
      <c r="Q775">
        <f t="shared" si="1005"/>
        <v>473041.76687612146</v>
      </c>
      <c r="R775">
        <f t="shared" si="1006"/>
        <v>-2210033.2622806933</v>
      </c>
      <c r="S775">
        <f t="shared" si="1007"/>
        <v>-22.100332622806931</v>
      </c>
      <c r="T775">
        <f t="shared" si="1008"/>
        <v>-2.2100332622806931E-2</v>
      </c>
    </row>
    <row r="776" spans="1:20" x14ac:dyDescent="0.25">
      <c r="A776" s="5">
        <v>43817</v>
      </c>
      <c r="B776">
        <v>0.37159999999999999</v>
      </c>
      <c r="C776">
        <v>0.47120000000000001</v>
      </c>
      <c r="D776">
        <v>0.33989999999999998</v>
      </c>
      <c r="E776">
        <v>0.42380000000000001</v>
      </c>
      <c r="F776">
        <v>677204.45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0.2779893373952782</v>
      </c>
      <c r="Q776">
        <f t="shared" si="1005"/>
        <v>188255.6163366338</v>
      </c>
      <c r="R776">
        <f t="shared" si="1006"/>
        <v>-2683075.0291568148</v>
      </c>
      <c r="S776">
        <f t="shared" si="1007"/>
        <v>-26.830750291568148</v>
      </c>
      <c r="T776">
        <f t="shared" si="1008"/>
        <v>-2.6830750291568149E-2</v>
      </c>
    </row>
    <row r="777" spans="1:20" x14ac:dyDescent="0.25">
      <c r="A777" s="5">
        <v>43816</v>
      </c>
      <c r="B777">
        <v>0.41499999999999998</v>
      </c>
      <c r="C777">
        <v>0.41949999999999998</v>
      </c>
      <c r="D777">
        <v>0.35310000000000002</v>
      </c>
      <c r="E777">
        <v>0.36730000000000002</v>
      </c>
      <c r="F777">
        <v>478214.3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-0.57228915662650603</v>
      </c>
      <c r="Q777">
        <f t="shared" si="1005"/>
        <v>-273676.85843373492</v>
      </c>
      <c r="R777">
        <f t="shared" si="1006"/>
        <v>-2871330.6454934487</v>
      </c>
      <c r="S777">
        <f t="shared" si="1007"/>
        <v>-28.713306454934486</v>
      </c>
      <c r="T777">
        <f t="shared" si="1008"/>
        <v>-2.8713306454934487E-2</v>
      </c>
    </row>
    <row r="778" spans="1:20" x14ac:dyDescent="0.25">
      <c r="A778" s="5">
        <v>43815</v>
      </c>
      <c r="B778">
        <v>0.46079999999999999</v>
      </c>
      <c r="C778">
        <v>0.47899999999999998</v>
      </c>
      <c r="D778">
        <v>0.41110000000000002</v>
      </c>
      <c r="E778">
        <v>0.41880000000000001</v>
      </c>
      <c r="F778">
        <v>327002.13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-0.77319587628866016</v>
      </c>
      <c r="Q778">
        <f t="shared" si="1005"/>
        <v>-252836.69845360838</v>
      </c>
      <c r="R778">
        <f t="shared" si="1006"/>
        <v>-2597653.7870597136</v>
      </c>
      <c r="S778">
        <f t="shared" si="1007"/>
        <v>-25.976537870597138</v>
      </c>
      <c r="T778">
        <f t="shared" si="1008"/>
        <v>-2.5976537870597137E-2</v>
      </c>
    </row>
    <row r="779" spans="1:20" x14ac:dyDescent="0.25">
      <c r="A779" s="5">
        <v>43814</v>
      </c>
      <c r="B779">
        <v>0.4672</v>
      </c>
      <c r="C779">
        <v>0.49590000000000001</v>
      </c>
      <c r="D779">
        <v>0.44800000000000001</v>
      </c>
      <c r="E779">
        <v>0.46110000000000001</v>
      </c>
      <c r="F779">
        <v>396393.84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-0.45302713987473897</v>
      </c>
      <c r="Q779">
        <f t="shared" si="1005"/>
        <v>-179577.16759916491</v>
      </c>
      <c r="R779">
        <f t="shared" si="1006"/>
        <v>-2344817.0886061052</v>
      </c>
      <c r="S779">
        <f t="shared" si="1007"/>
        <v>-23.448170886061053</v>
      </c>
      <c r="T779">
        <f t="shared" si="1008"/>
        <v>-2.3448170886061052E-2</v>
      </c>
    </row>
    <row r="780" spans="1:20" x14ac:dyDescent="0.25">
      <c r="A780" s="5">
        <v>43813</v>
      </c>
      <c r="B780">
        <v>0.52890000000000004</v>
      </c>
      <c r="C780">
        <v>0.54469999999999996</v>
      </c>
      <c r="D780">
        <v>0.46610000000000001</v>
      </c>
      <c r="E780">
        <v>0.47149999999999997</v>
      </c>
      <c r="F780">
        <v>516178.61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-0.86259541984732913</v>
      </c>
      <c r="Q780">
        <f t="shared" si="1005"/>
        <v>-445253.30480916076</v>
      </c>
      <c r="R780">
        <f t="shared" si="1006"/>
        <v>-2165239.9210069403</v>
      </c>
      <c r="S780">
        <f t="shared" si="1007"/>
        <v>-21.652399210069404</v>
      </c>
      <c r="T780">
        <f t="shared" si="1008"/>
        <v>-2.1652399210069406E-2</v>
      </c>
    </row>
    <row r="781" spans="1:20" x14ac:dyDescent="0.25">
      <c r="A781" s="5">
        <v>43812</v>
      </c>
      <c r="B781">
        <v>0.60070000000000001</v>
      </c>
      <c r="C781">
        <v>0.62009999999999998</v>
      </c>
      <c r="D781">
        <v>0.51629999999999998</v>
      </c>
      <c r="E781">
        <v>0.52890000000000004</v>
      </c>
      <c r="F781">
        <v>999701.94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-0.75722543352601046</v>
      </c>
      <c r="Q781">
        <f t="shared" si="1005"/>
        <v>-756999.73491329362</v>
      </c>
      <c r="R781">
        <f t="shared" si="1006"/>
        <v>-1719986.6161977798</v>
      </c>
      <c r="S781">
        <f t="shared" si="1007"/>
        <v>-17.199866161977798</v>
      </c>
      <c r="T781">
        <f t="shared" si="1008"/>
        <v>-1.7199866161977797E-2</v>
      </c>
    </row>
    <row r="782" spans="1:20" x14ac:dyDescent="0.25">
      <c r="A782" s="5">
        <v>43811</v>
      </c>
      <c r="B782">
        <v>0.55000000000000004</v>
      </c>
      <c r="C782">
        <v>0.61499999999999999</v>
      </c>
      <c r="D782">
        <v>0.53349999999999997</v>
      </c>
      <c r="E782">
        <v>0.60729999999999995</v>
      </c>
      <c r="F782">
        <v>325188.13</v>
      </c>
      <c r="G782">
        <v>0</v>
      </c>
      <c r="L782" t="s">
        <v>8</v>
      </c>
      <c r="M782" t="s">
        <v>8</v>
      </c>
      <c r="N782" t="s">
        <v>7</v>
      </c>
      <c r="P782">
        <f t="shared" si="1004"/>
        <v>0.81104294478527517</v>
      </c>
      <c r="Q782">
        <f t="shared" si="1005"/>
        <v>263741.53856441687</v>
      </c>
      <c r="R782">
        <f t="shared" si="1006"/>
        <v>-962986.88128448604</v>
      </c>
      <c r="S782">
        <f t="shared" si="1007"/>
        <v>-9.62986881284486</v>
      </c>
      <c r="T782">
        <f t="shared" si="1008"/>
        <v>-9.6298688128448606E-3</v>
      </c>
    </row>
    <row r="783" spans="1:20" x14ac:dyDescent="0.25">
      <c r="A783" s="5">
        <v>43810</v>
      </c>
      <c r="B783">
        <v>0.53759999999999997</v>
      </c>
      <c r="C783">
        <v>0.56459999999999999</v>
      </c>
      <c r="D783">
        <v>0.53269999999999995</v>
      </c>
      <c r="E783">
        <v>0.55100000000000005</v>
      </c>
      <c r="F783">
        <v>167219.68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0.14733542319749662</v>
      </c>
      <c r="Q783">
        <f t="shared" si="1005"/>
        <v>24637.382319749962</v>
      </c>
      <c r="R783">
        <f t="shared" si="1006"/>
        <v>-1226728.4198489028</v>
      </c>
      <c r="S783">
        <f t="shared" si="1007"/>
        <v>-12.267284198489028</v>
      </c>
      <c r="T783">
        <f t="shared" si="1008"/>
        <v>-1.2267284198489027E-2</v>
      </c>
    </row>
    <row r="784" spans="1:20" x14ac:dyDescent="0.25">
      <c r="A784" s="5">
        <v>43809</v>
      </c>
      <c r="B784">
        <v>0.56310000000000004</v>
      </c>
      <c r="C784">
        <v>0.56789999999999996</v>
      </c>
      <c r="D784">
        <v>0.5</v>
      </c>
      <c r="E784">
        <v>0.53739999999999999</v>
      </c>
      <c r="F784">
        <v>320735.34000000003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0.10162002945508132</v>
      </c>
      <c r="Q784">
        <f t="shared" si="1005"/>
        <v>32593.134698085523</v>
      </c>
      <c r="R784">
        <f t="shared" si="1006"/>
        <v>-1251365.8021686529</v>
      </c>
      <c r="S784">
        <f t="shared" si="1007"/>
        <v>-12.513658021686529</v>
      </c>
      <c r="T784">
        <f t="shared" si="1008"/>
        <v>-1.251365802168653E-2</v>
      </c>
    </row>
    <row r="785" spans="1:20" x14ac:dyDescent="0.25">
      <c r="A785" s="5">
        <v>43808</v>
      </c>
      <c r="B785">
        <v>0.61180000000000001</v>
      </c>
      <c r="C785">
        <v>0.62509999999999999</v>
      </c>
      <c r="D785">
        <v>0.55000000000000004</v>
      </c>
      <c r="E785">
        <v>0.56479999999999997</v>
      </c>
      <c r="F785">
        <v>375412.12</v>
      </c>
      <c r="G785">
        <v>0</v>
      </c>
      <c r="L785" t="s">
        <v>7</v>
      </c>
      <c r="M785" t="s">
        <v>7</v>
      </c>
      <c r="N785" t="s">
        <v>8</v>
      </c>
      <c r="P785">
        <f t="shared" si="1004"/>
        <v>-0.60585885486018809</v>
      </c>
      <c r="Q785">
        <f t="shared" si="1005"/>
        <v>-227446.7571238355</v>
      </c>
      <c r="R785">
        <f t="shared" si="1006"/>
        <v>-1283958.9368667384</v>
      </c>
      <c r="S785">
        <f t="shared" si="1007"/>
        <v>-12.839589368667383</v>
      </c>
      <c r="T785">
        <f t="shared" si="1008"/>
        <v>-1.2839589368667383E-2</v>
      </c>
    </row>
    <row r="786" spans="1:20" x14ac:dyDescent="0.25">
      <c r="A786" s="5">
        <v>43807</v>
      </c>
      <c r="B786">
        <v>0.54330000000000001</v>
      </c>
      <c r="C786">
        <v>0.71850000000000003</v>
      </c>
      <c r="D786">
        <v>0.53269999999999995</v>
      </c>
      <c r="E786">
        <v>0.60750000000000004</v>
      </c>
      <c r="F786">
        <v>705817.49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-0.19483315392895525</v>
      </c>
      <c r="Q786">
        <f t="shared" si="1005"/>
        <v>-137516.64767491884</v>
      </c>
      <c r="R786">
        <f t="shared" si="1006"/>
        <v>-1056512.179742903</v>
      </c>
      <c r="S786">
        <f t="shared" si="1007"/>
        <v>-10.565121797429029</v>
      </c>
      <c r="T786">
        <f t="shared" si="1008"/>
        <v>-1.0565121797429029E-2</v>
      </c>
    </row>
    <row r="787" spans="1:20" x14ac:dyDescent="0.25">
      <c r="A787" s="5">
        <v>43806</v>
      </c>
      <c r="B787">
        <v>0.5444</v>
      </c>
      <c r="C787">
        <v>0.55000000000000004</v>
      </c>
      <c r="D787">
        <v>0.53090000000000004</v>
      </c>
      <c r="E787">
        <v>0.54449999999999998</v>
      </c>
      <c r="F787">
        <v>93000.48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0.42408376963350169</v>
      </c>
      <c r="Q787">
        <f t="shared" si="1005"/>
        <v>39439.994136125082</v>
      </c>
      <c r="R787">
        <f t="shared" si="1006"/>
        <v>-918995.53206798423</v>
      </c>
      <c r="S787">
        <f t="shared" si="1007"/>
        <v>-9.189955320679843</v>
      </c>
      <c r="T787">
        <f t="shared" si="1008"/>
        <v>-9.1899553206798434E-3</v>
      </c>
    </row>
    <row r="788" spans="1:20" x14ac:dyDescent="0.25">
      <c r="A788" s="5">
        <v>43805</v>
      </c>
      <c r="B788">
        <v>0.54359999999999997</v>
      </c>
      <c r="C788">
        <v>0.5514</v>
      </c>
      <c r="D788">
        <v>0.50600000000000001</v>
      </c>
      <c r="E788">
        <v>0.54449999999999998</v>
      </c>
      <c r="F788">
        <v>303154.74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0.69603524229074809</v>
      </c>
      <c r="Q788">
        <f t="shared" si="1005"/>
        <v>211006.38290748873</v>
      </c>
      <c r="R788">
        <f t="shared" si="1006"/>
        <v>-958435.52620410931</v>
      </c>
      <c r="S788">
        <f t="shared" si="1007"/>
        <v>-9.5843552620410932</v>
      </c>
      <c r="T788">
        <f t="shared" si="1008"/>
        <v>-9.5843552620410929E-3</v>
      </c>
    </row>
    <row r="789" spans="1:20" x14ac:dyDescent="0.25">
      <c r="A789" s="5">
        <v>43804</v>
      </c>
      <c r="B789">
        <v>0.52780000000000005</v>
      </c>
      <c r="C789">
        <v>0.56940000000000002</v>
      </c>
      <c r="D789">
        <v>0.52</v>
      </c>
      <c r="E789">
        <v>0.53969999999999996</v>
      </c>
      <c r="F789">
        <v>233118.09</v>
      </c>
      <c r="G789">
        <v>0</v>
      </c>
      <c r="L789" t="s">
        <v>8</v>
      </c>
      <c r="M789" t="s">
        <v>7</v>
      </c>
      <c r="N789" t="s">
        <v>7</v>
      </c>
      <c r="P789">
        <f t="shared" si="1004"/>
        <v>-0.20242914979757329</v>
      </c>
      <c r="Q789">
        <f t="shared" si="1005"/>
        <v>-47189.896761134172</v>
      </c>
      <c r="R789">
        <f t="shared" si="1006"/>
        <v>-1169441.909111598</v>
      </c>
      <c r="S789">
        <f t="shared" si="1007"/>
        <v>-11.69441909111598</v>
      </c>
      <c r="T789">
        <f t="shared" si="1008"/>
        <v>-1.169441909111598E-2</v>
      </c>
    </row>
    <row r="790" spans="1:20" x14ac:dyDescent="0.25">
      <c r="A790" s="5">
        <v>43803</v>
      </c>
      <c r="B790">
        <v>0.53700000000000003</v>
      </c>
      <c r="C790">
        <v>0.57240000000000002</v>
      </c>
      <c r="D790">
        <v>0.50549999999999995</v>
      </c>
      <c r="E790">
        <v>0.52229999999999999</v>
      </c>
      <c r="F790">
        <v>398536.28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-0.49775784753363173</v>
      </c>
      <c r="Q790">
        <f t="shared" si="1005"/>
        <v>-198374.56089686078</v>
      </c>
      <c r="R790">
        <f t="shared" si="1006"/>
        <v>-1122252.0123504638</v>
      </c>
      <c r="S790">
        <f t="shared" si="1007"/>
        <v>-11.222520123504637</v>
      </c>
      <c r="T790">
        <f t="shared" si="1008"/>
        <v>-1.1222520123504637E-2</v>
      </c>
    </row>
    <row r="791" spans="1:20" x14ac:dyDescent="0.25">
      <c r="A791" s="5">
        <v>43802</v>
      </c>
      <c r="B791">
        <v>0.57250000000000001</v>
      </c>
      <c r="C791">
        <v>0.59989999999999999</v>
      </c>
      <c r="D791">
        <v>0.53239999999999998</v>
      </c>
      <c r="E791">
        <v>0.54059999999999997</v>
      </c>
      <c r="F791">
        <v>574881.21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-0.75703703703703751</v>
      </c>
      <c r="Q791">
        <f t="shared" si="1005"/>
        <v>-435206.36786666693</v>
      </c>
      <c r="R791">
        <f t="shared" si="1006"/>
        <v>-923877.45145360287</v>
      </c>
      <c r="S791">
        <f t="shared" si="1007"/>
        <v>-9.2387745145360292</v>
      </c>
      <c r="T791">
        <f t="shared" si="1008"/>
        <v>-9.2387745145360283E-3</v>
      </c>
    </row>
    <row r="792" spans="1:20" x14ac:dyDescent="0.25">
      <c r="A792" s="5">
        <v>43801</v>
      </c>
      <c r="B792">
        <v>0.61429999999999996</v>
      </c>
      <c r="C792">
        <v>0.65</v>
      </c>
      <c r="D792">
        <v>0.55000000000000004</v>
      </c>
      <c r="E792">
        <v>0.57530000000000003</v>
      </c>
      <c r="F792">
        <v>434614.5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-0.49400000000000011</v>
      </c>
      <c r="Q792">
        <f t="shared" si="1005"/>
        <v>-214699.56300000005</v>
      </c>
      <c r="R792">
        <f t="shared" si="1006"/>
        <v>-488671.08358693589</v>
      </c>
      <c r="S792">
        <f t="shared" si="1007"/>
        <v>-4.8867108358693585</v>
      </c>
      <c r="T792">
        <f t="shared" si="1008"/>
        <v>-4.8867108358693588E-3</v>
      </c>
    </row>
    <row r="793" spans="1:20" x14ac:dyDescent="0.25">
      <c r="A793" s="5">
        <v>43800</v>
      </c>
      <c r="B793">
        <v>0.68379999999999996</v>
      </c>
      <c r="C793">
        <v>0.68379999999999996</v>
      </c>
      <c r="D793">
        <v>0.61</v>
      </c>
      <c r="E793">
        <v>0.61419999999999997</v>
      </c>
      <c r="F793">
        <v>235639.3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-0.88617886178861838</v>
      </c>
      <c r="Q793">
        <f t="shared" si="1005"/>
        <v>-208818.56666666677</v>
      </c>
      <c r="R793">
        <f t="shared" si="1006"/>
        <v>-273971.5205869358</v>
      </c>
      <c r="S793">
        <f t="shared" si="1007"/>
        <v>-2.7397152058693579</v>
      </c>
      <c r="T793">
        <f t="shared" si="1008"/>
        <v>-2.7397152058693578E-3</v>
      </c>
    </row>
    <row r="794" spans="1:20" x14ac:dyDescent="0.25">
      <c r="A794" s="5">
        <v>43799</v>
      </c>
      <c r="B794">
        <v>0.70589999999999997</v>
      </c>
      <c r="C794">
        <v>0.71030000000000004</v>
      </c>
      <c r="D794">
        <v>0.66039999999999999</v>
      </c>
      <c r="E794">
        <v>0.68279999999999996</v>
      </c>
      <c r="F794">
        <v>79213.66</v>
      </c>
      <c r="G794">
        <v>0</v>
      </c>
      <c r="L794" t="s">
        <v>8</v>
      </c>
      <c r="M794" t="s">
        <v>8</v>
      </c>
      <c r="N794" t="s">
        <v>7</v>
      </c>
      <c r="P794">
        <f t="shared" si="1004"/>
        <v>-0.10220440881763725</v>
      </c>
      <c r="Q794">
        <f t="shared" si="1005"/>
        <v>-8095.9852905813195</v>
      </c>
      <c r="R794">
        <f t="shared" si="1006"/>
        <v>-65152.95392026905</v>
      </c>
      <c r="S794">
        <f t="shared" si="1007"/>
        <v>-0.65152953920269052</v>
      </c>
      <c r="T794">
        <f t="shared" si="1008"/>
        <v>-6.515295392026905E-4</v>
      </c>
    </row>
    <row r="795" spans="1:20" x14ac:dyDescent="0.25">
      <c r="A795" s="5">
        <v>43798</v>
      </c>
      <c r="B795">
        <v>0.66720000000000002</v>
      </c>
      <c r="C795">
        <v>0.7258</v>
      </c>
      <c r="D795">
        <v>0.53320000000000001</v>
      </c>
      <c r="E795">
        <v>0.70589999999999997</v>
      </c>
      <c r="F795">
        <v>274153.99</v>
      </c>
      <c r="G795">
        <v>0</v>
      </c>
      <c r="L795" t="s">
        <v>7</v>
      </c>
      <c r="M795" t="s">
        <v>7</v>
      </c>
      <c r="N795" t="s">
        <v>7</v>
      </c>
      <c r="P795">
        <f t="shared" si="1004"/>
        <v>0.7933541017653164</v>
      </c>
      <c r="Q795">
        <f t="shared" si="1005"/>
        <v>217501.19248182751</v>
      </c>
      <c r="R795">
        <f t="shared" si="1006"/>
        <v>-57056.968629687733</v>
      </c>
      <c r="S795">
        <f t="shared" si="1007"/>
        <v>-0.57056968629687732</v>
      </c>
      <c r="T795">
        <f t="shared" si="1008"/>
        <v>-5.7056968629687734E-4</v>
      </c>
    </row>
    <row r="796" spans="1:20" x14ac:dyDescent="0.25">
      <c r="A796" s="5">
        <v>43797</v>
      </c>
      <c r="B796">
        <v>0.64</v>
      </c>
      <c r="C796">
        <v>0.72489999999999999</v>
      </c>
      <c r="D796">
        <v>0.64</v>
      </c>
      <c r="E796">
        <v>0.67449999999999999</v>
      </c>
      <c r="F796">
        <v>394079.66</v>
      </c>
      <c r="G796">
        <v>0</v>
      </c>
      <c r="L796" t="s">
        <v>8</v>
      </c>
      <c r="M796" t="s">
        <v>8</v>
      </c>
      <c r="N796" t="s">
        <v>8</v>
      </c>
      <c r="P796">
        <f t="shared" si="1004"/>
        <v>-0.18727915194346326</v>
      </c>
      <c r="Q796">
        <f t="shared" si="1005"/>
        <v>-73802.90452296834</v>
      </c>
      <c r="R796">
        <f t="shared" si="1006"/>
        <v>-274558.16111151525</v>
      </c>
      <c r="S796">
        <f t="shared" si="1007"/>
        <v>-2.7455816111151523</v>
      </c>
      <c r="T796">
        <f t="shared" si="1008"/>
        <v>-2.7455816111151524E-3</v>
      </c>
    </row>
    <row r="797" spans="1:20" x14ac:dyDescent="0.25">
      <c r="A797" s="5">
        <v>43796</v>
      </c>
      <c r="B797">
        <v>0.65790000000000004</v>
      </c>
      <c r="C797">
        <v>0.67900000000000005</v>
      </c>
      <c r="D797">
        <v>0.60009999999999997</v>
      </c>
      <c r="E797">
        <v>0.64</v>
      </c>
      <c r="F797">
        <v>441998.64</v>
      </c>
      <c r="G797">
        <v>0</v>
      </c>
      <c r="L797" t="s">
        <v>7</v>
      </c>
      <c r="M797" t="s">
        <v>7</v>
      </c>
      <c r="N797" t="s">
        <v>8</v>
      </c>
      <c r="P797">
        <f t="shared" si="1004"/>
        <v>1.1406844106464017E-2</v>
      </c>
      <c r="Q797">
        <f t="shared" si="1005"/>
        <v>5041.8095817491112</v>
      </c>
      <c r="R797">
        <f t="shared" si="1006"/>
        <v>-200755.25658854691</v>
      </c>
      <c r="S797">
        <f t="shared" si="1007"/>
        <v>-2.0075525658854692</v>
      </c>
      <c r="T797">
        <f t="shared" si="1008"/>
        <v>-2.0075525658854692E-3</v>
      </c>
    </row>
    <row r="798" spans="1:20" x14ac:dyDescent="0.25">
      <c r="A798" s="5">
        <v>43795</v>
      </c>
      <c r="B798">
        <v>0.66279999999999994</v>
      </c>
      <c r="C798">
        <v>0.69910000000000005</v>
      </c>
      <c r="D798">
        <v>0.6472</v>
      </c>
      <c r="E798">
        <v>0.65129999999999999</v>
      </c>
      <c r="F798">
        <v>191658.27</v>
      </c>
      <c r="G798">
        <v>0</v>
      </c>
      <c r="L798" t="s">
        <v>8</v>
      </c>
      <c r="M798" t="s">
        <v>7</v>
      </c>
      <c r="N798" t="s">
        <v>8</v>
      </c>
      <c r="P798">
        <f t="shared" si="1004"/>
        <v>-0.84200385356454766</v>
      </c>
      <c r="Q798">
        <f t="shared" si="1005"/>
        <v>-161377.00190751452</v>
      </c>
      <c r="R798">
        <f t="shared" si="1006"/>
        <v>-205797.06617029602</v>
      </c>
      <c r="S798">
        <f t="shared" si="1007"/>
        <v>-2.0579706617029601</v>
      </c>
      <c r="T798">
        <f t="shared" si="1008"/>
        <v>-2.0579706617029599E-3</v>
      </c>
    </row>
    <row r="799" spans="1:20" x14ac:dyDescent="0.25">
      <c r="A799" s="5">
        <v>43794</v>
      </c>
      <c r="B799">
        <v>0.66459999999999997</v>
      </c>
      <c r="C799">
        <v>0.72970000000000002</v>
      </c>
      <c r="D799">
        <v>0.62050000000000005</v>
      </c>
      <c r="E799">
        <v>0.66279999999999994</v>
      </c>
      <c r="F799">
        <v>345679.17</v>
      </c>
      <c r="G799">
        <v>0</v>
      </c>
      <c r="L799" t="s">
        <v>7</v>
      </c>
      <c r="M799" t="s">
        <v>7</v>
      </c>
      <c r="N799" t="s">
        <v>8</v>
      </c>
      <c r="P799">
        <f t="shared" si="1004"/>
        <v>-0.22527472527472697</v>
      </c>
      <c r="Q799">
        <f t="shared" si="1005"/>
        <v>-77872.780054945644</v>
      </c>
      <c r="R799">
        <f t="shared" si="1006"/>
        <v>-44420.064262781496</v>
      </c>
      <c r="S799">
        <f t="shared" si="1007"/>
        <v>-0.44420064262781495</v>
      </c>
      <c r="T799">
        <f t="shared" si="1008"/>
        <v>-4.4420064262781496E-4</v>
      </c>
    </row>
    <row r="800" spans="1:20" x14ac:dyDescent="0.25">
      <c r="A800" s="5">
        <v>43793</v>
      </c>
      <c r="B800">
        <v>0.74450000000000005</v>
      </c>
      <c r="C800">
        <v>0.74990000000000001</v>
      </c>
      <c r="D800">
        <v>0.64839999999999998</v>
      </c>
      <c r="E800">
        <v>0.66490000000000005</v>
      </c>
      <c r="F800">
        <v>317058.03999999998</v>
      </c>
      <c r="G800">
        <v>0</v>
      </c>
      <c r="L800" t="s">
        <v>7</v>
      </c>
      <c r="M800" t="s">
        <v>8</v>
      </c>
      <c r="N800" t="s">
        <v>8</v>
      </c>
      <c r="P800">
        <f t="shared" si="1004"/>
        <v>-0.67487684729063913</v>
      </c>
      <c r="Q800">
        <f t="shared" si="1005"/>
        <v>-213975.13044334934</v>
      </c>
      <c r="R800">
        <f t="shared" si="1006"/>
        <v>33452.715792164148</v>
      </c>
      <c r="S800">
        <f t="shared" si="1007"/>
        <v>0.3345271579216415</v>
      </c>
      <c r="T800">
        <f t="shared" si="1008"/>
        <v>3.3452715792164152E-4</v>
      </c>
    </row>
    <row r="801" spans="1:20" x14ac:dyDescent="0.25">
      <c r="A801" s="5">
        <v>43792</v>
      </c>
      <c r="B801">
        <v>0.65469999999999995</v>
      </c>
      <c r="C801">
        <v>0.77500000000000002</v>
      </c>
      <c r="D801">
        <v>0.62450000000000006</v>
      </c>
      <c r="E801">
        <v>0.74580000000000002</v>
      </c>
      <c r="F801">
        <v>723083.39</v>
      </c>
      <c r="G801">
        <v>0</v>
      </c>
      <c r="L801" t="s">
        <v>8</v>
      </c>
      <c r="M801" t="s">
        <v>8</v>
      </c>
      <c r="N801" t="s">
        <v>8</v>
      </c>
      <c r="P801">
        <f t="shared" si="1004"/>
        <v>0.61196013289036533</v>
      </c>
      <c r="Q801">
        <f t="shared" si="1005"/>
        <v>442498.20743521588</v>
      </c>
      <c r="R801">
        <f t="shared" si="1006"/>
        <v>247427.84623551348</v>
      </c>
      <c r="S801">
        <f t="shared" si="1007"/>
        <v>2.474278462355135</v>
      </c>
      <c r="T801">
        <f t="shared" si="1008"/>
        <v>2.474278462355135E-3</v>
      </c>
    </row>
    <row r="802" spans="1:20" x14ac:dyDescent="0.25">
      <c r="A802" s="5">
        <v>43791</v>
      </c>
      <c r="B802">
        <v>0.65500000000000003</v>
      </c>
      <c r="C802">
        <v>0.7177</v>
      </c>
      <c r="D802">
        <v>0.52690000000000003</v>
      </c>
      <c r="E802">
        <v>0.65529999999999999</v>
      </c>
      <c r="F802">
        <v>561280.06999999995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0.34591194968553435</v>
      </c>
      <c r="Q802">
        <f t="shared" si="1005"/>
        <v>194153.48333333319</v>
      </c>
      <c r="R802">
        <f t="shared" si="1006"/>
        <v>-195070.3611997024</v>
      </c>
      <c r="S802">
        <f t="shared" si="1007"/>
        <v>-1.950703611997024</v>
      </c>
      <c r="T802">
        <f t="shared" si="1008"/>
        <v>-1.9507036119970241E-3</v>
      </c>
    </row>
    <row r="803" spans="1:20" x14ac:dyDescent="0.25">
      <c r="A803" s="5">
        <v>43790</v>
      </c>
      <c r="B803">
        <v>0.74099999999999999</v>
      </c>
      <c r="C803">
        <v>0.76070000000000004</v>
      </c>
      <c r="D803">
        <v>0.61870000000000003</v>
      </c>
      <c r="E803">
        <v>0.65759999999999996</v>
      </c>
      <c r="F803">
        <v>290594.95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-0.45211267605633898</v>
      </c>
      <c r="Q803">
        <f t="shared" si="1005"/>
        <v>-131381.66049295804</v>
      </c>
      <c r="R803">
        <f t="shared" si="1006"/>
        <v>-389223.84453303559</v>
      </c>
      <c r="S803">
        <f t="shared" si="1007"/>
        <v>-3.892238445330356</v>
      </c>
      <c r="T803">
        <f t="shared" si="1008"/>
        <v>-3.892238445330356E-3</v>
      </c>
    </row>
    <row r="804" spans="1:20" x14ac:dyDescent="0.25">
      <c r="A804" s="5">
        <v>43789</v>
      </c>
      <c r="B804">
        <v>0.72519999999999996</v>
      </c>
      <c r="C804">
        <v>0.77300000000000002</v>
      </c>
      <c r="D804">
        <v>0.66</v>
      </c>
      <c r="E804">
        <v>0.74099999999999999</v>
      </c>
      <c r="F804">
        <v>366385.65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0.43362831858407025</v>
      </c>
      <c r="Q804">
        <f t="shared" si="1005"/>
        <v>158875.19336283166</v>
      </c>
      <c r="R804">
        <f t="shared" si="1006"/>
        <v>-257842.18404007755</v>
      </c>
      <c r="S804">
        <f t="shared" si="1007"/>
        <v>-2.5784218404007757</v>
      </c>
      <c r="T804">
        <f t="shared" si="1008"/>
        <v>-2.5784218404007759E-3</v>
      </c>
    </row>
    <row r="805" spans="1:20" x14ac:dyDescent="0.25">
      <c r="A805" s="5">
        <v>43788</v>
      </c>
      <c r="B805">
        <v>0.77210000000000001</v>
      </c>
      <c r="C805">
        <v>0.79369999999999996</v>
      </c>
      <c r="D805">
        <v>0.70450000000000002</v>
      </c>
      <c r="E805">
        <v>0.72519999999999996</v>
      </c>
      <c r="F805">
        <v>275343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-0.53587443946188451</v>
      </c>
      <c r="Q805">
        <f t="shared" si="1005"/>
        <v>-147549.27578475367</v>
      </c>
      <c r="R805">
        <f t="shared" si="1006"/>
        <v>-416717.37740290922</v>
      </c>
      <c r="S805">
        <f t="shared" si="1007"/>
        <v>-4.1671737740290924</v>
      </c>
      <c r="T805">
        <f t="shared" si="1008"/>
        <v>-4.1671737740290923E-3</v>
      </c>
    </row>
    <row r="806" spans="1:20" x14ac:dyDescent="0.25">
      <c r="A806" s="5">
        <v>43787</v>
      </c>
      <c r="B806">
        <v>0.81599999999999995</v>
      </c>
      <c r="C806">
        <v>0.84809999999999997</v>
      </c>
      <c r="D806">
        <v>0.74</v>
      </c>
      <c r="E806">
        <v>0.77300000000000002</v>
      </c>
      <c r="F806">
        <v>429545.61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-0.38945420906567924</v>
      </c>
      <c r="Q806">
        <f t="shared" si="1005"/>
        <v>-167288.3458001847</v>
      </c>
      <c r="R806">
        <f t="shared" si="1006"/>
        <v>-269168.10161815555</v>
      </c>
      <c r="S806">
        <f t="shared" si="1007"/>
        <v>-2.6916810161815556</v>
      </c>
      <c r="T806">
        <f t="shared" si="1008"/>
        <v>-2.6916810161815557E-3</v>
      </c>
    </row>
    <row r="807" spans="1:20" x14ac:dyDescent="0.25">
      <c r="A807" s="5">
        <v>43786</v>
      </c>
      <c r="B807">
        <v>0.76490000000000002</v>
      </c>
      <c r="C807">
        <v>0.91</v>
      </c>
      <c r="D807">
        <v>0.74560000000000004</v>
      </c>
      <c r="E807">
        <v>0.81589999999999996</v>
      </c>
      <c r="F807">
        <v>437981.52</v>
      </c>
      <c r="G807">
        <v>0</v>
      </c>
      <c r="L807" t="s">
        <v>8</v>
      </c>
      <c r="M807" t="s">
        <v>8</v>
      </c>
      <c r="N807" t="s">
        <v>7</v>
      </c>
      <c r="P807">
        <f t="shared" si="1004"/>
        <v>-0.1447688564476895</v>
      </c>
      <c r="Q807">
        <f t="shared" si="1005"/>
        <v>-63406.083795620849</v>
      </c>
      <c r="R807">
        <f t="shared" si="1006"/>
        <v>-101879.75581797084</v>
      </c>
      <c r="S807">
        <f t="shared" si="1007"/>
        <v>-1.0187975581797084</v>
      </c>
      <c r="T807">
        <f t="shared" si="1008"/>
        <v>-1.0187975581797085E-3</v>
      </c>
    </row>
    <row r="808" spans="1:20" x14ac:dyDescent="0.25">
      <c r="A808" s="5">
        <v>43785</v>
      </c>
      <c r="B808">
        <v>0.7036</v>
      </c>
      <c r="C808">
        <v>0.78469999999999995</v>
      </c>
      <c r="D808">
        <v>0.69369999999999998</v>
      </c>
      <c r="E808">
        <v>0.75760000000000005</v>
      </c>
      <c r="F808">
        <v>205524.61</v>
      </c>
      <c r="G808">
        <v>0</v>
      </c>
      <c r="L808" t="s">
        <v>8</v>
      </c>
      <c r="M808" t="s">
        <v>7</v>
      </c>
      <c r="N808" t="s">
        <v>7</v>
      </c>
      <c r="P808">
        <f t="shared" si="1004"/>
        <v>0.40439560439560635</v>
      </c>
      <c r="Q808">
        <f t="shared" si="1005"/>
        <v>83113.248879121267</v>
      </c>
      <c r="R808">
        <f t="shared" si="1006"/>
        <v>-38473.672022349987</v>
      </c>
      <c r="S808">
        <f t="shared" si="1007"/>
        <v>-0.38473672022349986</v>
      </c>
      <c r="T808">
        <f t="shared" si="1008"/>
        <v>-3.8473672022349987E-4</v>
      </c>
    </row>
    <row r="809" spans="1:20" x14ac:dyDescent="0.25">
      <c r="A809" s="5">
        <v>43784</v>
      </c>
      <c r="B809">
        <v>0.71260000000000001</v>
      </c>
      <c r="C809">
        <v>0.749</v>
      </c>
      <c r="D809">
        <v>0.68579999999999997</v>
      </c>
      <c r="E809">
        <v>0.70450000000000002</v>
      </c>
      <c r="F809">
        <v>70005.14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-0.40822784810126456</v>
      </c>
      <c r="Q809">
        <f t="shared" si="1005"/>
        <v>-28578.047658227759</v>
      </c>
      <c r="R809">
        <f t="shared" si="1006"/>
        <v>-121586.92090147125</v>
      </c>
      <c r="S809">
        <f t="shared" si="1007"/>
        <v>-1.2158692090147125</v>
      </c>
      <c r="T809">
        <f t="shared" si="1008"/>
        <v>-1.2158692090147125E-3</v>
      </c>
    </row>
    <row r="810" spans="1:20" x14ac:dyDescent="0.25">
      <c r="A810" s="5">
        <v>43783</v>
      </c>
      <c r="B810">
        <v>0.75</v>
      </c>
      <c r="C810">
        <v>0.75970000000000004</v>
      </c>
      <c r="D810">
        <v>0.70420000000000005</v>
      </c>
      <c r="E810">
        <v>0.7147</v>
      </c>
      <c r="F810">
        <v>149622.97</v>
      </c>
      <c r="G810">
        <v>0</v>
      </c>
      <c r="P810">
        <f t="shared" si="1004"/>
        <v>-0.62162162162162327</v>
      </c>
      <c r="Q810">
        <f t="shared" si="1005"/>
        <v>-93008.873243243492</v>
      </c>
      <c r="R810">
        <f t="shared" si="1006"/>
        <v>-93008.873243243492</v>
      </c>
      <c r="S810">
        <f t="shared" si="1007"/>
        <v>-0.93008873243243495</v>
      </c>
      <c r="T810">
        <f t="shared" si="1008"/>
        <v>-9.3008873243243494E-4</v>
      </c>
    </row>
    <row r="811" spans="1:20" x14ac:dyDescent="0.25">
      <c r="A811" s="5"/>
      <c r="C811" s="4"/>
      <c r="D811" s="4"/>
    </row>
    <row r="812" spans="1:20" x14ac:dyDescent="0.25">
      <c r="A812" s="5"/>
      <c r="C812" s="4"/>
      <c r="D812" s="4"/>
    </row>
    <row r="813" spans="1:20" x14ac:dyDescent="0.25">
      <c r="A813" s="5"/>
      <c r="C813" s="4"/>
      <c r="D813" s="4"/>
    </row>
    <row r="814" spans="1:20" x14ac:dyDescent="0.25">
      <c r="A814" s="5"/>
      <c r="C814" s="4"/>
      <c r="D814" s="4"/>
    </row>
    <row r="815" spans="1:20" x14ac:dyDescent="0.25">
      <c r="A815" s="5"/>
      <c r="C815" s="4"/>
      <c r="D815" s="4"/>
    </row>
    <row r="816" spans="1:20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V560" sqref="OV56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$A$559</v>
      </c>
      <c r="D111" s="1" t="str">
        <f>ADDRESS(C121-1,D121,1,1)</f>
        <v>$OV$559</v>
      </c>
      <c r="E111"/>
    </row>
    <row r="112" spans="1:5" x14ac:dyDescent="0.25">
      <c r="A112" s="7">
        <v>12164.144957890772</v>
      </c>
      <c r="C112" s="1" t="str">
        <f>ADDRESS(C121,1,1,1)</f>
        <v>$A$560</v>
      </c>
      <c r="D112" s="1" t="str">
        <f>ADDRESS(C121,D121-1,1,1)</f>
        <v>$OU$560</v>
      </c>
      <c r="E112"/>
    </row>
    <row r="113" spans="1:5" x14ac:dyDescent="0.25">
      <c r="A113" s="7">
        <v>11925.63231165762</v>
      </c>
      <c r="C113" s="1" t="str">
        <f>ADDRESS(C121+1,1,1,1)</f>
        <v>$A$561</v>
      </c>
      <c r="D113" s="1" t="str">
        <f>ADDRESS(C121-1,D121+1,1,1)</f>
        <v>$OW$559</v>
      </c>
    </row>
    <row r="114" spans="1:5" x14ac:dyDescent="0.25">
      <c r="A114" s="7">
        <v>11691.796383978059</v>
      </c>
      <c r="C114" s="1" t="str">
        <f>ADDRESS(C121,D121,1,1)</f>
        <v>$OV$560</v>
      </c>
      <c r="D114" s="1" t="str">
        <f>ADDRESS(C121+1,D121+1,1,1)</f>
        <v>$OW$561</v>
      </c>
    </row>
    <row r="115" spans="1:5" x14ac:dyDescent="0.25">
      <c r="A115" s="7">
        <v>11462.545474488292</v>
      </c>
      <c r="C115" s="1" t="str">
        <f>ADDRESS(C121+1,D121,1,1)</f>
        <v>$OV$561</v>
      </c>
    </row>
    <row r="116" spans="1:5" x14ac:dyDescent="0.25">
      <c r="A116" s="7">
        <v>11237.789680870874</v>
      </c>
      <c r="C116" s="1">
        <f>C117-1</f>
        <v>559</v>
      </c>
    </row>
    <row r="117" spans="1:5" x14ac:dyDescent="0.25">
      <c r="A117" s="7">
        <v>11017.440863598895</v>
      </c>
      <c r="C117" s="1">
        <f>C121</f>
        <v>560</v>
      </c>
      <c r="D117" s="1">
        <f>D121</f>
        <v>412</v>
      </c>
    </row>
    <row r="118" spans="1:5" x14ac:dyDescent="0.25">
      <c r="A118" s="7">
        <v>10801.412611371465</v>
      </c>
      <c r="C118" s="1">
        <f>C117+1</f>
        <v>561</v>
      </c>
      <c r="D118" s="1">
        <f>D117+1</f>
        <v>413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560</v>
      </c>
      <c r="D121" s="19">
        <v>412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R560</v>
      </c>
      <c r="D123" s="1" t="str">
        <f>"C"&amp;D121</f>
        <v>C412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1.7068864766411058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272" x14ac:dyDescent="0.25">
      <c r="A433" s="7">
        <v>21.106997141968804</v>
      </c>
      <c r="B433"/>
      <c r="C433"/>
      <c r="D433"/>
      <c r="E433"/>
    </row>
    <row r="434" spans="1:272" x14ac:dyDescent="0.25">
      <c r="A434" s="7">
        <v>20.693134452910591</v>
      </c>
      <c r="B434"/>
      <c r="C434"/>
      <c r="D434"/>
      <c r="E434"/>
    </row>
    <row r="435" spans="1:272" x14ac:dyDescent="0.25">
      <c r="A435" s="7">
        <v>20.287386718539796</v>
      </c>
      <c r="B435"/>
      <c r="C435"/>
      <c r="D435"/>
      <c r="E435"/>
    </row>
    <row r="436" spans="1:272" x14ac:dyDescent="0.25">
      <c r="A436" s="7">
        <v>19.889594822097838</v>
      </c>
      <c r="B436"/>
      <c r="C436"/>
      <c r="D436"/>
      <c r="E436"/>
    </row>
    <row r="437" spans="1:272" x14ac:dyDescent="0.25">
      <c r="A437" s="7">
        <v>19.499602766762585</v>
      </c>
      <c r="B437"/>
      <c r="C437"/>
      <c r="D437"/>
      <c r="E437"/>
    </row>
    <row r="438" spans="1:272" x14ac:dyDescent="0.25">
      <c r="A438" s="7">
        <v>19.117257614473122</v>
      </c>
      <c r="B438"/>
      <c r="C438"/>
      <c r="D438"/>
      <c r="E438"/>
    </row>
    <row r="439" spans="1:272" x14ac:dyDescent="0.25">
      <c r="A439" s="7">
        <v>18.74240942595404</v>
      </c>
      <c r="B439"/>
      <c r="C439"/>
      <c r="D439"/>
      <c r="E439"/>
    </row>
    <row r="440" spans="1:272" x14ac:dyDescent="0.25">
      <c r="A440" s="7">
        <v>18.374911201915726</v>
      </c>
      <c r="B440"/>
      <c r="C440"/>
      <c r="D440"/>
      <c r="E440"/>
    </row>
    <row r="441" spans="1:272" x14ac:dyDescent="0.25">
      <c r="A441" s="7">
        <v>18.014618825407574</v>
      </c>
      <c r="B441"/>
      <c r="C441"/>
      <c r="D441"/>
      <c r="E441"/>
    </row>
    <row r="442" spans="1:272" x14ac:dyDescent="0.25">
      <c r="A442" s="7">
        <v>17.661391005301542</v>
      </c>
      <c r="B442"/>
      <c r="C442"/>
      <c r="D442"/>
      <c r="E442"/>
    </row>
    <row r="443" spans="1:272" x14ac:dyDescent="0.25">
      <c r="A443" s="7">
        <v>17.315089220883866</v>
      </c>
      <c r="B443"/>
      <c r="C443"/>
      <c r="D443"/>
      <c r="E443"/>
    </row>
    <row r="444" spans="1:272" x14ac:dyDescent="0.25">
      <c r="A444" s="7">
        <v>16.975577667533202</v>
      </c>
      <c r="B444"/>
      <c r="C444"/>
      <c r="D444"/>
      <c r="E444"/>
    </row>
    <row r="445" spans="1:272" x14ac:dyDescent="0.25">
      <c r="A445" s="7">
        <v>16.642723203463923</v>
      </c>
      <c r="B445"/>
      <c r="C445"/>
      <c r="D445"/>
      <c r="E445"/>
    </row>
    <row r="446" spans="1:272" x14ac:dyDescent="0.25">
      <c r="A446" s="7">
        <v>16.316395297513651</v>
      </c>
      <c r="B446"/>
      <c r="C446"/>
      <c r="D446"/>
      <c r="E446"/>
      <c r="JK446" s="27" t="s">
        <v>8</v>
      </c>
    </row>
    <row r="447" spans="1:272" x14ac:dyDescent="0.25">
      <c r="A447" s="7">
        <v>15.996465977954561</v>
      </c>
      <c r="B447"/>
      <c r="C447"/>
      <c r="D447"/>
      <c r="E447"/>
      <c r="JK447" s="27" t="s">
        <v>8</v>
      </c>
      <c r="JL447" s="27" t="s">
        <v>7</v>
      </c>
    </row>
    <row r="448" spans="1:272" x14ac:dyDescent="0.25">
      <c r="A448" s="7">
        <v>15.682809782308393</v>
      </c>
      <c r="B448"/>
      <c r="C448"/>
      <c r="D448"/>
      <c r="E448"/>
      <c r="JK448" s="27" t="s">
        <v>8</v>
      </c>
      <c r="JL448" s="27" t="s">
        <v>7</v>
      </c>
    </row>
    <row r="449" spans="1:273" x14ac:dyDescent="0.25">
      <c r="A449" s="7">
        <v>15.375303708145482</v>
      </c>
      <c r="B449"/>
      <c r="C449"/>
      <c r="D449"/>
      <c r="E449"/>
      <c r="JK449" s="27" t="s">
        <v>8</v>
      </c>
      <c r="JL449" s="27" t="s">
        <v>7</v>
      </c>
    </row>
    <row r="450" spans="1:273" x14ac:dyDescent="0.25">
      <c r="A450" s="7">
        <v>15.073827164848511</v>
      </c>
      <c r="B450"/>
      <c r="C450"/>
      <c r="D450"/>
      <c r="E450"/>
      <c r="JK450" s="27" t="s">
        <v>8</v>
      </c>
      <c r="JL450" s="27" t="s">
        <v>7</v>
      </c>
    </row>
    <row r="451" spans="1:273" x14ac:dyDescent="0.25">
      <c r="A451" s="7">
        <v>14.77826192632207</v>
      </c>
      <c r="B451"/>
      <c r="C451"/>
      <c r="D451"/>
      <c r="E451"/>
      <c r="JK451" s="27" t="s">
        <v>8</v>
      </c>
      <c r="JL451" s="27" t="s">
        <v>7</v>
      </c>
    </row>
    <row r="452" spans="1:273" x14ac:dyDescent="0.25">
      <c r="A452" s="7">
        <v>14.488492084629481</v>
      </c>
      <c r="B452"/>
      <c r="C452"/>
      <c r="D452"/>
      <c r="E452"/>
      <c r="JK452" s="27" t="s">
        <v>8</v>
      </c>
      <c r="JL452" s="27" t="s">
        <v>7</v>
      </c>
    </row>
    <row r="453" spans="1:273" x14ac:dyDescent="0.25">
      <c r="A453" s="7">
        <v>14.204404004538707</v>
      </c>
      <c r="B453"/>
      <c r="C453"/>
      <c r="D453"/>
      <c r="E453"/>
      <c r="JK453" s="27" t="s">
        <v>8</v>
      </c>
      <c r="JL453" s="27" t="s">
        <v>7</v>
      </c>
    </row>
    <row r="454" spans="1:273" x14ac:dyDescent="0.25">
      <c r="A454" s="7">
        <v>13.925886278959517</v>
      </c>
      <c r="B454"/>
      <c r="C454"/>
      <c r="D454"/>
      <c r="E454"/>
      <c r="JK454" s="27" t="s">
        <v>8</v>
      </c>
      <c r="JL454" s="27" t="s">
        <v>7</v>
      </c>
    </row>
    <row r="455" spans="1:273" x14ac:dyDescent="0.25">
      <c r="A455" s="7">
        <v>13.652829685254428</v>
      </c>
      <c r="B455"/>
      <c r="C455"/>
      <c r="D455"/>
      <c r="E455"/>
      <c r="JK455" s="27" t="s">
        <v>8</v>
      </c>
      <c r="JL455" s="27" t="s">
        <v>7</v>
      </c>
    </row>
    <row r="456" spans="1:273" x14ac:dyDescent="0.25">
      <c r="A456" s="7">
        <v>13.385127142406303</v>
      </c>
      <c r="B456"/>
      <c r="C456"/>
      <c r="D456"/>
      <c r="E456"/>
      <c r="JK456" s="27" t="s">
        <v>8</v>
      </c>
      <c r="JL456" s="27" t="s">
        <v>7</v>
      </c>
    </row>
    <row r="457" spans="1:273" x14ac:dyDescent="0.25">
      <c r="A457" s="7">
        <v>13.122673669025787</v>
      </c>
      <c r="B457"/>
      <c r="C457"/>
      <c r="D457"/>
      <c r="E457"/>
      <c r="JK457" s="27" t="s">
        <v>8</v>
      </c>
      <c r="JL457" s="27" t="s">
        <v>7</v>
      </c>
    </row>
    <row r="458" spans="1:273" x14ac:dyDescent="0.25">
      <c r="A458" s="7">
        <v>12.865366342182144</v>
      </c>
      <c r="B458"/>
      <c r="C458"/>
      <c r="D458"/>
      <c r="E458"/>
      <c r="JK458" s="27" t="s">
        <v>8</v>
      </c>
      <c r="JL458" s="27" t="s">
        <v>7</v>
      </c>
    </row>
    <row r="459" spans="1:273" x14ac:dyDescent="0.25">
      <c r="A459" s="7">
        <v>12.613104257041318</v>
      </c>
      <c r="B459"/>
      <c r="C459"/>
      <c r="D459"/>
      <c r="E459"/>
      <c r="JK459" s="27" t="s">
        <v>8</v>
      </c>
      <c r="JL459" s="27" t="s">
        <v>7</v>
      </c>
    </row>
    <row r="460" spans="1:273" x14ac:dyDescent="0.25">
      <c r="A460" s="7">
        <v>12.36578848729541</v>
      </c>
      <c r="B460"/>
      <c r="C460"/>
      <c r="D460"/>
      <c r="E460"/>
      <c r="JK460" s="27" t="s">
        <v>8</v>
      </c>
      <c r="JL460" s="27" t="s">
        <v>7</v>
      </c>
    </row>
    <row r="461" spans="1:273" x14ac:dyDescent="0.25">
      <c r="A461" s="7">
        <v>12.123322046368049</v>
      </c>
      <c r="B461"/>
      <c r="C461"/>
      <c r="D461"/>
      <c r="E461"/>
      <c r="JK461" s="27" t="s">
        <v>8</v>
      </c>
      <c r="JL461" s="27" t="s">
        <v>7</v>
      </c>
    </row>
    <row r="462" spans="1:273" x14ac:dyDescent="0.25">
      <c r="A462" s="7">
        <v>11.88560984938044</v>
      </c>
      <c r="B462"/>
      <c r="C462"/>
      <c r="D462"/>
      <c r="E462"/>
      <c r="JK462" s="27" t="s">
        <v>8</v>
      </c>
      <c r="JL462" s="27" t="s">
        <v>7</v>
      </c>
    </row>
    <row r="463" spans="1:273" x14ac:dyDescent="0.25">
      <c r="A463" s="7">
        <v>11.652558675863176</v>
      </c>
      <c r="B463"/>
      <c r="C463"/>
      <c r="D463"/>
      <c r="E463"/>
      <c r="JK463" s="27" t="s">
        <v>8</v>
      </c>
      <c r="JL463" s="27" t="s">
        <v>7</v>
      </c>
    </row>
    <row r="464" spans="1:273" x14ac:dyDescent="0.25">
      <c r="A464" s="7">
        <v>11.424077133199193</v>
      </c>
      <c r="B464"/>
      <c r="C464"/>
      <c r="D464"/>
      <c r="E464"/>
      <c r="JK464" s="27" t="s">
        <v>8</v>
      </c>
      <c r="JL464" s="27" t="s">
        <v>7</v>
      </c>
      <c r="JM464" s="27" t="s">
        <v>8</v>
      </c>
    </row>
    <row r="465" spans="1:278" x14ac:dyDescent="0.25">
      <c r="A465" s="7">
        <v>11.200075620783522</v>
      </c>
      <c r="B465"/>
      <c r="C465"/>
      <c r="D465"/>
      <c r="E465"/>
      <c r="JK465" s="27" t="s">
        <v>8</v>
      </c>
      <c r="JL465" s="27" t="s">
        <v>7</v>
      </c>
      <c r="JM465" s="27" t="s">
        <v>8</v>
      </c>
      <c r="JN465" s="27" t="s">
        <v>7</v>
      </c>
    </row>
    <row r="466" spans="1:278" x14ac:dyDescent="0.25">
      <c r="A466" s="7">
        <v>10.980466294885806</v>
      </c>
      <c r="B466"/>
      <c r="C466"/>
      <c r="D466"/>
      <c r="E466"/>
      <c r="JK466" s="27" t="s">
        <v>8</v>
      </c>
      <c r="JL466" s="27" t="s">
        <v>7</v>
      </c>
      <c r="JM466" s="27" t="s">
        <v>8</v>
      </c>
      <c r="JN466" s="27" t="s">
        <v>7</v>
      </c>
    </row>
    <row r="467" spans="1:278" x14ac:dyDescent="0.25">
      <c r="A467" s="7">
        <v>10.765163034201771</v>
      </c>
      <c r="B467"/>
      <c r="C467"/>
      <c r="D467"/>
      <c r="E467"/>
      <c r="JK467" s="27" t="s">
        <v>8</v>
      </c>
      <c r="JL467" s="27" t="s">
        <v>7</v>
      </c>
      <c r="JM467" s="27" t="s">
        <v>8</v>
      </c>
      <c r="JN467" s="27" t="s">
        <v>7</v>
      </c>
    </row>
    <row r="468" spans="1:278" x14ac:dyDescent="0.25">
      <c r="A468" s="7">
        <v>10.554081406080169</v>
      </c>
      <c r="B468"/>
      <c r="C468"/>
      <c r="D468"/>
      <c r="E468"/>
      <c r="JK468" s="27" t="s">
        <v>8</v>
      </c>
      <c r="JL468" s="27" t="s">
        <v>7</v>
      </c>
      <c r="JM468" s="27" t="s">
        <v>8</v>
      </c>
      <c r="JN468" s="27" t="s">
        <v>7</v>
      </c>
    </row>
    <row r="469" spans="1:278" x14ac:dyDescent="0.25">
      <c r="A469" s="7">
        <v>10.34713863341193</v>
      </c>
      <c r="B469"/>
      <c r="C469"/>
      <c r="D469"/>
      <c r="E469"/>
      <c r="JK469" s="27" t="s">
        <v>8</v>
      </c>
      <c r="JL469" s="27" t="s">
        <v>7</v>
      </c>
      <c r="JM469" s="27" t="s">
        <v>8</v>
      </c>
      <c r="JN469" s="27" t="s">
        <v>7</v>
      </c>
    </row>
    <row r="470" spans="1:278" x14ac:dyDescent="0.25">
      <c r="A470" s="7">
        <v>10.14425356216856</v>
      </c>
      <c r="B470"/>
      <c r="C470"/>
      <c r="D470"/>
      <c r="E470"/>
      <c r="JK470" s="27" t="s">
        <v>8</v>
      </c>
      <c r="JL470" s="27" t="s">
        <v>7</v>
      </c>
      <c r="JM470" s="27" t="s">
        <v>8</v>
      </c>
      <c r="JN470" s="27" t="s">
        <v>7</v>
      </c>
    </row>
    <row r="471" spans="1:278" x14ac:dyDescent="0.25">
      <c r="A471" s="7">
        <v>9.9453466295770188</v>
      </c>
      <c r="B471"/>
      <c r="C471"/>
      <c r="D471"/>
      <c r="E471"/>
      <c r="JK471" s="27" t="s">
        <v>8</v>
      </c>
      <c r="JL471" s="27" t="s">
        <v>7</v>
      </c>
      <c r="JM471" s="27" t="s">
        <v>8</v>
      </c>
      <c r="JN471" s="27" t="s">
        <v>7</v>
      </c>
    </row>
    <row r="472" spans="1:278" x14ac:dyDescent="0.25">
      <c r="A472" s="7">
        <v>9.7503398329186464</v>
      </c>
      <c r="B472"/>
      <c r="C472"/>
      <c r="D472"/>
      <c r="E472"/>
      <c r="JK472" s="27" t="s">
        <v>8</v>
      </c>
      <c r="JL472" s="27" t="s">
        <v>7</v>
      </c>
      <c r="JM472" s="27" t="s">
        <v>8</v>
      </c>
      <c r="JN472" s="27" t="s">
        <v>7</v>
      </c>
    </row>
    <row r="473" spans="1:278" x14ac:dyDescent="0.25">
      <c r="A473" s="7">
        <v>9.5591566989398498</v>
      </c>
      <c r="B473"/>
      <c r="C473"/>
      <c r="D473"/>
      <c r="E473"/>
      <c r="JK473" s="27" t="s">
        <v>8</v>
      </c>
      <c r="JL473" s="27" t="s">
        <v>7</v>
      </c>
      <c r="JM473" s="27" t="s">
        <v>8</v>
      </c>
      <c r="JN473" s="27" t="s">
        <v>7</v>
      </c>
    </row>
    <row r="474" spans="1:278" x14ac:dyDescent="0.25">
      <c r="A474" s="7">
        <v>9.3717222538625968</v>
      </c>
      <c r="B474"/>
      <c r="C474"/>
      <c r="D474"/>
      <c r="E474"/>
      <c r="JK474" s="27" t="s">
        <v>8</v>
      </c>
      <c r="JL474" s="27" t="s">
        <v>7</v>
      </c>
      <c r="JM474" s="27" t="s">
        <v>8</v>
      </c>
      <c r="JN474" s="27" t="s">
        <v>7</v>
      </c>
    </row>
    <row r="475" spans="1:278" x14ac:dyDescent="0.25">
      <c r="A475" s="7">
        <v>9.1879629939829375</v>
      </c>
      <c r="B475"/>
      <c r="C475"/>
      <c r="D475"/>
      <c r="E475"/>
      <c r="JK475" s="27" t="s">
        <v>8</v>
      </c>
      <c r="JL475" s="27" t="s">
        <v>7</v>
      </c>
      <c r="JM475" s="27" t="s">
        <v>8</v>
      </c>
      <c r="JN475" s="27" t="s">
        <v>7</v>
      </c>
    </row>
    <row r="476" spans="1:278" x14ac:dyDescent="0.25">
      <c r="A476" s="7">
        <v>9.0078068568460168</v>
      </c>
      <c r="B476"/>
      <c r="C476"/>
      <c r="D476"/>
      <c r="E476"/>
      <c r="JK476" s="27" t="s">
        <v>8</v>
      </c>
      <c r="JL476" s="27" t="s">
        <v>7</v>
      </c>
      <c r="JM476" s="27" t="s">
        <v>8</v>
      </c>
      <c r="JN476" s="27" t="s">
        <v>7</v>
      </c>
    </row>
    <row r="477" spans="1:278" x14ac:dyDescent="0.25">
      <c r="A477" s="7">
        <v>8.8311831929862912</v>
      </c>
      <c r="B477"/>
      <c r="C477"/>
      <c r="D477"/>
      <c r="E477"/>
      <c r="JK477" s="27" t="s">
        <v>8</v>
      </c>
      <c r="JL477" s="27" t="s">
        <v>7</v>
      </c>
      <c r="JM477" s="27" t="s">
        <v>8</v>
      </c>
      <c r="JN477" s="27" t="s">
        <v>7</v>
      </c>
      <c r="JQ477" s="27" t="s">
        <v>8</v>
      </c>
    </row>
    <row r="478" spans="1:278" x14ac:dyDescent="0.25">
      <c r="A478" s="7">
        <v>8.6580227382218542</v>
      </c>
      <c r="B478"/>
      <c r="C478"/>
      <c r="D478"/>
      <c r="E478"/>
      <c r="JK478" s="27" t="s">
        <v>8</v>
      </c>
      <c r="JL478" s="27" t="s">
        <v>7</v>
      </c>
      <c r="JM478" s="27" t="s">
        <v>8</v>
      </c>
      <c r="JN478" s="27" t="s">
        <v>7</v>
      </c>
      <c r="JQ478" s="27" t="s">
        <v>8</v>
      </c>
      <c r="JR478" s="27" t="s">
        <v>7</v>
      </c>
    </row>
    <row r="479" spans="1:278" x14ac:dyDescent="0.25">
      <c r="A479" s="7">
        <v>8.4882575864920131</v>
      </c>
      <c r="B479"/>
      <c r="C479"/>
      <c r="D479"/>
      <c r="E479"/>
      <c r="JK479" s="27" t="s">
        <v>8</v>
      </c>
      <c r="JL479" s="27" t="s">
        <v>7</v>
      </c>
      <c r="JM479" s="27" t="s">
        <v>8</v>
      </c>
      <c r="JN479" s="27" t="s">
        <v>7</v>
      </c>
      <c r="JQ479" s="27" t="s">
        <v>8</v>
      </c>
      <c r="JR479" s="27" t="s">
        <v>7</v>
      </c>
    </row>
    <row r="480" spans="1:278" x14ac:dyDescent="0.25">
      <c r="A480" s="7">
        <v>8.3218211632274635</v>
      </c>
      <c r="B480"/>
      <c r="C480"/>
      <c r="D480"/>
      <c r="E480"/>
      <c r="JK480" s="27" t="s">
        <v>8</v>
      </c>
      <c r="JL480" s="27" t="s">
        <v>7</v>
      </c>
      <c r="JM480" s="27" t="s">
        <v>8</v>
      </c>
      <c r="JN480" s="27" t="s">
        <v>7</v>
      </c>
      <c r="JQ480" s="27" t="s">
        <v>8</v>
      </c>
      <c r="JR480" s="27" t="s">
        <v>7</v>
      </c>
    </row>
    <row r="481" spans="1:364" x14ac:dyDescent="0.25">
      <c r="A481" s="7">
        <v>8.1586481992426112</v>
      </c>
      <c r="B481"/>
      <c r="C481"/>
      <c r="D481"/>
      <c r="E481"/>
      <c r="JK481" s="27" t="s">
        <v>8</v>
      </c>
      <c r="JL481" s="27" t="s">
        <v>7</v>
      </c>
      <c r="JM481" s="27" t="s">
        <v>8</v>
      </c>
      <c r="JN481" s="27" t="s">
        <v>7</v>
      </c>
      <c r="JO481" s="27" t="s">
        <v>8</v>
      </c>
      <c r="JQ481" s="27" t="s">
        <v>8</v>
      </c>
      <c r="JR481" s="27" t="s">
        <v>7</v>
      </c>
    </row>
    <row r="482" spans="1:364" x14ac:dyDescent="0.25">
      <c r="A482" s="7">
        <v>7.9986747051398144</v>
      </c>
      <c r="B482"/>
      <c r="C482"/>
      <c r="D482"/>
      <c r="E482"/>
      <c r="JK482" s="27" t="s">
        <v>8</v>
      </c>
      <c r="JL482" s="27" t="s">
        <v>7</v>
      </c>
      <c r="JM482" s="27" t="s">
        <v>8</v>
      </c>
      <c r="JN482" s="27" t="s">
        <v>7</v>
      </c>
      <c r="JO482" s="27" t="s">
        <v>8</v>
      </c>
      <c r="JP482" s="27" t="s">
        <v>7</v>
      </c>
      <c r="JQ482" s="27" t="s">
        <v>8</v>
      </c>
      <c r="JR482" s="27" t="s">
        <v>7</v>
      </c>
    </row>
    <row r="483" spans="1:364" x14ac:dyDescent="0.25">
      <c r="A483" s="7">
        <v>7.8418379462155041</v>
      </c>
      <c r="B483"/>
      <c r="C483"/>
      <c r="D483"/>
      <c r="E483"/>
      <c r="JK483" s="27" t="s">
        <v>8</v>
      </c>
      <c r="JL483" s="27" t="s">
        <v>7</v>
      </c>
      <c r="JM483" s="27" t="s">
        <v>8</v>
      </c>
      <c r="JN483" s="27" t="s">
        <v>7</v>
      </c>
      <c r="JO483" s="27" t="s">
        <v>8</v>
      </c>
      <c r="JP483" s="27" t="s">
        <v>7</v>
      </c>
      <c r="JQ483" s="27" t="s">
        <v>8</v>
      </c>
      <c r="JR483" s="27" t="s">
        <v>7</v>
      </c>
    </row>
    <row r="484" spans="1:364" x14ac:dyDescent="0.25">
      <c r="A484" s="7">
        <v>7.688076417858337</v>
      </c>
      <c r="B484"/>
      <c r="C484"/>
      <c r="D484"/>
      <c r="E484"/>
      <c r="JK484" s="27" t="s">
        <v>8</v>
      </c>
      <c r="JL484" s="27" t="s">
        <v>7</v>
      </c>
      <c r="JM484" s="27" t="s">
        <v>8</v>
      </c>
      <c r="JN484" s="27" t="s">
        <v>7</v>
      </c>
      <c r="JO484" s="27" t="s">
        <v>8</v>
      </c>
      <c r="JP484" s="27" t="s">
        <v>7</v>
      </c>
      <c r="JQ484" s="27" t="s">
        <v>8</v>
      </c>
      <c r="JR484" s="27" t="s">
        <v>7</v>
      </c>
    </row>
    <row r="485" spans="1:364" x14ac:dyDescent="0.25">
      <c r="A485" s="7">
        <v>7.5373298214297417</v>
      </c>
      <c r="B485"/>
      <c r="C485"/>
      <c r="D485"/>
      <c r="E485"/>
      <c r="JK485" s="27" t="s">
        <v>8</v>
      </c>
      <c r="JL485" s="27" t="s">
        <v>7</v>
      </c>
      <c r="JM485" s="27" t="s">
        <v>8</v>
      </c>
      <c r="JN485" s="27" t="s">
        <v>7</v>
      </c>
      <c r="JO485" s="27" t="s">
        <v>8</v>
      </c>
      <c r="JP485" s="27" t="s">
        <v>7</v>
      </c>
      <c r="JQ485" s="27" t="s">
        <v>8</v>
      </c>
      <c r="JR485" s="27" t="s">
        <v>7</v>
      </c>
    </row>
    <row r="486" spans="1:364" x14ac:dyDescent="0.25">
      <c r="A486" s="7">
        <v>7.389539040617394</v>
      </c>
      <c r="B486"/>
      <c r="C486"/>
      <c r="D486"/>
      <c r="E486"/>
      <c r="JK486" s="27" t="s">
        <v>8</v>
      </c>
      <c r="JL486" s="27" t="s">
        <v>7</v>
      </c>
      <c r="JM486" s="27" t="s">
        <v>8</v>
      </c>
      <c r="JN486" s="27" t="s">
        <v>7</v>
      </c>
      <c r="JO486" s="27" t="s">
        <v>8</v>
      </c>
      <c r="JP486" s="27" t="s">
        <v>7</v>
      </c>
      <c r="JQ486" s="27" t="s">
        <v>8</v>
      </c>
      <c r="JR486" s="27" t="s">
        <v>7</v>
      </c>
    </row>
    <row r="487" spans="1:364" x14ac:dyDescent="0.25">
      <c r="A487" s="7">
        <v>7.2446461182523469</v>
      </c>
      <c r="B487"/>
      <c r="C487"/>
      <c r="D487"/>
      <c r="E487"/>
      <c r="JK487" s="27" t="s">
        <v>8</v>
      </c>
      <c r="JL487" s="27" t="s">
        <v>7</v>
      </c>
      <c r="JM487" s="27" t="s">
        <v>8</v>
      </c>
      <c r="JN487" s="27" t="s">
        <v>7</v>
      </c>
      <c r="JO487" s="27" t="s">
        <v>8</v>
      </c>
      <c r="JP487" s="27" t="s">
        <v>7</v>
      </c>
      <c r="JQ487" s="27" t="s">
        <v>8</v>
      </c>
      <c r="JR487" s="27" t="s">
        <v>7</v>
      </c>
    </row>
    <row r="488" spans="1:364" x14ac:dyDescent="0.25">
      <c r="A488" s="7">
        <v>7.1025942335807324</v>
      </c>
      <c r="B488"/>
      <c r="C488"/>
      <c r="D488"/>
      <c r="E488"/>
      <c r="JK488" s="27" t="s">
        <v>8</v>
      </c>
      <c r="JL488" s="27" t="s">
        <v>7</v>
      </c>
      <c r="JM488" s="27" t="s">
        <v>8</v>
      </c>
      <c r="JN488" s="27" t="s">
        <v>7</v>
      </c>
      <c r="JO488" s="27" t="s">
        <v>8</v>
      </c>
      <c r="JP488" s="27" t="s">
        <v>7</v>
      </c>
      <c r="JQ488" s="27" t="s">
        <v>8</v>
      </c>
      <c r="JR488" s="27" t="s">
        <v>7</v>
      </c>
    </row>
    <row r="489" spans="1:364" x14ac:dyDescent="0.25">
      <c r="A489" s="7">
        <v>6.9633276799811101</v>
      </c>
      <c r="B489"/>
      <c r="C489"/>
      <c r="D489"/>
      <c r="E489"/>
      <c r="JK489" s="27" t="s">
        <v>8</v>
      </c>
      <c r="JL489" s="27" t="s">
        <v>7</v>
      </c>
      <c r="JM489" s="27" t="s">
        <v>8</v>
      </c>
      <c r="JN489" s="27" t="s">
        <v>7</v>
      </c>
      <c r="JP489" s="27" t="s">
        <v>7</v>
      </c>
      <c r="JQ489" s="27" t="s">
        <v>8</v>
      </c>
      <c r="JR489" s="27" t="s">
        <v>7</v>
      </c>
    </row>
    <row r="490" spans="1:364" x14ac:dyDescent="0.25">
      <c r="A490" s="7">
        <v>6.8267918431187349</v>
      </c>
      <c r="B490"/>
      <c r="C490"/>
      <c r="D490"/>
      <c r="E490"/>
      <c r="JK490" s="27" t="s">
        <v>8</v>
      </c>
      <c r="JL490" s="27" t="s">
        <v>7</v>
      </c>
      <c r="JM490" s="27" t="s">
        <v>8</v>
      </c>
      <c r="JP490" s="27" t="s">
        <v>7</v>
      </c>
      <c r="JQ490" s="27" t="s">
        <v>8</v>
      </c>
      <c r="JR490" s="27" t="s">
        <v>7</v>
      </c>
    </row>
    <row r="491" spans="1:364" x14ac:dyDescent="0.25">
      <c r="A491" s="7">
        <v>6.692933179528171</v>
      </c>
      <c r="B491"/>
      <c r="C491"/>
      <c r="D491"/>
      <c r="E491"/>
      <c r="JK491" s="27" t="s">
        <v>8</v>
      </c>
      <c r="JL491" s="27" t="s">
        <v>7</v>
      </c>
      <c r="JM491" s="27" t="s">
        <v>8</v>
      </c>
      <c r="JP491" s="27" t="s">
        <v>7</v>
      </c>
      <c r="JQ491" s="27" t="s">
        <v>8</v>
      </c>
      <c r="JR491" s="27" t="s">
        <v>7</v>
      </c>
    </row>
    <row r="492" spans="1:364" x14ac:dyDescent="0.25">
      <c r="A492" s="7">
        <v>6.5616991956158541</v>
      </c>
      <c r="B492"/>
      <c r="C492"/>
      <c r="D492"/>
      <c r="E492"/>
      <c r="JK492" s="27" t="s">
        <v>8</v>
      </c>
      <c r="JL492" s="27" t="s">
        <v>7</v>
      </c>
      <c r="JP492" s="27" t="s">
        <v>7</v>
      </c>
      <c r="JQ492" s="27" t="s">
        <v>8</v>
      </c>
      <c r="JR492" s="27" t="s">
        <v>7</v>
      </c>
      <c r="MY492" s="27" t="s">
        <v>8</v>
      </c>
    </row>
    <row r="493" spans="1:364" x14ac:dyDescent="0.25">
      <c r="A493" s="7">
        <v>6.4330384270743668</v>
      </c>
      <c r="B493"/>
      <c r="C493"/>
      <c r="D493"/>
      <c r="E493"/>
      <c r="JK493" s="27" t="s">
        <v>8</v>
      </c>
      <c r="JP493" s="27" t="s">
        <v>7</v>
      </c>
      <c r="JQ493" s="27" t="s">
        <v>8</v>
      </c>
      <c r="JR493" s="27" t="s">
        <v>7</v>
      </c>
      <c r="MY493" s="27" t="s">
        <v>8</v>
      </c>
      <c r="MZ493" s="27" t="s">
        <v>7</v>
      </c>
    </row>
    <row r="494" spans="1:364" x14ac:dyDescent="0.25">
      <c r="A494" s="7">
        <v>6.3069004187003594</v>
      </c>
      <c r="B494"/>
      <c r="C494"/>
      <c r="D494"/>
      <c r="E494"/>
      <c r="JK494" s="27" t="s">
        <v>8</v>
      </c>
      <c r="JP494" s="27" t="s">
        <v>7</v>
      </c>
      <c r="JQ494" s="27" t="s">
        <v>8</v>
      </c>
      <c r="JR494" s="27" t="s">
        <v>7</v>
      </c>
      <c r="JS494" s="27" t="s">
        <v>8</v>
      </c>
      <c r="MY494" s="27" t="s">
        <v>8</v>
      </c>
      <c r="MZ494" s="27" t="s">
        <v>7</v>
      </c>
    </row>
    <row r="495" spans="1:364" x14ac:dyDescent="0.25">
      <c r="A495" s="7">
        <v>6.1832357046081956</v>
      </c>
      <c r="B495"/>
      <c r="C495"/>
      <c r="D495"/>
      <c r="E495"/>
      <c r="JK495" s="27" t="s">
        <v>8</v>
      </c>
      <c r="JP495" s="27" t="s">
        <v>7</v>
      </c>
      <c r="JQ495" s="27" t="s">
        <v>8</v>
      </c>
      <c r="JR495" s="27" t="s">
        <v>7</v>
      </c>
      <c r="JS495" s="27" t="s">
        <v>8</v>
      </c>
      <c r="JT495" s="27" t="s">
        <v>7</v>
      </c>
      <c r="MY495" s="27" t="s">
        <v>8</v>
      </c>
      <c r="MZ495" s="27" t="s">
        <v>7</v>
      </c>
    </row>
    <row r="496" spans="1:364" x14ac:dyDescent="0.25">
      <c r="A496" s="7">
        <v>6.0619957888315641</v>
      </c>
      <c r="B496"/>
      <c r="C496"/>
      <c r="D496"/>
      <c r="E496"/>
      <c r="JK496" s="27" t="s">
        <v>8</v>
      </c>
      <c r="JP496" s="27" t="s">
        <v>7</v>
      </c>
      <c r="JQ496" s="27" t="s">
        <v>8</v>
      </c>
      <c r="JR496" s="27" t="s">
        <v>7</v>
      </c>
      <c r="JS496" s="27" t="s">
        <v>8</v>
      </c>
      <c r="JT496" s="27" t="s">
        <v>7</v>
      </c>
      <c r="MY496" s="27" t="s">
        <v>8</v>
      </c>
      <c r="MZ496" s="27" t="s">
        <v>7</v>
      </c>
    </row>
    <row r="497" spans="1:386" x14ac:dyDescent="0.25">
      <c r="A497" s="7">
        <v>5.9431331263054545</v>
      </c>
      <c r="B497"/>
      <c r="C497"/>
      <c r="D497"/>
      <c r="E497"/>
      <c r="JK497" s="27" t="s">
        <v>8</v>
      </c>
      <c r="JP497" s="27" t="s">
        <v>7</v>
      </c>
      <c r="JQ497" s="27" t="s">
        <v>8</v>
      </c>
      <c r="JR497" s="27" t="s">
        <v>7</v>
      </c>
      <c r="JS497" s="27" t="s">
        <v>8</v>
      </c>
      <c r="JT497" s="27" t="s">
        <v>7</v>
      </c>
      <c r="MY497" s="27" t="s">
        <v>8</v>
      </c>
      <c r="MZ497" s="27" t="s">
        <v>7</v>
      </c>
    </row>
    <row r="498" spans="1:386" x14ac:dyDescent="0.25">
      <c r="A498" s="7">
        <v>5.8266011042210337</v>
      </c>
      <c r="B498"/>
      <c r="C498"/>
      <c r="D498"/>
      <c r="E498"/>
      <c r="JK498" s="27" t="s">
        <v>8</v>
      </c>
      <c r="JP498" s="27" t="s">
        <v>7</v>
      </c>
      <c r="JQ498" s="27" t="s">
        <v>8</v>
      </c>
      <c r="JR498" s="27" t="s">
        <v>7</v>
      </c>
      <c r="JS498" s="27" t="s">
        <v>8</v>
      </c>
      <c r="JT498" s="27" t="s">
        <v>7</v>
      </c>
      <c r="JU498" s="27" t="s">
        <v>8</v>
      </c>
      <c r="MY498" s="27" t="s">
        <v>8</v>
      </c>
      <c r="MZ498" s="27" t="s">
        <v>7</v>
      </c>
    </row>
    <row r="499" spans="1:386" x14ac:dyDescent="0.25">
      <c r="A499" s="7">
        <v>5.7123540237461112</v>
      </c>
      <c r="B499"/>
      <c r="C499"/>
      <c r="D499"/>
      <c r="E499"/>
      <c r="JK499" s="27" t="s">
        <v>8</v>
      </c>
      <c r="JP499" s="27" t="s">
        <v>7</v>
      </c>
      <c r="JQ499" s="27" t="s">
        <v>8</v>
      </c>
      <c r="JR499" s="27" t="s">
        <v>7</v>
      </c>
      <c r="JS499" s="27" t="s">
        <v>8</v>
      </c>
      <c r="JT499" s="27" t="s">
        <v>7</v>
      </c>
      <c r="JU499" s="27" t="s">
        <v>8</v>
      </c>
      <c r="JV499" s="27" t="s">
        <v>7</v>
      </c>
      <c r="LQ499" s="27" t="s">
        <v>8</v>
      </c>
      <c r="MY499" s="27" t="s">
        <v>8</v>
      </c>
      <c r="MZ499" s="27" t="s">
        <v>7</v>
      </c>
    </row>
    <row r="500" spans="1:386" x14ac:dyDescent="0.25">
      <c r="A500" s="7">
        <v>5.6003470821040304</v>
      </c>
      <c r="B500"/>
      <c r="C500"/>
      <c r="D500"/>
      <c r="E500"/>
      <c r="JI500" s="27" t="s">
        <v>8</v>
      </c>
      <c r="JK500" s="27" t="s">
        <v>8</v>
      </c>
      <c r="JP500" s="27" t="s">
        <v>7</v>
      </c>
      <c r="JQ500" s="27" t="s">
        <v>8</v>
      </c>
      <c r="JR500" s="27" t="s">
        <v>7</v>
      </c>
      <c r="JS500" s="27" t="s">
        <v>8</v>
      </c>
      <c r="JT500" s="27" t="s">
        <v>7</v>
      </c>
      <c r="JU500" s="27" t="s">
        <v>8</v>
      </c>
      <c r="JV500" s="27" t="s">
        <v>7</v>
      </c>
      <c r="JW500" s="27" t="s">
        <v>8</v>
      </c>
      <c r="LQ500" s="27" t="s">
        <v>8</v>
      </c>
      <c r="LR500" s="27" t="s">
        <v>7</v>
      </c>
      <c r="MY500" s="27" t="s">
        <v>8</v>
      </c>
      <c r="MZ500" s="27" t="s">
        <v>7</v>
      </c>
      <c r="NU500" s="27" t="s">
        <v>8</v>
      </c>
    </row>
    <row r="501" spans="1:386" x14ac:dyDescent="0.25">
      <c r="A501" s="7">
        <v>5.4905363550039512</v>
      </c>
      <c r="B501"/>
      <c r="C501"/>
      <c r="D501"/>
      <c r="E501"/>
      <c r="JI501" s="27" t="s">
        <v>8</v>
      </c>
      <c r="JJ501" s="27" t="s">
        <v>7</v>
      </c>
      <c r="JK501" s="27" t="s">
        <v>8</v>
      </c>
      <c r="JP501" s="27" t="s">
        <v>7</v>
      </c>
      <c r="JQ501" s="27" t="s">
        <v>8</v>
      </c>
      <c r="JR501" s="27" t="s">
        <v>7</v>
      </c>
      <c r="JS501" s="27" t="s">
        <v>8</v>
      </c>
      <c r="JT501" s="27" t="s">
        <v>7</v>
      </c>
      <c r="JU501" s="27" t="s">
        <v>8</v>
      </c>
      <c r="JV501" s="27" t="s">
        <v>7</v>
      </c>
      <c r="JW501" s="27" t="s">
        <v>8</v>
      </c>
      <c r="JX501" s="27" t="s">
        <v>7</v>
      </c>
      <c r="LK501" s="27" t="s">
        <v>8</v>
      </c>
      <c r="LQ501" s="27" t="s">
        <v>8</v>
      </c>
      <c r="LR501" s="27" t="s">
        <v>7</v>
      </c>
      <c r="MY501" s="27" t="s">
        <v>8</v>
      </c>
      <c r="MZ501" s="27" t="s">
        <v>7</v>
      </c>
      <c r="NU501" s="27" t="s">
        <v>8</v>
      </c>
      <c r="NV501" s="27" t="s">
        <v>7</v>
      </c>
    </row>
    <row r="502" spans="1:386" x14ac:dyDescent="0.25">
      <c r="A502" s="7">
        <v>5.3828787794156385</v>
      </c>
      <c r="B502"/>
      <c r="C502"/>
      <c r="D502"/>
      <c r="E502"/>
      <c r="JI502" s="27" t="s">
        <v>8</v>
      </c>
      <c r="JJ502" s="27" t="s">
        <v>7</v>
      </c>
      <c r="JK502" s="27" t="s">
        <v>8</v>
      </c>
      <c r="JP502" s="27" t="s">
        <v>7</v>
      </c>
      <c r="JQ502" s="27" t="s">
        <v>8</v>
      </c>
      <c r="JR502" s="27" t="s">
        <v>7</v>
      </c>
      <c r="JS502" s="27" t="s">
        <v>8</v>
      </c>
      <c r="JT502" s="27" t="s">
        <v>7</v>
      </c>
      <c r="JU502" s="27" t="s">
        <v>8</v>
      </c>
      <c r="JV502" s="27" t="s">
        <v>7</v>
      </c>
      <c r="JW502" s="27" t="s">
        <v>8</v>
      </c>
      <c r="JX502" s="27" t="s">
        <v>7</v>
      </c>
      <c r="LK502" s="27" t="s">
        <v>8</v>
      </c>
      <c r="LL502" s="27" t="s">
        <v>7</v>
      </c>
      <c r="LQ502" s="27" t="s">
        <v>8</v>
      </c>
      <c r="LR502" s="27" t="s">
        <v>7</v>
      </c>
      <c r="MY502" s="27" t="s">
        <v>8</v>
      </c>
      <c r="MZ502" s="27" t="s">
        <v>7</v>
      </c>
      <c r="NU502" s="27" t="s">
        <v>8</v>
      </c>
      <c r="NV502" s="27" t="s">
        <v>7</v>
      </c>
    </row>
    <row r="503" spans="1:386" x14ac:dyDescent="0.25">
      <c r="A503" s="7">
        <v>5.2773321366819985</v>
      </c>
      <c r="B503"/>
      <c r="C503"/>
      <c r="D503"/>
      <c r="E503"/>
      <c r="JI503" s="27" t="s">
        <v>8</v>
      </c>
      <c r="JJ503" s="27" t="s">
        <v>7</v>
      </c>
      <c r="JK503" s="27" t="s">
        <v>8</v>
      </c>
      <c r="JP503" s="27" t="s">
        <v>7</v>
      </c>
      <c r="JQ503" s="27" t="s">
        <v>8</v>
      </c>
      <c r="JR503" s="27" t="s">
        <v>7</v>
      </c>
      <c r="JS503" s="27" t="s">
        <v>8</v>
      </c>
      <c r="JT503" s="27" t="s">
        <v>7</v>
      </c>
      <c r="JU503" s="27" t="s">
        <v>8</v>
      </c>
      <c r="JV503" s="27" t="s">
        <v>7</v>
      </c>
      <c r="JW503" s="27" t="s">
        <v>8</v>
      </c>
      <c r="JX503" s="27" t="s">
        <v>7</v>
      </c>
      <c r="LK503" s="27" t="s">
        <v>8</v>
      </c>
      <c r="LL503" s="27" t="s">
        <v>7</v>
      </c>
      <c r="LQ503" s="27" t="s">
        <v>8</v>
      </c>
      <c r="LR503" s="27" t="s">
        <v>7</v>
      </c>
      <c r="MY503" s="27" t="s">
        <v>8</v>
      </c>
      <c r="MZ503" s="27" t="s">
        <v>7</v>
      </c>
      <c r="NA503" s="27" t="s">
        <v>8</v>
      </c>
      <c r="NU503" s="27" t="s">
        <v>8</v>
      </c>
      <c r="NV503" s="27" t="s">
        <v>7</v>
      </c>
    </row>
    <row r="504" spans="1:386" x14ac:dyDescent="0.25">
      <c r="A504" s="7">
        <v>5.1738550359627435</v>
      </c>
      <c r="B504"/>
      <c r="C504"/>
      <c r="D504"/>
      <c r="E504"/>
      <c r="JI504" s="27" t="s">
        <v>8</v>
      </c>
      <c r="JJ504" s="27" t="s">
        <v>7</v>
      </c>
      <c r="JK504" s="27" t="s">
        <v>8</v>
      </c>
      <c r="JP504" s="27" t="s">
        <v>7</v>
      </c>
      <c r="JQ504" s="27" t="s">
        <v>8</v>
      </c>
      <c r="JR504" s="27" t="s">
        <v>7</v>
      </c>
      <c r="JS504" s="27" t="s">
        <v>8</v>
      </c>
      <c r="JT504" s="27" t="s">
        <v>7</v>
      </c>
      <c r="JU504" s="27" t="s">
        <v>8</v>
      </c>
      <c r="JV504" s="27" t="s">
        <v>7</v>
      </c>
      <c r="JW504" s="27" t="s">
        <v>8</v>
      </c>
      <c r="JX504" s="27" t="s">
        <v>7</v>
      </c>
      <c r="LK504" s="27" t="s">
        <v>8</v>
      </c>
      <c r="LL504" s="27" t="s">
        <v>7</v>
      </c>
      <c r="LQ504" s="27" t="s">
        <v>8</v>
      </c>
      <c r="LR504" s="27" t="s">
        <v>7</v>
      </c>
      <c r="MY504" s="27" t="s">
        <v>8</v>
      </c>
      <c r="MZ504" s="27" t="s">
        <v>7</v>
      </c>
      <c r="NA504" s="27" t="s">
        <v>8</v>
      </c>
      <c r="NB504" s="27" t="s">
        <v>7</v>
      </c>
      <c r="NC504" s="27" t="s">
        <v>8</v>
      </c>
      <c r="NU504" s="27" t="s">
        <v>8</v>
      </c>
      <c r="NV504" s="27" t="s">
        <v>7</v>
      </c>
    </row>
    <row r="505" spans="1:386" x14ac:dyDescent="0.25">
      <c r="A505" s="7">
        <v>5.07240689800269</v>
      </c>
      <c r="B505"/>
      <c r="C505"/>
      <c r="D505"/>
      <c r="E505"/>
      <c r="JI505" s="27" t="s">
        <v>8</v>
      </c>
      <c r="JJ505" s="27" t="s">
        <v>7</v>
      </c>
      <c r="JK505" s="27" t="s">
        <v>8</v>
      </c>
      <c r="JP505" s="27" t="s">
        <v>7</v>
      </c>
      <c r="JQ505" s="27" t="s">
        <v>8</v>
      </c>
      <c r="JR505" s="27" t="s">
        <v>7</v>
      </c>
      <c r="JS505" s="27" t="s">
        <v>8</v>
      </c>
      <c r="JT505" s="27" t="s">
        <v>7</v>
      </c>
      <c r="JU505" s="27" t="s">
        <v>8</v>
      </c>
      <c r="JV505" s="27" t="s">
        <v>7</v>
      </c>
      <c r="JX505" s="27" t="s">
        <v>7</v>
      </c>
      <c r="LK505" s="27" t="s">
        <v>8</v>
      </c>
      <c r="LL505" s="27" t="s">
        <v>7</v>
      </c>
      <c r="LQ505" s="27" t="s">
        <v>8</v>
      </c>
      <c r="LR505" s="27" t="s">
        <v>7</v>
      </c>
      <c r="MY505" s="27" t="s">
        <v>8</v>
      </c>
      <c r="MZ505" s="27" t="s">
        <v>7</v>
      </c>
      <c r="NA505" s="27" t="s">
        <v>8</v>
      </c>
      <c r="NB505" s="27" t="s">
        <v>7</v>
      </c>
      <c r="NC505" s="27" t="s">
        <v>8</v>
      </c>
      <c r="ND505" s="27" t="s">
        <v>7</v>
      </c>
      <c r="NU505" s="27" t="s">
        <v>8</v>
      </c>
      <c r="NV505" s="27" t="s">
        <v>7</v>
      </c>
    </row>
    <row r="506" spans="1:386" x14ac:dyDescent="0.25">
      <c r="A506" s="7">
        <v>4.9729479392183231</v>
      </c>
      <c r="B506"/>
      <c r="C506"/>
      <c r="D506"/>
      <c r="E506"/>
      <c r="JG506" s="27" t="s">
        <v>8</v>
      </c>
      <c r="JI506" s="27" t="s">
        <v>8</v>
      </c>
      <c r="JJ506" s="27" t="s">
        <v>7</v>
      </c>
      <c r="JK506" s="27" t="s">
        <v>8</v>
      </c>
      <c r="JP506" s="27" t="s">
        <v>7</v>
      </c>
      <c r="JQ506" s="27" t="s">
        <v>8</v>
      </c>
      <c r="JR506" s="27" t="s">
        <v>7</v>
      </c>
      <c r="JS506" s="27" t="s">
        <v>8</v>
      </c>
      <c r="JT506" s="27" t="s">
        <v>7</v>
      </c>
      <c r="JU506" s="27" t="s">
        <v>8</v>
      </c>
      <c r="JX506" s="27" t="s">
        <v>7</v>
      </c>
      <c r="LK506" s="27" t="s">
        <v>8</v>
      </c>
      <c r="LL506" s="27" t="s">
        <v>7</v>
      </c>
      <c r="LQ506" s="27" t="s">
        <v>8</v>
      </c>
      <c r="LR506" s="27" t="s">
        <v>7</v>
      </c>
      <c r="MM506" s="27" t="s">
        <v>8</v>
      </c>
      <c r="MY506" s="27" t="s">
        <v>8</v>
      </c>
      <c r="MZ506" s="27" t="s">
        <v>7</v>
      </c>
      <c r="NA506" s="27" t="s">
        <v>8</v>
      </c>
      <c r="NB506" s="27" t="s">
        <v>7</v>
      </c>
      <c r="NC506" s="27" t="s">
        <v>8</v>
      </c>
      <c r="ND506" s="27" t="s">
        <v>7</v>
      </c>
      <c r="NU506" s="27" t="s">
        <v>8</v>
      </c>
      <c r="NV506" s="27" t="s">
        <v>7</v>
      </c>
    </row>
    <row r="507" spans="1:386" x14ac:dyDescent="0.25">
      <c r="A507" s="7">
        <v>4.8754391560963954</v>
      </c>
      <c r="B507"/>
      <c r="C507"/>
      <c r="D507"/>
      <c r="E507"/>
      <c r="JG507" s="27" t="s">
        <v>8</v>
      </c>
      <c r="JH507" s="27" t="s">
        <v>7</v>
      </c>
      <c r="JI507" s="27" t="s">
        <v>8</v>
      </c>
      <c r="JJ507" s="27" t="s">
        <v>7</v>
      </c>
      <c r="JK507" s="27" t="s">
        <v>8</v>
      </c>
      <c r="JP507" s="27" t="s">
        <v>7</v>
      </c>
      <c r="JQ507" s="27" t="s">
        <v>8</v>
      </c>
      <c r="JR507" s="27" t="s">
        <v>7</v>
      </c>
      <c r="JS507" s="27" t="s">
        <v>8</v>
      </c>
      <c r="JT507" s="27" t="s">
        <v>7</v>
      </c>
      <c r="JU507" s="27" t="s">
        <v>8</v>
      </c>
      <c r="JX507" s="27" t="s">
        <v>7</v>
      </c>
      <c r="JY507" s="27" t="s">
        <v>8</v>
      </c>
      <c r="LG507" s="27" t="s">
        <v>8</v>
      </c>
      <c r="LI507" s="27" t="s">
        <v>8</v>
      </c>
      <c r="LK507" s="27" t="s">
        <v>8</v>
      </c>
      <c r="LL507" s="27" t="s">
        <v>7</v>
      </c>
      <c r="LO507" s="27" t="s">
        <v>8</v>
      </c>
      <c r="LQ507" s="27" t="s">
        <v>8</v>
      </c>
      <c r="LR507" s="27" t="s">
        <v>7</v>
      </c>
      <c r="MM507" s="27" t="s">
        <v>8</v>
      </c>
      <c r="MN507" s="27" t="s">
        <v>7</v>
      </c>
      <c r="MY507" s="27" t="s">
        <v>8</v>
      </c>
      <c r="MZ507" s="27" t="s">
        <v>7</v>
      </c>
      <c r="NA507" s="27" t="s">
        <v>8</v>
      </c>
      <c r="NB507" s="27" t="s">
        <v>7</v>
      </c>
      <c r="NC507" s="27" t="s">
        <v>8</v>
      </c>
      <c r="ND507" s="27" t="s">
        <v>7</v>
      </c>
      <c r="NU507" s="27" t="s">
        <v>8</v>
      </c>
      <c r="NV507" s="27" t="s">
        <v>7</v>
      </c>
    </row>
    <row r="508" spans="1:386" x14ac:dyDescent="0.25">
      <c r="A508" s="7">
        <v>4.7798423098984264</v>
      </c>
      <c r="B508"/>
      <c r="C508"/>
      <c r="D508"/>
      <c r="E508"/>
      <c r="JG508" s="27" t="s">
        <v>8</v>
      </c>
      <c r="JH508" s="27" t="s">
        <v>7</v>
      </c>
      <c r="JI508" s="27" t="s">
        <v>8</v>
      </c>
      <c r="JJ508" s="27" t="s">
        <v>7</v>
      </c>
      <c r="JK508" s="27" t="s">
        <v>8</v>
      </c>
      <c r="JP508" s="27" t="s">
        <v>7</v>
      </c>
      <c r="JQ508" s="27" t="s">
        <v>8</v>
      </c>
      <c r="JR508" s="27" t="s">
        <v>7</v>
      </c>
      <c r="JS508" s="27" t="s">
        <v>8</v>
      </c>
      <c r="JT508" s="27" t="s">
        <v>7</v>
      </c>
      <c r="JU508" s="27" t="s">
        <v>8</v>
      </c>
      <c r="JX508" s="27" t="s">
        <v>7</v>
      </c>
      <c r="JY508" s="27" t="s">
        <v>8</v>
      </c>
      <c r="JZ508" s="27" t="s">
        <v>7</v>
      </c>
      <c r="LG508" s="27" t="s">
        <v>8</v>
      </c>
      <c r="LH508" s="27" t="s">
        <v>7</v>
      </c>
      <c r="LI508" s="27" t="s">
        <v>8</v>
      </c>
      <c r="LJ508" s="27" t="s">
        <v>7</v>
      </c>
      <c r="LK508" s="27" t="s">
        <v>8</v>
      </c>
      <c r="LL508" s="27" t="s">
        <v>7</v>
      </c>
      <c r="LO508" s="27" t="s">
        <v>8</v>
      </c>
      <c r="LP508" s="27" t="s">
        <v>7</v>
      </c>
      <c r="LQ508" s="27" t="s">
        <v>8</v>
      </c>
      <c r="LR508" s="27" t="s">
        <v>7</v>
      </c>
      <c r="MM508" s="27" t="s">
        <v>8</v>
      </c>
      <c r="MN508" s="27" t="s">
        <v>7</v>
      </c>
      <c r="MY508" s="27" t="s">
        <v>8</v>
      </c>
      <c r="MZ508" s="27" t="s">
        <v>7</v>
      </c>
      <c r="NA508" s="27" t="s">
        <v>8</v>
      </c>
      <c r="NB508" s="27" t="s">
        <v>7</v>
      </c>
      <c r="NC508" s="27" t="s">
        <v>8</v>
      </c>
      <c r="ND508" s="27" t="s">
        <v>7</v>
      </c>
      <c r="NG508" s="27" t="s">
        <v>8</v>
      </c>
      <c r="NU508" s="27" t="s">
        <v>8</v>
      </c>
      <c r="NV508" s="27" t="s">
        <v>7</v>
      </c>
    </row>
    <row r="509" spans="1:386" x14ac:dyDescent="0.25">
      <c r="A509" s="7">
        <v>4.6861199116651235</v>
      </c>
      <c r="B509"/>
      <c r="C509"/>
      <c r="D509"/>
      <c r="E509"/>
      <c r="JG509" s="27" t="s">
        <v>8</v>
      </c>
      <c r="JH509" s="27" t="s">
        <v>7</v>
      </c>
      <c r="JI509" s="27" t="s">
        <v>8</v>
      </c>
      <c r="JJ509" s="27" t="s">
        <v>7</v>
      </c>
      <c r="JK509" s="27" t="s">
        <v>8</v>
      </c>
      <c r="JP509" s="27" t="s">
        <v>7</v>
      </c>
      <c r="JQ509" s="27" t="s">
        <v>8</v>
      </c>
      <c r="JR509" s="27" t="s">
        <v>7</v>
      </c>
      <c r="JS509" s="27" t="s">
        <v>8</v>
      </c>
      <c r="JT509" s="27" t="s">
        <v>7</v>
      </c>
      <c r="JU509" s="27" t="s">
        <v>8</v>
      </c>
      <c r="JX509" s="27" t="s">
        <v>7</v>
      </c>
      <c r="JY509" s="27" t="s">
        <v>8</v>
      </c>
      <c r="JZ509" s="27" t="s">
        <v>7</v>
      </c>
      <c r="LG509" s="27" t="s">
        <v>8</v>
      </c>
      <c r="LH509" s="27" t="s">
        <v>7</v>
      </c>
      <c r="LI509" s="27" t="s">
        <v>8</v>
      </c>
      <c r="LJ509" s="27" t="s">
        <v>7</v>
      </c>
      <c r="LK509" s="27" t="s">
        <v>8</v>
      </c>
      <c r="LL509" s="27" t="s">
        <v>7</v>
      </c>
      <c r="LM509" s="27" t="s">
        <v>8</v>
      </c>
      <c r="LO509" s="27" t="s">
        <v>8</v>
      </c>
      <c r="LP509" s="27" t="s">
        <v>7</v>
      </c>
      <c r="LQ509" s="27" t="s">
        <v>8</v>
      </c>
      <c r="LR509" s="27" t="s">
        <v>7</v>
      </c>
      <c r="MK509" s="27" t="s">
        <v>8</v>
      </c>
      <c r="MM509" s="27" t="s">
        <v>8</v>
      </c>
      <c r="MN509" s="27" t="s">
        <v>7</v>
      </c>
      <c r="MO509" s="27" t="s">
        <v>8</v>
      </c>
      <c r="MY509" s="27" t="s">
        <v>8</v>
      </c>
      <c r="MZ509" s="27" t="s">
        <v>7</v>
      </c>
      <c r="NB509" s="27" t="s">
        <v>7</v>
      </c>
      <c r="ND509" s="27" t="s">
        <v>7</v>
      </c>
      <c r="NG509" s="27" t="s">
        <v>8</v>
      </c>
      <c r="NH509" s="27" t="s">
        <v>7</v>
      </c>
      <c r="NU509" s="27" t="s">
        <v>8</v>
      </c>
      <c r="NV509" s="27" t="s">
        <v>7</v>
      </c>
    </row>
    <row r="510" spans="1:386" x14ac:dyDescent="0.25">
      <c r="A510" s="7">
        <v>4.5942352075148269</v>
      </c>
      <c r="B510"/>
      <c r="C510"/>
      <c r="D510"/>
      <c r="E510"/>
      <c r="JG510" s="27" t="s">
        <v>8</v>
      </c>
      <c r="JH510" s="27" t="s">
        <v>7</v>
      </c>
      <c r="JI510" s="27" t="s">
        <v>8</v>
      </c>
      <c r="JJ510" s="27" t="s">
        <v>7</v>
      </c>
      <c r="JK510" s="27" t="s">
        <v>8</v>
      </c>
      <c r="JP510" s="27" t="s">
        <v>7</v>
      </c>
      <c r="JQ510" s="27" t="s">
        <v>8</v>
      </c>
      <c r="JR510" s="27" t="s">
        <v>7</v>
      </c>
      <c r="JS510" s="27" t="s">
        <v>8</v>
      </c>
      <c r="JT510" s="27" t="s">
        <v>7</v>
      </c>
      <c r="JU510" s="27" t="s">
        <v>8</v>
      </c>
      <c r="JX510" s="27" t="s">
        <v>7</v>
      </c>
      <c r="JY510" s="27" t="s">
        <v>8</v>
      </c>
      <c r="JZ510" s="27" t="s">
        <v>7</v>
      </c>
      <c r="KC510" s="27" t="s">
        <v>8</v>
      </c>
      <c r="LG510" s="27" t="s">
        <v>8</v>
      </c>
      <c r="LH510" s="27" t="s">
        <v>7</v>
      </c>
      <c r="LI510" s="27" t="s">
        <v>8</v>
      </c>
      <c r="LJ510" s="27" t="s">
        <v>7</v>
      </c>
      <c r="LK510" s="27" t="s">
        <v>8</v>
      </c>
      <c r="LL510" s="27" t="s">
        <v>7</v>
      </c>
      <c r="LM510" s="27" t="s">
        <v>8</v>
      </c>
      <c r="LN510" s="27" t="s">
        <v>7</v>
      </c>
      <c r="LO510" s="27" t="s">
        <v>8</v>
      </c>
      <c r="LP510" s="27" t="s">
        <v>7</v>
      </c>
      <c r="LQ510" s="27" t="s">
        <v>8</v>
      </c>
      <c r="LR510" s="27" t="s">
        <v>7</v>
      </c>
      <c r="MK510" s="27" t="s">
        <v>8</v>
      </c>
      <c r="ML510" s="27" t="s">
        <v>7</v>
      </c>
      <c r="MM510" s="27" t="s">
        <v>8</v>
      </c>
      <c r="MN510" s="27" t="s">
        <v>7</v>
      </c>
      <c r="MO510" s="27" t="s">
        <v>8</v>
      </c>
      <c r="MP510" s="27" t="s">
        <v>7</v>
      </c>
      <c r="MY510" s="27" t="s">
        <v>8</v>
      </c>
      <c r="ND510" s="27" t="s">
        <v>7</v>
      </c>
      <c r="NE510" s="27" t="s">
        <v>8</v>
      </c>
      <c r="NG510" s="27" t="s">
        <v>8</v>
      </c>
      <c r="NH510" s="27" t="s">
        <v>7</v>
      </c>
      <c r="NU510" s="27" t="s">
        <v>8</v>
      </c>
      <c r="NV510" s="27" t="s">
        <v>7</v>
      </c>
    </row>
    <row r="511" spans="1:386" x14ac:dyDescent="0.25">
      <c r="A511" s="7">
        <v>4.5041521642302227</v>
      </c>
      <c r="B511"/>
      <c r="C511"/>
      <c r="D511"/>
      <c r="E511"/>
      <c r="JG511" s="27" t="s">
        <v>8</v>
      </c>
      <c r="JH511" s="27" t="s">
        <v>7</v>
      </c>
      <c r="JI511" s="27" t="s">
        <v>8</v>
      </c>
      <c r="JJ511" s="27" t="s">
        <v>7</v>
      </c>
      <c r="JK511" s="27" t="s">
        <v>8</v>
      </c>
      <c r="JP511" s="27" t="s">
        <v>7</v>
      </c>
      <c r="JQ511" s="27" t="s">
        <v>8</v>
      </c>
      <c r="JR511" s="27" t="s">
        <v>7</v>
      </c>
      <c r="JS511" s="27" t="s">
        <v>8</v>
      </c>
      <c r="JT511" s="27" t="s">
        <v>7</v>
      </c>
      <c r="JU511" s="27" t="s">
        <v>8</v>
      </c>
      <c r="JX511" s="27" t="s">
        <v>7</v>
      </c>
      <c r="JY511" s="27" t="s">
        <v>8</v>
      </c>
      <c r="JZ511" s="27" t="s">
        <v>7</v>
      </c>
      <c r="KC511" s="27" t="s">
        <v>8</v>
      </c>
      <c r="KD511" s="27" t="s">
        <v>7</v>
      </c>
      <c r="LG511" s="27" t="s">
        <v>8</v>
      </c>
      <c r="LH511" s="27" t="s">
        <v>7</v>
      </c>
      <c r="LI511" s="27" t="s">
        <v>8</v>
      </c>
      <c r="LJ511" s="27" t="s">
        <v>7</v>
      </c>
      <c r="LL511" s="27" t="s">
        <v>7</v>
      </c>
      <c r="LM511" s="27" t="s">
        <v>8</v>
      </c>
      <c r="LN511" s="27" t="s">
        <v>7</v>
      </c>
      <c r="LO511" s="27" t="s">
        <v>8</v>
      </c>
      <c r="LP511" s="27" t="s">
        <v>7</v>
      </c>
      <c r="LQ511" s="27" t="s">
        <v>8</v>
      </c>
      <c r="LR511" s="27" t="s">
        <v>7</v>
      </c>
      <c r="MK511" s="27" t="s">
        <v>8</v>
      </c>
      <c r="ML511" s="27" t="s">
        <v>7</v>
      </c>
      <c r="MM511" s="27" t="s">
        <v>8</v>
      </c>
      <c r="MN511" s="27" t="s">
        <v>7</v>
      </c>
      <c r="MO511" s="27" t="s">
        <v>8</v>
      </c>
      <c r="MP511" s="27" t="s">
        <v>7</v>
      </c>
      <c r="MQ511" s="27" t="s">
        <v>8</v>
      </c>
      <c r="MW511" s="27" t="s">
        <v>8</v>
      </c>
      <c r="MY511" s="27" t="s">
        <v>8</v>
      </c>
      <c r="ND511" s="27" t="s">
        <v>7</v>
      </c>
      <c r="NE511" s="27" t="s">
        <v>8</v>
      </c>
      <c r="NF511" s="27" t="s">
        <v>7</v>
      </c>
      <c r="NG511" s="27" t="s">
        <v>8</v>
      </c>
      <c r="NH511" s="27" t="s">
        <v>7</v>
      </c>
      <c r="NO511" s="27" t="s">
        <v>8</v>
      </c>
      <c r="NU511" s="27" t="s">
        <v>8</v>
      </c>
      <c r="NV511" s="27" t="s">
        <v>7</v>
      </c>
    </row>
    <row r="512" spans="1:386" x14ac:dyDescent="0.25">
      <c r="A512" s="7">
        <v>4.4158354551276693</v>
      </c>
      <c r="B512"/>
      <c r="C512"/>
      <c r="D512"/>
      <c r="E512"/>
      <c r="JG512" s="27" t="s">
        <v>8</v>
      </c>
      <c r="JH512" s="27" t="s">
        <v>7</v>
      </c>
      <c r="JI512" s="27" t="s">
        <v>8</v>
      </c>
      <c r="JJ512" s="27" t="s">
        <v>7</v>
      </c>
      <c r="JK512" s="27" t="s">
        <v>8</v>
      </c>
      <c r="JP512" s="27" t="s">
        <v>7</v>
      </c>
      <c r="JQ512" s="27" t="s">
        <v>8</v>
      </c>
      <c r="JR512" s="27" t="s">
        <v>7</v>
      </c>
      <c r="JS512" s="27" t="s">
        <v>8</v>
      </c>
      <c r="JT512" s="27" t="s">
        <v>7</v>
      </c>
      <c r="JU512" s="27" t="s">
        <v>8</v>
      </c>
      <c r="JX512" s="27" t="s">
        <v>7</v>
      </c>
      <c r="JZ512" s="27" t="s">
        <v>7</v>
      </c>
      <c r="KC512" s="27" t="s">
        <v>8</v>
      </c>
      <c r="KD512" s="27" t="s">
        <v>7</v>
      </c>
      <c r="LG512" s="27" t="s">
        <v>8</v>
      </c>
      <c r="LH512" s="27" t="s">
        <v>7</v>
      </c>
      <c r="LI512" s="27" t="s">
        <v>8</v>
      </c>
      <c r="LL512" s="27" t="s">
        <v>7</v>
      </c>
      <c r="LM512" s="27" t="s">
        <v>8</v>
      </c>
      <c r="LN512" s="27" t="s">
        <v>7</v>
      </c>
      <c r="LO512" s="27" t="s">
        <v>8</v>
      </c>
      <c r="LP512" s="27" t="s">
        <v>7</v>
      </c>
      <c r="LR512" s="27" t="s">
        <v>7</v>
      </c>
      <c r="LW512" s="27" t="s">
        <v>8</v>
      </c>
      <c r="MK512" s="27" t="s">
        <v>8</v>
      </c>
      <c r="ML512" s="27" t="s">
        <v>7</v>
      </c>
      <c r="MM512" s="27" t="s">
        <v>8</v>
      </c>
      <c r="MN512" s="27" t="s">
        <v>7</v>
      </c>
      <c r="MO512" s="27" t="s">
        <v>8</v>
      </c>
      <c r="MP512" s="27" t="s">
        <v>7</v>
      </c>
      <c r="MQ512" s="27" t="s">
        <v>8</v>
      </c>
      <c r="MR512" s="27" t="s">
        <v>7</v>
      </c>
      <c r="MW512" s="27" t="s">
        <v>8</v>
      </c>
      <c r="MX512" s="27" t="s">
        <v>7</v>
      </c>
      <c r="MY512" s="27" t="s">
        <v>8</v>
      </c>
      <c r="ND512" s="27" t="s">
        <v>7</v>
      </c>
      <c r="NE512" s="27" t="s">
        <v>8</v>
      </c>
      <c r="NF512" s="27" t="s">
        <v>7</v>
      </c>
      <c r="NG512" s="27" t="s">
        <v>8</v>
      </c>
      <c r="NH512" s="27" t="s">
        <v>7</v>
      </c>
      <c r="NO512" s="27" t="s">
        <v>8</v>
      </c>
      <c r="NP512" s="27" t="s">
        <v>7</v>
      </c>
      <c r="NU512" s="27" t="s">
        <v>8</v>
      </c>
      <c r="NV512" s="27" t="s">
        <v>7</v>
      </c>
    </row>
    <row r="513" spans="1:404" x14ac:dyDescent="0.25">
      <c r="A513" s="7">
        <v>4.3292504462035977</v>
      </c>
      <c r="B513"/>
      <c r="C513"/>
      <c r="D513"/>
      <c r="E513"/>
      <c r="JG513" s="27" t="s">
        <v>8</v>
      </c>
      <c r="JH513" s="27" t="s">
        <v>7</v>
      </c>
      <c r="JI513" s="27" t="s">
        <v>8</v>
      </c>
      <c r="JJ513" s="27" t="s">
        <v>7</v>
      </c>
      <c r="JK513" s="27" t="s">
        <v>8</v>
      </c>
      <c r="JP513" s="27" t="s">
        <v>7</v>
      </c>
      <c r="JQ513" s="27" t="s">
        <v>8</v>
      </c>
      <c r="JR513" s="27" t="s">
        <v>7</v>
      </c>
      <c r="JS513" s="27" t="s">
        <v>8</v>
      </c>
      <c r="JT513" s="27" t="s">
        <v>7</v>
      </c>
      <c r="JU513" s="27" t="s">
        <v>8</v>
      </c>
      <c r="JZ513" s="27" t="s">
        <v>7</v>
      </c>
      <c r="KC513" s="27" t="s">
        <v>8</v>
      </c>
      <c r="KD513" s="27" t="s">
        <v>7</v>
      </c>
      <c r="LE513" s="27" t="s">
        <v>8</v>
      </c>
      <c r="LG513" s="27" t="s">
        <v>8</v>
      </c>
      <c r="LH513" s="27" t="s">
        <v>7</v>
      </c>
      <c r="LI513" s="27" t="s">
        <v>8</v>
      </c>
      <c r="LL513" s="27" t="s">
        <v>7</v>
      </c>
      <c r="LM513" s="27" t="s">
        <v>8</v>
      </c>
      <c r="LN513" s="27" t="s">
        <v>7</v>
      </c>
      <c r="LR513" s="27" t="s">
        <v>7</v>
      </c>
      <c r="LW513" s="27" t="s">
        <v>8</v>
      </c>
      <c r="LX513" s="27" t="s">
        <v>7</v>
      </c>
      <c r="MK513" s="27" t="s">
        <v>8</v>
      </c>
      <c r="ML513" s="27" t="s">
        <v>7</v>
      </c>
      <c r="MM513" s="27" t="s">
        <v>8</v>
      </c>
      <c r="MN513" s="27" t="s">
        <v>7</v>
      </c>
      <c r="MO513" s="27" t="s">
        <v>8</v>
      </c>
      <c r="MP513" s="27" t="s">
        <v>7</v>
      </c>
      <c r="MQ513" s="27" t="s">
        <v>8</v>
      </c>
      <c r="MR513" s="27" t="s">
        <v>7</v>
      </c>
      <c r="MS513" s="27" t="s">
        <v>8</v>
      </c>
      <c r="MW513" s="27" t="s">
        <v>8</v>
      </c>
      <c r="MX513" s="27" t="s">
        <v>7</v>
      </c>
      <c r="MY513" s="27" t="s">
        <v>8</v>
      </c>
      <c r="ND513" s="27" t="s">
        <v>7</v>
      </c>
      <c r="NE513" s="27" t="s">
        <v>8</v>
      </c>
      <c r="NF513" s="27" t="s">
        <v>7</v>
      </c>
      <c r="NG513" s="27" t="s">
        <v>8</v>
      </c>
      <c r="NH513" s="27" t="s">
        <v>7</v>
      </c>
      <c r="NK513" s="27" t="s">
        <v>8</v>
      </c>
      <c r="NO513" s="27" t="s">
        <v>8</v>
      </c>
      <c r="NP513" s="27" t="s">
        <v>7</v>
      </c>
      <c r="NQ513" s="27" t="s">
        <v>8</v>
      </c>
      <c r="NU513" s="27" t="s">
        <v>8</v>
      </c>
      <c r="NV513" s="27" t="s">
        <v>7</v>
      </c>
    </row>
    <row r="514" spans="1:404" x14ac:dyDescent="0.25">
      <c r="A514" s="7">
        <v>4.2443631825525463</v>
      </c>
      <c r="B514"/>
      <c r="C514"/>
      <c r="D514"/>
      <c r="E514"/>
      <c r="JG514" s="27" t="s">
        <v>8</v>
      </c>
      <c r="JH514" s="27" t="s">
        <v>7</v>
      </c>
      <c r="JI514" s="27" t="s">
        <v>8</v>
      </c>
      <c r="JJ514" s="27" t="s">
        <v>7</v>
      </c>
      <c r="JK514" s="27" t="s">
        <v>8</v>
      </c>
      <c r="JP514" s="27" t="s">
        <v>7</v>
      </c>
      <c r="JQ514" s="27" t="s">
        <v>8</v>
      </c>
      <c r="JR514" s="27" t="s">
        <v>7</v>
      </c>
      <c r="JS514" s="27" t="s">
        <v>8</v>
      </c>
      <c r="JT514" s="27" t="s">
        <v>7</v>
      </c>
      <c r="JZ514" s="27" t="s">
        <v>7</v>
      </c>
      <c r="KC514" s="27" t="s">
        <v>8</v>
      </c>
      <c r="KD514" s="27" t="s">
        <v>7</v>
      </c>
      <c r="LE514" s="27" t="s">
        <v>8</v>
      </c>
      <c r="LF514" s="27" t="s">
        <v>7</v>
      </c>
      <c r="LG514" s="27" t="s">
        <v>8</v>
      </c>
      <c r="LH514" s="27" t="s">
        <v>7</v>
      </c>
      <c r="LI514" s="27" t="s">
        <v>8</v>
      </c>
      <c r="LL514" s="27" t="s">
        <v>7</v>
      </c>
      <c r="LR514" s="27" t="s">
        <v>7</v>
      </c>
      <c r="LS514" s="27" t="s">
        <v>8</v>
      </c>
      <c r="LU514" s="27" t="s">
        <v>8</v>
      </c>
      <c r="LW514" s="27" t="s">
        <v>8</v>
      </c>
      <c r="LX514" s="27" t="s">
        <v>7</v>
      </c>
      <c r="MK514" s="27" t="s">
        <v>8</v>
      </c>
      <c r="ML514" s="27" t="s">
        <v>7</v>
      </c>
      <c r="MN514" s="27" t="s">
        <v>7</v>
      </c>
      <c r="MP514" s="27" t="s">
        <v>7</v>
      </c>
      <c r="MQ514" s="27" t="s">
        <v>8</v>
      </c>
      <c r="MR514" s="27" t="s">
        <v>7</v>
      </c>
      <c r="MS514" s="27" t="s">
        <v>8</v>
      </c>
      <c r="MT514" s="27" t="s">
        <v>7</v>
      </c>
      <c r="MU514" s="27" t="s">
        <v>8</v>
      </c>
      <c r="MW514" s="27" t="s">
        <v>8</v>
      </c>
      <c r="MX514" s="27" t="s">
        <v>7</v>
      </c>
      <c r="ND514" s="27" t="s">
        <v>7</v>
      </c>
      <c r="NE514" s="27" t="s">
        <v>8</v>
      </c>
      <c r="NF514" s="27" t="s">
        <v>7</v>
      </c>
      <c r="NH514" s="27" t="s">
        <v>7</v>
      </c>
      <c r="NK514" s="27" t="s">
        <v>8</v>
      </c>
      <c r="NL514" s="27" t="s">
        <v>7</v>
      </c>
      <c r="NM514" s="27" t="s">
        <v>8</v>
      </c>
      <c r="NO514" s="27" t="s">
        <v>8</v>
      </c>
      <c r="NP514" s="27" t="s">
        <v>7</v>
      </c>
      <c r="NQ514" s="27" t="s">
        <v>8</v>
      </c>
      <c r="NR514" s="27" t="s">
        <v>7</v>
      </c>
      <c r="NS514" s="27" t="s">
        <v>8</v>
      </c>
      <c r="NU514" s="27" t="s">
        <v>8</v>
      </c>
      <c r="NV514" s="27" t="s">
        <v>7</v>
      </c>
    </row>
    <row r="515" spans="1:404" x14ac:dyDescent="0.25">
      <c r="A515" s="7">
        <v>4.1611403750515157</v>
      </c>
      <c r="B515"/>
      <c r="C515"/>
      <c r="D515"/>
      <c r="E515"/>
      <c r="JG515" s="27" t="s">
        <v>8</v>
      </c>
      <c r="JH515" s="27" t="s">
        <v>7</v>
      </c>
      <c r="JI515" s="27" t="s">
        <v>8</v>
      </c>
      <c r="JJ515" s="27" t="s">
        <v>7</v>
      </c>
      <c r="JK515" s="27" t="s">
        <v>8</v>
      </c>
      <c r="JP515" s="27" t="s">
        <v>7</v>
      </c>
      <c r="JQ515" s="27" t="s">
        <v>8</v>
      </c>
      <c r="JR515" s="27" t="s">
        <v>7</v>
      </c>
      <c r="JS515" s="27" t="s">
        <v>8</v>
      </c>
      <c r="JZ515" s="27" t="s">
        <v>7</v>
      </c>
      <c r="KA515" s="27" t="s">
        <v>8</v>
      </c>
      <c r="KC515" s="27" t="s">
        <v>8</v>
      </c>
      <c r="KD515" s="27" t="s">
        <v>7</v>
      </c>
      <c r="LC515" s="27" t="s">
        <v>8</v>
      </c>
      <c r="LE515" s="27" t="s">
        <v>8</v>
      </c>
      <c r="LF515" s="27" t="s">
        <v>7</v>
      </c>
      <c r="LG515" s="27" t="s">
        <v>8</v>
      </c>
      <c r="LH515" s="27" t="s">
        <v>7</v>
      </c>
      <c r="LI515" s="27" t="s">
        <v>8</v>
      </c>
      <c r="LR515" s="27" t="s">
        <v>7</v>
      </c>
      <c r="LS515" s="27" t="s">
        <v>8</v>
      </c>
      <c r="LT515" s="27" t="s">
        <v>7</v>
      </c>
      <c r="LU515" s="27" t="s">
        <v>8</v>
      </c>
      <c r="LV515" s="27" t="s">
        <v>7</v>
      </c>
      <c r="LW515" s="27" t="s">
        <v>8</v>
      </c>
      <c r="LX515" s="27" t="s">
        <v>7</v>
      </c>
      <c r="LY515" s="27" t="s">
        <v>8</v>
      </c>
      <c r="MI515" s="27" t="s">
        <v>8</v>
      </c>
      <c r="MK515" s="27" t="s">
        <v>8</v>
      </c>
      <c r="MP515" s="27" t="s">
        <v>7</v>
      </c>
      <c r="MQ515" s="27" t="s">
        <v>8</v>
      </c>
      <c r="MR515" s="27" t="s">
        <v>7</v>
      </c>
      <c r="MS515" s="27" t="s">
        <v>8</v>
      </c>
      <c r="MT515" s="27" t="s">
        <v>7</v>
      </c>
      <c r="MU515" s="27" t="s">
        <v>8</v>
      </c>
      <c r="MV515" s="27" t="s">
        <v>7</v>
      </c>
      <c r="MW515" s="27" t="s">
        <v>8</v>
      </c>
      <c r="ND515" s="27" t="s">
        <v>7</v>
      </c>
      <c r="NH515" s="27" t="s">
        <v>7</v>
      </c>
      <c r="NI515" s="27" t="s">
        <v>8</v>
      </c>
      <c r="NK515" s="27" t="s">
        <v>8</v>
      </c>
      <c r="NL515" s="27" t="s">
        <v>7</v>
      </c>
      <c r="NM515" s="27" t="s">
        <v>8</v>
      </c>
      <c r="NN515" s="27" t="s">
        <v>7</v>
      </c>
      <c r="NO515" s="27" t="s">
        <v>8</v>
      </c>
      <c r="NP515" s="27" t="s">
        <v>7</v>
      </c>
      <c r="NQ515" s="27" t="s">
        <v>8</v>
      </c>
      <c r="NR515" s="27" t="s">
        <v>7</v>
      </c>
      <c r="NS515" s="27" t="s">
        <v>8</v>
      </c>
      <c r="NT515" s="27" t="s">
        <v>7</v>
      </c>
      <c r="NU515" s="27" t="s">
        <v>8</v>
      </c>
      <c r="NV515" s="27" t="s">
        <v>7</v>
      </c>
    </row>
    <row r="516" spans="1:404" x14ac:dyDescent="0.25">
      <c r="A516" s="7">
        <v>4.0795493873054074</v>
      </c>
      <c r="B516"/>
      <c r="C516"/>
      <c r="D516"/>
      <c r="E516"/>
      <c r="JG516" s="27" t="s">
        <v>8</v>
      </c>
      <c r="JH516" s="27" t="s">
        <v>7</v>
      </c>
      <c r="JJ516" s="27" t="s">
        <v>7</v>
      </c>
      <c r="JP516" s="27" t="s">
        <v>7</v>
      </c>
      <c r="JQ516" s="27" t="s">
        <v>8</v>
      </c>
      <c r="JR516" s="27" t="s">
        <v>7</v>
      </c>
      <c r="JZ516" s="27" t="s">
        <v>7</v>
      </c>
      <c r="KA516" s="27" t="s">
        <v>8</v>
      </c>
      <c r="KB516" s="27" t="s">
        <v>7</v>
      </c>
      <c r="KC516" s="27" t="s">
        <v>8</v>
      </c>
      <c r="KD516" s="27" t="s">
        <v>7</v>
      </c>
      <c r="LC516" s="27" t="s">
        <v>8</v>
      </c>
      <c r="LD516" s="27" t="s">
        <v>7</v>
      </c>
      <c r="LE516" s="27" t="s">
        <v>8</v>
      </c>
      <c r="LF516" s="27" t="s">
        <v>7</v>
      </c>
      <c r="LG516" s="27" t="s">
        <v>8</v>
      </c>
      <c r="LH516" s="27" t="s">
        <v>7</v>
      </c>
      <c r="LI516" s="27" t="s">
        <v>8</v>
      </c>
      <c r="LR516" s="27" t="s">
        <v>7</v>
      </c>
      <c r="LS516" s="27" t="s">
        <v>8</v>
      </c>
      <c r="LT516" s="27" t="s">
        <v>7</v>
      </c>
      <c r="LU516" s="27" t="s">
        <v>8</v>
      </c>
      <c r="LV516" s="27" t="s">
        <v>7</v>
      </c>
      <c r="LW516" s="27" t="s">
        <v>8</v>
      </c>
      <c r="LX516" s="27" t="s">
        <v>7</v>
      </c>
      <c r="LY516" s="27" t="s">
        <v>8</v>
      </c>
      <c r="LZ516" s="27" t="s">
        <v>7</v>
      </c>
      <c r="MG516" s="27" t="s">
        <v>8</v>
      </c>
      <c r="MI516" s="27" t="s">
        <v>8</v>
      </c>
      <c r="MJ516" s="27" t="s">
        <v>7</v>
      </c>
      <c r="MK516" s="27" t="s">
        <v>8</v>
      </c>
      <c r="MP516" s="27" t="s">
        <v>7</v>
      </c>
      <c r="MR516" s="27" t="s">
        <v>7</v>
      </c>
      <c r="MS516" s="27" t="s">
        <v>8</v>
      </c>
      <c r="MT516" s="27" t="s">
        <v>7</v>
      </c>
      <c r="MU516" s="27" t="s">
        <v>8</v>
      </c>
      <c r="MV516" s="27" t="s">
        <v>7</v>
      </c>
      <c r="MW516" s="27" t="s">
        <v>8</v>
      </c>
      <c r="NH516" s="27" t="s">
        <v>7</v>
      </c>
      <c r="NI516" s="27" t="s">
        <v>8</v>
      </c>
      <c r="NJ516" s="27" t="s">
        <v>7</v>
      </c>
      <c r="NK516" s="27" t="s">
        <v>8</v>
      </c>
      <c r="NL516" s="27" t="s">
        <v>7</v>
      </c>
      <c r="NM516" s="27" t="s">
        <v>8</v>
      </c>
      <c r="NN516" s="27" t="s">
        <v>7</v>
      </c>
      <c r="NO516" s="27" t="s">
        <v>8</v>
      </c>
      <c r="NP516" s="27" t="s">
        <v>7</v>
      </c>
      <c r="NQ516" s="27" t="s">
        <v>8</v>
      </c>
      <c r="NR516" s="27" t="s">
        <v>7</v>
      </c>
      <c r="NS516" s="27" t="s">
        <v>8</v>
      </c>
      <c r="NT516" s="27" t="s">
        <v>7</v>
      </c>
      <c r="NU516" s="27" t="s">
        <v>8</v>
      </c>
      <c r="NV516" s="27" t="s">
        <v>7</v>
      </c>
    </row>
    <row r="517" spans="1:404" x14ac:dyDescent="0.25">
      <c r="A517" s="7">
        <v>3.9995582228484383</v>
      </c>
      <c r="B517"/>
      <c r="C517"/>
      <c r="D517"/>
      <c r="E517"/>
      <c r="JG517" s="27" t="s">
        <v>8</v>
      </c>
      <c r="JP517" s="27" t="s">
        <v>7</v>
      </c>
      <c r="JQ517" s="27" t="s">
        <v>8</v>
      </c>
      <c r="JZ517" s="27" t="s">
        <v>7</v>
      </c>
      <c r="KA517" s="27" t="s">
        <v>8</v>
      </c>
      <c r="KB517" s="27" t="s">
        <v>7</v>
      </c>
      <c r="KC517" s="27" t="s">
        <v>8</v>
      </c>
      <c r="KD517" s="27" t="s">
        <v>7</v>
      </c>
      <c r="LC517" s="27" t="s">
        <v>8</v>
      </c>
      <c r="LD517" s="27" t="s">
        <v>7</v>
      </c>
      <c r="LE517" s="27" t="s">
        <v>8</v>
      </c>
      <c r="LF517" s="27" t="s">
        <v>7</v>
      </c>
      <c r="LG517" s="27" t="s">
        <v>8</v>
      </c>
      <c r="LH517" s="27" t="s">
        <v>7</v>
      </c>
      <c r="LI517" s="27" t="s">
        <v>8</v>
      </c>
      <c r="LR517" s="27" t="s">
        <v>7</v>
      </c>
      <c r="LS517" s="27" t="s">
        <v>8</v>
      </c>
      <c r="LT517" s="27" t="s">
        <v>7</v>
      </c>
      <c r="LU517" s="27" t="s">
        <v>8</v>
      </c>
      <c r="LV517" s="27" t="s">
        <v>7</v>
      </c>
      <c r="LW517" s="27" t="s">
        <v>8</v>
      </c>
      <c r="LX517" s="27" t="s">
        <v>7</v>
      </c>
      <c r="LY517" s="27" t="s">
        <v>8</v>
      </c>
      <c r="LZ517" s="27" t="s">
        <v>7</v>
      </c>
      <c r="MG517" s="27" t="s">
        <v>8</v>
      </c>
      <c r="MH517" s="27" t="s">
        <v>7</v>
      </c>
      <c r="MI517" s="27" t="s">
        <v>8</v>
      </c>
      <c r="MJ517" s="27" t="s">
        <v>7</v>
      </c>
      <c r="MK517" s="27" t="s">
        <v>8</v>
      </c>
      <c r="MR517" s="27" t="s">
        <v>7</v>
      </c>
      <c r="MS517" s="27" t="s">
        <v>8</v>
      </c>
      <c r="MT517" s="27" t="s">
        <v>7</v>
      </c>
      <c r="MU517" s="27" t="s">
        <v>8</v>
      </c>
      <c r="MV517" s="27" t="s">
        <v>7</v>
      </c>
      <c r="NH517" s="27" t="s">
        <v>7</v>
      </c>
      <c r="NI517" s="27" t="s">
        <v>8</v>
      </c>
      <c r="NJ517" s="27" t="s">
        <v>7</v>
      </c>
      <c r="NK517" s="27" t="s">
        <v>8</v>
      </c>
      <c r="NL517" s="27" t="s">
        <v>7</v>
      </c>
      <c r="NM517" s="27" t="s">
        <v>8</v>
      </c>
      <c r="NN517" s="27" t="s">
        <v>7</v>
      </c>
      <c r="NO517" s="27" t="s">
        <v>8</v>
      </c>
      <c r="NP517" s="27" t="s">
        <v>7</v>
      </c>
      <c r="NQ517" s="27" t="s">
        <v>8</v>
      </c>
      <c r="NR517" s="27" t="s">
        <v>7</v>
      </c>
      <c r="NT517" s="27" t="s">
        <v>7</v>
      </c>
      <c r="NU517" s="27" t="s">
        <v>8</v>
      </c>
      <c r="NV517" s="27" t="s">
        <v>7</v>
      </c>
    </row>
    <row r="518" spans="1:404" x14ac:dyDescent="0.25">
      <c r="A518" s="7">
        <v>3.9211355125965079</v>
      </c>
      <c r="B518"/>
      <c r="C518"/>
      <c r="D518"/>
      <c r="E518"/>
      <c r="JG518" s="27" t="s">
        <v>8</v>
      </c>
      <c r="JP518" s="27" t="s">
        <v>7</v>
      </c>
      <c r="JQ518" s="27" t="s">
        <v>8</v>
      </c>
      <c r="JZ518" s="27" t="s">
        <v>7</v>
      </c>
      <c r="KA518" s="27" t="s">
        <v>8</v>
      </c>
      <c r="KB518" s="27" t="s">
        <v>7</v>
      </c>
      <c r="KC518" s="27" t="s">
        <v>8</v>
      </c>
      <c r="KD518" s="27" t="s">
        <v>7</v>
      </c>
      <c r="LA518" s="27" t="s">
        <v>8</v>
      </c>
      <c r="LC518" s="27" t="s">
        <v>8</v>
      </c>
      <c r="LD518" s="27" t="s">
        <v>7</v>
      </c>
      <c r="LE518" s="27" t="s">
        <v>8</v>
      </c>
      <c r="LF518" s="27" t="s">
        <v>7</v>
      </c>
      <c r="LH518" s="27" t="s">
        <v>7</v>
      </c>
      <c r="LR518" s="27" t="s">
        <v>7</v>
      </c>
      <c r="LS518" s="27" t="s">
        <v>8</v>
      </c>
      <c r="LT518" s="27" t="s">
        <v>7</v>
      </c>
      <c r="LU518" s="27" t="s">
        <v>8</v>
      </c>
      <c r="LV518" s="27" t="s">
        <v>7</v>
      </c>
      <c r="LW518" s="27" t="s">
        <v>8</v>
      </c>
      <c r="LX518" s="27" t="s">
        <v>7</v>
      </c>
      <c r="LY518" s="27" t="s">
        <v>8</v>
      </c>
      <c r="LZ518" s="27" t="s">
        <v>7</v>
      </c>
      <c r="MG518" s="27" t="s">
        <v>8</v>
      </c>
      <c r="MH518" s="27" t="s">
        <v>7</v>
      </c>
      <c r="MI518" s="27" t="s">
        <v>8</v>
      </c>
      <c r="MJ518" s="27" t="s">
        <v>7</v>
      </c>
      <c r="MK518" s="27" t="s">
        <v>8</v>
      </c>
      <c r="MR518" s="27" t="s">
        <v>7</v>
      </c>
      <c r="MT518" s="27" t="s">
        <v>7</v>
      </c>
      <c r="MU518" s="27" t="s">
        <v>8</v>
      </c>
      <c r="NH518" s="27" t="s">
        <v>7</v>
      </c>
      <c r="NI518" s="27" t="s">
        <v>8</v>
      </c>
      <c r="NJ518" s="27" t="s">
        <v>7</v>
      </c>
      <c r="NK518" s="27" t="s">
        <v>8</v>
      </c>
      <c r="NL518" s="27" t="s">
        <v>7</v>
      </c>
      <c r="NM518" s="27" t="s">
        <v>8</v>
      </c>
      <c r="NN518" s="27" t="s">
        <v>7</v>
      </c>
      <c r="NO518" s="27" t="s">
        <v>8</v>
      </c>
      <c r="NP518" s="27" t="s">
        <v>7</v>
      </c>
      <c r="NQ518" s="27" t="s">
        <v>8</v>
      </c>
      <c r="NT518" s="27" t="s">
        <v>7</v>
      </c>
      <c r="NV518" s="27" t="s">
        <v>7</v>
      </c>
    </row>
    <row r="519" spans="1:404" x14ac:dyDescent="0.25">
      <c r="A519" s="7">
        <v>3.844250502545596</v>
      </c>
      <c r="B519"/>
      <c r="C519"/>
      <c r="D519"/>
      <c r="E519"/>
      <c r="JG519" s="27" t="s">
        <v>8</v>
      </c>
      <c r="JP519" s="27" t="s">
        <v>7</v>
      </c>
      <c r="JQ519" s="27" t="s">
        <v>8</v>
      </c>
      <c r="JZ519" s="27" t="s">
        <v>7</v>
      </c>
      <c r="KA519" s="27" t="s">
        <v>8</v>
      </c>
      <c r="KB519" s="27" t="s">
        <v>7</v>
      </c>
      <c r="KC519" s="27" t="s">
        <v>8</v>
      </c>
      <c r="KD519" s="27" t="s">
        <v>7</v>
      </c>
      <c r="KW519" s="27" t="s">
        <v>8</v>
      </c>
      <c r="LA519" s="27" t="s">
        <v>8</v>
      </c>
      <c r="LB519" s="27" t="s">
        <v>7</v>
      </c>
      <c r="LC519" s="27" t="s">
        <v>8</v>
      </c>
      <c r="LD519" s="27" t="s">
        <v>7</v>
      </c>
      <c r="LE519" s="27" t="s">
        <v>8</v>
      </c>
      <c r="LR519" s="27" t="s">
        <v>7</v>
      </c>
      <c r="LS519" s="27" t="s">
        <v>8</v>
      </c>
      <c r="LT519" s="27" t="s">
        <v>7</v>
      </c>
      <c r="LU519" s="27" t="s">
        <v>8</v>
      </c>
      <c r="LV519" s="27" t="s">
        <v>7</v>
      </c>
      <c r="LW519" s="27" t="s">
        <v>8</v>
      </c>
      <c r="LX519" s="27" t="s">
        <v>7</v>
      </c>
      <c r="LZ519" s="27" t="s">
        <v>7</v>
      </c>
      <c r="MG519" s="27" t="s">
        <v>8</v>
      </c>
      <c r="MH519" s="27" t="s">
        <v>7</v>
      </c>
      <c r="MI519" s="27" t="s">
        <v>8</v>
      </c>
      <c r="MJ519" s="27" t="s">
        <v>7</v>
      </c>
      <c r="MK519" s="27" t="s">
        <v>8</v>
      </c>
      <c r="MT519" s="27" t="s">
        <v>7</v>
      </c>
      <c r="MU519" s="27" t="s">
        <v>8</v>
      </c>
      <c r="NH519" s="27" t="s">
        <v>7</v>
      </c>
      <c r="NJ519" s="27" t="s">
        <v>7</v>
      </c>
      <c r="NK519" s="27" t="s">
        <v>8</v>
      </c>
      <c r="NL519" s="27" t="s">
        <v>7</v>
      </c>
      <c r="NN519" s="27" t="s">
        <v>7</v>
      </c>
      <c r="NO519" s="27" t="s">
        <v>8</v>
      </c>
      <c r="NP519" s="27" t="s">
        <v>7</v>
      </c>
      <c r="NQ519" s="27" t="s">
        <v>8</v>
      </c>
      <c r="NV519" s="27" t="s">
        <v>7</v>
      </c>
    </row>
    <row r="520" spans="1:404" x14ac:dyDescent="0.25">
      <c r="A520" s="7">
        <v>3.7688730417113687</v>
      </c>
      <c r="B520"/>
      <c r="C520"/>
      <c r="D520"/>
      <c r="E520"/>
      <c r="JG520" s="27" t="s">
        <v>8</v>
      </c>
      <c r="JP520" s="27" t="s">
        <v>7</v>
      </c>
      <c r="JQ520" s="27" t="s">
        <v>8</v>
      </c>
      <c r="JZ520" s="27" t="s">
        <v>7</v>
      </c>
      <c r="KA520" s="27" t="s">
        <v>8</v>
      </c>
      <c r="KB520" s="27" t="s">
        <v>7</v>
      </c>
      <c r="KC520" s="27" t="s">
        <v>8</v>
      </c>
      <c r="KD520" s="27" t="s">
        <v>7</v>
      </c>
      <c r="KW520" s="27" t="s">
        <v>8</v>
      </c>
      <c r="KX520" s="27" t="s">
        <v>7</v>
      </c>
      <c r="LA520" s="27" t="s">
        <v>8</v>
      </c>
      <c r="LB520" s="27" t="s">
        <v>7</v>
      </c>
      <c r="LC520" s="27" t="s">
        <v>8</v>
      </c>
      <c r="LD520" s="27" t="s">
        <v>7</v>
      </c>
      <c r="LE520" s="27" t="s">
        <v>8</v>
      </c>
      <c r="LR520" s="27" t="s">
        <v>7</v>
      </c>
      <c r="LS520" s="27" t="s">
        <v>8</v>
      </c>
      <c r="LT520" s="27" t="s">
        <v>7</v>
      </c>
      <c r="LV520" s="27" t="s">
        <v>7</v>
      </c>
      <c r="LW520" s="27" t="s">
        <v>8</v>
      </c>
      <c r="LZ520" s="27" t="s">
        <v>7</v>
      </c>
      <c r="MG520" s="27" t="s">
        <v>8</v>
      </c>
      <c r="MH520" s="27" t="s">
        <v>7</v>
      </c>
      <c r="MI520" s="27" t="s">
        <v>8</v>
      </c>
      <c r="MJ520" s="27" t="s">
        <v>7</v>
      </c>
      <c r="MK520" s="27" t="s">
        <v>8</v>
      </c>
      <c r="MT520" s="27" t="s">
        <v>7</v>
      </c>
      <c r="MU520" s="27" t="s">
        <v>8</v>
      </c>
      <c r="NJ520" s="27" t="s">
        <v>7</v>
      </c>
      <c r="NN520" s="27" t="s">
        <v>7</v>
      </c>
      <c r="NO520" s="27" t="s">
        <v>8</v>
      </c>
      <c r="NP520" s="27" t="s">
        <v>7</v>
      </c>
      <c r="NV520" s="27" t="s">
        <v>7</v>
      </c>
    </row>
    <row r="521" spans="1:404" x14ac:dyDescent="0.25">
      <c r="A521" s="7">
        <v>3.6949735703052635</v>
      </c>
      <c r="B521"/>
      <c r="C521"/>
      <c r="D521"/>
      <c r="E521"/>
      <c r="JG521" s="27" t="s">
        <v>8</v>
      </c>
      <c r="JP521" s="27" t="s">
        <v>7</v>
      </c>
      <c r="JQ521" s="27" t="s">
        <v>8</v>
      </c>
      <c r="JZ521" s="27" t="s">
        <v>7</v>
      </c>
      <c r="KA521" s="27" t="s">
        <v>8</v>
      </c>
      <c r="KB521" s="27" t="s">
        <v>7</v>
      </c>
      <c r="KC521" s="27" t="s">
        <v>8</v>
      </c>
      <c r="KD521" s="27" t="s">
        <v>7</v>
      </c>
      <c r="KE521" s="27" t="s">
        <v>8</v>
      </c>
      <c r="KM521" s="27" t="s">
        <v>8</v>
      </c>
      <c r="KW521" s="27" t="s">
        <v>8</v>
      </c>
      <c r="KX521" s="27" t="s">
        <v>7</v>
      </c>
      <c r="LA521" s="27" t="s">
        <v>8</v>
      </c>
      <c r="LB521" s="27" t="s">
        <v>7</v>
      </c>
      <c r="LC521" s="27" t="s">
        <v>8</v>
      </c>
      <c r="LD521" s="27" t="s">
        <v>7</v>
      </c>
      <c r="LE521" s="27" t="s">
        <v>8</v>
      </c>
      <c r="LR521" s="27" t="s">
        <v>7</v>
      </c>
      <c r="LS521" s="27" t="s">
        <v>8</v>
      </c>
      <c r="LV521" s="27" t="s">
        <v>7</v>
      </c>
      <c r="LW521" s="27" t="s">
        <v>8</v>
      </c>
      <c r="LZ521" s="27" t="s">
        <v>7</v>
      </c>
      <c r="ME521" s="27" t="s">
        <v>8</v>
      </c>
      <c r="MG521" s="27" t="s">
        <v>8</v>
      </c>
      <c r="MH521" s="27" t="s">
        <v>7</v>
      </c>
      <c r="MJ521" s="27" t="s">
        <v>7</v>
      </c>
      <c r="MK521" s="27" t="s">
        <v>8</v>
      </c>
      <c r="MT521" s="27" t="s">
        <v>7</v>
      </c>
      <c r="MU521" s="27" t="s">
        <v>8</v>
      </c>
      <c r="NN521" s="27" t="s">
        <v>7</v>
      </c>
      <c r="NV521" s="27" t="s">
        <v>7</v>
      </c>
      <c r="NW521" s="27" t="s">
        <v>8</v>
      </c>
    </row>
    <row r="522" spans="1:404" x14ac:dyDescent="0.25">
      <c r="A522" s="7">
        <v>3.6225231081424152</v>
      </c>
      <c r="B522"/>
      <c r="C522"/>
      <c r="D522"/>
      <c r="E522"/>
      <c r="JG522" s="27" t="s">
        <v>8</v>
      </c>
      <c r="JP522" s="27" t="s">
        <v>7</v>
      </c>
      <c r="JQ522" s="27" t="s">
        <v>8</v>
      </c>
      <c r="JZ522" s="27" t="s">
        <v>7</v>
      </c>
      <c r="KB522" s="27" t="s">
        <v>7</v>
      </c>
      <c r="KC522" s="27" t="s">
        <v>8</v>
      </c>
      <c r="KD522" s="27" t="s">
        <v>7</v>
      </c>
      <c r="KE522" s="27" t="s">
        <v>8</v>
      </c>
      <c r="KF522" s="27" t="s">
        <v>7</v>
      </c>
      <c r="KM522" s="27" t="s">
        <v>8</v>
      </c>
      <c r="KN522" s="27" t="s">
        <v>7</v>
      </c>
      <c r="KW522" s="27" t="s">
        <v>8</v>
      </c>
      <c r="KX522" s="27" t="s">
        <v>7</v>
      </c>
      <c r="LA522" s="27" t="s">
        <v>8</v>
      </c>
      <c r="LB522" s="27" t="s">
        <v>7</v>
      </c>
      <c r="LC522" s="27" t="s">
        <v>8</v>
      </c>
      <c r="LD522" s="27" t="s">
        <v>7</v>
      </c>
      <c r="LR522" s="27" t="s">
        <v>7</v>
      </c>
      <c r="LS522" s="27" t="s">
        <v>8</v>
      </c>
      <c r="LV522" s="27" t="s">
        <v>7</v>
      </c>
      <c r="LZ522" s="27" t="s">
        <v>7</v>
      </c>
      <c r="ME522" s="27" t="s">
        <v>8</v>
      </c>
      <c r="MF522" s="27" t="s">
        <v>7</v>
      </c>
      <c r="MG522" s="27" t="s">
        <v>8</v>
      </c>
      <c r="MJ522" s="27" t="s">
        <v>7</v>
      </c>
      <c r="MK522" s="27" t="s">
        <v>8</v>
      </c>
      <c r="MT522" s="27" t="s">
        <v>7</v>
      </c>
      <c r="NV522" s="27" t="s">
        <v>7</v>
      </c>
      <c r="NW522" s="27" t="s">
        <v>8</v>
      </c>
      <c r="NX522" s="27" t="s">
        <v>7</v>
      </c>
      <c r="OM522" s="27" t="s">
        <v>8</v>
      </c>
    </row>
    <row r="523" spans="1:404" x14ac:dyDescent="0.25">
      <c r="A523" s="7">
        <v>3.5514932432768775</v>
      </c>
      <c r="B523"/>
      <c r="C523"/>
      <c r="D523"/>
      <c r="E523"/>
      <c r="JG523" s="27" t="s">
        <v>8</v>
      </c>
      <c r="JP523" s="27" t="s">
        <v>7</v>
      </c>
      <c r="JQ523" s="27" t="s">
        <v>8</v>
      </c>
      <c r="KB523" s="27" t="s">
        <v>7</v>
      </c>
      <c r="KC523" s="27" t="s">
        <v>8</v>
      </c>
      <c r="KD523" s="27" t="s">
        <v>7</v>
      </c>
      <c r="KE523" s="27" t="s">
        <v>8</v>
      </c>
      <c r="KF523" s="27" t="s">
        <v>7</v>
      </c>
      <c r="KM523" s="27" t="s">
        <v>8</v>
      </c>
      <c r="KN523" s="27" t="s">
        <v>7</v>
      </c>
      <c r="KW523" s="27" t="s">
        <v>8</v>
      </c>
      <c r="KX523" s="27" t="s">
        <v>7</v>
      </c>
      <c r="KY523" s="27" t="s">
        <v>8</v>
      </c>
      <c r="LA523" s="27" t="s">
        <v>8</v>
      </c>
      <c r="LB523" s="27" t="s">
        <v>7</v>
      </c>
      <c r="LC523" s="27" t="s">
        <v>8</v>
      </c>
      <c r="LR523" s="27" t="s">
        <v>7</v>
      </c>
      <c r="LS523" s="27" t="s">
        <v>8</v>
      </c>
      <c r="LZ523" s="27" t="s">
        <v>7</v>
      </c>
      <c r="MC523" s="27" t="s">
        <v>8</v>
      </c>
      <c r="ME523" s="27" t="s">
        <v>8</v>
      </c>
      <c r="MF523" s="27" t="s">
        <v>7</v>
      </c>
      <c r="MG523" s="27" t="s">
        <v>8</v>
      </c>
      <c r="MJ523" s="27" t="s">
        <v>7</v>
      </c>
      <c r="NV523" s="27" t="s">
        <v>7</v>
      </c>
      <c r="NW523" s="27" t="s">
        <v>8</v>
      </c>
      <c r="NX523" s="27" t="s">
        <v>7</v>
      </c>
      <c r="OM523" s="27" t="s">
        <v>8</v>
      </c>
      <c r="ON523" s="27" t="s">
        <v>7</v>
      </c>
    </row>
    <row r="524" spans="1:404" x14ac:dyDescent="0.25">
      <c r="A524" s="7">
        <v>3.4818561208596837</v>
      </c>
      <c r="B524"/>
      <c r="C524"/>
      <c r="D524"/>
      <c r="E524"/>
      <c r="JG524" s="27" t="s">
        <v>8</v>
      </c>
      <c r="JP524" s="27" t="s">
        <v>7</v>
      </c>
      <c r="JQ524" s="27" t="s">
        <v>8</v>
      </c>
      <c r="KB524" s="27" t="s">
        <v>7</v>
      </c>
      <c r="KC524" s="27" t="s">
        <v>8</v>
      </c>
      <c r="KD524" s="27" t="s">
        <v>7</v>
      </c>
      <c r="KE524" s="27" t="s">
        <v>8</v>
      </c>
      <c r="KF524" s="27" t="s">
        <v>7</v>
      </c>
      <c r="KM524" s="27" t="s">
        <v>8</v>
      </c>
      <c r="KN524" s="27" t="s">
        <v>7</v>
      </c>
      <c r="KW524" s="27" t="s">
        <v>8</v>
      </c>
      <c r="KX524" s="27" t="s">
        <v>7</v>
      </c>
      <c r="KY524" s="27" t="s">
        <v>8</v>
      </c>
      <c r="KZ524" s="27" t="s">
        <v>7</v>
      </c>
      <c r="LA524" s="27" t="s">
        <v>8</v>
      </c>
      <c r="LB524" s="27" t="s">
        <v>7</v>
      </c>
      <c r="LC524" s="27" t="s">
        <v>8</v>
      </c>
      <c r="LR524" s="27" t="s">
        <v>7</v>
      </c>
      <c r="LS524" s="27" t="s">
        <v>8</v>
      </c>
      <c r="LZ524" s="27" t="s">
        <v>7</v>
      </c>
      <c r="MA524" s="27" t="s">
        <v>8</v>
      </c>
      <c r="MC524" s="27" t="s">
        <v>8</v>
      </c>
      <c r="MD524" s="27" t="s">
        <v>7</v>
      </c>
      <c r="ME524" s="27" t="s">
        <v>8</v>
      </c>
      <c r="MF524" s="27" t="s">
        <v>7</v>
      </c>
      <c r="MG524" s="27" t="s">
        <v>8</v>
      </c>
      <c r="NV524" s="27" t="s">
        <v>7</v>
      </c>
      <c r="NW524" s="27" t="s">
        <v>8</v>
      </c>
      <c r="NX524" s="27" t="s">
        <v>7</v>
      </c>
      <c r="NY524" s="27" t="s">
        <v>8</v>
      </c>
      <c r="OM524" s="27" t="s">
        <v>8</v>
      </c>
      <c r="ON524" s="27" t="s">
        <v>7</v>
      </c>
    </row>
    <row r="525" spans="1:404" x14ac:dyDescent="0.25">
      <c r="A525" s="7">
        <v>3.4135844322153761</v>
      </c>
      <c r="B525"/>
      <c r="C525"/>
      <c r="D525"/>
      <c r="E525"/>
      <c r="JG525" s="27" t="s">
        <v>8</v>
      </c>
      <c r="JP525" s="27" t="s">
        <v>7</v>
      </c>
      <c r="JQ525" s="27" t="s">
        <v>8</v>
      </c>
      <c r="KB525" s="27" t="s">
        <v>7</v>
      </c>
      <c r="KC525" s="27" t="s">
        <v>8</v>
      </c>
      <c r="KD525" s="27" t="s">
        <v>7</v>
      </c>
      <c r="KE525" s="27" t="s">
        <v>8</v>
      </c>
      <c r="KF525" s="27" t="s">
        <v>7</v>
      </c>
      <c r="KM525" s="27" t="s">
        <v>8</v>
      </c>
      <c r="KN525" s="27" t="s">
        <v>7</v>
      </c>
      <c r="KW525" s="27" t="s">
        <v>8</v>
      </c>
      <c r="KX525" s="27" t="s">
        <v>7</v>
      </c>
      <c r="KY525" s="27" t="s">
        <v>8</v>
      </c>
      <c r="KZ525" s="27" t="s">
        <v>7</v>
      </c>
      <c r="LA525" s="27" t="s">
        <v>8</v>
      </c>
      <c r="LB525" s="27" t="s">
        <v>7</v>
      </c>
      <c r="LC525" s="27" t="s">
        <v>8</v>
      </c>
      <c r="LR525" s="27" t="s">
        <v>7</v>
      </c>
      <c r="LZ525" s="27" t="s">
        <v>7</v>
      </c>
      <c r="MA525" s="27" t="s">
        <v>8</v>
      </c>
      <c r="MB525" s="27" t="s">
        <v>7</v>
      </c>
      <c r="MC525" s="27" t="s">
        <v>8</v>
      </c>
      <c r="MD525" s="27" t="s">
        <v>7</v>
      </c>
      <c r="ME525" s="27" t="s">
        <v>8</v>
      </c>
      <c r="MF525" s="27" t="s">
        <v>7</v>
      </c>
      <c r="MG525" s="27" t="s">
        <v>8</v>
      </c>
      <c r="NV525" s="27" t="s">
        <v>7</v>
      </c>
      <c r="NW525" s="27" t="s">
        <v>8</v>
      </c>
      <c r="NX525" s="27" t="s">
        <v>7</v>
      </c>
      <c r="NY525" s="27" t="s">
        <v>8</v>
      </c>
      <c r="NZ525" s="27" t="s">
        <v>7</v>
      </c>
      <c r="OI525" s="27" t="s">
        <v>8</v>
      </c>
      <c r="OM525" s="27" t="s">
        <v>8</v>
      </c>
      <c r="ON525" s="27" t="s">
        <v>7</v>
      </c>
    </row>
    <row r="526" spans="1:404" x14ac:dyDescent="0.25">
      <c r="A526" s="7">
        <v>3.3466514041327216</v>
      </c>
      <c r="B526"/>
      <c r="C526"/>
      <c r="D526"/>
      <c r="E526"/>
      <c r="JG526" s="27" t="s">
        <v>8</v>
      </c>
      <c r="JP526" s="27" t="s">
        <v>7</v>
      </c>
      <c r="JQ526" s="27" t="s">
        <v>8</v>
      </c>
      <c r="KB526" s="27" t="s">
        <v>7</v>
      </c>
      <c r="KC526" s="27" t="s">
        <v>8</v>
      </c>
      <c r="KD526" s="27" t="s">
        <v>7</v>
      </c>
      <c r="KE526" s="27" t="s">
        <v>8</v>
      </c>
      <c r="KF526" s="27" t="s">
        <v>7</v>
      </c>
      <c r="KM526" s="27" t="s">
        <v>8</v>
      </c>
      <c r="KN526" s="27" t="s">
        <v>7</v>
      </c>
      <c r="KW526" s="27" t="s">
        <v>8</v>
      </c>
      <c r="KX526" s="27" t="s">
        <v>7</v>
      </c>
      <c r="KY526" s="27" t="s">
        <v>8</v>
      </c>
      <c r="KZ526" s="27" t="s">
        <v>7</v>
      </c>
      <c r="LA526" s="27" t="s">
        <v>8</v>
      </c>
      <c r="LB526" s="27" t="s">
        <v>7</v>
      </c>
      <c r="LZ526" s="27" t="s">
        <v>7</v>
      </c>
      <c r="MA526" s="27" t="s">
        <v>8</v>
      </c>
      <c r="MB526" s="27" t="s">
        <v>7</v>
      </c>
      <c r="MC526" s="27" t="s">
        <v>8</v>
      </c>
      <c r="MD526" s="27" t="s">
        <v>7</v>
      </c>
      <c r="ME526" s="27" t="s">
        <v>8</v>
      </c>
      <c r="MF526" s="27" t="s">
        <v>7</v>
      </c>
      <c r="MG526" s="27" t="s">
        <v>8</v>
      </c>
      <c r="NV526" s="27" t="s">
        <v>7</v>
      </c>
      <c r="NW526" s="27" t="s">
        <v>8</v>
      </c>
      <c r="NX526" s="27" t="s">
        <v>7</v>
      </c>
      <c r="NY526" s="27" t="s">
        <v>8</v>
      </c>
      <c r="NZ526" s="27" t="s">
        <v>7</v>
      </c>
      <c r="OI526" s="27" t="s">
        <v>8</v>
      </c>
      <c r="OJ526" s="27" t="s">
        <v>7</v>
      </c>
      <c r="OM526" s="27" t="s">
        <v>8</v>
      </c>
      <c r="ON526" s="27" t="s">
        <v>7</v>
      </c>
    </row>
    <row r="527" spans="1:404" x14ac:dyDescent="0.25">
      <c r="A527" s="7">
        <v>3.2810307883654133</v>
      </c>
      <c r="B527"/>
      <c r="C527"/>
      <c r="D527"/>
      <c r="E527"/>
      <c r="JC527" s="27" t="s">
        <v>8</v>
      </c>
      <c r="JG527" s="27" t="s">
        <v>8</v>
      </c>
      <c r="JP527" s="27" t="s">
        <v>7</v>
      </c>
      <c r="JQ527" s="27" t="s">
        <v>8</v>
      </c>
      <c r="KB527" s="27" t="s">
        <v>7</v>
      </c>
      <c r="KC527" s="27" t="s">
        <v>8</v>
      </c>
      <c r="KD527" s="27" t="s">
        <v>7</v>
      </c>
      <c r="KE527" s="27" t="s">
        <v>8</v>
      </c>
      <c r="KF527" s="27" t="s">
        <v>7</v>
      </c>
      <c r="KM527" s="27" t="s">
        <v>8</v>
      </c>
      <c r="KN527" s="27" t="s">
        <v>7</v>
      </c>
      <c r="KW527" s="27" t="s">
        <v>8</v>
      </c>
      <c r="KX527" s="27" t="s">
        <v>7</v>
      </c>
      <c r="KZ527" s="27" t="s">
        <v>7</v>
      </c>
      <c r="LA527" s="27" t="s">
        <v>8</v>
      </c>
      <c r="LZ527" s="27" t="s">
        <v>7</v>
      </c>
      <c r="MA527" s="27" t="s">
        <v>8</v>
      </c>
      <c r="MB527" s="27" t="s">
        <v>7</v>
      </c>
      <c r="MC527" s="27" t="s">
        <v>8</v>
      </c>
      <c r="MD527" s="27" t="s">
        <v>7</v>
      </c>
      <c r="ME527" s="27" t="s">
        <v>8</v>
      </c>
      <c r="MF527" s="27" t="s">
        <v>7</v>
      </c>
      <c r="MG527" s="27" t="s">
        <v>8</v>
      </c>
      <c r="NV527" s="27" t="s">
        <v>7</v>
      </c>
      <c r="NW527" s="27" t="s">
        <v>8</v>
      </c>
      <c r="NX527" s="27" t="s">
        <v>7</v>
      </c>
      <c r="NY527" s="27" t="s">
        <v>8</v>
      </c>
      <c r="NZ527" s="27" t="s">
        <v>7</v>
      </c>
      <c r="OE527" s="27" t="s">
        <v>8</v>
      </c>
      <c r="OG527" s="27" t="s">
        <v>8</v>
      </c>
      <c r="OI527" s="27" t="s">
        <v>8</v>
      </c>
      <c r="OJ527" s="27" t="s">
        <v>7</v>
      </c>
      <c r="OM527" s="27" t="s">
        <v>8</v>
      </c>
      <c r="ON527" s="27" t="s">
        <v>7</v>
      </c>
    </row>
    <row r="528" spans="1:404" x14ac:dyDescent="0.25">
      <c r="A528" s="7">
        <v>3.2166968513386403</v>
      </c>
      <c r="B528"/>
      <c r="C528"/>
      <c r="D528"/>
      <c r="E528"/>
      <c r="IS528" s="27" t="s">
        <v>8</v>
      </c>
      <c r="JC528" s="27" t="s">
        <v>8</v>
      </c>
      <c r="JD528" s="27" t="s">
        <v>7</v>
      </c>
      <c r="JG528" s="27" t="s">
        <v>8</v>
      </c>
      <c r="JP528" s="27" t="s">
        <v>7</v>
      </c>
      <c r="JQ528" s="27" t="s">
        <v>8</v>
      </c>
      <c r="KB528" s="27" t="s">
        <v>7</v>
      </c>
      <c r="KC528" s="27" t="s">
        <v>8</v>
      </c>
      <c r="KD528" s="27" t="s">
        <v>7</v>
      </c>
      <c r="KF528" s="27" t="s">
        <v>7</v>
      </c>
      <c r="KM528" s="27" t="s">
        <v>8</v>
      </c>
      <c r="KN528" s="27" t="s">
        <v>7</v>
      </c>
      <c r="KW528" s="27" t="s">
        <v>8</v>
      </c>
      <c r="KZ528" s="27" t="s">
        <v>7</v>
      </c>
      <c r="LA528" s="27" t="s">
        <v>8</v>
      </c>
      <c r="LZ528" s="27" t="s">
        <v>7</v>
      </c>
      <c r="MA528" s="27" t="s">
        <v>8</v>
      </c>
      <c r="MB528" s="27" t="s">
        <v>7</v>
      </c>
      <c r="MC528" s="27" t="s">
        <v>8</v>
      </c>
      <c r="MD528" s="27" t="s">
        <v>7</v>
      </c>
      <c r="ME528" s="27" t="s">
        <v>8</v>
      </c>
      <c r="MF528" s="27" t="s">
        <v>7</v>
      </c>
      <c r="MG528" s="27" t="s">
        <v>8</v>
      </c>
      <c r="NV528" s="27" t="s">
        <v>7</v>
      </c>
      <c r="NX528" s="27" t="s">
        <v>7</v>
      </c>
      <c r="NY528" s="27" t="s">
        <v>8</v>
      </c>
      <c r="NZ528" s="27" t="s">
        <v>7</v>
      </c>
      <c r="OE528" s="27" t="s">
        <v>8</v>
      </c>
      <c r="OF528" s="27" t="s">
        <v>7</v>
      </c>
      <c r="OG528" s="27" t="s">
        <v>8</v>
      </c>
      <c r="OH528" s="27" t="s">
        <v>7</v>
      </c>
      <c r="OI528" s="27" t="s">
        <v>8</v>
      </c>
      <c r="OJ528" s="27" t="s">
        <v>7</v>
      </c>
      <c r="OM528" s="27" t="s">
        <v>8</v>
      </c>
      <c r="ON528" s="27" t="s">
        <v>7</v>
      </c>
    </row>
    <row r="529" spans="1:408" x14ac:dyDescent="0.25">
      <c r="A529" s="7">
        <v>3.1536243640574906</v>
      </c>
      <c r="B529"/>
      <c r="C529"/>
      <c r="D529"/>
      <c r="E529"/>
      <c r="IS529" s="27" t="s">
        <v>8</v>
      </c>
      <c r="IT529" s="27" t="s">
        <v>7</v>
      </c>
      <c r="JC529" s="27" t="s">
        <v>8</v>
      </c>
      <c r="JD529" s="27" t="s">
        <v>7</v>
      </c>
      <c r="JE529" s="27" t="s">
        <v>8</v>
      </c>
      <c r="JG529" s="27" t="s">
        <v>8</v>
      </c>
      <c r="JP529" s="27" t="s">
        <v>7</v>
      </c>
      <c r="KB529" s="27" t="s">
        <v>7</v>
      </c>
      <c r="KC529" s="27" t="s">
        <v>8</v>
      </c>
      <c r="KF529" s="27" t="s">
        <v>7</v>
      </c>
      <c r="KI529" s="27" t="s">
        <v>8</v>
      </c>
      <c r="KM529" s="27" t="s">
        <v>8</v>
      </c>
      <c r="KN529" s="27" t="s">
        <v>7</v>
      </c>
      <c r="KW529" s="27" t="s">
        <v>8</v>
      </c>
      <c r="KZ529" s="27" t="s">
        <v>7</v>
      </c>
      <c r="LZ529" s="27" t="s">
        <v>7</v>
      </c>
      <c r="MA529" s="27" t="s">
        <v>8</v>
      </c>
      <c r="MB529" s="27" t="s">
        <v>7</v>
      </c>
      <c r="MC529" s="27" t="s">
        <v>8</v>
      </c>
      <c r="MD529" s="27" t="s">
        <v>7</v>
      </c>
      <c r="ME529" s="27" t="s">
        <v>8</v>
      </c>
      <c r="MF529" s="27" t="s">
        <v>7</v>
      </c>
      <c r="NX529" s="27" t="s">
        <v>7</v>
      </c>
      <c r="NY529" s="27" t="s">
        <v>8</v>
      </c>
      <c r="NZ529" s="27" t="s">
        <v>7</v>
      </c>
      <c r="OA529" s="27" t="s">
        <v>8</v>
      </c>
      <c r="OE529" s="27" t="s">
        <v>8</v>
      </c>
      <c r="OF529" s="27" t="s">
        <v>7</v>
      </c>
      <c r="OG529" s="27" t="s">
        <v>8</v>
      </c>
      <c r="OH529" s="27" t="s">
        <v>7</v>
      </c>
      <c r="OI529" s="27" t="s">
        <v>8</v>
      </c>
      <c r="OJ529" s="27" t="s">
        <v>7</v>
      </c>
      <c r="OK529" s="27" t="s">
        <v>8</v>
      </c>
      <c r="OM529" s="27" t="s">
        <v>8</v>
      </c>
      <c r="ON529" s="27" t="s">
        <v>7</v>
      </c>
    </row>
    <row r="530" spans="1:408" x14ac:dyDescent="0.25">
      <c r="A530" s="7">
        <v>3.0917885922132262</v>
      </c>
      <c r="B530"/>
      <c r="C530"/>
      <c r="D530"/>
      <c r="E530"/>
      <c r="IS530" s="27" t="s">
        <v>8</v>
      </c>
      <c r="IT530" s="27" t="s">
        <v>7</v>
      </c>
      <c r="JC530" s="27" t="s">
        <v>8</v>
      </c>
      <c r="JD530" s="27" t="s">
        <v>7</v>
      </c>
      <c r="JE530" s="27" t="s">
        <v>8</v>
      </c>
      <c r="JF530" s="27" t="s">
        <v>7</v>
      </c>
      <c r="JG530" s="27" t="s">
        <v>8</v>
      </c>
      <c r="KB530" s="27" t="s">
        <v>7</v>
      </c>
      <c r="KC530" s="27" t="s">
        <v>8</v>
      </c>
      <c r="KF530" s="27" t="s">
        <v>7</v>
      </c>
      <c r="KG530" s="27" t="s">
        <v>8</v>
      </c>
      <c r="KI530" s="27" t="s">
        <v>8</v>
      </c>
      <c r="KJ530" s="27" t="s">
        <v>7</v>
      </c>
      <c r="KM530" s="27" t="s">
        <v>8</v>
      </c>
      <c r="KN530" s="27" t="s">
        <v>7</v>
      </c>
      <c r="KO530" s="27" t="s">
        <v>8</v>
      </c>
      <c r="KW530" s="27" t="s">
        <v>8</v>
      </c>
      <c r="LZ530" s="27" t="s">
        <v>7</v>
      </c>
      <c r="MA530" s="27" t="s">
        <v>8</v>
      </c>
      <c r="MB530" s="27" t="s">
        <v>7</v>
      </c>
      <c r="MC530" s="27" t="s">
        <v>8</v>
      </c>
      <c r="MD530" s="27" t="s">
        <v>7</v>
      </c>
      <c r="ME530" s="27" t="s">
        <v>8</v>
      </c>
      <c r="NX530" s="27" t="s">
        <v>7</v>
      </c>
      <c r="NY530" s="27" t="s">
        <v>8</v>
      </c>
      <c r="NZ530" s="27" t="s">
        <v>7</v>
      </c>
      <c r="OA530" s="27" t="s">
        <v>8</v>
      </c>
      <c r="OB530" s="27" t="s">
        <v>7</v>
      </c>
      <c r="OE530" s="27" t="s">
        <v>8</v>
      </c>
      <c r="OF530" s="27" t="s">
        <v>7</v>
      </c>
      <c r="OG530" s="27" t="s">
        <v>8</v>
      </c>
      <c r="OH530" s="27" t="s">
        <v>7</v>
      </c>
      <c r="OI530" s="27" t="s">
        <v>8</v>
      </c>
      <c r="OJ530" s="27" t="s">
        <v>7</v>
      </c>
      <c r="OK530" s="27" t="s">
        <v>8</v>
      </c>
      <c r="OL530" s="27" t="s">
        <v>7</v>
      </c>
      <c r="OM530" s="27" t="s">
        <v>8</v>
      </c>
      <c r="ON530" s="27" t="s">
        <v>7</v>
      </c>
    </row>
    <row r="531" spans="1:408" x14ac:dyDescent="0.25">
      <c r="A531" s="7">
        <v>3.0311652864835552</v>
      </c>
      <c r="B531"/>
      <c r="C531"/>
      <c r="D531"/>
      <c r="E531"/>
      <c r="IS531" s="27" t="s">
        <v>8</v>
      </c>
      <c r="IT531" s="27" t="s">
        <v>7</v>
      </c>
      <c r="IU531" s="27" t="s">
        <v>8</v>
      </c>
      <c r="IY531" s="27" t="s">
        <v>8</v>
      </c>
      <c r="JC531" s="27" t="s">
        <v>8</v>
      </c>
      <c r="JD531" s="27" t="s">
        <v>7</v>
      </c>
      <c r="JE531" s="27" t="s">
        <v>8</v>
      </c>
      <c r="JF531" s="27" t="s">
        <v>7</v>
      </c>
      <c r="JG531" s="27" t="s">
        <v>8</v>
      </c>
      <c r="KB531" s="27" t="s">
        <v>7</v>
      </c>
      <c r="KF531" s="27" t="s">
        <v>7</v>
      </c>
      <c r="KG531" s="27" t="s">
        <v>8</v>
      </c>
      <c r="KH531" s="27" t="s">
        <v>7</v>
      </c>
      <c r="KI531" s="27" t="s">
        <v>8</v>
      </c>
      <c r="KJ531" s="27" t="s">
        <v>7</v>
      </c>
      <c r="KK531" s="27" t="s">
        <v>8</v>
      </c>
      <c r="KM531" s="27" t="s">
        <v>8</v>
      </c>
      <c r="KN531" s="27" t="s">
        <v>7</v>
      </c>
      <c r="KO531" s="27" t="s">
        <v>8</v>
      </c>
      <c r="KP531" s="27" t="s">
        <v>7</v>
      </c>
      <c r="KW531" s="27" t="s">
        <v>8</v>
      </c>
      <c r="LZ531" s="27" t="s">
        <v>7</v>
      </c>
      <c r="MA531" s="27" t="s">
        <v>8</v>
      </c>
      <c r="MB531" s="27" t="s">
        <v>7</v>
      </c>
      <c r="MC531" s="27" t="s">
        <v>8</v>
      </c>
      <c r="MD531" s="27" t="s">
        <v>7</v>
      </c>
      <c r="NX531" s="27" t="s">
        <v>7</v>
      </c>
      <c r="NY531" s="27" t="s">
        <v>8</v>
      </c>
      <c r="NZ531" s="27" t="s">
        <v>7</v>
      </c>
      <c r="OA531" s="27" t="s">
        <v>8</v>
      </c>
      <c r="OB531" s="27" t="s">
        <v>7</v>
      </c>
      <c r="OC531" s="27" t="s">
        <v>8</v>
      </c>
      <c r="OE531" s="27" t="s">
        <v>8</v>
      </c>
      <c r="OF531" s="27" t="s">
        <v>7</v>
      </c>
      <c r="OH531" s="27" t="s">
        <v>7</v>
      </c>
      <c r="OI531" s="27" t="s">
        <v>8</v>
      </c>
      <c r="OJ531" s="27" t="s">
        <v>7</v>
      </c>
      <c r="OK531" s="27" t="s">
        <v>8</v>
      </c>
      <c r="OL531" s="27" t="s">
        <v>7</v>
      </c>
      <c r="OM531" s="27" t="s">
        <v>8</v>
      </c>
      <c r="ON531" s="27" t="s">
        <v>7</v>
      </c>
      <c r="OO531" s="27" t="s">
        <v>8</v>
      </c>
    </row>
    <row r="532" spans="1:408" x14ac:dyDescent="0.25">
      <c r="A532" s="7">
        <v>2.9717306730230932</v>
      </c>
      <c r="B532"/>
      <c r="C532"/>
      <c r="D532"/>
      <c r="E532"/>
      <c r="IS532" s="27" t="s">
        <v>8</v>
      </c>
      <c r="IT532" s="27" t="s">
        <v>7</v>
      </c>
      <c r="IU532" s="27" t="s">
        <v>8</v>
      </c>
      <c r="IV532" s="27" t="s">
        <v>7</v>
      </c>
      <c r="IY532" s="27" t="s">
        <v>8</v>
      </c>
      <c r="IZ532" s="27" t="s">
        <v>7</v>
      </c>
      <c r="JA532" s="27" t="s">
        <v>8</v>
      </c>
      <c r="JC532" s="27" t="s">
        <v>8</v>
      </c>
      <c r="JD532" s="27" t="s">
        <v>7</v>
      </c>
      <c r="JE532" s="27" t="s">
        <v>8</v>
      </c>
      <c r="JF532" s="27" t="s">
        <v>7</v>
      </c>
      <c r="JG532" s="27" t="s">
        <v>8</v>
      </c>
      <c r="KF532" s="27" t="s">
        <v>7</v>
      </c>
      <c r="KG532" s="27" t="s">
        <v>8</v>
      </c>
      <c r="KH532" s="27" t="s">
        <v>7</v>
      </c>
      <c r="KI532" s="27" t="s">
        <v>8</v>
      </c>
      <c r="KJ532" s="27" t="s">
        <v>7</v>
      </c>
      <c r="KK532" s="27" t="s">
        <v>8</v>
      </c>
      <c r="KL532" s="27" t="s">
        <v>7</v>
      </c>
      <c r="KM532" s="27" t="s">
        <v>8</v>
      </c>
      <c r="KN532" s="27" t="s">
        <v>7</v>
      </c>
      <c r="KO532" s="27" t="s">
        <v>8</v>
      </c>
      <c r="KP532" s="27" t="s">
        <v>7</v>
      </c>
      <c r="KW532" s="27" t="s">
        <v>8</v>
      </c>
      <c r="LZ532" s="27" t="s">
        <v>7</v>
      </c>
      <c r="MA532" s="27" t="s">
        <v>8</v>
      </c>
      <c r="MB532" s="27" t="s">
        <v>7</v>
      </c>
      <c r="MC532" s="27" t="s">
        <v>8</v>
      </c>
      <c r="NX532" s="27" t="s">
        <v>7</v>
      </c>
      <c r="NZ532" s="27" t="s">
        <v>7</v>
      </c>
      <c r="OA532" s="27" t="s">
        <v>8</v>
      </c>
      <c r="OB532" s="27" t="s">
        <v>7</v>
      </c>
      <c r="OC532" s="27" t="s">
        <v>8</v>
      </c>
      <c r="OD532" s="27" t="s">
        <v>7</v>
      </c>
      <c r="OE532" s="27" t="s">
        <v>8</v>
      </c>
      <c r="OH532" s="27" t="s">
        <v>7</v>
      </c>
      <c r="OJ532" s="27" t="s">
        <v>7</v>
      </c>
      <c r="OL532" s="27" t="s">
        <v>7</v>
      </c>
      <c r="OM532" s="27" t="s">
        <v>8</v>
      </c>
      <c r="ON532" s="27" t="s">
        <v>7</v>
      </c>
      <c r="OO532" s="27" t="s">
        <v>8</v>
      </c>
      <c r="OP532" s="27" t="s">
        <v>7</v>
      </c>
      <c r="OQ532" s="27" t="s">
        <v>8</v>
      </c>
    </row>
    <row r="533" spans="1:408" x14ac:dyDescent="0.25">
      <c r="A533" s="7">
        <v>2.9134614441402875</v>
      </c>
      <c r="B533"/>
      <c r="C533"/>
      <c r="D533"/>
      <c r="E533"/>
      <c r="IS533" s="27" t="s">
        <v>8</v>
      </c>
      <c r="IT533" s="27" t="s">
        <v>7</v>
      </c>
      <c r="IU533" s="27" t="s">
        <v>8</v>
      </c>
      <c r="IV533" s="27" t="s">
        <v>7</v>
      </c>
      <c r="IY533" s="27" t="s">
        <v>8</v>
      </c>
      <c r="IZ533" s="27" t="s">
        <v>7</v>
      </c>
      <c r="JA533" s="27" t="s">
        <v>8</v>
      </c>
      <c r="JB533" s="27" t="s">
        <v>7</v>
      </c>
      <c r="JC533" s="27" t="s">
        <v>8</v>
      </c>
      <c r="JD533" s="27" t="s">
        <v>7</v>
      </c>
      <c r="JE533" s="27" t="s">
        <v>8</v>
      </c>
      <c r="JF533" s="27" t="s">
        <v>7</v>
      </c>
      <c r="KF533" s="27" t="s">
        <v>7</v>
      </c>
      <c r="KG533" s="27" t="s">
        <v>8</v>
      </c>
      <c r="KH533" s="27" t="s">
        <v>7</v>
      </c>
      <c r="KI533" s="27" t="s">
        <v>8</v>
      </c>
      <c r="KJ533" s="27" t="s">
        <v>7</v>
      </c>
      <c r="KK533" s="27" t="s">
        <v>8</v>
      </c>
      <c r="KL533" s="27" t="s">
        <v>7</v>
      </c>
      <c r="KM533" s="27" t="s">
        <v>8</v>
      </c>
      <c r="KN533" s="27" t="s">
        <v>7</v>
      </c>
      <c r="KO533" s="27" t="s">
        <v>8</v>
      </c>
      <c r="KP533" s="27" t="s">
        <v>7</v>
      </c>
      <c r="KW533" s="27" t="s">
        <v>8</v>
      </c>
      <c r="LZ533" s="27" t="s">
        <v>7</v>
      </c>
      <c r="MB533" s="27" t="s">
        <v>7</v>
      </c>
      <c r="NZ533" s="27" t="s">
        <v>7</v>
      </c>
      <c r="OA533" s="27" t="s">
        <v>8</v>
      </c>
      <c r="OB533" s="27" t="s">
        <v>7</v>
      </c>
      <c r="OC533" s="27" t="s">
        <v>8</v>
      </c>
      <c r="OD533" s="27" t="s">
        <v>7</v>
      </c>
      <c r="OE533" s="27" t="s">
        <v>8</v>
      </c>
      <c r="OL533" s="27" t="s">
        <v>7</v>
      </c>
      <c r="ON533" s="27" t="s">
        <v>7</v>
      </c>
      <c r="OO533" s="27" t="s">
        <v>8</v>
      </c>
      <c r="OP533" s="27" t="s">
        <v>7</v>
      </c>
      <c r="OQ533" s="27" t="s">
        <v>8</v>
      </c>
      <c r="OR533" s="27" t="s">
        <v>7</v>
      </c>
    </row>
    <row r="534" spans="1:408" x14ac:dyDescent="0.25">
      <c r="A534" s="7">
        <v>2.8563347491571447</v>
      </c>
      <c r="B534"/>
      <c r="C534"/>
      <c r="D534"/>
      <c r="E534"/>
      <c r="IQ534" s="27" t="s">
        <v>8</v>
      </c>
      <c r="IS534" s="27" t="s">
        <v>8</v>
      </c>
      <c r="IT534" s="27" t="s">
        <v>7</v>
      </c>
      <c r="IU534" s="27" t="s">
        <v>8</v>
      </c>
      <c r="IV534" s="27" t="s">
        <v>7</v>
      </c>
      <c r="IW534" s="27" t="s">
        <v>8</v>
      </c>
      <c r="IY534" s="27" t="s">
        <v>8</v>
      </c>
      <c r="IZ534" s="27" t="s">
        <v>7</v>
      </c>
      <c r="JA534" s="27" t="s">
        <v>8</v>
      </c>
      <c r="JB534" s="27" t="s">
        <v>7</v>
      </c>
      <c r="JC534" s="27" t="s">
        <v>8</v>
      </c>
      <c r="JD534" s="27" t="s">
        <v>7</v>
      </c>
      <c r="JE534" s="27" t="s">
        <v>8</v>
      </c>
      <c r="KF534" s="27" t="s">
        <v>7</v>
      </c>
      <c r="KG534" s="27" t="s">
        <v>8</v>
      </c>
      <c r="KH534" s="27" t="s">
        <v>7</v>
      </c>
      <c r="KI534" s="27" t="s">
        <v>8</v>
      </c>
      <c r="KJ534" s="27" t="s">
        <v>7</v>
      </c>
      <c r="KK534" s="27" t="s">
        <v>8</v>
      </c>
      <c r="KL534" s="27" t="s">
        <v>7</v>
      </c>
      <c r="KM534" s="27" t="s">
        <v>8</v>
      </c>
      <c r="KN534" s="27" t="s">
        <v>7</v>
      </c>
      <c r="KP534" s="27" t="s">
        <v>7</v>
      </c>
      <c r="KU534" s="27" t="s">
        <v>8</v>
      </c>
      <c r="KW534" s="27" t="s">
        <v>8</v>
      </c>
      <c r="NZ534" s="27" t="s">
        <v>7</v>
      </c>
      <c r="OA534" s="27" t="s">
        <v>8</v>
      </c>
      <c r="OB534" s="27" t="s">
        <v>7</v>
      </c>
      <c r="OC534" s="27" t="s">
        <v>8</v>
      </c>
      <c r="OD534" s="27" t="s">
        <v>7</v>
      </c>
      <c r="OE534" s="27" t="s">
        <v>8</v>
      </c>
      <c r="ON534" s="27" t="s">
        <v>7</v>
      </c>
      <c r="OO534" s="27" t="s">
        <v>8</v>
      </c>
      <c r="OP534" s="27" t="s">
        <v>7</v>
      </c>
      <c r="OQ534" s="27" t="s">
        <v>8</v>
      </c>
      <c r="OR534" s="27" t="s">
        <v>7</v>
      </c>
    </row>
    <row r="535" spans="1:408" x14ac:dyDescent="0.25">
      <c r="A535" s="7">
        <v>2.8003281854481812</v>
      </c>
      <c r="B535"/>
      <c r="C535"/>
      <c r="D535"/>
      <c r="E535"/>
      <c r="IK535" s="27" t="s">
        <v>8</v>
      </c>
      <c r="IQ535" s="27" t="s">
        <v>8</v>
      </c>
      <c r="IR535" s="27" t="s">
        <v>7</v>
      </c>
      <c r="IS535" s="27" t="s">
        <v>8</v>
      </c>
      <c r="IT535" s="27" t="s">
        <v>7</v>
      </c>
      <c r="IU535" s="27" t="s">
        <v>8</v>
      </c>
      <c r="IV535" s="27" t="s">
        <v>7</v>
      </c>
      <c r="IW535" s="27" t="s">
        <v>8</v>
      </c>
      <c r="IX535" s="27" t="s">
        <v>7</v>
      </c>
      <c r="IY535" s="27" t="s">
        <v>8</v>
      </c>
      <c r="IZ535" s="27" t="s">
        <v>7</v>
      </c>
      <c r="JA535" s="27" t="s">
        <v>8</v>
      </c>
      <c r="JB535" s="27" t="s">
        <v>7</v>
      </c>
      <c r="JC535" s="27" t="s">
        <v>8</v>
      </c>
      <c r="JD535" s="27" t="s">
        <v>7</v>
      </c>
      <c r="JE535" s="27" t="s">
        <v>8</v>
      </c>
      <c r="KF535" s="27" t="s">
        <v>7</v>
      </c>
      <c r="KG535" s="27" t="s">
        <v>8</v>
      </c>
      <c r="KH535" s="27" t="s">
        <v>7</v>
      </c>
      <c r="KI535" s="27" t="s">
        <v>8</v>
      </c>
      <c r="KJ535" s="27" t="s">
        <v>7</v>
      </c>
      <c r="KK535" s="27" t="s">
        <v>8</v>
      </c>
      <c r="KL535" s="27" t="s">
        <v>7</v>
      </c>
      <c r="KM535" s="27" t="s">
        <v>8</v>
      </c>
      <c r="KP535" s="27" t="s">
        <v>7</v>
      </c>
      <c r="KU535" s="27" t="s">
        <v>8</v>
      </c>
      <c r="KV535" s="27" t="s">
        <v>7</v>
      </c>
      <c r="KW535" s="27" t="s">
        <v>8</v>
      </c>
      <c r="NZ535" s="27" t="s">
        <v>7</v>
      </c>
      <c r="OA535" s="27" t="s">
        <v>8</v>
      </c>
      <c r="OB535" s="27" t="s">
        <v>7</v>
      </c>
      <c r="OC535" s="27" t="s">
        <v>8</v>
      </c>
      <c r="OD535" s="27" t="s">
        <v>7</v>
      </c>
      <c r="OE535" s="27" t="s">
        <v>8</v>
      </c>
      <c r="ON535" s="27" t="s">
        <v>7</v>
      </c>
      <c r="OO535" s="27" t="s">
        <v>8</v>
      </c>
      <c r="OP535" s="27" t="s">
        <v>7</v>
      </c>
      <c r="OQ535" s="27" t="s">
        <v>8</v>
      </c>
      <c r="OR535" s="27" t="s">
        <v>7</v>
      </c>
    </row>
    <row r="536" spans="1:408" x14ac:dyDescent="0.25">
      <c r="A536" s="7">
        <v>2.7454197896550796</v>
      </c>
      <c r="B536"/>
      <c r="C536"/>
      <c r="D536"/>
      <c r="E536"/>
      <c r="IK536" s="27" t="s">
        <v>8</v>
      </c>
      <c r="IL536" s="27" t="s">
        <v>7</v>
      </c>
      <c r="IQ536" s="27" t="s">
        <v>8</v>
      </c>
      <c r="IR536" s="27" t="s">
        <v>7</v>
      </c>
      <c r="IS536" s="27" t="s">
        <v>8</v>
      </c>
      <c r="IT536" s="27" t="s">
        <v>7</v>
      </c>
      <c r="IU536" s="27" t="s">
        <v>8</v>
      </c>
      <c r="IV536" s="27" t="s">
        <v>7</v>
      </c>
      <c r="IW536" s="27" t="s">
        <v>8</v>
      </c>
      <c r="IX536" s="27" t="s">
        <v>7</v>
      </c>
      <c r="IY536" s="27" t="s">
        <v>8</v>
      </c>
      <c r="IZ536" s="27" t="s">
        <v>7</v>
      </c>
      <c r="JA536" s="27" t="s">
        <v>8</v>
      </c>
      <c r="JB536" s="27" t="s">
        <v>7</v>
      </c>
      <c r="JC536" s="27" t="s">
        <v>8</v>
      </c>
      <c r="JD536" s="27" t="s">
        <v>7</v>
      </c>
      <c r="JE536" s="27" t="s">
        <v>8</v>
      </c>
      <c r="KF536" s="27" t="s">
        <v>7</v>
      </c>
      <c r="KG536" s="27" t="s">
        <v>8</v>
      </c>
      <c r="KH536" s="27" t="s">
        <v>7</v>
      </c>
      <c r="KI536" s="27" t="s">
        <v>8</v>
      </c>
      <c r="KJ536" s="27" t="s">
        <v>7</v>
      </c>
      <c r="KK536" s="27" t="s">
        <v>8</v>
      </c>
      <c r="KL536" s="27" t="s">
        <v>7</v>
      </c>
      <c r="KM536" s="27" t="s">
        <v>8</v>
      </c>
      <c r="KP536" s="27" t="s">
        <v>7</v>
      </c>
      <c r="KQ536" s="27" t="s">
        <v>8</v>
      </c>
      <c r="KU536" s="27" t="s">
        <v>8</v>
      </c>
      <c r="KV536" s="27" t="s">
        <v>7</v>
      </c>
      <c r="KW536" s="27" t="s">
        <v>8</v>
      </c>
      <c r="NZ536" s="27" t="s">
        <v>7</v>
      </c>
      <c r="OB536" s="27" t="s">
        <v>7</v>
      </c>
      <c r="OC536" s="27" t="s">
        <v>8</v>
      </c>
      <c r="OD536" s="27" t="s">
        <v>7</v>
      </c>
      <c r="OE536" s="27" t="s">
        <v>8</v>
      </c>
      <c r="ON536" s="27" t="s">
        <v>7</v>
      </c>
      <c r="OO536" s="27" t="s">
        <v>8</v>
      </c>
      <c r="OP536" s="27" t="s">
        <v>7</v>
      </c>
      <c r="OQ536" s="27" t="s">
        <v>8</v>
      </c>
      <c r="OR536" s="27" t="s">
        <v>7</v>
      </c>
    </row>
    <row r="537" spans="1:408" x14ac:dyDescent="0.25">
      <c r="A537" s="7">
        <v>2.6915880290736074</v>
      </c>
      <c r="B537"/>
      <c r="C537"/>
      <c r="D537"/>
      <c r="E537"/>
      <c r="IK537" s="27" t="s">
        <v>8</v>
      </c>
      <c r="IL537" s="27" t="s">
        <v>7</v>
      </c>
      <c r="IQ537" s="27" t="s">
        <v>8</v>
      </c>
      <c r="IR537" s="27" t="s">
        <v>7</v>
      </c>
      <c r="IS537" s="27" t="s">
        <v>8</v>
      </c>
      <c r="IT537" s="27" t="s">
        <v>7</v>
      </c>
      <c r="IU537" s="27" t="s">
        <v>8</v>
      </c>
      <c r="IV537" s="27" t="s">
        <v>7</v>
      </c>
      <c r="IX537" s="27" t="s">
        <v>7</v>
      </c>
      <c r="IY537" s="27" t="s">
        <v>8</v>
      </c>
      <c r="IZ537" s="27" t="s">
        <v>7</v>
      </c>
      <c r="JA537" s="27" t="s">
        <v>8</v>
      </c>
      <c r="JB537" s="27" t="s">
        <v>7</v>
      </c>
      <c r="JC537" s="27" t="s">
        <v>8</v>
      </c>
      <c r="JD537" s="27" t="s">
        <v>7</v>
      </c>
      <c r="JE537" s="27" t="s">
        <v>8</v>
      </c>
      <c r="KF537" s="27" t="s">
        <v>7</v>
      </c>
      <c r="KG537" s="27" t="s">
        <v>8</v>
      </c>
      <c r="KH537" s="27" t="s">
        <v>7</v>
      </c>
      <c r="KI537" s="27" t="s">
        <v>8</v>
      </c>
      <c r="KJ537" s="27" t="s">
        <v>7</v>
      </c>
      <c r="KL537" s="27" t="s">
        <v>7</v>
      </c>
      <c r="KP537" s="27" t="s">
        <v>7</v>
      </c>
      <c r="KQ537" s="27" t="s">
        <v>8</v>
      </c>
      <c r="KR537" s="27" t="s">
        <v>7</v>
      </c>
      <c r="KS537" s="27" t="s">
        <v>8</v>
      </c>
      <c r="KU537" s="27" t="s">
        <v>8</v>
      </c>
      <c r="KV537" s="27" t="s">
        <v>7</v>
      </c>
      <c r="KW537" s="27" t="s">
        <v>8</v>
      </c>
      <c r="OB537" s="27" t="s">
        <v>7</v>
      </c>
      <c r="OC537" s="27" t="s">
        <v>8</v>
      </c>
      <c r="OD537" s="27" t="s">
        <v>7</v>
      </c>
      <c r="OE537" s="27" t="s">
        <v>8</v>
      </c>
      <c r="ON537" s="27" t="s">
        <v>7</v>
      </c>
      <c r="OP537" s="27" t="s">
        <v>7</v>
      </c>
      <c r="OQ537" s="27" t="s">
        <v>8</v>
      </c>
      <c r="OR537" s="27" t="s">
        <v>7</v>
      </c>
    </row>
    <row r="538" spans="1:408" x14ac:dyDescent="0.25">
      <c r="A538" s="7">
        <v>2.6388117932094191</v>
      </c>
      <c r="B538"/>
      <c r="C538"/>
      <c r="D538"/>
      <c r="E538"/>
      <c r="IK538" s="27" t="s">
        <v>8</v>
      </c>
      <c r="IL538" s="27" t="s">
        <v>7</v>
      </c>
      <c r="IQ538" s="27" t="s">
        <v>8</v>
      </c>
      <c r="IR538" s="27" t="s">
        <v>7</v>
      </c>
      <c r="IS538" s="27" t="s">
        <v>8</v>
      </c>
      <c r="IT538" s="27" t="s">
        <v>7</v>
      </c>
      <c r="IX538" s="27" t="s">
        <v>7</v>
      </c>
      <c r="IY538" s="27" t="s">
        <v>8</v>
      </c>
      <c r="IZ538" s="27" t="s">
        <v>7</v>
      </c>
      <c r="JA538" s="27" t="s">
        <v>8</v>
      </c>
      <c r="JB538" s="27" t="s">
        <v>7</v>
      </c>
      <c r="JC538" s="27" t="s">
        <v>8</v>
      </c>
      <c r="JD538" s="27" t="s">
        <v>7</v>
      </c>
      <c r="KF538" s="27" t="s">
        <v>7</v>
      </c>
      <c r="KG538" s="27" t="s">
        <v>8</v>
      </c>
      <c r="KH538" s="27" t="s">
        <v>7</v>
      </c>
      <c r="KI538" s="27" t="s">
        <v>8</v>
      </c>
      <c r="KP538" s="27" t="s">
        <v>7</v>
      </c>
      <c r="KQ538" s="27" t="s">
        <v>8</v>
      </c>
      <c r="KR538" s="27" t="s">
        <v>7</v>
      </c>
      <c r="KS538" s="27" t="s">
        <v>8</v>
      </c>
      <c r="KT538" s="27" t="s">
        <v>7</v>
      </c>
      <c r="KU538" s="27" t="s">
        <v>8</v>
      </c>
      <c r="KV538" s="27" t="s">
        <v>7</v>
      </c>
      <c r="KW538" s="27" t="s">
        <v>8</v>
      </c>
      <c r="OB538" s="27" t="s">
        <v>7</v>
      </c>
      <c r="OC538" s="27" t="s">
        <v>8</v>
      </c>
      <c r="OD538" s="27" t="s">
        <v>7</v>
      </c>
      <c r="OE538" s="27" t="s">
        <v>8</v>
      </c>
      <c r="OP538" s="27" t="s">
        <v>7</v>
      </c>
      <c r="OR538" s="27" t="s">
        <v>7</v>
      </c>
    </row>
    <row r="539" spans="1:408" x14ac:dyDescent="0.25">
      <c r="A539" s="7">
        <v>2.5870703854994304</v>
      </c>
      <c r="B539"/>
      <c r="C539"/>
      <c r="D539"/>
      <c r="E539"/>
      <c r="HU539" s="27" t="s">
        <v>8</v>
      </c>
      <c r="IG539" s="27" t="s">
        <v>8</v>
      </c>
      <c r="IK539" s="27" t="s">
        <v>8</v>
      </c>
      <c r="IL539" s="27" t="s">
        <v>7</v>
      </c>
      <c r="IQ539" s="27" t="s">
        <v>8</v>
      </c>
      <c r="IR539" s="27" t="s">
        <v>7</v>
      </c>
      <c r="IS539" s="27" t="s">
        <v>8</v>
      </c>
      <c r="IX539" s="27" t="s">
        <v>7</v>
      </c>
      <c r="IY539" s="27" t="s">
        <v>8</v>
      </c>
      <c r="IZ539" s="27" t="s">
        <v>7</v>
      </c>
      <c r="JA539" s="27" t="s">
        <v>8</v>
      </c>
      <c r="JB539" s="27" t="s">
        <v>7</v>
      </c>
      <c r="JC539" s="27" t="s">
        <v>8</v>
      </c>
      <c r="KF539" s="27" t="s">
        <v>7</v>
      </c>
      <c r="KG539" s="27" t="s">
        <v>8</v>
      </c>
      <c r="KH539" s="27" t="s">
        <v>7</v>
      </c>
      <c r="KI539" s="27" t="s">
        <v>8</v>
      </c>
      <c r="KP539" s="27" t="s">
        <v>7</v>
      </c>
      <c r="KQ539" s="27" t="s">
        <v>8</v>
      </c>
      <c r="KR539" s="27" t="s">
        <v>7</v>
      </c>
      <c r="KS539" s="27" t="s">
        <v>8</v>
      </c>
      <c r="KT539" s="27" t="s">
        <v>7</v>
      </c>
      <c r="KU539" s="27" t="s">
        <v>8</v>
      </c>
      <c r="KV539" s="27" t="s">
        <v>7</v>
      </c>
      <c r="KW539" s="27" t="s">
        <v>8</v>
      </c>
      <c r="OB539" s="27" t="s">
        <v>7</v>
      </c>
      <c r="OD539" s="27" t="s">
        <v>7</v>
      </c>
      <c r="OR539" s="27" t="s">
        <v>7</v>
      </c>
    </row>
    <row r="540" spans="1:408" x14ac:dyDescent="0.25">
      <c r="A540" s="7">
        <v>2.53634351519552</v>
      </c>
      <c r="B540"/>
      <c r="C540"/>
      <c r="D540"/>
      <c r="E540"/>
      <c r="HU540" s="27" t="s">
        <v>8</v>
      </c>
      <c r="HV540" s="27" t="s">
        <v>7</v>
      </c>
      <c r="IG540" s="27" t="s">
        <v>8</v>
      </c>
      <c r="IH540" s="27" t="s">
        <v>7</v>
      </c>
      <c r="IK540" s="27" t="s">
        <v>8</v>
      </c>
      <c r="IL540" s="27" t="s">
        <v>7</v>
      </c>
      <c r="IQ540" s="27" t="s">
        <v>8</v>
      </c>
      <c r="IR540" s="27" t="s">
        <v>7</v>
      </c>
      <c r="IS540" s="27" t="s">
        <v>8</v>
      </c>
      <c r="IX540" s="27" t="s">
        <v>7</v>
      </c>
      <c r="IY540" s="27" t="s">
        <v>8</v>
      </c>
      <c r="IZ540" s="27" t="s">
        <v>7</v>
      </c>
      <c r="JA540" s="27" t="s">
        <v>8</v>
      </c>
      <c r="JB540" s="27" t="s">
        <v>7</v>
      </c>
      <c r="JC540" s="27" t="s">
        <v>8</v>
      </c>
      <c r="KF540" s="27" t="s">
        <v>7</v>
      </c>
      <c r="KG540" s="27" t="s">
        <v>8</v>
      </c>
      <c r="KH540" s="27" t="s">
        <v>7</v>
      </c>
      <c r="KI540" s="27" t="s">
        <v>8</v>
      </c>
      <c r="KP540" s="27" t="s">
        <v>7</v>
      </c>
      <c r="KR540" s="27" t="s">
        <v>7</v>
      </c>
      <c r="KS540" s="27" t="s">
        <v>8</v>
      </c>
      <c r="KT540" s="27" t="s">
        <v>7</v>
      </c>
      <c r="KU540" s="27" t="s">
        <v>8</v>
      </c>
      <c r="KV540" s="27" t="s">
        <v>7</v>
      </c>
      <c r="KW540" s="27" t="s">
        <v>8</v>
      </c>
      <c r="OR540" s="27" t="s">
        <v>7</v>
      </c>
    </row>
    <row r="541" spans="1:408" x14ac:dyDescent="0.25">
      <c r="A541" s="7">
        <v>2.4866112894073726</v>
      </c>
      <c r="B541"/>
      <c r="C541"/>
      <c r="D541"/>
      <c r="E541"/>
      <c r="HU541" s="27" t="s">
        <v>8</v>
      </c>
      <c r="HV541" s="27" t="s">
        <v>7</v>
      </c>
      <c r="IG541" s="27" t="s">
        <v>8</v>
      </c>
      <c r="IH541" s="27" t="s">
        <v>7</v>
      </c>
      <c r="IK541" s="27" t="s">
        <v>8</v>
      </c>
      <c r="IL541" s="27" t="s">
        <v>7</v>
      </c>
      <c r="IQ541" s="27" t="s">
        <v>8</v>
      </c>
      <c r="IR541" s="27" t="s">
        <v>7</v>
      </c>
      <c r="IX541" s="27" t="s">
        <v>7</v>
      </c>
      <c r="IY541" s="27" t="s">
        <v>8</v>
      </c>
      <c r="IZ541" s="27" t="s">
        <v>7</v>
      </c>
      <c r="JA541" s="27" t="s">
        <v>8</v>
      </c>
      <c r="JB541" s="27" t="s">
        <v>7</v>
      </c>
      <c r="JC541" s="27" t="s">
        <v>8</v>
      </c>
      <c r="KF541" s="27" t="s">
        <v>7</v>
      </c>
      <c r="KG541" s="27" t="s">
        <v>8</v>
      </c>
      <c r="KH541" s="27" t="s">
        <v>7</v>
      </c>
      <c r="KR541" s="27" t="s">
        <v>7</v>
      </c>
      <c r="KS541" s="27" t="s">
        <v>8</v>
      </c>
      <c r="KT541" s="27" t="s">
        <v>7</v>
      </c>
      <c r="KU541" s="27" t="s">
        <v>8</v>
      </c>
      <c r="KV541" s="27" t="s">
        <v>7</v>
      </c>
      <c r="OR541" s="27" t="s">
        <v>7</v>
      </c>
    </row>
    <row r="542" spans="1:408" x14ac:dyDescent="0.25">
      <c r="A542" s="7">
        <v>2.4378542053013459</v>
      </c>
      <c r="B542"/>
      <c r="C542"/>
      <c r="D542"/>
      <c r="E542"/>
      <c r="HU542" s="27" t="s">
        <v>8</v>
      </c>
      <c r="HV542" s="27" t="s">
        <v>7</v>
      </c>
      <c r="IG542" s="27" t="s">
        <v>8</v>
      </c>
      <c r="IH542" s="27" t="s">
        <v>7</v>
      </c>
      <c r="II542" s="27" t="s">
        <v>8</v>
      </c>
      <c r="IK542" s="27" t="s">
        <v>8</v>
      </c>
      <c r="IL542" s="27" t="s">
        <v>7</v>
      </c>
      <c r="IO542" s="27" t="s">
        <v>8</v>
      </c>
      <c r="IQ542" s="27" t="s">
        <v>8</v>
      </c>
      <c r="IX542" s="27" t="s">
        <v>7</v>
      </c>
      <c r="IZ542" s="27" t="s">
        <v>7</v>
      </c>
      <c r="JA542" s="27" t="s">
        <v>8</v>
      </c>
      <c r="JB542" s="27" t="s">
        <v>7</v>
      </c>
      <c r="JC542" s="27" t="s">
        <v>8</v>
      </c>
      <c r="KF542" s="27" t="s">
        <v>7</v>
      </c>
      <c r="KG542" s="27" t="s">
        <v>8</v>
      </c>
      <c r="KR542" s="27" t="s">
        <v>7</v>
      </c>
      <c r="KS542" s="27" t="s">
        <v>8</v>
      </c>
      <c r="KT542" s="27" t="s">
        <v>7</v>
      </c>
      <c r="OR542" s="27" t="s">
        <v>7</v>
      </c>
    </row>
    <row r="543" spans="1:408" x14ac:dyDescent="0.25">
      <c r="A543" s="7">
        <v>2.3900531424522997</v>
      </c>
      <c r="B543"/>
      <c r="C543"/>
      <c r="D543"/>
      <c r="E543"/>
      <c r="HU543" s="27" t="s">
        <v>8</v>
      </c>
      <c r="HV543" s="27" t="s">
        <v>7</v>
      </c>
      <c r="IG543" s="27" t="s">
        <v>8</v>
      </c>
      <c r="IH543" s="27" t="s">
        <v>7</v>
      </c>
      <c r="II543" s="27" t="s">
        <v>8</v>
      </c>
      <c r="IJ543" s="27" t="s">
        <v>7</v>
      </c>
      <c r="IK543" s="27" t="s">
        <v>8</v>
      </c>
      <c r="IL543" s="27" t="s">
        <v>7</v>
      </c>
      <c r="IO543" s="27" t="s">
        <v>8</v>
      </c>
      <c r="IP543" s="27" t="s">
        <v>7</v>
      </c>
      <c r="IQ543" s="27" t="s">
        <v>8</v>
      </c>
      <c r="IZ543" s="27" t="s">
        <v>7</v>
      </c>
      <c r="JA543" s="27" t="s">
        <v>8</v>
      </c>
      <c r="JB543" s="27" t="s">
        <v>7</v>
      </c>
      <c r="JC543" s="27" t="s">
        <v>8</v>
      </c>
      <c r="KF543" s="27" t="s">
        <v>7</v>
      </c>
      <c r="KG543" s="27" t="s">
        <v>8</v>
      </c>
      <c r="KR543" s="27" t="s">
        <v>7</v>
      </c>
      <c r="KS543" s="27" t="s">
        <v>8</v>
      </c>
      <c r="OR543" s="27" t="s">
        <v>7</v>
      </c>
    </row>
    <row r="544" spans="1:408" x14ac:dyDescent="0.25">
      <c r="A544" s="7">
        <v>2.343189355345392</v>
      </c>
      <c r="B544"/>
      <c r="C544"/>
      <c r="D544"/>
      <c r="E544"/>
      <c r="HU544" s="27" t="s">
        <v>8</v>
      </c>
      <c r="HV544" s="27" t="s">
        <v>7</v>
      </c>
      <c r="HY544" s="27" t="s">
        <v>8</v>
      </c>
      <c r="IG544" s="27" t="s">
        <v>8</v>
      </c>
      <c r="IH544" s="27" t="s">
        <v>7</v>
      </c>
      <c r="II544" s="27" t="s">
        <v>8</v>
      </c>
      <c r="IJ544" s="27" t="s">
        <v>7</v>
      </c>
      <c r="IK544" s="27" t="s">
        <v>8</v>
      </c>
      <c r="IL544" s="27" t="s">
        <v>7</v>
      </c>
      <c r="IO544" s="27" t="s">
        <v>8</v>
      </c>
      <c r="IP544" s="27" t="s">
        <v>7</v>
      </c>
      <c r="IQ544" s="27" t="s">
        <v>8</v>
      </c>
      <c r="IZ544" s="27" t="s">
        <v>7</v>
      </c>
      <c r="JA544" s="27" t="s">
        <v>8</v>
      </c>
      <c r="JB544" s="27" t="s">
        <v>7</v>
      </c>
      <c r="JC544" s="27" t="s">
        <v>8</v>
      </c>
      <c r="KF544" s="27" t="s">
        <v>7</v>
      </c>
      <c r="KG544" s="27" t="s">
        <v>8</v>
      </c>
      <c r="KR544" s="27" t="s">
        <v>7</v>
      </c>
      <c r="KS544" s="27" t="s">
        <v>8</v>
      </c>
      <c r="OR544" s="27" t="s">
        <v>7</v>
      </c>
    </row>
    <row r="545" spans="1:412" x14ac:dyDescent="0.25">
      <c r="A545" s="7">
        <v>2.2972444660248938</v>
      </c>
      <c r="B545"/>
      <c r="C545"/>
      <c r="D545"/>
      <c r="E545"/>
      <c r="HU545" s="27" t="s">
        <v>8</v>
      </c>
      <c r="HV545" s="27" t="s">
        <v>7</v>
      </c>
      <c r="HW545" s="27" t="s">
        <v>8</v>
      </c>
      <c r="HY545" s="27" t="s">
        <v>8</v>
      </c>
      <c r="HZ545" s="27" t="s">
        <v>7</v>
      </c>
      <c r="IG545" s="27" t="s">
        <v>8</v>
      </c>
      <c r="IH545" s="27" t="s">
        <v>7</v>
      </c>
      <c r="II545" s="27" t="s">
        <v>8</v>
      </c>
      <c r="IJ545" s="27" t="s">
        <v>7</v>
      </c>
      <c r="IK545" s="27" t="s">
        <v>8</v>
      </c>
      <c r="IL545" s="27" t="s">
        <v>7</v>
      </c>
      <c r="IM545" s="27" t="s">
        <v>8</v>
      </c>
      <c r="IO545" s="27" t="s">
        <v>8</v>
      </c>
      <c r="IP545" s="27" t="s">
        <v>7</v>
      </c>
      <c r="IQ545" s="27" t="s">
        <v>8</v>
      </c>
      <c r="IZ545" s="27" t="s">
        <v>7</v>
      </c>
      <c r="JA545" s="27" t="s">
        <v>8</v>
      </c>
      <c r="JB545" s="27" t="s">
        <v>7</v>
      </c>
      <c r="JC545" s="27" t="s">
        <v>8</v>
      </c>
      <c r="KF545" s="27" t="s">
        <v>7</v>
      </c>
      <c r="KG545" s="27" t="s">
        <v>8</v>
      </c>
      <c r="KR545" s="27" t="s">
        <v>7</v>
      </c>
      <c r="KS545" s="27" t="s">
        <v>8</v>
      </c>
      <c r="OR545" s="27" t="s">
        <v>7</v>
      </c>
    </row>
    <row r="546" spans="1:412" x14ac:dyDescent="0.25">
      <c r="A546" s="7">
        <v>2.252200456887151</v>
      </c>
      <c r="B546"/>
      <c r="C546"/>
      <c r="D546"/>
      <c r="E546"/>
      <c r="HU546" s="27" t="s">
        <v>8</v>
      </c>
      <c r="HV546" s="27" t="s">
        <v>7</v>
      </c>
      <c r="HW546" s="27" t="s">
        <v>8</v>
      </c>
      <c r="HX546" s="27" t="s">
        <v>7</v>
      </c>
      <c r="HY546" s="27" t="s">
        <v>8</v>
      </c>
      <c r="HZ546" s="27" t="s">
        <v>7</v>
      </c>
      <c r="IG546" s="27" t="s">
        <v>8</v>
      </c>
      <c r="IH546" s="27" t="s">
        <v>7</v>
      </c>
      <c r="IJ546" s="27" t="s">
        <v>7</v>
      </c>
      <c r="IK546" s="27" t="s">
        <v>8</v>
      </c>
      <c r="IL546" s="27" t="s">
        <v>7</v>
      </c>
      <c r="IM546" s="27" t="s">
        <v>8</v>
      </c>
      <c r="IN546" s="27" t="s">
        <v>7</v>
      </c>
      <c r="IO546" s="27" t="s">
        <v>8</v>
      </c>
      <c r="IP546" s="27" t="s">
        <v>7</v>
      </c>
      <c r="IZ546" s="27" t="s">
        <v>7</v>
      </c>
      <c r="JA546" s="27" t="s">
        <v>8</v>
      </c>
      <c r="JB546" s="27" t="s">
        <v>7</v>
      </c>
      <c r="JC546" s="27" t="s">
        <v>8</v>
      </c>
      <c r="KF546" s="27" t="s">
        <v>7</v>
      </c>
      <c r="KG546" s="27" t="s">
        <v>8</v>
      </c>
      <c r="KR546" s="18" t="s">
        <v>7</v>
      </c>
      <c r="KS546" s="27" t="s">
        <v>8</v>
      </c>
      <c r="OR546" s="27" t="s">
        <v>7</v>
      </c>
    </row>
    <row r="547" spans="1:412" x14ac:dyDescent="0.25">
      <c r="A547" s="7">
        <v>2.208039663614854</v>
      </c>
      <c r="B547"/>
      <c r="C547"/>
      <c r="D547"/>
      <c r="E547"/>
      <c r="HU547" s="27" t="s">
        <v>8</v>
      </c>
      <c r="HV547" s="27" t="s">
        <v>7</v>
      </c>
      <c r="HW547" s="27" t="s">
        <v>8</v>
      </c>
      <c r="HX547" s="27" t="s">
        <v>7</v>
      </c>
      <c r="HY547" s="27" t="s">
        <v>8</v>
      </c>
      <c r="HZ547" s="27" t="s">
        <v>7</v>
      </c>
      <c r="IG547" s="27" t="s">
        <v>8</v>
      </c>
      <c r="IJ547" s="27" t="s">
        <v>7</v>
      </c>
      <c r="IK547" s="27" t="s">
        <v>8</v>
      </c>
      <c r="IL547" s="27" t="s">
        <v>7</v>
      </c>
      <c r="IM547" s="27" t="s">
        <v>8</v>
      </c>
      <c r="IN547" s="27" t="s">
        <v>7</v>
      </c>
      <c r="IO547" s="27" t="s">
        <v>8</v>
      </c>
      <c r="IZ547" s="27" t="s">
        <v>7</v>
      </c>
      <c r="JA547" s="27" t="s">
        <v>8</v>
      </c>
      <c r="JB547" s="27" t="s">
        <v>7</v>
      </c>
      <c r="JC547" s="27" t="s">
        <v>8</v>
      </c>
      <c r="KF547" s="27" t="s">
        <v>7</v>
      </c>
      <c r="KR547" s="27" t="s">
        <v>7</v>
      </c>
      <c r="KS547" s="27" t="s">
        <v>8</v>
      </c>
      <c r="OR547" s="27" t="s">
        <v>7</v>
      </c>
    </row>
    <row r="548" spans="1:412" x14ac:dyDescent="0.25">
      <c r="A548" s="7">
        <v>2.1647447682498568</v>
      </c>
      <c r="B548"/>
      <c r="C548"/>
      <c r="D548"/>
      <c r="E548"/>
      <c r="EG548" s="27" t="s">
        <v>8</v>
      </c>
      <c r="HU548" s="27" t="s">
        <v>8</v>
      </c>
      <c r="HV548" s="27" t="s">
        <v>7</v>
      </c>
      <c r="HW548" s="27" t="s">
        <v>8</v>
      </c>
      <c r="HX548" s="27" t="s">
        <v>7</v>
      </c>
      <c r="HY548" s="27" t="s">
        <v>8</v>
      </c>
      <c r="HZ548" s="27" t="s">
        <v>7</v>
      </c>
      <c r="IG548" s="27" t="s">
        <v>8</v>
      </c>
      <c r="IJ548" s="27" t="s">
        <v>7</v>
      </c>
      <c r="IK548" s="27" t="s">
        <v>8</v>
      </c>
      <c r="IL548" s="27" t="s">
        <v>7</v>
      </c>
      <c r="IM548" s="27" t="s">
        <v>8</v>
      </c>
      <c r="IN548" s="27" t="s">
        <v>7</v>
      </c>
      <c r="IO548" s="27" t="s">
        <v>8</v>
      </c>
      <c r="IZ548" s="27" t="s">
        <v>7</v>
      </c>
      <c r="JA548" s="27" t="s">
        <v>8</v>
      </c>
      <c r="JB548" s="27" t="s">
        <v>7</v>
      </c>
      <c r="JC548" s="27" t="s">
        <v>8</v>
      </c>
      <c r="KR548" s="27" t="s">
        <v>7</v>
      </c>
      <c r="KS548" s="27" t="s">
        <v>8</v>
      </c>
      <c r="OR548" s="27" t="s">
        <v>7</v>
      </c>
    </row>
    <row r="549" spans="1:412" x14ac:dyDescent="0.25">
      <c r="A549" s="7">
        <v>2.1222987924018204</v>
      </c>
      <c r="B549"/>
      <c r="C549"/>
      <c r="D549"/>
      <c r="E549"/>
      <c r="EG549" s="27" t="s">
        <v>8</v>
      </c>
      <c r="EH549" s="27" t="s">
        <v>7</v>
      </c>
      <c r="HU549" s="27" t="s">
        <v>8</v>
      </c>
      <c r="HV549" s="27" t="s">
        <v>7</v>
      </c>
      <c r="HW549" s="27" t="s">
        <v>8</v>
      </c>
      <c r="HX549" s="27" t="s">
        <v>7</v>
      </c>
      <c r="HY549" s="27" t="s">
        <v>8</v>
      </c>
      <c r="HZ549" s="27" t="s">
        <v>7</v>
      </c>
      <c r="IG549" s="27" t="s">
        <v>8</v>
      </c>
      <c r="IJ549" s="27" t="s">
        <v>7</v>
      </c>
      <c r="IK549" s="27" t="s">
        <v>8</v>
      </c>
      <c r="IL549" s="27" t="s">
        <v>7</v>
      </c>
      <c r="IM549" s="27" t="s">
        <v>8</v>
      </c>
      <c r="IN549" s="27" t="s">
        <v>7</v>
      </c>
      <c r="IO549" s="27" t="s">
        <v>8</v>
      </c>
      <c r="IZ549" s="27" t="s">
        <v>7</v>
      </c>
      <c r="JA549" s="27" t="s">
        <v>8</v>
      </c>
      <c r="JB549" s="27" t="s">
        <v>7</v>
      </c>
      <c r="JC549" s="27" t="s">
        <v>8</v>
      </c>
      <c r="KR549" s="27" t="s">
        <v>7</v>
      </c>
      <c r="KS549" s="27" t="s">
        <v>8</v>
      </c>
      <c r="OR549" s="27" t="s">
        <v>7</v>
      </c>
    </row>
    <row r="550" spans="1:412" x14ac:dyDescent="0.25">
      <c r="A550" s="7">
        <v>2.0806850905900198</v>
      </c>
      <c r="B550"/>
      <c r="C550"/>
      <c r="D550"/>
      <c r="E550"/>
      <c r="EG550" s="27" t="s">
        <v>8</v>
      </c>
      <c r="EH550" s="27" t="s">
        <v>7</v>
      </c>
      <c r="HU550" s="27" t="s">
        <v>8</v>
      </c>
      <c r="HV550" s="27" t="s">
        <v>7</v>
      </c>
      <c r="HW550" s="27" t="s">
        <v>8</v>
      </c>
      <c r="HX550" s="27" t="s">
        <v>7</v>
      </c>
      <c r="HY550" s="27" t="s">
        <v>8</v>
      </c>
      <c r="HZ550" s="27" t="s">
        <v>7</v>
      </c>
      <c r="IG550" s="27" t="s">
        <v>8</v>
      </c>
      <c r="IJ550" s="27" t="s">
        <v>7</v>
      </c>
      <c r="IL550" s="27" t="s">
        <v>7</v>
      </c>
      <c r="IN550" s="27" t="s">
        <v>7</v>
      </c>
      <c r="IO550" s="27" t="s">
        <v>8</v>
      </c>
      <c r="IZ550" s="27" t="s">
        <v>7</v>
      </c>
      <c r="JA550" s="27" t="s">
        <v>8</v>
      </c>
      <c r="JB550" s="27" t="s">
        <v>7</v>
      </c>
      <c r="JC550" s="27" t="s">
        <v>8</v>
      </c>
      <c r="KR550" s="27" t="s">
        <v>7</v>
      </c>
      <c r="OR550" s="27" t="s">
        <v>7</v>
      </c>
    </row>
    <row r="551" spans="1:412" x14ac:dyDescent="0.25">
      <c r="A551" s="7">
        <v>2.0398873437157055</v>
      </c>
      <c r="B551"/>
      <c r="C551"/>
      <c r="D551"/>
      <c r="E551"/>
      <c r="EG551" s="27" t="s">
        <v>8</v>
      </c>
      <c r="EH551" s="27" t="s">
        <v>7</v>
      </c>
      <c r="EI551" s="27" t="s">
        <v>8</v>
      </c>
      <c r="HU551" s="27" t="s">
        <v>8</v>
      </c>
      <c r="HV551" s="27" t="s">
        <v>7</v>
      </c>
      <c r="HW551" s="27" t="s">
        <v>8</v>
      </c>
      <c r="HX551" s="27" t="s">
        <v>7</v>
      </c>
      <c r="HY551" s="27" t="s">
        <v>8</v>
      </c>
      <c r="HZ551" s="27" t="s">
        <v>7</v>
      </c>
      <c r="IG551" s="27" t="s">
        <v>8</v>
      </c>
      <c r="IN551" s="27" t="s">
        <v>7</v>
      </c>
      <c r="IO551" s="27" t="s">
        <v>8</v>
      </c>
      <c r="IZ551" s="27" t="s">
        <v>7</v>
      </c>
      <c r="JA551" s="27" t="s">
        <v>8</v>
      </c>
      <c r="JB551" s="27" t="s">
        <v>7</v>
      </c>
      <c r="JC551" s="27" t="s">
        <v>8</v>
      </c>
      <c r="OR551" s="27" t="s">
        <v>7</v>
      </c>
    </row>
    <row r="552" spans="1:412" x14ac:dyDescent="0.25">
      <c r="A552" s="7">
        <v>1.9998895526624565</v>
      </c>
      <c r="B552"/>
      <c r="C552"/>
      <c r="D552"/>
      <c r="E552"/>
      <c r="EG552" s="27" t="s">
        <v>8</v>
      </c>
      <c r="EH552" s="27" t="s">
        <v>7</v>
      </c>
      <c r="EI552" s="27" t="s">
        <v>8</v>
      </c>
      <c r="EJ552" s="27" t="s">
        <v>7</v>
      </c>
      <c r="HU552" s="27" t="s">
        <v>8</v>
      </c>
      <c r="HV552" s="27" t="s">
        <v>7</v>
      </c>
      <c r="HW552" s="27" t="s">
        <v>8</v>
      </c>
      <c r="HX552" s="27" t="s">
        <v>7</v>
      </c>
      <c r="HY552" s="27" t="s">
        <v>8</v>
      </c>
      <c r="HZ552" s="27" t="s">
        <v>7</v>
      </c>
      <c r="IG552" s="27" t="s">
        <v>8</v>
      </c>
      <c r="IN552" s="27" t="s">
        <v>7</v>
      </c>
      <c r="IO552" s="27" t="s">
        <v>8</v>
      </c>
      <c r="IZ552" s="27" t="s">
        <v>7</v>
      </c>
      <c r="JA552" s="27" t="s">
        <v>8</v>
      </c>
      <c r="JB552" s="27" t="s">
        <v>7</v>
      </c>
      <c r="JC552" s="27" t="s">
        <v>8</v>
      </c>
      <c r="OR552" s="27" t="s">
        <v>7</v>
      </c>
    </row>
    <row r="553" spans="1:412" x14ac:dyDescent="0.25">
      <c r="A553" s="7">
        <v>1.9606760320220162</v>
      </c>
      <c r="B553"/>
      <c r="C553"/>
      <c r="D553"/>
      <c r="E553"/>
      <c r="EG553" s="27" t="s">
        <v>8</v>
      </c>
      <c r="EH553" s="27" t="s">
        <v>7</v>
      </c>
      <c r="EI553" s="27" t="s">
        <v>8</v>
      </c>
      <c r="EJ553" s="27" t="s">
        <v>7</v>
      </c>
      <c r="HU553" s="27" t="s">
        <v>8</v>
      </c>
      <c r="HV553" s="27" t="s">
        <v>7</v>
      </c>
      <c r="HW553" s="27" t="s">
        <v>8</v>
      </c>
      <c r="HX553" s="27" t="s">
        <v>7</v>
      </c>
      <c r="HY553" s="27" t="s">
        <v>8</v>
      </c>
      <c r="HZ553" s="27" t="s">
        <v>7</v>
      </c>
      <c r="IG553" s="27" t="s">
        <v>8</v>
      </c>
      <c r="IN553" s="27" t="s">
        <v>7</v>
      </c>
      <c r="IO553" s="27" t="s">
        <v>8</v>
      </c>
      <c r="IZ553" s="27" t="s">
        <v>7</v>
      </c>
      <c r="JA553" s="27" t="s">
        <v>8</v>
      </c>
      <c r="JB553" s="27" t="s">
        <v>7</v>
      </c>
      <c r="JC553" s="27" t="s">
        <v>8</v>
      </c>
      <c r="OR553" s="27" t="s">
        <v>7</v>
      </c>
    </row>
    <row r="554" spans="1:412" x14ac:dyDescent="0.25">
      <c r="A554" s="7">
        <v>1.9222314039431532</v>
      </c>
      <c r="B554"/>
      <c r="C554"/>
      <c r="D554"/>
      <c r="E554"/>
      <c r="DQ554" s="27" t="s">
        <v>8</v>
      </c>
      <c r="EG554" s="27" t="s">
        <v>8</v>
      </c>
      <c r="EH554" s="27" t="s">
        <v>7</v>
      </c>
      <c r="EI554" s="27" t="s">
        <v>8</v>
      </c>
      <c r="EJ554" s="27" t="s">
        <v>7</v>
      </c>
      <c r="HU554" s="27" t="s">
        <v>8</v>
      </c>
      <c r="HV554" s="27" t="s">
        <v>7</v>
      </c>
      <c r="HW554" s="27" t="s">
        <v>8</v>
      </c>
      <c r="HX554" s="27" t="s">
        <v>7</v>
      </c>
      <c r="HY554" s="27" t="s">
        <v>8</v>
      </c>
      <c r="HZ554" s="27" t="s">
        <v>7</v>
      </c>
      <c r="IG554" s="27" t="s">
        <v>8</v>
      </c>
      <c r="IN554" s="27" t="s">
        <v>7</v>
      </c>
      <c r="IO554" s="27" t="s">
        <v>8</v>
      </c>
      <c r="IZ554" s="27" t="s">
        <v>7</v>
      </c>
      <c r="JA554" s="27" t="s">
        <v>8</v>
      </c>
      <c r="JB554" s="27" t="s">
        <v>7</v>
      </c>
      <c r="JC554" s="27" t="s">
        <v>8</v>
      </c>
      <c r="OR554" s="27" t="s">
        <v>7</v>
      </c>
      <c r="OU554" s="27" t="s">
        <v>8</v>
      </c>
    </row>
    <row r="555" spans="1:412" x14ac:dyDescent="0.25">
      <c r="A555" s="7">
        <v>1.8845405921011305</v>
      </c>
      <c r="B555"/>
      <c r="C555"/>
      <c r="D555"/>
      <c r="E555"/>
      <c r="DQ555" s="27" t="s">
        <v>8</v>
      </c>
      <c r="DR555" s="27" t="s">
        <v>7</v>
      </c>
      <c r="EG555" s="27" t="s">
        <v>8</v>
      </c>
      <c r="EH555" s="27" t="s">
        <v>7</v>
      </c>
      <c r="EI555" s="27" t="s">
        <v>8</v>
      </c>
      <c r="EJ555" s="27" t="s">
        <v>7</v>
      </c>
      <c r="HU555" s="27" t="s">
        <v>8</v>
      </c>
      <c r="HV555" s="27" t="s">
        <v>7</v>
      </c>
      <c r="HW555" s="27" t="s">
        <v>8</v>
      </c>
      <c r="HX555" s="27" t="s">
        <v>7</v>
      </c>
      <c r="HZ555" s="27" t="s">
        <v>7</v>
      </c>
      <c r="IG555" s="27" t="s">
        <v>8</v>
      </c>
      <c r="IN555" s="27" t="s">
        <v>7</v>
      </c>
      <c r="IO555" s="27" t="s">
        <v>8</v>
      </c>
      <c r="IZ555" s="27" t="s">
        <v>7</v>
      </c>
      <c r="JB555" s="27" t="s">
        <v>7</v>
      </c>
      <c r="JC555" s="27" t="s">
        <v>8</v>
      </c>
      <c r="OR555" s="27" t="s">
        <v>7</v>
      </c>
      <c r="OS555" s="27" t="s">
        <v>8</v>
      </c>
      <c r="OU555" s="27" t="s">
        <v>8</v>
      </c>
      <c r="OV555" s="27" t="s">
        <v>7</v>
      </c>
    </row>
    <row r="556" spans="1:412" x14ac:dyDescent="0.25">
      <c r="A556" s="7">
        <v>1.8475888157854219</v>
      </c>
      <c r="B556"/>
      <c r="C556"/>
      <c r="D556"/>
      <c r="E556"/>
      <c r="DQ556" s="27" t="s">
        <v>8</v>
      </c>
      <c r="DR556" s="27" t="s">
        <v>7</v>
      </c>
      <c r="EG556" s="27" t="s">
        <v>8</v>
      </c>
      <c r="EH556" s="27" t="s">
        <v>7</v>
      </c>
      <c r="EI556" s="27" t="s">
        <v>8</v>
      </c>
      <c r="EJ556" s="27" t="s">
        <v>7</v>
      </c>
      <c r="HU556" s="27" t="s">
        <v>8</v>
      </c>
      <c r="HV556" s="27" t="s">
        <v>7</v>
      </c>
      <c r="HW556" s="27" t="s">
        <v>8</v>
      </c>
      <c r="HZ556" s="27" t="s">
        <v>7</v>
      </c>
      <c r="IG556" s="27" t="s">
        <v>8</v>
      </c>
      <c r="IN556" s="27" t="s">
        <v>7</v>
      </c>
      <c r="IO556" s="27" t="s">
        <v>8</v>
      </c>
      <c r="JB556" s="27" t="s">
        <v>7</v>
      </c>
      <c r="JC556" s="27" t="s">
        <v>8</v>
      </c>
      <c r="OR556" s="27" t="s">
        <v>7</v>
      </c>
      <c r="OS556" s="27" t="s">
        <v>8</v>
      </c>
      <c r="OT556" s="27" t="s">
        <v>7</v>
      </c>
      <c r="OU556" s="27" t="s">
        <v>8</v>
      </c>
      <c r="OV556" s="27" t="s">
        <v>7</v>
      </c>
    </row>
    <row r="557" spans="1:412" x14ac:dyDescent="0.25">
      <c r="A557" s="7">
        <v>1.8113615841033548</v>
      </c>
      <c r="B557"/>
      <c r="C557"/>
      <c r="D557"/>
      <c r="E557"/>
      <c r="DQ557" s="27" t="s">
        <v>8</v>
      </c>
      <c r="DR557" s="27" t="s">
        <v>7</v>
      </c>
      <c r="EG557" s="27" t="s">
        <v>8</v>
      </c>
      <c r="EH557" s="27" t="s">
        <v>7</v>
      </c>
      <c r="EJ557" s="27" t="s">
        <v>7</v>
      </c>
      <c r="HU557" s="27" t="s">
        <v>8</v>
      </c>
      <c r="HV557" s="27" t="s">
        <v>7</v>
      </c>
      <c r="HW557" s="27" t="s">
        <v>8</v>
      </c>
      <c r="HZ557" s="27" t="s">
        <v>7</v>
      </c>
      <c r="IG557" s="27" t="s">
        <v>8</v>
      </c>
      <c r="IN557" s="27" t="s">
        <v>7</v>
      </c>
      <c r="IO557" s="27" t="s">
        <v>8</v>
      </c>
      <c r="JB557" s="27" t="s">
        <v>7</v>
      </c>
      <c r="JC557" s="27" t="s">
        <v>8</v>
      </c>
      <c r="OR557" s="27" t="s">
        <v>7</v>
      </c>
      <c r="OS557" s="27" t="s">
        <v>8</v>
      </c>
      <c r="OT557" s="27" t="s">
        <v>7</v>
      </c>
      <c r="OU557" s="27" t="s">
        <v>8</v>
      </c>
      <c r="OV557" s="27" t="s">
        <v>7</v>
      </c>
    </row>
    <row r="558" spans="1:412" x14ac:dyDescent="0.25">
      <c r="A558" s="7">
        <v>1.7758446902974065</v>
      </c>
      <c r="B558"/>
      <c r="C558"/>
      <c r="D558"/>
      <c r="E558"/>
      <c r="DQ558" s="27" t="s">
        <v>8</v>
      </c>
      <c r="DR558" s="27" t="s">
        <v>7</v>
      </c>
      <c r="EE558" s="27" t="s">
        <v>8</v>
      </c>
      <c r="EG558" s="27" t="s">
        <v>8</v>
      </c>
      <c r="EJ558" s="27" t="s">
        <v>7</v>
      </c>
      <c r="EM558" s="27" t="s">
        <v>8</v>
      </c>
      <c r="HU558" s="27" t="s">
        <v>8</v>
      </c>
      <c r="HV558" s="27" t="s">
        <v>7</v>
      </c>
      <c r="HZ558" s="27" t="s">
        <v>7</v>
      </c>
      <c r="IG558" s="27" t="s">
        <v>8</v>
      </c>
      <c r="IN558" s="27" t="s">
        <v>7</v>
      </c>
      <c r="IO558" s="27" t="s">
        <v>8</v>
      </c>
      <c r="JB558" s="27" t="s">
        <v>7</v>
      </c>
      <c r="OR558" s="27" t="s">
        <v>7</v>
      </c>
      <c r="OS558" s="27" t="s">
        <v>8</v>
      </c>
      <c r="OT558" s="27" t="s">
        <v>7</v>
      </c>
      <c r="OU558" s="27" t="s">
        <v>8</v>
      </c>
      <c r="OV558" s="27" t="s">
        <v>7</v>
      </c>
    </row>
    <row r="559" spans="1:412" x14ac:dyDescent="0.25">
      <c r="A559" s="7">
        <v>1.7410242061739281</v>
      </c>
      <c r="B559"/>
      <c r="C559"/>
      <c r="D559"/>
      <c r="E559"/>
      <c r="DQ559" s="27" t="s">
        <v>8</v>
      </c>
      <c r="DR559" s="27" t="s">
        <v>7</v>
      </c>
      <c r="EE559" s="27" t="s">
        <v>8</v>
      </c>
      <c r="EF559" s="27" t="s">
        <v>7</v>
      </c>
      <c r="EG559" s="27" t="s">
        <v>8</v>
      </c>
      <c r="EJ559" s="27" t="s">
        <v>7</v>
      </c>
      <c r="EK559" s="27" t="s">
        <v>8</v>
      </c>
      <c r="EM559" s="27" t="s">
        <v>8</v>
      </c>
      <c r="EN559" s="27" t="s">
        <v>7</v>
      </c>
      <c r="HU559" s="27" t="s">
        <v>8</v>
      </c>
      <c r="HZ559" s="27" t="s">
        <v>7</v>
      </c>
      <c r="IG559" s="27" t="s">
        <v>8</v>
      </c>
      <c r="IN559" s="27" t="s">
        <v>7</v>
      </c>
      <c r="IO559" s="27" t="s">
        <v>8</v>
      </c>
      <c r="OR559" s="27" t="s">
        <v>7</v>
      </c>
      <c r="OS559" s="27" t="s">
        <v>8</v>
      </c>
      <c r="OT559" s="27" t="s">
        <v>7</v>
      </c>
      <c r="OU559" s="27" t="s">
        <v>8</v>
      </c>
      <c r="OV559" s="27" t="s">
        <v>7</v>
      </c>
    </row>
    <row r="560" spans="1:412" x14ac:dyDescent="0.25">
      <c r="A560" s="7">
        <v>1.7068864766411058</v>
      </c>
      <c r="B560"/>
      <c r="C560"/>
      <c r="D560"/>
      <c r="E560"/>
      <c r="DQ560" s="27" t="s">
        <v>8</v>
      </c>
      <c r="DR560" s="27" t="s">
        <v>7</v>
      </c>
      <c r="EE560" s="27" t="s">
        <v>8</v>
      </c>
      <c r="EF560" s="27" t="s">
        <v>7</v>
      </c>
      <c r="EG560" s="27" t="s">
        <v>8</v>
      </c>
      <c r="EJ560" s="27" t="s">
        <v>7</v>
      </c>
      <c r="EK560" s="27" t="s">
        <v>8</v>
      </c>
      <c r="EL560" s="27" t="s">
        <v>7</v>
      </c>
      <c r="EM560" s="27" t="s">
        <v>8</v>
      </c>
      <c r="EN560" s="27" t="s">
        <v>7</v>
      </c>
      <c r="EO560" s="27" t="s">
        <v>8</v>
      </c>
      <c r="HU560" s="27" t="s">
        <v>8</v>
      </c>
      <c r="HZ560" s="27" t="s">
        <v>7</v>
      </c>
      <c r="IE560" s="27" t="s">
        <v>8</v>
      </c>
      <c r="IG560" s="27" t="s">
        <v>8</v>
      </c>
      <c r="IN560" s="27" t="s">
        <v>7</v>
      </c>
      <c r="OR560" s="27" t="s">
        <v>7</v>
      </c>
      <c r="OS560" s="27" t="s">
        <v>8</v>
      </c>
      <c r="OT560" s="27" t="s">
        <v>7</v>
      </c>
      <c r="OU560" s="27" t="s">
        <v>8</v>
      </c>
      <c r="OV560" s="27" t="s">
        <v>7</v>
      </c>
    </row>
    <row r="561" spans="1:411" x14ac:dyDescent="0.25">
      <c r="A561" s="7">
        <v>1.6734181143540252</v>
      </c>
      <c r="B561"/>
      <c r="C561"/>
      <c r="D561"/>
      <c r="E561"/>
      <c r="DQ561" s="27" t="s">
        <v>8</v>
      </c>
      <c r="DR561" s="27" t="s">
        <v>7</v>
      </c>
      <c r="EE561" s="27" t="s">
        <v>8</v>
      </c>
      <c r="EF561" s="27" t="s">
        <v>7</v>
      </c>
      <c r="EG561" s="27" t="s">
        <v>8</v>
      </c>
      <c r="EJ561" s="27" t="s">
        <v>7</v>
      </c>
      <c r="EK561" s="27" t="s">
        <v>8</v>
      </c>
      <c r="EL561" s="27" t="s">
        <v>7</v>
      </c>
      <c r="EM561" s="27" t="s">
        <v>8</v>
      </c>
      <c r="EN561" s="27" t="s">
        <v>7</v>
      </c>
      <c r="EO561" s="27" t="s">
        <v>8</v>
      </c>
      <c r="EP561" s="27" t="s">
        <v>7</v>
      </c>
      <c r="HS561" s="27" t="s">
        <v>8</v>
      </c>
      <c r="HU561" s="27" t="s">
        <v>8</v>
      </c>
      <c r="HZ561" s="27" t="s">
        <v>7</v>
      </c>
      <c r="IE561" s="27" t="s">
        <v>8</v>
      </c>
      <c r="IF561" s="27" t="s">
        <v>7</v>
      </c>
      <c r="IG561" s="27" t="s">
        <v>8</v>
      </c>
      <c r="OR561" s="27" t="s">
        <v>7</v>
      </c>
      <c r="OS561" s="27" t="s">
        <v>8</v>
      </c>
      <c r="OT561" s="27" t="s">
        <v>7</v>
      </c>
      <c r="OU561" s="27" t="s">
        <v>8</v>
      </c>
    </row>
    <row r="562" spans="1:411" x14ac:dyDescent="0.25">
      <c r="A562" s="7">
        <v>1.6406059944647307</v>
      </c>
      <c r="B562"/>
      <c r="C562"/>
      <c r="D562"/>
      <c r="E562"/>
      <c r="DQ562" s="27" t="s">
        <v>8</v>
      </c>
      <c r="DR562" s="27" t="s">
        <v>7</v>
      </c>
      <c r="EE562" s="27" t="s">
        <v>8</v>
      </c>
      <c r="EF562" s="27" t="s">
        <v>7</v>
      </c>
      <c r="EG562" s="27" t="s">
        <v>8</v>
      </c>
      <c r="EJ562" s="27" t="s">
        <v>7</v>
      </c>
      <c r="EK562" s="27" t="s">
        <v>8</v>
      </c>
      <c r="EL562" s="27" t="s">
        <v>7</v>
      </c>
      <c r="EM562" s="27" t="s">
        <v>8</v>
      </c>
      <c r="EN562" s="27" t="s">
        <v>7</v>
      </c>
      <c r="EO562" s="27" t="s">
        <v>8</v>
      </c>
      <c r="EP562" s="27" t="s">
        <v>7</v>
      </c>
      <c r="HS562" s="27" t="s">
        <v>8</v>
      </c>
      <c r="HT562" s="27" t="s">
        <v>7</v>
      </c>
      <c r="HU562" s="27" t="s">
        <v>8</v>
      </c>
      <c r="HZ562" s="27" t="s">
        <v>7</v>
      </c>
      <c r="IE562" s="27" t="s">
        <v>8</v>
      </c>
      <c r="IF562" s="27" t="s">
        <v>7</v>
      </c>
      <c r="IG562" s="27" t="s">
        <v>8</v>
      </c>
      <c r="OR562" s="27" t="s">
        <v>7</v>
      </c>
      <c r="OT562" s="27" t="s">
        <v>7</v>
      </c>
      <c r="OU562" s="27" t="s">
        <v>8</v>
      </c>
    </row>
    <row r="563" spans="1:411" x14ac:dyDescent="0.25">
      <c r="A563" s="7">
        <v>1.6084372494752261</v>
      </c>
      <c r="B563"/>
      <c r="C563"/>
      <c r="D563"/>
      <c r="E563"/>
      <c r="DQ563" s="27" t="s">
        <v>8</v>
      </c>
      <c r="DR563" s="27" t="s">
        <v>7</v>
      </c>
      <c r="EE563" s="27" t="s">
        <v>8</v>
      </c>
      <c r="EF563" s="27" t="s">
        <v>7</v>
      </c>
      <c r="EG563" s="27" t="s">
        <v>8</v>
      </c>
      <c r="EJ563" s="27" t="s">
        <v>7</v>
      </c>
      <c r="EK563" s="27" t="s">
        <v>8</v>
      </c>
      <c r="EL563" s="27" t="s">
        <v>7</v>
      </c>
      <c r="EM563" s="27" t="s">
        <v>8</v>
      </c>
      <c r="EN563" s="27" t="s">
        <v>7</v>
      </c>
      <c r="EO563" s="27" t="s">
        <v>8</v>
      </c>
      <c r="EP563" s="27" t="s">
        <v>7</v>
      </c>
      <c r="HS563" s="27" t="s">
        <v>8</v>
      </c>
      <c r="HT563" s="27" t="s">
        <v>7</v>
      </c>
      <c r="HU563" s="27" t="s">
        <v>8</v>
      </c>
      <c r="HZ563" s="27" t="s">
        <v>7</v>
      </c>
      <c r="IE563" s="27" t="s">
        <v>8</v>
      </c>
      <c r="IF563" s="27" t="s">
        <v>7</v>
      </c>
      <c r="IG563" s="27" t="s">
        <v>8</v>
      </c>
      <c r="OT563" s="27" t="s">
        <v>7</v>
      </c>
      <c r="OU563" s="27" t="s">
        <v>8</v>
      </c>
    </row>
    <row r="564" spans="1:411" x14ac:dyDescent="0.25">
      <c r="A564" s="7">
        <v>1.5768992641913981</v>
      </c>
      <c r="B564"/>
      <c r="C564"/>
      <c r="D564"/>
      <c r="E564"/>
      <c r="DQ564" s="27" t="s">
        <v>8</v>
      </c>
      <c r="DR564" s="27" t="s">
        <v>7</v>
      </c>
      <c r="EE564" s="27" t="s">
        <v>8</v>
      </c>
      <c r="EF564" s="27" t="s">
        <v>7</v>
      </c>
      <c r="EG564" s="27" t="s">
        <v>8</v>
      </c>
      <c r="EJ564" s="27" t="s">
        <v>7</v>
      </c>
      <c r="EK564" s="27" t="s">
        <v>8</v>
      </c>
      <c r="EL564" s="27" t="s">
        <v>7</v>
      </c>
      <c r="EM564" s="27" t="s">
        <v>8</v>
      </c>
      <c r="EN564" s="27" t="s">
        <v>7</v>
      </c>
      <c r="EO564" s="27" t="s">
        <v>8</v>
      </c>
      <c r="EP564" s="27" t="s">
        <v>7</v>
      </c>
      <c r="HS564" s="27" t="s">
        <v>8</v>
      </c>
      <c r="HT564" s="27" t="s">
        <v>7</v>
      </c>
      <c r="HU564" s="27" t="s">
        <v>8</v>
      </c>
      <c r="HZ564" s="27" t="s">
        <v>7</v>
      </c>
      <c r="IA564" s="27" t="s">
        <v>8</v>
      </c>
      <c r="IE564" s="27" t="s">
        <v>8</v>
      </c>
      <c r="IF564" s="27" t="s">
        <v>7</v>
      </c>
      <c r="IG564" s="27" t="s">
        <v>8</v>
      </c>
      <c r="OT564" s="27" t="s">
        <v>7</v>
      </c>
      <c r="OU564" s="27" t="s">
        <v>8</v>
      </c>
    </row>
    <row r="565" spans="1:411" x14ac:dyDescent="0.25">
      <c r="A565" s="7">
        <v>1.5459796707758806</v>
      </c>
      <c r="B565"/>
      <c r="C565"/>
      <c r="D565"/>
      <c r="E565"/>
      <c r="DQ565" s="27" t="s">
        <v>8</v>
      </c>
      <c r="DR565" s="27" t="s">
        <v>7</v>
      </c>
      <c r="EE565" s="27" t="s">
        <v>8</v>
      </c>
      <c r="EF565" s="27" t="s">
        <v>7</v>
      </c>
      <c r="EG565" s="27" t="s">
        <v>8</v>
      </c>
      <c r="EJ565" s="27" t="s">
        <v>7</v>
      </c>
      <c r="EK565" s="27" t="s">
        <v>8</v>
      </c>
      <c r="EL565" s="27" t="s">
        <v>7</v>
      </c>
      <c r="EM565" s="27" t="s">
        <v>8</v>
      </c>
      <c r="EN565" s="27" t="s">
        <v>7</v>
      </c>
      <c r="EO565" s="27" t="s">
        <v>8</v>
      </c>
      <c r="EP565" s="27" t="s">
        <v>7</v>
      </c>
      <c r="HS565" s="27" t="s">
        <v>8</v>
      </c>
      <c r="HT565" s="27" t="s">
        <v>7</v>
      </c>
      <c r="HU565" s="27" t="s">
        <v>8</v>
      </c>
      <c r="HZ565" s="27" t="s">
        <v>7</v>
      </c>
      <c r="IA565" s="27" t="s">
        <v>8</v>
      </c>
      <c r="IB565" s="27" t="s">
        <v>7</v>
      </c>
      <c r="IE565" s="27" t="s">
        <v>8</v>
      </c>
      <c r="IF565" s="27" t="s">
        <v>7</v>
      </c>
      <c r="IG565" s="27" t="s">
        <v>8</v>
      </c>
      <c r="OT565" s="27" t="s">
        <v>7</v>
      </c>
    </row>
    <row r="566" spans="1:411" x14ac:dyDescent="0.25">
      <c r="A566" s="7">
        <v>1.5156663438979221</v>
      </c>
      <c r="B566"/>
      <c r="C566"/>
      <c r="D566"/>
      <c r="E566"/>
      <c r="DQ566" s="27" t="s">
        <v>8</v>
      </c>
      <c r="DR566" s="27" t="s">
        <v>7</v>
      </c>
      <c r="EE566" s="27" t="s">
        <v>8</v>
      </c>
      <c r="EF566" s="27" t="s">
        <v>7</v>
      </c>
      <c r="EG566" s="27" t="s">
        <v>8</v>
      </c>
      <c r="EJ566" s="27" t="s">
        <v>7</v>
      </c>
      <c r="EK566" s="27" t="s">
        <v>8</v>
      </c>
      <c r="EL566" s="27" t="s">
        <v>7</v>
      </c>
      <c r="EM566" s="27" t="s">
        <v>8</v>
      </c>
      <c r="EN566" s="27" t="s">
        <v>7</v>
      </c>
      <c r="EO566" s="27" t="s">
        <v>8</v>
      </c>
      <c r="EP566" s="27" t="s">
        <v>7</v>
      </c>
      <c r="HM566" s="27" t="s">
        <v>8</v>
      </c>
      <c r="HS566" s="27" t="s">
        <v>8</v>
      </c>
      <c r="HT566" s="27" t="s">
        <v>7</v>
      </c>
      <c r="HU566" s="27" t="s">
        <v>8</v>
      </c>
      <c r="HZ566" s="27" t="s">
        <v>7</v>
      </c>
      <c r="IA566" s="27" t="s">
        <v>8</v>
      </c>
      <c r="IB566" s="27" t="s">
        <v>7</v>
      </c>
      <c r="IC566" s="27" t="s">
        <v>8</v>
      </c>
      <c r="IE566" s="27" t="s">
        <v>8</v>
      </c>
      <c r="IF566" s="27" t="s">
        <v>7</v>
      </c>
    </row>
    <row r="567" spans="1:411" x14ac:dyDescent="0.25">
      <c r="A567" s="7">
        <v>1.4859473959783549</v>
      </c>
      <c r="B567"/>
      <c r="C567"/>
      <c r="D567"/>
      <c r="E567"/>
      <c r="DQ567" s="27" t="s">
        <v>8</v>
      </c>
      <c r="DR567" s="27" t="s">
        <v>7</v>
      </c>
      <c r="EE567" s="27" t="s">
        <v>8</v>
      </c>
      <c r="EF567" s="27" t="s">
        <v>7</v>
      </c>
      <c r="EG567" s="27" t="s">
        <v>8</v>
      </c>
      <c r="EJ567" s="27" t="s">
        <v>7</v>
      </c>
      <c r="EK567" s="27" t="s">
        <v>8</v>
      </c>
      <c r="EL567" s="27" t="s">
        <v>7</v>
      </c>
      <c r="EM567" s="27" t="s">
        <v>8</v>
      </c>
      <c r="EN567" s="27" t="s">
        <v>7</v>
      </c>
      <c r="EO567" s="27" t="s">
        <v>8</v>
      </c>
      <c r="EP567" s="27" t="s">
        <v>7</v>
      </c>
      <c r="HM567" s="27" t="s">
        <v>8</v>
      </c>
      <c r="HN567" s="27" t="s">
        <v>7</v>
      </c>
      <c r="HS567" s="27" t="s">
        <v>8</v>
      </c>
      <c r="HT567" s="27" t="s">
        <v>7</v>
      </c>
      <c r="HU567" s="27" t="s">
        <v>8</v>
      </c>
      <c r="HZ567" s="27" t="s">
        <v>7</v>
      </c>
      <c r="IA567" s="27" t="s">
        <v>8</v>
      </c>
      <c r="IB567" s="27" t="s">
        <v>7</v>
      </c>
      <c r="IC567" s="27" t="s">
        <v>8</v>
      </c>
      <c r="ID567" s="27" t="s">
        <v>7</v>
      </c>
      <c r="IE567" s="27" t="s">
        <v>8</v>
      </c>
    </row>
    <row r="568" spans="1:411" x14ac:dyDescent="0.25">
      <c r="A568" s="7">
        <v>1.4568111725277988</v>
      </c>
      <c r="B568"/>
      <c r="C568"/>
      <c r="D568"/>
      <c r="E568"/>
      <c r="DQ568" s="27" t="s">
        <v>8</v>
      </c>
      <c r="DR568" s="27" t="s">
        <v>7</v>
      </c>
      <c r="EE568" s="27" t="s">
        <v>8</v>
      </c>
      <c r="EF568" s="27" t="s">
        <v>7</v>
      </c>
      <c r="EG568" s="27" t="s">
        <v>8</v>
      </c>
      <c r="EJ568" s="27" t="s">
        <v>7</v>
      </c>
      <c r="EK568" s="27" t="s">
        <v>8</v>
      </c>
      <c r="EL568" s="27" t="s">
        <v>7</v>
      </c>
      <c r="EM568" s="27" t="s">
        <v>8</v>
      </c>
      <c r="EN568" s="27" t="s">
        <v>7</v>
      </c>
      <c r="EO568" s="27" t="s">
        <v>8</v>
      </c>
      <c r="EP568" s="27" t="s">
        <v>7</v>
      </c>
      <c r="HM568" s="27" t="s">
        <v>8</v>
      </c>
      <c r="HN568" s="27" t="s">
        <v>7</v>
      </c>
      <c r="HS568" s="27" t="s">
        <v>8</v>
      </c>
      <c r="HT568" s="27" t="s">
        <v>7</v>
      </c>
      <c r="HU568" s="27" t="s">
        <v>8</v>
      </c>
      <c r="HZ568" s="27" t="s">
        <v>7</v>
      </c>
      <c r="IA568" s="27" t="s">
        <v>8</v>
      </c>
      <c r="IB568" s="27" t="s">
        <v>7</v>
      </c>
      <c r="IC568" s="27" t="s">
        <v>8</v>
      </c>
      <c r="ID568" s="27" t="s">
        <v>7</v>
      </c>
      <c r="IE568" s="27" t="s">
        <v>8</v>
      </c>
    </row>
    <row r="569" spans="1:411" x14ac:dyDescent="0.25">
      <c r="A569" s="7">
        <v>1.4282462475762734</v>
      </c>
      <c r="B569"/>
      <c r="C569"/>
      <c r="D569"/>
      <c r="E569"/>
      <c r="DQ569" s="27" t="s">
        <v>8</v>
      </c>
      <c r="DR569" s="27" t="s">
        <v>7</v>
      </c>
      <c r="EE569" s="27" t="s">
        <v>8</v>
      </c>
      <c r="EF569" s="27" t="s">
        <v>7</v>
      </c>
      <c r="EG569" s="27" t="s">
        <v>8</v>
      </c>
      <c r="EJ569" s="27" t="s">
        <v>7</v>
      </c>
      <c r="EK569" s="27" t="s">
        <v>8</v>
      </c>
      <c r="EL569" s="27" t="s">
        <v>7</v>
      </c>
      <c r="EM569" s="27" t="s">
        <v>8</v>
      </c>
      <c r="EN569" s="27" t="s">
        <v>7</v>
      </c>
      <c r="EO569" s="27" t="s">
        <v>8</v>
      </c>
      <c r="EP569" s="27" t="s">
        <v>7</v>
      </c>
      <c r="HA569" s="27" t="s">
        <v>8</v>
      </c>
      <c r="HM569" s="27" t="s">
        <v>8</v>
      </c>
      <c r="HN569" s="27" t="s">
        <v>7</v>
      </c>
      <c r="HS569" s="27" t="s">
        <v>8</v>
      </c>
      <c r="HT569" s="27" t="s">
        <v>7</v>
      </c>
      <c r="HU569" s="27" t="s">
        <v>8</v>
      </c>
      <c r="HZ569" s="27" t="s">
        <v>7</v>
      </c>
      <c r="IA569" s="27" t="s">
        <v>8</v>
      </c>
      <c r="IB569" s="27" t="s">
        <v>7</v>
      </c>
      <c r="IC569" s="27" t="s">
        <v>8</v>
      </c>
      <c r="ID569" s="27" t="s">
        <v>7</v>
      </c>
      <c r="IE569" s="27" t="s">
        <v>8</v>
      </c>
    </row>
    <row r="570" spans="1:411" x14ac:dyDescent="0.25">
      <c r="A570" s="7">
        <v>1.4002414191924248</v>
      </c>
      <c r="B570"/>
      <c r="C570"/>
      <c r="D570"/>
      <c r="E570"/>
      <c r="DQ570" s="27" t="s">
        <v>8</v>
      </c>
      <c r="DR570" s="27" t="s">
        <v>7</v>
      </c>
      <c r="EE570" s="27" t="s">
        <v>8</v>
      </c>
      <c r="EF570" s="27" t="s">
        <v>7</v>
      </c>
      <c r="EG570" s="27" t="s">
        <v>8</v>
      </c>
      <c r="EJ570" s="27" t="s">
        <v>7</v>
      </c>
      <c r="EL570" s="27" t="s">
        <v>7</v>
      </c>
      <c r="EM570" s="27" t="s">
        <v>8</v>
      </c>
      <c r="EN570" s="27" t="s">
        <v>7</v>
      </c>
      <c r="EO570" s="27" t="s">
        <v>8</v>
      </c>
      <c r="EP570" s="27" t="s">
        <v>7</v>
      </c>
      <c r="HA570" s="27" t="s">
        <v>8</v>
      </c>
      <c r="HB570" s="27" t="s">
        <v>7</v>
      </c>
      <c r="HI570" s="27" t="s">
        <v>8</v>
      </c>
      <c r="HM570" s="27" t="s">
        <v>8</v>
      </c>
      <c r="HN570" s="27" t="s">
        <v>7</v>
      </c>
      <c r="HS570" s="27" t="s">
        <v>8</v>
      </c>
      <c r="HT570" s="27" t="s">
        <v>7</v>
      </c>
      <c r="HU570" s="27" t="s">
        <v>8</v>
      </c>
      <c r="HZ570" s="27" t="s">
        <v>7</v>
      </c>
      <c r="IA570" s="27" t="s">
        <v>8</v>
      </c>
      <c r="IB570" s="27" t="s">
        <v>7</v>
      </c>
      <c r="IC570" s="27" t="s">
        <v>8</v>
      </c>
      <c r="ID570" s="27" t="s">
        <v>7</v>
      </c>
      <c r="IE570" s="27" t="s">
        <v>8</v>
      </c>
    </row>
    <row r="571" spans="1:411" x14ac:dyDescent="0.25">
      <c r="A571" s="7">
        <v>1.3727857050906125</v>
      </c>
      <c r="B571"/>
      <c r="C571"/>
      <c r="D571"/>
      <c r="E571"/>
      <c r="DQ571" s="27" t="s">
        <v>8</v>
      </c>
      <c r="DR571" s="27" t="s">
        <v>7</v>
      </c>
      <c r="EC571" s="27" t="s">
        <v>8</v>
      </c>
      <c r="EE571" s="27" t="s">
        <v>8</v>
      </c>
      <c r="EF571" s="27" t="s">
        <v>7</v>
      </c>
      <c r="EL571" s="27" t="s">
        <v>7</v>
      </c>
      <c r="EM571" s="27" t="s">
        <v>8</v>
      </c>
      <c r="EN571" s="27" t="s">
        <v>7</v>
      </c>
      <c r="EP571" s="27" t="s">
        <v>7</v>
      </c>
      <c r="EW571" s="27" t="s">
        <v>8</v>
      </c>
      <c r="HA571" s="27" t="s">
        <v>8</v>
      </c>
      <c r="HB571" s="27" t="s">
        <v>7</v>
      </c>
      <c r="HI571" s="27" t="s">
        <v>8</v>
      </c>
      <c r="HJ571" s="27" t="s">
        <v>7</v>
      </c>
      <c r="HK571" s="27" t="s">
        <v>8</v>
      </c>
      <c r="HM571" s="27" t="s">
        <v>8</v>
      </c>
      <c r="HN571" s="27" t="s">
        <v>7</v>
      </c>
      <c r="HS571" s="27" t="s">
        <v>8</v>
      </c>
      <c r="HT571" s="27" t="s">
        <v>7</v>
      </c>
      <c r="HZ571" s="27" t="s">
        <v>7</v>
      </c>
      <c r="IA571" s="27" t="s">
        <v>8</v>
      </c>
      <c r="IB571" s="27" t="s">
        <v>7</v>
      </c>
      <c r="IC571" s="27" t="s">
        <v>8</v>
      </c>
      <c r="ID571" s="27" t="s">
        <v>7</v>
      </c>
      <c r="IE571" s="27" t="s">
        <v>8</v>
      </c>
    </row>
    <row r="572" spans="1:411" x14ac:dyDescent="0.25">
      <c r="A572" s="7">
        <v>1.3458683383241299</v>
      </c>
      <c r="B572"/>
      <c r="C572"/>
      <c r="D572"/>
      <c r="E572"/>
      <c r="DQ572" s="27" t="s">
        <v>8</v>
      </c>
      <c r="DR572" s="27" t="s">
        <v>7</v>
      </c>
      <c r="EC572" s="27" t="s">
        <v>8</v>
      </c>
      <c r="ED572" s="27" t="s">
        <v>7</v>
      </c>
      <c r="EE572" s="27" t="s">
        <v>8</v>
      </c>
      <c r="EL572" s="27" t="s">
        <v>7</v>
      </c>
      <c r="EP572" s="27" t="s">
        <v>7</v>
      </c>
      <c r="EW572" s="27" t="s">
        <v>8</v>
      </c>
      <c r="EX572" s="27" t="s">
        <v>7</v>
      </c>
      <c r="GY572" s="27" t="s">
        <v>8</v>
      </c>
      <c r="HA572" s="27" t="s">
        <v>8</v>
      </c>
      <c r="HB572" s="27" t="s">
        <v>7</v>
      </c>
      <c r="HI572" s="27" t="s">
        <v>8</v>
      </c>
      <c r="HJ572" s="27" t="s">
        <v>7</v>
      </c>
      <c r="HK572" s="27" t="s">
        <v>8</v>
      </c>
      <c r="HL572" s="27" t="s">
        <v>7</v>
      </c>
      <c r="HM572" s="27" t="s">
        <v>8</v>
      </c>
      <c r="HN572" s="27" t="s">
        <v>7</v>
      </c>
      <c r="HQ572" s="27" t="s">
        <v>8</v>
      </c>
      <c r="HS572" s="27" t="s">
        <v>8</v>
      </c>
      <c r="HZ572" s="27" t="s">
        <v>7</v>
      </c>
      <c r="IA572" s="27" t="s">
        <v>8</v>
      </c>
      <c r="IB572" s="27" t="s">
        <v>7</v>
      </c>
      <c r="IC572" s="27" t="s">
        <v>8</v>
      </c>
      <c r="ID572" s="27" t="s">
        <v>7</v>
      </c>
      <c r="IE572" s="27" t="s">
        <v>8</v>
      </c>
    </row>
    <row r="573" spans="1:411" x14ac:dyDescent="0.25">
      <c r="A573" s="7">
        <v>1.3194787630628724</v>
      </c>
      <c r="B573"/>
      <c r="C573"/>
      <c r="D573"/>
      <c r="E573"/>
      <c r="DQ573" s="27" t="s">
        <v>8</v>
      </c>
      <c r="DR573" s="27" t="s">
        <v>7</v>
      </c>
      <c r="EC573" s="27" t="s">
        <v>8</v>
      </c>
      <c r="ED573" s="27" t="s">
        <v>7</v>
      </c>
      <c r="EE573" s="27" t="s">
        <v>8</v>
      </c>
      <c r="EP573" s="27" t="s">
        <v>7</v>
      </c>
      <c r="EW573" s="27" t="s">
        <v>8</v>
      </c>
      <c r="EX573" s="27" t="s">
        <v>7</v>
      </c>
      <c r="GY573" s="27" t="s">
        <v>8</v>
      </c>
      <c r="GZ573" s="27" t="s">
        <v>7</v>
      </c>
      <c r="HA573" s="27" t="s">
        <v>8</v>
      </c>
      <c r="HB573" s="27" t="s">
        <v>7</v>
      </c>
      <c r="HI573" s="27" t="s">
        <v>8</v>
      </c>
      <c r="HJ573" s="27" t="s">
        <v>7</v>
      </c>
      <c r="HK573" s="27" t="s">
        <v>8</v>
      </c>
      <c r="HL573" s="27" t="s">
        <v>7</v>
      </c>
      <c r="HM573" s="27" t="s">
        <v>8</v>
      </c>
      <c r="HN573" s="27" t="s">
        <v>7</v>
      </c>
      <c r="HQ573" s="27" t="s">
        <v>8</v>
      </c>
      <c r="HR573" s="27" t="s">
        <v>7</v>
      </c>
      <c r="HS573" s="27" t="s">
        <v>8</v>
      </c>
      <c r="HZ573" s="27" t="s">
        <v>7</v>
      </c>
      <c r="IA573" s="27" t="s">
        <v>8</v>
      </c>
      <c r="IB573" s="27" t="s">
        <v>7</v>
      </c>
      <c r="IC573" s="27" t="s">
        <v>8</v>
      </c>
      <c r="ID573" s="27" t="s">
        <v>7</v>
      </c>
      <c r="IE573" s="27" t="s">
        <v>8</v>
      </c>
    </row>
    <row r="574" spans="1:411" x14ac:dyDescent="0.25">
      <c r="A574" s="7">
        <v>1.2936066304537963</v>
      </c>
      <c r="B574"/>
      <c r="C574"/>
      <c r="D574"/>
      <c r="E574"/>
      <c r="DQ574" s="27" t="s">
        <v>8</v>
      </c>
      <c r="DR574" s="27" t="s">
        <v>7</v>
      </c>
      <c r="DS574" s="27" t="s">
        <v>8</v>
      </c>
      <c r="DU574" s="27" t="s">
        <v>8</v>
      </c>
      <c r="DY574" s="27" t="s">
        <v>8</v>
      </c>
      <c r="EC574" s="27" t="s">
        <v>8</v>
      </c>
      <c r="ED574" s="27" t="s">
        <v>7</v>
      </c>
      <c r="EE574" s="27" t="s">
        <v>8</v>
      </c>
      <c r="EP574" s="27" t="s">
        <v>7</v>
      </c>
      <c r="EW574" s="27" t="s">
        <v>8</v>
      </c>
      <c r="EX574" s="27" t="s">
        <v>7</v>
      </c>
      <c r="GY574" s="27" t="s">
        <v>8</v>
      </c>
      <c r="GZ574" s="27" t="s">
        <v>7</v>
      </c>
      <c r="HA574" s="27" t="s">
        <v>8</v>
      </c>
      <c r="HB574" s="27" t="s">
        <v>7</v>
      </c>
      <c r="HG574" s="27" t="s">
        <v>8</v>
      </c>
      <c r="HI574" s="27" t="s">
        <v>8</v>
      </c>
      <c r="HJ574" s="27" t="s">
        <v>7</v>
      </c>
      <c r="HK574" s="27" t="s">
        <v>8</v>
      </c>
      <c r="HL574" s="27" t="s">
        <v>7</v>
      </c>
      <c r="HM574" s="27" t="s">
        <v>8</v>
      </c>
      <c r="HN574" s="27" t="s">
        <v>7</v>
      </c>
      <c r="HO574" s="27" t="s">
        <v>8</v>
      </c>
      <c r="HQ574" s="27" t="s">
        <v>8</v>
      </c>
      <c r="HR574" s="27" t="s">
        <v>7</v>
      </c>
      <c r="HS574" s="27" t="s">
        <v>8</v>
      </c>
      <c r="HZ574" s="27" t="s">
        <v>7</v>
      </c>
      <c r="IA574" s="27" t="s">
        <v>8</v>
      </c>
      <c r="IB574" s="27" t="s">
        <v>7</v>
      </c>
      <c r="IC574" s="27" t="s">
        <v>8</v>
      </c>
      <c r="ID574" s="27" t="s">
        <v>7</v>
      </c>
      <c r="IE574" s="27" t="s">
        <v>8</v>
      </c>
    </row>
    <row r="575" spans="1:411" x14ac:dyDescent="0.25">
      <c r="A575" s="7">
        <v>1.2682417945625455</v>
      </c>
      <c r="B575"/>
      <c r="C575"/>
      <c r="D575"/>
      <c r="E575"/>
      <c r="DQ575" s="27" t="s">
        <v>8</v>
      </c>
      <c r="DR575" s="27" t="s">
        <v>7</v>
      </c>
      <c r="DS575" s="27" t="s">
        <v>8</v>
      </c>
      <c r="DT575" s="27" t="s">
        <v>7</v>
      </c>
      <c r="DU575" s="27" t="s">
        <v>8</v>
      </c>
      <c r="DV575" s="27" t="s">
        <v>7</v>
      </c>
      <c r="DY575" s="27" t="s">
        <v>8</v>
      </c>
      <c r="DZ575" s="27" t="s">
        <v>7</v>
      </c>
      <c r="EC575" s="27" t="s">
        <v>8</v>
      </c>
      <c r="ED575" s="27" t="s">
        <v>7</v>
      </c>
      <c r="EE575" s="27" t="s">
        <v>8</v>
      </c>
      <c r="EP575" s="27" t="s">
        <v>7</v>
      </c>
      <c r="EW575" s="27" t="s">
        <v>8</v>
      </c>
      <c r="EX575" s="27" t="s">
        <v>7</v>
      </c>
      <c r="GY575" s="27" t="s">
        <v>8</v>
      </c>
      <c r="GZ575" s="27" t="s">
        <v>7</v>
      </c>
      <c r="HA575" s="27" t="s">
        <v>8</v>
      </c>
      <c r="HB575" s="27" t="s">
        <v>7</v>
      </c>
      <c r="HG575" s="27" t="s">
        <v>8</v>
      </c>
      <c r="HH575" s="27" t="s">
        <v>7</v>
      </c>
      <c r="HI575" s="27" t="s">
        <v>8</v>
      </c>
      <c r="HJ575" s="27" t="s">
        <v>7</v>
      </c>
      <c r="HK575" s="27" t="s">
        <v>8</v>
      </c>
      <c r="HL575" s="27" t="s">
        <v>7</v>
      </c>
      <c r="HN575" s="27" t="s">
        <v>7</v>
      </c>
      <c r="HO575" s="27" t="s">
        <v>8</v>
      </c>
      <c r="HP575" s="27" t="s">
        <v>7</v>
      </c>
      <c r="HQ575" s="27" t="s">
        <v>8</v>
      </c>
      <c r="HR575" s="27" t="s">
        <v>7</v>
      </c>
      <c r="HS575" s="27" t="s">
        <v>8</v>
      </c>
      <c r="HZ575" s="27" t="s">
        <v>7</v>
      </c>
      <c r="IA575" s="27" t="s">
        <v>8</v>
      </c>
      <c r="IB575" s="27" t="s">
        <v>7</v>
      </c>
      <c r="IC575" s="27" t="s">
        <v>8</v>
      </c>
      <c r="ID575" s="27" t="s">
        <v>7</v>
      </c>
      <c r="IE575" s="27" t="s">
        <v>8</v>
      </c>
    </row>
    <row r="576" spans="1:411" x14ac:dyDescent="0.25">
      <c r="A576" s="7">
        <v>1.2433743083946525</v>
      </c>
      <c r="B576"/>
      <c r="C576"/>
      <c r="D576"/>
      <c r="E576"/>
      <c r="DQ576" s="27" t="s">
        <v>8</v>
      </c>
      <c r="DR576" s="27" t="s">
        <v>7</v>
      </c>
      <c r="DS576" s="27" t="s">
        <v>8</v>
      </c>
      <c r="DT576" s="27" t="s">
        <v>7</v>
      </c>
      <c r="DU576" s="27" t="s">
        <v>8</v>
      </c>
      <c r="DV576" s="27" t="s">
        <v>7</v>
      </c>
      <c r="DY576" s="27" t="s">
        <v>8</v>
      </c>
      <c r="DZ576" s="27" t="s">
        <v>7</v>
      </c>
      <c r="EC576" s="27" t="s">
        <v>8</v>
      </c>
      <c r="ED576" s="27" t="s">
        <v>7</v>
      </c>
      <c r="EE576" s="27" t="s">
        <v>8</v>
      </c>
      <c r="EP576" s="27" t="s">
        <v>7</v>
      </c>
      <c r="EW576" s="27" t="s">
        <v>8</v>
      </c>
      <c r="EX576" s="27" t="s">
        <v>7</v>
      </c>
      <c r="GY576" s="27" t="s">
        <v>8</v>
      </c>
      <c r="GZ576" s="27" t="s">
        <v>7</v>
      </c>
      <c r="HA576" s="27" t="s">
        <v>8</v>
      </c>
      <c r="HB576" s="27" t="s">
        <v>7</v>
      </c>
      <c r="HG576" s="27" t="s">
        <v>8</v>
      </c>
      <c r="HH576" s="27" t="s">
        <v>7</v>
      </c>
      <c r="HI576" s="27" t="s">
        <v>8</v>
      </c>
      <c r="HJ576" s="27" t="s">
        <v>7</v>
      </c>
      <c r="HK576" s="27" t="s">
        <v>8</v>
      </c>
      <c r="HN576" s="27" t="s">
        <v>7</v>
      </c>
      <c r="HO576" s="27" t="s">
        <v>8</v>
      </c>
      <c r="HP576" s="27" t="s">
        <v>7</v>
      </c>
      <c r="HQ576" s="27" t="s">
        <v>8</v>
      </c>
      <c r="HR576" s="27" t="s">
        <v>7</v>
      </c>
      <c r="HS576" s="27" t="s">
        <v>8</v>
      </c>
      <c r="HZ576" s="27" t="s">
        <v>7</v>
      </c>
      <c r="IA576" s="27" t="s">
        <v>8</v>
      </c>
      <c r="IB576" s="27" t="s">
        <v>7</v>
      </c>
      <c r="IC576" s="27" t="s">
        <v>8</v>
      </c>
      <c r="ID576" s="27" t="s">
        <v>7</v>
      </c>
      <c r="IE576" s="27" t="s">
        <v>8</v>
      </c>
    </row>
    <row r="577" spans="1:238" x14ac:dyDescent="0.25">
      <c r="A577" s="7">
        <v>1.2189944199947573</v>
      </c>
      <c r="B577"/>
      <c r="C577"/>
      <c r="D577"/>
      <c r="E577"/>
      <c r="DO577" s="27" t="s">
        <v>8</v>
      </c>
      <c r="DQ577" s="27" t="s">
        <v>8</v>
      </c>
      <c r="DR577" s="27" t="s">
        <v>7</v>
      </c>
      <c r="DT577" s="27" t="s">
        <v>7</v>
      </c>
      <c r="DU577" s="27" t="s">
        <v>8</v>
      </c>
      <c r="DV577" s="27" t="s">
        <v>7</v>
      </c>
      <c r="DW577" s="27" t="s">
        <v>8</v>
      </c>
      <c r="DY577" s="27" t="s">
        <v>8</v>
      </c>
      <c r="DZ577" s="27" t="s">
        <v>7</v>
      </c>
      <c r="EA577" s="27" t="s">
        <v>8</v>
      </c>
      <c r="EC577" s="27" t="s">
        <v>8</v>
      </c>
      <c r="ED577" s="27" t="s">
        <v>7</v>
      </c>
      <c r="EP577" s="27" t="s">
        <v>7</v>
      </c>
      <c r="EW577" s="27" t="s">
        <v>8</v>
      </c>
      <c r="EX577" s="27" t="s">
        <v>7</v>
      </c>
      <c r="GG577" s="27" t="s">
        <v>8</v>
      </c>
      <c r="GY577" s="27" t="s">
        <v>8</v>
      </c>
      <c r="GZ577" s="27" t="s">
        <v>7</v>
      </c>
      <c r="HA577" s="27" t="s">
        <v>8</v>
      </c>
      <c r="HB577" s="27" t="s">
        <v>7</v>
      </c>
      <c r="HE577" s="27" t="s">
        <v>8</v>
      </c>
      <c r="HG577" s="27" t="s">
        <v>8</v>
      </c>
      <c r="HH577" s="27" t="s">
        <v>7</v>
      </c>
      <c r="HI577" s="27" t="s">
        <v>8</v>
      </c>
      <c r="HJ577" s="27" t="s">
        <v>7</v>
      </c>
      <c r="HK577" s="27" t="s">
        <v>8</v>
      </c>
      <c r="HN577" s="27" t="s">
        <v>7</v>
      </c>
      <c r="HO577" s="27" t="s">
        <v>8</v>
      </c>
      <c r="HP577" s="27" t="s">
        <v>7</v>
      </c>
      <c r="HQ577" s="27" t="s">
        <v>8</v>
      </c>
      <c r="HR577" s="27" t="s">
        <v>7</v>
      </c>
      <c r="HS577" s="27" t="s">
        <v>8</v>
      </c>
      <c r="HZ577" s="27" t="s">
        <v>7</v>
      </c>
      <c r="IA577" s="27" t="s">
        <v>8</v>
      </c>
      <c r="IB577" s="27" t="s">
        <v>7</v>
      </c>
      <c r="ID577" s="27" t="s">
        <v>7</v>
      </c>
    </row>
    <row r="578" spans="1:238" x14ac:dyDescent="0.25">
      <c r="A578" s="7">
        <v>1.1950925686223111</v>
      </c>
      <c r="B578"/>
      <c r="C578"/>
      <c r="D578"/>
      <c r="E578"/>
      <c r="DO578" s="27" t="s">
        <v>8</v>
      </c>
      <c r="DP578" s="27" t="s">
        <v>7</v>
      </c>
      <c r="DQ578" s="27" t="s">
        <v>8</v>
      </c>
      <c r="DT578" s="27" t="s">
        <v>7</v>
      </c>
      <c r="DU578" s="27" t="s">
        <v>8</v>
      </c>
      <c r="DV578" s="27" t="s">
        <v>7</v>
      </c>
      <c r="DW578" s="27" t="s">
        <v>8</v>
      </c>
      <c r="DX578" s="27" t="s">
        <v>7</v>
      </c>
      <c r="DY578" s="27" t="s">
        <v>8</v>
      </c>
      <c r="DZ578" s="27" t="s">
        <v>7</v>
      </c>
      <c r="EA578" s="27" t="s">
        <v>8</v>
      </c>
      <c r="EB578" s="27" t="s">
        <v>7</v>
      </c>
      <c r="EC578" s="27" t="s">
        <v>8</v>
      </c>
      <c r="EP578" s="27" t="s">
        <v>7</v>
      </c>
      <c r="EQ578" s="27" t="s">
        <v>8</v>
      </c>
      <c r="EU578" s="27" t="s">
        <v>8</v>
      </c>
      <c r="EW578" s="27" t="s">
        <v>8</v>
      </c>
      <c r="EX578" s="27" t="s">
        <v>7</v>
      </c>
      <c r="GG578" s="27" t="s">
        <v>8</v>
      </c>
      <c r="GH578" s="27" t="s">
        <v>7</v>
      </c>
      <c r="GY578" s="27" t="s">
        <v>8</v>
      </c>
      <c r="GZ578" s="27" t="s">
        <v>7</v>
      </c>
      <c r="HA578" s="27" t="s">
        <v>8</v>
      </c>
      <c r="HB578" s="27" t="s">
        <v>7</v>
      </c>
      <c r="HE578" s="27" t="s">
        <v>8</v>
      </c>
      <c r="HF578" s="27" t="s">
        <v>7</v>
      </c>
      <c r="HG578" s="27" t="s">
        <v>8</v>
      </c>
      <c r="HH578" s="27" t="s">
        <v>7</v>
      </c>
      <c r="HI578" s="27" t="s">
        <v>8</v>
      </c>
      <c r="HJ578" s="27" t="s">
        <v>7</v>
      </c>
      <c r="HK578" s="27" t="s">
        <v>8</v>
      </c>
      <c r="HN578" s="27" t="s">
        <v>7</v>
      </c>
      <c r="HO578" s="27" t="s">
        <v>8</v>
      </c>
      <c r="HP578" s="27" t="s">
        <v>7</v>
      </c>
      <c r="HQ578" s="27" t="s">
        <v>8</v>
      </c>
      <c r="HR578" s="27" t="s">
        <v>7</v>
      </c>
      <c r="HS578" s="27" t="s">
        <v>8</v>
      </c>
      <c r="HZ578" s="27" t="s">
        <v>7</v>
      </c>
      <c r="IA578" s="27" t="s">
        <v>8</v>
      </c>
    </row>
    <row r="579" spans="1:238" x14ac:dyDescent="0.25">
      <c r="A579" s="7">
        <v>1.1716593810022657</v>
      </c>
      <c r="B579"/>
      <c r="C579"/>
      <c r="D579"/>
      <c r="E579"/>
      <c r="DO579" s="27" t="s">
        <v>8</v>
      </c>
      <c r="DP579" s="27" t="s">
        <v>7</v>
      </c>
      <c r="DQ579" s="27" t="s">
        <v>8</v>
      </c>
      <c r="DT579" s="27" t="s">
        <v>7</v>
      </c>
      <c r="DU579" s="27" t="s">
        <v>8</v>
      </c>
      <c r="DV579" s="27" t="s">
        <v>7</v>
      </c>
      <c r="DW579" s="27" t="s">
        <v>8</v>
      </c>
      <c r="DX579" s="27" t="s">
        <v>7</v>
      </c>
      <c r="DY579" s="27" t="s">
        <v>8</v>
      </c>
      <c r="DZ579" s="27" t="s">
        <v>7</v>
      </c>
      <c r="EA579" s="27" t="s">
        <v>8</v>
      </c>
      <c r="EB579" s="27" t="s">
        <v>7</v>
      </c>
      <c r="EC579" s="27" t="s">
        <v>8</v>
      </c>
      <c r="EP579" s="27" t="s">
        <v>7</v>
      </c>
      <c r="EQ579" s="27" t="s">
        <v>8</v>
      </c>
      <c r="ER579" s="27" t="s">
        <v>7</v>
      </c>
      <c r="EU579" s="27" t="s">
        <v>8</v>
      </c>
      <c r="EV579" s="27" t="s">
        <v>7</v>
      </c>
      <c r="EW579" s="27" t="s">
        <v>8</v>
      </c>
      <c r="EX579" s="27" t="s">
        <v>7</v>
      </c>
      <c r="GG579" s="27" t="s">
        <v>8</v>
      </c>
      <c r="GH579" s="27" t="s">
        <v>7</v>
      </c>
      <c r="GY579" s="27" t="s">
        <v>8</v>
      </c>
      <c r="GZ579" s="27" t="s">
        <v>7</v>
      </c>
      <c r="HA579" s="27" t="s">
        <v>8</v>
      </c>
      <c r="HB579" s="27" t="s">
        <v>7</v>
      </c>
      <c r="HE579" s="27" t="s">
        <v>8</v>
      </c>
      <c r="HF579" s="27" t="s">
        <v>7</v>
      </c>
      <c r="HG579" s="27" t="s">
        <v>8</v>
      </c>
      <c r="HH579" s="27" t="s">
        <v>7</v>
      </c>
      <c r="HI579" s="27" t="s">
        <v>8</v>
      </c>
      <c r="HJ579" s="27" t="s">
        <v>7</v>
      </c>
      <c r="HK579" s="27" t="s">
        <v>8</v>
      </c>
      <c r="HN579" s="27" t="s">
        <v>7</v>
      </c>
      <c r="HO579" s="27" t="s">
        <v>8</v>
      </c>
      <c r="HP579" s="27" t="s">
        <v>7</v>
      </c>
      <c r="HQ579" s="27" t="s">
        <v>8</v>
      </c>
      <c r="HR579" s="27" t="s">
        <v>7</v>
      </c>
      <c r="HZ579" s="27" t="s">
        <v>7</v>
      </c>
    </row>
    <row r="580" spans="1:238" x14ac:dyDescent="0.25">
      <c r="A580" s="7">
        <v>1.14868566764928</v>
      </c>
      <c r="B580"/>
      <c r="C580"/>
      <c r="D580"/>
      <c r="E580"/>
      <c r="DO580" s="27" t="s">
        <v>8</v>
      </c>
      <c r="DP580" s="27" t="s">
        <v>7</v>
      </c>
      <c r="DQ580" s="27" t="s">
        <v>8</v>
      </c>
      <c r="DT580" s="27" t="s">
        <v>7</v>
      </c>
      <c r="DU580" s="27" t="s">
        <v>8</v>
      </c>
      <c r="DV580" s="27" t="s">
        <v>7</v>
      </c>
      <c r="DW580" s="27" t="s">
        <v>8</v>
      </c>
      <c r="DX580" s="27" t="s">
        <v>7</v>
      </c>
      <c r="DY580" s="27" t="s">
        <v>8</v>
      </c>
      <c r="DZ580" s="27" t="s">
        <v>7</v>
      </c>
      <c r="EA580" s="27" t="s">
        <v>8</v>
      </c>
      <c r="EB580" s="27" t="s">
        <v>7</v>
      </c>
      <c r="EC580" s="27" t="s">
        <v>8</v>
      </c>
      <c r="EP580" s="27" t="s">
        <v>7</v>
      </c>
      <c r="EQ580" s="27" t="s">
        <v>8</v>
      </c>
      <c r="ER580" s="27" t="s">
        <v>7</v>
      </c>
      <c r="EU580" s="27" t="s">
        <v>8</v>
      </c>
      <c r="EV580" s="27" t="s">
        <v>7</v>
      </c>
      <c r="EW580" s="27" t="s">
        <v>8</v>
      </c>
      <c r="EX580" s="27" t="s">
        <v>7</v>
      </c>
      <c r="GG580" s="27" t="s">
        <v>8</v>
      </c>
      <c r="GH580" s="27" t="s">
        <v>7</v>
      </c>
      <c r="GY580" s="27" t="s">
        <v>8</v>
      </c>
      <c r="GZ580" s="27" t="s">
        <v>7</v>
      </c>
      <c r="HA580" s="27" t="s">
        <v>8</v>
      </c>
      <c r="HB580" s="27" t="s">
        <v>7</v>
      </c>
      <c r="HE580" s="27" t="s">
        <v>8</v>
      </c>
      <c r="HF580" s="27" t="s">
        <v>7</v>
      </c>
      <c r="HG580" s="27" t="s">
        <v>8</v>
      </c>
      <c r="HH580" s="27" t="s">
        <v>7</v>
      </c>
      <c r="HI580" s="27" t="s">
        <v>8</v>
      </c>
      <c r="HJ580" s="27" t="s">
        <v>7</v>
      </c>
      <c r="HK580" s="27" t="s">
        <v>8</v>
      </c>
      <c r="HN580" s="27" t="s">
        <v>7</v>
      </c>
      <c r="HO580" s="27" t="s">
        <v>8</v>
      </c>
      <c r="HP580" s="27" t="s">
        <v>7</v>
      </c>
    </row>
    <row r="581" spans="1:238" x14ac:dyDescent="0.25">
      <c r="A581" s="7">
        <v>1.1261624192640001</v>
      </c>
      <c r="B581"/>
      <c r="C581"/>
      <c r="D581"/>
      <c r="E581"/>
      <c r="DO581" s="27" t="s">
        <v>8</v>
      </c>
      <c r="DP581" s="27" t="s">
        <v>7</v>
      </c>
      <c r="DQ581" s="27" t="s">
        <v>8</v>
      </c>
      <c r="DT581" s="27" t="s">
        <v>7</v>
      </c>
      <c r="DU581" s="27" t="s">
        <v>8</v>
      </c>
      <c r="DV581" s="27" t="s">
        <v>7</v>
      </c>
      <c r="DW581" s="27" t="s">
        <v>8</v>
      </c>
      <c r="DX581" s="27" t="s">
        <v>7</v>
      </c>
      <c r="DY581" s="27" t="s">
        <v>8</v>
      </c>
      <c r="DZ581" s="27" t="s">
        <v>7</v>
      </c>
      <c r="EB581" s="27" t="s">
        <v>7</v>
      </c>
      <c r="EC581" s="27" t="s">
        <v>8</v>
      </c>
      <c r="EP581" s="27" t="s">
        <v>7</v>
      </c>
      <c r="EQ581" s="27" t="s">
        <v>8</v>
      </c>
      <c r="ER581" s="27" t="s">
        <v>7</v>
      </c>
      <c r="EU581" s="27" t="s">
        <v>8</v>
      </c>
      <c r="EV581" s="27" t="s">
        <v>7</v>
      </c>
      <c r="EW581" s="27" t="s">
        <v>8</v>
      </c>
      <c r="EX581" s="27" t="s">
        <v>7</v>
      </c>
      <c r="GG581" s="27" t="s">
        <v>8</v>
      </c>
      <c r="GH581" s="27" t="s">
        <v>7</v>
      </c>
      <c r="GY581" s="27" t="s">
        <v>8</v>
      </c>
      <c r="GZ581" s="27" t="s">
        <v>7</v>
      </c>
      <c r="HA581" s="27" t="s">
        <v>8</v>
      </c>
      <c r="HB581" s="27" t="s">
        <v>7</v>
      </c>
      <c r="HE581" s="27" t="s">
        <v>8</v>
      </c>
      <c r="HF581" s="27" t="s">
        <v>7</v>
      </c>
      <c r="HG581" s="27" t="s">
        <v>8</v>
      </c>
      <c r="HH581" s="27" t="s">
        <v>7</v>
      </c>
      <c r="HI581" s="27" t="s">
        <v>8</v>
      </c>
      <c r="HJ581" s="27" t="s">
        <v>7</v>
      </c>
      <c r="HK581" s="27" t="s">
        <v>8</v>
      </c>
      <c r="HN581" s="27" t="s">
        <v>7</v>
      </c>
    </row>
    <row r="582" spans="1:238" x14ac:dyDescent="0.25">
      <c r="A582" s="7">
        <v>1.1040808032</v>
      </c>
      <c r="B582"/>
      <c r="C582"/>
      <c r="D582"/>
      <c r="E582"/>
      <c r="DO582" s="27" t="s">
        <v>8</v>
      </c>
      <c r="DP582" s="27" t="s">
        <v>7</v>
      </c>
      <c r="DQ582" s="27" t="s">
        <v>8</v>
      </c>
      <c r="DT582" s="27" t="s">
        <v>7</v>
      </c>
      <c r="DV582" s="27" t="s">
        <v>7</v>
      </c>
      <c r="DW582" s="27" t="s">
        <v>8</v>
      </c>
      <c r="DX582" s="27" t="s">
        <v>7</v>
      </c>
      <c r="DY582" s="27" t="s">
        <v>8</v>
      </c>
      <c r="EB582" s="27" t="s">
        <v>7</v>
      </c>
      <c r="EC582" s="27" t="s">
        <v>8</v>
      </c>
      <c r="EP582" s="27" t="s">
        <v>7</v>
      </c>
      <c r="EQ582" s="27" t="s">
        <v>8</v>
      </c>
      <c r="ER582" s="27" t="s">
        <v>7</v>
      </c>
      <c r="EU582" s="27" t="s">
        <v>8</v>
      </c>
      <c r="EV582" s="27" t="s">
        <v>7</v>
      </c>
      <c r="EW582" s="27" t="s">
        <v>8</v>
      </c>
      <c r="EX582" s="27" t="s">
        <v>7</v>
      </c>
      <c r="GG582" s="27" t="s">
        <v>8</v>
      </c>
      <c r="GH582" s="27" t="s">
        <v>7</v>
      </c>
      <c r="GY582" s="27" t="s">
        <v>8</v>
      </c>
      <c r="GZ582" s="27" t="s">
        <v>7</v>
      </c>
      <c r="HA582" s="27" t="s">
        <v>8</v>
      </c>
      <c r="HB582" s="27" t="s">
        <v>7</v>
      </c>
      <c r="HE582" s="27" t="s">
        <v>8</v>
      </c>
      <c r="HF582" s="27" t="s">
        <v>7</v>
      </c>
      <c r="HG582" s="27" t="s">
        <v>8</v>
      </c>
      <c r="HH582" s="27" t="s">
        <v>7</v>
      </c>
      <c r="HJ582" s="27" t="s">
        <v>7</v>
      </c>
      <c r="HK582" s="27" t="s">
        <v>8</v>
      </c>
    </row>
    <row r="583" spans="1:238" x14ac:dyDescent="0.25">
      <c r="A583" s="7">
        <v>1.08243216</v>
      </c>
      <c r="B583"/>
      <c r="C583"/>
      <c r="D583"/>
      <c r="E583"/>
      <c r="DO583" s="27" t="s">
        <v>8</v>
      </c>
      <c r="DP583" s="27" t="s">
        <v>7</v>
      </c>
      <c r="DQ583" s="27" t="s">
        <v>8</v>
      </c>
      <c r="DV583" s="27" t="s">
        <v>7</v>
      </c>
      <c r="DW583" s="27" t="s">
        <v>8</v>
      </c>
      <c r="DX583" s="27" t="s">
        <v>7</v>
      </c>
      <c r="EB583" s="27" t="s">
        <v>7</v>
      </c>
      <c r="EC583" s="27" t="s">
        <v>8</v>
      </c>
      <c r="EP583" s="27" t="s">
        <v>7</v>
      </c>
      <c r="EQ583" s="27" t="s">
        <v>8</v>
      </c>
      <c r="ER583" s="27" t="s">
        <v>7</v>
      </c>
      <c r="EU583" s="27" t="s">
        <v>8</v>
      </c>
      <c r="EV583" s="27" t="s">
        <v>7</v>
      </c>
      <c r="EW583" s="27" t="s">
        <v>8</v>
      </c>
      <c r="EX583" s="27" t="s">
        <v>7</v>
      </c>
      <c r="GA583" s="27" t="s">
        <v>8</v>
      </c>
      <c r="GG583" s="27" t="s">
        <v>8</v>
      </c>
      <c r="GH583" s="27" t="s">
        <v>7</v>
      </c>
      <c r="GY583" s="27" t="s">
        <v>8</v>
      </c>
      <c r="GZ583" s="27" t="s">
        <v>7</v>
      </c>
      <c r="HA583" s="27" t="s">
        <v>8</v>
      </c>
      <c r="HB583" s="27" t="s">
        <v>7</v>
      </c>
      <c r="HE583" s="27" t="s">
        <v>8</v>
      </c>
      <c r="HF583" s="27" t="s">
        <v>7</v>
      </c>
      <c r="HG583" s="27" t="s">
        <v>8</v>
      </c>
      <c r="HJ583" s="27" t="s">
        <v>7</v>
      </c>
      <c r="HK583" s="27" t="s">
        <v>8</v>
      </c>
    </row>
    <row r="584" spans="1:238" x14ac:dyDescent="0.25">
      <c r="A584" s="7">
        <v>1.0612079999999999</v>
      </c>
      <c r="B584"/>
      <c r="C584"/>
      <c r="D584"/>
      <c r="E584"/>
      <c r="DO584" s="27" t="s">
        <v>8</v>
      </c>
      <c r="DP584" s="27" t="s">
        <v>7</v>
      </c>
      <c r="DQ584" s="27" t="s">
        <v>8</v>
      </c>
      <c r="DV584" s="27" t="s">
        <v>7</v>
      </c>
      <c r="DW584" s="27" t="s">
        <v>8</v>
      </c>
      <c r="EB584" s="27" t="s">
        <v>7</v>
      </c>
      <c r="EC584" s="27" t="s">
        <v>8</v>
      </c>
      <c r="EP584" s="27" t="s">
        <v>7</v>
      </c>
      <c r="EQ584" s="27" t="s">
        <v>8</v>
      </c>
      <c r="ER584" s="27" t="s">
        <v>7</v>
      </c>
      <c r="EU584" s="27" t="s">
        <v>8</v>
      </c>
      <c r="EV584" s="27" t="s">
        <v>7</v>
      </c>
      <c r="EW584" s="27" t="s">
        <v>8</v>
      </c>
      <c r="EX584" s="27" t="s">
        <v>7</v>
      </c>
      <c r="FK584" s="27" t="s">
        <v>8</v>
      </c>
      <c r="FW584" s="27" t="s">
        <v>8</v>
      </c>
      <c r="GA584" s="27" t="s">
        <v>8</v>
      </c>
      <c r="GB584" s="27" t="s">
        <v>7</v>
      </c>
      <c r="GC584" s="27" t="s">
        <v>8</v>
      </c>
      <c r="GE584" s="27" t="s">
        <v>8</v>
      </c>
      <c r="GG584" s="27" t="s">
        <v>8</v>
      </c>
      <c r="GH584" s="27" t="s">
        <v>7</v>
      </c>
      <c r="GK584" s="27" t="s">
        <v>8</v>
      </c>
      <c r="GQ584" s="27" t="s">
        <v>8</v>
      </c>
      <c r="GY584" s="27" t="s">
        <v>8</v>
      </c>
      <c r="GZ584" s="27" t="s">
        <v>7</v>
      </c>
      <c r="HA584" s="27" t="s">
        <v>8</v>
      </c>
      <c r="HB584" s="27" t="s">
        <v>7</v>
      </c>
      <c r="HE584" s="27" t="s">
        <v>8</v>
      </c>
      <c r="HF584" s="27" t="s">
        <v>7</v>
      </c>
      <c r="HJ584" s="27" t="s">
        <v>7</v>
      </c>
      <c r="HK584" s="27" t="s">
        <v>8</v>
      </c>
    </row>
    <row r="585" spans="1:238" x14ac:dyDescent="0.25">
      <c r="A585" s="7">
        <v>1.0404</v>
      </c>
      <c r="B585"/>
      <c r="C585"/>
      <c r="D585"/>
      <c r="E585"/>
      <c r="DO585" s="27" t="s">
        <v>8</v>
      </c>
      <c r="DP585" s="27" t="s">
        <v>7</v>
      </c>
      <c r="DQ585" s="27" t="s">
        <v>8</v>
      </c>
      <c r="DV585" s="27" t="s">
        <v>7</v>
      </c>
      <c r="DW585" s="27" t="s">
        <v>8</v>
      </c>
      <c r="EB585" s="27" t="s">
        <v>7</v>
      </c>
      <c r="EC585" s="27" t="s">
        <v>8</v>
      </c>
      <c r="EP585" s="27" t="s">
        <v>7</v>
      </c>
      <c r="EQ585" s="27" t="s">
        <v>8</v>
      </c>
      <c r="ER585" s="27" t="s">
        <v>7</v>
      </c>
      <c r="EU585" s="27" t="s">
        <v>8</v>
      </c>
      <c r="EV585" s="27" t="s">
        <v>7</v>
      </c>
      <c r="EW585" s="27" t="s">
        <v>8</v>
      </c>
      <c r="EX585" s="27" t="s">
        <v>7</v>
      </c>
      <c r="FK585" s="27" t="s">
        <v>8</v>
      </c>
      <c r="FL585" s="27" t="s">
        <v>7</v>
      </c>
      <c r="FW585" s="27" t="s">
        <v>8</v>
      </c>
      <c r="FX585" s="27" t="s">
        <v>7</v>
      </c>
      <c r="GA585" s="27" t="s">
        <v>8</v>
      </c>
      <c r="GB585" s="27" t="s">
        <v>7</v>
      </c>
      <c r="GC585" s="27" t="s">
        <v>8</v>
      </c>
      <c r="GD585" s="27" t="s">
        <v>7</v>
      </c>
      <c r="GE585" s="27" t="s">
        <v>8</v>
      </c>
      <c r="GF585" s="27" t="s">
        <v>7</v>
      </c>
      <c r="GG585" s="27" t="s">
        <v>8</v>
      </c>
      <c r="GH585" s="27" t="s">
        <v>7</v>
      </c>
      <c r="GK585" s="27" t="s">
        <v>8</v>
      </c>
      <c r="GL585" s="27" t="s">
        <v>7</v>
      </c>
      <c r="GQ585" s="27" t="s">
        <v>8</v>
      </c>
      <c r="GR585" s="27" t="s">
        <v>7</v>
      </c>
      <c r="GY585" s="27" t="s">
        <v>8</v>
      </c>
      <c r="GZ585" s="27" t="s">
        <v>7</v>
      </c>
      <c r="HA585" s="27" t="s">
        <v>8</v>
      </c>
      <c r="HB585" s="27" t="s">
        <v>7</v>
      </c>
      <c r="HC585" s="27" t="s">
        <v>8</v>
      </c>
      <c r="HE585" s="27" t="s">
        <v>8</v>
      </c>
      <c r="HJ585" s="27" t="s">
        <v>7</v>
      </c>
    </row>
    <row r="586" spans="1:238" x14ac:dyDescent="0.25">
      <c r="A586" s="7">
        <v>1.02</v>
      </c>
      <c r="B586"/>
      <c r="C586"/>
      <c r="D586"/>
      <c r="E586"/>
      <c r="DO586" s="27" t="s">
        <v>8</v>
      </c>
      <c r="DP586" s="27" t="s">
        <v>7</v>
      </c>
      <c r="DQ586" s="27" t="s">
        <v>8</v>
      </c>
      <c r="DV586" s="27" t="s">
        <v>7</v>
      </c>
      <c r="DW586" s="27" t="s">
        <v>8</v>
      </c>
      <c r="EB586" s="27" t="s">
        <v>7</v>
      </c>
      <c r="EC586" s="27" t="s">
        <v>8</v>
      </c>
      <c r="EP586" s="27" t="s">
        <v>7</v>
      </c>
      <c r="EQ586" s="27" t="s">
        <v>8</v>
      </c>
      <c r="ER586" s="27" t="s">
        <v>7</v>
      </c>
      <c r="EU586" s="27" t="s">
        <v>8</v>
      </c>
      <c r="EV586" s="27" t="s">
        <v>7</v>
      </c>
      <c r="EW586" s="27" t="s">
        <v>8</v>
      </c>
      <c r="EX586" s="27" t="s">
        <v>7</v>
      </c>
      <c r="FK586" s="27" t="s">
        <v>8</v>
      </c>
      <c r="FL586" s="27" t="s">
        <v>7</v>
      </c>
      <c r="FW586" s="27" t="s">
        <v>8</v>
      </c>
      <c r="FX586" s="27" t="s">
        <v>7</v>
      </c>
      <c r="FY586" s="27" t="s">
        <v>8</v>
      </c>
      <c r="GA586" s="27" t="s">
        <v>8</v>
      </c>
      <c r="GB586" s="27" t="s">
        <v>7</v>
      </c>
      <c r="GC586" s="27" t="s">
        <v>8</v>
      </c>
      <c r="GD586" s="27" t="s">
        <v>7</v>
      </c>
      <c r="GE586" s="27" t="s">
        <v>8</v>
      </c>
      <c r="GF586" s="27" t="s">
        <v>7</v>
      </c>
      <c r="GG586" s="27" t="s">
        <v>8</v>
      </c>
      <c r="GH586" s="27" t="s">
        <v>7</v>
      </c>
      <c r="GI586" s="27" t="s">
        <v>8</v>
      </c>
      <c r="GK586" s="27" t="s">
        <v>8</v>
      </c>
      <c r="GL586" s="27" t="s">
        <v>7</v>
      </c>
      <c r="GM586" s="27" t="s">
        <v>8</v>
      </c>
      <c r="GQ586" s="27" t="s">
        <v>8</v>
      </c>
      <c r="GR586" s="27" t="s">
        <v>7</v>
      </c>
      <c r="GY586" s="27" t="s">
        <v>8</v>
      </c>
      <c r="GZ586" s="27" t="s">
        <v>7</v>
      </c>
      <c r="HA586" s="27" t="s">
        <v>8</v>
      </c>
      <c r="HB586" s="27" t="s">
        <v>7</v>
      </c>
      <c r="HC586" s="27" t="s">
        <v>8</v>
      </c>
      <c r="HD586" s="27" t="s">
        <v>7</v>
      </c>
      <c r="HE586" s="27" t="s">
        <v>8</v>
      </c>
    </row>
    <row r="587" spans="1:238" x14ac:dyDescent="0.25">
      <c r="A587" s="7">
        <v>1</v>
      </c>
      <c r="B587"/>
      <c r="C587"/>
      <c r="D587"/>
      <c r="E587" s="29" t="s">
        <v>8</v>
      </c>
      <c r="DO587" s="27" t="s">
        <v>8</v>
      </c>
      <c r="DP587" s="27" t="s">
        <v>7</v>
      </c>
      <c r="DV587" s="27" t="s">
        <v>7</v>
      </c>
      <c r="DW587" s="27" t="s">
        <v>8</v>
      </c>
      <c r="EB587" s="27" t="s">
        <v>7</v>
      </c>
      <c r="EC587" s="27" t="s">
        <v>8</v>
      </c>
      <c r="EP587" s="27" t="s">
        <v>7</v>
      </c>
      <c r="EQ587" s="27" t="s">
        <v>8</v>
      </c>
      <c r="ER587" s="27" t="s">
        <v>7</v>
      </c>
      <c r="ES587" s="27" t="s">
        <v>8</v>
      </c>
      <c r="EU587" s="27" t="s">
        <v>8</v>
      </c>
      <c r="EV587" s="27" t="s">
        <v>7</v>
      </c>
      <c r="EW587" s="27" t="s">
        <v>8</v>
      </c>
      <c r="EX587" s="27" t="s">
        <v>7</v>
      </c>
      <c r="FK587" s="27" t="s">
        <v>8</v>
      </c>
      <c r="FL587" s="27" t="s">
        <v>7</v>
      </c>
      <c r="FW587" s="27" t="s">
        <v>8</v>
      </c>
      <c r="FX587" s="27" t="s">
        <v>7</v>
      </c>
      <c r="FY587" s="27" t="s">
        <v>8</v>
      </c>
      <c r="FZ587" s="27" t="s">
        <v>7</v>
      </c>
      <c r="GA587" s="27" t="s">
        <v>8</v>
      </c>
      <c r="GB587" s="27" t="s">
        <v>7</v>
      </c>
      <c r="GD587" s="27" t="s">
        <v>7</v>
      </c>
      <c r="GE587" s="27" t="s">
        <v>8</v>
      </c>
      <c r="GF587" s="27" t="s">
        <v>7</v>
      </c>
      <c r="GG587" s="27" t="s">
        <v>8</v>
      </c>
      <c r="GH587" s="27" t="s">
        <v>7</v>
      </c>
      <c r="GI587" s="27" t="s">
        <v>8</v>
      </c>
      <c r="GJ587" s="27" t="s">
        <v>7</v>
      </c>
      <c r="GK587" s="27" t="s">
        <v>8</v>
      </c>
      <c r="GL587" s="27" t="s">
        <v>7</v>
      </c>
      <c r="GM587" s="27" t="s">
        <v>8</v>
      </c>
      <c r="GN587" s="27" t="s">
        <v>7</v>
      </c>
      <c r="GQ587" s="27" t="s">
        <v>8</v>
      </c>
      <c r="GR587" s="27" t="s">
        <v>7</v>
      </c>
      <c r="GY587" s="27" t="s">
        <v>8</v>
      </c>
      <c r="GZ587" s="27" t="s">
        <v>7</v>
      </c>
      <c r="HA587" s="27" t="s">
        <v>8</v>
      </c>
      <c r="HB587" s="27" t="s">
        <v>7</v>
      </c>
      <c r="HC587" s="27" t="s">
        <v>8</v>
      </c>
      <c r="HD587" s="27" t="s">
        <v>7</v>
      </c>
      <c r="HE587" s="27" t="s">
        <v>8</v>
      </c>
    </row>
    <row r="588" spans="1:238" x14ac:dyDescent="0.25">
      <c r="A588" s="7">
        <v>0.98039215686274506</v>
      </c>
      <c r="B588"/>
      <c r="C588"/>
      <c r="D588"/>
      <c r="E588"/>
      <c r="F588" s="27" t="s">
        <v>7</v>
      </c>
      <c r="DO588" s="27" t="s">
        <v>8</v>
      </c>
      <c r="DV588" s="27" t="s">
        <v>7</v>
      </c>
      <c r="DW588" s="27" t="s">
        <v>8</v>
      </c>
      <c r="EB588" s="27" t="s">
        <v>7</v>
      </c>
      <c r="EC588" s="27" t="s">
        <v>8</v>
      </c>
      <c r="EP588" s="27" t="s">
        <v>7</v>
      </c>
      <c r="EQ588" s="27" t="s">
        <v>8</v>
      </c>
      <c r="ER588" s="27" t="s">
        <v>7</v>
      </c>
      <c r="ES588" s="27" t="s">
        <v>8</v>
      </c>
      <c r="ET588" s="27" t="s">
        <v>7</v>
      </c>
      <c r="EU588" s="27" t="s">
        <v>8</v>
      </c>
      <c r="EV588" s="27" t="s">
        <v>7</v>
      </c>
      <c r="EW588" s="27" t="s">
        <v>8</v>
      </c>
      <c r="EX588" s="27" t="s">
        <v>7</v>
      </c>
      <c r="EY588" s="27" t="s">
        <v>8</v>
      </c>
      <c r="FA588" s="27" t="s">
        <v>8</v>
      </c>
      <c r="FK588" s="27" t="s">
        <v>8</v>
      </c>
      <c r="FL588" s="27" t="s">
        <v>7</v>
      </c>
      <c r="FW588" s="27" t="s">
        <v>8</v>
      </c>
      <c r="FX588" s="27" t="s">
        <v>7</v>
      </c>
      <c r="FY588" s="27" t="s">
        <v>8</v>
      </c>
      <c r="FZ588" s="27" t="s">
        <v>7</v>
      </c>
      <c r="GA588" s="27" t="s">
        <v>8</v>
      </c>
      <c r="GD588" s="27" t="s">
        <v>7</v>
      </c>
      <c r="GE588" s="27" t="s">
        <v>8</v>
      </c>
      <c r="GF588" s="27" t="s">
        <v>7</v>
      </c>
      <c r="GG588" s="27" t="s">
        <v>8</v>
      </c>
      <c r="GH588" s="27" t="s">
        <v>7</v>
      </c>
      <c r="GI588" s="27" t="s">
        <v>8</v>
      </c>
      <c r="GJ588" s="27" t="s">
        <v>7</v>
      </c>
      <c r="GK588" s="27" t="s">
        <v>8</v>
      </c>
      <c r="GL588" s="27" t="s">
        <v>7</v>
      </c>
      <c r="GM588" s="27" t="s">
        <v>8</v>
      </c>
      <c r="GN588" s="27" t="s">
        <v>7</v>
      </c>
      <c r="GQ588" s="27" t="s">
        <v>8</v>
      </c>
      <c r="GR588" s="27" t="s">
        <v>7</v>
      </c>
      <c r="GY588" s="27" t="s">
        <v>8</v>
      </c>
      <c r="GZ588" s="27" t="s">
        <v>7</v>
      </c>
      <c r="HB588" s="27" t="s">
        <v>7</v>
      </c>
      <c r="HC588" s="27" t="s">
        <v>8</v>
      </c>
      <c r="HD588" s="27" t="s">
        <v>7</v>
      </c>
      <c r="HE588" s="27" t="s">
        <v>8</v>
      </c>
    </row>
    <row r="589" spans="1:238" x14ac:dyDescent="0.25">
      <c r="A589" s="7">
        <v>0.96116878123798544</v>
      </c>
      <c r="B589"/>
      <c r="C589"/>
      <c r="D589"/>
      <c r="E589"/>
      <c r="F589" s="27" t="s">
        <v>7</v>
      </c>
      <c r="DM589" s="27" t="s">
        <v>8</v>
      </c>
      <c r="DO589" s="27" t="s">
        <v>8</v>
      </c>
      <c r="DV589" s="27" t="s">
        <v>7</v>
      </c>
      <c r="EB589" s="27" t="s">
        <v>7</v>
      </c>
      <c r="EC589" s="27" t="s">
        <v>8</v>
      </c>
      <c r="EP589" s="27" t="s">
        <v>7</v>
      </c>
      <c r="ER589" s="27" t="s">
        <v>7</v>
      </c>
      <c r="ES589" s="27" t="s">
        <v>8</v>
      </c>
      <c r="ET589" s="27" t="s">
        <v>7</v>
      </c>
      <c r="EU589" s="27" t="s">
        <v>8</v>
      </c>
      <c r="EV589" s="27" t="s">
        <v>7</v>
      </c>
      <c r="EW589" s="27" t="s">
        <v>8</v>
      </c>
      <c r="EX589" s="27" t="s">
        <v>7</v>
      </c>
      <c r="EY589" s="27" t="s">
        <v>8</v>
      </c>
      <c r="EZ589" s="27" t="s">
        <v>7</v>
      </c>
      <c r="FA589" s="27" t="s">
        <v>8</v>
      </c>
      <c r="FB589" s="27" t="s">
        <v>7</v>
      </c>
      <c r="FC589" s="27" t="s">
        <v>8</v>
      </c>
      <c r="FI589" s="27" t="s">
        <v>8</v>
      </c>
      <c r="FK589" s="27" t="s">
        <v>8</v>
      </c>
      <c r="FL589" s="27" t="s">
        <v>7</v>
      </c>
      <c r="FQ589" s="27" t="s">
        <v>8</v>
      </c>
      <c r="FW589" s="27" t="s">
        <v>8</v>
      </c>
      <c r="FX589" s="27" t="s">
        <v>7</v>
      </c>
      <c r="FY589" s="27" t="s">
        <v>8</v>
      </c>
      <c r="FZ589" s="27" t="s">
        <v>7</v>
      </c>
      <c r="GA589" s="27" t="s">
        <v>8</v>
      </c>
      <c r="GD589" s="27" t="s">
        <v>7</v>
      </c>
      <c r="GE589" s="27" t="s">
        <v>8</v>
      </c>
      <c r="GF589" s="27" t="s">
        <v>7</v>
      </c>
      <c r="GH589" s="27" t="s">
        <v>7</v>
      </c>
      <c r="GI589" s="27" t="s">
        <v>8</v>
      </c>
      <c r="GJ589" s="27" t="s">
        <v>7</v>
      </c>
      <c r="GK589" s="27" t="s">
        <v>8</v>
      </c>
      <c r="GL589" s="27" t="s">
        <v>7</v>
      </c>
      <c r="GM589" s="27" t="s">
        <v>8</v>
      </c>
      <c r="GN589" s="27" t="s">
        <v>7</v>
      </c>
      <c r="GQ589" s="27" t="s">
        <v>8</v>
      </c>
      <c r="GR589" s="27" t="s">
        <v>7</v>
      </c>
      <c r="GY589" s="27" t="s">
        <v>8</v>
      </c>
      <c r="HB589" s="27" t="s">
        <v>7</v>
      </c>
      <c r="HC589" s="27" t="s">
        <v>8</v>
      </c>
      <c r="HD589" s="27" t="s">
        <v>7</v>
      </c>
      <c r="HE589" s="27" t="s">
        <v>8</v>
      </c>
    </row>
    <row r="590" spans="1:238" x14ac:dyDescent="0.25">
      <c r="A590" s="7">
        <v>0.94232233454704462</v>
      </c>
      <c r="B590"/>
      <c r="C590"/>
      <c r="D590"/>
      <c r="E590"/>
      <c r="F590" s="27" t="s">
        <v>7</v>
      </c>
      <c r="DM590" s="27" t="s">
        <v>8</v>
      </c>
      <c r="DN590" s="27" t="s">
        <v>7</v>
      </c>
      <c r="DO590" s="27" t="s">
        <v>8</v>
      </c>
      <c r="EB590" s="27" t="s">
        <v>7</v>
      </c>
      <c r="EC590" s="27" t="s">
        <v>8</v>
      </c>
      <c r="ER590" s="27" t="s">
        <v>7</v>
      </c>
      <c r="ES590" s="27" t="s">
        <v>8</v>
      </c>
      <c r="ET590" s="27" t="s">
        <v>7</v>
      </c>
      <c r="EU590" s="27" t="s">
        <v>8</v>
      </c>
      <c r="EV590" s="27" t="s">
        <v>7</v>
      </c>
      <c r="EW590" s="27" t="s">
        <v>8</v>
      </c>
      <c r="EX590" s="27" t="s">
        <v>7</v>
      </c>
      <c r="EY590" s="27" t="s">
        <v>8</v>
      </c>
      <c r="EZ590" s="27" t="s">
        <v>7</v>
      </c>
      <c r="FA590" s="27" t="s">
        <v>8</v>
      </c>
      <c r="FB590" s="27" t="s">
        <v>7</v>
      </c>
      <c r="FC590" s="27" t="s">
        <v>8</v>
      </c>
      <c r="FD590" s="27" t="s">
        <v>7</v>
      </c>
      <c r="FI590" s="27" t="s">
        <v>8</v>
      </c>
      <c r="FJ590" s="27" t="s">
        <v>7</v>
      </c>
      <c r="FK590" s="27" t="s">
        <v>8</v>
      </c>
      <c r="FL590" s="27" t="s">
        <v>7</v>
      </c>
      <c r="FQ590" s="27" t="s">
        <v>8</v>
      </c>
      <c r="FR590" s="27" t="s">
        <v>7</v>
      </c>
      <c r="FW590" s="27" t="s">
        <v>8</v>
      </c>
      <c r="FX590" s="27" t="s">
        <v>7</v>
      </c>
      <c r="FY590" s="27" t="s">
        <v>8</v>
      </c>
      <c r="FZ590" s="27" t="s">
        <v>7</v>
      </c>
      <c r="GD590" s="27" t="s">
        <v>7</v>
      </c>
      <c r="GE590" s="27" t="s">
        <v>8</v>
      </c>
      <c r="GH590" s="27" t="s">
        <v>7</v>
      </c>
      <c r="GI590" s="27" t="s">
        <v>8</v>
      </c>
      <c r="GJ590" s="27" t="s">
        <v>7</v>
      </c>
      <c r="GK590" s="27" t="s">
        <v>8</v>
      </c>
      <c r="GL590" s="27" t="s">
        <v>7</v>
      </c>
      <c r="GM590" s="27" t="s">
        <v>8</v>
      </c>
      <c r="GN590" s="27" t="s">
        <v>7</v>
      </c>
      <c r="GQ590" s="27" t="s">
        <v>8</v>
      </c>
      <c r="GR590" s="27" t="s">
        <v>7</v>
      </c>
      <c r="GY590" s="27" t="s">
        <v>8</v>
      </c>
      <c r="HB590" s="27" t="s">
        <v>7</v>
      </c>
      <c r="HC590" s="27" t="s">
        <v>8</v>
      </c>
      <c r="HD590" s="27" t="s">
        <v>7</v>
      </c>
      <c r="HE590" s="27" t="s">
        <v>8</v>
      </c>
    </row>
    <row r="591" spans="1:238" x14ac:dyDescent="0.25">
      <c r="A591" s="7">
        <v>0.92384542602651432</v>
      </c>
      <c r="B591"/>
      <c r="C591"/>
      <c r="D591"/>
      <c r="E591"/>
      <c r="F591" s="27" t="s">
        <v>7</v>
      </c>
      <c r="DM591" s="27" t="s">
        <v>8</v>
      </c>
      <c r="DN591" s="27" t="s">
        <v>7</v>
      </c>
      <c r="DO591" s="27" t="s">
        <v>8</v>
      </c>
      <c r="EB591" s="27" t="s">
        <v>7</v>
      </c>
      <c r="EC591" s="27" t="s">
        <v>8</v>
      </c>
      <c r="ER591" s="27" t="s">
        <v>7</v>
      </c>
      <c r="ES591" s="27" t="s">
        <v>8</v>
      </c>
      <c r="ET591" s="27" t="s">
        <v>7</v>
      </c>
      <c r="EU591" s="27" t="s">
        <v>8</v>
      </c>
      <c r="EV591" s="27" t="s">
        <v>7</v>
      </c>
      <c r="EX591" s="27" t="s">
        <v>7</v>
      </c>
      <c r="EY591" s="27" t="s">
        <v>8</v>
      </c>
      <c r="EZ591" s="27" t="s">
        <v>7</v>
      </c>
      <c r="FA591" s="27" t="s">
        <v>8</v>
      </c>
      <c r="FB591" s="27" t="s">
        <v>7</v>
      </c>
      <c r="FC591" s="27" t="s">
        <v>8</v>
      </c>
      <c r="FD591" s="27" t="s">
        <v>7</v>
      </c>
      <c r="FI591" s="27" t="s">
        <v>8</v>
      </c>
      <c r="FJ591" s="27" t="s">
        <v>7</v>
      </c>
      <c r="FK591" s="27" t="s">
        <v>8</v>
      </c>
      <c r="FL591" s="27" t="s">
        <v>7</v>
      </c>
      <c r="FO591" s="27" t="s">
        <v>8</v>
      </c>
      <c r="FQ591" s="27" t="s">
        <v>8</v>
      </c>
      <c r="FR591" s="27" t="s">
        <v>7</v>
      </c>
      <c r="FW591" s="27" t="s">
        <v>8</v>
      </c>
      <c r="FX591" s="27" t="s">
        <v>7</v>
      </c>
      <c r="FY591" s="27" t="s">
        <v>8</v>
      </c>
      <c r="GD591" s="27" t="s">
        <v>7</v>
      </c>
      <c r="GH591" s="27" t="s">
        <v>7</v>
      </c>
      <c r="GI591" s="27" t="s">
        <v>8</v>
      </c>
      <c r="GJ591" s="27" t="s">
        <v>7</v>
      </c>
      <c r="GL591" s="27" t="s">
        <v>7</v>
      </c>
      <c r="GN591" s="27" t="s">
        <v>7</v>
      </c>
      <c r="GO591" s="27" t="s">
        <v>8</v>
      </c>
      <c r="GQ591" s="27" t="s">
        <v>8</v>
      </c>
      <c r="GR591" s="27" t="s">
        <v>7</v>
      </c>
      <c r="GY591" s="27" t="s">
        <v>8</v>
      </c>
      <c r="HB591" s="27" t="s">
        <v>7</v>
      </c>
      <c r="HC591" s="27" t="s">
        <v>8</v>
      </c>
      <c r="HD591" s="27" t="s">
        <v>7</v>
      </c>
      <c r="HE591" s="27" t="s">
        <v>8</v>
      </c>
    </row>
    <row r="592" spans="1:238" x14ac:dyDescent="0.25">
      <c r="A592" s="7">
        <v>0.90573080982991594</v>
      </c>
      <c r="B592"/>
      <c r="C592"/>
      <c r="D592"/>
      <c r="E592"/>
      <c r="F592" s="27" t="s">
        <v>7</v>
      </c>
      <c r="G592" s="27" t="s">
        <v>8</v>
      </c>
      <c r="DM592" s="27" t="s">
        <v>8</v>
      </c>
      <c r="DN592" s="27" t="s">
        <v>7</v>
      </c>
      <c r="DO592" s="27" t="s">
        <v>8</v>
      </c>
      <c r="EB592" s="27" t="s">
        <v>7</v>
      </c>
      <c r="ER592" s="27" t="s">
        <v>7</v>
      </c>
      <c r="ES592" s="27" t="s">
        <v>8</v>
      </c>
      <c r="ET592" s="27" t="s">
        <v>7</v>
      </c>
      <c r="EU592" s="27" t="s">
        <v>8</v>
      </c>
      <c r="EX592" s="27" t="s">
        <v>7</v>
      </c>
      <c r="EY592" s="27" t="s">
        <v>8</v>
      </c>
      <c r="EZ592" s="27" t="s">
        <v>7</v>
      </c>
      <c r="FA592" s="27" t="s">
        <v>8</v>
      </c>
      <c r="FB592" s="27" t="s">
        <v>7</v>
      </c>
      <c r="FC592" s="27" t="s">
        <v>8</v>
      </c>
      <c r="FD592" s="27" t="s">
        <v>7</v>
      </c>
      <c r="FG592" s="27" t="s">
        <v>8</v>
      </c>
      <c r="FI592" s="27" t="s">
        <v>8</v>
      </c>
      <c r="FJ592" s="27" t="s">
        <v>7</v>
      </c>
      <c r="FL592" s="27" t="s">
        <v>7</v>
      </c>
      <c r="FM592" s="27" t="s">
        <v>8</v>
      </c>
      <c r="FO592" s="27" t="s">
        <v>8</v>
      </c>
      <c r="FP592" s="27" t="s">
        <v>7</v>
      </c>
      <c r="FQ592" s="27" t="s">
        <v>8</v>
      </c>
      <c r="FR592" s="27" t="s">
        <v>7</v>
      </c>
      <c r="FW592" s="27" t="s">
        <v>8</v>
      </c>
      <c r="FX592" s="27" t="s">
        <v>7</v>
      </c>
      <c r="GH592" s="27" t="s">
        <v>7</v>
      </c>
      <c r="GI592" s="27" t="s">
        <v>8</v>
      </c>
      <c r="GN592" s="27" t="s">
        <v>7</v>
      </c>
      <c r="GO592" s="27" t="s">
        <v>8</v>
      </c>
      <c r="GP592" s="27" t="s">
        <v>7</v>
      </c>
      <c r="GQ592" s="27" t="s">
        <v>8</v>
      </c>
      <c r="GR592" s="27" t="s">
        <v>7</v>
      </c>
      <c r="GY592" s="27" t="s">
        <v>8</v>
      </c>
      <c r="HB592" s="27" t="s">
        <v>7</v>
      </c>
      <c r="HC592" s="27" t="s">
        <v>8</v>
      </c>
      <c r="HD592" s="27" t="s">
        <v>7</v>
      </c>
      <c r="HE592" s="27" t="s">
        <v>8</v>
      </c>
    </row>
    <row r="593" spans="1:212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H593" s="27" t="s">
        <v>7</v>
      </c>
      <c r="DM593" s="27" t="s">
        <v>8</v>
      </c>
      <c r="DN593" s="27" t="s">
        <v>7</v>
      </c>
      <c r="DO593" s="27" t="s">
        <v>8</v>
      </c>
      <c r="ER593" s="27" t="s">
        <v>7</v>
      </c>
      <c r="ES593" s="27" t="s">
        <v>8</v>
      </c>
      <c r="ET593" s="27" t="s">
        <v>7</v>
      </c>
      <c r="EX593" s="27" t="s">
        <v>7</v>
      </c>
      <c r="EY593" s="27" t="s">
        <v>8</v>
      </c>
      <c r="EZ593" s="27" t="s">
        <v>7</v>
      </c>
      <c r="FA593" s="27" t="s">
        <v>8</v>
      </c>
      <c r="FB593" s="27" t="s">
        <v>7</v>
      </c>
      <c r="FC593" s="27" t="s">
        <v>8</v>
      </c>
      <c r="FD593" s="27" t="s">
        <v>7</v>
      </c>
      <c r="FE593" s="27" t="s">
        <v>8</v>
      </c>
      <c r="FG593" s="27" t="s">
        <v>8</v>
      </c>
      <c r="FH593" s="27" t="s">
        <v>7</v>
      </c>
      <c r="FI593" s="27" t="s">
        <v>8</v>
      </c>
      <c r="FL593" s="27" t="s">
        <v>7</v>
      </c>
      <c r="FM593" s="27" t="s">
        <v>8</v>
      </c>
      <c r="FN593" s="27" t="s">
        <v>7</v>
      </c>
      <c r="FO593" s="27" t="s">
        <v>8</v>
      </c>
      <c r="FP593" s="27" t="s">
        <v>7</v>
      </c>
      <c r="FQ593" s="27" t="s">
        <v>8</v>
      </c>
      <c r="FR593" s="27" t="s">
        <v>7</v>
      </c>
      <c r="FW593" s="27" t="s">
        <v>8</v>
      </c>
      <c r="GH593" s="27" t="s">
        <v>7</v>
      </c>
      <c r="GI593" s="27" t="s">
        <v>8</v>
      </c>
      <c r="GN593" s="27" t="s">
        <v>7</v>
      </c>
      <c r="GO593" s="27" t="s">
        <v>8</v>
      </c>
      <c r="GP593" s="27" t="s">
        <v>7</v>
      </c>
      <c r="GQ593" s="27" t="s">
        <v>8</v>
      </c>
      <c r="GR593" s="27" t="s">
        <v>7</v>
      </c>
      <c r="GY593" s="27" t="s">
        <v>8</v>
      </c>
      <c r="HB593" s="27" t="s">
        <v>7</v>
      </c>
      <c r="HC593" s="27" t="s">
        <v>8</v>
      </c>
      <c r="HD593" s="27" t="s">
        <v>7</v>
      </c>
    </row>
    <row r="594" spans="1:212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H594" s="27" t="s">
        <v>7</v>
      </c>
      <c r="DM594" s="27" t="s">
        <v>8</v>
      </c>
      <c r="DN594" s="27" t="s">
        <v>7</v>
      </c>
      <c r="DO594" s="27" t="s">
        <v>8</v>
      </c>
      <c r="ER594" s="27" t="s">
        <v>7</v>
      </c>
      <c r="EX594" s="27" t="s">
        <v>7</v>
      </c>
      <c r="EY594" s="27" t="s">
        <v>8</v>
      </c>
      <c r="EZ594" s="27" t="s">
        <v>7</v>
      </c>
      <c r="FA594" s="27" t="s">
        <v>8</v>
      </c>
      <c r="FB594" s="27" t="s">
        <v>7</v>
      </c>
      <c r="FD594" s="27" t="s">
        <v>7</v>
      </c>
      <c r="FE594" s="27" t="s">
        <v>8</v>
      </c>
      <c r="FF594" s="27" t="s">
        <v>7</v>
      </c>
      <c r="FG594" s="27" t="s">
        <v>8</v>
      </c>
      <c r="FH594" s="27" t="s">
        <v>7</v>
      </c>
      <c r="FI594" s="27" t="s">
        <v>8</v>
      </c>
      <c r="FL594" s="27" t="s">
        <v>7</v>
      </c>
      <c r="FM594" s="27" t="s">
        <v>8</v>
      </c>
      <c r="FN594" s="27" t="s">
        <v>7</v>
      </c>
      <c r="FO594" s="27" t="s">
        <v>8</v>
      </c>
      <c r="FP594" s="27" t="s">
        <v>7</v>
      </c>
      <c r="FR594" s="27" t="s">
        <v>7</v>
      </c>
      <c r="FW594" s="27" t="s">
        <v>8</v>
      </c>
      <c r="GH594" s="27" t="s">
        <v>7</v>
      </c>
      <c r="GI594" s="27" t="s">
        <v>8</v>
      </c>
      <c r="GN594" s="27" t="s">
        <v>7</v>
      </c>
      <c r="GP594" s="27" t="s">
        <v>7</v>
      </c>
      <c r="GQ594" s="27" t="s">
        <v>8</v>
      </c>
      <c r="GR594" s="27" t="s">
        <v>7</v>
      </c>
      <c r="GY594" s="27" t="s">
        <v>8</v>
      </c>
      <c r="HB594" s="27" t="s">
        <v>7</v>
      </c>
      <c r="HC594" s="27" t="s">
        <v>8</v>
      </c>
    </row>
    <row r="595" spans="1:212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DM595" s="27" t="s">
        <v>8</v>
      </c>
      <c r="DN595" s="27" t="s">
        <v>7</v>
      </c>
      <c r="DO595" s="27" t="s">
        <v>8</v>
      </c>
      <c r="EX595" s="27" t="s">
        <v>7</v>
      </c>
      <c r="EZ595" s="27" t="s">
        <v>7</v>
      </c>
      <c r="FA595" s="27" t="s">
        <v>8</v>
      </c>
      <c r="FD595" s="27" t="s">
        <v>7</v>
      </c>
      <c r="FE595" s="27" t="s">
        <v>8</v>
      </c>
      <c r="FF595" s="27" t="s">
        <v>7</v>
      </c>
      <c r="FG595" s="27" t="s">
        <v>8</v>
      </c>
      <c r="FH595" s="27" t="s">
        <v>7</v>
      </c>
      <c r="FI595" s="27" t="s">
        <v>8</v>
      </c>
      <c r="FL595" s="27" t="s">
        <v>7</v>
      </c>
      <c r="FM595" s="27" t="s">
        <v>8</v>
      </c>
      <c r="FN595" s="27" t="s">
        <v>7</v>
      </c>
      <c r="FO595" s="27" t="s">
        <v>8</v>
      </c>
      <c r="FR595" s="27" t="s">
        <v>7</v>
      </c>
      <c r="FW595" s="27" t="s">
        <v>8</v>
      </c>
      <c r="GH595" s="27" t="s">
        <v>7</v>
      </c>
      <c r="GP595" s="27" t="s">
        <v>7</v>
      </c>
      <c r="GQ595" s="27" t="s">
        <v>8</v>
      </c>
      <c r="GR595" s="27" t="s">
        <v>7</v>
      </c>
      <c r="GS595" s="27" t="s">
        <v>8</v>
      </c>
      <c r="GU595" s="27" t="s">
        <v>8</v>
      </c>
      <c r="GY595" s="27" t="s">
        <v>8</v>
      </c>
      <c r="HB595" s="27" t="s">
        <v>7</v>
      </c>
      <c r="HC595" s="27" t="s">
        <v>8</v>
      </c>
    </row>
    <row r="596" spans="1:212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DM596" s="27" t="s">
        <v>8</v>
      </c>
      <c r="DN596" s="27" t="s">
        <v>7</v>
      </c>
      <c r="EZ596" s="27" t="s">
        <v>7</v>
      </c>
      <c r="FA596" s="27" t="s">
        <v>8</v>
      </c>
      <c r="FD596" s="27" t="s">
        <v>7</v>
      </c>
      <c r="FE596" s="27" t="s">
        <v>8</v>
      </c>
      <c r="FF596" s="27" t="s">
        <v>7</v>
      </c>
      <c r="FH596" s="27" t="s">
        <v>7</v>
      </c>
      <c r="FI596" s="27" t="s">
        <v>8</v>
      </c>
      <c r="FL596" s="27" t="s">
        <v>7</v>
      </c>
      <c r="FM596" s="27" t="s">
        <v>8</v>
      </c>
      <c r="FN596" s="27" t="s">
        <v>7</v>
      </c>
      <c r="FO596" s="27" t="s">
        <v>8</v>
      </c>
      <c r="FR596" s="27" t="s">
        <v>7</v>
      </c>
      <c r="FW596" s="27" t="s">
        <v>8</v>
      </c>
      <c r="GP596" s="27" t="s">
        <v>7</v>
      </c>
      <c r="GQ596" s="27" t="s">
        <v>8</v>
      </c>
      <c r="GR596" s="27" t="s">
        <v>7</v>
      </c>
      <c r="GS596" s="27" t="s">
        <v>8</v>
      </c>
      <c r="GT596" s="27" t="s">
        <v>7</v>
      </c>
      <c r="GU596" s="27" t="s">
        <v>8</v>
      </c>
      <c r="GV596" s="27" t="s">
        <v>7</v>
      </c>
      <c r="GY596" s="27" t="s">
        <v>8</v>
      </c>
      <c r="HB596" s="27" t="s">
        <v>7</v>
      </c>
    </row>
    <row r="597" spans="1:212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DM597" s="27" t="s">
        <v>8</v>
      </c>
      <c r="EZ597" s="27" t="s">
        <v>7</v>
      </c>
      <c r="FD597" s="27" t="s">
        <v>7</v>
      </c>
      <c r="FE597" s="27" t="s">
        <v>8</v>
      </c>
      <c r="FH597" s="27" t="s">
        <v>7</v>
      </c>
      <c r="FI597" s="27" t="s">
        <v>8</v>
      </c>
      <c r="FL597" s="27" t="s">
        <v>7</v>
      </c>
      <c r="FN597" s="27" t="s">
        <v>7</v>
      </c>
      <c r="FO597" s="27" t="s">
        <v>8</v>
      </c>
      <c r="FR597" s="27" t="s">
        <v>7</v>
      </c>
      <c r="FW597" s="27" t="s">
        <v>8</v>
      </c>
      <c r="GP597" s="27" t="s">
        <v>7</v>
      </c>
      <c r="GR597" s="27" t="s">
        <v>7</v>
      </c>
      <c r="GS597" s="27" t="s">
        <v>8</v>
      </c>
      <c r="GT597" s="27" t="s">
        <v>7</v>
      </c>
      <c r="GU597" s="27" t="s">
        <v>8</v>
      </c>
      <c r="GV597" s="27" t="s">
        <v>7</v>
      </c>
      <c r="GY597" s="27" t="s">
        <v>8</v>
      </c>
    </row>
    <row r="598" spans="1:212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BA598" s="27" t="s">
        <v>8</v>
      </c>
      <c r="DM598" s="27" t="s">
        <v>8</v>
      </c>
      <c r="FD598" s="27" t="s">
        <v>7</v>
      </c>
      <c r="FH598" s="27" t="s">
        <v>7</v>
      </c>
      <c r="FI598" s="27" t="s">
        <v>8</v>
      </c>
      <c r="FN598" s="27" t="s">
        <v>7</v>
      </c>
      <c r="FO598" s="27" t="s">
        <v>8</v>
      </c>
      <c r="FR598" s="27" t="s">
        <v>7</v>
      </c>
      <c r="FW598" s="27" t="s">
        <v>8</v>
      </c>
      <c r="GR598" s="27" t="s">
        <v>7</v>
      </c>
      <c r="GS598" s="27" t="s">
        <v>8</v>
      </c>
      <c r="GT598" s="27" t="s">
        <v>7</v>
      </c>
      <c r="GU598" s="27" t="s">
        <v>8</v>
      </c>
      <c r="GV598" s="27" t="s">
        <v>7</v>
      </c>
      <c r="GY598" s="27" t="s">
        <v>8</v>
      </c>
    </row>
    <row r="599" spans="1:212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AS599" s="27" t="s">
        <v>8</v>
      </c>
      <c r="BA599" s="27" t="s">
        <v>8</v>
      </c>
      <c r="BB599" s="27" t="s">
        <v>7</v>
      </c>
      <c r="DM599" s="27" t="s">
        <v>8</v>
      </c>
      <c r="FH599" s="27" t="s">
        <v>7</v>
      </c>
      <c r="FI599" s="27" t="s">
        <v>8</v>
      </c>
      <c r="FN599" s="27" t="s">
        <v>7</v>
      </c>
      <c r="FO599" s="27" t="s">
        <v>8</v>
      </c>
      <c r="FR599" s="27" t="s">
        <v>7</v>
      </c>
      <c r="FU599" s="27" t="s">
        <v>8</v>
      </c>
      <c r="FW599" s="27" t="s">
        <v>8</v>
      </c>
      <c r="GR599" s="27" t="s">
        <v>7</v>
      </c>
      <c r="GS599" s="27" t="s">
        <v>8</v>
      </c>
      <c r="GT599" s="27" t="s">
        <v>7</v>
      </c>
      <c r="GU599" s="27" t="s">
        <v>8</v>
      </c>
      <c r="GV599" s="27" t="s">
        <v>7</v>
      </c>
      <c r="GW599" s="27" t="s">
        <v>8</v>
      </c>
      <c r="GY599" s="27" t="s">
        <v>8</v>
      </c>
    </row>
    <row r="600" spans="1:212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I600" s="27" t="s">
        <v>8</v>
      </c>
      <c r="AS600" s="27" t="s">
        <v>8</v>
      </c>
      <c r="AT600" s="27" t="s">
        <v>7</v>
      </c>
      <c r="AW600" s="27" t="s">
        <v>8</v>
      </c>
      <c r="BA600" s="27" t="s">
        <v>8</v>
      </c>
      <c r="BB600" s="27" t="s">
        <v>7</v>
      </c>
      <c r="DM600" s="27" t="s">
        <v>8</v>
      </c>
      <c r="FH600" s="27" t="s">
        <v>7</v>
      </c>
      <c r="FI600" s="27" t="s">
        <v>8</v>
      </c>
      <c r="FN600" s="27" t="s">
        <v>7</v>
      </c>
      <c r="FR600" s="27" t="s">
        <v>7</v>
      </c>
      <c r="FS600" s="27" t="s">
        <v>8</v>
      </c>
      <c r="FU600" s="27" t="s">
        <v>8</v>
      </c>
      <c r="FV600" s="27" t="s">
        <v>7</v>
      </c>
      <c r="FW600" s="27" t="s">
        <v>8</v>
      </c>
      <c r="GR600" s="27" t="s">
        <v>7</v>
      </c>
      <c r="GS600" s="27" t="s">
        <v>8</v>
      </c>
      <c r="GT600" s="27" t="s">
        <v>7</v>
      </c>
      <c r="GU600" s="27" t="s">
        <v>8</v>
      </c>
      <c r="GV600" s="27" t="s">
        <v>7</v>
      </c>
      <c r="GW600" s="27" t="s">
        <v>8</v>
      </c>
      <c r="GX600" s="27" t="s">
        <v>7</v>
      </c>
      <c r="GY600" s="27" t="s">
        <v>8</v>
      </c>
    </row>
    <row r="601" spans="1:212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I601" s="27" t="s">
        <v>8</v>
      </c>
      <c r="J601" s="27" t="s">
        <v>7</v>
      </c>
      <c r="AS601" s="27" t="s">
        <v>8</v>
      </c>
      <c r="AT601" s="27" t="s">
        <v>7</v>
      </c>
      <c r="AU601" s="27" t="s">
        <v>8</v>
      </c>
      <c r="AW601" s="27" t="s">
        <v>8</v>
      </c>
      <c r="AX601" s="27" t="s">
        <v>7</v>
      </c>
      <c r="BA601" s="27" t="s">
        <v>8</v>
      </c>
      <c r="BB601" s="27" t="s">
        <v>7</v>
      </c>
      <c r="DK601" s="27" t="s">
        <v>8</v>
      </c>
      <c r="DM601" s="27" t="s">
        <v>8</v>
      </c>
      <c r="FH601" s="27" t="s">
        <v>7</v>
      </c>
      <c r="FI601" s="27" t="s">
        <v>8</v>
      </c>
      <c r="FR601" s="27" t="s">
        <v>7</v>
      </c>
      <c r="FS601" s="27" t="s">
        <v>8</v>
      </c>
      <c r="FT601" s="27" t="s">
        <v>7</v>
      </c>
      <c r="FU601" s="27" t="s">
        <v>8</v>
      </c>
      <c r="FV601" s="27" t="s">
        <v>7</v>
      </c>
      <c r="FW601" s="27" t="s">
        <v>8</v>
      </c>
      <c r="GR601" s="27" t="s">
        <v>7</v>
      </c>
      <c r="GS601" s="27" t="s">
        <v>8</v>
      </c>
      <c r="GT601" s="27" t="s">
        <v>7</v>
      </c>
      <c r="GU601" s="27" t="s">
        <v>8</v>
      </c>
      <c r="GV601" s="27" t="s">
        <v>7</v>
      </c>
      <c r="GW601" s="27" t="s">
        <v>8</v>
      </c>
      <c r="GX601" s="27" t="s">
        <v>7</v>
      </c>
      <c r="GY601" s="27" t="s">
        <v>8</v>
      </c>
    </row>
    <row r="602" spans="1:212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I602" s="27" t="s">
        <v>8</v>
      </c>
      <c r="J602" s="27" t="s">
        <v>7</v>
      </c>
      <c r="AQ602" s="27" t="s">
        <v>8</v>
      </c>
      <c r="AS602" s="27" t="s">
        <v>8</v>
      </c>
      <c r="AT602" s="27" t="s">
        <v>7</v>
      </c>
      <c r="AU602" s="27" t="s">
        <v>8</v>
      </c>
      <c r="AV602" s="27" t="s">
        <v>7</v>
      </c>
      <c r="AW602" s="27" t="s">
        <v>8</v>
      </c>
      <c r="AX602" s="27" t="s">
        <v>7</v>
      </c>
      <c r="BA602" s="27" t="s">
        <v>8</v>
      </c>
      <c r="BB602" s="27" t="s">
        <v>7</v>
      </c>
      <c r="DK602" s="27" t="s">
        <v>8</v>
      </c>
      <c r="DL602" s="27" t="s">
        <v>7</v>
      </c>
      <c r="DM602" s="27" t="s">
        <v>8</v>
      </c>
      <c r="FH602" s="27" t="s">
        <v>7</v>
      </c>
      <c r="FI602" s="27" t="s">
        <v>8</v>
      </c>
      <c r="FR602" s="27" t="s">
        <v>7</v>
      </c>
      <c r="FS602" s="27" t="s">
        <v>8</v>
      </c>
      <c r="FT602" s="27" t="s">
        <v>7</v>
      </c>
      <c r="FU602" s="27" t="s">
        <v>8</v>
      </c>
      <c r="FV602" s="27" t="s">
        <v>7</v>
      </c>
      <c r="FW602" s="27" t="s">
        <v>8</v>
      </c>
      <c r="GR602" s="27" t="s">
        <v>7</v>
      </c>
      <c r="GS602" s="27" t="s">
        <v>8</v>
      </c>
      <c r="GT602" s="27" t="s">
        <v>7</v>
      </c>
      <c r="GU602" s="27" t="s">
        <v>8</v>
      </c>
      <c r="GV602" s="27" t="s">
        <v>7</v>
      </c>
      <c r="GW602" s="27" t="s">
        <v>8</v>
      </c>
      <c r="GX602" s="27" t="s">
        <v>7</v>
      </c>
      <c r="GY602" s="27" t="s">
        <v>8</v>
      </c>
    </row>
    <row r="603" spans="1:212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  <c r="I603" s="27" t="s">
        <v>8</v>
      </c>
      <c r="J603" s="27" t="s">
        <v>7</v>
      </c>
      <c r="AQ603" s="27" t="s">
        <v>8</v>
      </c>
      <c r="AR603" s="27" t="s">
        <v>7</v>
      </c>
      <c r="AS603" s="27" t="s">
        <v>8</v>
      </c>
      <c r="AT603" s="27" t="s">
        <v>7</v>
      </c>
      <c r="AU603" s="27" t="s">
        <v>8</v>
      </c>
      <c r="AV603" s="27" t="s">
        <v>7</v>
      </c>
      <c r="AW603" s="27" t="s">
        <v>8</v>
      </c>
      <c r="AX603" s="27" t="s">
        <v>7</v>
      </c>
      <c r="BA603" s="27" t="s">
        <v>8</v>
      </c>
      <c r="BB603" s="27" t="s">
        <v>7</v>
      </c>
      <c r="DK603" s="27" t="s">
        <v>8</v>
      </c>
      <c r="DL603" s="27" t="s">
        <v>7</v>
      </c>
      <c r="DM603" s="27" t="s">
        <v>8</v>
      </c>
      <c r="FH603" s="27" t="s">
        <v>7</v>
      </c>
      <c r="FR603" s="27" t="s">
        <v>7</v>
      </c>
      <c r="FS603" s="27" t="s">
        <v>8</v>
      </c>
      <c r="FT603" s="27" t="s">
        <v>7</v>
      </c>
      <c r="FV603" s="27" t="s">
        <v>7</v>
      </c>
      <c r="FW603" s="27" t="s">
        <v>8</v>
      </c>
      <c r="GR603" s="27" t="s">
        <v>7</v>
      </c>
      <c r="GS603" s="27" t="s">
        <v>8</v>
      </c>
      <c r="GT603" s="27" t="s">
        <v>7</v>
      </c>
      <c r="GV603" s="27" t="s">
        <v>7</v>
      </c>
      <c r="GW603" s="27" t="s">
        <v>8</v>
      </c>
      <c r="GX603" s="27" t="s">
        <v>7</v>
      </c>
      <c r="GY603" s="27" t="s">
        <v>8</v>
      </c>
    </row>
    <row r="604" spans="1:212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  <c r="I604" s="27" t="s">
        <v>8</v>
      </c>
      <c r="J604" s="27" t="s">
        <v>7</v>
      </c>
      <c r="M604" s="27" t="s">
        <v>8</v>
      </c>
      <c r="S604" s="27" t="s">
        <v>8</v>
      </c>
      <c r="AO604" s="27" t="s">
        <v>8</v>
      </c>
      <c r="AQ604" s="27" t="s">
        <v>8</v>
      </c>
      <c r="AR604" s="27" t="s">
        <v>7</v>
      </c>
      <c r="AS604" s="27" t="s">
        <v>8</v>
      </c>
      <c r="AT604" s="27" t="s">
        <v>7</v>
      </c>
      <c r="AV604" s="27" t="s">
        <v>7</v>
      </c>
      <c r="AW604" s="27" t="s">
        <v>8</v>
      </c>
      <c r="AX604" s="27" t="s">
        <v>7</v>
      </c>
      <c r="BA604" s="27" t="s">
        <v>8</v>
      </c>
      <c r="BB604" s="27" t="s">
        <v>7</v>
      </c>
      <c r="DK604" s="27" t="s">
        <v>8</v>
      </c>
      <c r="DL604" s="27" t="s">
        <v>7</v>
      </c>
      <c r="DM604" s="27" t="s">
        <v>8</v>
      </c>
      <c r="FR604" s="27" t="s">
        <v>7</v>
      </c>
      <c r="FV604" s="27" t="s">
        <v>7</v>
      </c>
      <c r="FW604" s="27" t="s">
        <v>8</v>
      </c>
      <c r="GR604" s="27" t="s">
        <v>7</v>
      </c>
      <c r="GS604" s="27" t="s">
        <v>8</v>
      </c>
      <c r="GV604" s="27" t="s">
        <v>7</v>
      </c>
      <c r="GX604" s="27" t="s">
        <v>7</v>
      </c>
    </row>
    <row r="605" spans="1:212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H605" s="27" t="s">
        <v>7</v>
      </c>
      <c r="I605" s="27" t="s">
        <v>8</v>
      </c>
      <c r="J605" s="27" t="s">
        <v>7</v>
      </c>
      <c r="M605" s="27" t="s">
        <v>8</v>
      </c>
      <c r="N605" s="27" t="s">
        <v>7</v>
      </c>
      <c r="O605" s="27" t="s">
        <v>8</v>
      </c>
      <c r="S605" s="27" t="s">
        <v>8</v>
      </c>
      <c r="T605" s="27" t="s">
        <v>7</v>
      </c>
      <c r="AO605" s="27" t="s">
        <v>8</v>
      </c>
      <c r="AP605" s="27" t="s">
        <v>7</v>
      </c>
      <c r="AQ605" s="27" t="s">
        <v>8</v>
      </c>
      <c r="AR605" s="27" t="s">
        <v>7</v>
      </c>
      <c r="AS605" s="27" t="s">
        <v>8</v>
      </c>
      <c r="AV605" s="27" t="s">
        <v>7</v>
      </c>
      <c r="AW605" s="27" t="s">
        <v>8</v>
      </c>
      <c r="AX605" s="27" t="s">
        <v>7</v>
      </c>
      <c r="AY605" s="27" t="s">
        <v>8</v>
      </c>
      <c r="BA605" s="27" t="s">
        <v>8</v>
      </c>
      <c r="BB605" s="27" t="s">
        <v>7</v>
      </c>
      <c r="BC605" s="27" t="s">
        <v>8</v>
      </c>
      <c r="DK605" s="27" t="s">
        <v>8</v>
      </c>
      <c r="DL605" s="27" t="s">
        <v>7</v>
      </c>
      <c r="DM605" s="27" t="s">
        <v>8</v>
      </c>
      <c r="FV605" s="27" t="s">
        <v>7</v>
      </c>
      <c r="FW605" s="27" t="s">
        <v>8</v>
      </c>
      <c r="GR605" s="27" t="s">
        <v>7</v>
      </c>
      <c r="GS605" s="27" t="s">
        <v>8</v>
      </c>
    </row>
    <row r="606" spans="1:212" x14ac:dyDescent="0.25">
      <c r="A606" s="7">
        <v>0.68643075977021883</v>
      </c>
      <c r="B606"/>
      <c r="C606"/>
      <c r="D606"/>
      <c r="E606"/>
      <c r="F606" s="27" t="s">
        <v>7</v>
      </c>
      <c r="H606" s="27" t="s">
        <v>7</v>
      </c>
      <c r="I606" s="27" t="s">
        <v>8</v>
      </c>
      <c r="J606" s="27" t="s">
        <v>7</v>
      </c>
      <c r="K606" s="27" t="s">
        <v>8</v>
      </c>
      <c r="M606" s="27" t="s">
        <v>8</v>
      </c>
      <c r="N606" s="27" t="s">
        <v>7</v>
      </c>
      <c r="O606" s="27" t="s">
        <v>8</v>
      </c>
      <c r="P606" s="27" t="s">
        <v>7</v>
      </c>
      <c r="S606" s="27" t="s">
        <v>8</v>
      </c>
      <c r="T606" s="27" t="s">
        <v>7</v>
      </c>
      <c r="AO606" s="27" t="s">
        <v>8</v>
      </c>
      <c r="AP606" s="27" t="s">
        <v>7</v>
      </c>
      <c r="AQ606" s="27" t="s">
        <v>8</v>
      </c>
      <c r="AR606" s="27" t="s">
        <v>7</v>
      </c>
      <c r="AS606" s="27" t="s">
        <v>8</v>
      </c>
      <c r="AV606" s="27" t="s">
        <v>7</v>
      </c>
      <c r="AX606" s="27" t="s">
        <v>7</v>
      </c>
      <c r="AY606" s="27" t="s">
        <v>8</v>
      </c>
      <c r="AZ606" s="27" t="s">
        <v>7</v>
      </c>
      <c r="BA606" s="27" t="s">
        <v>8</v>
      </c>
      <c r="BB606" s="27" t="s">
        <v>7</v>
      </c>
      <c r="BC606" s="27" t="s">
        <v>8</v>
      </c>
      <c r="BD606" s="27" t="s">
        <v>7</v>
      </c>
      <c r="DC606" s="27" t="s">
        <v>8</v>
      </c>
      <c r="DG606" s="27" t="s">
        <v>8</v>
      </c>
      <c r="DK606" s="27" t="s">
        <v>8</v>
      </c>
      <c r="DL606" s="27" t="s">
        <v>7</v>
      </c>
      <c r="FV606" s="27" t="s">
        <v>7</v>
      </c>
      <c r="FW606" s="27" t="s">
        <v>8</v>
      </c>
      <c r="GR606" s="27" t="s">
        <v>7</v>
      </c>
      <c r="GS606" s="27" t="s">
        <v>8</v>
      </c>
    </row>
    <row r="607" spans="1:212" x14ac:dyDescent="0.25">
      <c r="A607" s="7">
        <v>0.67297133310805768</v>
      </c>
      <c r="B607"/>
      <c r="C607"/>
      <c r="D607"/>
      <c r="E607"/>
      <c r="H607" s="27" t="s">
        <v>7</v>
      </c>
      <c r="I607" s="27" t="s">
        <v>8</v>
      </c>
      <c r="J607" s="27" t="s">
        <v>7</v>
      </c>
      <c r="K607" s="27" t="s">
        <v>8</v>
      </c>
      <c r="L607" s="27" t="s">
        <v>7</v>
      </c>
      <c r="M607" s="27" t="s">
        <v>8</v>
      </c>
      <c r="N607" s="27" t="s">
        <v>7</v>
      </c>
      <c r="O607" s="27" t="s">
        <v>8</v>
      </c>
      <c r="P607" s="27" t="s">
        <v>7</v>
      </c>
      <c r="S607" s="27" t="s">
        <v>8</v>
      </c>
      <c r="T607" s="27" t="s">
        <v>7</v>
      </c>
      <c r="AO607" s="27" t="s">
        <v>8</v>
      </c>
      <c r="AP607" s="27" t="s">
        <v>7</v>
      </c>
      <c r="AQ607" s="27" t="s">
        <v>8</v>
      </c>
      <c r="AR607" s="27" t="s">
        <v>7</v>
      </c>
      <c r="AX607" s="27" t="s">
        <v>7</v>
      </c>
      <c r="AY607" s="27" t="s">
        <v>8</v>
      </c>
      <c r="AZ607" s="27" t="s">
        <v>7</v>
      </c>
      <c r="BA607" s="27" t="s">
        <v>8</v>
      </c>
      <c r="BB607" s="27" t="s">
        <v>7</v>
      </c>
      <c r="BC607" s="27" t="s">
        <v>8</v>
      </c>
      <c r="BD607" s="27" t="s">
        <v>7</v>
      </c>
      <c r="BG607" s="27" t="s">
        <v>8</v>
      </c>
      <c r="DC607" s="27" t="s">
        <v>8</v>
      </c>
      <c r="DD607" s="27" t="s">
        <v>7</v>
      </c>
      <c r="DE607" s="27" t="s">
        <v>8</v>
      </c>
      <c r="DG607" s="27" t="s">
        <v>8</v>
      </c>
      <c r="DH607" s="27" t="s">
        <v>7</v>
      </c>
      <c r="DK607" s="27" t="s">
        <v>8</v>
      </c>
      <c r="FV607" s="27" t="s">
        <v>7</v>
      </c>
      <c r="FW607" s="27" t="s">
        <v>8</v>
      </c>
      <c r="GR607" s="27" t="s">
        <v>7</v>
      </c>
    </row>
    <row r="608" spans="1:212" x14ac:dyDescent="0.25">
      <c r="A608" s="7">
        <v>0.65977581677260566</v>
      </c>
      <c r="B608"/>
      <c r="C608"/>
      <c r="D608"/>
      <c r="E608"/>
      <c r="H608" s="27" t="s">
        <v>7</v>
      </c>
      <c r="I608" s="27" t="s">
        <v>8</v>
      </c>
      <c r="J608" s="27" t="s">
        <v>7</v>
      </c>
      <c r="K608" s="27" t="s">
        <v>8</v>
      </c>
      <c r="L608" s="27" t="s">
        <v>7</v>
      </c>
      <c r="M608" s="27" t="s">
        <v>8</v>
      </c>
      <c r="N608" s="27" t="s">
        <v>7</v>
      </c>
      <c r="O608" s="27" t="s">
        <v>8</v>
      </c>
      <c r="P608" s="27" t="s">
        <v>7</v>
      </c>
      <c r="S608" s="27" t="s">
        <v>8</v>
      </c>
      <c r="T608" s="27" t="s">
        <v>7</v>
      </c>
      <c r="AO608" s="27" t="s">
        <v>8</v>
      </c>
      <c r="AP608" s="27" t="s">
        <v>7</v>
      </c>
      <c r="AQ608" s="27" t="s">
        <v>8</v>
      </c>
      <c r="AX608" s="27" t="s">
        <v>7</v>
      </c>
      <c r="AY608" s="27" t="s">
        <v>8</v>
      </c>
      <c r="AZ608" s="27" t="s">
        <v>7</v>
      </c>
      <c r="BA608" s="27" t="s">
        <v>8</v>
      </c>
      <c r="BB608" s="27" t="s">
        <v>7</v>
      </c>
      <c r="BD608" s="27" t="s">
        <v>7</v>
      </c>
      <c r="BG608" s="27" t="s">
        <v>8</v>
      </c>
      <c r="BH608" s="27" t="s">
        <v>7</v>
      </c>
      <c r="DC608" s="27" t="s">
        <v>8</v>
      </c>
      <c r="DD608" s="27" t="s">
        <v>7</v>
      </c>
      <c r="DE608" s="27" t="s">
        <v>8</v>
      </c>
      <c r="DF608" s="27" t="s">
        <v>7</v>
      </c>
      <c r="DG608" s="27" t="s">
        <v>8</v>
      </c>
      <c r="DH608" s="27" t="s">
        <v>7</v>
      </c>
      <c r="DK608" s="27" t="s">
        <v>8</v>
      </c>
      <c r="FV608" s="27" t="s">
        <v>7</v>
      </c>
      <c r="FW608" s="27" t="s">
        <v>8</v>
      </c>
    </row>
    <row r="609" spans="1:178" x14ac:dyDescent="0.25">
      <c r="A609" s="7">
        <v>0.64683903605157422</v>
      </c>
      <c r="B609"/>
      <c r="C609"/>
      <c r="D609"/>
      <c r="E609"/>
      <c r="H609" s="27" t="s">
        <v>7</v>
      </c>
      <c r="I609" s="27" t="s">
        <v>8</v>
      </c>
      <c r="J609" s="27" t="s">
        <v>7</v>
      </c>
      <c r="K609" s="27" t="s">
        <v>8</v>
      </c>
      <c r="L609" s="27" t="s">
        <v>7</v>
      </c>
      <c r="M609" s="27" t="s">
        <v>8</v>
      </c>
      <c r="N609" s="27" t="s">
        <v>7</v>
      </c>
      <c r="O609" s="27" t="s">
        <v>8</v>
      </c>
      <c r="P609" s="27" t="s">
        <v>7</v>
      </c>
      <c r="S609" s="27" t="s">
        <v>8</v>
      </c>
      <c r="T609" s="27" t="s">
        <v>7</v>
      </c>
      <c r="AO609" s="27" t="s">
        <v>8</v>
      </c>
      <c r="AP609" s="27" t="s">
        <v>7</v>
      </c>
      <c r="AX609" s="27" t="s">
        <v>7</v>
      </c>
      <c r="AY609" s="27" t="s">
        <v>8</v>
      </c>
      <c r="AZ609" s="27" t="s">
        <v>7</v>
      </c>
      <c r="BA609" s="27" t="s">
        <v>8</v>
      </c>
      <c r="BD609" s="27" t="s">
        <v>7</v>
      </c>
      <c r="BG609" s="27" t="s">
        <v>8</v>
      </c>
      <c r="BH609" s="27" t="s">
        <v>7</v>
      </c>
      <c r="DC609" s="27" t="s">
        <v>8</v>
      </c>
      <c r="DD609" s="27" t="s">
        <v>7</v>
      </c>
      <c r="DE609" s="27" t="s">
        <v>8</v>
      </c>
      <c r="DF609" s="27" t="s">
        <v>7</v>
      </c>
      <c r="DG609" s="27" t="s">
        <v>8</v>
      </c>
      <c r="DH609" s="27" t="s">
        <v>7</v>
      </c>
      <c r="DK609" s="27" t="s">
        <v>8</v>
      </c>
      <c r="FV609" s="27" t="s">
        <v>7</v>
      </c>
    </row>
    <row r="610" spans="1:178" x14ac:dyDescent="0.25">
      <c r="A610" s="7">
        <v>0.63415591769762181</v>
      </c>
      <c r="B610"/>
      <c r="C610"/>
      <c r="D610"/>
      <c r="E610"/>
      <c r="H610" s="27" t="s">
        <v>7</v>
      </c>
      <c r="I610" s="27" t="s">
        <v>8</v>
      </c>
      <c r="J610" s="27" t="s">
        <v>7</v>
      </c>
      <c r="K610" s="27" t="s">
        <v>8</v>
      </c>
      <c r="L610" s="27" t="s">
        <v>7</v>
      </c>
      <c r="M610" s="27" t="s">
        <v>8</v>
      </c>
      <c r="N610" s="27" t="s">
        <v>7</v>
      </c>
      <c r="O610" s="27" t="s">
        <v>8</v>
      </c>
      <c r="P610" s="27" t="s">
        <v>7</v>
      </c>
      <c r="S610" s="27" t="s">
        <v>8</v>
      </c>
      <c r="T610" s="27" t="s">
        <v>7</v>
      </c>
      <c r="AO610" s="27" t="s">
        <v>8</v>
      </c>
      <c r="AX610" s="27" t="s">
        <v>7</v>
      </c>
      <c r="AY610" s="27" t="s">
        <v>8</v>
      </c>
      <c r="AZ610" s="27" t="s">
        <v>7</v>
      </c>
      <c r="BA610" s="27" t="s">
        <v>8</v>
      </c>
      <c r="BD610" s="27" t="s">
        <v>7</v>
      </c>
      <c r="BG610" s="27" t="s">
        <v>8</v>
      </c>
      <c r="BH610" s="27" t="s">
        <v>7</v>
      </c>
      <c r="DC610" s="27" t="s">
        <v>8</v>
      </c>
      <c r="DD610" s="27" t="s">
        <v>7</v>
      </c>
      <c r="DE610" s="27" t="s">
        <v>8</v>
      </c>
      <c r="DF610" s="27" t="s">
        <v>7</v>
      </c>
      <c r="DG610" s="27" t="s">
        <v>8</v>
      </c>
      <c r="DH610" s="27" t="s">
        <v>7</v>
      </c>
      <c r="DI610" s="27" t="s">
        <v>8</v>
      </c>
      <c r="DK610" s="27" t="s">
        <v>8</v>
      </c>
    </row>
    <row r="611" spans="1:178" x14ac:dyDescent="0.25">
      <c r="A611" s="7">
        <v>0.62172148793884496</v>
      </c>
      <c r="B611"/>
      <c r="C611"/>
      <c r="D611"/>
      <c r="E611"/>
      <c r="H611" s="27" t="s">
        <v>7</v>
      </c>
      <c r="I611" s="27" t="s">
        <v>8</v>
      </c>
      <c r="J611" s="27" t="s">
        <v>7</v>
      </c>
      <c r="L611" s="27" t="s">
        <v>7</v>
      </c>
      <c r="M611" s="27" t="s">
        <v>8</v>
      </c>
      <c r="N611" s="27" t="s">
        <v>7</v>
      </c>
      <c r="O611" s="27" t="s">
        <v>8</v>
      </c>
      <c r="P611" s="27" t="s">
        <v>7</v>
      </c>
      <c r="S611" s="27" t="s">
        <v>8</v>
      </c>
      <c r="T611" s="27" t="s">
        <v>7</v>
      </c>
      <c r="AO611" s="27" t="s">
        <v>8</v>
      </c>
      <c r="AX611" s="27" t="s">
        <v>7</v>
      </c>
      <c r="AY611" s="27" t="s">
        <v>8</v>
      </c>
      <c r="AZ611" s="27" t="s">
        <v>7</v>
      </c>
      <c r="BA611" s="27" t="s">
        <v>8</v>
      </c>
      <c r="BD611" s="27" t="s">
        <v>7</v>
      </c>
      <c r="BG611" s="27" t="s">
        <v>8</v>
      </c>
      <c r="BH611" s="27" t="s">
        <v>7</v>
      </c>
      <c r="DC611" s="27" t="s">
        <v>8</v>
      </c>
      <c r="DD611" s="27" t="s">
        <v>7</v>
      </c>
      <c r="DE611" s="27" t="s">
        <v>8</v>
      </c>
      <c r="DF611" s="27" t="s">
        <v>7</v>
      </c>
      <c r="DG611" s="27" t="s">
        <v>8</v>
      </c>
      <c r="DH611" s="27" t="s">
        <v>7</v>
      </c>
      <c r="DI611" s="27" t="s">
        <v>8</v>
      </c>
      <c r="DJ611" s="27" t="s">
        <v>7</v>
      </c>
      <c r="DK611" s="27" t="s">
        <v>8</v>
      </c>
    </row>
    <row r="612" spans="1:178" x14ac:dyDescent="0.25">
      <c r="A612" s="7">
        <v>0.60953087052827937</v>
      </c>
      <c r="B612"/>
      <c r="C612"/>
      <c r="D612"/>
      <c r="E612"/>
      <c r="H612" s="27" t="s">
        <v>7</v>
      </c>
      <c r="I612" s="27" t="s">
        <v>8</v>
      </c>
      <c r="L612" s="27" t="s">
        <v>7</v>
      </c>
      <c r="N612" s="27" t="s">
        <v>7</v>
      </c>
      <c r="O612" s="27" t="s">
        <v>8</v>
      </c>
      <c r="P612" s="27" t="s">
        <v>7</v>
      </c>
      <c r="S612" s="27" t="s">
        <v>8</v>
      </c>
      <c r="T612" s="27" t="s">
        <v>7</v>
      </c>
      <c r="U612" s="27" t="s">
        <v>8</v>
      </c>
      <c r="AI612" s="27" t="s">
        <v>8</v>
      </c>
      <c r="AO612" s="27" t="s">
        <v>8</v>
      </c>
      <c r="AX612" s="27" t="s">
        <v>7</v>
      </c>
      <c r="AY612" s="27" t="s">
        <v>8</v>
      </c>
      <c r="AZ612" s="27" t="s">
        <v>7</v>
      </c>
      <c r="BA612" s="27" t="s">
        <v>8</v>
      </c>
      <c r="BD612" s="27" t="s">
        <v>7</v>
      </c>
      <c r="BG612" s="27" t="s">
        <v>8</v>
      </c>
      <c r="BH612" s="27" t="s">
        <v>7</v>
      </c>
      <c r="DC612" s="27" t="s">
        <v>8</v>
      </c>
      <c r="DD612" s="27" t="s">
        <v>7</v>
      </c>
      <c r="DE612" s="27" t="s">
        <v>8</v>
      </c>
      <c r="DF612" s="27" t="s">
        <v>7</v>
      </c>
      <c r="DH612" s="27" t="s">
        <v>7</v>
      </c>
      <c r="DI612" s="27" t="s">
        <v>8</v>
      </c>
      <c r="DJ612" s="27" t="s">
        <v>7</v>
      </c>
      <c r="DK612" s="27" t="s">
        <v>8</v>
      </c>
    </row>
    <row r="613" spans="1:178" x14ac:dyDescent="0.25">
      <c r="A613" s="7">
        <v>0.59757928483164646</v>
      </c>
      <c r="B613"/>
      <c r="C613"/>
      <c r="D613"/>
      <c r="E613"/>
      <c r="H613" s="27" t="s">
        <v>7</v>
      </c>
      <c r="I613" s="27" t="s">
        <v>8</v>
      </c>
      <c r="N613" s="27" t="s">
        <v>7</v>
      </c>
      <c r="O613" s="27" t="s">
        <v>8</v>
      </c>
      <c r="P613" s="27" t="s">
        <v>7</v>
      </c>
      <c r="S613" s="27" t="s">
        <v>8</v>
      </c>
      <c r="T613" s="27" t="s">
        <v>7</v>
      </c>
      <c r="U613" s="27" t="s">
        <v>8</v>
      </c>
      <c r="V613" s="27" t="s">
        <v>7</v>
      </c>
      <c r="AI613" s="27" t="s">
        <v>8</v>
      </c>
      <c r="AJ613" s="27" t="s">
        <v>7</v>
      </c>
      <c r="AO613" s="27" t="s">
        <v>8</v>
      </c>
      <c r="AX613" s="27" t="s">
        <v>7</v>
      </c>
      <c r="AY613" s="27" t="s">
        <v>8</v>
      </c>
      <c r="AZ613" s="27" t="s">
        <v>7</v>
      </c>
      <c r="BA613" s="27" t="s">
        <v>8</v>
      </c>
      <c r="BD613" s="27" t="s">
        <v>7</v>
      </c>
      <c r="BG613" s="27" t="s">
        <v>8</v>
      </c>
      <c r="BH613" s="27" t="s">
        <v>7</v>
      </c>
      <c r="DC613" s="27" t="s">
        <v>8</v>
      </c>
      <c r="DD613" s="27" t="s">
        <v>7</v>
      </c>
      <c r="DE613" s="27" t="s">
        <v>8</v>
      </c>
      <c r="DH613" s="27" t="s">
        <v>7</v>
      </c>
      <c r="DI613" s="27" t="s">
        <v>8</v>
      </c>
      <c r="DJ613" s="27" t="s">
        <v>7</v>
      </c>
      <c r="DK613" s="27" t="s">
        <v>8</v>
      </c>
    </row>
    <row r="614" spans="1:178" x14ac:dyDescent="0.25">
      <c r="A614" s="7">
        <v>0.58586204395259456</v>
      </c>
      <c r="B614"/>
      <c r="C614"/>
      <c r="D614"/>
      <c r="E614"/>
      <c r="H614" s="27" t="s">
        <v>7</v>
      </c>
      <c r="I614" s="27" t="s">
        <v>8</v>
      </c>
      <c r="N614" s="27" t="s">
        <v>7</v>
      </c>
      <c r="O614" s="27" t="s">
        <v>8</v>
      </c>
      <c r="P614" s="27" t="s">
        <v>7</v>
      </c>
      <c r="S614" s="27" t="s">
        <v>8</v>
      </c>
      <c r="T614" s="27" t="s">
        <v>7</v>
      </c>
      <c r="U614" s="27" t="s">
        <v>8</v>
      </c>
      <c r="V614" s="27" t="s">
        <v>7</v>
      </c>
      <c r="AI614" s="27" t="s">
        <v>8</v>
      </c>
      <c r="AJ614" s="27" t="s">
        <v>7</v>
      </c>
      <c r="AO614" s="27" t="s">
        <v>8</v>
      </c>
      <c r="AX614" s="27" t="s">
        <v>7</v>
      </c>
      <c r="AZ614" s="27" t="s">
        <v>7</v>
      </c>
      <c r="BA614" s="27" t="s">
        <v>8</v>
      </c>
      <c r="BD614" s="27" t="s">
        <v>7</v>
      </c>
      <c r="BG614" s="27" t="s">
        <v>8</v>
      </c>
      <c r="BH614" s="27" t="s">
        <v>7</v>
      </c>
      <c r="DC614" s="27" t="s">
        <v>8</v>
      </c>
      <c r="DD614" s="27" t="s">
        <v>7</v>
      </c>
      <c r="DH614" s="27" t="s">
        <v>7</v>
      </c>
      <c r="DI614" s="27" t="s">
        <v>8</v>
      </c>
      <c r="DJ614" s="27" t="s">
        <v>7</v>
      </c>
      <c r="DK614" s="27" t="s">
        <v>8</v>
      </c>
    </row>
    <row r="615" spans="1:178" x14ac:dyDescent="0.25">
      <c r="A615" s="7">
        <v>0.57437455289470052</v>
      </c>
      <c r="B615"/>
      <c r="C615"/>
      <c r="D615"/>
      <c r="E615"/>
      <c r="H615" s="27" t="s">
        <v>7</v>
      </c>
      <c r="I615" s="27" t="s">
        <v>8</v>
      </c>
      <c r="N615" s="27" t="s">
        <v>7</v>
      </c>
      <c r="O615" s="27" t="s">
        <v>8</v>
      </c>
      <c r="P615" s="27" t="s">
        <v>7</v>
      </c>
      <c r="S615" s="27" t="s">
        <v>8</v>
      </c>
      <c r="T615" s="27" t="s">
        <v>7</v>
      </c>
      <c r="U615" s="27" t="s">
        <v>8</v>
      </c>
      <c r="V615" s="27" t="s">
        <v>7</v>
      </c>
      <c r="AI615" s="27" t="s">
        <v>8</v>
      </c>
      <c r="AJ615" s="27" t="s">
        <v>7</v>
      </c>
      <c r="AO615" s="27" t="s">
        <v>8</v>
      </c>
      <c r="AZ615" s="27" t="s">
        <v>7</v>
      </c>
      <c r="BD615" s="27" t="s">
        <v>7</v>
      </c>
      <c r="BG615" s="27" t="s">
        <v>8</v>
      </c>
      <c r="BH615" s="27" t="s">
        <v>7</v>
      </c>
      <c r="DC615" s="27" t="s">
        <v>8</v>
      </c>
      <c r="DH615" s="27" t="s">
        <v>7</v>
      </c>
      <c r="DI615" s="27" t="s">
        <v>8</v>
      </c>
      <c r="DJ615" s="27" t="s">
        <v>7</v>
      </c>
    </row>
    <row r="616" spans="1:178" x14ac:dyDescent="0.25">
      <c r="A616" s="7">
        <v>0.56311230675951029</v>
      </c>
      <c r="B616"/>
      <c r="C616"/>
      <c r="D616"/>
      <c r="E616"/>
      <c r="H616" s="27" t="s">
        <v>7</v>
      </c>
      <c r="I616" s="27" t="s">
        <v>8</v>
      </c>
      <c r="N616" s="27" t="s">
        <v>7</v>
      </c>
      <c r="O616" s="27" t="s">
        <v>8</v>
      </c>
      <c r="P616" s="27" t="s">
        <v>7</v>
      </c>
      <c r="Q616" s="27" t="s">
        <v>8</v>
      </c>
      <c r="S616" s="27" t="s">
        <v>8</v>
      </c>
      <c r="T616" s="27" t="s">
        <v>7</v>
      </c>
      <c r="U616" s="27" t="s">
        <v>8</v>
      </c>
      <c r="V616" s="27" t="s">
        <v>7</v>
      </c>
      <c r="AI616" s="27" t="s">
        <v>8</v>
      </c>
      <c r="AJ616" s="27" t="s">
        <v>7</v>
      </c>
      <c r="AO616" s="27" t="s">
        <v>8</v>
      </c>
      <c r="BD616" s="27" t="s">
        <v>7</v>
      </c>
      <c r="BG616" s="27" t="s">
        <v>8</v>
      </c>
      <c r="BH616" s="27" t="s">
        <v>7</v>
      </c>
      <c r="DC616" s="27" t="s">
        <v>8</v>
      </c>
      <c r="DH616" s="27" t="s">
        <v>7</v>
      </c>
      <c r="DI616" s="27" t="s">
        <v>8</v>
      </c>
    </row>
    <row r="617" spans="1:178" x14ac:dyDescent="0.25">
      <c r="A617" s="7">
        <v>0.55207088897991208</v>
      </c>
      <c r="B617"/>
      <c r="C617"/>
      <c r="D617"/>
      <c r="E617"/>
      <c r="H617" s="27" t="s">
        <v>7</v>
      </c>
      <c r="I617" s="27" t="s">
        <v>8</v>
      </c>
      <c r="N617" s="27" t="s">
        <v>7</v>
      </c>
      <c r="O617" s="27" t="s">
        <v>8</v>
      </c>
      <c r="P617" s="27" t="s">
        <v>7</v>
      </c>
      <c r="Q617" s="27" t="s">
        <v>8</v>
      </c>
      <c r="R617" s="27" t="s">
        <v>7</v>
      </c>
      <c r="S617" s="27" t="s">
        <v>8</v>
      </c>
      <c r="T617" s="27" t="s">
        <v>7</v>
      </c>
      <c r="U617" s="27" t="s">
        <v>8</v>
      </c>
      <c r="V617" s="27" t="s">
        <v>7</v>
      </c>
      <c r="AI617" s="27" t="s">
        <v>8</v>
      </c>
      <c r="AJ617" s="27" t="s">
        <v>7</v>
      </c>
      <c r="AO617" s="27" t="s">
        <v>8</v>
      </c>
      <c r="BD617" s="27" t="s">
        <v>7</v>
      </c>
      <c r="BG617" s="27" t="s">
        <v>8</v>
      </c>
      <c r="BH617" s="27" t="s">
        <v>7</v>
      </c>
      <c r="CY617" s="27" t="s">
        <v>8</v>
      </c>
      <c r="DC617" s="27" t="s">
        <v>8</v>
      </c>
      <c r="DH617" s="27" t="s">
        <v>7</v>
      </c>
      <c r="DI617" s="27" t="s">
        <v>8</v>
      </c>
    </row>
    <row r="618" spans="1:178" x14ac:dyDescent="0.25">
      <c r="A618" s="7">
        <v>0.54124596958814908</v>
      </c>
      <c r="B618"/>
      <c r="C618"/>
      <c r="D618"/>
      <c r="E618"/>
      <c r="H618" s="27" t="s">
        <v>7</v>
      </c>
      <c r="I618" s="27" t="s">
        <v>8</v>
      </c>
      <c r="N618" s="27" t="s">
        <v>7</v>
      </c>
      <c r="P618" s="27" t="s">
        <v>7</v>
      </c>
      <c r="Q618" s="27" t="s">
        <v>8</v>
      </c>
      <c r="R618" s="27" t="s">
        <v>7</v>
      </c>
      <c r="S618" s="27" t="s">
        <v>8</v>
      </c>
      <c r="T618" s="27" t="s">
        <v>7</v>
      </c>
      <c r="U618" s="27" t="s">
        <v>8</v>
      </c>
      <c r="V618" s="27" t="s">
        <v>7</v>
      </c>
      <c r="AI618" s="27" t="s">
        <v>8</v>
      </c>
      <c r="AJ618" s="27" t="s">
        <v>7</v>
      </c>
      <c r="AM618" s="27" t="s">
        <v>8</v>
      </c>
      <c r="AO618" s="27" t="s">
        <v>8</v>
      </c>
      <c r="BD618" s="27" t="s">
        <v>7</v>
      </c>
      <c r="BG618" s="27" t="s">
        <v>8</v>
      </c>
      <c r="BH618" s="27" t="s">
        <v>7</v>
      </c>
      <c r="CY618" s="27" t="s">
        <v>8</v>
      </c>
      <c r="CZ618" s="27" t="s">
        <v>7</v>
      </c>
      <c r="DC618" s="27" t="s">
        <v>8</v>
      </c>
      <c r="DH618" s="27" t="s">
        <v>7</v>
      </c>
      <c r="DI618" s="27" t="s">
        <v>8</v>
      </c>
    </row>
    <row r="619" spans="1:178" x14ac:dyDescent="0.25">
      <c r="A619" s="7">
        <v>0.53063330351779314</v>
      </c>
      <c r="B619"/>
      <c r="C619"/>
      <c r="D619"/>
      <c r="E619"/>
      <c r="H619" s="27" t="s">
        <v>7</v>
      </c>
      <c r="P619" s="27" t="s">
        <v>7</v>
      </c>
      <c r="Q619" s="27" t="s">
        <v>8</v>
      </c>
      <c r="R619" s="27" t="s">
        <v>7</v>
      </c>
      <c r="S619" s="27" t="s">
        <v>8</v>
      </c>
      <c r="T619" s="27" t="s">
        <v>7</v>
      </c>
      <c r="U619" s="27" t="s">
        <v>8</v>
      </c>
      <c r="V619" s="27" t="s">
        <v>7</v>
      </c>
      <c r="AI619" s="27" t="s">
        <v>8</v>
      </c>
      <c r="AJ619" s="27" t="s">
        <v>7</v>
      </c>
      <c r="AM619" s="27" t="s">
        <v>8</v>
      </c>
      <c r="AN619" s="27" t="s">
        <v>7</v>
      </c>
      <c r="AO619" s="27" t="s">
        <v>8</v>
      </c>
      <c r="BD619" s="27" t="s">
        <v>7</v>
      </c>
      <c r="BE619" s="27" t="s">
        <v>8</v>
      </c>
      <c r="BG619" s="27" t="s">
        <v>8</v>
      </c>
      <c r="BH619" s="27" t="s">
        <v>7</v>
      </c>
      <c r="CY619" s="27" t="s">
        <v>8</v>
      </c>
      <c r="CZ619" s="27" t="s">
        <v>7</v>
      </c>
      <c r="DA619" s="27" t="s">
        <v>8</v>
      </c>
      <c r="DC619" s="27" t="s">
        <v>8</v>
      </c>
      <c r="DH619" s="27" t="s">
        <v>7</v>
      </c>
      <c r="DI619" s="27" t="s">
        <v>8</v>
      </c>
    </row>
    <row r="620" spans="1:178" x14ac:dyDescent="0.25">
      <c r="A620" s="7">
        <v>0.52022872893901284</v>
      </c>
      <c r="B620"/>
      <c r="C620"/>
      <c r="D620"/>
      <c r="E620"/>
      <c r="P620" s="27" t="s">
        <v>7</v>
      </c>
      <c r="Q620" s="27" t="s">
        <v>8</v>
      </c>
      <c r="R620" s="27" t="s">
        <v>7</v>
      </c>
      <c r="S620" s="27" t="s">
        <v>8</v>
      </c>
      <c r="T620" s="27" t="s">
        <v>7</v>
      </c>
      <c r="U620" s="27" t="s">
        <v>8</v>
      </c>
      <c r="V620" s="27" t="s">
        <v>7</v>
      </c>
      <c r="AI620" s="27" t="s">
        <v>8</v>
      </c>
      <c r="AJ620" s="27" t="s">
        <v>7</v>
      </c>
      <c r="AM620" s="27" t="s">
        <v>8</v>
      </c>
      <c r="AN620" s="27" t="s">
        <v>7</v>
      </c>
      <c r="AO620" s="27" t="s">
        <v>8</v>
      </c>
      <c r="BD620" s="27" t="s">
        <v>7</v>
      </c>
      <c r="BE620" s="27" t="s">
        <v>8</v>
      </c>
      <c r="BF620" s="27" t="s">
        <v>7</v>
      </c>
      <c r="BG620" s="27" t="s">
        <v>8</v>
      </c>
      <c r="BH620" s="27" t="s">
        <v>7</v>
      </c>
      <c r="CY620" s="27" t="s">
        <v>8</v>
      </c>
      <c r="CZ620" s="27" t="s">
        <v>7</v>
      </c>
      <c r="DA620" s="27" t="s">
        <v>8</v>
      </c>
      <c r="DB620" s="27" t="s">
        <v>7</v>
      </c>
      <c r="DC620" s="27" t="s">
        <v>8</v>
      </c>
      <c r="DH620" s="27" t="s">
        <v>7</v>
      </c>
      <c r="DI620" s="27" t="s">
        <v>8</v>
      </c>
    </row>
    <row r="621" spans="1:178" x14ac:dyDescent="0.25">
      <c r="A621" s="7">
        <v>0.51002816562648323</v>
      </c>
      <c r="B621"/>
      <c r="C621"/>
      <c r="D621"/>
      <c r="E621"/>
      <c r="P621" s="27" t="s">
        <v>7</v>
      </c>
      <c r="R621" s="27" t="s">
        <v>7</v>
      </c>
      <c r="T621" s="27" t="s">
        <v>7</v>
      </c>
      <c r="U621" s="27" t="s">
        <v>8</v>
      </c>
      <c r="V621" s="27" t="s">
        <v>7</v>
      </c>
      <c r="AI621" s="27" t="s">
        <v>8</v>
      </c>
      <c r="AJ621" s="27" t="s">
        <v>7</v>
      </c>
      <c r="AK621" s="27" t="s">
        <v>8</v>
      </c>
      <c r="AM621" s="27" t="s">
        <v>8</v>
      </c>
      <c r="AN621" s="27" t="s">
        <v>7</v>
      </c>
      <c r="AO621" s="27" t="s">
        <v>8</v>
      </c>
      <c r="BD621" s="27" t="s">
        <v>7</v>
      </c>
      <c r="BE621" s="27" t="s">
        <v>8</v>
      </c>
      <c r="BF621" s="27" t="s">
        <v>7</v>
      </c>
      <c r="BG621" s="27" t="s">
        <v>8</v>
      </c>
      <c r="BH621" s="27" t="s">
        <v>7</v>
      </c>
      <c r="BI621" s="27" t="s">
        <v>8</v>
      </c>
      <c r="CW621" s="27" t="s">
        <v>8</v>
      </c>
      <c r="CY621" s="27" t="s">
        <v>8</v>
      </c>
      <c r="CZ621" s="27" t="s">
        <v>7</v>
      </c>
      <c r="DA621" s="27" t="s">
        <v>8</v>
      </c>
      <c r="DB621" s="27" t="s">
        <v>7</v>
      </c>
      <c r="DC621" s="27" t="s">
        <v>8</v>
      </c>
      <c r="DH621" s="27" t="s">
        <v>7</v>
      </c>
    </row>
    <row r="622" spans="1:178" x14ac:dyDescent="0.25">
      <c r="A622" s="7">
        <v>0.50002761335929735</v>
      </c>
      <c r="B622"/>
      <c r="C622"/>
      <c r="D622"/>
      <c r="E622"/>
      <c r="T622" s="27" t="s">
        <v>7</v>
      </c>
      <c r="V622" s="27" t="s">
        <v>7</v>
      </c>
      <c r="AI622" s="27" t="s">
        <v>8</v>
      </c>
      <c r="AJ622" s="27" t="s">
        <v>7</v>
      </c>
      <c r="AK622" s="27" t="s">
        <v>8</v>
      </c>
      <c r="AL622" s="27" t="s">
        <v>7</v>
      </c>
      <c r="AM622" s="27" t="s">
        <v>8</v>
      </c>
      <c r="AN622" s="27" t="s">
        <v>7</v>
      </c>
      <c r="AO622" s="27" t="s">
        <v>8</v>
      </c>
      <c r="BD622" s="27" t="s">
        <v>7</v>
      </c>
      <c r="BE622" s="27" t="s">
        <v>8</v>
      </c>
      <c r="BF622" s="27" t="s">
        <v>7</v>
      </c>
      <c r="BH622" s="27" t="s">
        <v>7</v>
      </c>
      <c r="BI622" s="27" t="s">
        <v>8</v>
      </c>
      <c r="BJ622" s="27" t="s">
        <v>7</v>
      </c>
      <c r="CW622" s="27" t="s">
        <v>8</v>
      </c>
      <c r="CX622" s="27" t="s">
        <v>7</v>
      </c>
      <c r="CY622" s="27" t="s">
        <v>8</v>
      </c>
      <c r="CZ622" s="27" t="s">
        <v>7</v>
      </c>
      <c r="DA622" s="27" t="s">
        <v>8</v>
      </c>
      <c r="DB622" s="27" t="s">
        <v>7</v>
      </c>
      <c r="DC622" s="27" t="s">
        <v>8</v>
      </c>
    </row>
    <row r="623" spans="1:178" x14ac:dyDescent="0.25">
      <c r="A623" s="7">
        <v>0.49022315035225228</v>
      </c>
      <c r="B623"/>
      <c r="C623"/>
      <c r="D623"/>
      <c r="E623"/>
      <c r="V623" s="27" t="s">
        <v>7</v>
      </c>
      <c r="AI623" s="27" t="s">
        <v>8</v>
      </c>
      <c r="AJ623" s="27" t="s">
        <v>7</v>
      </c>
      <c r="AK623" s="27" t="s">
        <v>8</v>
      </c>
      <c r="AL623" s="27" t="s">
        <v>7</v>
      </c>
      <c r="AM623" s="27" t="s">
        <v>8</v>
      </c>
      <c r="AN623" s="27" t="s">
        <v>7</v>
      </c>
      <c r="BD623" s="27" t="s">
        <v>7</v>
      </c>
      <c r="BH623" s="27" t="s">
        <v>7</v>
      </c>
      <c r="BI623" s="27" t="s">
        <v>8</v>
      </c>
      <c r="BJ623" s="27" t="s">
        <v>7</v>
      </c>
      <c r="CW623" s="27" t="s">
        <v>8</v>
      </c>
      <c r="CX623" s="27" t="s">
        <v>7</v>
      </c>
      <c r="CY623" s="27" t="s">
        <v>8</v>
      </c>
      <c r="CZ623" s="27" t="s">
        <v>7</v>
      </c>
      <c r="DA623" s="27" t="s">
        <v>8</v>
      </c>
      <c r="DB623" s="27" t="s">
        <v>7</v>
      </c>
      <c r="DC623" s="27" t="s">
        <v>8</v>
      </c>
    </row>
    <row r="624" spans="1:178" x14ac:dyDescent="0.25">
      <c r="A624" s="7">
        <v>0.48061093171789437</v>
      </c>
      <c r="B624"/>
      <c r="C624"/>
      <c r="D624"/>
      <c r="E624"/>
      <c r="V624" s="27" t="s">
        <v>7</v>
      </c>
      <c r="AG624" s="27" t="s">
        <v>8</v>
      </c>
      <c r="AI624" s="27" t="s">
        <v>8</v>
      </c>
      <c r="AJ624" s="27" t="s">
        <v>7</v>
      </c>
      <c r="AK624" s="27" t="s">
        <v>8</v>
      </c>
      <c r="AL624" s="27" t="s">
        <v>7</v>
      </c>
      <c r="AM624" s="27" t="s">
        <v>8</v>
      </c>
      <c r="BH624" s="27" t="s">
        <v>7</v>
      </c>
      <c r="BI624" s="27" t="s">
        <v>8</v>
      </c>
      <c r="BJ624" s="27" t="s">
        <v>7</v>
      </c>
      <c r="CW624" s="27" t="s">
        <v>8</v>
      </c>
      <c r="CX624" s="27" t="s">
        <v>7</v>
      </c>
      <c r="CZ624" s="27" t="s">
        <v>7</v>
      </c>
      <c r="DA624" s="27" t="s">
        <v>8</v>
      </c>
      <c r="DB624" s="27" t="s">
        <v>7</v>
      </c>
      <c r="DC624" s="27" t="s">
        <v>8</v>
      </c>
    </row>
    <row r="625" spans="1:107" x14ac:dyDescent="0.25">
      <c r="A625" s="7">
        <v>0.47118718795871994</v>
      </c>
      <c r="B625"/>
      <c r="C625"/>
      <c r="D625"/>
      <c r="E625"/>
      <c r="V625" s="27" t="s">
        <v>7</v>
      </c>
      <c r="AG625" s="27" t="s">
        <v>8</v>
      </c>
      <c r="AH625" s="27" t="s">
        <v>7</v>
      </c>
      <c r="AI625" s="27" t="s">
        <v>8</v>
      </c>
      <c r="AJ625" s="27" t="s">
        <v>7</v>
      </c>
      <c r="AK625" s="27" t="s">
        <v>8</v>
      </c>
      <c r="AL625" s="27" t="s">
        <v>7</v>
      </c>
      <c r="BH625" s="27" t="s">
        <v>7</v>
      </c>
      <c r="BI625" s="27" t="s">
        <v>8</v>
      </c>
      <c r="BJ625" s="27" t="s">
        <v>7</v>
      </c>
      <c r="CK625" s="27" t="s">
        <v>8</v>
      </c>
      <c r="CW625" s="27" t="s">
        <v>8</v>
      </c>
      <c r="CZ625" s="27" t="s">
        <v>7</v>
      </c>
      <c r="DA625" s="27" t="s">
        <v>8</v>
      </c>
      <c r="DB625" s="27" t="s">
        <v>7</v>
      </c>
      <c r="DC625" s="27" t="s">
        <v>8</v>
      </c>
    </row>
    <row r="626" spans="1:107" x14ac:dyDescent="0.25">
      <c r="A626" s="7">
        <v>0.46194822348894116</v>
      </c>
      <c r="B626"/>
      <c r="C626"/>
      <c r="D626"/>
      <c r="E626"/>
      <c r="V626" s="27" t="s">
        <v>7</v>
      </c>
      <c r="AA626" s="27" t="s">
        <v>8</v>
      </c>
      <c r="AG626" s="27" t="s">
        <v>8</v>
      </c>
      <c r="AH626" s="27" t="s">
        <v>7</v>
      </c>
      <c r="AI626" s="27" t="s">
        <v>8</v>
      </c>
      <c r="AJ626" s="27" t="s">
        <v>7</v>
      </c>
      <c r="BH626" s="27" t="s">
        <v>7</v>
      </c>
      <c r="BI626" s="27" t="s">
        <v>8</v>
      </c>
      <c r="BJ626" s="27" t="s">
        <v>7</v>
      </c>
      <c r="CK626" s="27" t="s">
        <v>8</v>
      </c>
      <c r="CL626" s="27" t="s">
        <v>7</v>
      </c>
      <c r="CW626" s="27" t="s">
        <v>8</v>
      </c>
      <c r="CZ626" s="27" t="s">
        <v>7</v>
      </c>
      <c r="DA626" s="27" t="s">
        <v>8</v>
      </c>
      <c r="DB626" s="27" t="s">
        <v>7</v>
      </c>
      <c r="DC626" s="27" t="s">
        <v>8</v>
      </c>
    </row>
    <row r="627" spans="1:107" x14ac:dyDescent="0.25">
      <c r="A627" s="7">
        <v>0.45289041518523643</v>
      </c>
      <c r="B627"/>
      <c r="C627"/>
      <c r="D627"/>
      <c r="E627"/>
      <c r="V627" s="27" t="s">
        <v>7</v>
      </c>
      <c r="AA627" s="27" t="s">
        <v>8</v>
      </c>
      <c r="AB627" s="27" t="s">
        <v>7</v>
      </c>
      <c r="AG627" s="27" t="s">
        <v>8</v>
      </c>
      <c r="AH627" s="27" t="s">
        <v>7</v>
      </c>
      <c r="AI627" s="27" t="s">
        <v>8</v>
      </c>
      <c r="BH627" s="27" t="s">
        <v>7</v>
      </c>
      <c r="BI627" s="27" t="s">
        <v>8</v>
      </c>
      <c r="BJ627" s="27" t="s">
        <v>7</v>
      </c>
      <c r="CK627" s="27" t="s">
        <v>8</v>
      </c>
      <c r="CL627" s="27" t="s">
        <v>7</v>
      </c>
      <c r="CW627" s="27" t="s">
        <v>8</v>
      </c>
      <c r="CZ627" s="27" t="s">
        <v>7</v>
      </c>
      <c r="DB627" s="27" t="s">
        <v>7</v>
      </c>
      <c r="DC627" s="27" t="s">
        <v>8</v>
      </c>
    </row>
    <row r="628" spans="1:107" x14ac:dyDescent="0.25">
      <c r="A628" s="7">
        <v>0.44401021096591808</v>
      </c>
      <c r="B628"/>
      <c r="C628"/>
      <c r="D628"/>
      <c r="E628"/>
      <c r="V628" s="27" t="s">
        <v>7</v>
      </c>
      <c r="W628" s="27" t="s">
        <v>8</v>
      </c>
      <c r="AA628" s="27" t="s">
        <v>8</v>
      </c>
      <c r="AB628" s="27" t="s">
        <v>7</v>
      </c>
      <c r="AG628" s="27" t="s">
        <v>8</v>
      </c>
      <c r="AH628" s="27" t="s">
        <v>7</v>
      </c>
      <c r="AI628" s="27" t="s">
        <v>8</v>
      </c>
      <c r="BH628" s="27" t="s">
        <v>7</v>
      </c>
      <c r="BJ628" s="27" t="s">
        <v>7</v>
      </c>
      <c r="BQ628" s="27" t="s">
        <v>8</v>
      </c>
      <c r="CK628" s="27" t="s">
        <v>8</v>
      </c>
      <c r="CL628" s="27" t="s">
        <v>7</v>
      </c>
      <c r="CW628" s="27" t="s">
        <v>8</v>
      </c>
      <c r="DB628" s="27" t="s">
        <v>7</v>
      </c>
      <c r="DC628" s="27" t="s">
        <v>8</v>
      </c>
    </row>
    <row r="629" spans="1:107" x14ac:dyDescent="0.25">
      <c r="A629" s="7">
        <v>0.4353041283979589</v>
      </c>
      <c r="B629"/>
      <c r="C629"/>
      <c r="D629"/>
      <c r="E629"/>
      <c r="V629" s="27" t="s">
        <v>7</v>
      </c>
      <c r="W629" s="27" t="s">
        <v>8</v>
      </c>
      <c r="X629" s="27" t="s">
        <v>7</v>
      </c>
      <c r="AA629" s="27" t="s">
        <v>8</v>
      </c>
      <c r="AB629" s="27" t="s">
        <v>7</v>
      </c>
      <c r="AG629" s="27" t="s">
        <v>8</v>
      </c>
      <c r="AH629" s="27" t="s">
        <v>7</v>
      </c>
      <c r="AI629" s="27" t="s">
        <v>8</v>
      </c>
      <c r="BJ629" s="27" t="s">
        <v>7</v>
      </c>
      <c r="BQ629" s="27" t="s">
        <v>8</v>
      </c>
      <c r="BR629" s="27" t="s">
        <v>7</v>
      </c>
      <c r="CK629" s="27" t="s">
        <v>8</v>
      </c>
      <c r="CL629" s="27" t="s">
        <v>7</v>
      </c>
      <c r="CW629" s="27" t="s">
        <v>8</v>
      </c>
      <c r="DB629" s="27" t="s">
        <v>7</v>
      </c>
      <c r="DC629" s="27" t="s">
        <v>8</v>
      </c>
    </row>
    <row r="630" spans="1:107" x14ac:dyDescent="0.25">
      <c r="A630" s="7">
        <v>0.4267687533313323</v>
      </c>
      <c r="B630"/>
      <c r="C630"/>
      <c r="D630"/>
      <c r="E630"/>
      <c r="V630" s="27" t="s">
        <v>7</v>
      </c>
      <c r="W630" s="27" t="s">
        <v>8</v>
      </c>
      <c r="X630" s="27" t="s">
        <v>7</v>
      </c>
      <c r="AA630" s="27" t="s">
        <v>8</v>
      </c>
      <c r="AB630" s="27" t="s">
        <v>7</v>
      </c>
      <c r="AG630" s="27" t="s">
        <v>8</v>
      </c>
      <c r="AH630" s="27" t="s">
        <v>7</v>
      </c>
      <c r="AI630" s="27" t="s">
        <v>8</v>
      </c>
      <c r="BJ630" s="27" t="s">
        <v>7</v>
      </c>
      <c r="BQ630" s="27" t="s">
        <v>8</v>
      </c>
      <c r="BR630" s="27" t="s">
        <v>7</v>
      </c>
      <c r="CK630" s="27" t="s">
        <v>8</v>
      </c>
      <c r="CL630" s="27" t="s">
        <v>7</v>
      </c>
      <c r="CM630" s="27" t="s">
        <v>8</v>
      </c>
      <c r="CQ630" s="27" t="s">
        <v>8</v>
      </c>
      <c r="CW630" s="27" t="s">
        <v>8</v>
      </c>
      <c r="DB630" s="27" t="s">
        <v>7</v>
      </c>
    </row>
    <row r="631" spans="1:107" x14ac:dyDescent="0.25">
      <c r="A631" s="7">
        <v>0.41840073856012971</v>
      </c>
      <c r="B631"/>
      <c r="C631"/>
      <c r="D631"/>
      <c r="E631"/>
      <c r="V631" s="27" t="s">
        <v>7</v>
      </c>
      <c r="W631" s="27" t="s">
        <v>8</v>
      </c>
      <c r="X631" s="27" t="s">
        <v>7</v>
      </c>
      <c r="AA631" s="27" t="s">
        <v>8</v>
      </c>
      <c r="AB631" s="27" t="s">
        <v>7</v>
      </c>
      <c r="AC631" s="27" t="s">
        <v>8</v>
      </c>
      <c r="AE631" s="27" t="s">
        <v>8</v>
      </c>
      <c r="AG631" s="27" t="s">
        <v>8</v>
      </c>
      <c r="AH631" s="27" t="s">
        <v>7</v>
      </c>
      <c r="AI631" s="27" t="s">
        <v>8</v>
      </c>
      <c r="BJ631" s="27" t="s">
        <v>7</v>
      </c>
      <c r="BQ631" s="27" t="s">
        <v>8</v>
      </c>
      <c r="BR631" s="27" t="s">
        <v>7</v>
      </c>
      <c r="CK631" s="27" t="s">
        <v>8</v>
      </c>
      <c r="CL631" s="27" t="s">
        <v>7</v>
      </c>
      <c r="CM631" s="27" t="s">
        <v>8</v>
      </c>
      <c r="CN631" s="27" t="s">
        <v>7</v>
      </c>
      <c r="CQ631" s="27" t="s">
        <v>8</v>
      </c>
      <c r="CR631" s="27" t="s">
        <v>7</v>
      </c>
      <c r="CW631" s="27" t="s">
        <v>8</v>
      </c>
    </row>
    <row r="632" spans="1:107" x14ac:dyDescent="0.25">
      <c r="A632" s="7">
        <v>0.41019680250993112</v>
      </c>
      <c r="B632"/>
      <c r="C632"/>
      <c r="D632"/>
      <c r="E632"/>
      <c r="V632" s="27" t="s">
        <v>7</v>
      </c>
      <c r="W632" s="27" t="s">
        <v>8</v>
      </c>
      <c r="X632" s="27" t="s">
        <v>7</v>
      </c>
      <c r="AA632" s="27" t="s">
        <v>8</v>
      </c>
      <c r="AB632" s="27" t="s">
        <v>7</v>
      </c>
      <c r="AC632" s="27" t="s">
        <v>8</v>
      </c>
      <c r="AD632" s="27" t="s">
        <v>7</v>
      </c>
      <c r="AE632" s="27" t="s">
        <v>8</v>
      </c>
      <c r="AF632" s="27" t="s">
        <v>7</v>
      </c>
      <c r="AG632" s="27" t="s">
        <v>8</v>
      </c>
      <c r="AH632" s="27" t="s">
        <v>7</v>
      </c>
      <c r="AI632" s="27" t="s">
        <v>8</v>
      </c>
      <c r="BJ632" s="27" t="s">
        <v>7</v>
      </c>
      <c r="BQ632" s="27" t="s">
        <v>8</v>
      </c>
      <c r="BR632" s="27" t="s">
        <v>7</v>
      </c>
      <c r="BW632" s="27" t="s">
        <v>8</v>
      </c>
      <c r="CK632" s="27" t="s">
        <v>8</v>
      </c>
      <c r="CL632" s="27" t="s">
        <v>7</v>
      </c>
      <c r="CM632" s="27" t="s">
        <v>8</v>
      </c>
      <c r="CN632" s="27" t="s">
        <v>7</v>
      </c>
      <c r="CQ632" s="27" t="s">
        <v>8</v>
      </c>
      <c r="CR632" s="27" t="s">
        <v>7</v>
      </c>
      <c r="CS632" s="27" t="s">
        <v>8</v>
      </c>
      <c r="CW632" s="27" t="s">
        <v>8</v>
      </c>
    </row>
    <row r="633" spans="1:107" x14ac:dyDescent="0.25">
      <c r="A633" s="7">
        <v>0.40215372795091286</v>
      </c>
      <c r="B633"/>
      <c r="C633"/>
      <c r="D633"/>
      <c r="E633"/>
      <c r="V633" s="27" t="s">
        <v>7</v>
      </c>
      <c r="W633" s="27" t="s">
        <v>8</v>
      </c>
      <c r="X633" s="27" t="s">
        <v>7</v>
      </c>
      <c r="AA633" s="27" t="s">
        <v>8</v>
      </c>
      <c r="AB633" s="27" t="s">
        <v>7</v>
      </c>
      <c r="AC633" s="27" t="s">
        <v>8</v>
      </c>
      <c r="AD633" s="27" t="s">
        <v>7</v>
      </c>
      <c r="AE633" s="27" t="s">
        <v>8</v>
      </c>
      <c r="AF633" s="27" t="s">
        <v>7</v>
      </c>
      <c r="AG633" s="27" t="s">
        <v>8</v>
      </c>
      <c r="AH633" s="27" t="s">
        <v>7</v>
      </c>
      <c r="BJ633" s="27" t="s">
        <v>7</v>
      </c>
      <c r="BQ633" s="27" t="s">
        <v>8</v>
      </c>
      <c r="BR633" s="27" t="s">
        <v>7</v>
      </c>
      <c r="BW633" s="27" t="s">
        <v>8</v>
      </c>
      <c r="BX633" s="27" t="s">
        <v>7</v>
      </c>
      <c r="CK633" s="27" t="s">
        <v>8</v>
      </c>
      <c r="CL633" s="27" t="s">
        <v>7</v>
      </c>
      <c r="CM633" s="27" t="s">
        <v>8</v>
      </c>
      <c r="CN633" s="27" t="s">
        <v>7</v>
      </c>
      <c r="CQ633" s="27" t="s">
        <v>8</v>
      </c>
      <c r="CR633" s="27" t="s">
        <v>7</v>
      </c>
      <c r="CS633" s="27" t="s">
        <v>8</v>
      </c>
      <c r="CT633" s="27" t="s">
        <v>7</v>
      </c>
      <c r="CU633" s="27" t="s">
        <v>8</v>
      </c>
      <c r="CW633" s="27" t="s">
        <v>8</v>
      </c>
    </row>
    <row r="634" spans="1:107" x14ac:dyDescent="0.25">
      <c r="A634" s="7">
        <v>0.39426836073618904</v>
      </c>
      <c r="B634"/>
      <c r="C634"/>
      <c r="D634"/>
      <c r="E634"/>
      <c r="V634" s="27" t="s">
        <v>7</v>
      </c>
      <c r="W634" s="27" t="s">
        <v>8</v>
      </c>
      <c r="X634" s="27" t="s">
        <v>7</v>
      </c>
      <c r="Y634" s="27" t="s">
        <v>8</v>
      </c>
      <c r="AA634" s="27" t="s">
        <v>8</v>
      </c>
      <c r="AB634" s="27" t="s">
        <v>7</v>
      </c>
      <c r="AC634" s="27" t="s">
        <v>8</v>
      </c>
      <c r="AD634" s="27" t="s">
        <v>7</v>
      </c>
      <c r="AF634" s="27" t="s">
        <v>7</v>
      </c>
      <c r="AG634" s="27" t="s">
        <v>8</v>
      </c>
      <c r="BJ634" s="27" t="s">
        <v>7</v>
      </c>
      <c r="BQ634" s="27" t="s">
        <v>8</v>
      </c>
      <c r="BR634" s="27" t="s">
        <v>7</v>
      </c>
      <c r="BW634" s="27" t="s">
        <v>8</v>
      </c>
      <c r="BX634" s="27" t="s">
        <v>7</v>
      </c>
      <c r="CE634" s="27" t="s">
        <v>8</v>
      </c>
      <c r="CK634" s="27" t="s">
        <v>8</v>
      </c>
      <c r="CL634" s="27" t="s">
        <v>7</v>
      </c>
      <c r="CM634" s="27" t="s">
        <v>8</v>
      </c>
      <c r="CN634" s="27" t="s">
        <v>7</v>
      </c>
      <c r="CQ634" s="27" t="s">
        <v>8</v>
      </c>
      <c r="CR634" s="27" t="s">
        <v>7</v>
      </c>
      <c r="CS634" s="27" t="s">
        <v>8</v>
      </c>
      <c r="CT634" s="27" t="s">
        <v>7</v>
      </c>
      <c r="CU634" s="27" t="s">
        <v>8</v>
      </c>
      <c r="CV634" s="27" t="s">
        <v>7</v>
      </c>
      <c r="CW634" s="27" t="s">
        <v>8</v>
      </c>
    </row>
    <row r="635" spans="1:107" x14ac:dyDescent="0.25">
      <c r="A635" s="7">
        <v>0.38653760856489122</v>
      </c>
      <c r="B635"/>
      <c r="C635"/>
      <c r="D635"/>
      <c r="E635"/>
      <c r="V635" s="27" t="s">
        <v>7</v>
      </c>
      <c r="W635" s="27" t="s">
        <v>8</v>
      </c>
      <c r="X635" s="27" t="s">
        <v>7</v>
      </c>
      <c r="Y635" s="27" t="s">
        <v>8</v>
      </c>
      <c r="Z635" s="27" t="s">
        <v>7</v>
      </c>
      <c r="AA635" s="27" t="s">
        <v>8</v>
      </c>
      <c r="AB635" s="27" t="s">
        <v>7</v>
      </c>
      <c r="AC635" s="27" t="s">
        <v>8</v>
      </c>
      <c r="AF635" s="27" t="s">
        <v>7</v>
      </c>
      <c r="BJ635" s="27" t="s">
        <v>7</v>
      </c>
      <c r="BQ635" s="27" t="s">
        <v>8</v>
      </c>
      <c r="BR635" s="27" t="s">
        <v>7</v>
      </c>
      <c r="BW635" s="27" t="s">
        <v>8</v>
      </c>
      <c r="BX635" s="27" t="s">
        <v>7</v>
      </c>
      <c r="CE635" s="27" t="s">
        <v>8</v>
      </c>
      <c r="CF635" s="27" t="s">
        <v>7</v>
      </c>
      <c r="CK635" s="27" t="s">
        <v>8</v>
      </c>
      <c r="CL635" s="27" t="s">
        <v>7</v>
      </c>
      <c r="CM635" s="27" t="s">
        <v>8</v>
      </c>
      <c r="CN635" s="27" t="s">
        <v>7</v>
      </c>
      <c r="CQ635" s="27" t="s">
        <v>8</v>
      </c>
      <c r="CR635" s="27" t="s">
        <v>7</v>
      </c>
      <c r="CS635" s="27" t="s">
        <v>8</v>
      </c>
      <c r="CT635" s="27" t="s">
        <v>7</v>
      </c>
      <c r="CU635" s="27" t="s">
        <v>8</v>
      </c>
      <c r="CV635" s="27" t="s">
        <v>7</v>
      </c>
      <c r="CW635" s="27" t="s">
        <v>8</v>
      </c>
    </row>
    <row r="636" spans="1:107" x14ac:dyDescent="0.25">
      <c r="A636" s="7">
        <v>0.37895843976950117</v>
      </c>
      <c r="B636"/>
      <c r="C636"/>
      <c r="D636"/>
      <c r="E636"/>
      <c r="V636" s="27" t="s">
        <v>7</v>
      </c>
      <c r="W636" s="27" t="s">
        <v>8</v>
      </c>
      <c r="X636" s="27" t="s">
        <v>7</v>
      </c>
      <c r="Y636" s="27" t="s">
        <v>8</v>
      </c>
      <c r="Z636" s="27" t="s">
        <v>7</v>
      </c>
      <c r="AA636" s="27" t="s">
        <v>8</v>
      </c>
      <c r="AB636" s="27" t="s">
        <v>7</v>
      </c>
      <c r="AC636" s="27" t="s">
        <v>8</v>
      </c>
      <c r="BJ636" s="27" t="s">
        <v>7</v>
      </c>
      <c r="BQ636" s="27" t="s">
        <v>8</v>
      </c>
      <c r="BR636" s="27" t="s">
        <v>7</v>
      </c>
      <c r="BW636" s="27" t="s">
        <v>8</v>
      </c>
      <c r="BX636" s="27" t="s">
        <v>7</v>
      </c>
      <c r="CE636" s="27" t="s">
        <v>8</v>
      </c>
      <c r="CF636" s="27" t="s">
        <v>7</v>
      </c>
      <c r="CK636" s="27" t="s">
        <v>8</v>
      </c>
      <c r="CL636" s="27" t="s">
        <v>7</v>
      </c>
      <c r="CM636" s="27" t="s">
        <v>8</v>
      </c>
      <c r="CN636" s="27" t="s">
        <v>7</v>
      </c>
      <c r="CQ636" s="27" t="s">
        <v>8</v>
      </c>
      <c r="CR636" s="27" t="s">
        <v>7</v>
      </c>
      <c r="CS636" s="27" t="s">
        <v>8</v>
      </c>
      <c r="CT636" s="27" t="s">
        <v>7</v>
      </c>
      <c r="CV636" s="27" t="s">
        <v>7</v>
      </c>
      <c r="CW636" s="27" t="s">
        <v>8</v>
      </c>
    </row>
    <row r="637" spans="1:107" x14ac:dyDescent="0.25">
      <c r="A637" s="7">
        <v>0.37152788212696197</v>
      </c>
      <c r="B637"/>
      <c r="C637"/>
      <c r="D637"/>
      <c r="E637"/>
      <c r="V637" s="27" t="s">
        <v>7</v>
      </c>
      <c r="W637" s="27" t="s">
        <v>8</v>
      </c>
      <c r="X637" s="27" t="s">
        <v>7</v>
      </c>
      <c r="Y637" s="27" t="s">
        <v>8</v>
      </c>
      <c r="Z637" s="27" t="s">
        <v>7</v>
      </c>
      <c r="AA637" s="27" t="s">
        <v>8</v>
      </c>
      <c r="AB637" s="27" t="s">
        <v>7</v>
      </c>
      <c r="BJ637" s="27" t="s">
        <v>7</v>
      </c>
      <c r="BQ637" s="27" t="s">
        <v>8</v>
      </c>
      <c r="BR637" s="27" t="s">
        <v>7</v>
      </c>
      <c r="BW637" s="27" t="s">
        <v>8</v>
      </c>
      <c r="BX637" s="27" t="s">
        <v>7</v>
      </c>
      <c r="CE637" s="27" t="s">
        <v>8</v>
      </c>
      <c r="CF637" s="27" t="s">
        <v>7</v>
      </c>
      <c r="CG637" s="27" t="s">
        <v>8</v>
      </c>
      <c r="CK637" s="27" t="s">
        <v>8</v>
      </c>
      <c r="CL637" s="27" t="s">
        <v>7</v>
      </c>
      <c r="CM637" s="27" t="s">
        <v>8</v>
      </c>
      <c r="CN637" s="27" t="s">
        <v>7</v>
      </c>
      <c r="CO637" s="27" t="s">
        <v>8</v>
      </c>
      <c r="CQ637" s="27" t="s">
        <v>8</v>
      </c>
      <c r="CR637" s="27" t="s">
        <v>7</v>
      </c>
      <c r="CV637" s="27" t="s">
        <v>7</v>
      </c>
    </row>
    <row r="638" spans="1:107" x14ac:dyDescent="0.25">
      <c r="A638" s="7">
        <v>0.36424302169310002</v>
      </c>
      <c r="B638"/>
      <c r="C638"/>
      <c r="D638"/>
      <c r="E638"/>
      <c r="V638" s="27" t="s">
        <v>7</v>
      </c>
      <c r="W638" s="27" t="s">
        <v>8</v>
      </c>
      <c r="X638" s="27" t="s">
        <v>7</v>
      </c>
      <c r="Y638" s="27" t="s">
        <v>8</v>
      </c>
      <c r="Z638" s="27" t="s">
        <v>7</v>
      </c>
      <c r="BJ638" s="27" t="s">
        <v>7</v>
      </c>
      <c r="BQ638" s="27" t="s">
        <v>8</v>
      </c>
      <c r="BR638" s="27" t="s">
        <v>7</v>
      </c>
      <c r="BW638" s="27" t="s">
        <v>8</v>
      </c>
      <c r="BX638" s="27" t="s">
        <v>7</v>
      </c>
      <c r="BY638" s="27" t="s">
        <v>8</v>
      </c>
      <c r="CE638" s="27" t="s">
        <v>8</v>
      </c>
      <c r="CF638" s="27" t="s">
        <v>7</v>
      </c>
      <c r="CG638" s="27" t="s">
        <v>8</v>
      </c>
      <c r="CH638" s="27" t="s">
        <v>7</v>
      </c>
      <c r="CK638" s="27" t="s">
        <v>8</v>
      </c>
      <c r="CL638" s="27" t="s">
        <v>7</v>
      </c>
      <c r="CM638" s="27" t="s">
        <v>8</v>
      </c>
      <c r="CN638" s="27" t="s">
        <v>7</v>
      </c>
      <c r="CO638" s="27" t="s">
        <v>8</v>
      </c>
      <c r="CP638" s="27" t="s">
        <v>7</v>
      </c>
      <c r="CQ638" s="27" t="s">
        <v>8</v>
      </c>
    </row>
    <row r="639" spans="1:107" x14ac:dyDescent="0.25">
      <c r="A639" s="7">
        <v>0.35710100165990194</v>
      </c>
      <c r="B639"/>
      <c r="C639"/>
      <c r="D639"/>
      <c r="E639"/>
      <c r="V639" s="27" t="s">
        <v>7</v>
      </c>
      <c r="W639" s="27" t="s">
        <v>8</v>
      </c>
      <c r="X639" s="27" t="s">
        <v>7</v>
      </c>
      <c r="BJ639" s="27" t="s">
        <v>7</v>
      </c>
      <c r="BQ639" s="27" t="s">
        <v>8</v>
      </c>
      <c r="BR639" s="27" t="s">
        <v>7</v>
      </c>
      <c r="BW639" s="27" t="s">
        <v>8</v>
      </c>
      <c r="BX639" s="27" t="s">
        <v>7</v>
      </c>
      <c r="BY639" s="27" t="s">
        <v>8</v>
      </c>
      <c r="BZ639" s="27" t="s">
        <v>7</v>
      </c>
      <c r="CE639" s="27" t="s">
        <v>8</v>
      </c>
      <c r="CF639" s="27" t="s">
        <v>7</v>
      </c>
      <c r="CG639" s="27" t="s">
        <v>8</v>
      </c>
      <c r="CH639" s="27" t="s">
        <v>7</v>
      </c>
      <c r="CI639" s="27" t="s">
        <v>8</v>
      </c>
      <c r="CK639" s="27" t="s">
        <v>8</v>
      </c>
      <c r="CL639" s="27" t="s">
        <v>7</v>
      </c>
      <c r="CM639" s="27" t="s">
        <v>8</v>
      </c>
      <c r="CN639" s="27" t="s">
        <v>7</v>
      </c>
      <c r="CO639" s="27" t="s">
        <v>8</v>
      </c>
      <c r="CP639" s="27" t="s">
        <v>7</v>
      </c>
      <c r="CQ639" s="27" t="s">
        <v>8</v>
      </c>
    </row>
    <row r="640" spans="1:107" x14ac:dyDescent="0.25">
      <c r="A640" s="7">
        <v>0.35009902123519804</v>
      </c>
      <c r="B640"/>
      <c r="C640"/>
      <c r="D640"/>
      <c r="E640"/>
      <c r="V640" s="27" t="s">
        <v>7</v>
      </c>
      <c r="W640" s="27" t="s">
        <v>8</v>
      </c>
      <c r="BJ640" s="27" t="s">
        <v>7</v>
      </c>
      <c r="BQ640" s="27" t="s">
        <v>8</v>
      </c>
      <c r="BR640" s="27" t="s">
        <v>7</v>
      </c>
      <c r="BW640" s="27" t="s">
        <v>8</v>
      </c>
      <c r="BX640" s="27" t="s">
        <v>7</v>
      </c>
      <c r="BY640" s="27" t="s">
        <v>8</v>
      </c>
      <c r="BZ640" s="27" t="s">
        <v>7</v>
      </c>
      <c r="CE640" s="27" t="s">
        <v>8</v>
      </c>
      <c r="CF640" s="27" t="s">
        <v>7</v>
      </c>
      <c r="CG640" s="27" t="s">
        <v>8</v>
      </c>
      <c r="CH640" s="27" t="s">
        <v>7</v>
      </c>
      <c r="CI640" s="27" t="s">
        <v>8</v>
      </c>
      <c r="CJ640" s="27" t="s">
        <v>7</v>
      </c>
      <c r="CK640" s="27" t="s">
        <v>8</v>
      </c>
      <c r="CL640" s="27" t="s">
        <v>7</v>
      </c>
      <c r="CM640" s="27" t="s">
        <v>8</v>
      </c>
      <c r="CN640" s="27" t="s">
        <v>7</v>
      </c>
      <c r="CO640" s="27" t="s">
        <v>8</v>
      </c>
      <c r="CP640" s="27" t="s">
        <v>7</v>
      </c>
      <c r="CQ640" s="27" t="s">
        <v>8</v>
      </c>
    </row>
    <row r="641" spans="1:95" x14ac:dyDescent="0.25">
      <c r="A641" s="7">
        <v>0.34323433454431179</v>
      </c>
      <c r="B641"/>
      <c r="C641"/>
      <c r="D641"/>
      <c r="E641"/>
      <c r="V641" s="27" t="s">
        <v>7</v>
      </c>
      <c r="BJ641" s="27" t="s">
        <v>7</v>
      </c>
      <c r="BQ641" s="27" t="s">
        <v>8</v>
      </c>
      <c r="BR641" s="27" t="s">
        <v>7</v>
      </c>
      <c r="BU641" s="27" t="s">
        <v>8</v>
      </c>
      <c r="BW641" s="27" t="s">
        <v>8</v>
      </c>
      <c r="BX641" s="27" t="s">
        <v>7</v>
      </c>
      <c r="BZ641" s="27" t="s">
        <v>7</v>
      </c>
      <c r="CE641" s="27" t="s">
        <v>8</v>
      </c>
      <c r="CF641" s="27" t="s">
        <v>7</v>
      </c>
      <c r="CG641" s="27" t="s">
        <v>8</v>
      </c>
      <c r="CH641" s="27" t="s">
        <v>7</v>
      </c>
      <c r="CI641" s="27" t="s">
        <v>8</v>
      </c>
      <c r="CJ641" s="27" t="s">
        <v>7</v>
      </c>
      <c r="CK641" s="27" t="s">
        <v>8</v>
      </c>
      <c r="CL641" s="27" t="s">
        <v>7</v>
      </c>
      <c r="CM641" s="27" t="s">
        <v>8</v>
      </c>
      <c r="CN641" s="27" t="s">
        <v>7</v>
      </c>
      <c r="CO641" s="27" t="s">
        <v>8</v>
      </c>
      <c r="CP641" s="27" t="s">
        <v>7</v>
      </c>
      <c r="CQ641" s="27" t="s">
        <v>8</v>
      </c>
    </row>
    <row r="642" spans="1:95" x14ac:dyDescent="0.25">
      <c r="A642" s="7">
        <v>0.33650424955324681</v>
      </c>
      <c r="B642"/>
      <c r="C642"/>
      <c r="D642"/>
      <c r="E642"/>
      <c r="BJ642" s="27" t="s">
        <v>7</v>
      </c>
      <c r="BQ642" s="27" t="s">
        <v>8</v>
      </c>
      <c r="BR642" s="27" t="s">
        <v>7</v>
      </c>
      <c r="BU642" s="27" t="s">
        <v>8</v>
      </c>
      <c r="BV642" s="27" t="s">
        <v>7</v>
      </c>
      <c r="BW642" s="27" t="s">
        <v>8</v>
      </c>
      <c r="BZ642" s="27" t="s">
        <v>7</v>
      </c>
      <c r="CA642" s="27" t="s">
        <v>8</v>
      </c>
      <c r="CE642" s="27" t="s">
        <v>8</v>
      </c>
      <c r="CF642" s="27" t="s">
        <v>7</v>
      </c>
      <c r="CG642" s="27" t="s">
        <v>8</v>
      </c>
      <c r="CH642" s="27" t="s">
        <v>7</v>
      </c>
      <c r="CJ642" s="27" t="s">
        <v>7</v>
      </c>
      <c r="CK642" s="27" t="s">
        <v>8</v>
      </c>
      <c r="CL642" s="27" t="s">
        <v>7</v>
      </c>
      <c r="CM642" s="27" t="s">
        <v>8</v>
      </c>
      <c r="CN642" s="27" t="s">
        <v>7</v>
      </c>
      <c r="CO642" s="27" t="s">
        <v>8</v>
      </c>
      <c r="CP642" s="27" t="s">
        <v>7</v>
      </c>
    </row>
    <row r="643" spans="1:95" x14ac:dyDescent="0.25">
      <c r="A643" s="7">
        <v>0.3299061270129871</v>
      </c>
      <c r="B643"/>
      <c r="C643"/>
      <c r="D643"/>
      <c r="E643"/>
      <c r="BJ643" s="27" t="s">
        <v>7</v>
      </c>
      <c r="BM643" s="27" t="s">
        <v>8</v>
      </c>
      <c r="BQ643" s="27" t="s">
        <v>8</v>
      </c>
      <c r="BR643" s="27" t="s">
        <v>7</v>
      </c>
      <c r="BU643" s="27" t="s">
        <v>8</v>
      </c>
      <c r="BV643" s="27" t="s">
        <v>7</v>
      </c>
      <c r="BW643" s="27" t="s">
        <v>8</v>
      </c>
      <c r="BZ643" s="27" t="s">
        <v>7</v>
      </c>
      <c r="CA643" s="27" t="s">
        <v>8</v>
      </c>
      <c r="CB643" s="27" t="s">
        <v>7</v>
      </c>
      <c r="CE643" s="27" t="s">
        <v>8</v>
      </c>
      <c r="CF643" s="27" t="s">
        <v>7</v>
      </c>
      <c r="CG643" s="27" t="s">
        <v>8</v>
      </c>
      <c r="CJ643" s="27" t="s">
        <v>7</v>
      </c>
      <c r="CK643" s="27" t="s">
        <v>8</v>
      </c>
      <c r="CL643" s="27" t="s">
        <v>7</v>
      </c>
      <c r="CM643" s="27" t="s">
        <v>8</v>
      </c>
      <c r="CN643" s="27" t="s">
        <v>7</v>
      </c>
    </row>
    <row r="644" spans="1:95" x14ac:dyDescent="0.25">
      <c r="A644" s="7">
        <v>0.32343737942449713</v>
      </c>
      <c r="B644"/>
      <c r="C644"/>
      <c r="D644"/>
      <c r="E644"/>
      <c r="BJ644" s="27" t="s">
        <v>7</v>
      </c>
      <c r="BM644" s="27" t="s">
        <v>8</v>
      </c>
      <c r="BN644" s="27" t="s">
        <v>7</v>
      </c>
      <c r="BQ644" s="27" t="s">
        <v>8</v>
      </c>
      <c r="BR644" s="27" t="s">
        <v>7</v>
      </c>
      <c r="BU644" s="27" t="s">
        <v>8</v>
      </c>
      <c r="BV644" s="27" t="s">
        <v>7</v>
      </c>
      <c r="BW644" s="27" t="s">
        <v>8</v>
      </c>
      <c r="BZ644" s="27" t="s">
        <v>7</v>
      </c>
      <c r="CA644" s="27" t="s">
        <v>8</v>
      </c>
      <c r="CB644" s="27" t="s">
        <v>7</v>
      </c>
      <c r="CE644" s="27" t="s">
        <v>8</v>
      </c>
      <c r="CF644" s="27" t="s">
        <v>7</v>
      </c>
      <c r="CG644" s="27" t="s">
        <v>8</v>
      </c>
      <c r="CJ644" s="27" t="s">
        <v>7</v>
      </c>
      <c r="CK644" s="27" t="s">
        <v>8</v>
      </c>
      <c r="CL644" s="27" t="s">
        <v>7</v>
      </c>
      <c r="CM644" s="27" t="s">
        <v>8</v>
      </c>
    </row>
    <row r="645" spans="1:95" x14ac:dyDescent="0.25">
      <c r="A645" s="7">
        <v>0.31709547002401678</v>
      </c>
      <c r="B645"/>
      <c r="C645"/>
      <c r="D645"/>
      <c r="E645"/>
      <c r="BJ645" s="27" t="s">
        <v>7</v>
      </c>
      <c r="BM645" s="27" t="s">
        <v>8</v>
      </c>
      <c r="BN645" s="27" t="s">
        <v>7</v>
      </c>
      <c r="BQ645" s="27" t="s">
        <v>8</v>
      </c>
      <c r="BR645" s="27" t="s">
        <v>7</v>
      </c>
      <c r="BU645" s="27" t="s">
        <v>8</v>
      </c>
      <c r="BV645" s="27" t="s">
        <v>7</v>
      </c>
      <c r="BW645" s="27" t="s">
        <v>8</v>
      </c>
      <c r="BZ645" s="27" t="s">
        <v>7</v>
      </c>
      <c r="CA645" s="27" t="s">
        <v>8</v>
      </c>
      <c r="CB645" s="27" t="s">
        <v>7</v>
      </c>
      <c r="CC645" s="27" t="s">
        <v>8</v>
      </c>
      <c r="CE645" s="27" t="s">
        <v>8</v>
      </c>
      <c r="CF645" s="27" t="s">
        <v>7</v>
      </c>
      <c r="CJ645" s="27" t="s">
        <v>7</v>
      </c>
      <c r="CK645" s="27" t="s">
        <v>8</v>
      </c>
      <c r="CL645" s="27" t="s">
        <v>7</v>
      </c>
      <c r="CM645" s="27" t="s">
        <v>8</v>
      </c>
    </row>
    <row r="646" spans="1:95" x14ac:dyDescent="0.25">
      <c r="A646" s="7">
        <v>0.31087791178825175</v>
      </c>
      <c r="B646"/>
      <c r="C646"/>
      <c r="D646"/>
      <c r="E646"/>
      <c r="BJ646" s="27" t="s">
        <v>7</v>
      </c>
      <c r="BM646" s="27" t="s">
        <v>8</v>
      </c>
      <c r="BN646" s="27" t="s">
        <v>7</v>
      </c>
      <c r="BO646" s="27" t="s">
        <v>8</v>
      </c>
      <c r="BQ646" s="27" t="s">
        <v>8</v>
      </c>
      <c r="BR646" s="27" t="s">
        <v>7</v>
      </c>
      <c r="BS646" s="27" t="s">
        <v>8</v>
      </c>
      <c r="BU646" s="27" t="s">
        <v>8</v>
      </c>
      <c r="BV646" s="27" t="s">
        <v>7</v>
      </c>
      <c r="BW646" s="27" t="s">
        <v>8</v>
      </c>
      <c r="BZ646" s="27" t="s">
        <v>7</v>
      </c>
      <c r="CB646" s="27" t="s">
        <v>7</v>
      </c>
      <c r="CC646" s="27" t="s">
        <v>8</v>
      </c>
      <c r="CD646" s="27" t="s">
        <v>7</v>
      </c>
      <c r="CE646" s="27" t="s">
        <v>8</v>
      </c>
      <c r="CJ646" s="27" t="s">
        <v>7</v>
      </c>
      <c r="CK646" s="27" t="s">
        <v>8</v>
      </c>
      <c r="CL646" s="27" t="s">
        <v>7</v>
      </c>
      <c r="CM646" s="27" t="s">
        <v>8</v>
      </c>
    </row>
    <row r="647" spans="1:95" x14ac:dyDescent="0.25">
      <c r="A647" s="7">
        <v>0.30478226645907036</v>
      </c>
      <c r="B647"/>
      <c r="C647"/>
      <c r="D647"/>
      <c r="E647"/>
      <c r="BJ647" s="27" t="s">
        <v>7</v>
      </c>
      <c r="BM647" s="27" t="s">
        <v>8</v>
      </c>
      <c r="BN647" s="27" t="s">
        <v>7</v>
      </c>
      <c r="BO647" s="27" t="s">
        <v>8</v>
      </c>
      <c r="BP647" s="27" t="s">
        <v>7</v>
      </c>
      <c r="BQ647" s="27" t="s">
        <v>8</v>
      </c>
      <c r="BR647" s="27" t="s">
        <v>7</v>
      </c>
      <c r="BS647" s="27" t="s">
        <v>8</v>
      </c>
      <c r="BT647" s="27" t="s">
        <v>7</v>
      </c>
      <c r="BU647" s="27" t="s">
        <v>8</v>
      </c>
      <c r="BV647" s="27" t="s">
        <v>7</v>
      </c>
      <c r="CB647" s="27" t="s">
        <v>7</v>
      </c>
      <c r="CC647" s="27" t="s">
        <v>8</v>
      </c>
      <c r="CD647" s="27" t="s">
        <v>7</v>
      </c>
      <c r="CE647" s="27" t="s">
        <v>8</v>
      </c>
      <c r="CJ647" s="27" t="s">
        <v>7</v>
      </c>
      <c r="CL647" s="27" t="s">
        <v>7</v>
      </c>
      <c r="CM647" s="27" t="s">
        <v>8</v>
      </c>
    </row>
    <row r="648" spans="1:95" x14ac:dyDescent="0.25">
      <c r="A648" s="7">
        <v>0.29880614358732388</v>
      </c>
      <c r="B648"/>
      <c r="C648"/>
      <c r="D648"/>
      <c r="E648"/>
      <c r="BJ648" s="27" t="s">
        <v>7</v>
      </c>
      <c r="BM648" s="27" t="s">
        <v>8</v>
      </c>
      <c r="BN648" s="27" t="s">
        <v>7</v>
      </c>
      <c r="BO648" s="27" t="s">
        <v>8</v>
      </c>
      <c r="BP648" s="27" t="s">
        <v>7</v>
      </c>
      <c r="BQ648" s="27" t="s">
        <v>8</v>
      </c>
      <c r="BR648" s="27" t="s">
        <v>7</v>
      </c>
      <c r="BS648" s="27" t="s">
        <v>8</v>
      </c>
      <c r="BT648" s="27" t="s">
        <v>7</v>
      </c>
      <c r="BU648" s="27" t="s">
        <v>8</v>
      </c>
      <c r="CB648" s="27" t="s">
        <v>7</v>
      </c>
      <c r="CC648" s="27" t="s">
        <v>8</v>
      </c>
      <c r="CD648" s="27" t="s">
        <v>7</v>
      </c>
      <c r="CE648" s="27" t="s">
        <v>8</v>
      </c>
      <c r="CL648" s="27" t="s">
        <v>7</v>
      </c>
    </row>
    <row r="649" spans="1:95" x14ac:dyDescent="0.25">
      <c r="A649" s="7">
        <v>0.2929471995954156</v>
      </c>
      <c r="B649"/>
      <c r="C649"/>
      <c r="D649"/>
      <c r="E649"/>
      <c r="BJ649" s="27" t="s">
        <v>7</v>
      </c>
      <c r="BK649" s="27" t="s">
        <v>8</v>
      </c>
      <c r="BM649" s="27" t="s">
        <v>8</v>
      </c>
      <c r="BN649" s="27" t="s">
        <v>7</v>
      </c>
      <c r="BO649" s="27" t="s">
        <v>8</v>
      </c>
      <c r="BP649" s="27" t="s">
        <v>7</v>
      </c>
      <c r="BQ649" s="27" t="s">
        <v>8</v>
      </c>
      <c r="BR649" s="27" t="s">
        <v>7</v>
      </c>
      <c r="BS649" s="27" t="s">
        <v>8</v>
      </c>
      <c r="BT649" s="27" t="s">
        <v>7</v>
      </c>
      <c r="BU649" s="27" t="s">
        <v>8</v>
      </c>
      <c r="CB649" s="27" t="s">
        <v>7</v>
      </c>
      <c r="CC649" s="27" t="s">
        <v>8</v>
      </c>
      <c r="CD649" s="27" t="s">
        <v>7</v>
      </c>
      <c r="CE649" s="27" t="s">
        <v>8</v>
      </c>
    </row>
    <row r="650" spans="1:95" x14ac:dyDescent="0.25">
      <c r="A650" s="7">
        <v>0.28720313685825055</v>
      </c>
      <c r="B650"/>
      <c r="C650"/>
      <c r="D650"/>
      <c r="E650"/>
      <c r="BJ650" s="27" t="s">
        <v>7</v>
      </c>
      <c r="BK650" s="27" t="s">
        <v>8</v>
      </c>
      <c r="BL650" s="27" t="s">
        <v>7</v>
      </c>
      <c r="BM650" s="27" t="s">
        <v>8</v>
      </c>
      <c r="BN650" s="27" t="s">
        <v>7</v>
      </c>
      <c r="BO650" s="27" t="s">
        <v>8</v>
      </c>
      <c r="BP650" s="27" t="s">
        <v>7</v>
      </c>
      <c r="BQ650" s="27" t="s">
        <v>8</v>
      </c>
      <c r="BR650" s="27" t="s">
        <v>7</v>
      </c>
      <c r="BS650" s="27" t="s">
        <v>8</v>
      </c>
      <c r="BT650" s="27" t="s">
        <v>7</v>
      </c>
      <c r="CB650" s="27" t="s">
        <v>7</v>
      </c>
      <c r="CC650" s="27" t="s">
        <v>8</v>
      </c>
      <c r="CD650" s="27" t="s">
        <v>7</v>
      </c>
      <c r="CE650" s="27" t="s">
        <v>8</v>
      </c>
    </row>
    <row r="651" spans="1:95" x14ac:dyDescent="0.25">
      <c r="A651" s="7">
        <v>0.28157170280220645</v>
      </c>
      <c r="B651"/>
      <c r="C651"/>
      <c r="D651"/>
      <c r="E651"/>
      <c r="BJ651" s="27" t="s">
        <v>7</v>
      </c>
      <c r="BK651" s="27" t="s">
        <v>8</v>
      </c>
      <c r="BL651" s="27" t="s">
        <v>7</v>
      </c>
      <c r="BM651" s="27" t="s">
        <v>8</v>
      </c>
      <c r="BN651" s="27" t="s">
        <v>7</v>
      </c>
      <c r="BO651" s="27" t="s">
        <v>8</v>
      </c>
      <c r="BP651" s="27" t="s">
        <v>7</v>
      </c>
      <c r="BQ651" s="27" t="s">
        <v>8</v>
      </c>
      <c r="BR651" s="27" t="s">
        <v>7</v>
      </c>
      <c r="BS651" s="27" t="s">
        <v>8</v>
      </c>
      <c r="CB651" s="27" t="s">
        <v>7</v>
      </c>
      <c r="CD651" s="27" t="s">
        <v>7</v>
      </c>
      <c r="CE651" s="27" t="s">
        <v>8</v>
      </c>
    </row>
    <row r="652" spans="1:95" x14ac:dyDescent="0.25">
      <c r="A652" s="7">
        <v>0.27605068902177105</v>
      </c>
      <c r="B652"/>
      <c r="C652"/>
      <c r="D652"/>
      <c r="E652"/>
      <c r="BJ652" s="27" t="s">
        <v>7</v>
      </c>
      <c r="BK652" s="27" t="s">
        <v>8</v>
      </c>
      <c r="BL652" s="27" t="s">
        <v>7</v>
      </c>
      <c r="BM652" s="27" t="s">
        <v>8</v>
      </c>
      <c r="BN652" s="27" t="s">
        <v>7</v>
      </c>
      <c r="BO652" s="27" t="s">
        <v>8</v>
      </c>
      <c r="BP652" s="27" t="s">
        <v>7</v>
      </c>
      <c r="BR652" s="27" t="s">
        <v>7</v>
      </c>
      <c r="BS652" s="27" t="s">
        <v>8</v>
      </c>
      <c r="CD652" s="27" t="s">
        <v>7</v>
      </c>
    </row>
    <row r="653" spans="1:95" x14ac:dyDescent="0.25">
      <c r="A653" s="7">
        <v>0.27063793041350104</v>
      </c>
      <c r="B653"/>
      <c r="C653"/>
      <c r="D653"/>
      <c r="E653"/>
      <c r="BJ653" s="27" t="s">
        <v>7</v>
      </c>
      <c r="BK653" s="27" t="s">
        <v>8</v>
      </c>
      <c r="BL653" s="27" t="s">
        <v>7</v>
      </c>
      <c r="BM653" s="27" t="s">
        <v>8</v>
      </c>
      <c r="BN653" s="27" t="s">
        <v>7</v>
      </c>
      <c r="BO653" s="27" t="s">
        <v>8</v>
      </c>
      <c r="BR653" s="27" t="s">
        <v>7</v>
      </c>
      <c r="BS653" s="27" t="s">
        <v>8</v>
      </c>
    </row>
    <row r="654" spans="1:95" x14ac:dyDescent="0.25">
      <c r="A654" s="7">
        <v>0.26533130432696184</v>
      </c>
      <c r="B654"/>
      <c r="C654"/>
      <c r="D654"/>
      <c r="E654"/>
      <c r="BJ654" s="27" t="s">
        <v>7</v>
      </c>
      <c r="BK654" s="27" t="s">
        <v>8</v>
      </c>
      <c r="BL654" s="27" t="s">
        <v>7</v>
      </c>
      <c r="BM654" s="27" t="s">
        <v>8</v>
      </c>
      <c r="BN654" s="27" t="s">
        <v>7</v>
      </c>
      <c r="BO654" s="27" t="s">
        <v>8</v>
      </c>
      <c r="BR654" s="27" t="s">
        <v>7</v>
      </c>
      <c r="BS654" s="27" t="s">
        <v>8</v>
      </c>
    </row>
    <row r="655" spans="1:95" x14ac:dyDescent="0.25">
      <c r="A655" s="7">
        <v>0.26012872973231554</v>
      </c>
      <c r="B655"/>
      <c r="C655"/>
      <c r="D655"/>
      <c r="E655"/>
      <c r="BJ655" s="27" t="s">
        <v>7</v>
      </c>
      <c r="BK655" s="27" t="s">
        <v>8</v>
      </c>
      <c r="BL655" s="27" t="s">
        <v>7</v>
      </c>
      <c r="BM655" s="27" t="s">
        <v>8</v>
      </c>
      <c r="BN655" s="27" t="s">
        <v>7</v>
      </c>
      <c r="BO655" s="27" t="s">
        <v>8</v>
      </c>
      <c r="BR655" s="27" t="s">
        <v>7</v>
      </c>
      <c r="BS655" s="27" t="s">
        <v>8</v>
      </c>
    </row>
    <row r="656" spans="1:95" x14ac:dyDescent="0.25">
      <c r="A656" s="7">
        <v>0.25502816640423093</v>
      </c>
      <c r="B656"/>
      <c r="C656"/>
      <c r="D656"/>
      <c r="E656"/>
      <c r="BJ656" s="27" t="s">
        <v>7</v>
      </c>
      <c r="BK656" s="27" t="s">
        <v>8</v>
      </c>
      <c r="BL656" s="27" t="s">
        <v>7</v>
      </c>
      <c r="BM656" s="27" t="s">
        <v>8</v>
      </c>
      <c r="BN656" s="27" t="s">
        <v>7</v>
      </c>
      <c r="BO656" s="27" t="s">
        <v>8</v>
      </c>
      <c r="BR656" s="27" t="s">
        <v>7</v>
      </c>
      <c r="BS656" s="27" t="s">
        <v>8</v>
      </c>
    </row>
    <row r="657" spans="1:71" x14ac:dyDescent="0.25">
      <c r="A657" s="7">
        <v>0.25002761412179503</v>
      </c>
      <c r="B657"/>
      <c r="C657"/>
      <c r="D657"/>
      <c r="E657"/>
      <c r="BJ657" s="27" t="s">
        <v>7</v>
      </c>
      <c r="BK657" s="27" t="s">
        <v>8</v>
      </c>
      <c r="BL657" s="27" t="s">
        <v>7</v>
      </c>
      <c r="BM657" s="27" t="s">
        <v>8</v>
      </c>
      <c r="BN657" s="27" t="s">
        <v>7</v>
      </c>
      <c r="BO657" s="27" t="s">
        <v>8</v>
      </c>
      <c r="BR657" s="27" t="s">
        <v>7</v>
      </c>
      <c r="BS657" s="27" t="s">
        <v>8</v>
      </c>
    </row>
    <row r="658" spans="1:71" x14ac:dyDescent="0.25">
      <c r="A658" s="7">
        <v>0.24512511188411276</v>
      </c>
      <c r="B658"/>
      <c r="C658"/>
      <c r="D658"/>
      <c r="E658"/>
      <c r="BJ658" s="27" t="s">
        <v>7</v>
      </c>
      <c r="BK658" s="27" t="s">
        <v>8</v>
      </c>
      <c r="BL658" s="27" t="s">
        <v>7</v>
      </c>
      <c r="BM658" s="27" t="s">
        <v>8</v>
      </c>
      <c r="BN658" s="27" t="s">
        <v>7</v>
      </c>
      <c r="BR658" s="27" t="s">
        <v>7</v>
      </c>
      <c r="BS658" s="27" t="s">
        <v>8</v>
      </c>
    </row>
    <row r="659" spans="1:71" x14ac:dyDescent="0.25">
      <c r="A659" s="7">
        <v>0.24031873714128701</v>
      </c>
      <c r="B659"/>
      <c r="C659"/>
      <c r="D659"/>
      <c r="E659"/>
      <c r="BJ659" s="27" t="s">
        <v>7</v>
      </c>
      <c r="BK659" s="27" t="s">
        <v>8</v>
      </c>
      <c r="BL659" s="27" t="s">
        <v>7</v>
      </c>
      <c r="BM659" s="27" t="s">
        <v>8</v>
      </c>
      <c r="BR659" s="27" t="s">
        <v>7</v>
      </c>
    </row>
    <row r="660" spans="1:71" x14ac:dyDescent="0.25">
      <c r="A660" s="7">
        <v>0.23560660504047748</v>
      </c>
      <c r="B660"/>
      <c r="C660"/>
      <c r="D660"/>
      <c r="E660"/>
      <c r="BJ660" s="27" t="s">
        <v>7</v>
      </c>
      <c r="BK660" s="27" t="s">
        <v>8</v>
      </c>
      <c r="BL660" s="27" t="s">
        <v>7</v>
      </c>
      <c r="BM660" s="27" t="s">
        <v>8</v>
      </c>
    </row>
    <row r="661" spans="1:71" x14ac:dyDescent="0.25">
      <c r="A661" s="7">
        <v>0.23098686768674265</v>
      </c>
      <c r="B661"/>
      <c r="C661"/>
      <c r="D661"/>
      <c r="E661"/>
      <c r="BJ661" s="27" t="s">
        <v>7</v>
      </c>
      <c r="BK661" s="27" t="s">
        <v>8</v>
      </c>
      <c r="BL661" s="27" t="s">
        <v>7</v>
      </c>
      <c r="BM661" s="27" t="s">
        <v>8</v>
      </c>
    </row>
    <row r="662" spans="1:71" x14ac:dyDescent="0.25">
      <c r="A662" s="7">
        <v>0.22645771341837515</v>
      </c>
      <c r="B662"/>
      <c r="C662"/>
      <c r="D662"/>
      <c r="E662"/>
      <c r="BJ662" s="27" t="s">
        <v>7</v>
      </c>
      <c r="BK662" s="27" t="s">
        <v>8</v>
      </c>
      <c r="BL662" s="27" t="s">
        <v>7</v>
      </c>
      <c r="BM662" s="27" t="s">
        <v>8</v>
      </c>
    </row>
    <row r="663" spans="1:71" x14ac:dyDescent="0.25">
      <c r="A663" s="7">
        <v>0.22201736609644623</v>
      </c>
      <c r="B663"/>
      <c r="C663"/>
      <c r="D663"/>
      <c r="E663"/>
      <c r="BJ663" s="27" t="s">
        <v>7</v>
      </c>
      <c r="BK663" s="27" t="s">
        <v>8</v>
      </c>
      <c r="BL663" s="27" t="s">
        <v>7</v>
      </c>
      <c r="BM663" s="27" t="s">
        <v>8</v>
      </c>
    </row>
    <row r="664" spans="1:71" x14ac:dyDescent="0.25">
      <c r="A664" s="7">
        <v>0.21766408440828061</v>
      </c>
      <c r="B664"/>
      <c r="C664"/>
      <c r="D664"/>
      <c r="E664"/>
      <c r="BJ664" s="27" t="s">
        <v>7</v>
      </c>
      <c r="BK664" s="27" t="s">
        <v>8</v>
      </c>
      <c r="BL664" s="27" t="s">
        <v>7</v>
      </c>
      <c r="BM664" s="27" t="s">
        <v>8</v>
      </c>
    </row>
    <row r="665" spans="1:71" x14ac:dyDescent="0.25">
      <c r="A665" s="7">
        <v>0.21339616118458882</v>
      </c>
      <c r="B665"/>
      <c r="C665"/>
      <c r="D665"/>
      <c r="E665"/>
      <c r="BJ665" s="27" t="s">
        <v>7</v>
      </c>
      <c r="BK665" s="27" t="s">
        <v>8</v>
      </c>
      <c r="BL665" s="27" t="s">
        <v>7</v>
      </c>
      <c r="BM665" s="27" t="s">
        <v>8</v>
      </c>
    </row>
    <row r="666" spans="1:71" x14ac:dyDescent="0.25">
      <c r="A666" s="7">
        <v>0.20921192272998904</v>
      </c>
      <c r="B666"/>
      <c r="C666"/>
      <c r="D666"/>
      <c r="E666"/>
      <c r="BJ666" s="27" t="s">
        <v>7</v>
      </c>
      <c r="BK666" s="27" t="s">
        <v>8</v>
      </c>
      <c r="BL666" s="27" t="s">
        <v>7</v>
      </c>
      <c r="BM666" s="27" t="s">
        <v>8</v>
      </c>
    </row>
    <row r="667" spans="1:71" x14ac:dyDescent="0.25">
      <c r="A667" s="7">
        <v>0.20510972816665593</v>
      </c>
      <c r="B667"/>
      <c r="C667"/>
      <c r="D667"/>
      <c r="E667"/>
      <c r="BJ667" s="27" t="s">
        <v>7</v>
      </c>
      <c r="BK667" s="27" t="s">
        <v>8</v>
      </c>
      <c r="BL667" s="27" t="s">
        <v>7</v>
      </c>
      <c r="BM667" s="27" t="s">
        <v>8</v>
      </c>
    </row>
    <row r="668" spans="1:71" x14ac:dyDescent="0.25">
      <c r="A668" s="7">
        <v>0.20108796879083912</v>
      </c>
      <c r="B668"/>
      <c r="C668"/>
      <c r="D668"/>
      <c r="E668"/>
      <c r="BJ668" s="27" t="s">
        <v>7</v>
      </c>
      <c r="BK668" s="27" t="s">
        <v>8</v>
      </c>
      <c r="BL668" s="27" t="s">
        <v>7</v>
      </c>
      <c r="BM668" s="27" t="s">
        <v>8</v>
      </c>
    </row>
    <row r="669" spans="1:71" x14ac:dyDescent="0.25">
      <c r="A669" s="7">
        <v>0.19714506744199917</v>
      </c>
      <c r="B669"/>
      <c r="C669"/>
      <c r="D669"/>
      <c r="E669"/>
      <c r="BJ669" s="27" t="s">
        <v>7</v>
      </c>
      <c r="BK669" s="27" t="s">
        <v>8</v>
      </c>
      <c r="BL669" s="27" t="s">
        <v>7</v>
      </c>
      <c r="BM669" s="27" t="s">
        <v>8</v>
      </c>
    </row>
    <row r="670" spans="1:71" x14ac:dyDescent="0.25">
      <c r="A670" s="7">
        <v>0.19327947788431293</v>
      </c>
      <c r="B670"/>
      <c r="C670"/>
      <c r="D670"/>
      <c r="E670"/>
      <c r="BJ670" s="27" t="s">
        <v>7</v>
      </c>
      <c r="BK670" s="27" t="s">
        <v>8</v>
      </c>
      <c r="BL670" s="27" t="s">
        <v>7</v>
      </c>
      <c r="BM670" s="27" t="s">
        <v>8</v>
      </c>
    </row>
    <row r="671" spans="1:71" x14ac:dyDescent="0.25">
      <c r="A671" s="7">
        <v>0.18948968420030682</v>
      </c>
      <c r="B671"/>
      <c r="C671"/>
      <c r="D671"/>
      <c r="E671"/>
      <c r="BJ671" s="27" t="s">
        <v>7</v>
      </c>
      <c r="BK671" s="27" t="s">
        <v>8</v>
      </c>
      <c r="BL671" s="27" t="s">
        <v>7</v>
      </c>
      <c r="BM671" s="27" t="s">
        <v>8</v>
      </c>
    </row>
    <row r="672" spans="1:71" x14ac:dyDescent="0.25">
      <c r="A672" s="7">
        <v>0.18577420019637925</v>
      </c>
      <c r="B672"/>
      <c r="C672"/>
      <c r="D672"/>
      <c r="E672"/>
      <c r="BJ672" s="27" t="s">
        <v>7</v>
      </c>
      <c r="BK672" s="27" t="s">
        <v>8</v>
      </c>
      <c r="BL672" s="27" t="s">
        <v>7</v>
      </c>
      <c r="BM672" s="27" t="s">
        <v>8</v>
      </c>
    </row>
    <row r="673" spans="1:64" x14ac:dyDescent="0.25">
      <c r="A673" s="7">
        <v>0.18213156881997963</v>
      </c>
      <c r="B673"/>
      <c r="C673"/>
      <c r="D673"/>
      <c r="E673"/>
      <c r="BJ673" s="27" t="s">
        <v>7</v>
      </c>
      <c r="BK673" s="27" t="s">
        <v>8</v>
      </c>
      <c r="BL673" s="27" t="s">
        <v>7</v>
      </c>
    </row>
    <row r="674" spans="1:64" x14ac:dyDescent="0.25">
      <c r="A674" s="7">
        <v>0.17856036158821534</v>
      </c>
      <c r="B674"/>
      <c r="C674"/>
      <c r="D674"/>
      <c r="E674"/>
      <c r="BJ674" s="27" t="s">
        <v>7</v>
      </c>
      <c r="BK674" s="27" t="s">
        <v>8</v>
      </c>
    </row>
    <row r="675" spans="1:64" x14ac:dyDescent="0.25">
      <c r="A675" s="7">
        <v>0.17505917802766208</v>
      </c>
      <c r="B675"/>
      <c r="C675"/>
      <c r="D675"/>
      <c r="E675"/>
      <c r="BJ675" s="27" t="s">
        <v>7</v>
      </c>
      <c r="BK675" s="27" t="s">
        <v>8</v>
      </c>
    </row>
    <row r="676" spans="1:64" x14ac:dyDescent="0.25">
      <c r="A676" s="7">
        <v>0.17162664512515888</v>
      </c>
      <c r="B676"/>
      <c r="C676"/>
      <c r="D676"/>
      <c r="E676"/>
      <c r="BJ676" s="27" t="s">
        <v>7</v>
      </c>
      <c r="BK676" s="27" t="s">
        <v>8</v>
      </c>
    </row>
    <row r="677" spans="1:64" x14ac:dyDescent="0.25">
      <c r="A677" s="7">
        <v>0.16826141678937145</v>
      </c>
      <c r="B677"/>
      <c r="C677"/>
      <c r="D677"/>
      <c r="E677"/>
      <c r="BJ677" s="27" t="s">
        <v>7</v>
      </c>
      <c r="BK677" s="27" t="s">
        <v>8</v>
      </c>
    </row>
    <row r="678" spans="1:64" x14ac:dyDescent="0.25">
      <c r="A678" s="7">
        <v>0.16496217332291319</v>
      </c>
      <c r="B678"/>
      <c r="C678"/>
      <c r="D678"/>
      <c r="E678"/>
      <c r="BJ678" s="27" t="s">
        <v>7</v>
      </c>
      <c r="BK678" s="27" t="s">
        <v>8</v>
      </c>
    </row>
    <row r="679" spans="1:64" x14ac:dyDescent="0.25">
      <c r="A679" s="7">
        <v>0.16172762090481685</v>
      </c>
      <c r="B679"/>
      <c r="C679"/>
      <c r="D679"/>
      <c r="E679"/>
      <c r="BJ679" s="27" t="s">
        <v>7</v>
      </c>
      <c r="BK679" s="27" t="s">
        <v>8</v>
      </c>
    </row>
    <row r="680" spans="1:64" x14ac:dyDescent="0.25">
      <c r="A680" s="7">
        <v>0.15855649108315376</v>
      </c>
      <c r="B680"/>
      <c r="C680"/>
      <c r="D680"/>
      <c r="E680"/>
      <c r="BJ680" s="27" t="s">
        <v>7</v>
      </c>
      <c r="BK680" s="27" t="s">
        <v>8</v>
      </c>
    </row>
    <row r="681" spans="1:64" x14ac:dyDescent="0.25">
      <c r="A681" s="7">
        <v>0.15544754027760171</v>
      </c>
      <c r="B681"/>
      <c r="C681"/>
      <c r="D681"/>
      <c r="E681"/>
      <c r="BJ681" s="27" t="s">
        <v>7</v>
      </c>
      <c r="BK681" s="27" t="s">
        <v>8</v>
      </c>
    </row>
    <row r="682" spans="1:64" x14ac:dyDescent="0.25">
      <c r="A682" s="7">
        <v>0.15239954929176638</v>
      </c>
      <c r="B682"/>
      <c r="C682"/>
      <c r="D682"/>
      <c r="E682"/>
      <c r="BJ682" s="27" t="s">
        <v>7</v>
      </c>
      <c r="BK682" s="27" t="s">
        <v>8</v>
      </c>
    </row>
    <row r="683" spans="1:64" x14ac:dyDescent="0.25">
      <c r="A683" s="7">
        <v>0.14941132283506509</v>
      </c>
      <c r="B683"/>
      <c r="C683"/>
      <c r="D683"/>
      <c r="E683"/>
      <c r="BJ683" s="27" t="s">
        <v>7</v>
      </c>
      <c r="BK683" s="27" t="s">
        <v>8</v>
      </c>
    </row>
    <row r="684" spans="1:64" x14ac:dyDescent="0.25">
      <c r="A684" s="7">
        <v>0.14648168905398537</v>
      </c>
      <c r="B684"/>
      <c r="C684"/>
      <c r="D684"/>
      <c r="E684"/>
      <c r="BJ684" s="27" t="s">
        <v>7</v>
      </c>
      <c r="BK684" s="27" t="s">
        <v>8</v>
      </c>
    </row>
    <row r="685" spans="1:64" x14ac:dyDescent="0.25">
      <c r="A685" s="7">
        <v>0.14360949907253467</v>
      </c>
      <c r="B685"/>
      <c r="C685"/>
      <c r="D685"/>
      <c r="E685"/>
      <c r="BJ685" s="27" t="s">
        <v>7</v>
      </c>
      <c r="BK685" s="27" t="s">
        <v>8</v>
      </c>
    </row>
    <row r="686" spans="1:64" x14ac:dyDescent="0.25">
      <c r="A686" s="7">
        <v>0.14079362654170066</v>
      </c>
      <c r="B686"/>
      <c r="C686"/>
      <c r="D686"/>
      <c r="E686"/>
      <c r="BJ686" s="27" t="s">
        <v>7</v>
      </c>
      <c r="BK686" s="27" t="s">
        <v>8</v>
      </c>
    </row>
    <row r="687" spans="1:64" x14ac:dyDescent="0.25">
      <c r="A687" s="7">
        <v>0.13803296719774574</v>
      </c>
      <c r="B687"/>
      <c r="C687"/>
      <c r="D687"/>
      <c r="E687"/>
      <c r="BJ687" s="27" t="s">
        <v>7</v>
      </c>
      <c r="BK687" s="27" t="s">
        <v>8</v>
      </c>
    </row>
    <row r="688" spans="1:64" x14ac:dyDescent="0.25">
      <c r="A688" s="7">
        <v>0.1353264384291625</v>
      </c>
      <c r="B688"/>
      <c r="C688"/>
      <c r="D688"/>
      <c r="E688"/>
      <c r="BJ688" s="27" t="s">
        <v>7</v>
      </c>
      <c r="BK688" s="27" t="s">
        <v>8</v>
      </c>
    </row>
    <row r="689" spans="1:63" x14ac:dyDescent="0.25">
      <c r="A689" s="7">
        <v>0.13267297885212009</v>
      </c>
      <c r="B689"/>
      <c r="C689"/>
      <c r="D689"/>
      <c r="E689"/>
      <c r="BJ689" s="27" t="s">
        <v>7</v>
      </c>
      <c r="BK689" s="27" t="s">
        <v>8</v>
      </c>
    </row>
    <row r="690" spans="1:63" x14ac:dyDescent="0.25">
      <c r="A690" s="7">
        <v>0.13007154789423539</v>
      </c>
      <c r="B690"/>
      <c r="C690"/>
      <c r="D690"/>
      <c r="E690"/>
      <c r="BJ690" s="27" t="s">
        <v>7</v>
      </c>
      <c r="BK690" s="27" t="s">
        <v>8</v>
      </c>
    </row>
    <row r="691" spans="1:63" x14ac:dyDescent="0.25">
      <c r="A691" s="7">
        <v>0.12752112538650529</v>
      </c>
      <c r="B691"/>
      <c r="C691"/>
      <c r="D691"/>
      <c r="E691"/>
      <c r="BJ691" s="27" t="s">
        <v>7</v>
      </c>
      <c r="BK691" s="27" t="s">
        <v>8</v>
      </c>
    </row>
    <row r="692" spans="1:63" x14ac:dyDescent="0.25">
      <c r="A692" s="7">
        <v>0.12502071116324048</v>
      </c>
      <c r="B692"/>
      <c r="C692"/>
      <c r="D692"/>
      <c r="E692"/>
      <c r="BJ692" s="27" t="s">
        <v>7</v>
      </c>
      <c r="BK692" s="27" t="s">
        <v>8</v>
      </c>
    </row>
    <row r="693" spans="1:63" x14ac:dyDescent="0.25">
      <c r="A693" s="7">
        <v>0.1225693246698436</v>
      </c>
      <c r="B693"/>
      <c r="C693"/>
      <c r="D693"/>
      <c r="E693"/>
      <c r="BJ693" s="27" t="s">
        <v>7</v>
      </c>
      <c r="BK693" s="27" t="s">
        <v>8</v>
      </c>
    </row>
    <row r="694" spans="1:63" x14ac:dyDescent="0.25">
      <c r="A694" s="7">
        <v>0.12016600457827803</v>
      </c>
      <c r="B694"/>
      <c r="C694"/>
      <c r="D694"/>
      <c r="E694"/>
      <c r="BJ694" s="27" t="s">
        <v>7</v>
      </c>
      <c r="BK694" s="27" t="s">
        <v>8</v>
      </c>
    </row>
    <row r="695" spans="1:63" x14ac:dyDescent="0.25">
      <c r="A695" s="7">
        <v>0.1178098084100765</v>
      </c>
      <c r="B695"/>
      <c r="C695"/>
      <c r="D695"/>
      <c r="E695"/>
      <c r="BJ695" s="27" t="s">
        <v>7</v>
      </c>
      <c r="BK695" s="27" t="s">
        <v>8</v>
      </c>
    </row>
    <row r="696" spans="1:63" x14ac:dyDescent="0.25">
      <c r="A696" s="7">
        <v>0.11549981216674166</v>
      </c>
      <c r="B696"/>
      <c r="C696"/>
      <c r="D696"/>
      <c r="E696"/>
      <c r="BJ696" s="27" t="s">
        <v>7</v>
      </c>
      <c r="BK696" s="27" t="s">
        <v>8</v>
      </c>
    </row>
    <row r="697" spans="1:63" x14ac:dyDescent="0.25">
      <c r="A697" s="7">
        <v>0.11323510996739378</v>
      </c>
      <c r="B697"/>
      <c r="C697"/>
      <c r="D697"/>
      <c r="E697"/>
      <c r="BJ697" s="27" t="s">
        <v>7</v>
      </c>
      <c r="BK697" s="27" t="s">
        <v>8</v>
      </c>
    </row>
    <row r="698" spans="1:63" x14ac:dyDescent="0.25">
      <c r="A698" s="7">
        <v>0.11101481369352331</v>
      </c>
      <c r="B698"/>
      <c r="C698"/>
      <c r="D698"/>
      <c r="E698"/>
      <c r="BJ698" s="27" t="s">
        <v>7</v>
      </c>
      <c r="BK698" s="27" t="s">
        <v>8</v>
      </c>
    </row>
    <row r="699" spans="1:63" x14ac:dyDescent="0.25">
      <c r="A699" s="7">
        <v>0.10883805264070913</v>
      </c>
      <c r="B699"/>
      <c r="C699"/>
      <c r="D699"/>
      <c r="E699"/>
      <c r="BJ699" s="27" t="s">
        <v>7</v>
      </c>
      <c r="BK699" s="27" t="s">
        <v>8</v>
      </c>
    </row>
    <row r="700" spans="1:63" x14ac:dyDescent="0.25">
      <c r="A700" s="7">
        <v>0.10670397317716582</v>
      </c>
      <c r="B700"/>
      <c r="C700"/>
      <c r="D700"/>
      <c r="E700"/>
      <c r="BJ700" s="27" t="s">
        <v>7</v>
      </c>
      <c r="BK700" s="27" t="s">
        <v>8</v>
      </c>
    </row>
    <row r="701" spans="1:63" x14ac:dyDescent="0.25">
      <c r="A701" s="7">
        <v>0.1046117384089861</v>
      </c>
      <c r="B701"/>
      <c r="C701"/>
      <c r="D701"/>
      <c r="E701"/>
      <c r="BJ701" s="27" t="s">
        <v>7</v>
      </c>
      <c r="BK701" s="27" t="s">
        <v>8</v>
      </c>
    </row>
    <row r="702" spans="1:63" x14ac:dyDescent="0.25">
      <c r="A702" s="7">
        <v>0.10256052785194716</v>
      </c>
      <c r="B702"/>
      <c r="C702"/>
      <c r="D702"/>
      <c r="E702"/>
      <c r="BJ702" s="27" t="s">
        <v>7</v>
      </c>
      <c r="BK702" s="27" t="s">
        <v>8</v>
      </c>
    </row>
    <row r="703" spans="1:63" x14ac:dyDescent="0.25">
      <c r="A703" s="7">
        <v>0.10054953710975212</v>
      </c>
      <c r="B703"/>
      <c r="C703"/>
      <c r="D703"/>
      <c r="E703"/>
      <c r="BJ703" s="27" t="s">
        <v>7</v>
      </c>
      <c r="BK703" s="27" t="s">
        <v>8</v>
      </c>
    </row>
    <row r="704" spans="1:63" x14ac:dyDescent="0.25">
      <c r="A704" s="7">
        <v>9.8577977558580512E-2</v>
      </c>
      <c r="B704"/>
      <c r="C704"/>
      <c r="D704"/>
      <c r="E704"/>
      <c r="BJ704" s="27" t="s">
        <v>7</v>
      </c>
      <c r="BK704" s="27" t="s">
        <v>8</v>
      </c>
    </row>
    <row r="705" spans="1:63" x14ac:dyDescent="0.25">
      <c r="A705" s="7">
        <v>9.6645076037824032E-2</v>
      </c>
      <c r="B705"/>
      <c r="C705"/>
      <c r="D705"/>
      <c r="E705"/>
      <c r="BJ705" s="27" t="s">
        <v>7</v>
      </c>
      <c r="BK705" s="27" t="s">
        <v>8</v>
      </c>
    </row>
    <row r="706" spans="1:63" x14ac:dyDescent="0.25">
      <c r="A706" s="7">
        <v>9.4750074546886304E-2</v>
      </c>
      <c r="B706"/>
      <c r="C706"/>
      <c r="D706"/>
      <c r="E706"/>
      <c r="BJ706" s="27" t="s">
        <v>7</v>
      </c>
      <c r="BK706" s="27" t="s">
        <v>8</v>
      </c>
    </row>
    <row r="707" spans="1:63" x14ac:dyDescent="0.25">
      <c r="A707" s="7">
        <v>9.2892229947927743E-2</v>
      </c>
      <c r="B707"/>
      <c r="C707"/>
      <c r="D707"/>
      <c r="E707"/>
      <c r="BJ707" s="27" t="s">
        <v>7</v>
      </c>
      <c r="BK707" s="27" t="s">
        <v>8</v>
      </c>
    </row>
    <row r="708" spans="1:63" x14ac:dyDescent="0.25">
      <c r="A708" s="7">
        <v>9.1070813674438963E-2</v>
      </c>
      <c r="B708"/>
      <c r="C708"/>
      <c r="D708"/>
      <c r="E708"/>
      <c r="BJ708" s="27" t="s">
        <v>7</v>
      </c>
      <c r="BK708" s="27" t="s">
        <v>8</v>
      </c>
    </row>
    <row r="709" spans="1:63" x14ac:dyDescent="0.25">
      <c r="A709" s="7">
        <v>8.9285111445528392E-2</v>
      </c>
      <c r="B709"/>
      <c r="C709"/>
      <c r="D709"/>
      <c r="E709"/>
      <c r="BJ709" s="27" t="s">
        <v>7</v>
      </c>
      <c r="BK709" s="27" t="s">
        <v>8</v>
      </c>
    </row>
    <row r="710" spans="1:63" x14ac:dyDescent="0.25">
      <c r="A710" s="7">
        <v>8.7534422985812155E-2</v>
      </c>
      <c r="B710"/>
      <c r="C710"/>
      <c r="D710"/>
      <c r="E710"/>
      <c r="BJ710" s="27" t="s">
        <v>7</v>
      </c>
      <c r="BK710" s="27" t="s">
        <v>8</v>
      </c>
    </row>
    <row r="711" spans="1:63" x14ac:dyDescent="0.25">
      <c r="A711" s="7">
        <v>8.5818061750796232E-2</v>
      </c>
      <c r="B711"/>
      <c r="C711"/>
      <c r="D711"/>
      <c r="E711"/>
      <c r="BJ711" s="27" t="s">
        <v>7</v>
      </c>
      <c r="BK711" s="27" t="s">
        <v>8</v>
      </c>
    </row>
    <row r="712" spans="1:63" x14ac:dyDescent="0.25">
      <c r="A712" s="7">
        <v>8.4135354657643366E-2</v>
      </c>
      <c r="B712"/>
      <c r="C712"/>
      <c r="D712"/>
      <c r="E712"/>
      <c r="BJ712" s="27" t="s">
        <v>7</v>
      </c>
      <c r="BK712" s="27" t="s">
        <v>8</v>
      </c>
    </row>
    <row r="713" spans="1:63" x14ac:dyDescent="0.25">
      <c r="A713" s="7">
        <v>8.248564182121898E-2</v>
      </c>
      <c r="B713"/>
      <c r="C713"/>
      <c r="D713"/>
      <c r="E713"/>
      <c r="BJ713" s="27" t="s">
        <v>7</v>
      </c>
      <c r="BK713" s="27" t="s">
        <v>8</v>
      </c>
    </row>
    <row r="714" spans="1:63" x14ac:dyDescent="0.25">
      <c r="A714" s="7">
        <v>8.0868276295312735E-2</v>
      </c>
      <c r="B714"/>
      <c r="C714"/>
      <c r="D714"/>
      <c r="E714"/>
      <c r="BJ714" s="27" t="s">
        <v>7</v>
      </c>
      <c r="BK714" s="27" t="s">
        <v>8</v>
      </c>
    </row>
    <row r="715" spans="1:63" x14ac:dyDescent="0.25">
      <c r="A715" s="7">
        <v>7.9282623818934056E-2</v>
      </c>
      <c r="B715"/>
      <c r="C715"/>
      <c r="D715"/>
      <c r="E715"/>
      <c r="BJ715" s="27" t="s">
        <v>7</v>
      </c>
      <c r="BK715" s="27" t="s">
        <v>8</v>
      </c>
    </row>
    <row r="716" spans="1:63" x14ac:dyDescent="0.25">
      <c r="A716" s="7">
        <v>7.7728062567582412E-2</v>
      </c>
      <c r="B716"/>
      <c r="C716"/>
      <c r="D716"/>
      <c r="E716"/>
      <c r="BJ716" s="27" t="s">
        <v>7</v>
      </c>
      <c r="BK716" s="27" t="s">
        <v>8</v>
      </c>
    </row>
    <row r="717" spans="1:63" x14ac:dyDescent="0.25">
      <c r="A717" s="7">
        <v>7.6203982909394521E-2</v>
      </c>
      <c r="B717"/>
      <c r="C717"/>
      <c r="D717"/>
      <c r="E717"/>
      <c r="BJ717" s="27" t="s">
        <v>7</v>
      </c>
      <c r="BK717" s="27" t="s">
        <v>8</v>
      </c>
    </row>
    <row r="718" spans="1:63" x14ac:dyDescent="0.25">
      <c r="A718" s="7">
        <v>7.4709787166073058E-2</v>
      </c>
      <c r="B718"/>
      <c r="C718"/>
      <c r="D718"/>
      <c r="E718"/>
      <c r="BJ718" s="27" t="s">
        <v>7</v>
      </c>
      <c r="BK718" s="27" t="s">
        <v>8</v>
      </c>
    </row>
    <row r="719" spans="1:63" x14ac:dyDescent="0.25">
      <c r="A719" s="7">
        <v>7.3244889378503E-2</v>
      </c>
      <c r="B719"/>
      <c r="C719"/>
      <c r="D719"/>
      <c r="E719"/>
      <c r="BJ719" s="27" t="s">
        <v>7</v>
      </c>
      <c r="BK719" s="27" t="s">
        <v>8</v>
      </c>
    </row>
    <row r="720" spans="1:63" x14ac:dyDescent="0.25">
      <c r="A720" s="7">
        <v>7.1808715076963722E-2</v>
      </c>
      <c r="B720"/>
      <c r="C720"/>
      <c r="D720"/>
      <c r="E720"/>
      <c r="BJ720" s="27" t="s">
        <v>7</v>
      </c>
      <c r="BK720" s="27" t="s">
        <v>8</v>
      </c>
    </row>
    <row r="721" spans="1:63" x14ac:dyDescent="0.25">
      <c r="A721" s="7">
        <v>7.0400701055846782E-2</v>
      </c>
      <c r="B721"/>
      <c r="C721"/>
      <c r="D721"/>
      <c r="E721"/>
      <c r="BJ721" s="27" t="s">
        <v>7</v>
      </c>
      <c r="BK721" s="27" t="s">
        <v>8</v>
      </c>
    </row>
    <row r="722" spans="1:63" x14ac:dyDescent="0.25">
      <c r="A722" s="7">
        <v>6.9020295152790956E-2</v>
      </c>
      <c r="B722"/>
      <c r="C722"/>
      <c r="D722"/>
      <c r="E722"/>
      <c r="BJ722" s="27" t="s">
        <v>7</v>
      </c>
      <c r="BK722" s="27" t="s">
        <v>8</v>
      </c>
    </row>
    <row r="723" spans="1:63" x14ac:dyDescent="0.25">
      <c r="A723" s="7">
        <v>6.7666956032147993E-2</v>
      </c>
      <c r="B723"/>
      <c r="C723"/>
      <c r="D723"/>
      <c r="E723"/>
      <c r="BJ723" s="27" t="s">
        <v>7</v>
      </c>
      <c r="BK723" s="27" t="s">
        <v>8</v>
      </c>
    </row>
    <row r="724" spans="1:63" x14ac:dyDescent="0.25">
      <c r="A724" s="7">
        <v>6.6340152972694105E-2</v>
      </c>
      <c r="B724"/>
      <c r="C724"/>
      <c r="D724"/>
      <c r="E724"/>
      <c r="BJ724" s="27" t="s">
        <v>7</v>
      </c>
      <c r="BK724" s="27" t="s">
        <v>8</v>
      </c>
    </row>
    <row r="725" spans="1:63" x14ac:dyDescent="0.25">
      <c r="A725" s="7">
        <v>6.5039365659504023E-2</v>
      </c>
      <c r="B725"/>
      <c r="C725"/>
      <c r="D725"/>
      <c r="E725"/>
      <c r="BJ725" s="27" t="s">
        <v>7</v>
      </c>
      <c r="BK725" s="27" t="s">
        <v>8</v>
      </c>
    </row>
    <row r="726" spans="1:63" x14ac:dyDescent="0.25">
      <c r="A726" s="7">
        <v>6.3764083979905906E-2</v>
      </c>
      <c r="B726"/>
      <c r="C726"/>
      <c r="D726"/>
      <c r="E726"/>
      <c r="BJ726" s="27" t="s">
        <v>7</v>
      </c>
      <c r="BK726" s="27" t="s">
        <v>8</v>
      </c>
    </row>
    <row r="727" spans="1:63" x14ac:dyDescent="0.25">
      <c r="A727" s="7">
        <v>6.251380782343717E-2</v>
      </c>
      <c r="B727"/>
      <c r="C727"/>
      <c r="D727"/>
      <c r="E727"/>
      <c r="BJ727" s="27" t="s">
        <v>7</v>
      </c>
      <c r="BK727" s="27" t="s">
        <v>8</v>
      </c>
    </row>
    <row r="728" spans="1:63" x14ac:dyDescent="0.25">
      <c r="A728" s="7">
        <v>6.1288046885722716E-2</v>
      </c>
      <c r="B728"/>
      <c r="C728"/>
      <c r="D728"/>
      <c r="E728"/>
      <c r="BJ728" s="27" t="s">
        <v>7</v>
      </c>
      <c r="BK728" s="27" t="s">
        <v>8</v>
      </c>
    </row>
    <row r="729" spans="1:63" x14ac:dyDescent="0.25">
      <c r="A729" s="7">
        <v>6.0086320476198739E-2</v>
      </c>
      <c r="B729"/>
      <c r="C729"/>
      <c r="D729"/>
      <c r="E729"/>
      <c r="BJ729" s="27" t="s">
        <v>7</v>
      </c>
      <c r="BK729" s="27" t="s">
        <v>8</v>
      </c>
    </row>
    <row r="730" spans="1:63" x14ac:dyDescent="0.25">
      <c r="A730" s="7">
        <v>5.8908157329606609E-2</v>
      </c>
      <c r="B730"/>
      <c r="C730"/>
      <c r="D730"/>
      <c r="E730"/>
      <c r="BJ730" s="27" t="s">
        <v>7</v>
      </c>
      <c r="BK730" s="27" t="s">
        <v>8</v>
      </c>
    </row>
    <row r="731" spans="1:63" x14ac:dyDescent="0.25">
      <c r="A731" s="7">
        <v>5.7753095421182947E-2</v>
      </c>
      <c r="B731"/>
      <c r="C731"/>
      <c r="D731"/>
      <c r="E731"/>
      <c r="BJ731" s="27" t="s">
        <v>7</v>
      </c>
      <c r="BK731" s="27" t="s">
        <v>8</v>
      </c>
    </row>
    <row r="732" spans="1:63" x14ac:dyDescent="0.25">
      <c r="A732" s="7">
        <v>5.6620681785473484E-2</v>
      </c>
      <c r="B732"/>
      <c r="C732"/>
      <c r="D732"/>
      <c r="E732"/>
      <c r="BJ732" s="27" t="s">
        <v>7</v>
      </c>
      <c r="BK732" s="27" t="s">
        <v>8</v>
      </c>
    </row>
    <row r="733" spans="1:63" x14ac:dyDescent="0.25">
      <c r="A733" s="7">
        <v>5.5510472338699497E-2</v>
      </c>
      <c r="B733"/>
      <c r="C733"/>
      <c r="D733"/>
      <c r="E733"/>
      <c r="BJ733" s="27" t="s">
        <v>7</v>
      </c>
      <c r="BK733" s="27" t="s">
        <v>8</v>
      </c>
    </row>
    <row r="734" spans="1:63" x14ac:dyDescent="0.25">
      <c r="A734" s="7">
        <v>5.4422031704607354E-2</v>
      </c>
      <c r="B734"/>
      <c r="C734"/>
      <c r="D734"/>
      <c r="E734"/>
      <c r="BJ734" s="27" t="s">
        <v>7</v>
      </c>
      <c r="BK734" s="27" t="s">
        <v>8</v>
      </c>
    </row>
    <row r="735" spans="1:63" x14ac:dyDescent="0.25">
      <c r="A735" s="7">
        <v>5.3354933043732705E-2</v>
      </c>
      <c r="B735"/>
      <c r="C735"/>
      <c r="D735"/>
      <c r="E735"/>
      <c r="BJ735" s="27" t="s">
        <v>7</v>
      </c>
      <c r="BK735" s="27" t="s">
        <v>8</v>
      </c>
    </row>
    <row r="736" spans="1:63" x14ac:dyDescent="0.25">
      <c r="A736" s="7">
        <v>5.2308757886012455E-2</v>
      </c>
      <c r="B736"/>
      <c r="C736"/>
      <c r="D736"/>
      <c r="E736"/>
      <c r="BJ736" s="27" t="s">
        <v>7</v>
      </c>
      <c r="BK736" s="27" t="s">
        <v>8</v>
      </c>
    </row>
    <row r="737" spans="1:63" x14ac:dyDescent="0.25">
      <c r="A737" s="7">
        <v>5.1283095966678877E-2</v>
      </c>
      <c r="B737"/>
      <c r="C737"/>
      <c r="D737"/>
      <c r="E737"/>
      <c r="BJ737" s="27" t="s">
        <v>7</v>
      </c>
      <c r="BK737" s="27" t="s">
        <v>8</v>
      </c>
    </row>
    <row r="738" spans="1:63" x14ac:dyDescent="0.25">
      <c r="A738" s="7">
        <v>5.0277545065371444E-2</v>
      </c>
      <c r="B738"/>
      <c r="C738"/>
      <c r="D738"/>
      <c r="E738"/>
      <c r="BJ738" s="27" t="s">
        <v>7</v>
      </c>
      <c r="BK738" s="27" t="s">
        <v>8</v>
      </c>
    </row>
    <row r="739" spans="1:63" x14ac:dyDescent="0.25">
      <c r="A739" s="7">
        <v>4.9291710848403378E-2</v>
      </c>
      <c r="B739"/>
      <c r="C739"/>
      <c r="D739"/>
      <c r="E739"/>
      <c r="BJ739" s="27" t="s">
        <v>7</v>
      </c>
      <c r="BK739" s="27" t="s">
        <v>8</v>
      </c>
    </row>
    <row r="740" spans="1:63" x14ac:dyDescent="0.25">
      <c r="A740" s="7">
        <v>4.8325206714120959E-2</v>
      </c>
      <c r="B740"/>
      <c r="C740"/>
      <c r="D740"/>
      <c r="E740"/>
      <c r="BJ740" s="27" t="s">
        <v>7</v>
      </c>
      <c r="BK740" s="27" t="s">
        <v>8</v>
      </c>
    </row>
    <row r="741" spans="1:63" x14ac:dyDescent="0.25">
      <c r="A741" s="7">
        <v>4.7377653641295057E-2</v>
      </c>
      <c r="B741"/>
      <c r="C741"/>
      <c r="D741"/>
      <c r="E741"/>
      <c r="BJ741" s="27" t="s">
        <v>7</v>
      </c>
      <c r="BK741" s="27" t="s">
        <v>8</v>
      </c>
    </row>
    <row r="742" spans="1:63" x14ac:dyDescent="0.25">
      <c r="A742" s="7">
        <v>4.644868004048535E-2</v>
      </c>
      <c r="B742"/>
      <c r="C742"/>
      <c r="D742"/>
      <c r="E742"/>
      <c r="BJ742" s="27" t="s">
        <v>7</v>
      </c>
      <c r="BK742" s="27" t="s">
        <v>8</v>
      </c>
    </row>
    <row r="743" spans="1:63" x14ac:dyDescent="0.25">
      <c r="A743" s="7">
        <v>4.5537921608318974E-2</v>
      </c>
      <c r="B743"/>
      <c r="C743"/>
      <c r="D743"/>
      <c r="E743"/>
      <c r="BJ743" s="27" t="s">
        <v>7</v>
      </c>
      <c r="BK743" s="27" t="s">
        <v>8</v>
      </c>
    </row>
    <row r="744" spans="1:63" x14ac:dyDescent="0.25">
      <c r="A744" s="7">
        <v>4.4645021184626446E-2</v>
      </c>
      <c r="B744"/>
      <c r="C744"/>
      <c r="D744"/>
      <c r="E744"/>
      <c r="BJ744" s="27" t="s">
        <v>7</v>
      </c>
      <c r="BK744" s="27" t="s">
        <v>8</v>
      </c>
    </row>
    <row r="745" spans="1:63" x14ac:dyDescent="0.25">
      <c r="A745" s="7">
        <v>4.3769628612378868E-2</v>
      </c>
      <c r="B745"/>
      <c r="C745"/>
      <c r="D745"/>
      <c r="E745"/>
      <c r="BJ745" s="27" t="s">
        <v>7</v>
      </c>
      <c r="BK745" s="27" t="s">
        <v>8</v>
      </c>
    </row>
    <row r="746" spans="1:63" x14ac:dyDescent="0.25">
      <c r="A746" s="7">
        <v>4.2911400600371442E-2</v>
      </c>
      <c r="B746"/>
      <c r="C746"/>
      <c r="D746"/>
      <c r="E746"/>
      <c r="BJ746" s="27" t="s">
        <v>7</v>
      </c>
      <c r="BK746" s="27" t="s">
        <v>8</v>
      </c>
    </row>
    <row r="747" spans="1:63" x14ac:dyDescent="0.25">
      <c r="A747" s="7">
        <v>4.2070000588599457E-2</v>
      </c>
      <c r="B747"/>
      <c r="C747"/>
      <c r="D747"/>
      <c r="E747"/>
      <c r="BJ747" s="27" t="s">
        <v>7</v>
      </c>
      <c r="BK747" s="27" t="s">
        <v>8</v>
      </c>
    </row>
    <row r="748" spans="1:63" x14ac:dyDescent="0.25">
      <c r="A748" s="7">
        <v>4.1245098616273977E-2</v>
      </c>
      <c r="B748"/>
      <c r="C748"/>
      <c r="D748"/>
      <c r="E748"/>
      <c r="BJ748" s="27" t="s">
        <v>7</v>
      </c>
      <c r="BK748" s="27" t="s">
        <v>8</v>
      </c>
    </row>
    <row r="749" spans="1:63" x14ac:dyDescent="0.25">
      <c r="A749" s="7">
        <v>4.043637119242547E-2</v>
      </c>
      <c r="B749"/>
      <c r="C749"/>
      <c r="D749"/>
      <c r="E749"/>
      <c r="BJ749" s="27" t="s">
        <v>7</v>
      </c>
      <c r="BK749" s="27" t="s">
        <v>8</v>
      </c>
    </row>
    <row r="750" spans="1:63" x14ac:dyDescent="0.25">
      <c r="A750" s="7">
        <v>3.9643501169044582E-2</v>
      </c>
      <c r="B750"/>
      <c r="C750"/>
      <c r="D750"/>
      <c r="E750"/>
      <c r="BJ750" s="27" t="s">
        <v>7</v>
      </c>
      <c r="BK750" s="27" t="s">
        <v>8</v>
      </c>
    </row>
    <row r="751" spans="1:63" x14ac:dyDescent="0.25">
      <c r="A751" s="7">
        <v>3.8866177616710372E-2</v>
      </c>
      <c r="B751"/>
      <c r="C751"/>
      <c r="D751"/>
      <c r="E751"/>
      <c r="BJ751" s="27" t="s">
        <v>7</v>
      </c>
      <c r="BK751" s="27" t="s">
        <v>8</v>
      </c>
    </row>
    <row r="752" spans="1:63" x14ac:dyDescent="0.25">
      <c r="A752" s="7">
        <v>3.8104095702657229E-2</v>
      </c>
      <c r="B752"/>
      <c r="C752"/>
      <c r="D752"/>
      <c r="E752"/>
      <c r="BJ752" s="27" t="s">
        <v>7</v>
      </c>
      <c r="BK752" s="27" t="s">
        <v>8</v>
      </c>
    </row>
    <row r="753" spans="1:63" x14ac:dyDescent="0.25">
      <c r="A753" s="7">
        <v>3.7356956571232579E-2</v>
      </c>
      <c r="B753"/>
      <c r="C753"/>
      <c r="D753"/>
      <c r="E753"/>
      <c r="BJ753" s="27" t="s">
        <v>7</v>
      </c>
      <c r="BK753" s="27" t="s">
        <v>8</v>
      </c>
    </row>
    <row r="754" spans="1:63" x14ac:dyDescent="0.25">
      <c r="A754" s="7">
        <v>3.6624467226698605E-2</v>
      </c>
      <c r="B754"/>
      <c r="C754"/>
      <c r="D754"/>
      <c r="E754"/>
      <c r="BJ754" s="27" t="s">
        <v>7</v>
      </c>
      <c r="BK754" s="27" t="s">
        <v>8</v>
      </c>
    </row>
    <row r="755" spans="1:63" x14ac:dyDescent="0.25">
      <c r="A755" s="7">
        <v>3.5906340418331961E-2</v>
      </c>
      <c r="B755"/>
      <c r="C755"/>
      <c r="D755"/>
      <c r="E755"/>
      <c r="BJ755" s="27" t="s">
        <v>7</v>
      </c>
      <c r="BK755" s="27" t="s">
        <v>8</v>
      </c>
    </row>
    <row r="756" spans="1:63" x14ac:dyDescent="0.25">
      <c r="A756" s="7">
        <v>3.5202294527776436E-2</v>
      </c>
      <c r="B756"/>
      <c r="C756"/>
      <c r="D756"/>
      <c r="E756"/>
      <c r="BJ756" s="27" t="s">
        <v>7</v>
      </c>
      <c r="BK756" s="27" t="s">
        <v>8</v>
      </c>
    </row>
    <row r="757" spans="1:63" x14ac:dyDescent="0.25">
      <c r="A757" s="7">
        <v>3.451205345860435E-2</v>
      </c>
      <c r="B757"/>
      <c r="C757"/>
      <c r="D757"/>
      <c r="E757"/>
      <c r="BJ757" s="27" t="s">
        <v>7</v>
      </c>
      <c r="BK757" s="27" t="s">
        <v>8</v>
      </c>
    </row>
    <row r="758" spans="1:63" x14ac:dyDescent="0.25">
      <c r="A758" s="7">
        <v>3.3835346528043479E-2</v>
      </c>
      <c r="B758"/>
      <c r="C758"/>
      <c r="D758"/>
      <c r="E758"/>
      <c r="BJ758" s="27" t="s">
        <v>7</v>
      </c>
      <c r="BK758" s="27" t="s">
        <v>8</v>
      </c>
    </row>
    <row r="759" spans="1:63" x14ac:dyDescent="0.25">
      <c r="A759" s="7">
        <v>3.3171908360826938E-2</v>
      </c>
      <c r="B759"/>
      <c r="C759"/>
      <c r="D759"/>
      <c r="E759"/>
      <c r="BJ759" s="27" t="s">
        <v>7</v>
      </c>
      <c r="BK759" s="27" t="s">
        <v>8</v>
      </c>
    </row>
    <row r="760" spans="1:63" x14ac:dyDescent="0.25">
      <c r="A760" s="7">
        <v>3.2521478785124451E-2</v>
      </c>
      <c r="B760"/>
      <c r="C760"/>
      <c r="D760"/>
      <c r="E760"/>
      <c r="BJ760" s="27" t="s">
        <v>7</v>
      </c>
      <c r="BK760" s="27" t="s">
        <v>8</v>
      </c>
    </row>
    <row r="761" spans="1:63" x14ac:dyDescent="0.25">
      <c r="A761" s="7">
        <v>3.1883802730514173E-2</v>
      </c>
      <c r="B761"/>
      <c r="C761"/>
      <c r="D761"/>
      <c r="E761"/>
      <c r="BJ761" s="27" t="s">
        <v>7</v>
      </c>
      <c r="BK761" s="27" t="s">
        <v>8</v>
      </c>
    </row>
    <row r="762" spans="1:63" x14ac:dyDescent="0.25">
      <c r="A762" s="7">
        <v>3.1258630127955073E-2</v>
      </c>
      <c r="B762"/>
      <c r="C762"/>
      <c r="D762"/>
      <c r="E762"/>
      <c r="BJ762" s="27" t="s">
        <v>7</v>
      </c>
      <c r="BK762" s="27" t="s">
        <v>8</v>
      </c>
    </row>
    <row r="763" spans="1:63" x14ac:dyDescent="0.25">
      <c r="A763" s="7">
        <v>3.064571581172066E-2</v>
      </c>
      <c r="B763"/>
      <c r="C763"/>
      <c r="D763"/>
      <c r="E763"/>
      <c r="BJ763" s="27" t="s">
        <v>7</v>
      </c>
      <c r="BK763" s="27" t="s">
        <v>8</v>
      </c>
    </row>
    <row r="764" spans="1:63" x14ac:dyDescent="0.25">
      <c r="A764" s="7">
        <v>3.0044819423255549E-2</v>
      </c>
      <c r="B764"/>
      <c r="C764"/>
      <c r="D764"/>
      <c r="E764"/>
      <c r="BJ764" s="27" t="s">
        <v>7</v>
      </c>
      <c r="BK764" s="27" t="s">
        <v>8</v>
      </c>
    </row>
    <row r="765" spans="1:63" x14ac:dyDescent="0.25">
      <c r="A765" s="7">
        <v>2.9455705316917203E-2</v>
      </c>
      <c r="B765"/>
      <c r="C765"/>
      <c r="D765"/>
      <c r="E765"/>
      <c r="BJ765" s="27" t="s">
        <v>7</v>
      </c>
      <c r="BK765" s="27" t="s">
        <v>8</v>
      </c>
    </row>
    <row r="766" spans="1:63" x14ac:dyDescent="0.25">
      <c r="A766" s="7">
        <v>2.8878142467565884E-2</v>
      </c>
      <c r="B766"/>
      <c r="C766"/>
      <c r="D766"/>
      <c r="E766"/>
      <c r="BJ766" s="27" t="s">
        <v>7</v>
      </c>
      <c r="BK766" s="27" t="s">
        <v>8</v>
      </c>
    </row>
    <row r="767" spans="1:63" x14ac:dyDescent="0.25">
      <c r="A767" s="7">
        <v>2.8311904379966554E-2</v>
      </c>
      <c r="B767"/>
      <c r="C767"/>
      <c r="D767"/>
      <c r="E767"/>
      <c r="BJ767" s="27" t="s">
        <v>7</v>
      </c>
      <c r="BK767" s="27" t="s">
        <v>8</v>
      </c>
    </row>
    <row r="768" spans="1:63" x14ac:dyDescent="0.25">
      <c r="A768" s="7">
        <v>2.7756768999967207E-2</v>
      </c>
      <c r="B768"/>
      <c r="C768"/>
      <c r="D768"/>
      <c r="E768"/>
      <c r="BJ768" s="27" t="s">
        <v>7</v>
      </c>
      <c r="BK768" s="27" t="s">
        <v>8</v>
      </c>
    </row>
    <row r="769" spans="1:63" x14ac:dyDescent="0.25">
      <c r="A769" s="7">
        <v>2.7212518627418834E-2</v>
      </c>
      <c r="B769"/>
      <c r="C769"/>
      <c r="D769"/>
      <c r="E769"/>
      <c r="BJ769" s="27" t="s">
        <v>7</v>
      </c>
      <c r="BK769" s="27" t="s">
        <v>8</v>
      </c>
    </row>
    <row r="770" spans="1:63" x14ac:dyDescent="0.25">
      <c r="A770" s="7">
        <v>2.6678939830802779E-2</v>
      </c>
      <c r="B770"/>
      <c r="C770"/>
      <c r="D770"/>
      <c r="E770"/>
      <c r="BJ770" s="27" t="s">
        <v>7</v>
      </c>
      <c r="BK770" s="27" t="s">
        <v>8</v>
      </c>
    </row>
    <row r="771" spans="1:63" x14ac:dyDescent="0.25">
      <c r="A771" s="7">
        <v>2.615582336353214E-2</v>
      </c>
      <c r="B771"/>
      <c r="C771"/>
      <c r="D771"/>
      <c r="E771"/>
      <c r="BJ771" s="27" t="s">
        <v>7</v>
      </c>
      <c r="BK771" s="27" t="s">
        <v>8</v>
      </c>
    </row>
    <row r="772" spans="1:63" x14ac:dyDescent="0.25">
      <c r="A772" s="7">
        <v>2.5642964081894253E-2</v>
      </c>
      <c r="B772"/>
      <c r="C772"/>
      <c r="D772"/>
      <c r="E772"/>
      <c r="BJ772" s="27" t="s">
        <v>7</v>
      </c>
      <c r="BK772" s="27" t="s">
        <v>8</v>
      </c>
    </row>
    <row r="773" spans="1:63" x14ac:dyDescent="0.25">
      <c r="A773" s="7">
        <v>2.5140160864602207E-2</v>
      </c>
      <c r="B773"/>
      <c r="C773"/>
      <c r="D773"/>
      <c r="E773"/>
      <c r="BJ773" s="27" t="s">
        <v>7</v>
      </c>
      <c r="BK773" s="27" t="s">
        <v>8</v>
      </c>
    </row>
    <row r="774" spans="1:63" x14ac:dyDescent="0.25">
      <c r="A774" s="7">
        <v>2.4647216533923735E-2</v>
      </c>
      <c r="B774"/>
      <c r="C774"/>
      <c r="D774"/>
      <c r="E774"/>
      <c r="BJ774" s="27" t="s">
        <v>7</v>
      </c>
      <c r="BK774" s="27" t="s">
        <v>8</v>
      </c>
    </row>
    <row r="775" spans="1:63" x14ac:dyDescent="0.25">
      <c r="A775" s="7">
        <v>2.4163937778356601E-2</v>
      </c>
      <c r="B775"/>
      <c r="C775"/>
      <c r="D775"/>
      <c r="E775"/>
      <c r="BJ775" s="27" t="s">
        <v>7</v>
      </c>
      <c r="BK775" s="27" t="s">
        <v>8</v>
      </c>
    </row>
    <row r="776" spans="1:63" x14ac:dyDescent="0.25">
      <c r="A776" s="7">
        <v>2.3690135076820197E-2</v>
      </c>
      <c r="B776"/>
      <c r="C776"/>
      <c r="D776"/>
      <c r="E776"/>
      <c r="BJ776" s="27" t="s">
        <v>7</v>
      </c>
      <c r="BK776" s="27" t="s">
        <v>8</v>
      </c>
    </row>
    <row r="777" spans="1:63" x14ac:dyDescent="0.25">
      <c r="A777" s="7">
        <v>2.3225622624333527E-2</v>
      </c>
      <c r="B777"/>
      <c r="C777"/>
      <c r="D777"/>
      <c r="E777"/>
      <c r="BJ777" s="27" t="s">
        <v>7</v>
      </c>
      <c r="BK777" s="27" t="s">
        <v>8</v>
      </c>
    </row>
    <row r="778" spans="1:63" x14ac:dyDescent="0.25">
      <c r="A778" s="7">
        <v>2.2770218259150519E-2</v>
      </c>
      <c r="B778"/>
      <c r="C778"/>
      <c r="D778"/>
      <c r="E778"/>
      <c r="BJ778" s="27" t="s">
        <v>7</v>
      </c>
      <c r="BK778" s="27" t="s">
        <v>8</v>
      </c>
    </row>
    <row r="779" spans="1:63" x14ac:dyDescent="0.25">
      <c r="A779" s="7">
        <v>2.2323743391324039E-2</v>
      </c>
      <c r="B779"/>
      <c r="C779"/>
      <c r="D779"/>
      <c r="E779"/>
      <c r="BJ779" s="27" t="s">
        <v>7</v>
      </c>
      <c r="BK779" s="27" t="s">
        <v>8</v>
      </c>
    </row>
    <row r="780" spans="1:63" x14ac:dyDescent="0.25">
      <c r="A780" s="7">
        <v>2.188602293267063E-2</v>
      </c>
      <c r="B780"/>
      <c r="C780"/>
      <c r="D780"/>
      <c r="E780"/>
      <c r="BJ780" s="27" t="s">
        <v>7</v>
      </c>
      <c r="BK780" s="27" t="s">
        <v>8</v>
      </c>
    </row>
    <row r="781" spans="1:63" x14ac:dyDescent="0.25">
      <c r="A781" s="7">
        <v>2.1456885228108461E-2</v>
      </c>
      <c r="B781"/>
      <c r="C781"/>
      <c r="D781"/>
      <c r="E781"/>
      <c r="BJ781" s="27" t="s">
        <v>7</v>
      </c>
      <c r="BK781" s="27" t="s">
        <v>8</v>
      </c>
    </row>
    <row r="782" spans="1:63" x14ac:dyDescent="0.25">
      <c r="A782" s="7">
        <v>2.1036161988341632E-2</v>
      </c>
      <c r="B782"/>
      <c r="C782"/>
      <c r="D782"/>
      <c r="E782"/>
      <c r="BJ782" s="27" t="s">
        <v>7</v>
      </c>
      <c r="BK782" s="27" t="s">
        <v>8</v>
      </c>
    </row>
    <row r="783" spans="1:63" x14ac:dyDescent="0.25">
      <c r="A783" s="7">
        <v>2.0623688223864345E-2</v>
      </c>
      <c r="B783"/>
      <c r="C783"/>
      <c r="D783"/>
      <c r="E783"/>
      <c r="BJ783" s="27" t="s">
        <v>7</v>
      </c>
      <c r="BK783" s="27" t="s">
        <v>8</v>
      </c>
    </row>
    <row r="784" spans="1:63" x14ac:dyDescent="0.25">
      <c r="A784" s="7">
        <v>2.021930218025916E-2</v>
      </c>
      <c r="B784"/>
      <c r="C784"/>
      <c r="D784"/>
      <c r="E784"/>
      <c r="BJ784" s="27" t="s">
        <v>7</v>
      </c>
      <c r="BK784" s="27" t="s">
        <v>8</v>
      </c>
    </row>
    <row r="785" spans="1:63" x14ac:dyDescent="0.25">
      <c r="A785" s="7">
        <v>1.9822845274763884E-2</v>
      </c>
      <c r="B785"/>
      <c r="C785"/>
      <c r="D785"/>
      <c r="E785"/>
      <c r="BJ785" s="27" t="s">
        <v>7</v>
      </c>
      <c r="BK785" s="27" t="s">
        <v>8</v>
      </c>
    </row>
    <row r="786" spans="1:63" x14ac:dyDescent="0.25">
      <c r="A786" s="7">
        <v>1.9434162034082238E-2</v>
      </c>
      <c r="B786"/>
      <c r="C786"/>
      <c r="D786"/>
      <c r="E786"/>
      <c r="BJ786" s="27" t="s">
        <v>7</v>
      </c>
      <c r="BK786" s="27" t="s">
        <v>8</v>
      </c>
    </row>
    <row r="787" spans="1:63" x14ac:dyDescent="0.25">
      <c r="A787" s="7">
        <v>1.9053100033413959E-2</v>
      </c>
      <c r="B787"/>
      <c r="C787"/>
      <c r="D787"/>
      <c r="E787"/>
      <c r="BJ787" s="27" t="s">
        <v>7</v>
      </c>
      <c r="BK787" s="27" t="s">
        <v>8</v>
      </c>
    </row>
    <row r="788" spans="1:63" x14ac:dyDescent="0.25">
      <c r="A788" s="7">
        <v>1.867950983668035E-2</v>
      </c>
      <c r="B788"/>
      <c r="C788"/>
      <c r="D788"/>
      <c r="E788"/>
      <c r="BJ788" s="27" t="s">
        <v>7</v>
      </c>
      <c r="BK788" s="27" t="s">
        <v>8</v>
      </c>
    </row>
    <row r="789" spans="1:63" x14ac:dyDescent="0.25">
      <c r="A789" s="7">
        <v>1.8313244937921913E-2</v>
      </c>
      <c r="B789"/>
      <c r="C789"/>
      <c r="D789"/>
      <c r="E789"/>
      <c r="BJ789" s="27" t="s">
        <v>7</v>
      </c>
      <c r="BK789" s="27" t="s">
        <v>8</v>
      </c>
    </row>
    <row r="790" spans="1:63" x14ac:dyDescent="0.25">
      <c r="A790" s="7">
        <v>1.7954161703845013E-2</v>
      </c>
      <c r="B790"/>
      <c r="C790"/>
      <c r="D790"/>
      <c r="E790"/>
      <c r="BJ790" s="27" t="s">
        <v>7</v>
      </c>
      <c r="BK790" s="27" t="s">
        <v>8</v>
      </c>
    </row>
    <row r="791" spans="1:63" x14ac:dyDescent="0.25">
      <c r="A791" s="7">
        <v>1.7602119317495109E-2</v>
      </c>
      <c r="B791"/>
      <c r="C791"/>
      <c r="D791"/>
      <c r="E791"/>
      <c r="BJ791" s="27" t="s">
        <v>7</v>
      </c>
      <c r="BK791" s="27" t="s">
        <v>8</v>
      </c>
    </row>
    <row r="792" spans="1:63" x14ac:dyDescent="0.25">
      <c r="A792" s="7">
        <v>1.7256979723034419E-2</v>
      </c>
      <c r="B792"/>
      <c r="C792"/>
      <c r="D792"/>
      <c r="E792"/>
      <c r="BJ792" s="27" t="s">
        <v>7</v>
      </c>
      <c r="BK792" s="27" t="s">
        <v>8</v>
      </c>
    </row>
    <row r="793" spans="1:63" x14ac:dyDescent="0.25">
      <c r="A793" s="7">
        <v>1.6918607571602372E-2</v>
      </c>
      <c r="B793"/>
      <c r="C793"/>
      <c r="D793"/>
      <c r="E793"/>
      <c r="BJ793" s="27" t="s">
        <v>7</v>
      </c>
      <c r="BK793" s="27" t="s">
        <v>8</v>
      </c>
    </row>
    <row r="794" spans="1:63" x14ac:dyDescent="0.25">
      <c r="A794" s="7">
        <v>1.6586870168237622E-2</v>
      </c>
      <c r="B794"/>
      <c r="C794"/>
      <c r="D794"/>
      <c r="E794"/>
      <c r="BJ794" s="27" t="s">
        <v>7</v>
      </c>
      <c r="BK794" s="27" t="s">
        <v>8</v>
      </c>
    </row>
    <row r="795" spans="1:63" x14ac:dyDescent="0.25">
      <c r="A795" s="7">
        <v>1.6261637419840807E-2</v>
      </c>
      <c r="B795"/>
      <c r="C795"/>
      <c r="D795"/>
      <c r="E795"/>
      <c r="BJ795" s="27" t="s">
        <v>7</v>
      </c>
      <c r="BK795" s="27" t="s">
        <v>8</v>
      </c>
    </row>
    <row r="796" spans="1:63" x14ac:dyDescent="0.25">
      <c r="A796" s="7">
        <v>1.5942781784157655E-2</v>
      </c>
      <c r="B796"/>
      <c r="C796"/>
      <c r="D796"/>
      <c r="E796"/>
      <c r="BJ796" s="27" t="s">
        <v>7</v>
      </c>
      <c r="BK796" s="27" t="s">
        <v>8</v>
      </c>
    </row>
    <row r="797" spans="1:63" x14ac:dyDescent="0.25">
      <c r="A797" s="7">
        <v>1.5630178219762408E-2</v>
      </c>
      <c r="B797"/>
      <c r="C797"/>
      <c r="D797"/>
      <c r="E797"/>
      <c r="BJ797" s="27" t="s">
        <v>7</v>
      </c>
      <c r="BK797" s="27" t="s">
        <v>8</v>
      </c>
    </row>
    <row r="798" spans="1:63" x14ac:dyDescent="0.25">
      <c r="A798" s="7">
        <v>1.5323704137021967E-2</v>
      </c>
      <c r="B798"/>
      <c r="C798"/>
      <c r="D798"/>
      <c r="E798"/>
      <c r="BJ798" s="27" t="s">
        <v>7</v>
      </c>
      <c r="BK798" s="27" t="s">
        <v>8</v>
      </c>
    </row>
    <row r="799" spans="1:63" x14ac:dyDescent="0.25">
      <c r="A799" s="7">
        <v>1.5023239350021535E-2</v>
      </c>
      <c r="B799"/>
      <c r="C799"/>
      <c r="D799"/>
      <c r="E799"/>
      <c r="BJ799" s="27" t="s">
        <v>7</v>
      </c>
      <c r="BK799" s="27" t="s">
        <v>8</v>
      </c>
    </row>
    <row r="800" spans="1:63" x14ac:dyDescent="0.25">
      <c r="A800" s="7">
        <v>1.4728666029432878E-2</v>
      </c>
      <c r="B800"/>
      <c r="C800"/>
      <c r="D800"/>
      <c r="E800"/>
      <c r="BJ800" s="27" t="s">
        <v>7</v>
      </c>
      <c r="BK800" s="27" t="s">
        <v>8</v>
      </c>
    </row>
    <row r="801" spans="1:63" x14ac:dyDescent="0.25">
      <c r="A801" s="7">
        <v>1.4439868656306743E-2</v>
      </c>
      <c r="B801"/>
      <c r="C801"/>
      <c r="D801"/>
      <c r="E801"/>
      <c r="BJ801" s="27" t="s">
        <v>7</v>
      </c>
      <c r="BK801" s="27" t="s">
        <v>8</v>
      </c>
    </row>
    <row r="802" spans="1:63" x14ac:dyDescent="0.25">
      <c r="A802" s="7">
        <v>1.4156733976771318E-2</v>
      </c>
      <c r="B802"/>
      <c r="C802"/>
      <c r="D802"/>
      <c r="E802"/>
      <c r="BJ802" s="27" t="s">
        <v>7</v>
      </c>
      <c r="BK802" s="27" t="s">
        <v>8</v>
      </c>
    </row>
    <row r="803" spans="1:63" x14ac:dyDescent="0.25">
      <c r="A803" s="7">
        <v>1.3879150957618939E-2</v>
      </c>
      <c r="B803"/>
      <c r="C803"/>
      <c r="D803"/>
      <c r="E803"/>
      <c r="BJ803" s="27" t="s">
        <v>7</v>
      </c>
      <c r="BK803" s="27" t="s">
        <v>8</v>
      </c>
    </row>
    <row r="804" spans="1:63" x14ac:dyDescent="0.25">
      <c r="A804" s="7">
        <v>1.3607010742763666E-2</v>
      </c>
      <c r="B804"/>
      <c r="C804"/>
      <c r="D804"/>
      <c r="E804"/>
      <c r="BJ804" s="27" t="s">
        <v>7</v>
      </c>
      <c r="BK804" s="27" t="s">
        <v>8</v>
      </c>
    </row>
    <row r="805" spans="1:63" x14ac:dyDescent="0.25">
      <c r="A805" s="7">
        <v>1.3340206610552614E-2</v>
      </c>
      <c r="B805"/>
      <c r="C805"/>
      <c r="D805"/>
      <c r="E805"/>
      <c r="BJ805" s="27" t="s">
        <v>7</v>
      </c>
      <c r="BK805" s="27" t="s">
        <v>8</v>
      </c>
    </row>
    <row r="806" spans="1:63" x14ac:dyDescent="0.25">
      <c r="A806" s="7">
        <v>1.3078633931914328E-2</v>
      </c>
      <c r="B806"/>
      <c r="C806"/>
      <c r="D806"/>
      <c r="E806"/>
      <c r="BJ806" s="27" t="s">
        <v>7</v>
      </c>
      <c r="BK806" s="27" t="s">
        <v>8</v>
      </c>
    </row>
    <row r="807" spans="1:63" x14ac:dyDescent="0.25">
      <c r="A807" s="7">
        <v>1.2822190129327771E-2</v>
      </c>
      <c r="B807"/>
      <c r="C807"/>
      <c r="D807"/>
      <c r="E807"/>
      <c r="BJ807" s="27" t="s">
        <v>7</v>
      </c>
      <c r="BK807" s="27" t="s">
        <v>8</v>
      </c>
    </row>
    <row r="808" spans="1:63" x14ac:dyDescent="0.25">
      <c r="A808" s="7">
        <v>1.2570774636595854E-2</v>
      </c>
      <c r="B808"/>
      <c r="C808"/>
      <c r="D808"/>
      <c r="E808"/>
      <c r="BJ808" s="27" t="s">
        <v>7</v>
      </c>
      <c r="BK808" s="27" t="s">
        <v>8</v>
      </c>
    </row>
    <row r="809" spans="1:63" x14ac:dyDescent="0.25">
      <c r="A809" s="7">
        <v>1.23242888594077E-2</v>
      </c>
      <c r="B809"/>
      <c r="C809"/>
      <c r="D809"/>
      <c r="E809"/>
      <c r="BJ809" s="27" t="s">
        <v>7</v>
      </c>
      <c r="BK809" s="27" t="s">
        <v>8</v>
      </c>
    </row>
    <row r="810" spans="1:63" x14ac:dyDescent="0.25">
      <c r="A810" s="7">
        <v>1.2082636136674216E-2</v>
      </c>
      <c r="B810"/>
      <c r="C810"/>
      <c r="D810"/>
      <c r="E810"/>
      <c r="BJ810" s="27" t="s">
        <v>7</v>
      </c>
      <c r="BK810" s="27" t="s">
        <v>8</v>
      </c>
    </row>
    <row r="811" spans="1:63" x14ac:dyDescent="0.25">
      <c r="A811" s="7">
        <v>1.184572170262178E-2</v>
      </c>
      <c r="B811"/>
      <c r="C811"/>
      <c r="D811"/>
      <c r="E811"/>
      <c r="BJ811" s="27" t="s">
        <v>7</v>
      </c>
      <c r="BK811" s="27" t="s">
        <v>8</v>
      </c>
    </row>
    <row r="812" spans="1:63" x14ac:dyDescent="0.25">
      <c r="A812" s="7">
        <v>1.1613452649629196E-2</v>
      </c>
      <c r="B812"/>
      <c r="C812"/>
      <c r="D812"/>
      <c r="E812"/>
      <c r="BJ812" s="27" t="s">
        <v>7</v>
      </c>
      <c r="BK812" s="27" t="s">
        <v>8</v>
      </c>
    </row>
    <row r="813" spans="1:63" x14ac:dyDescent="0.25">
      <c r="A813" s="7">
        <v>1.138573789179333E-2</v>
      </c>
      <c r="B813"/>
      <c r="C813"/>
      <c r="D813"/>
      <c r="E813"/>
      <c r="BJ813" s="27" t="s">
        <v>7</v>
      </c>
      <c r="BK813" s="27" t="s">
        <v>8</v>
      </c>
    </row>
    <row r="814" spans="1:63" x14ac:dyDescent="0.25">
      <c r="A814" s="7">
        <v>1.1162488129209149E-2</v>
      </c>
      <c r="B814"/>
      <c r="C814"/>
      <c r="D814"/>
      <c r="E814"/>
      <c r="BJ814" s="27" t="s">
        <v>7</v>
      </c>
      <c r="BK814" s="27" t="s">
        <v>8</v>
      </c>
    </row>
    <row r="815" spans="1:63" x14ac:dyDescent="0.25">
      <c r="A815" s="7">
        <v>1.0943615812950145E-2</v>
      </c>
      <c r="B815"/>
      <c r="C815"/>
      <c r="D815"/>
      <c r="E815"/>
      <c r="BJ815" s="27" t="s">
        <v>7</v>
      </c>
      <c r="BK815" s="27" t="s">
        <v>8</v>
      </c>
    </row>
    <row r="816" spans="1:63" x14ac:dyDescent="0.25">
      <c r="A816" s="7">
        <v>1.0729035110735436E-2</v>
      </c>
      <c r="B816"/>
      <c r="C816"/>
      <c r="D816"/>
      <c r="E816"/>
      <c r="BJ816" s="27" t="s">
        <v>7</v>
      </c>
      <c r="BK816" s="27" t="s">
        <v>8</v>
      </c>
    </row>
    <row r="817" spans="1:63" x14ac:dyDescent="0.25">
      <c r="A817" s="7">
        <v>1.0518661873270036E-2</v>
      </c>
      <c r="B817"/>
      <c r="C817"/>
      <c r="D817"/>
      <c r="E817"/>
      <c r="BJ817" s="27" t="s">
        <v>7</v>
      </c>
      <c r="BK817" s="27" t="s">
        <v>8</v>
      </c>
    </row>
    <row r="818" spans="1:63" x14ac:dyDescent="0.25">
      <c r="A818" s="7">
        <v>1.0312413601245135E-2</v>
      </c>
      <c r="B818"/>
      <c r="C818"/>
      <c r="D818"/>
      <c r="E818"/>
      <c r="BJ818" s="27" t="s">
        <v>7</v>
      </c>
      <c r="BK818" s="27" t="s">
        <v>8</v>
      </c>
    </row>
    <row r="819" spans="1:63" x14ac:dyDescent="0.25">
      <c r="A819" s="7">
        <v>1.0110209412985426E-2</v>
      </c>
      <c r="B819"/>
      <c r="C819"/>
      <c r="D819"/>
      <c r="E819"/>
      <c r="BJ819" s="27" t="s">
        <v>7</v>
      </c>
      <c r="BK819" s="27" t="s">
        <v>8</v>
      </c>
    </row>
    <row r="820" spans="1:63" x14ac:dyDescent="0.25">
      <c r="A820" s="7">
        <v>9.9119700127308103E-3</v>
      </c>
      <c r="B820"/>
      <c r="C820"/>
      <c r="D820"/>
      <c r="E820"/>
      <c r="BJ820" s="27" t="s">
        <v>7</v>
      </c>
      <c r="BK820" s="27" t="s">
        <v>8</v>
      </c>
    </row>
    <row r="821" spans="1:63" x14ac:dyDescent="0.25">
      <c r="A821" s="7">
        <v>9.717617659540009E-3</v>
      </c>
      <c r="B821"/>
      <c r="C821"/>
      <c r="D821"/>
      <c r="E821"/>
      <c r="BJ821" s="27" t="s">
        <v>7</v>
      </c>
      <c r="BK821" s="27" t="s">
        <v>8</v>
      </c>
    </row>
    <row r="822" spans="1:63" x14ac:dyDescent="0.25">
      <c r="A822" s="7">
        <v>9.5270761368039299E-3</v>
      </c>
      <c r="B822"/>
      <c r="C822"/>
      <c r="D822"/>
      <c r="E822"/>
      <c r="BJ822" s="27" t="s">
        <v>7</v>
      </c>
      <c r="BK822" s="27" t="s">
        <v>8</v>
      </c>
    </row>
    <row r="823" spans="1:63" x14ac:dyDescent="0.25">
      <c r="A823" s="7">
        <v>9.3402707223567936E-3</v>
      </c>
      <c r="B823"/>
      <c r="C823"/>
      <c r="D823"/>
      <c r="E823"/>
      <c r="BJ823" s="27" t="s">
        <v>7</v>
      </c>
      <c r="BK823" s="27" t="s">
        <v>8</v>
      </c>
    </row>
    <row r="824" spans="1:63" x14ac:dyDescent="0.25">
      <c r="A824" s="7">
        <v>9.1571281591733261E-3</v>
      </c>
      <c r="B824"/>
      <c r="C824"/>
      <c r="D824"/>
      <c r="E824"/>
      <c r="BJ824" s="27" t="s">
        <v>7</v>
      </c>
      <c r="BK824" s="27" t="s">
        <v>8</v>
      </c>
    </row>
    <row r="825" spans="1:63" x14ac:dyDescent="0.25">
      <c r="A825" s="7">
        <v>8.9775766266405148E-3</v>
      </c>
      <c r="B825"/>
      <c r="C825"/>
      <c r="D825"/>
      <c r="E825"/>
      <c r="BJ825" s="27" t="s">
        <v>7</v>
      </c>
      <c r="BK825" s="27" t="s">
        <v>8</v>
      </c>
    </row>
    <row r="826" spans="1:63" x14ac:dyDescent="0.25">
      <c r="A826" s="7">
        <v>8.8015457123926614E-3</v>
      </c>
      <c r="B826"/>
      <c r="C826"/>
      <c r="D826"/>
      <c r="E826"/>
      <c r="BJ826" s="27" t="s">
        <v>7</v>
      </c>
      <c r="BK826" s="27" t="s">
        <v>8</v>
      </c>
    </row>
    <row r="827" spans="1:63" x14ac:dyDescent="0.25">
      <c r="A827" s="7">
        <v>8.6289663846986879E-3</v>
      </c>
      <c r="B827"/>
      <c r="C827"/>
      <c r="D827"/>
      <c r="E827"/>
      <c r="BJ827" s="27" t="s">
        <v>7</v>
      </c>
      <c r="BK827" s="27" t="s">
        <v>8</v>
      </c>
    </row>
    <row r="828" spans="1:63" x14ac:dyDescent="0.25">
      <c r="A828" s="7">
        <v>8.4597709653908715E-3</v>
      </c>
      <c r="B828"/>
      <c r="C828"/>
      <c r="D828"/>
      <c r="E828"/>
      <c r="BJ828" s="27" t="s">
        <v>7</v>
      </c>
      <c r="BK828" s="27" t="s">
        <v>8</v>
      </c>
    </row>
    <row r="829" spans="1:63" x14ac:dyDescent="0.25">
      <c r="A829" s="7">
        <v>8.2938931033243839E-3</v>
      </c>
      <c r="B829"/>
      <c r="C829"/>
      <c r="D829"/>
      <c r="E829"/>
      <c r="BJ829" s="27" t="s">
        <v>7</v>
      </c>
      <c r="BK829" s="27" t="s">
        <v>8</v>
      </c>
    </row>
    <row r="830" spans="1:63" x14ac:dyDescent="0.25">
      <c r="A830" s="7">
        <v>8.1312677483572383E-3</v>
      </c>
      <c r="B830"/>
      <c r="C830"/>
      <c r="D830"/>
      <c r="E830"/>
      <c r="BJ830" s="27" t="s">
        <v>7</v>
      </c>
      <c r="BK830" s="27" t="s">
        <v>8</v>
      </c>
    </row>
    <row r="831" spans="1:63" x14ac:dyDescent="0.25">
      <c r="A831" s="7">
        <v>7.9718311258404305E-3</v>
      </c>
      <c r="B831"/>
      <c r="C831"/>
      <c r="D831"/>
      <c r="E831"/>
      <c r="BJ831" s="27" t="s">
        <v>7</v>
      </c>
      <c r="BK831" s="27" t="s">
        <v>8</v>
      </c>
    </row>
    <row r="832" spans="1:63" x14ac:dyDescent="0.25">
      <c r="A832" s="7">
        <v>7.8155207116082648E-3</v>
      </c>
      <c r="B832"/>
      <c r="C832"/>
      <c r="D832"/>
      <c r="E832"/>
      <c r="BJ832" s="27" t="s">
        <v>7</v>
      </c>
      <c r="BK832" s="27" t="s">
        <v>8</v>
      </c>
    </row>
    <row r="833" spans="1:63" x14ac:dyDescent="0.25">
      <c r="A833" s="7">
        <v>7.6622752074590825E-3</v>
      </c>
      <c r="B833"/>
      <c r="C833"/>
      <c r="D833"/>
      <c r="E833"/>
      <c r="BJ833" s="27" t="s">
        <v>7</v>
      </c>
      <c r="BK833" s="27" t="s">
        <v>8</v>
      </c>
    </row>
    <row r="834" spans="1:63" x14ac:dyDescent="0.25">
      <c r="A834" s="7">
        <v>7.5120345171167469E-3</v>
      </c>
      <c r="B834"/>
      <c r="C834"/>
      <c r="D834"/>
      <c r="E834"/>
      <c r="BJ834" s="27" t="s">
        <v>7</v>
      </c>
      <c r="BK834" s="27" t="s">
        <v>8</v>
      </c>
    </row>
    <row r="835" spans="1:63" x14ac:dyDescent="0.25">
      <c r="A835" s="7">
        <v>7.3647397226634772E-3</v>
      </c>
      <c r="B835"/>
      <c r="C835"/>
      <c r="D835"/>
      <c r="E835"/>
      <c r="BJ835" s="27" t="s">
        <v>7</v>
      </c>
      <c r="BK835" s="27" t="s">
        <v>8</v>
      </c>
    </row>
    <row r="836" spans="1:63" x14ac:dyDescent="0.25">
      <c r="A836" s="7">
        <v>7.2203330614347815E-3</v>
      </c>
      <c r="B836"/>
      <c r="C836"/>
      <c r="D836"/>
      <c r="E836"/>
      <c r="BJ836" s="27" t="s">
        <v>7</v>
      </c>
      <c r="BK836" s="27" t="s">
        <v>8</v>
      </c>
    </row>
    <row r="837" spans="1:63" x14ac:dyDescent="0.25">
      <c r="A837" s="7">
        <v>7.0787579033674327E-3</v>
      </c>
      <c r="B837"/>
      <c r="C837"/>
      <c r="D837"/>
      <c r="E837"/>
      <c r="BJ837" s="27" t="s">
        <v>7</v>
      </c>
      <c r="BK837" s="27" t="s">
        <v>8</v>
      </c>
    </row>
    <row r="838" spans="1:63" x14ac:dyDescent="0.25">
      <c r="A838" s="7">
        <v>6.9399587287916013E-3</v>
      </c>
      <c r="B838"/>
      <c r="C838"/>
      <c r="D838"/>
      <c r="E838"/>
      <c r="BJ838" s="27" t="s">
        <v>7</v>
      </c>
      <c r="BK838" s="27" t="s">
        <v>8</v>
      </c>
    </row>
    <row r="839" spans="1:63" x14ac:dyDescent="0.25">
      <c r="A839" s="7">
        <v>6.8038811066584333E-3</v>
      </c>
      <c r="B839"/>
      <c r="C839"/>
      <c r="D839"/>
      <c r="E839"/>
      <c r="BJ839" s="27" t="s">
        <v>7</v>
      </c>
      <c r="BK839" s="27" t="s">
        <v>8</v>
      </c>
    </row>
    <row r="840" spans="1:63" x14ac:dyDescent="0.25">
      <c r="A840" s="7">
        <v>6.6704716731945425E-3</v>
      </c>
      <c r="B840"/>
      <c r="C840"/>
      <c r="D840"/>
      <c r="E840"/>
      <c r="BJ840" s="27" t="s">
        <v>7</v>
      </c>
      <c r="BK840" s="27" t="s">
        <v>8</v>
      </c>
    </row>
    <row r="841" spans="1:63" x14ac:dyDescent="0.25">
      <c r="A841" s="7">
        <v>6.5396781109750427E-3</v>
      </c>
      <c r="B841"/>
      <c r="C841"/>
      <c r="D841"/>
      <c r="E841"/>
      <c r="BJ841" s="27" t="s">
        <v>7</v>
      </c>
      <c r="BK841" s="27" t="s">
        <v>8</v>
      </c>
    </row>
    <row r="842" spans="1:63" x14ac:dyDescent="0.25">
      <c r="A842" s="7">
        <v>6.4114491284069045E-3</v>
      </c>
      <c r="B842"/>
      <c r="C842"/>
      <c r="D842"/>
      <c r="E842"/>
      <c r="BJ842" s="27" t="s">
        <v>7</v>
      </c>
      <c r="BK842" s="27" t="s">
        <v>8</v>
      </c>
    </row>
    <row r="843" spans="1:63" x14ac:dyDescent="0.25">
      <c r="A843" s="7">
        <v>6.2857344396146115E-3</v>
      </c>
      <c r="B843"/>
      <c r="C843"/>
      <c r="D843"/>
      <c r="E843"/>
      <c r="BJ843" s="27" t="s">
        <v>7</v>
      </c>
      <c r="BK843" s="27" t="s">
        <v>8</v>
      </c>
    </row>
    <row r="844" spans="1:63" x14ac:dyDescent="0.25">
      <c r="A844" s="7">
        <v>6.1624847447202076E-3</v>
      </c>
      <c r="B844"/>
      <c r="C844"/>
      <c r="D844"/>
      <c r="E844"/>
      <c r="BJ844" s="27" t="s">
        <v>7</v>
      </c>
      <c r="BK844" s="27" t="s">
        <v>8</v>
      </c>
    </row>
    <row r="845" spans="1:63" x14ac:dyDescent="0.25">
      <c r="A845" s="7">
        <v>6.0416517105100079E-3</v>
      </c>
      <c r="B845"/>
      <c r="C845"/>
      <c r="D845"/>
      <c r="E845"/>
      <c r="BJ845" s="27" t="s">
        <v>7</v>
      </c>
      <c r="BK845" s="27" t="s">
        <v>8</v>
      </c>
    </row>
    <row r="846" spans="1:63" x14ac:dyDescent="0.25">
      <c r="A846" s="7">
        <v>5.9231879514803996E-3</v>
      </c>
      <c r="B846"/>
      <c r="C846"/>
      <c r="D846"/>
      <c r="E846"/>
      <c r="BJ846" s="27" t="s">
        <v>7</v>
      </c>
      <c r="BK846" s="27" t="s">
        <v>8</v>
      </c>
    </row>
    <row r="847" spans="1:63" x14ac:dyDescent="0.25">
      <c r="A847" s="7">
        <v>5.8070470112552936E-3</v>
      </c>
      <c r="B847"/>
      <c r="C847"/>
      <c r="D847"/>
      <c r="E847"/>
      <c r="BJ847" s="27" t="s">
        <v>7</v>
      </c>
      <c r="BK847" s="27" t="s">
        <v>8</v>
      </c>
    </row>
    <row r="848" spans="1:63" x14ac:dyDescent="0.25">
      <c r="A848" s="7">
        <v>5.6931833443679353E-3</v>
      </c>
      <c r="B848"/>
      <c r="C848"/>
      <c r="D848"/>
      <c r="E848"/>
      <c r="BJ848" s="27" t="s">
        <v>7</v>
      </c>
      <c r="BK848" s="27" t="s">
        <v>8</v>
      </c>
    </row>
    <row r="849" spans="1:63" x14ac:dyDescent="0.25">
      <c r="A849" s="7">
        <v>5.5815522983999367E-3</v>
      </c>
      <c r="B849"/>
      <c r="C849"/>
      <c r="D849"/>
      <c r="E849"/>
      <c r="BJ849" s="27" t="s">
        <v>7</v>
      </c>
      <c r="BK849" s="27" t="s">
        <v>8</v>
      </c>
    </row>
    <row r="850" spans="1:63" x14ac:dyDescent="0.25">
      <c r="A850" s="7">
        <v>5.4721100964705257E-3</v>
      </c>
      <c r="B850"/>
      <c r="C850"/>
      <c r="D850"/>
      <c r="E850"/>
      <c r="BJ850" s="27" t="s">
        <v>7</v>
      </c>
      <c r="BK850" s="27" t="s">
        <v>8</v>
      </c>
    </row>
    <row r="851" spans="1:63" x14ac:dyDescent="0.25">
      <c r="A851" s="7">
        <v>5.3648138200691423E-3</v>
      </c>
      <c r="B851"/>
      <c r="C851"/>
      <c r="D851"/>
      <c r="E851"/>
      <c r="BJ851" s="27" t="s">
        <v>7</v>
      </c>
      <c r="BK851" s="27" t="s">
        <v>8</v>
      </c>
    </row>
    <row r="852" spans="1:63" x14ac:dyDescent="0.25">
      <c r="A852" s="7">
        <v>5.2596213922246494E-3</v>
      </c>
      <c r="B852"/>
      <c r="C852"/>
      <c r="D852"/>
      <c r="E852"/>
      <c r="BJ852" s="27" t="s">
        <v>7</v>
      </c>
      <c r="BK852" s="27" t="s">
        <v>8</v>
      </c>
    </row>
    <row r="853" spans="1:63" x14ac:dyDescent="0.25">
      <c r="A853" s="7">
        <v>5.1564915610045588E-3</v>
      </c>
      <c r="B853"/>
      <c r="C853"/>
      <c r="D853"/>
      <c r="E853"/>
      <c r="BJ853" s="27" t="s">
        <v>7</v>
      </c>
      <c r="BK853" s="27" t="s">
        <v>8</v>
      </c>
    </row>
    <row r="854" spans="1:63" x14ac:dyDescent="0.25">
      <c r="A854" s="7">
        <v>5.0553838833378023E-3</v>
      </c>
      <c r="B854"/>
      <c r="C854"/>
      <c r="D854"/>
      <c r="E854"/>
      <c r="BJ854" s="27" t="s">
        <v>7</v>
      </c>
      <c r="BK854" s="27" t="s">
        <v>8</v>
      </c>
    </row>
    <row r="855" spans="1:63" x14ac:dyDescent="0.25">
      <c r="A855" s="7">
        <v>4.9562587091547079E-3</v>
      </c>
      <c r="B855"/>
      <c r="C855"/>
      <c r="D855"/>
      <c r="E855"/>
      <c r="BJ855" s="27" t="s">
        <v>7</v>
      </c>
      <c r="BK855" s="27" t="s">
        <v>8</v>
      </c>
    </row>
    <row r="856" spans="1:63" x14ac:dyDescent="0.25">
      <c r="A856" s="7">
        <v>4.8590771658379491E-3</v>
      </c>
      <c r="B856"/>
      <c r="C856"/>
      <c r="D856"/>
      <c r="E856"/>
      <c r="BJ856" s="27" t="s">
        <v>7</v>
      </c>
      <c r="BK856" s="27" t="s">
        <v>8</v>
      </c>
    </row>
    <row r="857" spans="1:63" x14ac:dyDescent="0.25">
      <c r="A857" s="7">
        <v>4.7638011429783815E-3</v>
      </c>
      <c r="B857"/>
      <c r="C857"/>
      <c r="D857"/>
      <c r="E857"/>
      <c r="BJ857" s="27" t="s">
        <v>7</v>
      </c>
      <c r="BK857" s="27" t="s">
        <v>8</v>
      </c>
    </row>
    <row r="858" spans="1:63" x14ac:dyDescent="0.25">
      <c r="A858" s="7">
        <v>4.6703932774297859E-3</v>
      </c>
      <c r="B858"/>
      <c r="C858"/>
      <c r="D858"/>
      <c r="E858"/>
      <c r="BJ858" s="27" t="s">
        <v>7</v>
      </c>
      <c r="BK858" s="27" t="s">
        <v>8</v>
      </c>
    </row>
    <row r="859" spans="1:63" x14ac:dyDescent="0.25">
      <c r="A859" s="7">
        <v>4.5788169386566527E-3</v>
      </c>
      <c r="B859"/>
      <c r="C859"/>
      <c r="D859"/>
      <c r="E859"/>
      <c r="BJ859" s="27" t="s">
        <v>7</v>
      </c>
      <c r="BK859" s="27" t="s">
        <v>8</v>
      </c>
    </row>
    <row r="860" spans="1:63" x14ac:dyDescent="0.25">
      <c r="A860" s="7">
        <v>4.4890362143692672E-3</v>
      </c>
      <c r="B860"/>
      <c r="C860"/>
      <c r="D860"/>
      <c r="E860"/>
      <c r="BJ860" s="27" t="s">
        <v>7</v>
      </c>
      <c r="BK860" s="27" t="s">
        <v>8</v>
      </c>
    </row>
    <row r="861" spans="1:63" x14ac:dyDescent="0.25">
      <c r="A861" s="7">
        <v>4.4010158964404578E-3</v>
      </c>
      <c r="B861"/>
      <c r="C861"/>
      <c r="D861"/>
      <c r="E861"/>
      <c r="BJ861" s="27" t="s">
        <v>7</v>
      </c>
      <c r="BK861" s="27" t="s">
        <v>8</v>
      </c>
    </row>
    <row r="862" spans="1:63" x14ac:dyDescent="0.25">
      <c r="A862" s="7">
        <v>4.314721467098488E-3</v>
      </c>
      <c r="B862"/>
      <c r="C862"/>
      <c r="D862"/>
      <c r="E862"/>
      <c r="BJ862" s="27" t="s">
        <v>7</v>
      </c>
      <c r="BK862" s="27" t="s">
        <v>8</v>
      </c>
    </row>
    <row r="863" spans="1:63" x14ac:dyDescent="0.25">
      <c r="A863" s="7">
        <v>4.2301190853906746E-3</v>
      </c>
      <c r="B863"/>
      <c r="C863"/>
      <c r="D863"/>
      <c r="E863"/>
      <c r="BJ863" s="27" t="s">
        <v>7</v>
      </c>
      <c r="BK863" s="27" t="s">
        <v>8</v>
      </c>
    </row>
    <row r="864" spans="1:63" x14ac:dyDescent="0.25">
      <c r="A864" s="7">
        <v>4.1471755739124266E-3</v>
      </c>
      <c r="B864"/>
      <c r="C864"/>
      <c r="D864"/>
      <c r="E864"/>
      <c r="BJ864" s="27" t="s">
        <v>7</v>
      </c>
      <c r="BK864" s="27" t="s">
        <v>8</v>
      </c>
    </row>
    <row r="865" spans="1:63" x14ac:dyDescent="0.25">
      <c r="A865" s="7">
        <v>4.0658584057964966E-3</v>
      </c>
      <c r="B865"/>
      <c r="C865"/>
      <c r="D865"/>
      <c r="E865"/>
      <c r="BJ865" s="27" t="s">
        <v>7</v>
      </c>
      <c r="BK865" s="27" t="s">
        <v>8</v>
      </c>
    </row>
    <row r="866" spans="1:63" x14ac:dyDescent="0.25">
      <c r="A866" s="7">
        <v>3.9861356919573491E-3</v>
      </c>
      <c r="B866"/>
      <c r="C866"/>
      <c r="D866"/>
      <c r="E866"/>
      <c r="BJ866" s="27" t="s">
        <v>7</v>
      </c>
      <c r="BK866" s="27" t="s">
        <v>8</v>
      </c>
    </row>
    <row r="867" spans="1:63" x14ac:dyDescent="0.25">
      <c r="A867" s="7">
        <v>3.9079761685856364E-3</v>
      </c>
      <c r="B867"/>
      <c r="C867"/>
      <c r="D867"/>
      <c r="E867"/>
      <c r="BJ867" s="27" t="s">
        <v>7</v>
      </c>
      <c r="BK867" s="27" t="s">
        <v>8</v>
      </c>
    </row>
    <row r="868" spans="1:63" x14ac:dyDescent="0.25">
      <c r="A868" s="7">
        <v>3.8313491848878793E-3</v>
      </c>
      <c r="B868"/>
      <c r="C868"/>
      <c r="D868"/>
      <c r="E868"/>
      <c r="BJ868" s="27" t="s">
        <v>7</v>
      </c>
      <c r="BK868" s="27" t="s">
        <v>8</v>
      </c>
    </row>
    <row r="869" spans="1:63" x14ac:dyDescent="0.25">
      <c r="A869" s="7">
        <v>3.7562246910665485E-3</v>
      </c>
      <c r="B869"/>
      <c r="C869"/>
      <c r="D869"/>
      <c r="E869"/>
      <c r="BJ869" s="27" t="s">
        <v>7</v>
      </c>
      <c r="BK869" s="27" t="s">
        <v>8</v>
      </c>
    </row>
    <row r="870" spans="1:63" x14ac:dyDescent="0.25">
      <c r="A870" s="7">
        <v>3.6825732265358315E-3</v>
      </c>
      <c r="B870"/>
      <c r="C870"/>
      <c r="D870"/>
      <c r="E870"/>
      <c r="BJ870" s="27" t="s">
        <v>7</v>
      </c>
      <c r="BK870" s="27" t="s">
        <v>8</v>
      </c>
    </row>
    <row r="871" spans="1:63" x14ac:dyDescent="0.25">
      <c r="A871" s="7">
        <v>3.6103659083684624E-3</v>
      </c>
      <c r="B871"/>
      <c r="C871"/>
      <c r="D871"/>
      <c r="E871"/>
      <c r="BJ871" s="27" t="s">
        <v>7</v>
      </c>
      <c r="BK871" s="27" t="s">
        <v>8</v>
      </c>
    </row>
    <row r="872" spans="1:63" x14ac:dyDescent="0.25">
      <c r="A872" s="7">
        <v>3.539574419969081E-3</v>
      </c>
      <c r="B872"/>
      <c r="C872"/>
      <c r="D872"/>
      <c r="E872"/>
      <c r="BJ872" s="27" t="s">
        <v>7</v>
      </c>
      <c r="BK872" s="27" t="s">
        <v>8</v>
      </c>
    </row>
    <row r="873" spans="1:63" x14ac:dyDescent="0.25">
      <c r="A873" s="7">
        <v>3.4701709999696872E-3</v>
      </c>
      <c r="B873"/>
      <c r="C873"/>
      <c r="D873"/>
      <c r="E873"/>
      <c r="BJ873" s="27" t="s">
        <v>7</v>
      </c>
      <c r="BK873" s="27" t="s">
        <v>8</v>
      </c>
    </row>
    <row r="874" spans="1:63" x14ac:dyDescent="0.25">
      <c r="A874" s="7">
        <v>3.4021284313428307E-3</v>
      </c>
      <c r="B874"/>
      <c r="C874"/>
      <c r="D874"/>
      <c r="E874"/>
      <c r="BJ874" s="27" t="s">
        <v>7</v>
      </c>
      <c r="BK874" s="27" t="s">
        <v>8</v>
      </c>
    </row>
    <row r="875" spans="1:63" x14ac:dyDescent="0.25">
      <c r="A875" s="7">
        <v>3.3354200307282654E-3</v>
      </c>
      <c r="B875"/>
      <c r="C875"/>
      <c r="D875"/>
      <c r="E875"/>
      <c r="BJ875" s="27" t="s">
        <v>7</v>
      </c>
      <c r="BK875" s="27" t="s">
        <v>8</v>
      </c>
    </row>
    <row r="876" spans="1:63" x14ac:dyDescent="0.25">
      <c r="A876" s="7">
        <v>3.2700196379688881E-3</v>
      </c>
      <c r="B876"/>
      <c r="C876"/>
      <c r="D876"/>
      <c r="E876"/>
      <c r="BJ876" s="27" t="s">
        <v>7</v>
      </c>
      <c r="BK876" s="27" t="s">
        <v>8</v>
      </c>
    </row>
    <row r="877" spans="1:63" x14ac:dyDescent="0.25">
      <c r="A877" s="7">
        <v>3.205901605851851E-3</v>
      </c>
      <c r="B877"/>
      <c r="C877"/>
      <c r="D877"/>
      <c r="E877"/>
      <c r="BJ877" s="27" t="s">
        <v>7</v>
      </c>
      <c r="BK877" s="27" t="s">
        <v>8</v>
      </c>
    </row>
    <row r="878" spans="1:63" x14ac:dyDescent="0.25">
      <c r="A878" s="7">
        <v>3.1430407900508344E-3</v>
      </c>
      <c r="B878"/>
      <c r="C878"/>
      <c r="D878"/>
      <c r="E878"/>
      <c r="BJ878" s="27" t="s">
        <v>7</v>
      </c>
      <c r="BK878" s="27" t="s">
        <v>8</v>
      </c>
    </row>
    <row r="879" spans="1:63" x14ac:dyDescent="0.25">
      <c r="A879" s="7">
        <v>3.0814125392655241E-3</v>
      </c>
      <c r="B879"/>
      <c r="C879"/>
      <c r="D879"/>
      <c r="E879"/>
      <c r="BJ879" s="27" t="s">
        <v>7</v>
      </c>
      <c r="BK879" s="27" t="s">
        <v>8</v>
      </c>
    </row>
    <row r="880" spans="1:63" x14ac:dyDescent="0.25">
      <c r="A880" s="7">
        <v>3.0209926855544354E-3</v>
      </c>
      <c r="B880"/>
      <c r="C880"/>
      <c r="D880"/>
      <c r="E880"/>
      <c r="BJ880" s="27" t="s">
        <v>7</v>
      </c>
      <c r="BK880" s="27" t="s">
        <v>8</v>
      </c>
    </row>
    <row r="881" spans="1:63" x14ac:dyDescent="0.25">
      <c r="A881" s="7">
        <v>2.9617575348572897E-3</v>
      </c>
      <c r="B881"/>
      <c r="C881"/>
      <c r="D881"/>
      <c r="E881"/>
      <c r="BJ881" s="27" t="s">
        <v>7</v>
      </c>
      <c r="BK881" s="27" t="s">
        <v>8</v>
      </c>
    </row>
    <row r="882" spans="1:63" x14ac:dyDescent="0.25">
      <c r="A882" s="7">
        <v>2.9036838577032251E-3</v>
      </c>
      <c r="B882"/>
      <c r="C882"/>
      <c r="D882"/>
      <c r="E882"/>
      <c r="BJ882" s="27" t="s">
        <v>7</v>
      </c>
      <c r="BK882" s="27" t="s">
        <v>8</v>
      </c>
    </row>
    <row r="883" spans="1:63" x14ac:dyDescent="0.25">
      <c r="A883" s="7">
        <v>2.8467488801012012E-3</v>
      </c>
      <c r="B883"/>
      <c r="C883"/>
      <c r="D883"/>
      <c r="E883"/>
      <c r="BJ883" s="27" t="s">
        <v>7</v>
      </c>
      <c r="BK883" s="27" t="s">
        <v>8</v>
      </c>
    </row>
    <row r="884" spans="1:63" x14ac:dyDescent="0.25">
      <c r="A884" s="7">
        <v>2.7909302746090209E-3</v>
      </c>
      <c r="B884"/>
      <c r="C884"/>
      <c r="D884"/>
      <c r="E884"/>
      <c r="BJ884" s="27" t="s">
        <v>7</v>
      </c>
      <c r="BK884" s="27" t="s">
        <v>8</v>
      </c>
    </row>
    <row r="885" spans="1:63" x14ac:dyDescent="0.25">
      <c r="A885" s="7">
        <v>2.7362061515774716E-3</v>
      </c>
      <c r="B885"/>
      <c r="C885"/>
      <c r="D885"/>
      <c r="E885"/>
      <c r="BJ885" s="27" t="s">
        <v>7</v>
      </c>
      <c r="BK885" s="27" t="s">
        <v>8</v>
      </c>
    </row>
    <row r="886" spans="1:63" x14ac:dyDescent="0.25">
      <c r="A886" s="7">
        <v>2.6825550505661486E-3</v>
      </c>
      <c r="B886"/>
      <c r="C886"/>
      <c r="D886"/>
      <c r="E886"/>
      <c r="BJ886" s="27" t="s">
        <v>7</v>
      </c>
      <c r="BK886" s="27" t="s">
        <v>8</v>
      </c>
    </row>
    <row r="887" spans="1:63" x14ac:dyDescent="0.25">
      <c r="A887" s="7">
        <v>2.6299559319275965E-3</v>
      </c>
      <c r="B887"/>
      <c r="C887"/>
      <c r="D887"/>
      <c r="E887"/>
      <c r="BJ887" s="27" t="s">
        <v>7</v>
      </c>
      <c r="BK887" s="27" t="s">
        <v>8</v>
      </c>
    </row>
    <row r="888" spans="1:63" x14ac:dyDescent="0.25">
      <c r="A888" s="7">
        <v>2.578388168556467E-3</v>
      </c>
      <c r="B888"/>
      <c r="C888"/>
      <c r="D888"/>
      <c r="E888"/>
      <c r="BJ888" s="27" t="s">
        <v>7</v>
      </c>
      <c r="BK888" s="27" t="s">
        <v>8</v>
      </c>
    </row>
    <row r="889" spans="1:63" x14ac:dyDescent="0.25">
      <c r="A889" s="7">
        <v>2.5278315378004577E-3</v>
      </c>
      <c r="B889"/>
      <c r="C889"/>
      <c r="D889"/>
      <c r="E889"/>
      <c r="BJ889" s="27" t="s">
        <v>7</v>
      </c>
      <c r="BK889" s="27" t="s">
        <v>8</v>
      </c>
    </row>
    <row r="890" spans="1:63" x14ac:dyDescent="0.25">
      <c r="A890" s="7">
        <v>2.4782662135298603E-3</v>
      </c>
      <c r="B890"/>
      <c r="C890"/>
      <c r="D890"/>
      <c r="E890"/>
      <c r="BJ890" s="27" t="s">
        <v>7</v>
      </c>
      <c r="BK890" s="27" t="s">
        <v>8</v>
      </c>
    </row>
    <row r="891" spans="1:63" x14ac:dyDescent="0.25">
      <c r="A891" s="7">
        <v>2.4296727583626083E-3</v>
      </c>
      <c r="B891"/>
      <c r="C891"/>
      <c r="D891"/>
      <c r="E891"/>
      <c r="BJ891" s="27" t="s">
        <v>7</v>
      </c>
      <c r="BK891" s="27" t="s">
        <v>8</v>
      </c>
    </row>
    <row r="892" spans="1:63" x14ac:dyDescent="0.25">
      <c r="A892" s="7">
        <v>2.3820321160417726E-3</v>
      </c>
      <c r="B892"/>
      <c r="C892"/>
      <c r="D892"/>
      <c r="E892"/>
      <c r="BJ892" s="27" t="s">
        <v>7</v>
      </c>
      <c r="BK892" s="27" t="s">
        <v>8</v>
      </c>
    </row>
    <row r="893" spans="1:63" x14ac:dyDescent="0.25">
      <c r="A893" s="7">
        <v>2.3353256039625224E-3</v>
      </c>
      <c r="B893"/>
      <c r="C893"/>
      <c r="D893"/>
      <c r="E893"/>
      <c r="BJ893" s="27" t="s">
        <v>7</v>
      </c>
      <c r="BK893" s="27" t="s">
        <v>8</v>
      </c>
    </row>
    <row r="894" spans="1:63" x14ac:dyDescent="0.25">
      <c r="A894" s="7">
        <v>2.2895349058456101E-3</v>
      </c>
      <c r="B894"/>
      <c r="C894"/>
      <c r="D894"/>
      <c r="E894"/>
      <c r="BJ894" s="27" t="s">
        <v>7</v>
      </c>
      <c r="BK894" s="27" t="s">
        <v>8</v>
      </c>
    </row>
    <row r="895" spans="1:63" x14ac:dyDescent="0.25">
      <c r="A895" s="7">
        <v>2.24464206455452E-3</v>
      </c>
      <c r="B895"/>
      <c r="C895"/>
      <c r="D895"/>
      <c r="E895"/>
      <c r="BJ895" s="27" t="s">
        <v>7</v>
      </c>
      <c r="BK895" s="27" t="s">
        <v>8</v>
      </c>
    </row>
    <row r="896" spans="1:63" x14ac:dyDescent="0.25">
      <c r="A896" s="7">
        <v>2.200629475053451E-3</v>
      </c>
      <c r="B896"/>
      <c r="C896"/>
      <c r="D896"/>
      <c r="E896"/>
      <c r="BJ896" s="27" t="s">
        <v>7</v>
      </c>
      <c r="BK896" s="27" t="s">
        <v>8</v>
      </c>
    </row>
    <row r="897" spans="1:63" x14ac:dyDescent="0.25">
      <c r="A897" s="7">
        <v>2.1574798775033832E-3</v>
      </c>
      <c r="B897"/>
      <c r="C897"/>
      <c r="D897"/>
      <c r="E897"/>
      <c r="BJ897" s="27" t="s">
        <v>7</v>
      </c>
      <c r="BK897" s="27" t="s">
        <v>8</v>
      </c>
    </row>
    <row r="898" spans="1:63" x14ac:dyDescent="0.25">
      <c r="A898" s="7">
        <v>2.115176350493513E-3</v>
      </c>
      <c r="B898"/>
      <c r="C898"/>
      <c r="D898"/>
      <c r="E898"/>
      <c r="BJ898" s="27" t="s">
        <v>7</v>
      </c>
      <c r="BK898" s="27" t="s">
        <v>8</v>
      </c>
    </row>
    <row r="899" spans="1:63" x14ac:dyDescent="0.25">
      <c r="A899" s="7">
        <v>2.0737023044054047E-3</v>
      </c>
      <c r="B899"/>
      <c r="C899"/>
      <c r="D899"/>
      <c r="E899"/>
      <c r="BJ899" s="27" t="s">
        <v>7</v>
      </c>
      <c r="BK899" s="27" t="s">
        <v>8</v>
      </c>
    </row>
    <row r="900" spans="1:63" x14ac:dyDescent="0.25">
      <c r="A900" s="7">
        <v>2.0330414749072595E-3</v>
      </c>
      <c r="B900"/>
      <c r="C900"/>
      <c r="D900"/>
      <c r="E900"/>
      <c r="BJ900" s="27" t="s">
        <v>7</v>
      </c>
      <c r="BK900" s="27" t="s">
        <v>8</v>
      </c>
    </row>
    <row r="901" spans="1:63" x14ac:dyDescent="0.25">
      <c r="A901" s="7">
        <v>1.9931779165757446E-3</v>
      </c>
      <c r="B901"/>
      <c r="C901"/>
      <c r="D901"/>
      <c r="E901"/>
      <c r="BJ901" s="27" t="s">
        <v>7</v>
      </c>
      <c r="BK901" s="27" t="s">
        <v>8</v>
      </c>
    </row>
    <row r="902" spans="1:63" x14ac:dyDescent="0.25">
      <c r="A902" s="7">
        <v>1.954095996642887E-3</v>
      </c>
      <c r="B902"/>
      <c r="C902"/>
      <c r="D902"/>
      <c r="E902"/>
      <c r="BJ902" s="27" t="s">
        <v>7</v>
      </c>
      <c r="BK902" s="27" t="s">
        <v>8</v>
      </c>
    </row>
    <row r="903" spans="1:63" x14ac:dyDescent="0.25">
      <c r="A903" s="7">
        <v>1.9157803888655755E-3</v>
      </c>
      <c r="B903"/>
      <c r="C903"/>
      <c r="D903"/>
      <c r="E903"/>
      <c r="BJ903" s="27" t="s">
        <v>7</v>
      </c>
      <c r="BK903" s="27" t="s">
        <v>8</v>
      </c>
    </row>
    <row r="904" spans="1:63" x14ac:dyDescent="0.25">
      <c r="A904" s="7">
        <v>1.8782160675152703E-3</v>
      </c>
      <c r="B904"/>
      <c r="C904"/>
      <c r="D904"/>
      <c r="E904"/>
      <c r="BJ904" s="27" t="s">
        <v>7</v>
      </c>
      <c r="BK904" s="27" t="s">
        <v>8</v>
      </c>
    </row>
    <row r="905" spans="1:63" x14ac:dyDescent="0.25">
      <c r="A905" s="7">
        <v>1.8413883014855592E-3</v>
      </c>
      <c r="B905"/>
      <c r="C905"/>
      <c r="D905"/>
      <c r="E905"/>
      <c r="BJ905" s="27" t="s">
        <v>7</v>
      </c>
      <c r="BK905" s="27" t="s">
        <v>8</v>
      </c>
    </row>
    <row r="906" spans="1:63" x14ac:dyDescent="0.25">
      <c r="A906" s="7">
        <v>1.8052826485152542E-3</v>
      </c>
      <c r="B906"/>
      <c r="C906"/>
      <c r="D906"/>
      <c r="E906"/>
      <c r="BJ906" s="27" t="s">
        <v>7</v>
      </c>
      <c r="BK906" s="27" t="s">
        <v>8</v>
      </c>
    </row>
    <row r="907" spans="1:63" x14ac:dyDescent="0.25">
      <c r="A907" s="7">
        <v>1.7698849495247592E-3</v>
      </c>
      <c r="B907"/>
      <c r="C907"/>
      <c r="D907"/>
      <c r="E907"/>
      <c r="BJ907" s="27" t="s">
        <v>7</v>
      </c>
      <c r="BK907" s="27" t="s">
        <v>8</v>
      </c>
    </row>
    <row r="908" spans="1:63" x14ac:dyDescent="0.25">
      <c r="A908" s="7">
        <v>1.7351813230634893E-3</v>
      </c>
      <c r="B908"/>
      <c r="C908"/>
      <c r="D908"/>
      <c r="E908"/>
      <c r="BJ908" s="27" t="s">
        <v>7</v>
      </c>
      <c r="BK908" s="27" t="s">
        <v>8</v>
      </c>
    </row>
    <row r="909" spans="1:63" x14ac:dyDescent="0.25">
      <c r="A909" s="7">
        <v>1.701158159866166E-3</v>
      </c>
      <c r="B909"/>
      <c r="C909"/>
      <c r="D909"/>
      <c r="E909"/>
      <c r="BJ909" s="27" t="s">
        <v>7</v>
      </c>
      <c r="BK909" s="27" t="s">
        <v>8</v>
      </c>
    </row>
    <row r="910" spans="1:63" x14ac:dyDescent="0.25">
      <c r="A910" s="7">
        <v>1.6678021175158492E-3</v>
      </c>
      <c r="B910"/>
      <c r="C910"/>
      <c r="D910"/>
      <c r="E910"/>
      <c r="BJ910" s="27" t="s">
        <v>7</v>
      </c>
      <c r="BK910" s="27" t="s">
        <v>8</v>
      </c>
    </row>
    <row r="911" spans="1:63" x14ac:dyDescent="0.25">
      <c r="A911" s="7">
        <v>1.6351001152116167E-3</v>
      </c>
      <c r="B911"/>
      <c r="C911"/>
      <c r="D911"/>
      <c r="E911"/>
      <c r="BJ911" s="27" t="s">
        <v>7</v>
      </c>
      <c r="BK911" s="27" t="s">
        <v>8</v>
      </c>
    </row>
    <row r="912" spans="1:63" x14ac:dyDescent="0.25">
      <c r="A912" s="7">
        <v>1.60303932863884E-3</v>
      </c>
      <c r="B912"/>
      <c r="C912"/>
      <c r="D912"/>
      <c r="E912"/>
      <c r="BJ912" s="27" t="s">
        <v>7</v>
      </c>
      <c r="BK912" s="27" t="s">
        <v>8</v>
      </c>
    </row>
    <row r="913" spans="1:63" x14ac:dyDescent="0.25">
      <c r="A913" s="7">
        <v>1.5716071849400392E-3</v>
      </c>
      <c r="B913"/>
      <c r="C913"/>
      <c r="D913"/>
      <c r="E913"/>
      <c r="BJ913" s="27" t="s">
        <v>7</v>
      </c>
      <c r="BK913" s="27" t="s">
        <v>8</v>
      </c>
    </row>
    <row r="914" spans="1:63" x14ac:dyDescent="0.25">
      <c r="A914" s="7">
        <v>1.5407913577843522E-3</v>
      </c>
      <c r="B914"/>
      <c r="C914"/>
      <c r="D914"/>
      <c r="E914"/>
      <c r="BJ914" s="27" t="s">
        <v>7</v>
      </c>
      <c r="BK914" s="27" t="s">
        <v>8</v>
      </c>
    </row>
    <row r="915" spans="1:63" x14ac:dyDescent="0.25">
      <c r="A915" s="7">
        <v>1.5105797625336785E-3</v>
      </c>
      <c r="B915"/>
      <c r="C915"/>
      <c r="D915"/>
      <c r="E915"/>
      <c r="BJ915" s="27" t="s">
        <v>7</v>
      </c>
      <c r="BK915" s="27" t="s">
        <v>8</v>
      </c>
    </row>
    <row r="916" spans="1:63" x14ac:dyDescent="0.25">
      <c r="A916" s="7">
        <v>1.4809605515036064E-3</v>
      </c>
      <c r="B916"/>
      <c r="C916"/>
      <c r="D916"/>
      <c r="E916"/>
      <c r="BJ916" s="27" t="s">
        <v>7</v>
      </c>
      <c r="BK916" s="27" t="s">
        <v>8</v>
      </c>
    </row>
    <row r="917" spans="1:63" x14ac:dyDescent="0.25">
      <c r="A917" s="7">
        <v>1.4519221093172612E-3</v>
      </c>
      <c r="B917"/>
      <c r="C917"/>
      <c r="D917"/>
      <c r="E917"/>
      <c r="BJ917" s="27" t="s">
        <v>7</v>
      </c>
      <c r="BK917" s="27" t="s">
        <v>8</v>
      </c>
    </row>
    <row r="918" spans="1:63" x14ac:dyDescent="0.25">
      <c r="A918" s="7">
        <v>1.423453048350256E-3</v>
      </c>
      <c r="B918"/>
      <c r="C918"/>
      <c r="D918"/>
      <c r="E918"/>
      <c r="BJ918" s="27" t="s">
        <v>7</v>
      </c>
      <c r="BK918" s="27" t="s">
        <v>8</v>
      </c>
    </row>
    <row r="919" spans="1:63" x14ac:dyDescent="0.25">
      <c r="A919" s="7">
        <v>1.3955422042649568E-3</v>
      </c>
      <c r="B919"/>
      <c r="C919"/>
      <c r="D919"/>
      <c r="E919"/>
      <c r="BJ919" s="27" t="s">
        <v>7</v>
      </c>
      <c r="BK919" s="27" t="s">
        <v>8</v>
      </c>
    </row>
    <row r="920" spans="1:63" x14ac:dyDescent="0.25">
      <c r="A920" s="7">
        <v>1.3681786316323105E-3</v>
      </c>
      <c r="B920"/>
      <c r="C920"/>
      <c r="D920"/>
      <c r="E920"/>
      <c r="BJ920" s="27" t="s">
        <v>7</v>
      </c>
      <c r="BK920" s="27" t="s">
        <v>8</v>
      </c>
    </row>
    <row r="921" spans="1:63" x14ac:dyDescent="0.25">
      <c r="A921" s="7">
        <v>1.3413515996395203E-3</v>
      </c>
      <c r="B921"/>
      <c r="C921"/>
      <c r="D921"/>
      <c r="E921"/>
      <c r="BJ921" s="27" t="s">
        <v>7</v>
      </c>
      <c r="BK921" s="27" t="s">
        <v>8</v>
      </c>
    </row>
    <row r="922" spans="1:63" x14ac:dyDescent="0.25">
      <c r="A922" s="7">
        <v>1.3150505878818826E-3</v>
      </c>
      <c r="B922"/>
      <c r="C922"/>
      <c r="D922"/>
      <c r="E922"/>
      <c r="BJ922" s="27" t="s">
        <v>7</v>
      </c>
      <c r="BK922" s="27" t="s">
        <v>8</v>
      </c>
    </row>
    <row r="923" spans="1:63" x14ac:dyDescent="0.25">
      <c r="A923" s="7">
        <v>1.2892652822371396E-3</v>
      </c>
      <c r="B923"/>
      <c r="C923"/>
      <c r="D923"/>
      <c r="E923"/>
      <c r="BJ923" s="27" t="s">
        <v>7</v>
      </c>
      <c r="BK923" s="27" t="s">
        <v>8</v>
      </c>
    </row>
    <row r="924" spans="1:63" x14ac:dyDescent="0.25">
      <c r="A924" s="7">
        <v>1.2639855708207251E-3</v>
      </c>
      <c r="B924"/>
      <c r="C924"/>
      <c r="D924"/>
      <c r="E924"/>
      <c r="BJ924" s="27" t="s">
        <v>7</v>
      </c>
      <c r="BK924" s="27" t="s">
        <v>8</v>
      </c>
    </row>
    <row r="925" spans="1:63" x14ac:dyDescent="0.25">
      <c r="A925" s="7">
        <v>1.2392015400203187E-3</v>
      </c>
      <c r="B925"/>
      <c r="C925"/>
      <c r="D925"/>
      <c r="E925"/>
      <c r="BJ925" s="27" t="s">
        <v>7</v>
      </c>
      <c r="BK925" s="27" t="s">
        <v>8</v>
      </c>
    </row>
    <row r="926" spans="1:63" x14ac:dyDescent="0.25">
      <c r="A926" s="7">
        <v>1.2149034706081556E-3</v>
      </c>
      <c r="B926"/>
      <c r="C926"/>
      <c r="D926"/>
      <c r="E926"/>
      <c r="BJ926" s="27" t="s">
        <v>7</v>
      </c>
      <c r="BK926" s="27" t="s">
        <v>8</v>
      </c>
    </row>
    <row r="927" spans="1:63" x14ac:dyDescent="0.25">
      <c r="A927" s="7">
        <v>1.1910818339295644E-3</v>
      </c>
      <c r="B927"/>
      <c r="C927"/>
      <c r="D927"/>
      <c r="E927"/>
      <c r="BJ927" s="27" t="s">
        <v>7</v>
      </c>
      <c r="BK927" s="27" t="s">
        <v>8</v>
      </c>
    </row>
    <row r="928" spans="1:63" x14ac:dyDescent="0.25">
      <c r="A928" s="7">
        <v>1.1677272881662395E-3</v>
      </c>
      <c r="B928"/>
      <c r="C928"/>
      <c r="D928"/>
      <c r="E928"/>
      <c r="BJ928" s="27" t="s">
        <v>7</v>
      </c>
      <c r="BK928" s="27" t="s">
        <v>8</v>
      </c>
    </row>
    <row r="929" spans="1:63" x14ac:dyDescent="0.25">
      <c r="A929" s="7">
        <v>1.1448306746727837E-3</v>
      </c>
      <c r="B929"/>
      <c r="C929"/>
      <c r="D929"/>
      <c r="E929"/>
      <c r="BJ929" s="27" t="s">
        <v>7</v>
      </c>
      <c r="BK929" s="27" t="s">
        <v>8</v>
      </c>
    </row>
    <row r="930" spans="1:63" x14ac:dyDescent="0.25">
      <c r="A930" s="7">
        <v>1.1223830143850821E-3</v>
      </c>
      <c r="B930"/>
      <c r="C930"/>
      <c r="D930"/>
      <c r="E930"/>
      <c r="BJ930" s="27" t="s">
        <v>7</v>
      </c>
      <c r="BK930" s="27" t="s">
        <v>8</v>
      </c>
    </row>
    <row r="931" spans="1:63" x14ac:dyDescent="0.25">
      <c r="A931" s="7">
        <v>1.1003755042991001E-3</v>
      </c>
      <c r="B931"/>
      <c r="C931"/>
      <c r="D931"/>
      <c r="E931"/>
      <c r="BJ931" s="27" t="s">
        <v>7</v>
      </c>
      <c r="BK931" s="27" t="s">
        <v>8</v>
      </c>
    </row>
    <row r="932" spans="1:63" x14ac:dyDescent="0.25">
      <c r="A932" s="7">
        <v>1.0787995140187257E-3</v>
      </c>
      <c r="B932"/>
      <c r="C932"/>
      <c r="D932"/>
      <c r="E932"/>
      <c r="BJ932" s="27" t="s">
        <v>7</v>
      </c>
      <c r="BK932" s="27" t="s">
        <v>8</v>
      </c>
    </row>
    <row r="933" spans="1:63" x14ac:dyDescent="0.25">
      <c r="A933" s="7">
        <v>1.0576465823712996E-3</v>
      </c>
      <c r="B933"/>
      <c r="C933"/>
      <c r="D933"/>
      <c r="E933"/>
      <c r="BJ933" s="27" t="s">
        <v>7</v>
      </c>
      <c r="BK933" s="27" t="s">
        <v>8</v>
      </c>
    </row>
    <row r="934" spans="1:63" x14ac:dyDescent="0.25">
      <c r="A934" s="7">
        <v>1.0369084140895094E-3</v>
      </c>
      <c r="B934"/>
      <c r="C934"/>
      <c r="D934"/>
      <c r="E934"/>
      <c r="BJ934" s="27" t="s">
        <v>7</v>
      </c>
      <c r="BK934" s="27" t="s">
        <v>8</v>
      </c>
    </row>
    <row r="935" spans="1:63" x14ac:dyDescent="0.25">
      <c r="A935" s="7">
        <v>1.0165768765583426E-3</v>
      </c>
      <c r="B935"/>
      <c r="C935"/>
      <c r="D935"/>
      <c r="E935"/>
      <c r="BJ935" s="27" t="s">
        <v>7</v>
      </c>
      <c r="BK935" s="27" t="s">
        <v>8</v>
      </c>
    </row>
    <row r="936" spans="1:63" x14ac:dyDescent="0.25">
      <c r="A936" s="7">
        <v>9.966439966258261E-4</v>
      </c>
      <c r="B936"/>
      <c r="C936"/>
      <c r="D936"/>
      <c r="E936"/>
      <c r="BJ936" s="27" t="s">
        <v>7</v>
      </c>
      <c r="BK936" s="27" t="s">
        <v>8</v>
      </c>
    </row>
    <row r="937" spans="1:63" x14ac:dyDescent="0.25">
      <c r="BJ937" s="27" t="s">
        <v>7</v>
      </c>
    </row>
  </sheetData>
  <conditionalFormatting sqref="C27">
    <cfRule type="cellIs" dxfId="90" priority="1211" operator="equal">
      <formula>$U$1</formula>
    </cfRule>
    <cfRule type="cellIs" dxfId="89" priority="1212" operator="equal">
      <formula>$S$1</formula>
    </cfRule>
  </conditionalFormatting>
  <conditionalFormatting sqref="D27">
    <cfRule type="cellIs" dxfId="88" priority="1209" operator="equal">
      <formula>$S$1</formula>
    </cfRule>
    <cfRule type="cellIs" dxfId="87" priority="1210" operator="equal">
      <formula>$U$1</formula>
    </cfRule>
  </conditionalFormatting>
  <conditionalFormatting sqref="C164">
    <cfRule type="cellIs" dxfId="86" priority="1207" operator="equal">
      <formula>$U$1</formula>
    </cfRule>
    <cfRule type="cellIs" dxfId="85" priority="1208" operator="equal">
      <formula>$S$1</formula>
    </cfRule>
  </conditionalFormatting>
  <conditionalFormatting sqref="D164">
    <cfRule type="cellIs" dxfId="84" priority="1205" operator="equal">
      <formula>$S$1</formula>
    </cfRule>
    <cfRule type="cellIs" dxfId="83" priority="1206" operator="equal">
      <formula>$U$1</formula>
    </cfRule>
  </conditionalFormatting>
  <conditionalFormatting sqref="C55">
    <cfRule type="cellIs" dxfId="82" priority="1203" operator="equal">
      <formula>$U$1</formula>
    </cfRule>
    <cfRule type="cellIs" dxfId="81" priority="1204" operator="equal">
      <formula>$S$1</formula>
    </cfRule>
  </conditionalFormatting>
  <conditionalFormatting sqref="D55">
    <cfRule type="cellIs" dxfId="80" priority="1201" operator="equal">
      <formula>$S$1</formula>
    </cfRule>
    <cfRule type="cellIs" dxfId="79" priority="1202" operator="equal">
      <formula>$U$1</formula>
    </cfRule>
  </conditionalFormatting>
  <conditionalFormatting sqref="C89">
    <cfRule type="cellIs" dxfId="78" priority="1199" operator="equal">
      <formula>$U$1</formula>
    </cfRule>
    <cfRule type="cellIs" dxfId="77" priority="1200" operator="equal">
      <formula>$S$1</formula>
    </cfRule>
  </conditionalFormatting>
  <conditionalFormatting sqref="D89">
    <cfRule type="cellIs" dxfId="76" priority="1197" operator="equal">
      <formula>$S$1</formula>
    </cfRule>
    <cfRule type="cellIs" dxfId="75" priority="1198" operator="equal">
      <formula>$U$1</formula>
    </cfRule>
  </conditionalFormatting>
  <conditionalFormatting sqref="C136">
    <cfRule type="cellIs" dxfId="74" priority="1195" operator="equal">
      <formula>$U$1</formula>
    </cfRule>
    <cfRule type="cellIs" dxfId="73" priority="1196" operator="equal">
      <formula>$S$1</formula>
    </cfRule>
  </conditionalFormatting>
  <conditionalFormatting sqref="D136">
    <cfRule type="cellIs" dxfId="72" priority="1193" operator="equal">
      <formula>$S$1</formula>
    </cfRule>
    <cfRule type="cellIs" dxfId="71" priority="1194" operator="equal">
      <formula>$U$1</formula>
    </cfRule>
  </conditionalFormatting>
  <conditionalFormatting sqref="C1">
    <cfRule type="cellIs" dxfId="70" priority="119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04" zoomScale="90" zoomScaleNormal="90" workbookViewId="0">
      <pane xSplit="4" topLeftCell="DZ1" activePane="topRight" state="frozen"/>
      <selection activeCell="A109" sqref="A109"/>
      <selection pane="topRight" activeCell="GG227" sqref="GG22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$A$226</v>
      </c>
      <c r="D111" s="1" t="str">
        <f>ADDRESS(C121-1,D121,1,1)</f>
        <v>$GG$226</v>
      </c>
      <c r="E111"/>
    </row>
    <row r="112" spans="1:5" x14ac:dyDescent="0.25">
      <c r="A112" s="30">
        <v>515.50191262726139</v>
      </c>
      <c r="C112" s="1" t="str">
        <f>ADDRESS(C121,1,1,1)</f>
        <v>$A$227</v>
      </c>
      <c r="D112" s="1" t="str">
        <f>ADDRESS(C121,D121-1,1,1)</f>
        <v>$GF$227</v>
      </c>
      <c r="E112"/>
    </row>
    <row r="113" spans="1:5" x14ac:dyDescent="0.25">
      <c r="A113" s="30">
        <v>490.95420250215363</v>
      </c>
      <c r="C113" s="1" t="str">
        <f>ADDRESS(C121+1,1,1,1)</f>
        <v>$A$228</v>
      </c>
      <c r="D113" s="1" t="str">
        <f>ADDRESS(C121-1,D121+1,1,1)</f>
        <v>$GH$226</v>
      </c>
    </row>
    <row r="114" spans="1:5" x14ac:dyDescent="0.25">
      <c r="A114" s="30">
        <v>467.57543095443202</v>
      </c>
      <c r="C114" s="1" t="str">
        <f>ADDRESS(C121,D121,1,1)</f>
        <v>$GG$227</v>
      </c>
      <c r="D114" s="1" t="str">
        <f>ADDRESS(C121+1,D121+1,1,1)</f>
        <v>$GH$228</v>
      </c>
    </row>
    <row r="115" spans="1:5" x14ac:dyDescent="0.25">
      <c r="A115" s="30">
        <v>445.30993424231622</v>
      </c>
      <c r="C115" s="1" t="str">
        <f>ADDRESS(C121+1,D121,1,1)</f>
        <v>$GG$228</v>
      </c>
    </row>
    <row r="116" spans="1:5" x14ac:dyDescent="0.25">
      <c r="A116" s="30">
        <v>424.10469927839637</v>
      </c>
      <c r="C116" s="1">
        <f>C117-1</f>
        <v>226</v>
      </c>
    </row>
    <row r="117" spans="1:5" x14ac:dyDescent="0.25">
      <c r="A117" s="30">
        <v>403.9092374079965</v>
      </c>
      <c r="C117" s="1">
        <f>C121</f>
        <v>227</v>
      </c>
      <c r="D117" s="1">
        <f>D121</f>
        <v>189</v>
      </c>
    </row>
    <row r="118" spans="1:5" x14ac:dyDescent="0.25">
      <c r="A118" s="30">
        <v>384.6754641980919</v>
      </c>
      <c r="C118" s="1">
        <f>C117+1</f>
        <v>228</v>
      </c>
      <c r="D118" s="1">
        <f>D117+1</f>
        <v>190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227</v>
      </c>
      <c r="D121" s="19">
        <v>189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R227</v>
      </c>
      <c r="D123" s="1" t="str">
        <f>"C"&amp;D121</f>
        <v>C189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1.8856491423232367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46" x14ac:dyDescent="0.25">
      <c r="A177" s="30">
        <v>21.623492570684135</v>
      </c>
      <c r="E177"/>
    </row>
    <row r="178" spans="1:146" x14ac:dyDescent="0.25">
      <c r="A178" s="30">
        <v>20.593802448270605</v>
      </c>
      <c r="C178" s="7"/>
      <c r="D178"/>
      <c r="E178"/>
    </row>
    <row r="179" spans="1:146" x14ac:dyDescent="0.25">
      <c r="A179" s="30">
        <v>19.613145188829147</v>
      </c>
      <c r="E179"/>
    </row>
    <row r="180" spans="1:146" x14ac:dyDescent="0.25">
      <c r="A180" s="30">
        <v>18.679185894122998</v>
      </c>
      <c r="E180"/>
    </row>
    <row r="181" spans="1:146" x14ac:dyDescent="0.25">
      <c r="A181" s="30">
        <v>17.78970085154571</v>
      </c>
      <c r="C181"/>
      <c r="D181"/>
      <c r="E181"/>
    </row>
    <row r="182" spans="1:146" x14ac:dyDescent="0.25">
      <c r="A182" s="30">
        <v>16.942572239567344</v>
      </c>
      <c r="E182"/>
    </row>
    <row r="183" spans="1:146" x14ac:dyDescent="0.25">
      <c r="A183" s="30">
        <v>16.135783085302233</v>
      </c>
      <c r="E183"/>
      <c r="EG183" s="33" t="s">
        <v>8</v>
      </c>
    </row>
    <row r="184" spans="1:146" x14ac:dyDescent="0.25">
      <c r="A184" s="30">
        <v>15.367412462192602</v>
      </c>
      <c r="E184"/>
      <c r="EG184" s="27" t="s">
        <v>8</v>
      </c>
      <c r="EH184" s="33" t="s">
        <v>7</v>
      </c>
    </row>
    <row r="185" spans="1:146" x14ac:dyDescent="0.25">
      <c r="A185" s="30">
        <v>14.635630916373906</v>
      </c>
      <c r="C185"/>
      <c r="E185"/>
      <c r="EG185" s="27" t="s">
        <v>8</v>
      </c>
      <c r="EH185" s="27" t="s">
        <v>7</v>
      </c>
      <c r="EI185" s="33"/>
    </row>
    <row r="186" spans="1:146" x14ac:dyDescent="0.25">
      <c r="A186" s="30">
        <v>13.938696110832291</v>
      </c>
      <c r="E186"/>
      <c r="EG186" s="27" t="s">
        <v>8</v>
      </c>
      <c r="EH186" s="27" t="s">
        <v>7</v>
      </c>
      <c r="EJ186" s="33"/>
    </row>
    <row r="187" spans="1:146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EG187" s="27" t="s">
        <v>8</v>
      </c>
      <c r="EH187" s="27" t="s">
        <v>7</v>
      </c>
      <c r="EK187" s="33"/>
    </row>
    <row r="188" spans="1:146" x14ac:dyDescent="0.25">
      <c r="A188" s="30">
        <v>12.64280826379346</v>
      </c>
      <c r="E188"/>
      <c r="EG188" s="27" t="s">
        <v>8</v>
      </c>
      <c r="EH188" s="27" t="s">
        <v>7</v>
      </c>
      <c r="EL188" s="33"/>
    </row>
    <row r="189" spans="1:146" x14ac:dyDescent="0.25">
      <c r="A189" s="30">
        <v>12.04076977504139</v>
      </c>
      <c r="E189"/>
      <c r="EG189" s="27" t="s">
        <v>8</v>
      </c>
      <c r="EH189" s="27" t="s">
        <v>7</v>
      </c>
      <c r="EM189" s="33"/>
    </row>
    <row r="190" spans="1:146" x14ac:dyDescent="0.25">
      <c r="A190" s="30">
        <v>11.467399785753704</v>
      </c>
      <c r="E190"/>
      <c r="EG190" s="27" t="s">
        <v>8</v>
      </c>
      <c r="EH190" s="27" t="s">
        <v>7</v>
      </c>
      <c r="EI190" s="27" t="s">
        <v>8</v>
      </c>
      <c r="EN190" s="33"/>
    </row>
    <row r="191" spans="1:146" x14ac:dyDescent="0.25">
      <c r="A191" s="30">
        <v>10.921333129289241</v>
      </c>
      <c r="E191"/>
      <c r="EG191" s="27" t="s">
        <v>8</v>
      </c>
      <c r="EH191" s="27" t="s">
        <v>7</v>
      </c>
      <c r="EI191" s="27" t="s">
        <v>8</v>
      </c>
      <c r="EJ191" s="27" t="s">
        <v>7</v>
      </c>
      <c r="EO191" s="33"/>
    </row>
    <row r="192" spans="1:146" x14ac:dyDescent="0.25">
      <c r="A192" s="30">
        <v>10.401269646942135</v>
      </c>
      <c r="E192"/>
      <c r="EG192" s="27" t="s">
        <v>8</v>
      </c>
      <c r="EH192" s="27" t="s">
        <v>7</v>
      </c>
      <c r="EI192" s="27" t="s">
        <v>8</v>
      </c>
      <c r="EJ192" s="27" t="s">
        <v>7</v>
      </c>
      <c r="EP192" s="33"/>
    </row>
    <row r="193" spans="1:184" x14ac:dyDescent="0.25">
      <c r="A193" s="30">
        <v>9.9059710923258422</v>
      </c>
      <c r="E193"/>
      <c r="EG193" s="27" t="s">
        <v>8</v>
      </c>
      <c r="EH193" s="27" t="s">
        <v>7</v>
      </c>
      <c r="EI193" s="27" t="s">
        <v>8</v>
      </c>
      <c r="EJ193" s="27" t="s">
        <v>7</v>
      </c>
      <c r="EQ193" s="33"/>
    </row>
    <row r="194" spans="1:184" x14ac:dyDescent="0.25">
      <c r="A194" s="30">
        <v>9.4342581831674686</v>
      </c>
      <c r="E194"/>
      <c r="EG194" s="27" t="s">
        <v>8</v>
      </c>
      <c r="EH194" s="27" t="s">
        <v>7</v>
      </c>
      <c r="EI194" s="27" t="s">
        <v>8</v>
      </c>
      <c r="EJ194" s="27" t="s">
        <v>7</v>
      </c>
      <c r="ER194" s="33"/>
    </row>
    <row r="195" spans="1:184" x14ac:dyDescent="0.25">
      <c r="A195" s="30">
        <v>8.9850077934928265</v>
      </c>
      <c r="E195"/>
      <c r="EG195" s="27" t="s">
        <v>8</v>
      </c>
      <c r="EH195" s="27" t="s">
        <v>7</v>
      </c>
      <c r="EI195" s="27" t="s">
        <v>8</v>
      </c>
      <c r="EJ195" s="27" t="s">
        <v>7</v>
      </c>
      <c r="ES195" s="33"/>
    </row>
    <row r="196" spans="1:184" x14ac:dyDescent="0.25">
      <c r="A196" s="30">
        <v>8.5571502795169767</v>
      </c>
      <c r="E196"/>
      <c r="EG196" s="27" t="s">
        <v>8</v>
      </c>
      <c r="EH196" s="27" t="s">
        <v>7</v>
      </c>
      <c r="EI196" s="27" t="s">
        <v>8</v>
      </c>
      <c r="EJ196" s="27" t="s">
        <v>7</v>
      </c>
      <c r="EM196" s="27" t="s">
        <v>8</v>
      </c>
      <c r="ET196" s="33"/>
    </row>
    <row r="197" spans="1:184" x14ac:dyDescent="0.25">
      <c r="A197" s="30">
        <v>8.1496669328733109</v>
      </c>
      <c r="E197"/>
      <c r="EG197" s="27" t="s">
        <v>8</v>
      </c>
      <c r="EH197" s="27" t="s">
        <v>7</v>
      </c>
      <c r="EI197" s="27" t="s">
        <v>8</v>
      </c>
      <c r="EJ197" s="27" t="s">
        <v>7</v>
      </c>
      <c r="EK197" s="27" t="s">
        <v>8</v>
      </c>
      <c r="EM197" s="27" t="s">
        <v>8</v>
      </c>
      <c r="EN197" s="27" t="s">
        <v>7</v>
      </c>
      <c r="EU197" s="33"/>
    </row>
    <row r="198" spans="1:184" x14ac:dyDescent="0.25">
      <c r="A198" s="30">
        <v>7.7615875551174378</v>
      </c>
      <c r="E198"/>
      <c r="EG198" s="27" t="s">
        <v>8</v>
      </c>
      <c r="EH198" s="27" t="s">
        <v>7</v>
      </c>
      <c r="EI198" s="27" t="s">
        <v>8</v>
      </c>
      <c r="EJ198" s="27" t="s">
        <v>7</v>
      </c>
      <c r="EK198" s="27" t="s">
        <v>8</v>
      </c>
      <c r="EL198" s="27" t="s">
        <v>7</v>
      </c>
      <c r="EM198" s="27" t="s">
        <v>8</v>
      </c>
      <c r="EN198" s="27" t="s">
        <v>7</v>
      </c>
      <c r="EV198" s="33"/>
    </row>
    <row r="199" spans="1:184" x14ac:dyDescent="0.25">
      <c r="A199" s="30">
        <v>7.3919881477308929</v>
      </c>
      <c r="E199"/>
      <c r="EG199" s="27" t="s">
        <v>8</v>
      </c>
      <c r="EH199" s="27" t="s">
        <v>7</v>
      </c>
      <c r="EI199" s="27" t="s">
        <v>8</v>
      </c>
      <c r="EJ199" s="27" t="s">
        <v>7</v>
      </c>
      <c r="EK199" s="27" t="s">
        <v>8</v>
      </c>
      <c r="EL199" s="27" t="s">
        <v>7</v>
      </c>
      <c r="EM199" s="27" t="s">
        <v>8</v>
      </c>
      <c r="EN199" s="27" t="s">
        <v>7</v>
      </c>
      <c r="EW199" s="33"/>
    </row>
    <row r="200" spans="1:184" x14ac:dyDescent="0.25">
      <c r="A200" s="30">
        <v>7.0399887121246598</v>
      </c>
      <c r="E200"/>
      <c r="EG200" s="27" t="s">
        <v>8</v>
      </c>
      <c r="EH200" s="27" t="s">
        <v>7</v>
      </c>
      <c r="EI200" s="27" t="s">
        <v>8</v>
      </c>
      <c r="EJ200" s="27" t="s">
        <v>7</v>
      </c>
      <c r="EL200" s="27" t="s">
        <v>7</v>
      </c>
      <c r="EM200" s="27" t="s">
        <v>8</v>
      </c>
      <c r="EN200" s="27" t="s">
        <v>7</v>
      </c>
      <c r="EX200" s="33"/>
    </row>
    <row r="201" spans="1:184" x14ac:dyDescent="0.25">
      <c r="A201" s="30">
        <v>6.7047511544044376</v>
      </c>
      <c r="E201"/>
      <c r="EG201" s="27" t="s">
        <v>8</v>
      </c>
      <c r="EH201" s="27" t="s">
        <v>7</v>
      </c>
      <c r="EL201" s="27" t="s">
        <v>7</v>
      </c>
      <c r="EM201" s="27" t="s">
        <v>8</v>
      </c>
      <c r="EN201" s="27" t="s">
        <v>7</v>
      </c>
      <c r="EY201" s="33"/>
    </row>
    <row r="202" spans="1:184" x14ac:dyDescent="0.25">
      <c r="A202" s="30">
        <v>6.3854772899089882</v>
      </c>
      <c r="E202"/>
      <c r="EG202" s="27" t="s">
        <v>8</v>
      </c>
      <c r="EL202" s="27" t="s">
        <v>7</v>
      </c>
      <c r="EM202" s="27" t="s">
        <v>8</v>
      </c>
      <c r="EN202" s="27" t="s">
        <v>7</v>
      </c>
      <c r="EO202" s="27" t="s">
        <v>8</v>
      </c>
      <c r="EZ202" s="33"/>
      <c r="FU202" s="27" t="s">
        <v>8</v>
      </c>
    </row>
    <row r="203" spans="1:184" x14ac:dyDescent="0.25">
      <c r="A203" s="30">
        <v>6.0814069427704647</v>
      </c>
      <c r="C203" s="7"/>
      <c r="D203"/>
      <c r="E203"/>
      <c r="EG203" s="27" t="s">
        <v>8</v>
      </c>
      <c r="EL203" s="27" t="s">
        <v>7</v>
      </c>
      <c r="EM203" s="27" t="s">
        <v>8</v>
      </c>
      <c r="EN203" s="27" t="s">
        <v>7</v>
      </c>
      <c r="EO203" s="27" t="s">
        <v>8</v>
      </c>
      <c r="EP203" s="27" t="s">
        <v>7</v>
      </c>
      <c r="FA203" s="33"/>
      <c r="FU203" s="27" t="s">
        <v>8</v>
      </c>
      <c r="FV203" s="27" t="s">
        <v>7</v>
      </c>
    </row>
    <row r="204" spans="1:184" x14ac:dyDescent="0.25">
      <c r="A204" s="30">
        <v>5.7918161359718709</v>
      </c>
      <c r="E204"/>
      <c r="EG204" s="27" t="s">
        <v>8</v>
      </c>
      <c r="EL204" s="27" t="s">
        <v>7</v>
      </c>
      <c r="EM204" s="27" t="s">
        <v>8</v>
      </c>
      <c r="EN204" s="27" t="s">
        <v>7</v>
      </c>
      <c r="EO204" s="27" t="s">
        <v>8</v>
      </c>
      <c r="EP204" s="27" t="s">
        <v>7</v>
      </c>
      <c r="EQ204" s="27" t="s">
        <v>8</v>
      </c>
      <c r="FB204" s="33"/>
      <c r="FG204" s="27" t="s">
        <v>8</v>
      </c>
      <c r="FU204" s="27" t="s">
        <v>8</v>
      </c>
      <c r="FV204" s="27" t="s">
        <v>7</v>
      </c>
    </row>
    <row r="205" spans="1:184" x14ac:dyDescent="0.25">
      <c r="A205" s="30">
        <v>5.5160153675922574</v>
      </c>
      <c r="E205"/>
      <c r="EE205" s="27" t="s">
        <v>8</v>
      </c>
      <c r="EG205" s="27" t="s">
        <v>8</v>
      </c>
      <c r="EL205" s="27" t="s">
        <v>7</v>
      </c>
      <c r="EM205" s="27" t="s">
        <v>8</v>
      </c>
      <c r="EN205" s="27" t="s">
        <v>7</v>
      </c>
      <c r="EO205" s="27" t="s">
        <v>8</v>
      </c>
      <c r="EP205" s="27" t="s">
        <v>7</v>
      </c>
      <c r="EQ205" s="27" t="s">
        <v>8</v>
      </c>
      <c r="ER205" s="27" t="s">
        <v>7</v>
      </c>
      <c r="FC205" s="33"/>
      <c r="FE205" s="27" t="s">
        <v>8</v>
      </c>
      <c r="FG205" s="27" t="s">
        <v>8</v>
      </c>
      <c r="FH205" s="27" t="s">
        <v>7</v>
      </c>
      <c r="FU205" s="27" t="s">
        <v>8</v>
      </c>
      <c r="FV205" s="27" t="s">
        <v>7</v>
      </c>
      <c r="GA205" s="27" t="s">
        <v>8</v>
      </c>
    </row>
    <row r="206" spans="1:184" x14ac:dyDescent="0.25">
      <c r="A206" s="30">
        <v>5.2533479691354827</v>
      </c>
      <c r="C206"/>
      <c r="D206"/>
      <c r="E206"/>
      <c r="EE206" s="27" t="s">
        <v>8</v>
      </c>
      <c r="EF206" s="27" t="s">
        <v>7</v>
      </c>
      <c r="EG206" s="27" t="s">
        <v>8</v>
      </c>
      <c r="EL206" s="27" t="s">
        <v>7</v>
      </c>
      <c r="EM206" s="27" t="s">
        <v>8</v>
      </c>
      <c r="EN206" s="27" t="s">
        <v>7</v>
      </c>
      <c r="EO206" s="27" t="s">
        <v>8</v>
      </c>
      <c r="EP206" s="27" t="s">
        <v>7</v>
      </c>
      <c r="EQ206" s="27" t="s">
        <v>8</v>
      </c>
      <c r="ER206" s="27" t="s">
        <v>7</v>
      </c>
      <c r="FD206" s="33"/>
      <c r="FE206" s="27" t="s">
        <v>8</v>
      </c>
      <c r="FF206" s="27" t="s">
        <v>7</v>
      </c>
      <c r="FG206" s="27" t="s">
        <v>8</v>
      </c>
      <c r="FH206" s="27" t="s">
        <v>7</v>
      </c>
      <c r="FU206" s="27" t="s">
        <v>8</v>
      </c>
      <c r="FV206" s="27" t="s">
        <v>7</v>
      </c>
      <c r="GA206" s="27" t="s">
        <v>8</v>
      </c>
      <c r="GB206" s="27" t="s">
        <v>7</v>
      </c>
    </row>
    <row r="207" spans="1:184" x14ac:dyDescent="0.25">
      <c r="A207" s="30">
        <v>5.0031885420337927</v>
      </c>
      <c r="E207"/>
      <c r="EE207" s="27" t="s">
        <v>8</v>
      </c>
      <c r="EF207" s="27" t="s">
        <v>7</v>
      </c>
      <c r="EG207" s="27" t="s">
        <v>8</v>
      </c>
      <c r="EL207" s="27" t="s">
        <v>7</v>
      </c>
      <c r="EM207" s="27" t="s">
        <v>8</v>
      </c>
      <c r="EN207" s="27" t="s">
        <v>7</v>
      </c>
      <c r="EO207" s="27" t="s">
        <v>8</v>
      </c>
      <c r="EP207" s="27" t="s">
        <v>7</v>
      </c>
      <c r="EQ207" s="27" t="s">
        <v>8</v>
      </c>
      <c r="ER207" s="27" t="s">
        <v>7</v>
      </c>
      <c r="FE207" s="33" t="s">
        <v>8</v>
      </c>
      <c r="FF207" s="27" t="s">
        <v>7</v>
      </c>
      <c r="FG207" s="27" t="s">
        <v>8</v>
      </c>
      <c r="FH207" s="27" t="s">
        <v>7</v>
      </c>
      <c r="FU207" s="27" t="s">
        <v>8</v>
      </c>
      <c r="FV207" s="27" t="s">
        <v>7</v>
      </c>
      <c r="GA207" s="27" t="s">
        <v>8</v>
      </c>
      <c r="GB207" s="27" t="s">
        <v>7</v>
      </c>
    </row>
    <row r="208" spans="1:184" x14ac:dyDescent="0.25">
      <c r="A208" s="30">
        <v>4.7649414686036122</v>
      </c>
      <c r="E208"/>
      <c r="EC208" s="27" t="s">
        <v>8</v>
      </c>
      <c r="EE208" s="27" t="s">
        <v>8</v>
      </c>
      <c r="EF208" s="27" t="s">
        <v>7</v>
      </c>
      <c r="EG208" s="27" t="s">
        <v>8</v>
      </c>
      <c r="EL208" s="27" t="s">
        <v>7</v>
      </c>
      <c r="EM208" s="27" t="s">
        <v>8</v>
      </c>
      <c r="EN208" s="27" t="s">
        <v>7</v>
      </c>
      <c r="EO208" s="27" t="s">
        <v>8</v>
      </c>
      <c r="EP208" s="27" t="s">
        <v>7</v>
      </c>
      <c r="EQ208" s="27" t="s">
        <v>8</v>
      </c>
      <c r="ER208" s="27" t="s">
        <v>7</v>
      </c>
      <c r="FC208" s="27" t="s">
        <v>8</v>
      </c>
      <c r="FE208" s="27" t="s">
        <v>8</v>
      </c>
      <c r="FF208" s="27" t="s">
        <v>7</v>
      </c>
      <c r="FG208" s="27" t="s">
        <v>8</v>
      </c>
      <c r="FH208" s="27" t="s">
        <v>7</v>
      </c>
      <c r="FS208" s="27" t="s">
        <v>8</v>
      </c>
      <c r="FU208" s="27" t="s">
        <v>8</v>
      </c>
      <c r="FV208" s="27" t="s">
        <v>7</v>
      </c>
      <c r="GA208" s="27" t="s">
        <v>8</v>
      </c>
      <c r="GB208" s="27" t="s">
        <v>7</v>
      </c>
    </row>
    <row r="209" spans="1:188" x14ac:dyDescent="0.25">
      <c r="A209" s="30">
        <v>4.5380394939082018</v>
      </c>
      <c r="E209"/>
      <c r="EC209" s="27" t="s">
        <v>8</v>
      </c>
      <c r="ED209" s="27" t="s">
        <v>7</v>
      </c>
      <c r="EE209" s="27" t="s">
        <v>8</v>
      </c>
      <c r="EF209" s="27" t="s">
        <v>7</v>
      </c>
      <c r="EG209" s="27" t="s">
        <v>8</v>
      </c>
      <c r="EL209" s="27" t="s">
        <v>7</v>
      </c>
      <c r="EM209" s="27" t="s">
        <v>8</v>
      </c>
      <c r="EN209" s="27" t="s">
        <v>7</v>
      </c>
      <c r="EO209" s="27" t="s">
        <v>8</v>
      </c>
      <c r="EP209" s="27" t="s">
        <v>7</v>
      </c>
      <c r="EQ209" s="27" t="s">
        <v>8</v>
      </c>
      <c r="ER209" s="27" t="s">
        <v>7</v>
      </c>
      <c r="ES209" s="27" t="s">
        <v>8</v>
      </c>
      <c r="FC209" s="27" t="s">
        <v>8</v>
      </c>
      <c r="FD209" s="27" t="s">
        <v>7</v>
      </c>
      <c r="FE209" s="27" t="s">
        <v>8</v>
      </c>
      <c r="FF209" s="27" t="s">
        <v>7</v>
      </c>
      <c r="FG209" s="27" t="s">
        <v>8</v>
      </c>
      <c r="FH209" s="27" t="s">
        <v>7</v>
      </c>
      <c r="FS209" s="27" t="s">
        <v>8</v>
      </c>
      <c r="FT209" s="27" t="s">
        <v>7</v>
      </c>
      <c r="FU209" s="27" t="s">
        <v>8</v>
      </c>
      <c r="FV209" s="27" t="s">
        <v>7</v>
      </c>
      <c r="FY209" s="27" t="s">
        <v>8</v>
      </c>
      <c r="GA209" s="27" t="s">
        <v>8</v>
      </c>
      <c r="GB209" s="27" t="s">
        <v>7</v>
      </c>
    </row>
    <row r="210" spans="1:188" x14ac:dyDescent="0.25">
      <c r="A210" s="30">
        <v>4.3219423751506678</v>
      </c>
      <c r="C210"/>
      <c r="E210"/>
      <c r="EC210" s="27" t="s">
        <v>8</v>
      </c>
      <c r="ED210" s="27" t="s">
        <v>7</v>
      </c>
      <c r="EE210" s="27" t="s">
        <v>8</v>
      </c>
      <c r="EF210" s="27" t="s">
        <v>7</v>
      </c>
      <c r="EG210" s="27" t="s">
        <v>8</v>
      </c>
      <c r="EL210" s="27" t="s">
        <v>7</v>
      </c>
      <c r="EM210" s="27" t="s">
        <v>8</v>
      </c>
      <c r="EN210" s="27" t="s">
        <v>7</v>
      </c>
      <c r="EO210" s="27" t="s">
        <v>8</v>
      </c>
      <c r="EP210" s="27" t="s">
        <v>7</v>
      </c>
      <c r="ER210" s="27" t="s">
        <v>7</v>
      </c>
      <c r="ES210" s="27" t="s">
        <v>8</v>
      </c>
      <c r="ET210" s="27" t="s">
        <v>7</v>
      </c>
      <c r="FC210" s="27" t="s">
        <v>8</v>
      </c>
      <c r="FD210" s="27" t="s">
        <v>7</v>
      </c>
      <c r="FE210" s="27" t="s">
        <v>8</v>
      </c>
      <c r="FF210" s="27" t="s">
        <v>7</v>
      </c>
      <c r="FH210" s="27" t="s">
        <v>7</v>
      </c>
      <c r="FI210" s="27" t="s">
        <v>8</v>
      </c>
      <c r="FK210" s="27" t="s">
        <v>8</v>
      </c>
      <c r="FS210" s="27" t="s">
        <v>8</v>
      </c>
      <c r="FT210" s="27" t="s">
        <v>7</v>
      </c>
      <c r="FU210" s="27" t="s">
        <v>8</v>
      </c>
      <c r="FV210" s="27" t="s">
        <v>7</v>
      </c>
      <c r="FW210" s="34" t="s">
        <v>8</v>
      </c>
      <c r="FY210" s="27" t="s">
        <v>8</v>
      </c>
      <c r="FZ210" s="27" t="s">
        <v>7</v>
      </c>
      <c r="GA210" s="27" t="s">
        <v>8</v>
      </c>
      <c r="GB210" s="27" t="s">
        <v>7</v>
      </c>
    </row>
    <row r="211" spans="1:188" x14ac:dyDescent="0.25">
      <c r="A211" s="30">
        <v>4.1161355953815884</v>
      </c>
      <c r="E211"/>
      <c r="EC211" s="27" t="s">
        <v>8</v>
      </c>
      <c r="ED211" s="27" t="s">
        <v>7</v>
      </c>
      <c r="EF211" s="27" t="s">
        <v>7</v>
      </c>
      <c r="EL211" s="27" t="s">
        <v>7</v>
      </c>
      <c r="EM211" s="27" t="s">
        <v>8</v>
      </c>
      <c r="EN211" s="27" t="s">
        <v>7</v>
      </c>
      <c r="ER211" s="27" t="s">
        <v>7</v>
      </c>
      <c r="ES211" s="27" t="s">
        <v>8</v>
      </c>
      <c r="ET211" s="27" t="s">
        <v>7</v>
      </c>
      <c r="FC211" s="27" t="s">
        <v>8</v>
      </c>
      <c r="FD211" s="27" t="s">
        <v>7</v>
      </c>
      <c r="FE211" s="27" t="s">
        <v>8</v>
      </c>
      <c r="FH211" s="27" t="s">
        <v>7</v>
      </c>
      <c r="FI211" s="27" t="s">
        <v>8</v>
      </c>
      <c r="FJ211" s="27" t="s">
        <v>7</v>
      </c>
      <c r="FK211" s="27" t="s">
        <v>8</v>
      </c>
      <c r="FL211" s="27" t="s">
        <v>7</v>
      </c>
      <c r="FQ211" s="27" t="s">
        <v>8</v>
      </c>
      <c r="FS211" s="27" t="s">
        <v>8</v>
      </c>
      <c r="FT211" s="27" t="s">
        <v>7</v>
      </c>
      <c r="FU211" s="27" t="s">
        <v>8</v>
      </c>
      <c r="FV211" s="34" t="s">
        <v>7</v>
      </c>
      <c r="FW211" s="27" t="s">
        <v>8</v>
      </c>
      <c r="FX211" s="27" t="s">
        <v>7</v>
      </c>
      <c r="FY211" s="27" t="s">
        <v>8</v>
      </c>
      <c r="FZ211" s="27" t="s">
        <v>7</v>
      </c>
      <c r="GA211" s="27" t="s">
        <v>8</v>
      </c>
      <c r="GB211" s="27" t="s">
        <v>7</v>
      </c>
    </row>
    <row r="212" spans="1:188" x14ac:dyDescent="0.25">
      <c r="A212" s="30">
        <v>3.9201291384586554</v>
      </c>
      <c r="E212"/>
      <c r="EC212" s="27" t="s">
        <v>8</v>
      </c>
      <c r="EL212" s="27" t="s">
        <v>7</v>
      </c>
      <c r="EM212" s="27" t="s">
        <v>8</v>
      </c>
      <c r="ER212" s="27" t="s">
        <v>7</v>
      </c>
      <c r="ES212" s="27" t="s">
        <v>8</v>
      </c>
      <c r="ET212" s="27" t="s">
        <v>7</v>
      </c>
      <c r="FA212" s="32" t="s">
        <v>8</v>
      </c>
      <c r="FC212" s="27" t="s">
        <v>8</v>
      </c>
      <c r="FD212" s="27" t="s">
        <v>7</v>
      </c>
      <c r="FH212" s="27" t="s">
        <v>7</v>
      </c>
      <c r="FI212" s="27" t="s">
        <v>8</v>
      </c>
      <c r="FJ212" s="27" t="s">
        <v>7</v>
      </c>
      <c r="FK212" s="33" t="s">
        <v>8</v>
      </c>
      <c r="FL212" s="27" t="s">
        <v>7</v>
      </c>
      <c r="FQ212" s="27" t="s">
        <v>8</v>
      </c>
      <c r="FR212" s="27" t="s">
        <v>7</v>
      </c>
      <c r="FS212" s="27" t="s">
        <v>8</v>
      </c>
      <c r="FT212" s="27" t="s">
        <v>7</v>
      </c>
      <c r="FU212" s="34" t="s">
        <v>8</v>
      </c>
      <c r="FV212" s="27" t="s">
        <v>7</v>
      </c>
      <c r="FW212" s="27" t="s">
        <v>8</v>
      </c>
      <c r="FX212" s="27" t="s">
        <v>7</v>
      </c>
      <c r="FY212" s="27" t="s">
        <v>8</v>
      </c>
      <c r="FZ212" s="27" t="s">
        <v>7</v>
      </c>
      <c r="GA212" s="27" t="s">
        <v>8</v>
      </c>
      <c r="GB212" s="27" t="s">
        <v>7</v>
      </c>
    </row>
    <row r="213" spans="1:188" x14ac:dyDescent="0.25">
      <c r="A213" s="30">
        <v>3.7334563223415764</v>
      </c>
      <c r="E213"/>
      <c r="EC213" s="27" t="s">
        <v>8</v>
      </c>
      <c r="EL213" s="27" t="s">
        <v>7</v>
      </c>
      <c r="EM213" s="27" t="s">
        <v>8</v>
      </c>
      <c r="ER213" s="27" t="s">
        <v>7</v>
      </c>
      <c r="ES213" s="27" t="s">
        <v>8</v>
      </c>
      <c r="ET213" s="27" t="s">
        <v>7</v>
      </c>
      <c r="EW213" s="27" t="s">
        <v>8</v>
      </c>
      <c r="EY213" s="27" t="s">
        <v>8</v>
      </c>
      <c r="FA213" s="27" t="s">
        <v>8</v>
      </c>
      <c r="FB213" s="27" t="s">
        <v>7</v>
      </c>
      <c r="FC213" s="27" t="s">
        <v>8</v>
      </c>
      <c r="FH213" s="27" t="s">
        <v>7</v>
      </c>
      <c r="FI213" s="27" t="s">
        <v>8</v>
      </c>
      <c r="FJ213" s="33" t="s">
        <v>7</v>
      </c>
      <c r="FL213" s="27" t="s">
        <v>7</v>
      </c>
      <c r="FQ213" s="27" t="s">
        <v>8</v>
      </c>
      <c r="FR213" s="27" t="s">
        <v>7</v>
      </c>
      <c r="FS213" s="27" t="s">
        <v>8</v>
      </c>
      <c r="FT213" s="33" t="s">
        <v>7</v>
      </c>
      <c r="FV213" s="27" t="s">
        <v>7</v>
      </c>
      <c r="FX213" s="27" t="s">
        <v>7</v>
      </c>
      <c r="FZ213" s="27" t="s">
        <v>7</v>
      </c>
      <c r="GB213" s="27" t="s">
        <v>7</v>
      </c>
    </row>
    <row r="214" spans="1:188" x14ac:dyDescent="0.25">
      <c r="A214" s="30">
        <v>3.5556726879443583</v>
      </c>
      <c r="E214"/>
      <c r="EC214" s="27" t="s">
        <v>8</v>
      </c>
      <c r="EL214" s="27" t="s">
        <v>7</v>
      </c>
      <c r="EM214" s="27" t="s">
        <v>8</v>
      </c>
      <c r="ER214" s="27" t="s">
        <v>7</v>
      </c>
      <c r="ES214" s="27" t="s">
        <v>8</v>
      </c>
      <c r="ET214" s="27" t="s">
        <v>7</v>
      </c>
      <c r="EW214" s="27" t="s">
        <v>8</v>
      </c>
      <c r="EX214" s="27" t="s">
        <v>7</v>
      </c>
      <c r="EY214" s="27" t="s">
        <v>8</v>
      </c>
      <c r="EZ214" s="27" t="s">
        <v>7</v>
      </c>
      <c r="FA214" s="27" t="s">
        <v>8</v>
      </c>
      <c r="FB214" s="27" t="s">
        <v>7</v>
      </c>
      <c r="FC214" s="27" t="s">
        <v>8</v>
      </c>
      <c r="FH214" s="27" t="s">
        <v>7</v>
      </c>
      <c r="FI214" s="33"/>
      <c r="FL214" s="27" t="s">
        <v>7</v>
      </c>
      <c r="FO214" s="27" t="s">
        <v>8</v>
      </c>
      <c r="FQ214" s="27" t="s">
        <v>8</v>
      </c>
      <c r="FR214" s="27" t="s">
        <v>7</v>
      </c>
      <c r="FS214" s="33"/>
      <c r="GB214" s="27" t="s">
        <v>7</v>
      </c>
      <c r="GE214" s="27" t="s">
        <v>8</v>
      </c>
    </row>
    <row r="215" spans="1:188" x14ac:dyDescent="0.25">
      <c r="A215" s="30">
        <v>3.3863549408993889</v>
      </c>
      <c r="E215"/>
      <c r="EC215" s="27" t="s">
        <v>8</v>
      </c>
      <c r="EL215" s="27" t="s">
        <v>7</v>
      </c>
      <c r="EM215" s="27" t="s">
        <v>8</v>
      </c>
      <c r="ER215" s="27" t="s">
        <v>7</v>
      </c>
      <c r="ES215" s="27" t="s">
        <v>8</v>
      </c>
      <c r="ET215" s="27" t="s">
        <v>7</v>
      </c>
      <c r="EW215" s="27" t="s">
        <v>8</v>
      </c>
      <c r="EX215" s="27" t="s">
        <v>7</v>
      </c>
      <c r="EY215" s="27" t="s">
        <v>8</v>
      </c>
      <c r="EZ215" s="27" t="s">
        <v>7</v>
      </c>
      <c r="FA215" s="27" t="s">
        <v>8</v>
      </c>
      <c r="FB215" s="27" t="s">
        <v>7</v>
      </c>
      <c r="FH215" s="33"/>
      <c r="FL215" s="27" t="s">
        <v>7</v>
      </c>
      <c r="FM215" s="27" t="s">
        <v>8</v>
      </c>
      <c r="FO215" s="27" t="s">
        <v>8</v>
      </c>
      <c r="FP215" s="27" t="s">
        <v>7</v>
      </c>
      <c r="FQ215" s="27" t="s">
        <v>8</v>
      </c>
      <c r="FR215" s="33"/>
      <c r="GB215" s="27" t="s">
        <v>7</v>
      </c>
      <c r="GC215" s="27" t="s">
        <v>8</v>
      </c>
      <c r="GE215" s="27" t="s">
        <v>8</v>
      </c>
      <c r="GF215" s="27" t="s">
        <v>7</v>
      </c>
    </row>
    <row r="216" spans="1:188" x14ac:dyDescent="0.25">
      <c r="A216" s="30">
        <v>3.2250999437137038</v>
      </c>
      <c r="E216"/>
      <c r="EA216" s="27" t="s">
        <v>8</v>
      </c>
      <c r="EC216" s="27" t="s">
        <v>8</v>
      </c>
      <c r="EL216" s="27" t="s">
        <v>7</v>
      </c>
      <c r="ER216" s="27" t="s">
        <v>7</v>
      </c>
      <c r="ES216" s="27" t="s">
        <v>8</v>
      </c>
      <c r="ET216" s="27" t="s">
        <v>7</v>
      </c>
      <c r="EW216" s="32" t="s">
        <v>8</v>
      </c>
      <c r="EX216" s="27" t="s">
        <v>7</v>
      </c>
      <c r="EY216" s="27" t="s">
        <v>8</v>
      </c>
      <c r="EZ216" s="27" t="s">
        <v>7</v>
      </c>
      <c r="FG216" s="33"/>
      <c r="FL216" s="27" t="s">
        <v>7</v>
      </c>
      <c r="FM216" s="27" t="s">
        <v>8</v>
      </c>
      <c r="FN216" s="27" t="s">
        <v>7</v>
      </c>
      <c r="FO216" s="27" t="s">
        <v>8</v>
      </c>
      <c r="FP216" s="27" t="s">
        <v>7</v>
      </c>
      <c r="FQ216" s="33" t="s">
        <v>8</v>
      </c>
      <c r="GB216" s="27" t="s">
        <v>7</v>
      </c>
      <c r="GC216" s="27" t="s">
        <v>8</v>
      </c>
      <c r="GD216" s="27" t="s">
        <v>7</v>
      </c>
      <c r="GE216" s="27" t="s">
        <v>8</v>
      </c>
      <c r="GF216" s="27" t="s">
        <v>7</v>
      </c>
    </row>
    <row r="217" spans="1:188" x14ac:dyDescent="0.25">
      <c r="A217" s="30">
        <v>3.0715237559178128</v>
      </c>
      <c r="E217"/>
      <c r="DQ217" s="27" t="s">
        <v>8</v>
      </c>
      <c r="DS217" s="27" t="s">
        <v>8</v>
      </c>
      <c r="EA217" s="27" t="s">
        <v>8</v>
      </c>
      <c r="EB217" s="27" t="s">
        <v>7</v>
      </c>
      <c r="EC217" s="27" t="s">
        <v>8</v>
      </c>
      <c r="ER217" s="27" t="s">
        <v>7</v>
      </c>
      <c r="ET217" s="27" t="s">
        <v>7</v>
      </c>
      <c r="EU217" s="27" t="s">
        <v>8</v>
      </c>
      <c r="EW217" s="27" t="s">
        <v>8</v>
      </c>
      <c r="EX217" s="27" t="s">
        <v>7</v>
      </c>
      <c r="EY217" s="27" t="s">
        <v>8</v>
      </c>
      <c r="FF217" s="33"/>
      <c r="FL217" s="27" t="s">
        <v>7</v>
      </c>
      <c r="FM217" s="27" t="s">
        <v>8</v>
      </c>
      <c r="FN217" s="27" t="s">
        <v>7</v>
      </c>
      <c r="FO217" s="27" t="s">
        <v>8</v>
      </c>
      <c r="FP217" s="33" t="s">
        <v>7</v>
      </c>
      <c r="GB217" s="27" t="s">
        <v>7</v>
      </c>
      <c r="GC217" s="27" t="s">
        <v>8</v>
      </c>
      <c r="GD217" s="27" t="s">
        <v>7</v>
      </c>
      <c r="GE217" s="27" t="s">
        <v>8</v>
      </c>
      <c r="GF217" s="27" t="s">
        <v>7</v>
      </c>
    </row>
    <row r="218" spans="1:188" x14ac:dyDescent="0.25">
      <c r="A218" s="30">
        <v>2.9252607199217264</v>
      </c>
      <c r="E218"/>
      <c r="DQ218" s="27" t="s">
        <v>8</v>
      </c>
      <c r="DR218" s="27" t="s">
        <v>7</v>
      </c>
      <c r="DS218" s="27" t="s">
        <v>8</v>
      </c>
      <c r="DT218" s="27" t="s">
        <v>7</v>
      </c>
      <c r="DU218" s="27" t="s">
        <v>8</v>
      </c>
      <c r="DY218" s="27" t="s">
        <v>8</v>
      </c>
      <c r="EA218" s="27" t="s">
        <v>8</v>
      </c>
      <c r="EB218" s="27" t="s">
        <v>7</v>
      </c>
      <c r="EC218" s="27" t="s">
        <v>8</v>
      </c>
      <c r="ET218" s="27" t="s">
        <v>7</v>
      </c>
      <c r="EU218" s="27" t="s">
        <v>8</v>
      </c>
      <c r="EV218" s="27" t="s">
        <v>7</v>
      </c>
      <c r="EW218" s="27" t="s">
        <v>8</v>
      </c>
      <c r="EX218" s="27" t="s">
        <v>7</v>
      </c>
      <c r="EY218" s="27" t="s">
        <v>8</v>
      </c>
      <c r="FE218" s="33"/>
      <c r="FL218" s="27" t="s">
        <v>7</v>
      </c>
      <c r="FN218" s="27" t="s">
        <v>7</v>
      </c>
      <c r="GB218" s="27" t="s">
        <v>7</v>
      </c>
      <c r="GC218" s="27" t="s">
        <v>8</v>
      </c>
      <c r="GD218" s="27" t="s">
        <v>7</v>
      </c>
      <c r="GF218" s="27" t="s">
        <v>7</v>
      </c>
    </row>
    <row r="219" spans="1:188" x14ac:dyDescent="0.25">
      <c r="A219" s="30">
        <v>2.7859625904016441</v>
      </c>
      <c r="E219"/>
      <c r="DO219" s="27" t="s">
        <v>8</v>
      </c>
      <c r="DQ219" s="27" t="s">
        <v>8</v>
      </c>
      <c r="DR219" s="27" t="s">
        <v>7</v>
      </c>
      <c r="DS219" s="27" t="s">
        <v>8</v>
      </c>
      <c r="DT219" s="27" t="s">
        <v>7</v>
      </c>
      <c r="DU219" s="27" t="s">
        <v>8</v>
      </c>
      <c r="DV219" s="27" t="s">
        <v>7</v>
      </c>
      <c r="DW219" s="27" t="s">
        <v>8</v>
      </c>
      <c r="DY219" s="27" t="s">
        <v>8</v>
      </c>
      <c r="DZ219" s="27" t="s">
        <v>7</v>
      </c>
      <c r="EA219" s="27" t="s">
        <v>8</v>
      </c>
      <c r="EB219" s="27" t="s">
        <v>7</v>
      </c>
      <c r="EC219" s="27" t="s">
        <v>8</v>
      </c>
      <c r="ET219" s="27" t="s">
        <v>7</v>
      </c>
      <c r="EU219" s="27" t="s">
        <v>8</v>
      </c>
      <c r="EV219" s="27" t="s">
        <v>7</v>
      </c>
      <c r="EW219" s="27" t="s">
        <v>8</v>
      </c>
      <c r="EX219" s="27" t="s">
        <v>7</v>
      </c>
      <c r="EY219" s="27" t="s">
        <v>8</v>
      </c>
      <c r="FD219" s="33"/>
      <c r="GB219" s="27" t="s">
        <v>7</v>
      </c>
      <c r="GC219" s="27" t="s">
        <v>8</v>
      </c>
      <c r="GF219" s="27" t="s">
        <v>7</v>
      </c>
    </row>
    <row r="220" spans="1:188" x14ac:dyDescent="0.25">
      <c r="A220" s="30">
        <v>2.6532977051444226</v>
      </c>
      <c r="E220"/>
      <c r="DO220" s="27" t="s">
        <v>8</v>
      </c>
      <c r="DP220" s="27" t="s">
        <v>7</v>
      </c>
      <c r="DQ220" s="27" t="s">
        <v>8</v>
      </c>
      <c r="DR220" s="27" t="s">
        <v>7</v>
      </c>
      <c r="DT220" s="27" t="s">
        <v>7</v>
      </c>
      <c r="DU220" s="27" t="s">
        <v>8</v>
      </c>
      <c r="DV220" s="27" t="s">
        <v>7</v>
      </c>
      <c r="DW220" s="27" t="s">
        <v>8</v>
      </c>
      <c r="DX220" s="27" t="s">
        <v>7</v>
      </c>
      <c r="DY220" s="27" t="s">
        <v>8</v>
      </c>
      <c r="DZ220" s="27" t="s">
        <v>7</v>
      </c>
      <c r="EA220" s="27" t="s">
        <v>8</v>
      </c>
      <c r="EB220" s="27" t="s">
        <v>7</v>
      </c>
      <c r="ET220" s="27" t="s">
        <v>7</v>
      </c>
      <c r="EU220" s="27" t="s">
        <v>8</v>
      </c>
      <c r="EV220" s="27" t="s">
        <v>7</v>
      </c>
      <c r="EW220" s="27" t="s">
        <v>8</v>
      </c>
      <c r="EX220" s="27" t="s">
        <v>7</v>
      </c>
      <c r="EY220" s="27" t="s">
        <v>8</v>
      </c>
      <c r="FC220" s="33"/>
      <c r="GB220" s="27" t="s">
        <v>7</v>
      </c>
      <c r="GF220" s="27" t="s">
        <v>7</v>
      </c>
    </row>
    <row r="221" spans="1:188" x14ac:dyDescent="0.25">
      <c r="A221" s="30">
        <v>2.5269501953756404</v>
      </c>
      <c r="E221"/>
      <c r="DC221" s="27" t="s">
        <v>8</v>
      </c>
      <c r="DM221" s="27" t="s">
        <v>8</v>
      </c>
      <c r="DO221" s="27" t="s">
        <v>8</v>
      </c>
      <c r="DP221" s="27" t="s">
        <v>7</v>
      </c>
      <c r="DQ221" s="27" t="s">
        <v>8</v>
      </c>
      <c r="DT221" s="27" t="s">
        <v>7</v>
      </c>
      <c r="DV221" s="27" t="s">
        <v>7</v>
      </c>
      <c r="DW221" s="27" t="s">
        <v>8</v>
      </c>
      <c r="DX221" s="27" t="s">
        <v>7</v>
      </c>
      <c r="DY221" s="27" t="s">
        <v>8</v>
      </c>
      <c r="DZ221" s="27" t="s">
        <v>7</v>
      </c>
      <c r="EA221" s="27" t="s">
        <v>8</v>
      </c>
      <c r="ET221" s="27" t="s">
        <v>7</v>
      </c>
      <c r="EU221" s="27" t="s">
        <v>8</v>
      </c>
      <c r="EV221" s="27" t="s">
        <v>7</v>
      </c>
      <c r="EX221" s="27" t="s">
        <v>7</v>
      </c>
      <c r="EY221" s="27" t="s">
        <v>8</v>
      </c>
      <c r="FB221" s="33"/>
      <c r="GF221" s="27" t="s">
        <v>7</v>
      </c>
    </row>
    <row r="222" spans="1:188" x14ac:dyDescent="0.25">
      <c r="A222" s="30">
        <v>2.4066192336910861</v>
      </c>
      <c r="E222"/>
      <c r="DC222" s="27" t="s">
        <v>8</v>
      </c>
      <c r="DD222" s="27" t="s">
        <v>7</v>
      </c>
      <c r="DM222" s="27" t="s">
        <v>8</v>
      </c>
      <c r="DN222" s="27" t="s">
        <v>7</v>
      </c>
      <c r="DO222" s="27" t="s">
        <v>8</v>
      </c>
      <c r="DP222" s="27" t="s">
        <v>7</v>
      </c>
      <c r="DQ222" s="27" t="s">
        <v>8</v>
      </c>
      <c r="DV222" s="27" t="s">
        <v>7</v>
      </c>
      <c r="DW222" s="27" t="s">
        <v>8</v>
      </c>
      <c r="DX222" s="27" t="s">
        <v>7</v>
      </c>
      <c r="DZ222" s="27" t="s">
        <v>7</v>
      </c>
      <c r="EA222" s="27" t="s">
        <v>8</v>
      </c>
      <c r="ET222" s="27" t="s">
        <v>7</v>
      </c>
      <c r="EU222" s="27" t="s">
        <v>8</v>
      </c>
      <c r="EX222" s="31" t="s">
        <v>7</v>
      </c>
      <c r="EY222" s="27" t="s">
        <v>8</v>
      </c>
      <c r="FA222" s="33"/>
      <c r="GF222" s="27" t="s">
        <v>7</v>
      </c>
    </row>
    <row r="223" spans="1:188" x14ac:dyDescent="0.25">
      <c r="A223" s="30">
        <v>2.2920183178010345</v>
      </c>
      <c r="E223"/>
      <c r="DC223" s="27" t="s">
        <v>8</v>
      </c>
      <c r="DD223" s="27" t="s">
        <v>7</v>
      </c>
      <c r="DE223" s="27" t="s">
        <v>8</v>
      </c>
      <c r="DG223" s="27" t="s">
        <v>8</v>
      </c>
      <c r="DM223" s="27" t="s">
        <v>8</v>
      </c>
      <c r="DN223" s="27" t="s">
        <v>7</v>
      </c>
      <c r="DO223" s="27" t="s">
        <v>8</v>
      </c>
      <c r="DP223" s="27" t="s">
        <v>7</v>
      </c>
      <c r="DQ223" s="27" t="s">
        <v>8</v>
      </c>
      <c r="DV223" s="27" t="s">
        <v>7</v>
      </c>
      <c r="DW223" s="27" t="s">
        <v>8</v>
      </c>
      <c r="DZ223" s="27" t="s">
        <v>7</v>
      </c>
      <c r="EA223" s="27" t="s">
        <v>8</v>
      </c>
      <c r="ET223" s="27" t="s">
        <v>7</v>
      </c>
      <c r="EX223" s="18" t="s">
        <v>7</v>
      </c>
      <c r="EY223" s="27" t="s">
        <v>8</v>
      </c>
      <c r="EZ223" s="33"/>
      <c r="GF223" s="27" t="s">
        <v>7</v>
      </c>
    </row>
    <row r="224" spans="1:188" x14ac:dyDescent="0.25">
      <c r="A224" s="30">
        <v>2.1828745883819374</v>
      </c>
      <c r="E224"/>
      <c r="BK224" s="27" t="s">
        <v>8</v>
      </c>
      <c r="DC224" s="27" t="s">
        <v>8</v>
      </c>
      <c r="DD224" s="27" t="s">
        <v>7</v>
      </c>
      <c r="DE224" s="27" t="s">
        <v>8</v>
      </c>
      <c r="DF224" s="27" t="s">
        <v>7</v>
      </c>
      <c r="DG224" s="27" t="s">
        <v>8</v>
      </c>
      <c r="DH224" s="27" t="s">
        <v>7</v>
      </c>
      <c r="DM224" s="27" t="s">
        <v>8</v>
      </c>
      <c r="DN224" s="27" t="s">
        <v>7</v>
      </c>
      <c r="DO224" s="27" t="s">
        <v>8</v>
      </c>
      <c r="DP224" s="27" t="s">
        <v>7</v>
      </c>
      <c r="DQ224" s="27" t="s">
        <v>8</v>
      </c>
      <c r="DV224" s="27" t="s">
        <v>7</v>
      </c>
      <c r="DW224" s="27" t="s">
        <v>8</v>
      </c>
      <c r="DZ224" s="27" t="s">
        <v>7</v>
      </c>
      <c r="EA224" s="27" t="s">
        <v>8</v>
      </c>
      <c r="EX224" s="27" t="s">
        <v>7</v>
      </c>
      <c r="EY224" s="33" t="s">
        <v>8</v>
      </c>
      <c r="GF224" s="27" t="s">
        <v>7</v>
      </c>
    </row>
    <row r="225" spans="1:189" x14ac:dyDescent="0.25">
      <c r="A225" s="30">
        <v>2.0789281794113688</v>
      </c>
      <c r="E225"/>
      <c r="BK225" s="27" t="s">
        <v>8</v>
      </c>
      <c r="BL225" s="27" t="s">
        <v>7</v>
      </c>
      <c r="DC225" s="27" t="s">
        <v>8</v>
      </c>
      <c r="DD225" s="27" t="s">
        <v>7</v>
      </c>
      <c r="DE225" s="27" t="s">
        <v>8</v>
      </c>
      <c r="DF225" s="27" t="s">
        <v>7</v>
      </c>
      <c r="DG225" s="27" t="s">
        <v>8</v>
      </c>
      <c r="DH225" s="27" t="s">
        <v>7</v>
      </c>
      <c r="DM225" s="27" t="s">
        <v>8</v>
      </c>
      <c r="DN225" s="27" t="s">
        <v>7</v>
      </c>
      <c r="DP225" s="27" t="s">
        <v>7</v>
      </c>
      <c r="DQ225" s="27" t="s">
        <v>8</v>
      </c>
      <c r="DV225" s="27" t="s">
        <v>7</v>
      </c>
      <c r="DW225" s="27" t="s">
        <v>8</v>
      </c>
      <c r="DZ225" s="27" t="s">
        <v>7</v>
      </c>
      <c r="EA225" s="27" t="s">
        <v>8</v>
      </c>
      <c r="EX225" s="33" t="s">
        <v>7</v>
      </c>
      <c r="GF225" s="27" t="s">
        <v>7</v>
      </c>
    </row>
    <row r="226" spans="1:189" x14ac:dyDescent="0.25">
      <c r="A226" s="30">
        <v>1.9799315994393987</v>
      </c>
      <c r="E226"/>
      <c r="BK226" s="27" t="s">
        <v>8</v>
      </c>
      <c r="BL226" s="27" t="s">
        <v>7</v>
      </c>
      <c r="DC226" s="27" t="s">
        <v>8</v>
      </c>
      <c r="DD226" s="27" t="s">
        <v>7</v>
      </c>
      <c r="DE226" s="27" t="s">
        <v>8</v>
      </c>
      <c r="DF226" s="27" t="s">
        <v>7</v>
      </c>
      <c r="DG226" s="27" t="s">
        <v>8</v>
      </c>
      <c r="DH226" s="27" t="s">
        <v>7</v>
      </c>
      <c r="DM226" s="27" t="s">
        <v>8</v>
      </c>
      <c r="DP226" s="27" t="s">
        <v>7</v>
      </c>
      <c r="DQ226" s="27" t="s">
        <v>8</v>
      </c>
      <c r="DV226" s="27" t="s">
        <v>7</v>
      </c>
      <c r="DW226" s="27" t="s">
        <v>8</v>
      </c>
      <c r="DZ226" s="27" t="s">
        <v>7</v>
      </c>
      <c r="EA226" s="27" t="s">
        <v>8</v>
      </c>
      <c r="GF226" s="27" t="s">
        <v>7</v>
      </c>
    </row>
    <row r="227" spans="1:189" x14ac:dyDescent="0.25">
      <c r="A227" s="30">
        <v>1.8856491423232367</v>
      </c>
      <c r="E227"/>
      <c r="BC227" s="27" t="s">
        <v>8</v>
      </c>
      <c r="BK227" s="27" t="s">
        <v>8</v>
      </c>
      <c r="BL227" s="27" t="s">
        <v>7</v>
      </c>
      <c r="DC227" s="27" t="s">
        <v>8</v>
      </c>
      <c r="DD227" s="27" t="s">
        <v>7</v>
      </c>
      <c r="DE227" s="27" t="s">
        <v>8</v>
      </c>
      <c r="DF227" s="27" t="s">
        <v>7</v>
      </c>
      <c r="DH227" s="27" t="s">
        <v>7</v>
      </c>
      <c r="DM227" s="27" t="s">
        <v>8</v>
      </c>
      <c r="DP227" s="27" t="s">
        <v>7</v>
      </c>
      <c r="DQ227" s="27" t="s">
        <v>8</v>
      </c>
      <c r="DV227" s="27" t="s">
        <v>7</v>
      </c>
      <c r="DZ227" s="27" t="s">
        <v>7</v>
      </c>
      <c r="EA227" s="27" t="s">
        <v>8</v>
      </c>
      <c r="GF227" s="27" t="s">
        <v>7</v>
      </c>
      <c r="GG227" s="27" t="s">
        <v>8</v>
      </c>
    </row>
    <row r="228" spans="1:189" x14ac:dyDescent="0.25">
      <c r="A228" s="30">
        <v>1.7958563260221301</v>
      </c>
      <c r="C228" s="7"/>
      <c r="D228"/>
      <c r="E228"/>
      <c r="BC228" s="27" t="s">
        <v>8</v>
      </c>
      <c r="BD228" s="27" t="s">
        <v>7</v>
      </c>
      <c r="BK228" s="27" t="s">
        <v>8</v>
      </c>
      <c r="BL228" s="27" t="s">
        <v>7</v>
      </c>
      <c r="DC228" s="27" t="s">
        <v>8</v>
      </c>
      <c r="DD228" s="27" t="s">
        <v>7</v>
      </c>
      <c r="DH228" s="27" t="s">
        <v>7</v>
      </c>
      <c r="DM228" s="27" t="s">
        <v>8</v>
      </c>
      <c r="DP228" s="27" t="s">
        <v>7</v>
      </c>
      <c r="DQ228" s="27" t="s">
        <v>8</v>
      </c>
      <c r="DZ228" s="27" t="s">
        <v>7</v>
      </c>
      <c r="GF228" s="27" t="s">
        <v>7</v>
      </c>
      <c r="GG228" s="27" t="s">
        <v>8</v>
      </c>
    </row>
    <row r="229" spans="1:189" x14ac:dyDescent="0.25">
      <c r="A229" s="30">
        <v>1.7103393581163142</v>
      </c>
      <c r="E229"/>
      <c r="BC229" s="27" t="s">
        <v>8</v>
      </c>
      <c r="BD229" s="27" t="s">
        <v>7</v>
      </c>
      <c r="BI229" s="27" t="s">
        <v>8</v>
      </c>
      <c r="BK229" s="27" t="s">
        <v>8</v>
      </c>
      <c r="BL229" s="27" t="s">
        <v>7</v>
      </c>
      <c r="BM229" s="27" t="s">
        <v>8</v>
      </c>
      <c r="BO229" s="27" t="s">
        <v>8</v>
      </c>
      <c r="BQ229" s="27" t="s">
        <v>8</v>
      </c>
      <c r="DC229" s="27" t="s">
        <v>8</v>
      </c>
      <c r="DH229" s="27" t="s">
        <v>7</v>
      </c>
      <c r="DM229" s="27" t="s">
        <v>8</v>
      </c>
      <c r="DP229" s="27" t="s">
        <v>7</v>
      </c>
      <c r="GF229" s="27" t="s">
        <v>7</v>
      </c>
      <c r="GG229" s="27" t="s">
        <v>8</v>
      </c>
    </row>
    <row r="230" spans="1:189" x14ac:dyDescent="0.25">
      <c r="A230" s="30">
        <v>1.628894626777442</v>
      </c>
      <c r="E230"/>
      <c r="BC230" s="27" t="s">
        <v>8</v>
      </c>
      <c r="BD230" s="27" t="s">
        <v>7</v>
      </c>
      <c r="BI230" s="27" t="s">
        <v>8</v>
      </c>
      <c r="BJ230" s="27" t="s">
        <v>7</v>
      </c>
      <c r="BK230" s="27" t="s">
        <v>8</v>
      </c>
      <c r="BL230" s="27" t="s">
        <v>7</v>
      </c>
      <c r="BM230" s="27" t="s">
        <v>8</v>
      </c>
      <c r="BN230" s="27" t="s">
        <v>7</v>
      </c>
      <c r="BO230" s="27" t="s">
        <v>8</v>
      </c>
      <c r="BP230" s="27" t="s">
        <v>7</v>
      </c>
      <c r="BQ230" s="27" t="s">
        <v>8</v>
      </c>
      <c r="BR230" s="27" t="s">
        <v>7</v>
      </c>
      <c r="DA230" s="27" t="s">
        <v>8</v>
      </c>
      <c r="DC230" s="27" t="s">
        <v>8</v>
      </c>
      <c r="DH230" s="27" t="s">
        <v>7</v>
      </c>
      <c r="DM230" s="27" t="s">
        <v>8</v>
      </c>
      <c r="GF230" s="27" t="s">
        <v>7</v>
      </c>
      <c r="GG230" s="27" t="s">
        <v>8</v>
      </c>
    </row>
    <row r="231" spans="1:189" x14ac:dyDescent="0.25">
      <c r="A231" s="30">
        <v>1.5513282159785162</v>
      </c>
      <c r="C231"/>
      <c r="D231"/>
      <c r="E231"/>
      <c r="BC231" s="27" t="s">
        <v>8</v>
      </c>
      <c r="BD231" s="27" t="s">
        <v>7</v>
      </c>
      <c r="BI231" s="27" t="s">
        <v>8</v>
      </c>
      <c r="BJ231" s="27" t="s">
        <v>7</v>
      </c>
      <c r="BK231" s="27" t="s">
        <v>8</v>
      </c>
      <c r="BL231" s="27" t="s">
        <v>7</v>
      </c>
      <c r="BM231" s="27" t="s">
        <v>8</v>
      </c>
      <c r="BN231" s="27" t="s">
        <v>7</v>
      </c>
      <c r="BO231" s="27" t="s">
        <v>8</v>
      </c>
      <c r="BP231" s="27" t="s">
        <v>7</v>
      </c>
      <c r="BQ231" s="27" t="s">
        <v>8</v>
      </c>
      <c r="BR231" s="27" t="s">
        <v>7</v>
      </c>
      <c r="DA231" s="27" t="s">
        <v>8</v>
      </c>
      <c r="DB231" s="27" t="s">
        <v>7</v>
      </c>
      <c r="DC231" s="27" t="s">
        <v>8</v>
      </c>
      <c r="DH231" s="27" t="s">
        <v>7</v>
      </c>
      <c r="DI231" s="27" t="s">
        <v>8</v>
      </c>
      <c r="DM231" s="27" t="s">
        <v>8</v>
      </c>
      <c r="GF231" s="27" t="s">
        <v>7</v>
      </c>
    </row>
    <row r="232" spans="1:189" x14ac:dyDescent="0.25">
      <c r="A232" s="30">
        <v>1.477455443789063</v>
      </c>
      <c r="E232"/>
      <c r="BC232" s="27" t="s">
        <v>8</v>
      </c>
      <c r="BD232" s="27" t="s">
        <v>7</v>
      </c>
      <c r="BI232" s="27" t="s">
        <v>8</v>
      </c>
      <c r="BJ232" s="27" t="s">
        <v>7</v>
      </c>
      <c r="BK232" s="27" t="s">
        <v>8</v>
      </c>
      <c r="BL232" s="27" t="s">
        <v>7</v>
      </c>
      <c r="BM232" s="27" t="s">
        <v>8</v>
      </c>
      <c r="BN232" s="27" t="s">
        <v>7</v>
      </c>
      <c r="BO232" s="27" t="s">
        <v>8</v>
      </c>
      <c r="BP232" s="27" t="s">
        <v>7</v>
      </c>
      <c r="BQ232" s="27" t="s">
        <v>8</v>
      </c>
      <c r="BR232" s="27" t="s">
        <v>7</v>
      </c>
      <c r="CW232" s="27" t="s">
        <v>8</v>
      </c>
      <c r="DA232" s="27" t="s">
        <v>8</v>
      </c>
      <c r="DB232" s="27" t="s">
        <v>7</v>
      </c>
      <c r="DC232" s="27" t="s">
        <v>8</v>
      </c>
      <c r="DH232" s="27" t="s">
        <v>7</v>
      </c>
      <c r="DI232" s="27" t="s">
        <v>8</v>
      </c>
      <c r="DJ232" s="27" t="s">
        <v>7</v>
      </c>
      <c r="DK232" s="27" t="s">
        <v>8</v>
      </c>
      <c r="DM232" s="27" t="s">
        <v>8</v>
      </c>
    </row>
    <row r="233" spans="1:189" x14ac:dyDescent="0.25">
      <c r="A233" s="30">
        <v>1.4071004226562505</v>
      </c>
      <c r="E233"/>
      <c r="BC233" s="27" t="s">
        <v>8</v>
      </c>
      <c r="BD233" s="27" t="s">
        <v>7</v>
      </c>
      <c r="BI233" s="27" t="s">
        <v>8</v>
      </c>
      <c r="BJ233" s="27" t="s">
        <v>7</v>
      </c>
      <c r="BL233" s="27" t="s">
        <v>7</v>
      </c>
      <c r="BN233" s="27" t="s">
        <v>7</v>
      </c>
      <c r="BP233" s="27" t="s">
        <v>7</v>
      </c>
      <c r="BR233" s="27" t="s">
        <v>7</v>
      </c>
      <c r="CQ233" s="27" t="s">
        <v>8</v>
      </c>
      <c r="CU233" s="27" t="s">
        <v>8</v>
      </c>
      <c r="CW233" s="27" t="s">
        <v>8</v>
      </c>
      <c r="CX233" s="27" t="s">
        <v>7</v>
      </c>
      <c r="DA233" s="27" t="s">
        <v>8</v>
      </c>
      <c r="DB233" s="27" t="s">
        <v>7</v>
      </c>
      <c r="DH233" s="27" t="s">
        <v>7</v>
      </c>
      <c r="DI233" s="27" t="s">
        <v>8</v>
      </c>
      <c r="DJ233" s="27" t="s">
        <v>7</v>
      </c>
      <c r="DK233" s="27" t="s">
        <v>8</v>
      </c>
      <c r="DL233" s="27" t="s">
        <v>7</v>
      </c>
      <c r="DM233" s="27" t="s">
        <v>8</v>
      </c>
    </row>
    <row r="234" spans="1:189" x14ac:dyDescent="0.25">
      <c r="A234" s="30">
        <v>1.3400956406250004</v>
      </c>
      <c r="E234"/>
      <c r="BC234" s="27" t="s">
        <v>8</v>
      </c>
      <c r="BD234" s="27" t="s">
        <v>7</v>
      </c>
      <c r="BI234" s="27" t="s">
        <v>8</v>
      </c>
      <c r="BR234" s="27" t="s">
        <v>7</v>
      </c>
      <c r="BW234" s="27" t="s">
        <v>8</v>
      </c>
      <c r="CO234" s="27" t="s">
        <v>8</v>
      </c>
      <c r="CQ234" s="27" t="s">
        <v>8</v>
      </c>
      <c r="CR234" s="27" t="s">
        <v>7</v>
      </c>
      <c r="CU234" s="27" t="s">
        <v>8</v>
      </c>
      <c r="CV234" s="27" t="s">
        <v>7</v>
      </c>
      <c r="CW234" s="27" t="s">
        <v>8</v>
      </c>
      <c r="CX234" s="27" t="s">
        <v>7</v>
      </c>
      <c r="CY234" s="27" t="s">
        <v>8</v>
      </c>
      <c r="DA234" s="27" t="s">
        <v>8</v>
      </c>
      <c r="DH234" s="27" t="s">
        <v>7</v>
      </c>
      <c r="DI234" s="27" t="s">
        <v>8</v>
      </c>
      <c r="DJ234" s="27" t="s">
        <v>7</v>
      </c>
      <c r="DK234" s="27" t="s">
        <v>8</v>
      </c>
      <c r="DL234" s="27" t="s">
        <v>7</v>
      </c>
      <c r="DM234" s="27" t="s">
        <v>8</v>
      </c>
    </row>
    <row r="235" spans="1:189" x14ac:dyDescent="0.25">
      <c r="A235" s="30">
        <v>1.2762815625000004</v>
      </c>
      <c r="C235"/>
      <c r="E235"/>
      <c r="BC235" s="27" t="s">
        <v>8</v>
      </c>
      <c r="BD235" s="27" t="s">
        <v>7</v>
      </c>
      <c r="BE235" s="27" t="s">
        <v>8</v>
      </c>
      <c r="BG235" s="27" t="s">
        <v>8</v>
      </c>
      <c r="BI235" s="27" t="s">
        <v>8</v>
      </c>
      <c r="BR235" s="27" t="s">
        <v>7</v>
      </c>
      <c r="BW235" s="27" t="s">
        <v>8</v>
      </c>
      <c r="BX235" s="27" t="s">
        <v>7</v>
      </c>
      <c r="CO235" s="27" t="s">
        <v>8</v>
      </c>
      <c r="CP235" s="27" t="s">
        <v>7</v>
      </c>
      <c r="CQ235" s="27" t="s">
        <v>8</v>
      </c>
      <c r="CR235" s="27" t="s">
        <v>7</v>
      </c>
      <c r="CU235" s="27" t="s">
        <v>8</v>
      </c>
      <c r="CV235" s="27" t="s">
        <v>7</v>
      </c>
      <c r="CW235" s="27" t="s">
        <v>8</v>
      </c>
      <c r="CX235" s="27" t="s">
        <v>7</v>
      </c>
      <c r="CY235" s="27" t="s">
        <v>8</v>
      </c>
      <c r="CZ235" s="27" t="s">
        <v>7</v>
      </c>
      <c r="DA235" s="27" t="s">
        <v>8</v>
      </c>
      <c r="DH235" s="27" t="s">
        <v>7</v>
      </c>
      <c r="DI235" s="27" t="s">
        <v>8</v>
      </c>
      <c r="DJ235" s="27" t="s">
        <v>7</v>
      </c>
      <c r="DK235" s="27" t="s">
        <v>8</v>
      </c>
      <c r="DL235" s="27" t="s">
        <v>7</v>
      </c>
      <c r="DM235" s="27" t="s">
        <v>8</v>
      </c>
    </row>
    <row r="236" spans="1:189" x14ac:dyDescent="0.25">
      <c r="A236" s="30">
        <v>1.2155062500000002</v>
      </c>
      <c r="E236"/>
      <c r="BA236" s="27" t="s">
        <v>8</v>
      </c>
      <c r="BC236" s="27" t="s">
        <v>8</v>
      </c>
      <c r="BD236" s="27" t="s">
        <v>7</v>
      </c>
      <c r="BE236" s="27" t="s">
        <v>8</v>
      </c>
      <c r="BF236" s="27" t="s">
        <v>7</v>
      </c>
      <c r="BG236" s="27" t="s">
        <v>8</v>
      </c>
      <c r="BH236" s="27" t="s">
        <v>7</v>
      </c>
      <c r="BI236" s="27" t="s">
        <v>8</v>
      </c>
      <c r="BR236" s="27" t="s">
        <v>7</v>
      </c>
      <c r="BW236" s="27" t="s">
        <v>8</v>
      </c>
      <c r="BX236" s="27" t="s">
        <v>7</v>
      </c>
      <c r="CG236" s="27" t="s">
        <v>8</v>
      </c>
      <c r="CO236" s="27" t="s">
        <v>8</v>
      </c>
      <c r="CP236" s="27" t="s">
        <v>7</v>
      </c>
      <c r="CQ236" s="27" t="s">
        <v>8</v>
      </c>
      <c r="CR236" s="27" t="s">
        <v>7</v>
      </c>
      <c r="CS236" s="27" t="s">
        <v>8</v>
      </c>
      <c r="CU236" s="27" t="s">
        <v>8</v>
      </c>
      <c r="CV236" s="27" t="s">
        <v>7</v>
      </c>
      <c r="CW236" s="27" t="s">
        <v>8</v>
      </c>
      <c r="CX236" s="27" t="s">
        <v>7</v>
      </c>
      <c r="CY236" s="27" t="s">
        <v>8</v>
      </c>
      <c r="CZ236" s="27" t="s">
        <v>7</v>
      </c>
      <c r="DA236" s="27" t="s">
        <v>8</v>
      </c>
      <c r="DH236" s="27" t="s">
        <v>7</v>
      </c>
      <c r="DI236" s="27" t="s">
        <v>8</v>
      </c>
      <c r="DJ236" s="27" t="s">
        <v>7</v>
      </c>
      <c r="DL236" s="27" t="s">
        <v>7</v>
      </c>
    </row>
    <row r="237" spans="1:18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A237" s="27" t="s">
        <v>8</v>
      </c>
      <c r="BB237" s="27" t="s">
        <v>7</v>
      </c>
      <c r="BC237" s="27" t="s">
        <v>8</v>
      </c>
      <c r="BD237" s="27" t="s">
        <v>7</v>
      </c>
      <c r="BE237" s="27" t="s">
        <v>8</v>
      </c>
      <c r="BF237" s="27" t="s">
        <v>7</v>
      </c>
      <c r="BG237" s="27" t="s">
        <v>8</v>
      </c>
      <c r="BH237" s="27" t="s">
        <v>7</v>
      </c>
      <c r="BI237" s="27" t="s">
        <v>8</v>
      </c>
      <c r="BR237" s="27" t="s">
        <v>7</v>
      </c>
      <c r="BS237" s="27" t="s">
        <v>8</v>
      </c>
      <c r="BU237" s="27" t="s">
        <v>8</v>
      </c>
      <c r="BW237" s="27" t="s">
        <v>8</v>
      </c>
      <c r="BX237" s="27" t="s">
        <v>7</v>
      </c>
      <c r="CG237" s="27" t="s">
        <v>8</v>
      </c>
      <c r="CH237" s="27" t="s">
        <v>7</v>
      </c>
      <c r="CO237" s="27" t="s">
        <v>8</v>
      </c>
      <c r="CP237" s="27" t="s">
        <v>7</v>
      </c>
      <c r="CQ237" s="27" t="s">
        <v>8</v>
      </c>
      <c r="CR237" s="27" t="s">
        <v>7</v>
      </c>
      <c r="CS237" s="27" t="s">
        <v>8</v>
      </c>
      <c r="CT237" s="27" t="s">
        <v>7</v>
      </c>
      <c r="CU237" s="27" t="s">
        <v>8</v>
      </c>
      <c r="CV237" s="27" t="s">
        <v>7</v>
      </c>
      <c r="CW237" s="27" t="s">
        <v>8</v>
      </c>
      <c r="CX237" s="27" t="s">
        <v>7</v>
      </c>
      <c r="CZ237" s="27" t="s">
        <v>7</v>
      </c>
      <c r="DH237" s="27" t="s">
        <v>7</v>
      </c>
    </row>
    <row r="238" spans="1:189" x14ac:dyDescent="0.25">
      <c r="A238" s="30">
        <v>1.1025</v>
      </c>
      <c r="E238"/>
      <c r="BA238" s="27" t="s">
        <v>8</v>
      </c>
      <c r="BB238" s="27" t="s">
        <v>7</v>
      </c>
      <c r="BC238" s="27" t="s">
        <v>8</v>
      </c>
      <c r="BD238" s="27" t="s">
        <v>7</v>
      </c>
      <c r="BF238" s="27" t="s">
        <v>7</v>
      </c>
      <c r="BG238" s="27" t="s">
        <v>8</v>
      </c>
      <c r="BH238" s="27" t="s">
        <v>7</v>
      </c>
      <c r="BI238" s="27" t="s">
        <v>8</v>
      </c>
      <c r="BR238" s="27" t="s">
        <v>7</v>
      </c>
      <c r="BS238" s="27" t="s">
        <v>8</v>
      </c>
      <c r="BT238" s="27" t="s">
        <v>7</v>
      </c>
      <c r="BU238" s="27" t="s">
        <v>8</v>
      </c>
      <c r="BV238" s="27" t="s">
        <v>7</v>
      </c>
      <c r="BW238" s="27" t="s">
        <v>8</v>
      </c>
      <c r="BX238" s="27" t="s">
        <v>7</v>
      </c>
      <c r="CG238" s="27" t="s">
        <v>8</v>
      </c>
      <c r="CH238" s="27" t="s">
        <v>7</v>
      </c>
      <c r="CO238" s="27" t="s">
        <v>8</v>
      </c>
      <c r="CP238" s="27" t="s">
        <v>7</v>
      </c>
      <c r="CQ238" s="27" t="s">
        <v>8</v>
      </c>
      <c r="CR238" s="27" t="s">
        <v>7</v>
      </c>
      <c r="CS238" s="27" t="s">
        <v>8</v>
      </c>
      <c r="CT238" s="27" t="s">
        <v>7</v>
      </c>
      <c r="CU238" s="27" t="s">
        <v>8</v>
      </c>
      <c r="CV238" s="27" t="s">
        <v>7</v>
      </c>
      <c r="CW238" s="27" t="s">
        <v>8</v>
      </c>
    </row>
    <row r="239" spans="1:189" x14ac:dyDescent="0.25">
      <c r="A239" s="30">
        <v>1.05</v>
      </c>
      <c r="E239"/>
      <c r="BA239" s="27" t="s">
        <v>8</v>
      </c>
      <c r="BB239" s="27" t="s">
        <v>7</v>
      </c>
      <c r="BC239" s="27" t="s">
        <v>8</v>
      </c>
      <c r="BF239" s="27" t="s">
        <v>7</v>
      </c>
      <c r="BG239" s="27" t="s">
        <v>8</v>
      </c>
      <c r="BH239" s="27" t="s">
        <v>7</v>
      </c>
      <c r="BI239" s="27" t="s">
        <v>8</v>
      </c>
      <c r="BR239" s="27" t="s">
        <v>7</v>
      </c>
      <c r="BS239" s="27" t="s">
        <v>8</v>
      </c>
      <c r="BT239" s="27" t="s">
        <v>7</v>
      </c>
      <c r="BU239" s="27" t="s">
        <v>8</v>
      </c>
      <c r="BV239" s="27" t="s">
        <v>7</v>
      </c>
      <c r="BW239" s="27" t="s">
        <v>8</v>
      </c>
      <c r="BX239" s="27" t="s">
        <v>7</v>
      </c>
      <c r="CA239" s="27" t="s">
        <v>8</v>
      </c>
      <c r="CE239" s="27" t="s">
        <v>8</v>
      </c>
      <c r="CG239" s="27" t="s">
        <v>8</v>
      </c>
      <c r="CH239" s="27" t="s">
        <v>7</v>
      </c>
      <c r="CI239" s="27" t="s">
        <v>8</v>
      </c>
      <c r="CK239" s="27" t="s">
        <v>8</v>
      </c>
      <c r="CO239" s="27" t="s">
        <v>8</v>
      </c>
      <c r="CP239" s="27" t="s">
        <v>7</v>
      </c>
      <c r="CQ239" s="27" t="s">
        <v>8</v>
      </c>
      <c r="CR239" s="27" t="s">
        <v>7</v>
      </c>
      <c r="CS239" s="27" t="s">
        <v>8</v>
      </c>
      <c r="CT239" s="27" t="s">
        <v>7</v>
      </c>
      <c r="CV239" s="27" t="s">
        <v>7</v>
      </c>
    </row>
    <row r="240" spans="1:189" x14ac:dyDescent="0.25">
      <c r="A240" s="30">
        <v>1</v>
      </c>
      <c r="E240" s="29" t="s">
        <v>8</v>
      </c>
      <c r="BA240" s="27" t="s">
        <v>8</v>
      </c>
      <c r="BB240" s="27" t="s">
        <v>7</v>
      </c>
      <c r="BF240" s="27" t="s">
        <v>7</v>
      </c>
      <c r="BG240" s="27" t="s">
        <v>8</v>
      </c>
      <c r="BH240" s="27" t="s">
        <v>7</v>
      </c>
      <c r="BI240" s="27" t="s">
        <v>8</v>
      </c>
      <c r="BR240" s="27" t="s">
        <v>7</v>
      </c>
      <c r="BS240" s="27" t="s">
        <v>8</v>
      </c>
      <c r="BT240" s="27" t="s">
        <v>7</v>
      </c>
      <c r="BU240" s="27" t="s">
        <v>8</v>
      </c>
      <c r="BV240" s="27" t="s">
        <v>7</v>
      </c>
      <c r="BW240" s="27" t="s">
        <v>8</v>
      </c>
      <c r="BX240" s="27" t="s">
        <v>7</v>
      </c>
      <c r="CA240" s="27" t="s">
        <v>8</v>
      </c>
      <c r="CB240" s="27" t="s">
        <v>7</v>
      </c>
      <c r="CE240" s="27" t="s">
        <v>8</v>
      </c>
      <c r="CF240" s="27" t="s">
        <v>7</v>
      </c>
      <c r="CG240" s="27" t="s">
        <v>8</v>
      </c>
      <c r="CH240" s="27" t="s">
        <v>7</v>
      </c>
      <c r="CI240" s="27" t="s">
        <v>8</v>
      </c>
      <c r="CJ240" s="27" t="s">
        <v>7</v>
      </c>
      <c r="CK240" s="27" t="s">
        <v>8</v>
      </c>
      <c r="CL240" s="27" t="s">
        <v>7</v>
      </c>
      <c r="CO240" s="27" t="s">
        <v>8</v>
      </c>
      <c r="CP240" s="27" t="s">
        <v>7</v>
      </c>
      <c r="CR240" s="27" t="s">
        <v>7</v>
      </c>
      <c r="CS240" s="27" t="s">
        <v>8</v>
      </c>
    </row>
    <row r="241" spans="1:97" x14ac:dyDescent="0.25">
      <c r="A241" s="30">
        <v>0.952380952380952</v>
      </c>
      <c r="B241"/>
      <c r="C241"/>
      <c r="D241"/>
      <c r="E241"/>
      <c r="F241" s="27" t="s">
        <v>7</v>
      </c>
      <c r="BA241" s="27" t="s">
        <v>8</v>
      </c>
      <c r="BF241" s="27" t="s">
        <v>7</v>
      </c>
      <c r="BH241" s="27" t="s">
        <v>7</v>
      </c>
      <c r="BI241" s="27" t="s">
        <v>8</v>
      </c>
      <c r="BR241" s="27" t="s">
        <v>7</v>
      </c>
      <c r="BT241" s="27" t="s">
        <v>7</v>
      </c>
      <c r="BU241" s="27" t="s">
        <v>8</v>
      </c>
      <c r="BV241" s="27" t="s">
        <v>7</v>
      </c>
      <c r="BX241" s="27" t="s">
        <v>7</v>
      </c>
      <c r="BY241" s="27" t="s">
        <v>8</v>
      </c>
      <c r="CA241" s="27" t="s">
        <v>8</v>
      </c>
      <c r="CB241" s="27" t="s">
        <v>7</v>
      </c>
      <c r="CC241" s="27" t="s">
        <v>8</v>
      </c>
      <c r="CE241" s="27" t="s">
        <v>8</v>
      </c>
      <c r="CF241" s="27" t="s">
        <v>7</v>
      </c>
      <c r="CG241" s="27" t="s">
        <v>8</v>
      </c>
      <c r="CH241" s="27" t="s">
        <v>7</v>
      </c>
      <c r="CI241" s="27" t="s">
        <v>8</v>
      </c>
      <c r="CJ241" s="27" t="s">
        <v>7</v>
      </c>
      <c r="CK241" s="27" t="s">
        <v>8</v>
      </c>
      <c r="CL241" s="27" t="s">
        <v>7</v>
      </c>
      <c r="CO241" s="27" t="s">
        <v>8</v>
      </c>
      <c r="CR241" s="27" t="s">
        <v>7</v>
      </c>
      <c r="CS241" s="27" t="s">
        <v>8</v>
      </c>
    </row>
    <row r="242" spans="1:97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  <c r="BA242" s="27" t="s">
        <v>8</v>
      </c>
      <c r="BH242" s="27" t="s">
        <v>7</v>
      </c>
      <c r="BT242" s="27" t="s">
        <v>7</v>
      </c>
      <c r="BU242" s="27" t="s">
        <v>8</v>
      </c>
      <c r="BX242" s="27" t="s">
        <v>7</v>
      </c>
      <c r="BY242" s="27" t="s">
        <v>8</v>
      </c>
      <c r="BZ242" s="27" t="s">
        <v>7</v>
      </c>
      <c r="CA242" s="27" t="s">
        <v>8</v>
      </c>
      <c r="CB242" s="27" t="s">
        <v>7</v>
      </c>
      <c r="CC242" s="27" t="s">
        <v>8</v>
      </c>
      <c r="CD242" s="27" t="s">
        <v>7</v>
      </c>
      <c r="CE242" s="27" t="s">
        <v>8</v>
      </c>
      <c r="CF242" s="27" t="s">
        <v>7</v>
      </c>
      <c r="CH242" s="27" t="s">
        <v>7</v>
      </c>
      <c r="CI242" s="27" t="s">
        <v>8</v>
      </c>
      <c r="CJ242" s="27" t="s">
        <v>7</v>
      </c>
      <c r="CK242" s="27" t="s">
        <v>8</v>
      </c>
      <c r="CL242" s="27" t="s">
        <v>7</v>
      </c>
      <c r="CO242" s="27" t="s">
        <v>8</v>
      </c>
      <c r="CR242" s="27" t="s">
        <v>7</v>
      </c>
      <c r="CS242" s="27" t="s">
        <v>8</v>
      </c>
    </row>
    <row r="243" spans="1:97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H243" s="27" t="s">
        <v>7</v>
      </c>
      <c r="BA243" s="27" t="s">
        <v>8</v>
      </c>
      <c r="BT243" s="27" t="s">
        <v>7</v>
      </c>
      <c r="BX243" s="27" t="s">
        <v>7</v>
      </c>
      <c r="BY243" s="27" t="s">
        <v>8</v>
      </c>
      <c r="BZ243" s="27" t="s">
        <v>7</v>
      </c>
      <c r="CA243" s="27" t="s">
        <v>8</v>
      </c>
      <c r="CB243" s="27" t="s">
        <v>7</v>
      </c>
      <c r="CC243" s="27" t="s">
        <v>8</v>
      </c>
      <c r="CD243" s="27" t="s">
        <v>7</v>
      </c>
      <c r="CE243" s="27" t="s">
        <v>8</v>
      </c>
      <c r="CH243" s="27" t="s">
        <v>7</v>
      </c>
      <c r="CJ243" s="27" t="s">
        <v>7</v>
      </c>
      <c r="CK243" s="27" t="s">
        <v>8</v>
      </c>
      <c r="CL243" s="27" t="s">
        <v>7</v>
      </c>
      <c r="CM243" s="27" t="s">
        <v>8</v>
      </c>
      <c r="CO243" s="27" t="s">
        <v>8</v>
      </c>
      <c r="CR243" s="27" t="s">
        <v>7</v>
      </c>
    </row>
    <row r="244" spans="1:97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BA244" s="27" t="s">
        <v>8</v>
      </c>
      <c r="BX244" s="27" t="s">
        <v>7</v>
      </c>
      <c r="BZ244" s="27" t="s">
        <v>7</v>
      </c>
      <c r="CA244" s="27" t="s">
        <v>8</v>
      </c>
      <c r="CB244" s="27" t="s">
        <v>7</v>
      </c>
      <c r="CC244" s="27" t="s">
        <v>8</v>
      </c>
      <c r="CD244" s="27" t="s">
        <v>7</v>
      </c>
      <c r="CE244" s="27" t="s">
        <v>8</v>
      </c>
      <c r="CJ244" s="27" t="s">
        <v>7</v>
      </c>
      <c r="CL244" s="27" t="s">
        <v>7</v>
      </c>
      <c r="CM244" s="27" t="s">
        <v>8</v>
      </c>
      <c r="CN244" s="27" t="s">
        <v>7</v>
      </c>
      <c r="CO244" s="27" t="s">
        <v>8</v>
      </c>
    </row>
    <row r="245" spans="1:97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AA245" s="27" t="s">
        <v>8</v>
      </c>
      <c r="AC245" s="27" t="s">
        <v>8</v>
      </c>
      <c r="BA245" s="27" t="s">
        <v>8</v>
      </c>
      <c r="BZ245" s="27" t="s">
        <v>7</v>
      </c>
      <c r="CA245" s="27" t="s">
        <v>8</v>
      </c>
      <c r="CB245" s="27" t="s">
        <v>7</v>
      </c>
      <c r="CD245" s="27" t="s">
        <v>7</v>
      </c>
      <c r="CE245" s="27" t="s">
        <v>8</v>
      </c>
      <c r="CL245" s="27" t="s">
        <v>7</v>
      </c>
      <c r="CM245" s="27" t="s">
        <v>8</v>
      </c>
      <c r="CN245" s="27" t="s">
        <v>7</v>
      </c>
      <c r="CO245" s="27" t="s">
        <v>8</v>
      </c>
    </row>
    <row r="246" spans="1:97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I246" s="27" t="s">
        <v>8</v>
      </c>
      <c r="AA246" s="27" t="s">
        <v>8</v>
      </c>
      <c r="AB246" s="27" t="s">
        <v>7</v>
      </c>
      <c r="AC246" s="27" t="s">
        <v>8</v>
      </c>
      <c r="AD246" s="27" t="s">
        <v>7</v>
      </c>
      <c r="BA246" s="27" t="s">
        <v>8</v>
      </c>
      <c r="BZ246" s="27" t="s">
        <v>7</v>
      </c>
      <c r="CD246" s="27" t="s">
        <v>7</v>
      </c>
      <c r="CE246" s="27" t="s">
        <v>8</v>
      </c>
      <c r="CL246" s="27" t="s">
        <v>7</v>
      </c>
      <c r="CM246" s="27" t="s">
        <v>8</v>
      </c>
      <c r="CN246" s="27" t="s">
        <v>7</v>
      </c>
      <c r="CO246" s="27" t="s">
        <v>8</v>
      </c>
    </row>
    <row r="247" spans="1:97" x14ac:dyDescent="0.25">
      <c r="A247" s="30">
        <v>0.71068133013011958</v>
      </c>
      <c r="B247"/>
      <c r="C247"/>
      <c r="D247"/>
      <c r="E247"/>
      <c r="F247" s="27" t="s">
        <v>7</v>
      </c>
      <c r="H247" s="27" t="s">
        <v>7</v>
      </c>
      <c r="I247" s="27" t="s">
        <v>8</v>
      </c>
      <c r="J247" s="27" t="s">
        <v>7</v>
      </c>
      <c r="K247" s="27" t="s">
        <v>8</v>
      </c>
      <c r="O247" s="27" t="s">
        <v>8</v>
      </c>
      <c r="AA247" s="27" t="s">
        <v>8</v>
      </c>
      <c r="AB247" s="27" t="s">
        <v>7</v>
      </c>
      <c r="AC247" s="27" t="s">
        <v>8</v>
      </c>
      <c r="AD247" s="27" t="s">
        <v>7</v>
      </c>
      <c r="BA247" s="27" t="s">
        <v>8</v>
      </c>
      <c r="CD247" s="27" t="s">
        <v>7</v>
      </c>
      <c r="CE247" s="27" t="s">
        <v>8</v>
      </c>
      <c r="CL247" s="27" t="s">
        <v>7</v>
      </c>
      <c r="CM247" s="27" t="s">
        <v>8</v>
      </c>
      <c r="CN247" s="27" t="s">
        <v>7</v>
      </c>
    </row>
    <row r="248" spans="1:97" x14ac:dyDescent="0.25">
      <c r="A248" s="30">
        <v>0.676839362028685</v>
      </c>
      <c r="B248"/>
      <c r="C248"/>
      <c r="D248"/>
      <c r="E248"/>
      <c r="H248" s="27" t="s">
        <v>7</v>
      </c>
      <c r="I248" s="27" t="s">
        <v>8</v>
      </c>
      <c r="J248" s="27" t="s">
        <v>7</v>
      </c>
      <c r="K248" s="27" t="s">
        <v>8</v>
      </c>
      <c r="L248" s="27" t="s">
        <v>7</v>
      </c>
      <c r="M248" s="27" t="s">
        <v>8</v>
      </c>
      <c r="O248" s="27" t="s">
        <v>8</v>
      </c>
      <c r="P248" s="27" t="s">
        <v>7</v>
      </c>
      <c r="AA248" s="27" t="s">
        <v>8</v>
      </c>
      <c r="AB248" s="27" t="s">
        <v>7</v>
      </c>
      <c r="AC248" s="27" t="s">
        <v>8</v>
      </c>
      <c r="AD248" s="27" t="s">
        <v>7</v>
      </c>
      <c r="AE248" s="27" t="s">
        <v>8</v>
      </c>
      <c r="AY248" s="27" t="s">
        <v>8</v>
      </c>
      <c r="BA248" s="27" t="s">
        <v>8</v>
      </c>
      <c r="CD248" s="27" t="s">
        <v>7</v>
      </c>
      <c r="CE248" s="27" t="s">
        <v>8</v>
      </c>
      <c r="CL248" s="27" t="s">
        <v>7</v>
      </c>
    </row>
    <row r="249" spans="1:97" x14ac:dyDescent="0.25">
      <c r="A249" s="30">
        <v>0.64460891621779492</v>
      </c>
      <c r="B249"/>
      <c r="C249"/>
      <c r="D249"/>
      <c r="E249"/>
      <c r="H249" s="27" t="s">
        <v>7</v>
      </c>
      <c r="I249" s="27" t="s">
        <v>8</v>
      </c>
      <c r="J249" s="27" t="s">
        <v>7</v>
      </c>
      <c r="K249" s="27" t="s">
        <v>8</v>
      </c>
      <c r="L249" s="27" t="s">
        <v>7</v>
      </c>
      <c r="M249" s="27" t="s">
        <v>8</v>
      </c>
      <c r="N249" s="27" t="s">
        <v>7</v>
      </c>
      <c r="O249" s="27" t="s">
        <v>8</v>
      </c>
      <c r="P249" s="27" t="s">
        <v>7</v>
      </c>
      <c r="AA249" s="27" t="s">
        <v>8</v>
      </c>
      <c r="AB249" s="27" t="s">
        <v>7</v>
      </c>
      <c r="AC249" s="27" t="s">
        <v>8</v>
      </c>
      <c r="AD249" s="27" t="s">
        <v>7</v>
      </c>
      <c r="AE249" s="27" t="s">
        <v>8</v>
      </c>
      <c r="AF249" s="27" t="s">
        <v>7</v>
      </c>
      <c r="AY249" s="27" t="s">
        <v>8</v>
      </c>
      <c r="AZ249" s="27" t="s">
        <v>7</v>
      </c>
      <c r="BA249" s="27" t="s">
        <v>8</v>
      </c>
      <c r="CD249" s="27" t="s">
        <v>7</v>
      </c>
    </row>
    <row r="250" spans="1:97" x14ac:dyDescent="0.25">
      <c r="A250" s="30">
        <v>0.61391325354075688</v>
      </c>
      <c r="B250"/>
      <c r="C250"/>
      <c r="D250"/>
      <c r="E250"/>
      <c r="H250" s="27" t="s">
        <v>7</v>
      </c>
      <c r="I250" s="27" t="s">
        <v>8</v>
      </c>
      <c r="J250" s="27" t="s">
        <v>7</v>
      </c>
      <c r="L250" s="27" t="s">
        <v>7</v>
      </c>
      <c r="M250" s="27" t="s">
        <v>8</v>
      </c>
      <c r="N250" s="27" t="s">
        <v>7</v>
      </c>
      <c r="O250" s="27" t="s">
        <v>8</v>
      </c>
      <c r="P250" s="27" t="s">
        <v>7</v>
      </c>
      <c r="Q250" s="27" t="s">
        <v>8</v>
      </c>
      <c r="Y250" s="27" t="s">
        <v>8</v>
      </c>
      <c r="AA250" s="27" t="s">
        <v>8</v>
      </c>
      <c r="AB250" s="27" t="s">
        <v>7</v>
      </c>
      <c r="AC250" s="27" t="s">
        <v>8</v>
      </c>
      <c r="AD250" s="27" t="s">
        <v>7</v>
      </c>
      <c r="AE250" s="27" t="s">
        <v>8</v>
      </c>
      <c r="AF250" s="27" t="s">
        <v>7</v>
      </c>
      <c r="AY250" s="27" t="s">
        <v>8</v>
      </c>
      <c r="AZ250" s="27" t="s">
        <v>7</v>
      </c>
      <c r="BA250" s="27" t="s">
        <v>8</v>
      </c>
    </row>
    <row r="251" spans="1:97" x14ac:dyDescent="0.25">
      <c r="A251" s="30">
        <v>0.58467928908643485</v>
      </c>
      <c r="B251"/>
      <c r="C251"/>
      <c r="D251"/>
      <c r="E251"/>
      <c r="H251" s="27" t="s">
        <v>7</v>
      </c>
      <c r="I251" s="27" t="s">
        <v>8</v>
      </c>
      <c r="L251" s="27" t="s">
        <v>7</v>
      </c>
      <c r="M251" s="27" t="s">
        <v>8</v>
      </c>
      <c r="N251" s="27" t="s">
        <v>7</v>
      </c>
      <c r="O251" s="27" t="s">
        <v>8</v>
      </c>
      <c r="P251" s="27" t="s">
        <v>7</v>
      </c>
      <c r="Q251" s="27" t="s">
        <v>8</v>
      </c>
      <c r="R251" s="27" t="s">
        <v>7</v>
      </c>
      <c r="Y251" s="27" t="s">
        <v>8</v>
      </c>
      <c r="Z251" s="27" t="s">
        <v>7</v>
      </c>
      <c r="AA251" s="27" t="s">
        <v>8</v>
      </c>
      <c r="AB251" s="27" t="s">
        <v>7</v>
      </c>
      <c r="AD251" s="27" t="s">
        <v>7</v>
      </c>
      <c r="AE251" s="27" t="s">
        <v>8</v>
      </c>
      <c r="AF251" s="27" t="s">
        <v>7</v>
      </c>
      <c r="AY251" s="27" t="s">
        <v>8</v>
      </c>
      <c r="AZ251" s="27" t="s">
        <v>7</v>
      </c>
      <c r="BA251" s="27" t="s">
        <v>8</v>
      </c>
    </row>
    <row r="252" spans="1:97" x14ac:dyDescent="0.25">
      <c r="A252" s="30">
        <v>0.55683741817755672</v>
      </c>
      <c r="B252"/>
      <c r="C252"/>
      <c r="D252"/>
      <c r="E252"/>
      <c r="H252" s="27" t="s">
        <v>7</v>
      </c>
      <c r="I252" s="27" t="s">
        <v>8</v>
      </c>
      <c r="L252" s="27" t="s">
        <v>7</v>
      </c>
      <c r="N252" s="27" t="s">
        <v>7</v>
      </c>
      <c r="O252" s="27" t="s">
        <v>8</v>
      </c>
      <c r="P252" s="27" t="s">
        <v>7</v>
      </c>
      <c r="Q252" s="27" t="s">
        <v>8</v>
      </c>
      <c r="R252" s="27" t="s">
        <v>7</v>
      </c>
      <c r="Y252" s="27" t="s">
        <v>8</v>
      </c>
      <c r="Z252" s="27" t="s">
        <v>7</v>
      </c>
      <c r="AA252" s="27" t="s">
        <v>8</v>
      </c>
      <c r="AD252" s="27" t="s">
        <v>7</v>
      </c>
      <c r="AE252" s="27" t="s">
        <v>8</v>
      </c>
      <c r="AF252" s="27" t="s">
        <v>7</v>
      </c>
      <c r="AU252" s="27" t="s">
        <v>8</v>
      </c>
      <c r="AY252" s="27" t="s">
        <v>8</v>
      </c>
      <c r="AZ252" s="27" t="s">
        <v>7</v>
      </c>
      <c r="BA252" s="27" t="s">
        <v>8</v>
      </c>
    </row>
    <row r="253" spans="1:97" x14ac:dyDescent="0.25">
      <c r="A253" s="30">
        <v>0.53032135064529184</v>
      </c>
      <c r="B253"/>
      <c r="C253"/>
      <c r="D253"/>
      <c r="E253"/>
      <c r="H253" s="27" t="s">
        <v>7</v>
      </c>
      <c r="N253" s="27" t="s">
        <v>7</v>
      </c>
      <c r="P253" s="27" t="s">
        <v>7</v>
      </c>
      <c r="Q253" s="27" t="s">
        <v>8</v>
      </c>
      <c r="R253" s="27" t="s">
        <v>7</v>
      </c>
      <c r="Y253" s="27" t="s">
        <v>8</v>
      </c>
      <c r="Z253" s="27" t="s">
        <v>7</v>
      </c>
      <c r="AA253" s="27" t="s">
        <v>8</v>
      </c>
      <c r="AD253" s="27" t="s">
        <v>7</v>
      </c>
      <c r="AE253" s="27" t="s">
        <v>8</v>
      </c>
      <c r="AF253" s="27" t="s">
        <v>7</v>
      </c>
      <c r="AU253" s="27" t="s">
        <v>8</v>
      </c>
      <c r="AV253" s="27" t="s">
        <v>7</v>
      </c>
      <c r="AW253" s="27" t="s">
        <v>8</v>
      </c>
      <c r="AY253" s="27" t="s">
        <v>8</v>
      </c>
      <c r="AZ253" s="27" t="s">
        <v>7</v>
      </c>
    </row>
    <row r="254" spans="1:97" x14ac:dyDescent="0.25">
      <c r="A254" s="30">
        <v>0.50506795299551588</v>
      </c>
      <c r="B254"/>
      <c r="C254"/>
      <c r="D254"/>
      <c r="E254"/>
      <c r="P254" s="27" t="s">
        <v>7</v>
      </c>
      <c r="R254" s="27" t="s">
        <v>7</v>
      </c>
      <c r="Y254" s="27" t="s">
        <v>8</v>
      </c>
      <c r="Z254" s="27" t="s">
        <v>7</v>
      </c>
      <c r="AA254" s="27" t="s">
        <v>8</v>
      </c>
      <c r="AD254" s="27" t="s">
        <v>7</v>
      </c>
      <c r="AF254" s="27" t="s">
        <v>7</v>
      </c>
      <c r="AU254" s="27" t="s">
        <v>8</v>
      </c>
      <c r="AV254" s="27" t="s">
        <v>7</v>
      </c>
      <c r="AW254" s="27" t="s">
        <v>8</v>
      </c>
      <c r="AX254" s="27" t="s">
        <v>7</v>
      </c>
      <c r="AY254" s="27" t="s">
        <v>8</v>
      </c>
    </row>
    <row r="255" spans="1:97" x14ac:dyDescent="0.25">
      <c r="A255" s="30">
        <v>0.48101709809096732</v>
      </c>
      <c r="E255"/>
      <c r="R255" s="27" t="s">
        <v>7</v>
      </c>
      <c r="W255" s="27" t="s">
        <v>8</v>
      </c>
      <c r="Y255" s="27" t="s">
        <v>8</v>
      </c>
      <c r="Z255" s="27" t="s">
        <v>7</v>
      </c>
      <c r="AF255" s="27" t="s">
        <v>7</v>
      </c>
      <c r="AU255" s="27" t="s">
        <v>8</v>
      </c>
      <c r="AV255" s="27" t="s">
        <v>7</v>
      </c>
      <c r="AW255" s="27" t="s">
        <v>8</v>
      </c>
      <c r="AX255" s="27" t="s">
        <v>7</v>
      </c>
      <c r="AY255" s="27" t="s">
        <v>8</v>
      </c>
    </row>
    <row r="256" spans="1:97" x14ac:dyDescent="0.25">
      <c r="A256" s="30">
        <v>0.45811152199139726</v>
      </c>
      <c r="E256"/>
      <c r="R256" s="27" t="s">
        <v>7</v>
      </c>
      <c r="U256" s="27" t="s">
        <v>8</v>
      </c>
      <c r="W256" s="27" t="s">
        <v>8</v>
      </c>
      <c r="X256" s="27" t="s">
        <v>7</v>
      </c>
      <c r="Y256" s="27" t="s">
        <v>8</v>
      </c>
      <c r="AF256" s="27" t="s">
        <v>7</v>
      </c>
      <c r="AQ256" s="27" t="s">
        <v>8</v>
      </c>
      <c r="AU256" s="27" t="s">
        <v>8</v>
      </c>
      <c r="AV256" s="27" t="s">
        <v>7</v>
      </c>
      <c r="AX256" s="27" t="s">
        <v>7</v>
      </c>
      <c r="AY256" s="27" t="s">
        <v>8</v>
      </c>
    </row>
    <row r="257" spans="1:50" x14ac:dyDescent="0.25">
      <c r="A257" s="30">
        <v>0.43629668761085438</v>
      </c>
      <c r="B257"/>
      <c r="C257"/>
      <c r="D257"/>
      <c r="E257"/>
      <c r="R257" s="27" t="s">
        <v>7</v>
      </c>
      <c r="S257" s="27" t="s">
        <v>8</v>
      </c>
      <c r="U257" s="27" t="s">
        <v>8</v>
      </c>
      <c r="V257" s="27" t="s">
        <v>7</v>
      </c>
      <c r="W257" s="27" t="s">
        <v>8</v>
      </c>
      <c r="X257" s="27" t="s">
        <v>7</v>
      </c>
      <c r="Y257" s="27" t="s">
        <v>8</v>
      </c>
      <c r="AF257" s="27" t="s">
        <v>7</v>
      </c>
      <c r="AK257" s="27" t="s">
        <v>8</v>
      </c>
      <c r="AQ257" s="27" t="s">
        <v>8</v>
      </c>
      <c r="AR257" s="27" t="s">
        <v>7</v>
      </c>
      <c r="AU257" s="27" t="s">
        <v>8</v>
      </c>
      <c r="AX257" s="27" t="s">
        <v>7</v>
      </c>
    </row>
    <row r="258" spans="1:50" x14ac:dyDescent="0.25">
      <c r="A258" s="30">
        <v>0.41552065486748019</v>
      </c>
      <c r="B258"/>
      <c r="C258"/>
      <c r="D258"/>
      <c r="E258"/>
      <c r="R258" s="27" t="s">
        <v>7</v>
      </c>
      <c r="S258" s="27" t="s">
        <v>8</v>
      </c>
      <c r="T258" s="27" t="s">
        <v>7</v>
      </c>
      <c r="U258" s="27" t="s">
        <v>8</v>
      </c>
      <c r="V258" s="27" t="s">
        <v>7</v>
      </c>
      <c r="W258" s="27" t="s">
        <v>8</v>
      </c>
      <c r="X258" s="27" t="s">
        <v>7</v>
      </c>
      <c r="AF258" s="27" t="s">
        <v>7</v>
      </c>
      <c r="AK258" s="27" t="s">
        <v>8</v>
      </c>
      <c r="AL258" s="27" t="s">
        <v>7</v>
      </c>
      <c r="AQ258" s="27" t="s">
        <v>8</v>
      </c>
      <c r="AR258" s="27" t="s">
        <v>7</v>
      </c>
      <c r="AS258" s="27" t="s">
        <v>8</v>
      </c>
      <c r="AU258" s="27" t="s">
        <v>8</v>
      </c>
    </row>
    <row r="259" spans="1:50" x14ac:dyDescent="0.25">
      <c r="A259" s="30">
        <v>0.39573395701664765</v>
      </c>
      <c r="B259"/>
      <c r="C259"/>
      <c r="D259"/>
      <c r="E259"/>
      <c r="R259" s="27" t="s">
        <v>7</v>
      </c>
      <c r="S259" s="27" t="s">
        <v>8</v>
      </c>
      <c r="T259" s="27" t="s">
        <v>7</v>
      </c>
      <c r="U259" s="27" t="s">
        <v>8</v>
      </c>
      <c r="V259" s="27" t="s">
        <v>7</v>
      </c>
      <c r="W259" s="27" t="s">
        <v>8</v>
      </c>
      <c r="AF259" s="27" t="s">
        <v>7</v>
      </c>
      <c r="AK259" s="27" t="s">
        <v>8</v>
      </c>
      <c r="AL259" s="27" t="s">
        <v>7</v>
      </c>
      <c r="AM259" s="27" t="s">
        <v>8</v>
      </c>
      <c r="AO259" s="27" t="s">
        <v>8</v>
      </c>
      <c r="AQ259" s="27" t="s">
        <v>8</v>
      </c>
      <c r="AR259" s="27" t="s">
        <v>7</v>
      </c>
      <c r="AS259" s="27" t="s">
        <v>8</v>
      </c>
      <c r="AT259" s="27" t="s">
        <v>7</v>
      </c>
      <c r="AU259" s="27" t="s">
        <v>8</v>
      </c>
    </row>
    <row r="260" spans="1:50" x14ac:dyDescent="0.25">
      <c r="A260" s="30">
        <v>0.37688948287299762</v>
      </c>
      <c r="B260"/>
      <c r="C260"/>
      <c r="D260"/>
      <c r="E260"/>
      <c r="R260" s="27" t="s">
        <v>7</v>
      </c>
      <c r="S260" s="27" t="s">
        <v>8</v>
      </c>
      <c r="T260" s="27" t="s">
        <v>7</v>
      </c>
      <c r="U260" s="27" t="s">
        <v>8</v>
      </c>
      <c r="V260" s="27" t="s">
        <v>7</v>
      </c>
      <c r="AF260" s="27" t="s">
        <v>7</v>
      </c>
      <c r="AK260" s="27" t="s">
        <v>8</v>
      </c>
      <c r="AL260" s="27" t="s">
        <v>7</v>
      </c>
      <c r="AM260" s="27" t="s">
        <v>8</v>
      </c>
      <c r="AN260" s="27" t="s">
        <v>7</v>
      </c>
      <c r="AO260" s="27" t="s">
        <v>8</v>
      </c>
      <c r="AP260" s="27" t="s">
        <v>7</v>
      </c>
      <c r="AQ260" s="27" t="s">
        <v>8</v>
      </c>
      <c r="AR260" s="27" t="s">
        <v>7</v>
      </c>
      <c r="AS260" s="27" t="s">
        <v>8</v>
      </c>
      <c r="AT260" s="27" t="s">
        <v>7</v>
      </c>
      <c r="AU260" s="27" t="s">
        <v>8</v>
      </c>
    </row>
    <row r="261" spans="1:50" x14ac:dyDescent="0.25">
      <c r="A261" s="30">
        <v>0.35894236464094997</v>
      </c>
      <c r="B261"/>
      <c r="C261"/>
      <c r="D261"/>
      <c r="E261"/>
      <c r="R261" s="27" t="s">
        <v>7</v>
      </c>
      <c r="S261" s="27" t="s">
        <v>8</v>
      </c>
      <c r="T261" s="27" t="s">
        <v>7</v>
      </c>
      <c r="AF261" s="27" t="s">
        <v>7</v>
      </c>
      <c r="AK261" s="27" t="s">
        <v>8</v>
      </c>
      <c r="AL261" s="27" t="s">
        <v>7</v>
      </c>
      <c r="AM261" s="27" t="s">
        <v>8</v>
      </c>
      <c r="AN261" s="27" t="s">
        <v>7</v>
      </c>
      <c r="AO261" s="27" t="s">
        <v>8</v>
      </c>
      <c r="AP261" s="27" t="s">
        <v>7</v>
      </c>
      <c r="AQ261" s="27" t="s">
        <v>8</v>
      </c>
      <c r="AR261" s="27" t="s">
        <v>7</v>
      </c>
      <c r="AS261" s="27" t="s">
        <v>8</v>
      </c>
      <c r="AT261" s="27" t="s">
        <v>7</v>
      </c>
      <c r="AU261" s="27" t="s">
        <v>8</v>
      </c>
    </row>
    <row r="262" spans="1:50" x14ac:dyDescent="0.25">
      <c r="A262" s="30">
        <v>0.34184987108661891</v>
      </c>
      <c r="B262"/>
      <c r="C262"/>
      <c r="D262"/>
      <c r="E262"/>
      <c r="R262" s="27" t="s">
        <v>7</v>
      </c>
      <c r="AF262" s="27" t="s">
        <v>7</v>
      </c>
      <c r="AK262" s="27" t="s">
        <v>8</v>
      </c>
      <c r="AL262" s="27" t="s">
        <v>7</v>
      </c>
      <c r="AM262" s="27" t="s">
        <v>8</v>
      </c>
      <c r="AN262" s="27" t="s">
        <v>7</v>
      </c>
      <c r="AO262" s="27" t="s">
        <v>8</v>
      </c>
      <c r="AP262" s="27" t="s">
        <v>7</v>
      </c>
      <c r="AQ262" s="27" t="s">
        <v>8</v>
      </c>
      <c r="AR262" s="27" t="s">
        <v>7</v>
      </c>
      <c r="AS262" s="27" t="s">
        <v>8</v>
      </c>
      <c r="AT262" s="27" t="s">
        <v>7</v>
      </c>
      <c r="AU262" s="27" t="s">
        <v>8</v>
      </c>
    </row>
    <row r="263" spans="1:50" x14ac:dyDescent="0.25">
      <c r="A263" s="30">
        <v>0.32557130579677979</v>
      </c>
      <c r="B263"/>
      <c r="C263"/>
      <c r="D263"/>
      <c r="E263"/>
      <c r="AF263" s="27" t="s">
        <v>7</v>
      </c>
      <c r="AI263" s="27" t="s">
        <v>8</v>
      </c>
      <c r="AK263" s="27" t="s">
        <v>8</v>
      </c>
      <c r="AL263" s="27" t="s">
        <v>7</v>
      </c>
      <c r="AM263" s="27" t="s">
        <v>8</v>
      </c>
      <c r="AN263" s="27" t="s">
        <v>7</v>
      </c>
      <c r="AO263" s="27" t="s">
        <v>8</v>
      </c>
      <c r="AP263" s="27" t="s">
        <v>7</v>
      </c>
      <c r="AQ263" s="27" t="s">
        <v>8</v>
      </c>
      <c r="AR263" s="27" t="s">
        <v>7</v>
      </c>
      <c r="AS263" s="27" t="s">
        <v>8</v>
      </c>
      <c r="AT263" s="27" t="s">
        <v>7</v>
      </c>
    </row>
    <row r="264" spans="1:50" x14ac:dyDescent="0.25">
      <c r="A264" s="30">
        <v>0.3100679102826473</v>
      </c>
      <c r="B264"/>
      <c r="C264"/>
      <c r="D264"/>
      <c r="E264"/>
      <c r="AF264" s="27" t="s">
        <v>7</v>
      </c>
      <c r="AI264" s="27" t="s">
        <v>8</v>
      </c>
      <c r="AJ264" s="27" t="s">
        <v>7</v>
      </c>
      <c r="AK264" s="27" t="s">
        <v>8</v>
      </c>
      <c r="AL264" s="27" t="s">
        <v>7</v>
      </c>
      <c r="AM264" s="27" t="s">
        <v>8</v>
      </c>
      <c r="AN264" s="27" t="s">
        <v>7</v>
      </c>
      <c r="AO264" s="27" t="s">
        <v>8</v>
      </c>
      <c r="AP264" s="27" t="s">
        <v>7</v>
      </c>
      <c r="AR264" s="27" t="s">
        <v>7</v>
      </c>
    </row>
    <row r="265" spans="1:50" x14ac:dyDescent="0.25">
      <c r="A265" s="30">
        <v>0.2953027716977592</v>
      </c>
      <c r="B265"/>
      <c r="C265"/>
      <c r="D265"/>
      <c r="E265"/>
      <c r="AF265" s="27" t="s">
        <v>7</v>
      </c>
      <c r="AI265" s="27" t="s">
        <v>8</v>
      </c>
      <c r="AJ265" s="27" t="s">
        <v>7</v>
      </c>
      <c r="AK265" s="27" t="s">
        <v>8</v>
      </c>
      <c r="AL265" s="27" t="s">
        <v>7</v>
      </c>
      <c r="AM265" s="27" t="s">
        <v>8</v>
      </c>
      <c r="AN265" s="27" t="s">
        <v>7</v>
      </c>
      <c r="AO265" s="27" t="s">
        <v>8</v>
      </c>
    </row>
    <row r="266" spans="1:50" x14ac:dyDescent="0.25">
      <c r="A266" s="30">
        <v>0.28124073495024676</v>
      </c>
      <c r="B266"/>
      <c r="C266"/>
      <c r="D266"/>
      <c r="E266"/>
      <c r="AF266" s="27" t="s">
        <v>7</v>
      </c>
      <c r="AG266" s="27" t="s">
        <v>8</v>
      </c>
      <c r="AI266" s="27" t="s">
        <v>8</v>
      </c>
      <c r="AJ266" s="27" t="s">
        <v>7</v>
      </c>
      <c r="AK266" s="27" t="s">
        <v>8</v>
      </c>
      <c r="AL266" s="27" t="s">
        <v>7</v>
      </c>
      <c r="AM266" s="27" t="s">
        <v>8</v>
      </c>
      <c r="AN266" s="27" t="s">
        <v>7</v>
      </c>
    </row>
    <row r="267" spans="1:50" x14ac:dyDescent="0.25">
      <c r="A267" s="30">
        <v>0.26784831900023492</v>
      </c>
      <c r="B267"/>
      <c r="C267"/>
      <c r="D267"/>
      <c r="E267"/>
      <c r="AF267" s="27" t="s">
        <v>7</v>
      </c>
      <c r="AG267" s="27" t="s">
        <v>8</v>
      </c>
      <c r="AH267" s="27" t="s">
        <v>7</v>
      </c>
      <c r="AI267" s="27" t="s">
        <v>8</v>
      </c>
      <c r="AJ267" s="27" t="s">
        <v>7</v>
      </c>
      <c r="AK267" s="27" t="s">
        <v>8</v>
      </c>
      <c r="AL267" s="27" t="s">
        <v>7</v>
      </c>
      <c r="AM267" s="27" t="s">
        <v>8</v>
      </c>
    </row>
    <row r="268" spans="1:50" x14ac:dyDescent="0.25">
      <c r="A268" s="30">
        <v>0.25509363714308075</v>
      </c>
      <c r="B268"/>
      <c r="C268"/>
      <c r="D268"/>
      <c r="E268"/>
      <c r="AF268" s="27" t="s">
        <v>7</v>
      </c>
      <c r="AG268" s="27" t="s">
        <v>8</v>
      </c>
      <c r="AH268" s="27" t="s">
        <v>7</v>
      </c>
      <c r="AI268" s="27" t="s">
        <v>8</v>
      </c>
      <c r="AJ268" s="27" t="s">
        <v>7</v>
      </c>
      <c r="AK268" s="27" t="s">
        <v>8</v>
      </c>
      <c r="AL268" s="27" t="s">
        <v>7</v>
      </c>
      <c r="AM268" s="27" t="s">
        <v>8</v>
      </c>
    </row>
    <row r="269" spans="1:50" x14ac:dyDescent="0.25">
      <c r="A269" s="30">
        <v>0.24294632108864825</v>
      </c>
      <c r="B269"/>
      <c r="C269"/>
      <c r="D269"/>
      <c r="E269"/>
      <c r="AF269" s="27" t="s">
        <v>7</v>
      </c>
      <c r="AG269" s="27" t="s">
        <v>8</v>
      </c>
      <c r="AH269" s="27" t="s">
        <v>7</v>
      </c>
      <c r="AI269" s="27" t="s">
        <v>8</v>
      </c>
      <c r="AJ269" s="27" t="s">
        <v>7</v>
      </c>
      <c r="AL269" s="27" t="s">
        <v>7</v>
      </c>
    </row>
    <row r="270" spans="1:50" x14ac:dyDescent="0.25">
      <c r="A270" s="30">
        <v>0.23137744865585538</v>
      </c>
      <c r="B270"/>
      <c r="C270"/>
      <c r="D270"/>
      <c r="E270"/>
      <c r="AF270" s="27" t="s">
        <v>7</v>
      </c>
      <c r="AG270" s="27" t="s">
        <v>8</v>
      </c>
      <c r="AH270" s="27" t="s">
        <v>7</v>
      </c>
      <c r="AI270" s="27" t="s">
        <v>8</v>
      </c>
    </row>
    <row r="271" spans="1:50" x14ac:dyDescent="0.25">
      <c r="A271" s="30">
        <v>0.22035947491033836</v>
      </c>
      <c r="B271"/>
      <c r="C271"/>
      <c r="D271"/>
      <c r="E271"/>
      <c r="AF271" s="27" t="s">
        <v>7</v>
      </c>
      <c r="AG271" s="27" t="s">
        <v>8</v>
      </c>
      <c r="AH271" s="27" t="s">
        <v>7</v>
      </c>
      <c r="AI271" s="27" t="s">
        <v>8</v>
      </c>
    </row>
    <row r="272" spans="1:50" x14ac:dyDescent="0.25">
      <c r="A272" s="30">
        <v>0.20986616658127455</v>
      </c>
      <c r="B272"/>
      <c r="C272"/>
      <c r="D272"/>
      <c r="E272"/>
      <c r="AF272" s="27" t="s">
        <v>7</v>
      </c>
      <c r="AG272" s="27" t="s">
        <v>8</v>
      </c>
      <c r="AH272" s="27" t="s">
        <v>7</v>
      </c>
      <c r="AI272" s="27" t="s">
        <v>8</v>
      </c>
    </row>
    <row r="273" spans="1:35" x14ac:dyDescent="0.25">
      <c r="A273" s="30">
        <v>0.19987253960121379</v>
      </c>
      <c r="B273"/>
      <c r="C273"/>
      <c r="D273"/>
      <c r="E273"/>
      <c r="AF273" s="27" t="s">
        <v>7</v>
      </c>
      <c r="AG273" s="27" t="s">
        <v>8</v>
      </c>
      <c r="AH273" s="27" t="s">
        <v>7</v>
      </c>
      <c r="AI273" s="27" t="s">
        <v>8</v>
      </c>
    </row>
    <row r="274" spans="1:35" x14ac:dyDescent="0.25">
      <c r="A274" s="30">
        <v>0.19035479962020352</v>
      </c>
      <c r="B274"/>
      <c r="C274"/>
      <c r="D274"/>
      <c r="E274"/>
      <c r="AF274" s="27" t="s">
        <v>7</v>
      </c>
      <c r="AG274" s="27" t="s">
        <v>8</v>
      </c>
      <c r="AH274" s="27" t="s">
        <v>7</v>
      </c>
      <c r="AI274" s="27" t="s">
        <v>8</v>
      </c>
    </row>
    <row r="275" spans="1:35" x14ac:dyDescent="0.25">
      <c r="A275" s="30">
        <v>0.18129028535257471</v>
      </c>
      <c r="B275"/>
      <c r="C275"/>
      <c r="D275"/>
      <c r="E275"/>
      <c r="AF275" s="27" t="s">
        <v>7</v>
      </c>
      <c r="AG275" s="27" t="s">
        <v>8</v>
      </c>
      <c r="AH275" s="27" t="s">
        <v>7</v>
      </c>
    </row>
    <row r="276" spans="1:35" x14ac:dyDescent="0.25">
      <c r="A276" s="30">
        <v>0.17265741462149967</v>
      </c>
      <c r="B276"/>
      <c r="C276"/>
      <c r="D276"/>
      <c r="E276"/>
      <c r="AF276" s="27" t="s">
        <v>7</v>
      </c>
      <c r="AG276" s="27" t="s">
        <v>8</v>
      </c>
    </row>
    <row r="277" spans="1:35" x14ac:dyDescent="0.25">
      <c r="A277" s="30">
        <v>0.16443563297285677</v>
      </c>
      <c r="B277"/>
      <c r="C277"/>
      <c r="D277"/>
      <c r="E277"/>
      <c r="AF277" s="27" t="s">
        <v>7</v>
      </c>
      <c r="AG277" s="27" t="s">
        <v>8</v>
      </c>
    </row>
    <row r="278" spans="1:35" x14ac:dyDescent="0.25">
      <c r="A278" s="30">
        <v>0.15660536473605399</v>
      </c>
      <c r="B278"/>
      <c r="C278"/>
      <c r="D278"/>
      <c r="E278"/>
      <c r="AF278" s="27" t="s">
        <v>7</v>
      </c>
      <c r="AG278" s="27" t="s">
        <v>8</v>
      </c>
    </row>
    <row r="279" spans="1:35" x14ac:dyDescent="0.25">
      <c r="A279" s="30">
        <v>0.14914796641528946</v>
      </c>
      <c r="B279"/>
      <c r="C279"/>
      <c r="D279"/>
      <c r="E279"/>
      <c r="AF279" s="27" t="s">
        <v>7</v>
      </c>
      <c r="AG279" s="27" t="s">
        <v>8</v>
      </c>
    </row>
    <row r="280" spans="1:35" x14ac:dyDescent="0.25">
      <c r="A280" s="30">
        <v>0.14204568230027562</v>
      </c>
      <c r="B280"/>
      <c r="C280"/>
      <c r="D280"/>
      <c r="E280"/>
      <c r="AF280" s="27" t="s">
        <v>7</v>
      </c>
      <c r="AG280" s="27" t="s">
        <v>8</v>
      </c>
    </row>
    <row r="281" spans="1:35" x14ac:dyDescent="0.25">
      <c r="A281" s="30">
        <v>0.13528160219073862</v>
      </c>
      <c r="B281"/>
      <c r="C281"/>
      <c r="D281"/>
      <c r="E281"/>
      <c r="AF281" s="27" t="s">
        <v>7</v>
      </c>
      <c r="AG281" s="27" t="s">
        <v>8</v>
      </c>
    </row>
    <row r="282" spans="1:35" x14ac:dyDescent="0.25">
      <c r="A282" s="30">
        <v>0.12883962113403674</v>
      </c>
      <c r="B282"/>
      <c r="C282"/>
      <c r="D282"/>
      <c r="E282"/>
      <c r="AF282" s="27" t="s">
        <v>7</v>
      </c>
      <c r="AG282" s="27" t="s">
        <v>8</v>
      </c>
    </row>
    <row r="283" spans="1:35" x14ac:dyDescent="0.25">
      <c r="A283" s="30">
        <v>0.12270440108003494</v>
      </c>
      <c r="B283"/>
      <c r="C283"/>
      <c r="D283"/>
      <c r="E283"/>
      <c r="AF283" s="27" t="s">
        <v>7</v>
      </c>
      <c r="AG283" s="27" t="s">
        <v>8</v>
      </c>
    </row>
    <row r="284" spans="1:35" x14ac:dyDescent="0.25">
      <c r="A284" s="30">
        <v>0.11686133436193799</v>
      </c>
      <c r="B284"/>
      <c r="C284"/>
      <c r="D284"/>
      <c r="E284"/>
      <c r="AF284" s="27" t="s">
        <v>7</v>
      </c>
      <c r="AG284" s="27" t="s">
        <v>8</v>
      </c>
    </row>
    <row r="285" spans="1:35" x14ac:dyDescent="0.25">
      <c r="A285" s="30">
        <v>0.11129650891613138</v>
      </c>
      <c r="B285"/>
      <c r="C285"/>
      <c r="D285"/>
      <c r="E285"/>
      <c r="AF285" s="27" t="s">
        <v>7</v>
      </c>
      <c r="AG285" s="27" t="s">
        <v>8</v>
      </c>
    </row>
    <row r="286" spans="1:35" x14ac:dyDescent="0.25">
      <c r="A286" s="30">
        <v>0.10599667515822032</v>
      </c>
      <c r="B286"/>
      <c r="C286"/>
      <c r="D286"/>
      <c r="E286"/>
      <c r="AF286" s="27" t="s">
        <v>7</v>
      </c>
      <c r="AG286" s="27" t="s">
        <v>8</v>
      </c>
    </row>
    <row r="287" spans="1:35" x14ac:dyDescent="0.25">
      <c r="A287" s="30">
        <v>0.10094921443640027</v>
      </c>
      <c r="B287"/>
      <c r="C287"/>
      <c r="D287"/>
      <c r="E287"/>
      <c r="AF287" s="27" t="s">
        <v>7</v>
      </c>
      <c r="AG287" s="27" t="s">
        <v>8</v>
      </c>
    </row>
    <row r="288" spans="1:35" x14ac:dyDescent="0.25">
      <c r="A288" s="30">
        <v>9.6142108987047836E-2</v>
      </c>
      <c r="B288"/>
      <c r="C288"/>
      <c r="D288"/>
      <c r="E288"/>
      <c r="AF288" s="27" t="s">
        <v>7</v>
      </c>
      <c r="AG288" s="27" t="s">
        <v>8</v>
      </c>
    </row>
    <row r="289" spans="1:33" x14ac:dyDescent="0.25">
      <c r="A289" s="30">
        <v>9.1563913320997906E-2</v>
      </c>
      <c r="B289"/>
      <c r="C289"/>
      <c r="D289"/>
      <c r="E289"/>
      <c r="AF289" s="27" t="s">
        <v>7</v>
      </c>
      <c r="AG289" s="27" t="s">
        <v>8</v>
      </c>
    </row>
    <row r="290" spans="1:33" x14ac:dyDescent="0.25">
      <c r="A290" s="30">
        <v>8.7203726972378923E-2</v>
      </c>
      <c r="B290"/>
      <c r="C290"/>
      <c r="D290"/>
      <c r="E290"/>
      <c r="AF290" s="27" t="s">
        <v>7</v>
      </c>
      <c r="AG290" s="27" t="s">
        <v>8</v>
      </c>
    </row>
    <row r="291" spans="1:33" x14ac:dyDescent="0.25">
      <c r="A291" s="30">
        <v>8.3051168545122747E-2</v>
      </c>
      <c r="B291"/>
      <c r="C291"/>
      <c r="D291"/>
      <c r="E291"/>
      <c r="AF291" s="27" t="s">
        <v>7</v>
      </c>
      <c r="AG291" s="27" t="s">
        <v>8</v>
      </c>
    </row>
    <row r="292" spans="1:33" x14ac:dyDescent="0.25">
      <c r="A292" s="30">
        <v>7.9096350995354961E-2</v>
      </c>
      <c r="B292"/>
      <c r="C292"/>
      <c r="D292"/>
      <c r="E292"/>
      <c r="AF292" s="27" t="s">
        <v>7</v>
      </c>
      <c r="AG292" s="27" t="s">
        <v>8</v>
      </c>
    </row>
    <row r="293" spans="1:33" x14ac:dyDescent="0.25">
      <c r="A293" s="30">
        <v>7.5329858090814217E-2</v>
      </c>
      <c r="B293"/>
      <c r="C293"/>
      <c r="D293"/>
      <c r="E293"/>
      <c r="AF293" s="27" t="s">
        <v>7</v>
      </c>
      <c r="AG293" s="27" t="s">
        <v>8</v>
      </c>
    </row>
    <row r="294" spans="1:33" x14ac:dyDescent="0.25">
      <c r="A294" s="30">
        <v>7.1742721991251604E-2</v>
      </c>
      <c r="B294"/>
      <c r="C294"/>
      <c r="D294"/>
      <c r="E294"/>
      <c r="AF294" s="27" t="s">
        <v>7</v>
      </c>
      <c r="AG294" s="27" t="s">
        <v>8</v>
      </c>
    </row>
    <row r="295" spans="1:33" x14ac:dyDescent="0.25">
      <c r="A295" s="30">
        <v>6.8326401896430078E-2</v>
      </c>
      <c r="B295"/>
      <c r="C295"/>
      <c r="D295"/>
      <c r="E295"/>
      <c r="AF295" s="27" t="s">
        <v>7</v>
      </c>
      <c r="AG295" s="27" t="s">
        <v>8</v>
      </c>
    </row>
    <row r="296" spans="1:33" x14ac:dyDescent="0.25">
      <c r="A296" s="30">
        <v>6.5072763710885759E-2</v>
      </c>
      <c r="B296"/>
      <c r="C296"/>
      <c r="D296"/>
      <c r="E296"/>
      <c r="AF296" s="27" t="s">
        <v>7</v>
      </c>
      <c r="AG296" s="27" t="s">
        <v>8</v>
      </c>
    </row>
    <row r="297" spans="1:33" x14ac:dyDescent="0.25">
      <c r="A297" s="30">
        <v>6.197406067703403E-2</v>
      </c>
      <c r="B297"/>
      <c r="C297"/>
      <c r="D297"/>
      <c r="E297"/>
      <c r="AF297" s="27" t="s">
        <v>7</v>
      </c>
      <c r="AG297" s="27" t="s">
        <v>8</v>
      </c>
    </row>
    <row r="298" spans="1:33" x14ac:dyDescent="0.25">
      <c r="A298" s="30">
        <v>5.9022914930508576E-2</v>
      </c>
      <c r="B298"/>
      <c r="C298"/>
      <c r="D298"/>
      <c r="E298"/>
      <c r="AF298" s="27" t="s">
        <v>7</v>
      </c>
      <c r="AG298" s="27" t="s">
        <v>8</v>
      </c>
    </row>
    <row r="299" spans="1:33" x14ac:dyDescent="0.25">
      <c r="A299" s="30">
        <v>5.6212299933817669E-2</v>
      </c>
      <c r="B299"/>
      <c r="C299"/>
      <c r="D299"/>
      <c r="E299"/>
      <c r="AF299" s="27" t="s">
        <v>7</v>
      </c>
      <c r="AG299" s="27" t="s">
        <v>8</v>
      </c>
    </row>
    <row r="300" spans="1:33" x14ac:dyDescent="0.25">
      <c r="A300" s="30">
        <v>5.3535523746492994E-2</v>
      </c>
      <c r="B300"/>
      <c r="C300"/>
      <c r="D300"/>
      <c r="E300"/>
      <c r="AF300" s="27" t="s">
        <v>7</v>
      </c>
      <c r="AG300" s="27" t="s">
        <v>8</v>
      </c>
    </row>
    <row r="301" spans="1:33" x14ac:dyDescent="0.25">
      <c r="A301" s="30">
        <v>5.0986213091898068E-2</v>
      </c>
      <c r="B301"/>
      <c r="C301"/>
      <c r="D301"/>
      <c r="E301"/>
      <c r="AF301" s="27" t="s">
        <v>7</v>
      </c>
      <c r="AG301" s="27" t="s">
        <v>8</v>
      </c>
    </row>
    <row r="302" spans="1:33" x14ac:dyDescent="0.25">
      <c r="A302" s="30">
        <v>4.8558298182760043E-2</v>
      </c>
      <c r="B302"/>
      <c r="C302"/>
      <c r="D302"/>
      <c r="E302"/>
      <c r="AF302" s="27" t="s">
        <v>7</v>
      </c>
      <c r="AG302" s="27" t="s">
        <v>8</v>
      </c>
    </row>
    <row r="303" spans="1:33" x14ac:dyDescent="0.25">
      <c r="A303" s="30">
        <v>4.6245998269295263E-2</v>
      </c>
      <c r="B303"/>
      <c r="C303"/>
      <c r="D303"/>
      <c r="E303"/>
      <c r="AF303" s="27" t="s">
        <v>7</v>
      </c>
      <c r="AG303" s="27" t="s">
        <v>8</v>
      </c>
    </row>
    <row r="304" spans="1:33" x14ac:dyDescent="0.25">
      <c r="A304" s="30">
        <v>4.4043807875519279E-2</v>
      </c>
      <c r="B304"/>
      <c r="C304"/>
      <c r="D304"/>
      <c r="E304"/>
      <c r="AF304" s="27" t="s">
        <v>7</v>
      </c>
      <c r="AG304" s="27" t="s">
        <v>8</v>
      </c>
    </row>
    <row r="305" spans="1:33" x14ac:dyDescent="0.25">
      <c r="A305" s="30">
        <v>4.1946483690970725E-2</v>
      </c>
      <c r="B305"/>
      <c r="C305"/>
      <c r="D305"/>
      <c r="E305"/>
      <c r="AF305" s="27" t="s">
        <v>7</v>
      </c>
      <c r="AG305" s="27" t="s">
        <v>8</v>
      </c>
    </row>
    <row r="306" spans="1:33" x14ac:dyDescent="0.25">
      <c r="A306" s="30">
        <v>3.9949032086638768E-2</v>
      </c>
      <c r="B306"/>
      <c r="C306"/>
      <c r="D306"/>
      <c r="E306"/>
      <c r="AF306" s="27" t="s">
        <v>7</v>
      </c>
      <c r="AG306" s="27" t="s">
        <v>8</v>
      </c>
    </row>
    <row r="307" spans="1:33" x14ac:dyDescent="0.25">
      <c r="A307" s="30">
        <v>3.8046697225370241E-2</v>
      </c>
      <c r="B307"/>
      <c r="C307"/>
      <c r="D307"/>
      <c r="E307"/>
      <c r="AF307" s="27" t="s">
        <v>7</v>
      </c>
      <c r="AG307" s="27" t="s">
        <v>8</v>
      </c>
    </row>
    <row r="308" spans="1:33" x14ac:dyDescent="0.25">
      <c r="A308" s="30">
        <v>3.6234949738447833E-2</v>
      </c>
      <c r="B308"/>
      <c r="C308"/>
      <c r="D308"/>
      <c r="E308"/>
      <c r="AF308" s="27" t="s">
        <v>7</v>
      </c>
      <c r="AG308" s="27" t="s">
        <v>8</v>
      </c>
    </row>
    <row r="309" spans="1:33" x14ac:dyDescent="0.25">
      <c r="A309" s="30">
        <v>3.4509475941378875E-2</v>
      </c>
      <c r="B309"/>
      <c r="C309"/>
      <c r="D309"/>
      <c r="E309"/>
      <c r="AF309" s="27" t="s">
        <v>7</v>
      </c>
      <c r="AG309" s="27" t="s">
        <v>8</v>
      </c>
    </row>
    <row r="310" spans="1:33" x14ac:dyDescent="0.25">
      <c r="A310" s="30">
        <v>3.286616756321796E-2</v>
      </c>
      <c r="B310"/>
      <c r="C310"/>
      <c r="D310"/>
      <c r="E310"/>
      <c r="AF310" s="27" t="s">
        <v>7</v>
      </c>
      <c r="AG310" s="27" t="s">
        <v>8</v>
      </c>
    </row>
    <row r="311" spans="1:33" x14ac:dyDescent="0.25">
      <c r="A311" s="30">
        <v>3.1301111964969472E-2</v>
      </c>
      <c r="B311"/>
      <c r="C311"/>
      <c r="D311"/>
      <c r="E311"/>
      <c r="AF311" s="27" t="s">
        <v>7</v>
      </c>
      <c r="AG311" s="27" t="s">
        <v>8</v>
      </c>
    </row>
    <row r="312" spans="1:33" x14ac:dyDescent="0.25">
      <c r="A312" s="30">
        <v>2.9810582823780438E-2</v>
      </c>
      <c r="B312"/>
      <c r="C312"/>
      <c r="D312"/>
      <c r="E312"/>
      <c r="AF312" s="27" t="s">
        <v>7</v>
      </c>
      <c r="AG312" s="27" t="s">
        <v>8</v>
      </c>
    </row>
    <row r="313" spans="1:33" x14ac:dyDescent="0.25">
      <c r="A313" s="30">
        <v>2.8391031260743264E-2</v>
      </c>
      <c r="B313"/>
      <c r="C313"/>
      <c r="D313"/>
      <c r="E313"/>
      <c r="AF313" s="27" t="s">
        <v>7</v>
      </c>
      <c r="AG313" s="27" t="s">
        <v>8</v>
      </c>
    </row>
    <row r="314" spans="1:33" x14ac:dyDescent="0.25">
      <c r="A314" s="30">
        <v>2.7039077391184052E-2</v>
      </c>
      <c r="B314"/>
      <c r="C314"/>
      <c r="D314"/>
      <c r="E314"/>
      <c r="AF314" s="27" t="s">
        <v>7</v>
      </c>
      <c r="AG314" s="27" t="s">
        <v>8</v>
      </c>
    </row>
    <row r="315" spans="1:33" x14ac:dyDescent="0.25">
      <c r="A315" s="30">
        <v>2.5751502277318133E-2</v>
      </c>
      <c r="B315"/>
      <c r="C315"/>
      <c r="D315"/>
      <c r="E315"/>
      <c r="AF315" s="27" t="s">
        <v>7</v>
      </c>
      <c r="AG315" s="27" t="s">
        <v>8</v>
      </c>
    </row>
    <row r="316" spans="1:33" x14ac:dyDescent="0.25">
      <c r="A316" s="30">
        <v>2.4525240264112496E-2</v>
      </c>
      <c r="B316"/>
      <c r="C316"/>
      <c r="D316"/>
      <c r="E316"/>
      <c r="AF316" s="27" t="s">
        <v>7</v>
      </c>
      <c r="AG316" s="27" t="s">
        <v>8</v>
      </c>
    </row>
    <row r="317" spans="1:33" x14ac:dyDescent="0.25">
      <c r="A317" s="30">
        <v>2.3357371680107129E-2</v>
      </c>
      <c r="B317"/>
      <c r="C317"/>
      <c r="D317"/>
      <c r="E317"/>
      <c r="AF317" s="27" t="s">
        <v>7</v>
      </c>
      <c r="AG317" s="27" t="s">
        <v>8</v>
      </c>
    </row>
    <row r="318" spans="1:33" x14ac:dyDescent="0.25">
      <c r="A318" s="30">
        <v>2.2245115885816305E-2</v>
      </c>
      <c r="B318"/>
      <c r="C318"/>
      <c r="D318"/>
      <c r="E318"/>
      <c r="AF318" s="27" t="s">
        <v>7</v>
      </c>
      <c r="AG318" s="27" t="s">
        <v>8</v>
      </c>
    </row>
    <row r="319" spans="1:33" x14ac:dyDescent="0.25">
      <c r="A319" s="30">
        <v>2.1185824653158377E-2</v>
      </c>
      <c r="B319"/>
      <c r="C319"/>
      <c r="D319"/>
      <c r="E319"/>
      <c r="AF319" s="27" t="s">
        <v>7</v>
      </c>
      <c r="AG319" s="27" t="s">
        <v>8</v>
      </c>
    </row>
    <row r="320" spans="1:33" x14ac:dyDescent="0.25">
      <c r="A320" s="30">
        <v>2.0176975860150829E-2</v>
      </c>
      <c r="B320"/>
      <c r="C320"/>
      <c r="D320"/>
      <c r="E320"/>
      <c r="AF320" s="27" t="s">
        <v>7</v>
      </c>
      <c r="AG320" s="27" t="s">
        <v>8</v>
      </c>
    </row>
    <row r="321" spans="1:33" x14ac:dyDescent="0.25">
      <c r="A321" s="30">
        <v>1.9216167485857926E-2</v>
      </c>
      <c r="B321"/>
      <c r="C321"/>
      <c r="D321"/>
      <c r="E321"/>
      <c r="AF321" s="27" t="s">
        <v>7</v>
      </c>
      <c r="AG321" s="27" t="s">
        <v>8</v>
      </c>
    </row>
    <row r="322" spans="1:33" x14ac:dyDescent="0.25">
      <c r="A322" s="30">
        <v>1.8301111891293256E-2</v>
      </c>
      <c r="B322"/>
      <c r="C322"/>
      <c r="D322"/>
      <c r="E322"/>
      <c r="AF322" s="27" t="s">
        <v>7</v>
      </c>
      <c r="AG322" s="27" t="s">
        <v>8</v>
      </c>
    </row>
    <row r="323" spans="1:33" x14ac:dyDescent="0.25">
      <c r="A323" s="30">
        <v>1.7429630372660238E-2</v>
      </c>
      <c r="B323"/>
      <c r="C323"/>
      <c r="D323"/>
      <c r="E323"/>
      <c r="AF323" s="27" t="s">
        <v>7</v>
      </c>
      <c r="AG323" s="27" t="s">
        <v>8</v>
      </c>
    </row>
    <row r="324" spans="1:33" x14ac:dyDescent="0.25">
      <c r="A324" s="30">
        <v>1.6599647973962125E-2</v>
      </c>
      <c r="B324"/>
      <c r="C324"/>
      <c r="D324"/>
      <c r="E324"/>
      <c r="AF324" s="27" t="s">
        <v>7</v>
      </c>
      <c r="AG324" s="27" t="s">
        <v>8</v>
      </c>
    </row>
    <row r="325" spans="1:33" x14ac:dyDescent="0.25">
      <c r="A325" s="30">
        <v>1.580918854663059E-2</v>
      </c>
      <c r="B325"/>
      <c r="C325"/>
      <c r="D325"/>
      <c r="E325"/>
      <c r="AF325" s="27" t="s">
        <v>7</v>
      </c>
      <c r="AG325" s="27" t="s">
        <v>8</v>
      </c>
    </row>
    <row r="326" spans="1:33" x14ac:dyDescent="0.25">
      <c r="A326" s="30">
        <v>1.5056370044410079E-2</v>
      </c>
      <c r="B326"/>
      <c r="C326"/>
      <c r="D326"/>
      <c r="E326"/>
      <c r="AF326" s="27" t="s">
        <v>7</v>
      </c>
      <c r="AG326" s="27" t="s">
        <v>8</v>
      </c>
    </row>
    <row r="327" spans="1:33" x14ac:dyDescent="0.25">
      <c r="A327" s="30">
        <v>1.4339400042295308E-2</v>
      </c>
      <c r="B327"/>
      <c r="C327"/>
      <c r="D327"/>
      <c r="E327"/>
      <c r="AF327" s="27" t="s">
        <v>7</v>
      </c>
      <c r="AG327" s="27" t="s">
        <v>8</v>
      </c>
    </row>
    <row r="328" spans="1:33" x14ac:dyDescent="0.25">
      <c r="A328" s="30">
        <v>1.365657146885267E-2</v>
      </c>
      <c r="B328"/>
      <c r="C328"/>
      <c r="D328"/>
      <c r="E328"/>
      <c r="AF328" s="27" t="s">
        <v>7</v>
      </c>
      <c r="AG328" s="27" t="s">
        <v>8</v>
      </c>
    </row>
    <row r="329" spans="1:33" x14ac:dyDescent="0.25">
      <c r="A329" s="30">
        <v>1.3006258541764442E-2</v>
      </c>
      <c r="B329"/>
      <c r="C329"/>
      <c r="D329"/>
      <c r="E329"/>
      <c r="AF329" s="27" t="s">
        <v>7</v>
      </c>
      <c r="AG329" s="27" t="s">
        <v>8</v>
      </c>
    </row>
    <row r="330" spans="1:33" x14ac:dyDescent="0.25">
      <c r="A330" s="30">
        <v>1.2386912896918512E-2</v>
      </c>
      <c r="B330"/>
      <c r="C330"/>
      <c r="D330"/>
      <c r="E330"/>
      <c r="AF330" s="27" t="s">
        <v>7</v>
      </c>
      <c r="AG330" s="27" t="s">
        <v>8</v>
      </c>
    </row>
    <row r="331" spans="1:33" x14ac:dyDescent="0.25">
      <c r="A331" s="30">
        <v>1.179705990182715E-2</v>
      </c>
      <c r="B331"/>
      <c r="C331"/>
      <c r="D331"/>
      <c r="E331"/>
      <c r="AF331" s="27" t="s">
        <v>7</v>
      </c>
      <c r="AG331" s="27" t="s">
        <v>8</v>
      </c>
    </row>
    <row r="332" spans="1:33" x14ac:dyDescent="0.25">
      <c r="A332" s="30">
        <v>1.1235295144597281E-2</v>
      </c>
      <c r="B332"/>
      <c r="C332"/>
      <c r="D332"/>
      <c r="E332"/>
      <c r="AF332" s="27" t="s">
        <v>7</v>
      </c>
      <c r="AG332" s="27" t="s">
        <v>8</v>
      </c>
    </row>
    <row r="333" spans="1:33" x14ac:dyDescent="0.25">
      <c r="A333" s="30">
        <v>1.0700281090092644E-2</v>
      </c>
      <c r="B333"/>
      <c r="C333"/>
      <c r="D333"/>
      <c r="E333"/>
      <c r="AF333" s="27" t="s">
        <v>7</v>
      </c>
      <c r="AG333" s="27" t="s">
        <v>8</v>
      </c>
    </row>
    <row r="334" spans="1:33" x14ac:dyDescent="0.25">
      <c r="A334" s="30">
        <v>1.0190743895326324E-2</v>
      </c>
      <c r="B334"/>
      <c r="C334"/>
      <c r="D334"/>
      <c r="E334"/>
      <c r="AF334" s="27" t="s">
        <v>7</v>
      </c>
      <c r="AG334" s="27" t="s">
        <v>8</v>
      </c>
    </row>
    <row r="335" spans="1:33" x14ac:dyDescent="0.25">
      <c r="A335" s="30">
        <v>9.7054703765012563E-3</v>
      </c>
      <c r="B335"/>
      <c r="C335"/>
      <c r="D335"/>
      <c r="E335"/>
      <c r="AF335" s="27" t="s">
        <v>7</v>
      </c>
      <c r="AG335" s="27" t="s">
        <v>8</v>
      </c>
    </row>
    <row r="336" spans="1:33" x14ac:dyDescent="0.25">
      <c r="A336" s="30">
        <v>9.2433051204773835E-3</v>
      </c>
      <c r="B336"/>
      <c r="C336"/>
      <c r="D336"/>
      <c r="E336"/>
      <c r="AF336" s="27" t="s">
        <v>7</v>
      </c>
      <c r="AG336" s="27" t="s">
        <v>8</v>
      </c>
    </row>
    <row r="337" spans="1:33" x14ac:dyDescent="0.25">
      <c r="A337" s="30">
        <v>8.8031477337879808E-3</v>
      </c>
      <c r="B337"/>
      <c r="C337"/>
      <c r="D337"/>
      <c r="E337"/>
      <c r="AF337" s="27" t="s">
        <v>7</v>
      </c>
      <c r="AG337" s="27" t="s">
        <v>8</v>
      </c>
    </row>
    <row r="338" spans="1:33" x14ac:dyDescent="0.25">
      <c r="A338" s="30">
        <v>8.3839502226552166E-3</v>
      </c>
      <c r="B338"/>
      <c r="C338"/>
      <c r="D338"/>
      <c r="E338"/>
      <c r="AF338" s="27" t="s">
        <v>7</v>
      </c>
      <c r="AG338" s="27" t="s">
        <v>8</v>
      </c>
    </row>
    <row r="339" spans="1:33" x14ac:dyDescent="0.25">
      <c r="A339" s="30">
        <v>7.9847144977668698E-3</v>
      </c>
      <c r="B339"/>
      <c r="C339"/>
      <c r="D339"/>
      <c r="E339"/>
      <c r="AF339" s="27" t="s">
        <v>7</v>
      </c>
      <c r="AG339" s="27" t="s">
        <v>8</v>
      </c>
    </row>
    <row r="340" spans="1:33" x14ac:dyDescent="0.25">
      <c r="A340" s="30">
        <v>7.6044899978732058E-3</v>
      </c>
      <c r="B340"/>
      <c r="C340"/>
      <c r="D340"/>
      <c r="E340"/>
      <c r="AF340" s="27" t="s">
        <v>7</v>
      </c>
      <c r="AG340" s="27" t="s">
        <v>8</v>
      </c>
    </row>
    <row r="341" spans="1:33" x14ac:dyDescent="0.25">
      <c r="A341" s="30">
        <v>7.2423714265459072E-3</v>
      </c>
      <c r="B341"/>
      <c r="C341"/>
      <c r="D341"/>
      <c r="E341"/>
      <c r="AF341" s="27" t="s">
        <v>7</v>
      </c>
      <c r="AG341" s="27" t="s">
        <v>8</v>
      </c>
    </row>
    <row r="342" spans="1:33" x14ac:dyDescent="0.25">
      <c r="A342" s="30">
        <v>6.8974965967103846E-3</v>
      </c>
      <c r="B342"/>
      <c r="C342"/>
      <c r="D342"/>
      <c r="E342"/>
      <c r="AF342" s="27" t="s">
        <v>7</v>
      </c>
      <c r="AG342" s="27" t="s">
        <v>8</v>
      </c>
    </row>
    <row r="343" spans="1:33" x14ac:dyDescent="0.25">
      <c r="A343" s="30">
        <v>6.5690443778194116E-3</v>
      </c>
      <c r="B343"/>
      <c r="C343"/>
      <c r="D343"/>
      <c r="E343"/>
      <c r="AF343" s="27" t="s">
        <v>7</v>
      </c>
      <c r="AG343" s="27" t="s">
        <v>8</v>
      </c>
    </row>
    <row r="344" spans="1:33" x14ac:dyDescent="0.25">
      <c r="A344" s="30">
        <v>6.2562327407803897E-3</v>
      </c>
      <c r="B344"/>
      <c r="C344"/>
      <c r="D344"/>
      <c r="E344"/>
      <c r="AF344" s="27" t="s">
        <v>7</v>
      </c>
      <c r="AG344" s="27" t="s">
        <v>8</v>
      </c>
    </row>
    <row r="345" spans="1:33" x14ac:dyDescent="0.25">
      <c r="A345" s="30">
        <v>5.9583168959813212E-3</v>
      </c>
      <c r="B345"/>
      <c r="C345"/>
      <c r="D345"/>
      <c r="E345"/>
      <c r="AF345" s="27" t="s">
        <v>7</v>
      </c>
      <c r="AG345" s="27" t="s">
        <v>8</v>
      </c>
    </row>
    <row r="346" spans="1:33" x14ac:dyDescent="0.25">
      <c r="A346" s="30">
        <v>5.6745875199822084E-3</v>
      </c>
      <c r="B346"/>
      <c r="C346"/>
      <c r="D346"/>
      <c r="E346"/>
      <c r="AF346" s="27" t="s">
        <v>7</v>
      </c>
      <c r="AG346" s="27" t="s">
        <v>8</v>
      </c>
    </row>
    <row r="347" spans="1:33" x14ac:dyDescent="0.25">
      <c r="A347" s="30">
        <v>5.4043690666497205E-3</v>
      </c>
      <c r="B347"/>
      <c r="C347"/>
      <c r="D347"/>
      <c r="E347"/>
      <c r="AF347" s="27" t="s">
        <v>7</v>
      </c>
      <c r="AG347" s="27" t="s">
        <v>8</v>
      </c>
    </row>
    <row r="348" spans="1:33" x14ac:dyDescent="0.25">
      <c r="A348" s="30">
        <v>5.1470181587140174E-3</v>
      </c>
      <c r="B348"/>
      <c r="C348"/>
      <c r="D348"/>
      <c r="E348"/>
      <c r="AF348" s="27" t="s">
        <v>7</v>
      </c>
      <c r="AG348" s="27" t="s">
        <v>8</v>
      </c>
    </row>
    <row r="349" spans="1:33" x14ac:dyDescent="0.25">
      <c r="A349" s="30">
        <v>4.9019220559181099E-3</v>
      </c>
      <c r="B349"/>
      <c r="C349"/>
      <c r="D349"/>
      <c r="E349"/>
      <c r="AF349" s="27" t="s">
        <v>7</v>
      </c>
      <c r="AG349" s="27" t="s">
        <v>8</v>
      </c>
    </row>
    <row r="350" spans="1:33" x14ac:dyDescent="0.25">
      <c r="A350" s="30">
        <v>4.6684971961124836E-3</v>
      </c>
      <c r="B350"/>
      <c r="C350"/>
      <c r="D350"/>
      <c r="E350"/>
      <c r="AF350" s="27" t="s">
        <v>7</v>
      </c>
      <c r="AG350" s="27" t="s">
        <v>8</v>
      </c>
    </row>
    <row r="351" spans="1:33" x14ac:dyDescent="0.25">
      <c r="A351" s="30">
        <v>4.4461878058214112E-3</v>
      </c>
      <c r="B351"/>
      <c r="C351"/>
      <c r="D351"/>
      <c r="E351"/>
      <c r="AF351" s="27" t="s">
        <v>7</v>
      </c>
      <c r="AG351" s="27" t="s">
        <v>8</v>
      </c>
    </row>
    <row r="352" spans="1:33" x14ac:dyDescent="0.25">
      <c r="A352" s="30">
        <v>4.2344645769727711E-3</v>
      </c>
      <c r="B352"/>
      <c r="C352"/>
      <c r="D352"/>
      <c r="E352"/>
      <c r="AF352" s="27" t="s">
        <v>7</v>
      </c>
      <c r="AG352" s="27" t="s">
        <v>8</v>
      </c>
    </row>
    <row r="353" spans="1:33" x14ac:dyDescent="0.25">
      <c r="A353" s="30">
        <v>4.0328234066407329E-3</v>
      </c>
      <c r="B353"/>
      <c r="C353"/>
      <c r="D353"/>
      <c r="E353"/>
      <c r="AF353" s="27" t="s">
        <v>7</v>
      </c>
      <c r="AG353" s="27" t="s">
        <v>8</v>
      </c>
    </row>
    <row r="354" spans="1:33" x14ac:dyDescent="0.25">
      <c r="A354" s="30">
        <v>3.8407841968006963E-3</v>
      </c>
      <c r="B354"/>
      <c r="C354"/>
      <c r="D354"/>
      <c r="E354"/>
      <c r="AF354" s="27" t="s">
        <v>7</v>
      </c>
      <c r="AG354" s="27" t="s">
        <v>8</v>
      </c>
    </row>
    <row r="355" spans="1:33" x14ac:dyDescent="0.25">
      <c r="A355" s="30">
        <v>3.6578897112387568E-3</v>
      </c>
      <c r="B355"/>
      <c r="C355"/>
      <c r="D355"/>
      <c r="E355"/>
      <c r="AF355" s="27" t="s">
        <v>7</v>
      </c>
      <c r="AG355" s="27" t="s">
        <v>8</v>
      </c>
    </row>
    <row r="356" spans="1:33" x14ac:dyDescent="0.25">
      <c r="A356" s="30">
        <v>3.4837044868940526E-3</v>
      </c>
      <c r="B356"/>
      <c r="C356"/>
      <c r="D356"/>
      <c r="E356"/>
      <c r="AF356" s="27" t="s">
        <v>7</v>
      </c>
      <c r="AG356" s="27" t="s">
        <v>8</v>
      </c>
    </row>
    <row r="357" spans="1:33" x14ac:dyDescent="0.25">
      <c r="A357" s="30">
        <v>3.3178137970419535E-3</v>
      </c>
      <c r="B357"/>
      <c r="C357"/>
      <c r="D357"/>
      <c r="E357"/>
      <c r="AF357" s="27" t="s">
        <v>7</v>
      </c>
      <c r="AG357" s="27" t="s">
        <v>8</v>
      </c>
    </row>
    <row r="358" spans="1:33" x14ac:dyDescent="0.25">
      <c r="A358" s="30">
        <v>3.1598226638494781E-3</v>
      </c>
      <c r="B358"/>
      <c r="C358"/>
      <c r="D358"/>
      <c r="E358"/>
      <c r="AF358" s="27" t="s">
        <v>7</v>
      </c>
      <c r="AG358" s="27" t="s">
        <v>8</v>
      </c>
    </row>
    <row r="359" spans="1:33" x14ac:dyDescent="0.25">
      <c r="A359" s="30">
        <v>3.0093549179518826E-3</v>
      </c>
      <c r="B359"/>
      <c r="C359"/>
      <c r="D359"/>
      <c r="E359"/>
      <c r="AF359" s="27" t="s">
        <v>7</v>
      </c>
      <c r="AG359" s="27" t="s">
        <v>8</v>
      </c>
    </row>
    <row r="360" spans="1:33" x14ac:dyDescent="0.25">
      <c r="A360" s="30">
        <v>2.8660523028113155E-3</v>
      </c>
      <c r="B360"/>
      <c r="C360"/>
      <c r="D360"/>
      <c r="E360"/>
      <c r="AF360" s="27" t="s">
        <v>7</v>
      </c>
      <c r="AG360" s="27" t="s">
        <v>8</v>
      </c>
    </row>
    <row r="361" spans="1:33" x14ac:dyDescent="0.25">
      <c r="A361" s="30">
        <v>2.7295736217250611E-3</v>
      </c>
      <c r="B361"/>
      <c r="C361"/>
      <c r="D361"/>
      <c r="E361"/>
      <c r="AF361" s="27" t="s">
        <v>7</v>
      </c>
      <c r="AG361" s="27" t="s">
        <v>8</v>
      </c>
    </row>
    <row r="362" spans="1:33" x14ac:dyDescent="0.25">
      <c r="A362" s="30">
        <v>2.5995939254524381E-3</v>
      </c>
      <c r="B362"/>
      <c r="C362"/>
      <c r="D362"/>
      <c r="E362"/>
      <c r="AF362" s="27" t="s">
        <v>7</v>
      </c>
      <c r="AG362" s="27" t="s">
        <v>8</v>
      </c>
    </row>
    <row r="363" spans="1:33" x14ac:dyDescent="0.25">
      <c r="A363" s="30">
        <v>2.4758037385261304E-3</v>
      </c>
      <c r="B363"/>
      <c r="C363"/>
      <c r="D363"/>
      <c r="E363"/>
      <c r="AF363" s="27" t="s">
        <v>7</v>
      </c>
      <c r="AG363" s="27" t="s">
        <v>8</v>
      </c>
    </row>
    <row r="364" spans="1:33" x14ac:dyDescent="0.25">
      <c r="A364" s="30">
        <v>2.3579083224058374E-3</v>
      </c>
      <c r="B364"/>
      <c r="C364"/>
      <c r="D364"/>
      <c r="E364"/>
      <c r="AF364" s="27" t="s">
        <v>7</v>
      </c>
      <c r="AG364" s="27" t="s">
        <v>8</v>
      </c>
    </row>
    <row r="365" spans="1:33" x14ac:dyDescent="0.25">
      <c r="A365" s="30">
        <v>2.245626973719844E-3</v>
      </c>
      <c r="B365"/>
      <c r="C365"/>
      <c r="D365"/>
      <c r="E365"/>
      <c r="AF365" s="27" t="s">
        <v>7</v>
      </c>
      <c r="AG365" s="27" t="s">
        <v>8</v>
      </c>
    </row>
    <row r="366" spans="1:33" x14ac:dyDescent="0.25">
      <c r="A366" s="30">
        <v>2.1386923559236601E-3</v>
      </c>
      <c r="B366"/>
      <c r="C366"/>
      <c r="D366"/>
      <c r="E366"/>
      <c r="AF366" s="27" t="s">
        <v>7</v>
      </c>
      <c r="AG366" s="27" t="s">
        <v>8</v>
      </c>
    </row>
    <row r="367" spans="1:33" x14ac:dyDescent="0.25">
      <c r="A367" s="30">
        <v>2.0368498627844375E-3</v>
      </c>
      <c r="B367"/>
      <c r="C367"/>
      <c r="D367"/>
      <c r="E367"/>
      <c r="AF367" s="27" t="s">
        <v>7</v>
      </c>
      <c r="AG367" s="27" t="s">
        <v>8</v>
      </c>
    </row>
    <row r="368" spans="1:33" x14ac:dyDescent="0.25">
      <c r="A368" s="30">
        <v>1.9398570121756541E-3</v>
      </c>
      <c r="B368"/>
      <c r="C368"/>
      <c r="D368"/>
      <c r="E368"/>
      <c r="AF368" s="27" t="s">
        <v>7</v>
      </c>
      <c r="AG368" s="27" t="s">
        <v>8</v>
      </c>
    </row>
    <row r="369" spans="1:33" x14ac:dyDescent="0.25">
      <c r="A369" s="30">
        <v>1.8474828687387174E-3</v>
      </c>
      <c r="B369"/>
      <c r="C369"/>
      <c r="D369"/>
      <c r="E369"/>
      <c r="AF369" s="27" t="s">
        <v>7</v>
      </c>
      <c r="AG369" s="27" t="s">
        <v>8</v>
      </c>
    </row>
    <row r="370" spans="1:33" x14ac:dyDescent="0.25">
      <c r="A370" s="30">
        <v>1.759507494036873E-3</v>
      </c>
      <c r="B370"/>
      <c r="C370"/>
      <c r="D370"/>
      <c r="E370"/>
      <c r="AF370" s="27" t="s">
        <v>7</v>
      </c>
      <c r="AG370" s="27" t="s">
        <v>8</v>
      </c>
    </row>
    <row r="371" spans="1:33" x14ac:dyDescent="0.25">
      <c r="A371" s="30">
        <v>1.6757214228922594E-3</v>
      </c>
      <c r="B371"/>
      <c r="C371"/>
      <c r="D371"/>
      <c r="E371"/>
      <c r="AF371" s="27" t="s">
        <v>7</v>
      </c>
      <c r="AG371" s="27" t="s">
        <v>8</v>
      </c>
    </row>
    <row r="372" spans="1:33" x14ac:dyDescent="0.25">
      <c r="A372" s="30">
        <v>1.595925164659294E-3</v>
      </c>
      <c r="B372"/>
      <c r="C372"/>
      <c r="D372"/>
      <c r="E372"/>
      <c r="AF372" s="27" t="s">
        <v>7</v>
      </c>
      <c r="AG372" s="27" t="s">
        <v>8</v>
      </c>
    </row>
    <row r="373" spans="1:33" x14ac:dyDescent="0.25">
      <c r="A373" s="30">
        <v>1.5199287282469461E-3</v>
      </c>
      <c r="B373"/>
      <c r="C373"/>
      <c r="D373"/>
      <c r="E373"/>
      <c r="AF373" s="27" t="s">
        <v>7</v>
      </c>
      <c r="AG373" s="27" t="s">
        <v>8</v>
      </c>
    </row>
    <row r="374" spans="1:33" x14ac:dyDescent="0.25">
      <c r="A374" s="30">
        <v>1.4475511697589958E-3</v>
      </c>
      <c r="B374"/>
      <c r="C374"/>
      <c r="D374"/>
      <c r="E374"/>
      <c r="AF374" s="27" t="s">
        <v>7</v>
      </c>
      <c r="AG374" s="27" t="s">
        <v>8</v>
      </c>
    </row>
    <row r="375" spans="1:33" x14ac:dyDescent="0.25">
      <c r="A375" s="30">
        <v>1.3786201616752334E-3</v>
      </c>
      <c r="B375"/>
      <c r="C375"/>
      <c r="D375"/>
      <c r="E375"/>
      <c r="AF375" s="27" t="s">
        <v>7</v>
      </c>
      <c r="AG375" s="27" t="s">
        <v>8</v>
      </c>
    </row>
    <row r="376" spans="1:33" x14ac:dyDescent="0.25">
      <c r="A376" s="30">
        <v>1.3129715825478407E-3</v>
      </c>
      <c r="B376"/>
      <c r="C376"/>
      <c r="D376"/>
      <c r="E376"/>
      <c r="AF376" s="27" t="s">
        <v>7</v>
      </c>
      <c r="AG376" s="27" t="s">
        <v>8</v>
      </c>
    </row>
    <row r="377" spans="1:33" x14ac:dyDescent="0.25">
      <c r="A377" s="30">
        <v>1.2504491262360382E-3</v>
      </c>
      <c r="B377"/>
      <c r="C377"/>
      <c r="D377"/>
      <c r="E377"/>
      <c r="AF377" s="27" t="s">
        <v>7</v>
      </c>
      <c r="AG377" s="27" t="s">
        <v>8</v>
      </c>
    </row>
    <row r="378" spans="1:33" x14ac:dyDescent="0.25">
      <c r="A378" s="30">
        <v>1.1909039297486072E-3</v>
      </c>
      <c r="B378"/>
      <c r="C378"/>
      <c r="D378"/>
      <c r="E378"/>
      <c r="AF378" s="27" t="s">
        <v>7</v>
      </c>
      <c r="AG378" s="27" t="s">
        <v>8</v>
      </c>
    </row>
    <row r="379" spans="1:33" x14ac:dyDescent="0.25">
      <c r="A379" s="30">
        <v>1.1341942188081969E-3</v>
      </c>
      <c r="B379"/>
      <c r="C379"/>
      <c r="D379"/>
      <c r="E379"/>
      <c r="AF379" s="27" t="s">
        <v>7</v>
      </c>
      <c r="AG379" s="27" t="s">
        <v>8</v>
      </c>
    </row>
    <row r="380" spans="1:33" x14ac:dyDescent="0.25">
      <c r="A380" s="30">
        <v>1.0801849702935203E-3</v>
      </c>
      <c r="B380"/>
      <c r="C380"/>
      <c r="D380"/>
      <c r="E380"/>
      <c r="AF380" s="27" t="s">
        <v>7</v>
      </c>
      <c r="AG380" s="27" t="s">
        <v>8</v>
      </c>
    </row>
    <row r="381" spans="1:33" x14ac:dyDescent="0.25">
      <c r="A381" s="30">
        <v>1.0287475907557332E-3</v>
      </c>
      <c r="B381"/>
      <c r="C381"/>
      <c r="D381"/>
      <c r="E381"/>
      <c r="AF381" s="27" t="s">
        <v>7</v>
      </c>
      <c r="AG381" s="27" t="s">
        <v>8</v>
      </c>
    </row>
    <row r="382" spans="1:33" x14ac:dyDescent="0.25">
      <c r="A382" s="30">
        <v>9.7731021121794646E-4</v>
      </c>
      <c r="AF382" s="27" t="s">
        <v>7</v>
      </c>
      <c r="AG382" s="27" t="s">
        <v>8</v>
      </c>
    </row>
    <row r="383" spans="1:33" x14ac:dyDescent="0.25">
      <c r="A383" s="30">
        <v>9.2844470065704904E-4</v>
      </c>
      <c r="AF383" s="27" t="s">
        <v>7</v>
      </c>
      <c r="AG383" s="27" t="s">
        <v>8</v>
      </c>
    </row>
    <row r="384" spans="1:33" x14ac:dyDescent="0.25">
      <c r="A384" s="30">
        <v>8.8202246562419653E-4</v>
      </c>
      <c r="AF384" s="27" t="s">
        <v>7</v>
      </c>
      <c r="AG384" s="27" t="s">
        <v>8</v>
      </c>
    </row>
    <row r="385" spans="1:33" x14ac:dyDescent="0.25">
      <c r="A385" s="30">
        <v>8.3792134234298668E-4</v>
      </c>
      <c r="AF385" s="27" t="s">
        <v>7</v>
      </c>
      <c r="AG385" s="27" t="s">
        <v>8</v>
      </c>
    </row>
    <row r="386" spans="1:33" x14ac:dyDescent="0.25">
      <c r="A386" s="30">
        <v>7.9602527522583736E-4</v>
      </c>
      <c r="AF386" s="27" t="s">
        <v>7</v>
      </c>
      <c r="AG386" s="27" t="s">
        <v>8</v>
      </c>
    </row>
    <row r="387" spans="1:33" x14ac:dyDescent="0.25">
      <c r="A387" s="30">
        <v>7.5622401146454546E-4</v>
      </c>
      <c r="AF387" s="27" t="s">
        <v>7</v>
      </c>
      <c r="AG387" s="27" t="s">
        <v>8</v>
      </c>
    </row>
    <row r="388" spans="1:33" x14ac:dyDescent="0.25">
      <c r="A388" s="30">
        <v>7.1841281089131816E-4</v>
      </c>
      <c r="AF388" s="27" t="s">
        <v>7</v>
      </c>
      <c r="AG388" s="27" t="s">
        <v>8</v>
      </c>
    </row>
    <row r="389" spans="1:33" x14ac:dyDescent="0.25">
      <c r="A389" s="30">
        <v>6.8249217034675226E-4</v>
      </c>
      <c r="AF389" s="27" t="s">
        <v>7</v>
      </c>
      <c r="AG389" s="27" t="s">
        <v>8</v>
      </c>
    </row>
    <row r="390" spans="1:33" x14ac:dyDescent="0.25">
      <c r="A390" s="30">
        <v>6.4836756182941465E-4</v>
      </c>
      <c r="AF390" s="27" t="s">
        <v>7</v>
      </c>
      <c r="AG390" s="27" t="s">
        <v>8</v>
      </c>
    </row>
    <row r="391" spans="1:33" x14ac:dyDescent="0.25">
      <c r="A391" s="30">
        <v>6.1594918373794388E-4</v>
      </c>
      <c r="AF391" s="27" t="s">
        <v>7</v>
      </c>
      <c r="AG391" s="27" t="s">
        <v>8</v>
      </c>
    </row>
    <row r="392" spans="1:33" x14ac:dyDescent="0.25">
      <c r="A392" s="30">
        <v>5.8515172455104666E-4</v>
      </c>
      <c r="AF392" s="27" t="s">
        <v>7</v>
      </c>
      <c r="AG392" s="27" t="s">
        <v>8</v>
      </c>
    </row>
    <row r="393" spans="1:33" x14ac:dyDescent="0.25">
      <c r="A393" s="30">
        <v>5.5589413832349429E-4</v>
      </c>
      <c r="AF393" s="27" t="s">
        <v>7</v>
      </c>
      <c r="AG393" s="27" t="s">
        <v>8</v>
      </c>
    </row>
    <row r="394" spans="1:33" x14ac:dyDescent="0.25">
      <c r="A394" s="30">
        <v>5.2809943140731956E-4</v>
      </c>
      <c r="AF394" s="27" t="s">
        <v>7</v>
      </c>
      <c r="AG394" s="27" t="s">
        <v>8</v>
      </c>
    </row>
    <row r="395" spans="1:33" x14ac:dyDescent="0.25">
      <c r="A395" s="30">
        <v>5.0169445983695357E-4</v>
      </c>
      <c r="AF395" s="27" t="s">
        <v>7</v>
      </c>
      <c r="AG395" s="27" t="s">
        <v>8</v>
      </c>
    </row>
    <row r="396" spans="1:33" x14ac:dyDescent="0.25">
      <c r="A396" s="30">
        <v>4.7660973684510589E-4</v>
      </c>
      <c r="AF396" s="27" t="s">
        <v>7</v>
      </c>
      <c r="AG396" s="27" t="s">
        <v>8</v>
      </c>
    </row>
    <row r="397" spans="1:33" x14ac:dyDescent="0.25">
      <c r="A397" s="30">
        <v>4.5277925000285056E-4</v>
      </c>
      <c r="AF397" s="27" t="s">
        <v>7</v>
      </c>
      <c r="AG397" s="27" t="s">
        <v>8</v>
      </c>
    </row>
    <row r="398" spans="1:33" x14ac:dyDescent="0.25">
      <c r="A398" s="30">
        <v>4.3014028750270803E-4</v>
      </c>
      <c r="AF398" s="27" t="s">
        <v>7</v>
      </c>
      <c r="AG398" s="27" t="s">
        <v>8</v>
      </c>
    </row>
    <row r="399" spans="1:33" x14ac:dyDescent="0.25">
      <c r="A399" s="30">
        <v>4.0863327312757263E-4</v>
      </c>
      <c r="AF399" s="27" t="s">
        <v>7</v>
      </c>
      <c r="AG399" s="27" t="s">
        <v>8</v>
      </c>
    </row>
    <row r="400" spans="1:33" x14ac:dyDescent="0.25">
      <c r="A400" s="30">
        <v>3.8820160947119396E-4</v>
      </c>
      <c r="AF400" s="27" t="s">
        <v>7</v>
      </c>
      <c r="AG400" s="27" t="s">
        <v>8</v>
      </c>
    </row>
    <row r="401" spans="1:33" x14ac:dyDescent="0.25">
      <c r="A401" s="30">
        <v>3.6879152899763426E-4</v>
      </c>
      <c r="AF401" s="27" t="s">
        <v>7</v>
      </c>
      <c r="AG401" s="27" t="s">
        <v>8</v>
      </c>
    </row>
    <row r="402" spans="1:33" x14ac:dyDescent="0.25">
      <c r="A402" s="30">
        <v>3.5035195254775253E-4</v>
      </c>
      <c r="AF402" s="27" t="s">
        <v>7</v>
      </c>
      <c r="AG402" s="27" t="s">
        <v>8</v>
      </c>
    </row>
    <row r="403" spans="1:33" x14ac:dyDescent="0.25">
      <c r="A403" s="30">
        <v>3.3283435492036491E-4</v>
      </c>
      <c r="AF403" s="27" t="s">
        <v>7</v>
      </c>
      <c r="AG403" s="27" t="s">
        <v>8</v>
      </c>
    </row>
    <row r="404" spans="1:33" x14ac:dyDescent="0.25">
      <c r="A404" s="30">
        <v>3.1619263717434668E-4</v>
      </c>
      <c r="AF404" s="27" t="s">
        <v>7</v>
      </c>
      <c r="AG404" s="27" t="s">
        <v>8</v>
      </c>
    </row>
    <row r="405" spans="1:33" x14ac:dyDescent="0.25">
      <c r="A405" s="30">
        <v>3.0038300531562933E-4</v>
      </c>
      <c r="AF405" s="27" t="s">
        <v>7</v>
      </c>
      <c r="AG405" s="27" t="s">
        <v>8</v>
      </c>
    </row>
    <row r="406" spans="1:33" x14ac:dyDescent="0.25">
      <c r="A406" s="30">
        <v>2.8536385504984783E-4</v>
      </c>
      <c r="AF406" s="27" t="s">
        <v>7</v>
      </c>
      <c r="AG406" s="27" t="s">
        <v>8</v>
      </c>
    </row>
    <row r="407" spans="1:33" x14ac:dyDescent="0.25">
      <c r="A407" s="30">
        <v>2.7109566229735542E-4</v>
      </c>
      <c r="AF407" s="27" t="s">
        <v>7</v>
      </c>
      <c r="AG407" s="27" t="s">
        <v>8</v>
      </c>
    </row>
    <row r="408" spans="1:33" x14ac:dyDescent="0.25">
      <c r="A408" s="30">
        <v>2.5754087918248761E-4</v>
      </c>
      <c r="AF408" s="27" t="s">
        <v>7</v>
      </c>
      <c r="AG408" s="27" t="s">
        <v>8</v>
      </c>
    </row>
    <row r="409" spans="1:33" x14ac:dyDescent="0.25">
      <c r="A409" s="30">
        <v>2.4466383522336323E-4</v>
      </c>
      <c r="AF409" s="27" t="s">
        <v>7</v>
      </c>
      <c r="AG409" s="27" t="s">
        <v>8</v>
      </c>
    </row>
    <row r="410" spans="1:33" x14ac:dyDescent="0.25">
      <c r="A410" s="30">
        <v>2.3243064346219506E-4</v>
      </c>
      <c r="AF410" s="27" t="s">
        <v>7</v>
      </c>
      <c r="AG410" s="27" t="s">
        <v>8</v>
      </c>
    </row>
    <row r="411" spans="1:33" x14ac:dyDescent="0.25">
      <c r="A411" s="30">
        <v>2.2080911128908529E-4</v>
      </c>
      <c r="AF411" s="27" t="s">
        <v>7</v>
      </c>
      <c r="AG411" s="27" t="s">
        <v>8</v>
      </c>
    </row>
    <row r="412" spans="1:33" x14ac:dyDescent="0.25">
      <c r="A412" s="30">
        <v>2.0976865572463102E-4</v>
      </c>
      <c r="AF412" s="27" t="s">
        <v>7</v>
      </c>
      <c r="AG412" s="27" t="s">
        <v>8</v>
      </c>
    </row>
    <row r="413" spans="1:33" x14ac:dyDescent="0.25">
      <c r="A413" s="30">
        <v>1.9928022293839946E-4</v>
      </c>
      <c r="AF413" s="27" t="s">
        <v>7</v>
      </c>
      <c r="AG413" s="27" t="s">
        <v>8</v>
      </c>
    </row>
    <row r="414" spans="1:33" x14ac:dyDescent="0.25">
      <c r="A414" s="30">
        <v>1.8931621179147948E-4</v>
      </c>
      <c r="AF414" s="27" t="s">
        <v>7</v>
      </c>
      <c r="AG414" s="27" t="s">
        <v>8</v>
      </c>
    </row>
    <row r="415" spans="1:33" x14ac:dyDescent="0.25">
      <c r="A415" s="30">
        <v>1.798504012019055E-4</v>
      </c>
      <c r="AF415" s="27" t="s">
        <v>7</v>
      </c>
      <c r="AG415" s="27" t="s">
        <v>8</v>
      </c>
    </row>
    <row r="416" spans="1:33" x14ac:dyDescent="0.25">
      <c r="A416" s="30">
        <v>1.7085788114181021E-4</v>
      </c>
      <c r="AF416" s="27" t="s">
        <v>7</v>
      </c>
      <c r="AG416" s="27" t="s">
        <v>8</v>
      </c>
    </row>
    <row r="417" spans="1:33" x14ac:dyDescent="0.25">
      <c r="A417" s="30">
        <v>1.623149870847197E-4</v>
      </c>
      <c r="AF417" s="27" t="s">
        <v>7</v>
      </c>
      <c r="AG417" s="27" t="s">
        <v>8</v>
      </c>
    </row>
    <row r="418" spans="1:33" x14ac:dyDescent="0.25">
      <c r="A418" s="30">
        <v>1.541992377304837E-4</v>
      </c>
      <c r="AF418" s="27" t="s">
        <v>7</v>
      </c>
      <c r="AG418" s="27" t="s">
        <v>8</v>
      </c>
    </row>
    <row r="419" spans="1:33" x14ac:dyDescent="0.25">
      <c r="A419" s="30">
        <v>1.4648927584395952E-4</v>
      </c>
      <c r="AF419" s="27" t="s">
        <v>7</v>
      </c>
      <c r="AG419" s="27" t="s">
        <v>8</v>
      </c>
    </row>
    <row r="420" spans="1:33" x14ac:dyDescent="0.25">
      <c r="A420" s="30">
        <v>1.3916481205176153E-4</v>
      </c>
      <c r="AF420" s="27" t="s">
        <v>7</v>
      </c>
      <c r="AG420" s="27" t="s">
        <v>8</v>
      </c>
    </row>
    <row r="421" spans="1:33" x14ac:dyDescent="0.25">
      <c r="A421" s="30">
        <v>1.3220657144917344E-4</v>
      </c>
      <c r="AF421" s="27" t="s">
        <v>7</v>
      </c>
      <c r="AG421" s="27" t="s">
        <v>8</v>
      </c>
    </row>
    <row r="422" spans="1:33" x14ac:dyDescent="0.25">
      <c r="A422" s="30">
        <v>1.2559624287671476E-4</v>
      </c>
      <c r="AF422" s="27" t="s">
        <v>7</v>
      </c>
      <c r="AG422" s="27" t="s">
        <v>8</v>
      </c>
    </row>
    <row r="423" spans="1:33" x14ac:dyDescent="0.25">
      <c r="A423" s="30">
        <v>1.1931643073287902E-4</v>
      </c>
      <c r="AF423" s="27" t="s">
        <v>7</v>
      </c>
      <c r="AG423" s="27" t="s">
        <v>8</v>
      </c>
    </row>
    <row r="424" spans="1:33" x14ac:dyDescent="0.25">
      <c r="A424" s="30">
        <v>1.1335060919623506E-4</v>
      </c>
      <c r="AF424" s="27" t="s">
        <v>7</v>
      </c>
      <c r="AG424" s="27" t="s">
        <v>8</v>
      </c>
    </row>
    <row r="425" spans="1:33" x14ac:dyDescent="0.25">
      <c r="A425" s="30">
        <v>1.076830787364233E-4</v>
      </c>
      <c r="AF425" s="27" t="s">
        <v>7</v>
      </c>
      <c r="AG425" s="27" t="s">
        <v>8</v>
      </c>
    </row>
    <row r="426" spans="1:33" x14ac:dyDescent="0.25">
      <c r="A426" s="30">
        <v>1.0229892479960213E-4</v>
      </c>
      <c r="AF426" s="27" t="s">
        <v>7</v>
      </c>
    </row>
    <row r="427" spans="1:33" x14ac:dyDescent="0.25">
      <c r="A427" s="30">
        <v>9.7183978559622027E-5</v>
      </c>
    </row>
    <row r="428" spans="1:33" x14ac:dyDescent="0.25">
      <c r="A428" s="30">
        <v>9.2324779631640922E-5</v>
      </c>
    </row>
    <row r="429" spans="1:33" x14ac:dyDescent="0.25">
      <c r="A429" s="30">
        <v>8.7708540650058869E-5</v>
      </c>
    </row>
    <row r="430" spans="1:33" x14ac:dyDescent="0.25">
      <c r="A430" s="30">
        <v>8.3323113617555917E-5</v>
      </c>
    </row>
    <row r="431" spans="1:33" x14ac:dyDescent="0.25">
      <c r="A431" s="30">
        <v>7.9156957936678114E-5</v>
      </c>
    </row>
    <row r="432" spans="1:33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26" operator="equal">
      <formula>$U$1</formula>
    </cfRule>
    <cfRule type="cellIs" dxfId="67" priority="1227" operator="equal">
      <formula>$S$1</formula>
    </cfRule>
  </conditionalFormatting>
  <conditionalFormatting sqref="D136">
    <cfRule type="cellIs" dxfId="66" priority="1224" operator="equal">
      <formula>$S$1</formula>
    </cfRule>
    <cfRule type="cellIs" dxfId="65" priority="1225" operator="equal">
      <formula>$U$1</formula>
    </cfRule>
  </conditionalFormatting>
  <conditionalFormatting sqref="C162">
    <cfRule type="cellIs" dxfId="64" priority="1222" operator="equal">
      <formula>$U$1</formula>
    </cfRule>
    <cfRule type="cellIs" dxfId="63" priority="1223" operator="equal">
      <formula>$S$1</formula>
    </cfRule>
  </conditionalFormatting>
  <conditionalFormatting sqref="D162">
    <cfRule type="cellIs" dxfId="62" priority="1220" operator="equal">
      <formula>$S$1</formula>
    </cfRule>
    <cfRule type="cellIs" dxfId="61" priority="1221" operator="equal">
      <formula>$U$1</formula>
    </cfRule>
  </conditionalFormatting>
  <conditionalFormatting sqref="C187">
    <cfRule type="cellIs" dxfId="60" priority="1218" operator="equal">
      <formula>$U$1</formula>
    </cfRule>
    <cfRule type="cellIs" dxfId="59" priority="1219" operator="equal">
      <formula>$S$1</formula>
    </cfRule>
  </conditionalFormatting>
  <conditionalFormatting sqref="D187">
    <cfRule type="cellIs" dxfId="58" priority="1216" operator="equal">
      <formula>$S$1</formula>
    </cfRule>
    <cfRule type="cellIs" dxfId="57" priority="1217" operator="equal">
      <formula>$U$1</formula>
    </cfRule>
  </conditionalFormatting>
  <conditionalFormatting sqref="C212">
    <cfRule type="cellIs" dxfId="56" priority="1214" operator="equal">
      <formula>$U$1</formula>
    </cfRule>
    <cfRule type="cellIs" dxfId="55" priority="1215" operator="equal">
      <formula>$S$1</formula>
    </cfRule>
  </conditionalFormatting>
  <conditionalFormatting sqref="D212">
    <cfRule type="cellIs" dxfId="54" priority="1212" operator="equal">
      <formula>$S$1</formula>
    </cfRule>
    <cfRule type="cellIs" dxfId="53" priority="1213" operator="equal">
      <formula>$U$1</formula>
    </cfRule>
  </conditionalFormatting>
  <conditionalFormatting sqref="C237">
    <cfRule type="cellIs" dxfId="52" priority="1210" operator="equal">
      <formula>$U$1</formula>
    </cfRule>
    <cfRule type="cellIs" dxfId="51" priority="1211" operator="equal">
      <formula>$S$1</formula>
    </cfRule>
  </conditionalFormatting>
  <conditionalFormatting sqref="D237">
    <cfRule type="cellIs" dxfId="50" priority="1208" operator="equal">
      <formula>$S$1</formula>
    </cfRule>
    <cfRule type="cellIs" dxfId="49" priority="1209" operator="equal">
      <formula>$U$1</formula>
    </cfRule>
  </conditionalFormatting>
  <conditionalFormatting sqref="C106">
    <cfRule type="cellIs" dxfId="48" priority="1206" operator="equal">
      <formula>$U$1</formula>
    </cfRule>
    <cfRule type="cellIs" dxfId="47" priority="1207" operator="equal">
      <formula>$S$1</formula>
    </cfRule>
  </conditionalFormatting>
  <conditionalFormatting sqref="D106">
    <cfRule type="cellIs" dxfId="46" priority="1204" operator="equal">
      <formula>$S$1</formula>
    </cfRule>
    <cfRule type="cellIs" dxfId="45" priority="1205" operator="equal">
      <formula>$U$1</formula>
    </cfRule>
  </conditionalFormatting>
  <conditionalFormatting sqref="C81">
    <cfRule type="cellIs" dxfId="44" priority="1202" operator="equal">
      <formula>$U$1</formula>
    </cfRule>
    <cfRule type="cellIs" dxfId="43" priority="1203" operator="equal">
      <formula>$S$1</formula>
    </cfRule>
  </conditionalFormatting>
  <conditionalFormatting sqref="D81">
    <cfRule type="cellIs" dxfId="42" priority="1200" operator="equal">
      <formula>$S$1</formula>
    </cfRule>
    <cfRule type="cellIs" dxfId="41" priority="1201" operator="equal">
      <formula>$U$1</formula>
    </cfRule>
  </conditionalFormatting>
  <conditionalFormatting sqref="C56">
    <cfRule type="cellIs" dxfId="40" priority="1198" operator="equal">
      <formula>$U$1</formula>
    </cfRule>
    <cfRule type="cellIs" dxfId="39" priority="1199" operator="equal">
      <formula>$S$1</formula>
    </cfRule>
  </conditionalFormatting>
  <conditionalFormatting sqref="D56">
    <cfRule type="cellIs" dxfId="38" priority="1196" operator="equal">
      <formula>$S$1</formula>
    </cfRule>
    <cfRule type="cellIs" dxfId="37" priority="1197" operator="equal">
      <formula>$U$1</formula>
    </cfRule>
  </conditionalFormatting>
  <conditionalFormatting sqref="C31">
    <cfRule type="cellIs" dxfId="36" priority="1194" operator="equal">
      <formula>$U$1</formula>
    </cfRule>
    <cfRule type="cellIs" dxfId="35" priority="1195" operator="equal">
      <formula>$S$1</formula>
    </cfRule>
  </conditionalFormatting>
  <conditionalFormatting sqref="D31">
    <cfRule type="cellIs" dxfId="34" priority="1192" operator="equal">
      <formula>$S$1</formula>
    </cfRule>
    <cfRule type="cellIs" dxfId="33" priority="119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0" zoomScale="90" zoomScaleNormal="90" workbookViewId="0">
      <pane xSplit="4" topLeftCell="G1" activePane="topRight" state="frozen"/>
      <selection activeCell="A109" sqref="A109"/>
      <selection pane="topRight" activeCell="BP116" sqref="BP11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1" x14ac:dyDescent="0.25">
      <c r="A81" s="30">
        <v>45.259255568176073</v>
      </c>
      <c r="E81"/>
    </row>
    <row r="82" spans="1:51" x14ac:dyDescent="0.25">
      <c r="A82" s="30">
        <v>41.144777789250973</v>
      </c>
      <c r="E82"/>
    </row>
    <row r="83" spans="1:51" x14ac:dyDescent="0.25">
      <c r="A83" s="30">
        <v>37.404343444773609</v>
      </c>
      <c r="E83"/>
    </row>
    <row r="84" spans="1:51" x14ac:dyDescent="0.25">
      <c r="A84" s="30">
        <v>34.003948586157826</v>
      </c>
      <c r="E84"/>
    </row>
    <row r="85" spans="1:51" x14ac:dyDescent="0.25">
      <c r="A85" s="30">
        <v>30.912680532870748</v>
      </c>
      <c r="E85"/>
    </row>
    <row r="86" spans="1:51" x14ac:dyDescent="0.25">
      <c r="A86" s="30">
        <v>28.102436848064315</v>
      </c>
      <c r="E86"/>
    </row>
    <row r="87" spans="1:51" x14ac:dyDescent="0.25">
      <c r="A87" s="30">
        <v>25.547669861876649</v>
      </c>
      <c r="E87"/>
    </row>
    <row r="88" spans="1:51" x14ac:dyDescent="0.25">
      <c r="A88" s="30">
        <v>23.225154419887861</v>
      </c>
      <c r="E88"/>
    </row>
    <row r="89" spans="1:51" x14ac:dyDescent="0.25">
      <c r="A89" s="30">
        <v>21.113776745352599</v>
      </c>
      <c r="E89"/>
    </row>
    <row r="90" spans="1:51" x14ac:dyDescent="0.25">
      <c r="A90" s="30">
        <v>19.194342495775089</v>
      </c>
      <c r="E90"/>
    </row>
    <row r="91" spans="1:51" x14ac:dyDescent="0.25">
      <c r="A91" s="30">
        <v>17.449402268886445</v>
      </c>
      <c r="E91"/>
    </row>
    <row r="92" spans="1:51" x14ac:dyDescent="0.25">
      <c r="A92" s="30">
        <v>15.863092971714948</v>
      </c>
      <c r="C92" s="1" t="s">
        <v>15</v>
      </c>
      <c r="E92"/>
      <c r="AU92" s="33" t="s">
        <v>8</v>
      </c>
    </row>
    <row r="93" spans="1:51" x14ac:dyDescent="0.25">
      <c r="A93" s="30">
        <v>14.420993610649951</v>
      </c>
      <c r="C93" s="7">
        <v>0.11167815779424731</v>
      </c>
      <c r="D93"/>
      <c r="E93"/>
      <c r="AU93" s="27" t="s">
        <v>8</v>
      </c>
      <c r="AV93" s="33" t="s">
        <v>7</v>
      </c>
    </row>
    <row r="94" spans="1:51" x14ac:dyDescent="0.25">
      <c r="A94" s="30">
        <v>13.109994191499954</v>
      </c>
      <c r="E94"/>
      <c r="AU94" s="27" t="s">
        <v>8</v>
      </c>
      <c r="AV94" s="27" t="s">
        <v>7</v>
      </c>
      <c r="AW94" s="33"/>
    </row>
    <row r="95" spans="1:51" x14ac:dyDescent="0.25">
      <c r="A95" s="30">
        <v>11.918176537727231</v>
      </c>
      <c r="C95" s="1" t="s">
        <v>11</v>
      </c>
      <c r="D95" s="1" t="s">
        <v>12</v>
      </c>
      <c r="E95"/>
      <c r="AU95" s="27" t="s">
        <v>8</v>
      </c>
      <c r="AV95" s="27" t="s">
        <v>7</v>
      </c>
      <c r="AX95" s="33"/>
    </row>
    <row r="96" spans="1:51" x14ac:dyDescent="0.25">
      <c r="A96" s="30">
        <v>10.834705943388391</v>
      </c>
      <c r="C96"/>
      <c r="D96"/>
      <c r="E96"/>
      <c r="AU96" s="27" t="s">
        <v>8</v>
      </c>
      <c r="AV96" s="27" t="s">
        <v>7</v>
      </c>
      <c r="AW96" s="27" t="s">
        <v>8</v>
      </c>
      <c r="AY96" s="33"/>
    </row>
    <row r="97" spans="1:68" x14ac:dyDescent="0.25">
      <c r="A97" s="30">
        <v>9.849732675807628</v>
      </c>
      <c r="E97"/>
      <c r="AU97" s="27" t="s">
        <v>8</v>
      </c>
      <c r="AV97" s="27" t="s">
        <v>7</v>
      </c>
      <c r="AW97" s="27" t="s">
        <v>8</v>
      </c>
      <c r="AX97" s="27" t="s">
        <v>7</v>
      </c>
      <c r="AZ97" s="33"/>
    </row>
    <row r="98" spans="1:68" x14ac:dyDescent="0.25">
      <c r="A98" s="30">
        <v>8.9543024325523888</v>
      </c>
      <c r="C98" s="1" t="s">
        <v>13</v>
      </c>
      <c r="E98"/>
      <c r="AU98" s="27" t="s">
        <v>8</v>
      </c>
      <c r="AV98" s="27" t="s">
        <v>7</v>
      </c>
      <c r="AW98" s="27" t="s">
        <v>8</v>
      </c>
      <c r="AX98" s="27" t="s">
        <v>7</v>
      </c>
      <c r="BA98" s="33"/>
    </row>
    <row r="99" spans="1:68" x14ac:dyDescent="0.25">
      <c r="A99" s="30">
        <v>8.140274938683989</v>
      </c>
      <c r="C99" s="1">
        <f>C88</f>
        <v>0</v>
      </c>
      <c r="E99"/>
      <c r="AU99" s="27" t="s">
        <v>8</v>
      </c>
      <c r="AV99" s="27" t="s">
        <v>7</v>
      </c>
      <c r="AW99" s="27" t="s">
        <v>8</v>
      </c>
      <c r="AX99" s="27" t="s">
        <v>7</v>
      </c>
      <c r="AY99" s="27" t="s">
        <v>8</v>
      </c>
      <c r="BB99" s="33"/>
    </row>
    <row r="100" spans="1:68" x14ac:dyDescent="0.25">
      <c r="A100" s="30">
        <v>7.4002499442581717</v>
      </c>
      <c r="C100"/>
      <c r="D100"/>
      <c r="E100"/>
      <c r="AU100" s="27" t="s">
        <v>8</v>
      </c>
      <c r="AV100" s="27" t="s">
        <v>7</v>
      </c>
      <c r="AW100" s="27" t="s">
        <v>8</v>
      </c>
      <c r="AX100" s="27" t="s">
        <v>7</v>
      </c>
      <c r="AY100" s="27" t="s">
        <v>8</v>
      </c>
      <c r="AZ100" s="27" t="s">
        <v>7</v>
      </c>
      <c r="BC100" s="33"/>
    </row>
    <row r="101" spans="1:68" x14ac:dyDescent="0.25">
      <c r="A101" s="30">
        <v>6.72749994932561</v>
      </c>
      <c r="C101" s="1" t="s">
        <v>14</v>
      </c>
      <c r="E101"/>
      <c r="AU101" s="27" t="s">
        <v>8</v>
      </c>
      <c r="AV101" s="27" t="s">
        <v>7</v>
      </c>
      <c r="AX101" s="27" t="s">
        <v>7</v>
      </c>
      <c r="AY101" s="27" t="s">
        <v>8</v>
      </c>
      <c r="AZ101" s="27" t="s">
        <v>7</v>
      </c>
      <c r="BD101" s="33"/>
    </row>
    <row r="102" spans="1:6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U102" s="27" t="s">
        <v>8</v>
      </c>
      <c r="AX102" s="27" t="s">
        <v>7</v>
      </c>
      <c r="AY102" s="27" t="s">
        <v>8</v>
      </c>
      <c r="AZ102" s="27" t="s">
        <v>7</v>
      </c>
      <c r="BA102" s="27" t="s">
        <v>8</v>
      </c>
      <c r="BE102" s="33"/>
      <c r="BK102" s="27" t="s">
        <v>8</v>
      </c>
    </row>
    <row r="103" spans="1:68" x14ac:dyDescent="0.25">
      <c r="A103" s="30">
        <v>5.5599173134922388</v>
      </c>
      <c r="E103"/>
      <c r="AS103" s="27" t="s">
        <v>8</v>
      </c>
      <c r="AU103" s="27" t="s">
        <v>8</v>
      </c>
      <c r="AX103" s="27" t="s">
        <v>7</v>
      </c>
      <c r="AY103" s="27" t="s">
        <v>8</v>
      </c>
      <c r="AZ103" s="27" t="s">
        <v>7</v>
      </c>
      <c r="BA103" s="27" t="s">
        <v>8</v>
      </c>
      <c r="BB103" s="27" t="s">
        <v>7</v>
      </c>
      <c r="BC103" s="27" t="s">
        <v>8</v>
      </c>
      <c r="BF103" s="33"/>
      <c r="BI103" s="27" t="s">
        <v>8</v>
      </c>
      <c r="BK103" s="27" t="s">
        <v>8</v>
      </c>
      <c r="BL103" s="27" t="s">
        <v>7</v>
      </c>
      <c r="BM103" s="27" t="s">
        <v>8</v>
      </c>
    </row>
    <row r="104" spans="1:68" x14ac:dyDescent="0.25">
      <c r="A104" s="30">
        <v>5.0544702849929442</v>
      </c>
      <c r="E104"/>
      <c r="AS104" s="27" t="s">
        <v>8</v>
      </c>
      <c r="AT104" s="27" t="s">
        <v>7</v>
      </c>
      <c r="AU104" s="27" t="s">
        <v>8</v>
      </c>
      <c r="AX104" s="27" t="s">
        <v>7</v>
      </c>
      <c r="AY104" s="27" t="s">
        <v>8</v>
      </c>
      <c r="AZ104" s="27" t="s">
        <v>7</v>
      </c>
      <c r="BA104" s="27" t="s">
        <v>8</v>
      </c>
      <c r="BB104" s="27" t="s">
        <v>7</v>
      </c>
      <c r="BC104" s="27" t="s">
        <v>8</v>
      </c>
      <c r="BD104" s="27" t="s">
        <v>7</v>
      </c>
      <c r="BG104" s="33"/>
      <c r="BI104" s="27" t="s">
        <v>8</v>
      </c>
      <c r="BJ104" s="27" t="s">
        <v>7</v>
      </c>
      <c r="BK104" s="27" t="s">
        <v>8</v>
      </c>
      <c r="BL104" s="27" t="s">
        <v>7</v>
      </c>
      <c r="BM104" s="27" t="s">
        <v>8</v>
      </c>
      <c r="BN104" s="27" t="s">
        <v>7</v>
      </c>
    </row>
    <row r="105" spans="1:68" x14ac:dyDescent="0.25">
      <c r="A105" s="30">
        <v>4.594972986357222</v>
      </c>
      <c r="E105"/>
      <c r="AS105" s="27" t="s">
        <v>8</v>
      </c>
      <c r="AT105" s="27" t="s">
        <v>7</v>
      </c>
      <c r="AU105" s="27" t="s">
        <v>8</v>
      </c>
      <c r="AX105" s="27" t="s">
        <v>7</v>
      </c>
      <c r="AY105" s="27" t="s">
        <v>8</v>
      </c>
      <c r="AZ105" s="27" t="s">
        <v>7</v>
      </c>
      <c r="BA105" s="27" t="s">
        <v>8</v>
      </c>
      <c r="BB105" s="27" t="s">
        <v>7</v>
      </c>
      <c r="BC105" s="27" t="s">
        <v>8</v>
      </c>
      <c r="BD105" s="27" t="s">
        <v>7</v>
      </c>
      <c r="BE105" s="27" t="s">
        <v>8</v>
      </c>
      <c r="BH105" s="33"/>
      <c r="BI105" s="27" t="s">
        <v>8</v>
      </c>
      <c r="BJ105" s="27" t="s">
        <v>7</v>
      </c>
      <c r="BK105" s="27" t="s">
        <v>8</v>
      </c>
      <c r="BL105" s="27" t="s">
        <v>7</v>
      </c>
      <c r="BM105" s="27" t="s">
        <v>8</v>
      </c>
      <c r="BN105" s="27" t="s">
        <v>7</v>
      </c>
    </row>
    <row r="106" spans="1:68" x14ac:dyDescent="0.25">
      <c r="A106" s="30">
        <v>4.1772481694156562</v>
      </c>
      <c r="E106"/>
      <c r="AS106" s="27" t="s">
        <v>8</v>
      </c>
      <c r="AT106" s="27" t="s">
        <v>7</v>
      </c>
      <c r="AX106" s="27" t="s">
        <v>7</v>
      </c>
      <c r="AY106" s="27" t="s">
        <v>8</v>
      </c>
      <c r="AZ106" s="27" t="s">
        <v>7</v>
      </c>
      <c r="BB106" s="27" t="s">
        <v>7</v>
      </c>
      <c r="BD106" s="27" t="s">
        <v>7</v>
      </c>
      <c r="BE106" s="27" t="s">
        <v>8</v>
      </c>
      <c r="BF106" s="27" t="s">
        <v>7</v>
      </c>
      <c r="BI106" s="33" t="s">
        <v>8</v>
      </c>
      <c r="BJ106" s="27" t="s">
        <v>7</v>
      </c>
      <c r="BK106" s="27" t="s">
        <v>8</v>
      </c>
      <c r="BL106" s="27" t="s">
        <v>7</v>
      </c>
      <c r="BM106" s="27" t="s">
        <v>8</v>
      </c>
      <c r="BN106" s="27" t="s">
        <v>7</v>
      </c>
    </row>
    <row r="107" spans="1:68" x14ac:dyDescent="0.25">
      <c r="A107" s="30">
        <v>3.7974983358324148</v>
      </c>
      <c r="E107"/>
      <c r="AS107" s="27" t="s">
        <v>8</v>
      </c>
      <c r="AX107" s="27" t="s">
        <v>7</v>
      </c>
      <c r="AY107" s="27" t="s">
        <v>8</v>
      </c>
      <c r="BD107" s="27" t="s">
        <v>7</v>
      </c>
      <c r="BE107" s="27" t="s">
        <v>8</v>
      </c>
      <c r="BF107" s="27" t="s">
        <v>7</v>
      </c>
      <c r="BI107" s="27" t="s">
        <v>8</v>
      </c>
      <c r="BJ107" s="27" t="s">
        <v>7</v>
      </c>
      <c r="BK107" s="27" t="s">
        <v>8</v>
      </c>
      <c r="BL107" s="27" t="s">
        <v>7</v>
      </c>
      <c r="BN107" s="27" t="s">
        <v>7</v>
      </c>
    </row>
    <row r="108" spans="1:68" x14ac:dyDescent="0.25">
      <c r="A108" s="30">
        <v>3.4522712143931042</v>
      </c>
      <c r="E108"/>
      <c r="AS108" s="27" t="s">
        <v>8</v>
      </c>
      <c r="AX108" s="27" t="s">
        <v>7</v>
      </c>
      <c r="AY108" s="27" t="s">
        <v>8</v>
      </c>
      <c r="BD108" s="27" t="s">
        <v>7</v>
      </c>
      <c r="BE108" s="27" t="s">
        <v>8</v>
      </c>
      <c r="BF108" s="27" t="s">
        <v>7</v>
      </c>
      <c r="BG108" s="27" t="s">
        <v>8</v>
      </c>
      <c r="BI108" s="27" t="s">
        <v>8</v>
      </c>
      <c r="BJ108" s="27" t="s">
        <v>7</v>
      </c>
      <c r="BK108" s="27" t="s">
        <v>8</v>
      </c>
      <c r="BM108" s="33"/>
      <c r="BN108" s="27" t="s">
        <v>7</v>
      </c>
      <c r="BO108" s="27" t="s">
        <v>8</v>
      </c>
    </row>
    <row r="109" spans="1:68" x14ac:dyDescent="0.25">
      <c r="A109" s="30">
        <v>3.1384283767210035</v>
      </c>
      <c r="E109"/>
      <c r="AO109" s="27" t="s">
        <v>8</v>
      </c>
      <c r="AS109" s="27" t="s">
        <v>8</v>
      </c>
      <c r="AX109" s="27" t="s">
        <v>7</v>
      </c>
      <c r="BD109" s="27" t="s">
        <v>7</v>
      </c>
      <c r="BF109" s="27" t="s">
        <v>7</v>
      </c>
      <c r="BG109" s="27" t="s">
        <v>8</v>
      </c>
      <c r="BH109" s="27" t="s">
        <v>7</v>
      </c>
      <c r="BI109" s="27" t="s">
        <v>8</v>
      </c>
      <c r="BJ109" s="27" t="s">
        <v>7</v>
      </c>
      <c r="BL109" s="33"/>
      <c r="BN109" s="27" t="s">
        <v>7</v>
      </c>
      <c r="BO109" s="27" t="s">
        <v>8</v>
      </c>
      <c r="BP109" s="27" t="s">
        <v>7</v>
      </c>
    </row>
    <row r="110" spans="1:68" x14ac:dyDescent="0.25">
      <c r="A110" s="30">
        <v>2.8531167061100029</v>
      </c>
      <c r="E110"/>
      <c r="AO110" s="27" t="s">
        <v>8</v>
      </c>
      <c r="AP110" s="27" t="s">
        <v>7</v>
      </c>
      <c r="AQ110" s="27" t="s">
        <v>8</v>
      </c>
      <c r="AS110" s="27" t="s">
        <v>8</v>
      </c>
      <c r="BF110" s="27" t="s">
        <v>7</v>
      </c>
      <c r="BG110" s="27" t="s">
        <v>8</v>
      </c>
      <c r="BH110" s="27" t="s">
        <v>7</v>
      </c>
      <c r="BI110" s="27" t="s">
        <v>8</v>
      </c>
      <c r="BK110" s="33"/>
      <c r="BN110" s="27" t="s">
        <v>7</v>
      </c>
      <c r="BO110" s="27" t="s">
        <v>8</v>
      </c>
      <c r="BP110" s="27" t="s">
        <v>7</v>
      </c>
    </row>
    <row r="111" spans="1:68" x14ac:dyDescent="0.25">
      <c r="A111" s="30">
        <v>2.5937424601000023</v>
      </c>
      <c r="C111" s="1" t="str">
        <f>ADDRESS(C121-1,1,1,1)</f>
        <v>$A$115</v>
      </c>
      <c r="D111" s="1" t="str">
        <f>ADDRESS(C121-1,D121,1,1)</f>
        <v>$BP$115</v>
      </c>
      <c r="E111"/>
      <c r="AK111" s="27" t="s">
        <v>8</v>
      </c>
      <c r="AM111" s="27" t="s">
        <v>8</v>
      </c>
      <c r="AO111" s="27" t="s">
        <v>8</v>
      </c>
      <c r="AP111" s="27" t="s">
        <v>7</v>
      </c>
      <c r="AQ111" s="27" t="s">
        <v>8</v>
      </c>
      <c r="AR111" s="27" t="s">
        <v>7</v>
      </c>
      <c r="AS111" s="27" t="s">
        <v>8</v>
      </c>
      <c r="BF111" s="27" t="s">
        <v>7</v>
      </c>
      <c r="BG111" s="27" t="s">
        <v>8</v>
      </c>
      <c r="BH111" s="27" t="s">
        <v>7</v>
      </c>
      <c r="BI111" s="27" t="s">
        <v>8</v>
      </c>
      <c r="BJ111" s="33"/>
      <c r="BN111" s="27" t="s">
        <v>7</v>
      </c>
      <c r="BP111" s="27" t="s">
        <v>7</v>
      </c>
    </row>
    <row r="112" spans="1:68" x14ac:dyDescent="0.25">
      <c r="A112" s="30">
        <v>2.3579476910000019</v>
      </c>
      <c r="C112" s="1" t="str">
        <f>ADDRESS(C121,1,1,1)</f>
        <v>$A$116</v>
      </c>
      <c r="D112" s="1" t="str">
        <f>ADDRESS(C121,D121-1,1,1)</f>
        <v>$BO$116</v>
      </c>
      <c r="E112"/>
      <c r="AK112" s="27" t="s">
        <v>8</v>
      </c>
      <c r="AL112" s="27" t="s">
        <v>7</v>
      </c>
      <c r="AM112" s="27" t="s">
        <v>8</v>
      </c>
      <c r="AN112" s="27" t="s">
        <v>7</v>
      </c>
      <c r="AO112" s="27" t="s">
        <v>8</v>
      </c>
      <c r="AP112" s="27" t="s">
        <v>7</v>
      </c>
      <c r="AQ112" s="27" t="s">
        <v>8</v>
      </c>
      <c r="AR112" s="27" t="s">
        <v>7</v>
      </c>
      <c r="AS112" s="27" t="s">
        <v>8</v>
      </c>
      <c r="BF112" s="27" t="s">
        <v>7</v>
      </c>
      <c r="BH112" s="18" t="s">
        <v>7</v>
      </c>
      <c r="BI112" s="33" t="s">
        <v>8</v>
      </c>
      <c r="BP112" s="27" t="s">
        <v>7</v>
      </c>
    </row>
    <row r="113" spans="1:68" x14ac:dyDescent="0.25">
      <c r="A113" s="30">
        <v>2.1435888100000016</v>
      </c>
      <c r="C113" s="1" t="str">
        <f>ADDRESS(C121+1,1,1,1)</f>
        <v>$A$117</v>
      </c>
      <c r="D113" s="1" t="str">
        <f>ADDRESS(C121-1,D121+1,1,1)</f>
        <v>$BQ$115</v>
      </c>
      <c r="Y113" s="27" t="s">
        <v>8</v>
      </c>
      <c r="AK113" s="27" t="s">
        <v>8</v>
      </c>
      <c r="AL113" s="27" t="s">
        <v>7</v>
      </c>
      <c r="AM113" s="27" t="s">
        <v>8</v>
      </c>
      <c r="AN113" s="27" t="s">
        <v>7</v>
      </c>
      <c r="AO113" s="27" t="s">
        <v>8</v>
      </c>
      <c r="AP113" s="27" t="s">
        <v>7</v>
      </c>
      <c r="AQ113" s="27" t="s">
        <v>8</v>
      </c>
      <c r="AR113" s="27" t="s">
        <v>7</v>
      </c>
      <c r="AS113" s="27" t="s">
        <v>8</v>
      </c>
      <c r="BH113" s="33" t="s">
        <v>7</v>
      </c>
      <c r="BP113" s="27" t="s">
        <v>7</v>
      </c>
    </row>
    <row r="114" spans="1:68" x14ac:dyDescent="0.25">
      <c r="A114" s="30">
        <v>1.9487171000000014</v>
      </c>
      <c r="C114" s="1" t="str">
        <f>ADDRESS(C121,D121,1,1)</f>
        <v>$BP$116</v>
      </c>
      <c r="D114" s="1" t="str">
        <f>ADDRESS(C121+1,D121+1,1,1)</f>
        <v>$BQ$117</v>
      </c>
      <c r="W114" s="27" t="s">
        <v>8</v>
      </c>
      <c r="Y114" s="27" t="s">
        <v>8</v>
      </c>
      <c r="Z114" s="27" t="s">
        <v>7</v>
      </c>
      <c r="AK114" s="27" t="s">
        <v>8</v>
      </c>
      <c r="AL114" s="27" t="s">
        <v>7</v>
      </c>
      <c r="AM114" s="27" t="s">
        <v>8</v>
      </c>
      <c r="AN114" s="27" t="s">
        <v>7</v>
      </c>
      <c r="AO114" s="27" t="s">
        <v>8</v>
      </c>
      <c r="AP114" s="27" t="s">
        <v>7</v>
      </c>
      <c r="AR114" s="27" t="s">
        <v>7</v>
      </c>
      <c r="AS114" s="27" t="s">
        <v>8</v>
      </c>
      <c r="BP114" s="27" t="s">
        <v>7</v>
      </c>
    </row>
    <row r="115" spans="1:68" x14ac:dyDescent="0.25">
      <c r="A115" s="30">
        <v>1.7715610000000011</v>
      </c>
      <c r="C115" s="1" t="str">
        <f>ADDRESS(C121+1,D121,1,1)</f>
        <v>$BP$117</v>
      </c>
      <c r="W115" s="27" t="s">
        <v>8</v>
      </c>
      <c r="X115" s="27" t="s">
        <v>7</v>
      </c>
      <c r="Y115" s="27" t="s">
        <v>8</v>
      </c>
      <c r="Z115" s="27" t="s">
        <v>7</v>
      </c>
      <c r="AK115" s="27" t="s">
        <v>8</v>
      </c>
      <c r="AL115" s="27" t="s">
        <v>7</v>
      </c>
      <c r="AM115" s="27" t="s">
        <v>8</v>
      </c>
      <c r="AN115" s="27" t="s">
        <v>7</v>
      </c>
      <c r="AR115" s="27" t="s">
        <v>7</v>
      </c>
      <c r="BP115" s="27" t="s">
        <v>7</v>
      </c>
    </row>
    <row r="116" spans="1:68" x14ac:dyDescent="0.25">
      <c r="A116" s="30">
        <v>1.6105100000000008</v>
      </c>
      <c r="C116" s="1">
        <f>C117-1</f>
        <v>115</v>
      </c>
      <c r="W116" s="27" t="s">
        <v>8</v>
      </c>
      <c r="X116" s="27" t="s">
        <v>7</v>
      </c>
      <c r="Y116" s="27" t="s">
        <v>8</v>
      </c>
      <c r="Z116" s="27" t="s">
        <v>7</v>
      </c>
      <c r="AK116" s="27" t="s">
        <v>8</v>
      </c>
      <c r="AL116" s="27" t="s">
        <v>7</v>
      </c>
      <c r="AM116" s="27" t="s">
        <v>8</v>
      </c>
      <c r="BP116" s="27" t="s">
        <v>7</v>
      </c>
    </row>
    <row r="117" spans="1:68" x14ac:dyDescent="0.25">
      <c r="A117" s="30">
        <v>1.4641000000000006</v>
      </c>
      <c r="C117" s="1">
        <f>C121</f>
        <v>116</v>
      </c>
      <c r="D117" s="1">
        <f>D121</f>
        <v>68</v>
      </c>
      <c r="W117" s="27" t="s">
        <v>8</v>
      </c>
      <c r="X117" s="27" t="s">
        <v>7</v>
      </c>
      <c r="Y117" s="27" t="s">
        <v>8</v>
      </c>
      <c r="Z117" s="27" t="s">
        <v>7</v>
      </c>
      <c r="AK117" s="27" t="s">
        <v>8</v>
      </c>
      <c r="AL117" s="27" t="s">
        <v>7</v>
      </c>
      <c r="AM117" s="27" t="s">
        <v>8</v>
      </c>
    </row>
    <row r="118" spans="1:68" x14ac:dyDescent="0.25">
      <c r="A118" s="30">
        <v>1.3310000000000004</v>
      </c>
      <c r="C118" s="1">
        <f>C117+1</f>
        <v>117</v>
      </c>
      <c r="D118" s="1">
        <f>D117+1</f>
        <v>69</v>
      </c>
      <c r="W118" s="27" t="s">
        <v>8</v>
      </c>
      <c r="X118" s="27" t="s">
        <v>7</v>
      </c>
      <c r="Y118" s="27" t="s">
        <v>8</v>
      </c>
      <c r="Z118" s="27" t="s">
        <v>7</v>
      </c>
      <c r="AA118" s="27" t="s">
        <v>8</v>
      </c>
      <c r="AG118" s="27" t="s">
        <v>8</v>
      </c>
      <c r="AI118" s="27" t="s">
        <v>8</v>
      </c>
      <c r="AK118" s="27" t="s">
        <v>8</v>
      </c>
      <c r="AL118" s="27" t="s">
        <v>7</v>
      </c>
      <c r="AM118" s="27" t="s">
        <v>8</v>
      </c>
    </row>
    <row r="119" spans="1:68" x14ac:dyDescent="0.25">
      <c r="A119" s="30">
        <v>1.2100000000000002</v>
      </c>
      <c r="W119" s="27" t="s">
        <v>8</v>
      </c>
      <c r="X119" s="27" t="s">
        <v>7</v>
      </c>
      <c r="Y119" s="27" t="s">
        <v>8</v>
      </c>
      <c r="Z119" s="27" t="s">
        <v>7</v>
      </c>
      <c r="AA119" s="27" t="s">
        <v>8</v>
      </c>
      <c r="AB119" s="27" t="s">
        <v>7</v>
      </c>
      <c r="AE119" s="27" t="s">
        <v>8</v>
      </c>
      <c r="AG119" s="27" t="s">
        <v>8</v>
      </c>
      <c r="AH119" s="27" t="s">
        <v>7</v>
      </c>
      <c r="AI119" s="27" t="s">
        <v>8</v>
      </c>
      <c r="AJ119" s="27" t="s">
        <v>7</v>
      </c>
      <c r="AK119" s="27" t="s">
        <v>8</v>
      </c>
      <c r="AL119" s="27" t="s">
        <v>7</v>
      </c>
    </row>
    <row r="120" spans="1:68" x14ac:dyDescent="0.25">
      <c r="A120" s="30">
        <v>1.1000000000000001</v>
      </c>
      <c r="C120" s="1" t="s">
        <v>9</v>
      </c>
      <c r="W120" s="27" t="s">
        <v>8</v>
      </c>
      <c r="X120" s="27" t="s">
        <v>7</v>
      </c>
      <c r="Y120" s="27" t="s">
        <v>8</v>
      </c>
      <c r="Z120" s="27" t="s">
        <v>7</v>
      </c>
      <c r="AA120" s="27" t="s">
        <v>8</v>
      </c>
      <c r="AB120" s="27" t="s">
        <v>7</v>
      </c>
      <c r="AE120" s="27" t="s">
        <v>8</v>
      </c>
      <c r="AF120" s="27" t="s">
        <v>7</v>
      </c>
      <c r="AG120" s="27" t="s">
        <v>8</v>
      </c>
      <c r="AH120" s="27" t="s">
        <v>7</v>
      </c>
      <c r="AI120" s="27" t="s">
        <v>8</v>
      </c>
      <c r="AJ120" s="27" t="s">
        <v>7</v>
      </c>
      <c r="AK120" s="27" t="s">
        <v>8</v>
      </c>
    </row>
    <row r="121" spans="1:68" x14ac:dyDescent="0.25">
      <c r="A121" s="30">
        <v>1</v>
      </c>
      <c r="C121" s="18">
        <v>116</v>
      </c>
      <c r="D121" s="19">
        <v>68</v>
      </c>
      <c r="E121" s="18" t="s">
        <v>8</v>
      </c>
      <c r="W121" s="27" t="s">
        <v>8</v>
      </c>
      <c r="X121" s="27" t="s">
        <v>7</v>
      </c>
      <c r="Y121" s="27" t="s">
        <v>8</v>
      </c>
      <c r="Z121" s="27" t="s">
        <v>7</v>
      </c>
      <c r="AA121" s="27" t="s">
        <v>8</v>
      </c>
      <c r="AB121" s="27" t="s">
        <v>7</v>
      </c>
      <c r="AC121" s="27" t="s">
        <v>8</v>
      </c>
      <c r="AE121" s="27" t="s">
        <v>8</v>
      </c>
      <c r="AF121" s="27" t="s">
        <v>7</v>
      </c>
      <c r="AG121" s="27" t="s">
        <v>8</v>
      </c>
      <c r="AH121" s="27" t="s">
        <v>7</v>
      </c>
      <c r="AJ121" s="27" t="s">
        <v>7</v>
      </c>
      <c r="AK121" s="27" t="s">
        <v>8</v>
      </c>
    </row>
    <row r="122" spans="1:68" x14ac:dyDescent="0.25">
      <c r="A122" s="30">
        <v>0.90909090909090895</v>
      </c>
      <c r="C122" s="1" t="str">
        <f>INDEX(1:1048576,C117,D117)</f>
        <v>O</v>
      </c>
      <c r="F122" s="27" t="s">
        <v>7</v>
      </c>
      <c r="W122" s="27" t="s">
        <v>8</v>
      </c>
      <c r="X122" s="27" t="s">
        <v>7</v>
      </c>
      <c r="Z122" s="27" t="s">
        <v>7</v>
      </c>
      <c r="AA122" s="27" t="s">
        <v>8</v>
      </c>
      <c r="AB122" s="27" t="s">
        <v>7</v>
      </c>
      <c r="AC122" s="27" t="s">
        <v>8</v>
      </c>
      <c r="AD122" s="27" t="s">
        <v>7</v>
      </c>
      <c r="AE122" s="27" t="s">
        <v>8</v>
      </c>
      <c r="AF122" s="27" t="s">
        <v>7</v>
      </c>
      <c r="AG122" s="27" t="s">
        <v>8</v>
      </c>
      <c r="AJ122" s="27" t="s">
        <v>7</v>
      </c>
      <c r="AK122" s="27" t="s">
        <v>8</v>
      </c>
    </row>
    <row r="123" spans="1:68" x14ac:dyDescent="0.25">
      <c r="A123" s="30">
        <v>0.82644628099173523</v>
      </c>
      <c r="C123" s="1" t="str">
        <f>"R"&amp;C121</f>
        <v>R116</v>
      </c>
      <c r="D123" s="1" t="str">
        <f>"C"&amp;D121</f>
        <v>C68</v>
      </c>
      <c r="F123" s="27" t="s">
        <v>7</v>
      </c>
      <c r="W123" s="27" t="s">
        <v>8</v>
      </c>
      <c r="Z123" s="27" t="s">
        <v>7</v>
      </c>
      <c r="AB123" s="27" t="s">
        <v>7</v>
      </c>
      <c r="AC123" s="27" t="s">
        <v>8</v>
      </c>
      <c r="AD123" s="27" t="s">
        <v>7</v>
      </c>
      <c r="AE123" s="27" t="s">
        <v>8</v>
      </c>
      <c r="AF123" s="27" t="s">
        <v>7</v>
      </c>
      <c r="AG123" s="27" t="s">
        <v>8</v>
      </c>
      <c r="AJ123" s="27" t="s">
        <v>7</v>
      </c>
    </row>
    <row r="124" spans="1:6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K124" s="27" t="s">
        <v>8</v>
      </c>
      <c r="W124" s="27" t="s">
        <v>8</v>
      </c>
      <c r="AB124" s="27" t="s">
        <v>7</v>
      </c>
      <c r="AD124" s="27" t="s">
        <v>7</v>
      </c>
      <c r="AE124" s="27" t="s">
        <v>8</v>
      </c>
      <c r="AF124" s="27" t="s">
        <v>7</v>
      </c>
      <c r="AG124" s="27" t="s">
        <v>8</v>
      </c>
    </row>
    <row r="125" spans="1:68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K125" s="27" t="s">
        <v>8</v>
      </c>
      <c r="L125" s="27" t="s">
        <v>7</v>
      </c>
      <c r="U125" s="27" t="s">
        <v>8</v>
      </c>
      <c r="W125" s="27" t="s">
        <v>8</v>
      </c>
      <c r="AD125" s="27" t="s">
        <v>7</v>
      </c>
      <c r="AF125" s="27" t="s">
        <v>7</v>
      </c>
    </row>
    <row r="126" spans="1:68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J126" s="27" t="s">
        <v>7</v>
      </c>
      <c r="K126" s="27" t="s">
        <v>8</v>
      </c>
      <c r="L126" s="27" t="s">
        <v>7</v>
      </c>
      <c r="U126" s="27" t="s">
        <v>8</v>
      </c>
      <c r="V126" s="27" t="s">
        <v>7</v>
      </c>
      <c r="W126" s="27" t="s">
        <v>8</v>
      </c>
    </row>
    <row r="127" spans="1:68" x14ac:dyDescent="0.25">
      <c r="A127" s="30">
        <v>0.56447393005377677</v>
      </c>
      <c r="C127" s="30">
        <v>1.6105100000000008</v>
      </c>
      <c r="D127"/>
      <c r="F127" s="27" t="s">
        <v>7</v>
      </c>
      <c r="H127" s="27" t="s">
        <v>7</v>
      </c>
      <c r="I127" s="27" t="s">
        <v>8</v>
      </c>
      <c r="J127" s="27" t="s">
        <v>7</v>
      </c>
      <c r="K127" s="27" t="s">
        <v>8</v>
      </c>
      <c r="L127" s="27" t="s">
        <v>7</v>
      </c>
      <c r="U127" s="27" t="s">
        <v>8</v>
      </c>
      <c r="V127" s="27" t="s">
        <v>7</v>
      </c>
      <c r="W127" s="27" t="s">
        <v>8</v>
      </c>
    </row>
    <row r="128" spans="1:68" x14ac:dyDescent="0.25">
      <c r="A128" s="30">
        <v>0.51315811823070612</v>
      </c>
      <c r="H128" s="27" t="s">
        <v>7</v>
      </c>
      <c r="J128" s="27" t="s">
        <v>7</v>
      </c>
      <c r="K128" s="27" t="s">
        <v>8</v>
      </c>
      <c r="L128" s="27" t="s">
        <v>7</v>
      </c>
      <c r="U128" s="27" t="s">
        <v>8</v>
      </c>
      <c r="V128" s="27" t="s">
        <v>7</v>
      </c>
    </row>
    <row r="129" spans="1:21" x14ac:dyDescent="0.25">
      <c r="A129" s="30">
        <v>0.46650738020973276</v>
      </c>
      <c r="C129" s="1" t="s">
        <v>11</v>
      </c>
      <c r="D129" s="1" t="s">
        <v>12</v>
      </c>
      <c r="E129"/>
      <c r="J129" s="27" t="s">
        <v>7</v>
      </c>
      <c r="K129" s="27" t="s">
        <v>8</v>
      </c>
      <c r="L129" s="27" t="s">
        <v>7</v>
      </c>
      <c r="S129" s="27" t="s">
        <v>8</v>
      </c>
      <c r="U129" s="27" t="s">
        <v>8</v>
      </c>
    </row>
    <row r="130" spans="1:21" x14ac:dyDescent="0.25">
      <c r="A130" s="30">
        <v>0.42409761837248428</v>
      </c>
      <c r="C130" s="6"/>
      <c r="D130" s="6"/>
      <c r="E130"/>
      <c r="J130" s="27" t="s">
        <v>7</v>
      </c>
      <c r="K130" s="27" t="s">
        <v>8</v>
      </c>
      <c r="L130" s="27" t="s">
        <v>7</v>
      </c>
      <c r="O130" s="27" t="s">
        <v>8</v>
      </c>
      <c r="S130" s="27" t="s">
        <v>8</v>
      </c>
      <c r="T130" s="27" t="s">
        <v>7</v>
      </c>
      <c r="U130" s="27" t="s">
        <v>8</v>
      </c>
    </row>
    <row r="131" spans="1:21" x14ac:dyDescent="0.25">
      <c r="A131" s="30">
        <v>0.38554328942953109</v>
      </c>
      <c r="E131"/>
      <c r="J131" s="27" t="s">
        <v>7</v>
      </c>
      <c r="K131" s="27" t="s">
        <v>8</v>
      </c>
      <c r="L131" s="27" t="s">
        <v>7</v>
      </c>
      <c r="O131" s="27" t="s">
        <v>8</v>
      </c>
      <c r="P131" s="27" t="s">
        <v>7</v>
      </c>
      <c r="Q131" s="27" t="s">
        <v>8</v>
      </c>
      <c r="S131" s="27" t="s">
        <v>8</v>
      </c>
      <c r="T131" s="27" t="s">
        <v>7</v>
      </c>
      <c r="U131" s="27" t="s">
        <v>8</v>
      </c>
    </row>
    <row r="132" spans="1:21" x14ac:dyDescent="0.25">
      <c r="A132" s="30">
        <v>0.35049389948139187</v>
      </c>
      <c r="C132" s="1" t="s">
        <v>13</v>
      </c>
      <c r="E132"/>
      <c r="J132" s="27" t="s">
        <v>7</v>
      </c>
      <c r="L132" s="27" t="s">
        <v>7</v>
      </c>
      <c r="O132" s="27" t="s">
        <v>8</v>
      </c>
      <c r="P132" s="27" t="s">
        <v>7</v>
      </c>
      <c r="Q132" s="27" t="s">
        <v>8</v>
      </c>
      <c r="R132" s="27" t="s">
        <v>7</v>
      </c>
      <c r="S132" s="27" t="s">
        <v>8</v>
      </c>
      <c r="T132" s="27" t="s">
        <v>7</v>
      </c>
      <c r="U132" s="27" t="s">
        <v>8</v>
      </c>
    </row>
    <row r="133" spans="1:21" x14ac:dyDescent="0.25">
      <c r="A133" s="30">
        <v>0.31863081771035617</v>
      </c>
      <c r="C133" s="1" t="str">
        <f>C122</f>
        <v>O</v>
      </c>
      <c r="E133"/>
      <c r="L133" s="27" t="s">
        <v>7</v>
      </c>
      <c r="O133" s="27" t="s">
        <v>8</v>
      </c>
      <c r="P133" s="27" t="s">
        <v>7</v>
      </c>
      <c r="Q133" s="27" t="s">
        <v>8</v>
      </c>
      <c r="R133" s="27" t="s">
        <v>7</v>
      </c>
      <c r="S133" s="27" t="s">
        <v>8</v>
      </c>
      <c r="T133" s="27" t="s">
        <v>7</v>
      </c>
    </row>
    <row r="134" spans="1:21" x14ac:dyDescent="0.25">
      <c r="A134" s="30">
        <v>0.28966437973668741</v>
      </c>
      <c r="C134"/>
      <c r="D134"/>
      <c r="E134"/>
      <c r="L134" s="27" t="s">
        <v>7</v>
      </c>
      <c r="M134" s="27" t="s">
        <v>8</v>
      </c>
      <c r="O134" s="27" t="s">
        <v>8</v>
      </c>
      <c r="P134" s="27" t="s">
        <v>7</v>
      </c>
      <c r="Q134" s="27" t="s">
        <v>8</v>
      </c>
      <c r="R134" s="27" t="s">
        <v>7</v>
      </c>
    </row>
    <row r="135" spans="1:21" x14ac:dyDescent="0.25">
      <c r="A135" s="30">
        <v>0.2633312543060794</v>
      </c>
      <c r="C135" s="1" t="s">
        <v>14</v>
      </c>
      <c r="E135"/>
      <c r="L135" s="27" t="s">
        <v>7</v>
      </c>
      <c r="M135" s="27" t="s">
        <v>8</v>
      </c>
      <c r="N135" s="27" t="s">
        <v>7</v>
      </c>
      <c r="O135" s="27" t="s">
        <v>8</v>
      </c>
      <c r="P135" s="27" t="s">
        <v>7</v>
      </c>
      <c r="Q135" s="27" t="s">
        <v>8</v>
      </c>
    </row>
    <row r="136" spans="1:21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L136" s="27" t="s">
        <v>7</v>
      </c>
      <c r="M136" s="27" t="s">
        <v>8</v>
      </c>
      <c r="N136" s="27" t="s">
        <v>7</v>
      </c>
      <c r="O136" s="27" t="s">
        <v>8</v>
      </c>
      <c r="P136" s="27" t="s">
        <v>7</v>
      </c>
    </row>
    <row r="137" spans="1:21" x14ac:dyDescent="0.25">
      <c r="A137" s="30">
        <v>0.2176291357901482</v>
      </c>
      <c r="E137"/>
      <c r="L137" s="27" t="s">
        <v>7</v>
      </c>
      <c r="M137" s="27" t="s">
        <v>8</v>
      </c>
      <c r="N137" s="27" t="s">
        <v>7</v>
      </c>
      <c r="O137" s="27" t="s">
        <v>8</v>
      </c>
    </row>
    <row r="138" spans="1:21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L138" s="27" t="s">
        <v>7</v>
      </c>
      <c r="M138" s="27" t="s">
        <v>8</v>
      </c>
      <c r="N138" s="27" t="s">
        <v>7</v>
      </c>
    </row>
    <row r="139" spans="1:21" x14ac:dyDescent="0.25">
      <c r="A139" s="30">
        <v>0.17985878990921333</v>
      </c>
      <c r="E139"/>
      <c r="L139" s="27" t="s">
        <v>7</v>
      </c>
      <c r="M139" s="27" t="s">
        <v>8</v>
      </c>
    </row>
    <row r="140" spans="1:21" x14ac:dyDescent="0.25">
      <c r="A140" s="30">
        <v>0.16350799082655756</v>
      </c>
      <c r="C140" s="1">
        <v>0</v>
      </c>
      <c r="E140"/>
      <c r="L140" s="27" t="s">
        <v>7</v>
      </c>
      <c r="M140" s="27" t="s">
        <v>8</v>
      </c>
    </row>
    <row r="141" spans="1:21" x14ac:dyDescent="0.25">
      <c r="A141" s="30">
        <v>0.14864362802414322</v>
      </c>
      <c r="C141" s="1">
        <v>1</v>
      </c>
      <c r="E141"/>
      <c r="L141" s="27" t="s">
        <v>7</v>
      </c>
      <c r="M141" s="27" t="s">
        <v>8</v>
      </c>
    </row>
    <row r="142" spans="1:21" x14ac:dyDescent="0.25">
      <c r="A142" s="30">
        <v>0.13513057093103928</v>
      </c>
      <c r="C142" s="1">
        <v>2</v>
      </c>
      <c r="E142"/>
      <c r="L142" s="27" t="s">
        <v>7</v>
      </c>
      <c r="M142" s="27" t="s">
        <v>8</v>
      </c>
    </row>
    <row r="143" spans="1:21" x14ac:dyDescent="0.25">
      <c r="A143" s="30">
        <v>0.12284597357367205</v>
      </c>
      <c r="C143" s="1">
        <v>3</v>
      </c>
      <c r="E143"/>
      <c r="L143" s="27" t="s">
        <v>7</v>
      </c>
      <c r="M143" s="27" t="s">
        <v>8</v>
      </c>
    </row>
    <row r="144" spans="1:21" x14ac:dyDescent="0.25">
      <c r="A144" s="30">
        <v>0.11167815779424731</v>
      </c>
      <c r="C144" s="1">
        <v>4</v>
      </c>
      <c r="E144"/>
      <c r="L144" s="27" t="s">
        <v>7</v>
      </c>
      <c r="M144" s="27" t="s">
        <v>8</v>
      </c>
    </row>
    <row r="145" spans="1:13" x14ac:dyDescent="0.25">
      <c r="A145" s="30">
        <v>0.10152559799477026</v>
      </c>
      <c r="B145"/>
      <c r="C145"/>
      <c r="D145"/>
      <c r="E145"/>
      <c r="L145" s="27" t="s">
        <v>7</v>
      </c>
      <c r="M145" s="27" t="s">
        <v>8</v>
      </c>
    </row>
    <row r="146" spans="1:13" x14ac:dyDescent="0.25">
      <c r="A146" s="30">
        <v>9.2295998177063854E-2</v>
      </c>
      <c r="B146"/>
      <c r="C146"/>
      <c r="D146"/>
      <c r="E146"/>
      <c r="L146" s="27" t="s">
        <v>7</v>
      </c>
      <c r="M146" s="27" t="s">
        <v>8</v>
      </c>
    </row>
    <row r="147" spans="1:13" x14ac:dyDescent="0.25">
      <c r="A147" s="30">
        <v>8.3905452888239848E-2</v>
      </c>
      <c r="B147"/>
      <c r="C147"/>
      <c r="D147"/>
      <c r="E147"/>
      <c r="L147" s="27" t="s">
        <v>7</v>
      </c>
      <c r="M147" s="27" t="s">
        <v>8</v>
      </c>
    </row>
    <row r="148" spans="1:13" x14ac:dyDescent="0.25">
      <c r="A148" s="30">
        <v>7.6277684443854396E-2</v>
      </c>
      <c r="B148"/>
      <c r="C148"/>
      <c r="D148"/>
      <c r="E148"/>
      <c r="L148" s="27" t="s">
        <v>7</v>
      </c>
      <c r="M148" s="27" t="s">
        <v>8</v>
      </c>
    </row>
    <row r="149" spans="1:13" x14ac:dyDescent="0.25">
      <c r="A149" s="30">
        <v>6.9343349494413078E-2</v>
      </c>
      <c r="B149"/>
      <c r="C149"/>
      <c r="D149"/>
      <c r="E149"/>
      <c r="L149" s="27" t="s">
        <v>7</v>
      </c>
      <c r="M149" s="27" t="s">
        <v>8</v>
      </c>
    </row>
    <row r="150" spans="1:13" x14ac:dyDescent="0.25">
      <c r="A150" s="30">
        <v>6.3039408631284613E-2</v>
      </c>
      <c r="B150"/>
      <c r="C150"/>
      <c r="D150"/>
      <c r="E150"/>
      <c r="L150" s="27" t="s">
        <v>7</v>
      </c>
      <c r="M150" s="27" t="s">
        <v>8</v>
      </c>
    </row>
    <row r="151" spans="1:13" x14ac:dyDescent="0.25">
      <c r="A151" s="30">
        <v>5.7308553301167818E-2</v>
      </c>
      <c r="B151"/>
      <c r="C151"/>
      <c r="D151"/>
      <c r="E151"/>
      <c r="L151" s="27" t="s">
        <v>7</v>
      </c>
      <c r="M151" s="27" t="s">
        <v>8</v>
      </c>
    </row>
    <row r="152" spans="1:13" x14ac:dyDescent="0.25">
      <c r="A152" s="30">
        <v>5.2098684819243464E-2</v>
      </c>
      <c r="B152"/>
      <c r="C152"/>
      <c r="D152"/>
      <c r="E152"/>
      <c r="L152" s="27" t="s">
        <v>7</v>
      </c>
      <c r="M152" s="27" t="s">
        <v>8</v>
      </c>
    </row>
    <row r="153" spans="1:13" x14ac:dyDescent="0.25">
      <c r="A153" s="30">
        <v>4.7362440744766775E-2</v>
      </c>
      <c r="B153"/>
      <c r="C153"/>
      <c r="D153"/>
      <c r="E153"/>
      <c r="L153" s="27" t="s">
        <v>7</v>
      </c>
      <c r="M153" s="27" t="s">
        <v>8</v>
      </c>
    </row>
    <row r="154" spans="1:13" x14ac:dyDescent="0.25">
      <c r="A154" s="30">
        <v>4.3056764313424332E-2</v>
      </c>
      <c r="B154"/>
      <c r="C154"/>
      <c r="D154"/>
      <c r="E154"/>
      <c r="L154" s="27" t="s">
        <v>7</v>
      </c>
      <c r="M154" s="27" t="s">
        <v>8</v>
      </c>
    </row>
    <row r="155" spans="1:13" x14ac:dyDescent="0.25">
      <c r="A155" s="30">
        <v>3.9142513012203929E-2</v>
      </c>
      <c r="B155"/>
      <c r="C155"/>
      <c r="D155"/>
      <c r="E155"/>
      <c r="L155" s="27" t="s">
        <v>7</v>
      </c>
      <c r="M155" s="27" t="s">
        <v>8</v>
      </c>
    </row>
    <row r="156" spans="1:13" x14ac:dyDescent="0.25">
      <c r="A156" s="30">
        <v>3.55841027383672E-2</v>
      </c>
      <c r="B156"/>
      <c r="C156"/>
      <c r="D156"/>
      <c r="E156"/>
      <c r="L156" s="27" t="s">
        <v>7</v>
      </c>
      <c r="M156" s="27" t="s">
        <v>8</v>
      </c>
    </row>
    <row r="157" spans="1:13" x14ac:dyDescent="0.25">
      <c r="A157" s="30">
        <v>3.2349184307606541E-2</v>
      </c>
      <c r="B157"/>
      <c r="C157"/>
      <c r="D157"/>
      <c r="E157"/>
      <c r="L157" s="27" t="s">
        <v>7</v>
      </c>
      <c r="M157" s="27" t="s">
        <v>8</v>
      </c>
    </row>
    <row r="158" spans="1:13" x14ac:dyDescent="0.25">
      <c r="A158" s="30">
        <v>2.9408349370551395E-2</v>
      </c>
      <c r="B158"/>
      <c r="C158"/>
      <c r="D158"/>
      <c r="E158"/>
      <c r="L158" s="27" t="s">
        <v>7</v>
      </c>
      <c r="M158" s="27" t="s">
        <v>8</v>
      </c>
    </row>
    <row r="159" spans="1:13" x14ac:dyDescent="0.25">
      <c r="A159" s="30">
        <v>2.6734863064137627E-2</v>
      </c>
      <c r="B159"/>
      <c r="C159"/>
      <c r="D159"/>
      <c r="E159"/>
      <c r="L159" s="27" t="s">
        <v>7</v>
      </c>
      <c r="M159" s="27" t="s">
        <v>8</v>
      </c>
    </row>
    <row r="160" spans="1:13" x14ac:dyDescent="0.25">
      <c r="A160" s="30">
        <v>2.4304420967397839E-2</v>
      </c>
      <c r="B160"/>
      <c r="C160"/>
      <c r="D160"/>
      <c r="E160"/>
      <c r="L160" s="27" t="s">
        <v>7</v>
      </c>
      <c r="M160" s="27" t="s">
        <v>8</v>
      </c>
    </row>
    <row r="161" spans="1:13" x14ac:dyDescent="0.25">
      <c r="A161" s="30">
        <v>2.2094928152179852E-2</v>
      </c>
      <c r="B161"/>
      <c r="C161"/>
      <c r="D161"/>
      <c r="E161"/>
      <c r="L161" s="27" t="s">
        <v>7</v>
      </c>
      <c r="M161" s="27" t="s">
        <v>8</v>
      </c>
    </row>
    <row r="162" spans="1:13" x14ac:dyDescent="0.25">
      <c r="A162" s="30">
        <v>2.0086298320163499E-2</v>
      </c>
      <c r="B162"/>
      <c r="C162"/>
      <c r="D162"/>
      <c r="E162"/>
      <c r="L162" s="27" t="s">
        <v>7</v>
      </c>
      <c r="M162" s="27" t="s">
        <v>8</v>
      </c>
    </row>
    <row r="163" spans="1:13" x14ac:dyDescent="0.25">
      <c r="A163" s="30">
        <v>1.8260271200148632E-2</v>
      </c>
      <c r="B163"/>
      <c r="C163"/>
      <c r="D163"/>
      <c r="E163"/>
      <c r="L163" s="27" t="s">
        <v>7</v>
      </c>
      <c r="M163" s="27" t="s">
        <v>8</v>
      </c>
    </row>
    <row r="164" spans="1:13" x14ac:dyDescent="0.25">
      <c r="A164" s="30">
        <v>1.6600246545589663E-2</v>
      </c>
      <c r="B164"/>
      <c r="C164"/>
      <c r="D164"/>
      <c r="E164"/>
      <c r="L164" s="27" t="s">
        <v>7</v>
      </c>
      <c r="M164" s="27" t="s">
        <v>8</v>
      </c>
    </row>
    <row r="165" spans="1:13" x14ac:dyDescent="0.25">
      <c r="A165" s="30">
        <v>1.5091133223263328E-2</v>
      </c>
      <c r="B165"/>
      <c r="C165"/>
      <c r="D165"/>
      <c r="E165"/>
      <c r="L165" s="27" t="s">
        <v>7</v>
      </c>
      <c r="M165" s="27" t="s">
        <v>8</v>
      </c>
    </row>
    <row r="166" spans="1:13" x14ac:dyDescent="0.25">
      <c r="A166" s="30">
        <v>1.3719212021148477E-2</v>
      </c>
      <c r="B166"/>
      <c r="C166"/>
      <c r="D166"/>
      <c r="E166"/>
      <c r="L166" s="27" t="s">
        <v>7</v>
      </c>
      <c r="M166" s="27" t="s">
        <v>8</v>
      </c>
    </row>
    <row r="167" spans="1:13" x14ac:dyDescent="0.25">
      <c r="A167" s="30">
        <v>1.2472010928316795E-2</v>
      </c>
      <c r="B167"/>
      <c r="C167"/>
      <c r="D167"/>
      <c r="E167"/>
      <c r="L167" s="27" t="s">
        <v>7</v>
      </c>
      <c r="M167" s="27" t="s">
        <v>8</v>
      </c>
    </row>
    <row r="168" spans="1:13" x14ac:dyDescent="0.25">
      <c r="A168" s="30">
        <v>1.1338191753015267E-2</v>
      </c>
      <c r="B168"/>
      <c r="C168"/>
      <c r="D168"/>
      <c r="E168"/>
      <c r="L168" s="27" t="s">
        <v>7</v>
      </c>
      <c r="M168" s="27" t="s">
        <v>8</v>
      </c>
    </row>
    <row r="169" spans="1:13" x14ac:dyDescent="0.25">
      <c r="A169" s="30">
        <v>1.0307447048195697E-2</v>
      </c>
      <c r="B169"/>
      <c r="C169"/>
      <c r="D169"/>
      <c r="E169"/>
      <c r="L169" s="27" t="s">
        <v>7</v>
      </c>
      <c r="M169" s="27" t="s">
        <v>8</v>
      </c>
    </row>
    <row r="170" spans="1:13" x14ac:dyDescent="0.25">
      <c r="A170" s="30">
        <v>9.3704064074506318E-3</v>
      </c>
      <c r="B170"/>
      <c r="C170"/>
      <c r="D170"/>
      <c r="E170"/>
      <c r="L170" s="27" t="s">
        <v>7</v>
      </c>
      <c r="M170" s="27" t="s">
        <v>8</v>
      </c>
    </row>
    <row r="171" spans="1:13" x14ac:dyDescent="0.25">
      <c r="A171" s="30">
        <v>8.5185512795005747E-3</v>
      </c>
      <c r="L171" s="27" t="s">
        <v>7</v>
      </c>
      <c r="M171" s="27" t="s">
        <v>8</v>
      </c>
    </row>
    <row r="172" spans="1:13" x14ac:dyDescent="0.25">
      <c r="A172" s="30">
        <v>7.744137526818704E-3</v>
      </c>
      <c r="L172" s="27" t="s">
        <v>7</v>
      </c>
      <c r="M172" s="27" t="s">
        <v>8</v>
      </c>
    </row>
    <row r="173" spans="1:13" x14ac:dyDescent="0.25">
      <c r="A173" s="30">
        <v>7.0401250243806394E-3</v>
      </c>
      <c r="L173" s="27" t="s">
        <v>7</v>
      </c>
      <c r="M173" s="27" t="s">
        <v>8</v>
      </c>
    </row>
    <row r="174" spans="1:13" x14ac:dyDescent="0.25">
      <c r="A174" s="30">
        <v>6.4001136585278536E-3</v>
      </c>
      <c r="L174" s="27" t="s">
        <v>7</v>
      </c>
      <c r="M174" s="27" t="s">
        <v>8</v>
      </c>
    </row>
    <row r="175" spans="1:13" x14ac:dyDescent="0.25">
      <c r="A175" s="30">
        <v>5.8182851441162305E-3</v>
      </c>
      <c r="L175" s="27" t="s">
        <v>7</v>
      </c>
      <c r="M175" s="27" t="s">
        <v>8</v>
      </c>
    </row>
    <row r="176" spans="1:13" x14ac:dyDescent="0.25">
      <c r="A176" s="30">
        <v>5.2893501310147546E-3</v>
      </c>
      <c r="L176" s="27" t="s">
        <v>7</v>
      </c>
      <c r="M176" s="27" t="s">
        <v>8</v>
      </c>
    </row>
    <row r="177" spans="1:13" x14ac:dyDescent="0.25">
      <c r="A177" s="30">
        <v>4.8085001191043222E-3</v>
      </c>
      <c r="L177" s="27" t="s">
        <v>7</v>
      </c>
      <c r="M177" s="27" t="s">
        <v>8</v>
      </c>
    </row>
    <row r="178" spans="1:13" x14ac:dyDescent="0.25">
      <c r="A178" s="30">
        <v>4.3713637446402926E-3</v>
      </c>
      <c r="L178" s="27" t="s">
        <v>7</v>
      </c>
      <c r="M178" s="27" t="s">
        <v>8</v>
      </c>
    </row>
    <row r="179" spans="1:13" x14ac:dyDescent="0.25">
      <c r="A179" s="30">
        <v>3.9739670405820838E-3</v>
      </c>
      <c r="L179" s="27" t="s">
        <v>7</v>
      </c>
      <c r="M179" s="27" t="s">
        <v>8</v>
      </c>
    </row>
    <row r="180" spans="1:13" x14ac:dyDescent="0.25">
      <c r="A180" s="30">
        <v>3.6126973096200759E-3</v>
      </c>
      <c r="L180" s="27" t="s">
        <v>7</v>
      </c>
      <c r="M180" s="27" t="s">
        <v>8</v>
      </c>
    </row>
    <row r="181" spans="1:13" x14ac:dyDescent="0.25">
      <c r="A181" s="30">
        <v>3.2842702814727962E-3</v>
      </c>
      <c r="L181" s="27" t="s">
        <v>7</v>
      </c>
      <c r="M181" s="27" t="s">
        <v>8</v>
      </c>
    </row>
    <row r="182" spans="1:13" x14ac:dyDescent="0.25">
      <c r="A182" s="30">
        <v>2.9857002558843601E-3</v>
      </c>
      <c r="L182" s="27" t="s">
        <v>7</v>
      </c>
      <c r="M182" s="27" t="s">
        <v>8</v>
      </c>
    </row>
    <row r="183" spans="1:13" x14ac:dyDescent="0.25">
      <c r="A183" s="30">
        <v>2.7142729598948726E-3</v>
      </c>
      <c r="L183" s="27" t="s">
        <v>7</v>
      </c>
      <c r="M183" s="27" t="s">
        <v>8</v>
      </c>
    </row>
    <row r="184" spans="1:13" x14ac:dyDescent="0.25">
      <c r="A184" s="30">
        <v>2.4675208726317021E-3</v>
      </c>
      <c r="L184" s="27" t="s">
        <v>7</v>
      </c>
      <c r="M184" s="27" t="s">
        <v>8</v>
      </c>
    </row>
    <row r="185" spans="1:13" x14ac:dyDescent="0.25">
      <c r="A185" s="30">
        <v>2.2432007933015472E-3</v>
      </c>
      <c r="L185" s="27" t="s">
        <v>7</v>
      </c>
      <c r="M185" s="27" t="s">
        <v>8</v>
      </c>
    </row>
    <row r="186" spans="1:13" x14ac:dyDescent="0.25">
      <c r="A186" s="30">
        <v>2.0392734484559519E-3</v>
      </c>
      <c r="L186" s="27" t="s">
        <v>7</v>
      </c>
      <c r="M186" s="27" t="s">
        <v>8</v>
      </c>
    </row>
    <row r="187" spans="1:13" x14ac:dyDescent="0.25">
      <c r="A187" s="30">
        <v>1.8538849531417744E-3</v>
      </c>
      <c r="L187" s="27" t="s">
        <v>7</v>
      </c>
      <c r="M187" s="27" t="s">
        <v>8</v>
      </c>
    </row>
    <row r="188" spans="1:13" x14ac:dyDescent="0.25">
      <c r="A188" s="30">
        <v>1.6853499574016129E-3</v>
      </c>
      <c r="L188" s="27" t="s">
        <v>7</v>
      </c>
      <c r="M188" s="27" t="s">
        <v>8</v>
      </c>
    </row>
    <row r="189" spans="1:13" x14ac:dyDescent="0.25">
      <c r="A189" s="30">
        <v>1.5321363249105571E-3</v>
      </c>
      <c r="L189" s="27" t="s">
        <v>7</v>
      </c>
      <c r="M189" s="27" t="s">
        <v>8</v>
      </c>
    </row>
    <row r="190" spans="1:13" x14ac:dyDescent="0.25">
      <c r="A190" s="30">
        <v>1.3928512044641427E-3</v>
      </c>
      <c r="L190" s="27" t="s">
        <v>7</v>
      </c>
      <c r="M190" s="27" t="s">
        <v>8</v>
      </c>
    </row>
    <row r="191" spans="1:13" x14ac:dyDescent="0.25">
      <c r="A191" s="30">
        <v>1.2662283676946752E-3</v>
      </c>
      <c r="L191" s="27" t="s">
        <v>7</v>
      </c>
      <c r="M191" s="27" t="s">
        <v>8</v>
      </c>
    </row>
    <row r="192" spans="1:13" x14ac:dyDescent="0.25">
      <c r="A192" s="30">
        <v>1.15111669790425E-3</v>
      </c>
      <c r="L192" s="27" t="s">
        <v>7</v>
      </c>
      <c r="M192" s="27" t="s">
        <v>8</v>
      </c>
    </row>
    <row r="193" spans="1:13" x14ac:dyDescent="0.25">
      <c r="A193" s="30">
        <v>1.0464697253675E-3</v>
      </c>
      <c r="L193" s="27" t="s">
        <v>7</v>
      </c>
      <c r="M193" s="27" t="s">
        <v>8</v>
      </c>
    </row>
    <row r="194" spans="1:13" x14ac:dyDescent="0.25">
      <c r="A194" s="30">
        <v>9.5133611397045449E-4</v>
      </c>
      <c r="L194" s="27" t="s">
        <v>7</v>
      </c>
      <c r="M194" s="27" t="s">
        <v>8</v>
      </c>
    </row>
    <row r="195" spans="1:13" x14ac:dyDescent="0.25">
      <c r="A195" s="30">
        <v>8.6485101270041313E-4</v>
      </c>
      <c r="L195" s="27" t="s">
        <v>7</v>
      </c>
      <c r="M195" s="27" t="s">
        <v>8</v>
      </c>
    </row>
    <row r="196" spans="1:13" x14ac:dyDescent="0.25">
      <c r="A196" s="30">
        <v>7.862281933640119E-4</v>
      </c>
      <c r="L196" s="27" t="s">
        <v>7</v>
      </c>
      <c r="M196" s="27" t="s">
        <v>8</v>
      </c>
    </row>
    <row r="197" spans="1:13" x14ac:dyDescent="0.25">
      <c r="A197" s="30">
        <v>7.0760537402761068E-4</v>
      </c>
      <c r="L197" s="27" t="s">
        <v>7</v>
      </c>
      <c r="M197" s="27" t="s">
        <v>8</v>
      </c>
    </row>
    <row r="198" spans="1:13" x14ac:dyDescent="0.25">
      <c r="A198" s="30">
        <v>6.368448366248496E-4</v>
      </c>
      <c r="L198" s="27" t="s">
        <v>7</v>
      </c>
      <c r="M198" s="27" t="s">
        <v>8</v>
      </c>
    </row>
    <row r="199" spans="1:13" x14ac:dyDescent="0.25">
      <c r="A199" s="30">
        <v>5.7316035296236471E-4</v>
      </c>
      <c r="L199" s="27" t="s">
        <v>7</v>
      </c>
      <c r="M199" s="27" t="s">
        <v>8</v>
      </c>
    </row>
    <row r="200" spans="1:13" x14ac:dyDescent="0.25">
      <c r="A200" s="30">
        <v>5.1584431766612821E-4</v>
      </c>
      <c r="L200" s="27" t="s">
        <v>7</v>
      </c>
      <c r="M200" s="27" t="s">
        <v>8</v>
      </c>
    </row>
    <row r="201" spans="1:13" x14ac:dyDescent="0.25">
      <c r="A201" s="30">
        <v>4.6425988589951538E-4</v>
      </c>
      <c r="L201" s="27" t="s">
        <v>7</v>
      </c>
      <c r="M201" s="27" t="s">
        <v>8</v>
      </c>
    </row>
    <row r="202" spans="1:13" x14ac:dyDescent="0.25">
      <c r="A202" s="30">
        <v>4.1783389730956383E-4</v>
      </c>
      <c r="L202" s="27" t="s">
        <v>7</v>
      </c>
      <c r="M202" s="27" t="s">
        <v>8</v>
      </c>
    </row>
    <row r="203" spans="1:13" x14ac:dyDescent="0.25">
      <c r="A203" s="30">
        <v>3.7605050757860746E-4</v>
      </c>
      <c r="L203" s="27" t="s">
        <v>7</v>
      </c>
      <c r="M203" s="27" t="s">
        <v>8</v>
      </c>
    </row>
    <row r="204" spans="1:13" x14ac:dyDescent="0.25">
      <c r="A204" s="30">
        <v>3.3844545682074675E-4</v>
      </c>
      <c r="L204" s="27" t="s">
        <v>7</v>
      </c>
      <c r="M204" s="27" t="s">
        <v>8</v>
      </c>
    </row>
    <row r="205" spans="1:13" x14ac:dyDescent="0.25">
      <c r="A205" s="30">
        <v>3.0460091113867208E-4</v>
      </c>
      <c r="L205" s="27" t="s">
        <v>7</v>
      </c>
      <c r="M205" s="27" t="s">
        <v>8</v>
      </c>
    </row>
    <row r="206" spans="1:13" x14ac:dyDescent="0.25">
      <c r="A206" s="30">
        <v>2.7414082002480487E-4</v>
      </c>
      <c r="L206" s="27" t="s">
        <v>7</v>
      </c>
      <c r="M206" s="27" t="s">
        <v>8</v>
      </c>
    </row>
    <row r="207" spans="1:13" x14ac:dyDescent="0.25">
      <c r="A207" s="30">
        <v>2.4672673802232442E-4</v>
      </c>
      <c r="L207" s="27" t="s">
        <v>7</v>
      </c>
      <c r="M207" s="27" t="s">
        <v>8</v>
      </c>
    </row>
    <row r="208" spans="1:13" x14ac:dyDescent="0.25">
      <c r="A208" s="30">
        <v>2.2205406422009198E-4</v>
      </c>
      <c r="L208" s="27" t="s">
        <v>7</v>
      </c>
      <c r="M208" s="27" t="s">
        <v>8</v>
      </c>
    </row>
    <row r="209" spans="1:13" x14ac:dyDescent="0.25">
      <c r="A209" s="30">
        <v>1.998486577980828E-4</v>
      </c>
      <c r="L209" s="27" t="s">
        <v>7</v>
      </c>
      <c r="M209" s="27" t="s">
        <v>8</v>
      </c>
    </row>
    <row r="210" spans="1:13" x14ac:dyDescent="0.25">
      <c r="A210" s="30">
        <v>1.7986379201827453E-4</v>
      </c>
      <c r="L210" s="27" t="s">
        <v>7</v>
      </c>
      <c r="M210" s="27" t="s">
        <v>8</v>
      </c>
    </row>
    <row r="211" spans="1:13" x14ac:dyDescent="0.25">
      <c r="A211" s="30">
        <v>1.6187741281644709E-4</v>
      </c>
      <c r="L211" s="27" t="s">
        <v>7</v>
      </c>
      <c r="M211" s="27" t="s">
        <v>8</v>
      </c>
    </row>
    <row r="212" spans="1:13" x14ac:dyDescent="0.25">
      <c r="A212" s="30">
        <v>1.4568967153480238E-4</v>
      </c>
      <c r="L212" s="27" t="s">
        <v>7</v>
      </c>
      <c r="M212" s="27" t="s">
        <v>8</v>
      </c>
    </row>
    <row r="213" spans="1:13" x14ac:dyDescent="0.25">
      <c r="A213" s="30">
        <v>1.3112070438132215E-4</v>
      </c>
      <c r="L213" s="27" t="s">
        <v>7</v>
      </c>
      <c r="M213" s="27" t="s">
        <v>8</v>
      </c>
    </row>
    <row r="214" spans="1:13" x14ac:dyDescent="0.25">
      <c r="A214" s="30">
        <v>1.1800863394318995E-4</v>
      </c>
      <c r="L214" s="27" t="s">
        <v>7</v>
      </c>
      <c r="M214" s="27" t="s">
        <v>8</v>
      </c>
    </row>
    <row r="215" spans="1:13" x14ac:dyDescent="0.25">
      <c r="A215" s="30">
        <v>1.0620777054887096E-4</v>
      </c>
      <c r="L215" s="27" t="s">
        <v>7</v>
      </c>
    </row>
    <row r="216" spans="1:13" x14ac:dyDescent="0.25">
      <c r="A216" s="30">
        <v>9.5586993493983861E-5</v>
      </c>
    </row>
    <row r="217" spans="1:13" x14ac:dyDescent="0.25">
      <c r="A217" s="30">
        <v>8.6028294144585476E-5</v>
      </c>
    </row>
    <row r="218" spans="1:13" x14ac:dyDescent="0.25">
      <c r="A218" s="30">
        <v>7.7425464730126924E-5</v>
      </c>
    </row>
    <row r="219" spans="1:13" x14ac:dyDescent="0.25">
      <c r="A219" s="30">
        <v>6.9682918257114228E-5</v>
      </c>
    </row>
    <row r="220" spans="1:13" x14ac:dyDescent="0.25">
      <c r="A220" s="30">
        <v>6.2714626431402813E-5</v>
      </c>
    </row>
    <row r="221" spans="1:13" x14ac:dyDescent="0.25">
      <c r="A221" s="30">
        <v>5.6443163788262536E-5</v>
      </c>
    </row>
    <row r="222" spans="1:13" x14ac:dyDescent="0.25">
      <c r="A222" s="30">
        <v>5.0798847409436286E-5</v>
      </c>
    </row>
    <row r="223" spans="1:13" x14ac:dyDescent="0.25">
      <c r="A223" s="30">
        <v>4.5718962668492656E-5</v>
      </c>
    </row>
    <row r="224" spans="1:13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10" operator="equal">
      <formula>$U$1</formula>
    </cfRule>
    <cfRule type="cellIs" dxfId="30" priority="1211" operator="equal">
      <formula>$S$1</formula>
    </cfRule>
  </conditionalFormatting>
  <conditionalFormatting sqref="D136">
    <cfRule type="cellIs" dxfId="29" priority="1208" operator="equal">
      <formula>$S$1</formula>
    </cfRule>
    <cfRule type="cellIs" dxfId="28" priority="1209" operator="equal">
      <formula>$U$1</formula>
    </cfRule>
  </conditionalFormatting>
  <conditionalFormatting sqref="C102">
    <cfRule type="cellIs" dxfId="27" priority="1206" operator="equal">
      <formula>$U$1</formula>
    </cfRule>
    <cfRule type="cellIs" dxfId="26" priority="1207" operator="equal">
      <formula>$S$1</formula>
    </cfRule>
  </conditionalFormatting>
  <conditionalFormatting sqref="D102">
    <cfRule type="cellIs" dxfId="25" priority="1204" operator="equal">
      <formula>$S$1</formula>
    </cfRule>
    <cfRule type="cellIs" dxfId="24" priority="1205" operator="equal">
      <formula>$U$1</formula>
    </cfRule>
  </conditionalFormatting>
  <conditionalFormatting sqref="C77">
    <cfRule type="cellIs" dxfId="23" priority="1202" operator="equal">
      <formula>$U$1</formula>
    </cfRule>
    <cfRule type="cellIs" dxfId="22" priority="1203" operator="equal">
      <formula>$S$1</formula>
    </cfRule>
  </conditionalFormatting>
  <conditionalFormatting sqref="D77">
    <cfRule type="cellIs" dxfId="21" priority="1200" operator="equal">
      <formula>$S$1</formula>
    </cfRule>
    <cfRule type="cellIs" dxfId="20" priority="1201" operator="equal">
      <formula>$U$1</formula>
    </cfRule>
  </conditionalFormatting>
  <conditionalFormatting sqref="C52">
    <cfRule type="cellIs" dxfId="19" priority="1198" operator="equal">
      <formula>$U$1</formula>
    </cfRule>
    <cfRule type="cellIs" dxfId="18" priority="1199" operator="equal">
      <formula>$S$1</formula>
    </cfRule>
  </conditionalFormatting>
  <conditionalFormatting sqref="D52">
    <cfRule type="cellIs" dxfId="17" priority="1196" operator="equal">
      <formula>$S$1</formula>
    </cfRule>
    <cfRule type="cellIs" dxfId="16" priority="1197" operator="equal">
      <formula>$U$1</formula>
    </cfRule>
  </conditionalFormatting>
  <conditionalFormatting sqref="C26">
    <cfRule type="cellIs" dxfId="15" priority="1194" operator="equal">
      <formula>$U$1</formula>
    </cfRule>
    <cfRule type="cellIs" dxfId="14" priority="1195" operator="equal">
      <formula>$S$1</formula>
    </cfRule>
  </conditionalFormatting>
  <conditionalFormatting sqref="D26">
    <cfRule type="cellIs" dxfId="13" priority="1192" operator="equal">
      <formula>$S$1</formula>
    </cfRule>
    <cfRule type="cellIs" dxfId="12" priority="119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4" sqref="E4: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2.0789281794113688</v>
      </c>
      <c r="F3" s="30">
        <v>3.3863549408993889</v>
      </c>
      <c r="G3" s="30">
        <v>3.9201291384586554</v>
      </c>
      <c r="H3" s="25">
        <f>IF(G3="","",(3*(G3-F3))+E3)</f>
        <v>3.6802507720891682</v>
      </c>
      <c r="I3" s="7"/>
      <c r="J3" s="7">
        <f>(E3+G3)/2</f>
        <v>2.9995286589350121</v>
      </c>
      <c r="K3" s="7">
        <f>H3/2</f>
        <v>1.8401253860445841</v>
      </c>
      <c r="M3" s="26">
        <f>IF(OR(J3="",H3=""),"",H3/J3)</f>
        <v>1.2269430269073833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/>
      <c r="F4" s="30"/>
      <c r="G4" s="30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30"/>
      <c r="F5" s="30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2022-01-28T01:20:51Z</dcterms:modified>
</cp:coreProperties>
</file>